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E1BE535-DFF5-410F-87EB-2DE48588063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заказа'!$B$139:$B$139</definedName>
    <definedName name="ProductId52">'Бланк заказа'!$B$140:$B$140</definedName>
    <definedName name="ProductId53">'Бланк заказа'!$B$141:$B$141</definedName>
    <definedName name="ProductId54">'Бланк заказа'!$B$146:$B$146</definedName>
    <definedName name="ProductId55">'Бланк заказа'!$B$147:$B$147</definedName>
    <definedName name="ProductId56">'Бланк заказа'!$B$152:$B$152</definedName>
    <definedName name="ProductId57">'Бланк заказа'!$B$153:$B$153</definedName>
    <definedName name="ProductId58">'Бланк заказа'!$B$158:$B$158</definedName>
    <definedName name="ProductId59">'Бланк заказа'!$B$159:$B$159</definedName>
    <definedName name="ProductId6">'Бланк заказа'!$B$27:$B$27</definedName>
    <definedName name="ProductId60">'Бланк заказа'!$B$164:$B$164</definedName>
    <definedName name="ProductId61">'Бланк заказа'!$B$169:$B$169</definedName>
    <definedName name="ProductId62">'Бланк заказа'!$B$174:$B$174</definedName>
    <definedName name="ProductId63">'Бланк заказа'!$B$180:$B$180</definedName>
    <definedName name="ProductId64">'Бланк заказа'!$B$184:$B$184</definedName>
    <definedName name="ProductId65">'Бланк заказа'!$B$189:$B$189</definedName>
    <definedName name="ProductId66">'Бланк заказа'!$B$190:$B$190</definedName>
    <definedName name="ProductId67">'Бланк заказа'!$B$195:$B$195</definedName>
    <definedName name="ProductId68">'Бланк заказа'!$B$201:$B$201</definedName>
    <definedName name="ProductId69">'Бланк заказа'!$B$202:$B$202</definedName>
    <definedName name="ProductId7">'Бланк заказа'!$B$28:$B$28</definedName>
    <definedName name="ProductId70">'Бланк заказа'!$B$203:$B$203</definedName>
    <definedName name="ProductId71">'Бланк заказа'!$B$204:$B$204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заказа'!$B$216:$B$216</definedName>
    <definedName name="ProductId76">'Бланк заказа'!$B$221:$B$221</definedName>
    <definedName name="ProductId77">'Бланк заказа'!$B$222:$B$222</definedName>
    <definedName name="ProductId78">'Бланк заказа'!$B$227:$B$227</definedName>
    <definedName name="ProductId79">'Бланк заказа'!$B$233:$B$233</definedName>
    <definedName name="ProductId8">'Бланк заказа'!$B$29:$B$29</definedName>
    <definedName name="ProductId80">'Бланк заказа'!$B$239:$B$239</definedName>
    <definedName name="ProductId81">'Бланк заказа'!$B$243:$B$243</definedName>
    <definedName name="ProductId82">'Бланк заказа'!$B$249:$B$249</definedName>
    <definedName name="ProductId83">'Бланк заказа'!$B$253:$B$253</definedName>
    <definedName name="ProductId84">'Бланк заказа'!$B$259:$B$259</definedName>
    <definedName name="ProductId85">'Бланк заказа'!$B$260:$B$260</definedName>
    <definedName name="ProductId86">'Бланк заказа'!$B$264:$B$264</definedName>
    <definedName name="ProductId87">'Бланк заказа'!$B$265:$B$265</definedName>
    <definedName name="ProductId88">'Бланк заказа'!$B$266:$B$266</definedName>
    <definedName name="ProductId89">'Бланк заказа'!$B$270:$B$270</definedName>
    <definedName name="ProductId9">'Бланк заказа'!$B$34:$B$34</definedName>
    <definedName name="ProductId90">'Бланк заказа'!$B$271:$B$271</definedName>
    <definedName name="ProductId91">'Бланк заказа'!$B$272:$B$272</definedName>
    <definedName name="ProductId92">'Бланк заказа'!$B$273:$B$273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заказа'!$B$277:$B$277</definedName>
    <definedName name="ProductId97">'Бланк заказа'!$B$278:$B$278</definedName>
    <definedName name="ProductId98">'Бланк заказа'!$B$279:$B$279</definedName>
    <definedName name="ProductId99">'Бланк заказа'!$B$280:$B$280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заказа'!$X$139:$X$139</definedName>
    <definedName name="SalesQty52">'Бланк заказа'!$X$140:$X$140</definedName>
    <definedName name="SalesQty53">'Бланк заказа'!$X$141:$X$141</definedName>
    <definedName name="SalesQty54">'Бланк заказа'!$X$146:$X$146</definedName>
    <definedName name="SalesQty55">'Бланк заказа'!$X$147:$X$147</definedName>
    <definedName name="SalesQty56">'Бланк заказа'!$X$152:$X$152</definedName>
    <definedName name="SalesQty57">'Бланк заказа'!$X$153:$X$153</definedName>
    <definedName name="SalesQty58">'Бланк заказа'!$X$158:$X$158</definedName>
    <definedName name="SalesQty59">'Бланк заказа'!$X$159:$X$159</definedName>
    <definedName name="SalesQty6">'Бланк заказа'!$X$27:$X$27</definedName>
    <definedName name="SalesQty60">'Бланк заказа'!$X$164:$X$164</definedName>
    <definedName name="SalesQty61">'Бланк заказа'!$X$169:$X$169</definedName>
    <definedName name="SalesQty62">'Бланк заказа'!$X$174:$X$174</definedName>
    <definedName name="SalesQty63">'Бланк заказа'!$X$180:$X$180</definedName>
    <definedName name="SalesQty64">'Бланк заказа'!$X$184:$X$184</definedName>
    <definedName name="SalesQty65">'Бланк заказа'!$X$189:$X$189</definedName>
    <definedName name="SalesQty66">'Бланк заказа'!$X$190:$X$190</definedName>
    <definedName name="SalesQty67">'Бланк заказа'!$X$195:$X$195</definedName>
    <definedName name="SalesQty68">'Бланк заказа'!$X$201:$X$201</definedName>
    <definedName name="SalesQty69">'Бланк заказа'!$X$202:$X$202</definedName>
    <definedName name="SalesQty7">'Бланк заказа'!$X$28:$X$28</definedName>
    <definedName name="SalesQty70">'Бланк заказа'!$X$203:$X$203</definedName>
    <definedName name="SalesQty71">'Бланк заказа'!$X$204:$X$204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заказа'!$X$216:$X$216</definedName>
    <definedName name="SalesQty76">'Бланк заказа'!$X$221:$X$221</definedName>
    <definedName name="SalesQty77">'Бланк заказа'!$X$222:$X$222</definedName>
    <definedName name="SalesQty78">'Бланк заказа'!$X$227:$X$227</definedName>
    <definedName name="SalesQty79">'Бланк заказа'!$X$233:$X$233</definedName>
    <definedName name="SalesQty8">'Бланк заказа'!$X$29:$X$29</definedName>
    <definedName name="SalesQty80">'Бланк заказа'!$X$239:$X$239</definedName>
    <definedName name="SalesQty81">'Бланк заказа'!$X$243:$X$243</definedName>
    <definedName name="SalesQty82">'Бланк заказа'!$X$249:$X$249</definedName>
    <definedName name="SalesQty83">'Бланк заказа'!$X$253:$X$253</definedName>
    <definedName name="SalesQty84">'Бланк заказа'!$X$259:$X$259</definedName>
    <definedName name="SalesQty85">'Бланк заказа'!$X$260:$X$260</definedName>
    <definedName name="SalesQty86">'Бланк заказа'!$X$264:$X$264</definedName>
    <definedName name="SalesQty87">'Бланк заказа'!$X$265:$X$265</definedName>
    <definedName name="SalesQty88">'Бланк заказа'!$X$266:$X$266</definedName>
    <definedName name="SalesQty89">'Бланк заказа'!$X$270:$X$270</definedName>
    <definedName name="SalesQty9">'Бланк заказа'!$X$34:$X$34</definedName>
    <definedName name="SalesQty90">'Бланк заказа'!$X$271:$X$271</definedName>
    <definedName name="SalesQty91">'Бланк заказа'!$X$272:$X$272</definedName>
    <definedName name="SalesQty92">'Бланк заказа'!$X$273:$X$273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заказа'!$X$277:$X$277</definedName>
    <definedName name="SalesQty97">'Бланк заказа'!$X$278:$X$278</definedName>
    <definedName name="SalesQty98">'Бланк заказа'!$X$279:$X$279</definedName>
    <definedName name="SalesQty99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заказа'!$Y$139:$Y$139</definedName>
    <definedName name="SalesRoundBox52">'Бланк заказа'!$Y$140:$Y$140</definedName>
    <definedName name="SalesRoundBox53">'Бланк заказа'!$Y$141:$Y$141</definedName>
    <definedName name="SalesRoundBox54">'Бланк заказа'!$Y$146:$Y$146</definedName>
    <definedName name="SalesRoundBox55">'Бланк заказа'!$Y$147:$Y$147</definedName>
    <definedName name="SalesRoundBox56">'Бланк заказа'!$Y$152:$Y$152</definedName>
    <definedName name="SalesRoundBox57">'Бланк заказа'!$Y$153:$Y$153</definedName>
    <definedName name="SalesRoundBox58">'Бланк заказа'!$Y$158:$Y$158</definedName>
    <definedName name="SalesRoundBox59">'Бланк заказа'!$Y$159:$Y$159</definedName>
    <definedName name="SalesRoundBox6">'Бланк заказа'!$Y$27:$Y$27</definedName>
    <definedName name="SalesRoundBox60">'Бланк заказа'!$Y$164:$Y$164</definedName>
    <definedName name="SalesRoundBox61">'Бланк заказа'!$Y$169:$Y$169</definedName>
    <definedName name="SalesRoundBox62">'Бланк заказа'!$Y$174:$Y$174</definedName>
    <definedName name="SalesRoundBox63">'Бланк заказа'!$Y$180:$Y$180</definedName>
    <definedName name="SalesRoundBox64">'Бланк заказа'!$Y$184:$Y$184</definedName>
    <definedName name="SalesRoundBox65">'Бланк заказа'!$Y$189:$Y$189</definedName>
    <definedName name="SalesRoundBox66">'Бланк заказа'!$Y$190:$Y$190</definedName>
    <definedName name="SalesRoundBox67">'Бланк заказа'!$Y$195:$Y$195</definedName>
    <definedName name="SalesRoundBox68">'Бланк заказа'!$Y$201:$Y$201</definedName>
    <definedName name="SalesRoundBox69">'Бланк заказа'!$Y$202:$Y$202</definedName>
    <definedName name="SalesRoundBox7">'Бланк заказа'!$Y$28:$Y$28</definedName>
    <definedName name="SalesRoundBox70">'Бланк заказа'!$Y$203:$Y$203</definedName>
    <definedName name="SalesRoundBox71">'Бланк заказа'!$Y$204:$Y$204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заказа'!$Y$216:$Y$216</definedName>
    <definedName name="SalesRoundBox76">'Бланк заказа'!$Y$221:$Y$221</definedName>
    <definedName name="SalesRoundBox77">'Бланк заказа'!$Y$222:$Y$222</definedName>
    <definedName name="SalesRoundBox78">'Бланк заказа'!$Y$227:$Y$227</definedName>
    <definedName name="SalesRoundBox79">'Бланк заказа'!$Y$233:$Y$233</definedName>
    <definedName name="SalesRoundBox8">'Бланк заказа'!$Y$29:$Y$29</definedName>
    <definedName name="SalesRoundBox80">'Бланк заказа'!$Y$239:$Y$239</definedName>
    <definedName name="SalesRoundBox81">'Бланк заказа'!$Y$243:$Y$243</definedName>
    <definedName name="SalesRoundBox82">'Бланк заказа'!$Y$249:$Y$249</definedName>
    <definedName name="SalesRoundBox83">'Бланк заказа'!$Y$253:$Y$253</definedName>
    <definedName name="SalesRoundBox84">'Бланк заказа'!$Y$259:$Y$259</definedName>
    <definedName name="SalesRoundBox85">'Бланк заказа'!$Y$260:$Y$260</definedName>
    <definedName name="SalesRoundBox86">'Бланк заказа'!$Y$264:$Y$264</definedName>
    <definedName name="SalesRoundBox87">'Бланк заказа'!$Y$265:$Y$265</definedName>
    <definedName name="SalesRoundBox88">'Бланк заказа'!$Y$266:$Y$266</definedName>
    <definedName name="SalesRoundBox89">'Бланк заказа'!$Y$270:$Y$270</definedName>
    <definedName name="SalesRoundBox9">'Бланк заказа'!$Y$34:$Y$34</definedName>
    <definedName name="SalesRoundBox90">'Бланк заказа'!$Y$271:$Y$271</definedName>
    <definedName name="SalesRoundBox91">'Бланк заказа'!$Y$272:$Y$272</definedName>
    <definedName name="SalesRoundBox92">'Бланк заказа'!$Y$273:$Y$273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заказа'!$Y$277:$Y$277</definedName>
    <definedName name="SalesRoundBox97">'Бланк заказа'!$Y$278:$Y$278</definedName>
    <definedName name="SalesRoundBox98">'Бланк заказа'!$Y$279:$Y$279</definedName>
    <definedName name="SalesRoundBox99">'Бланк заказа'!$Y$280:$Y$280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заказа'!$W$139:$W$139</definedName>
    <definedName name="UnitOfMeasure52">'Бланк заказа'!$W$140:$W$140</definedName>
    <definedName name="UnitOfMeasure53">'Бланк заказа'!$W$141:$W$141</definedName>
    <definedName name="UnitOfMeasure54">'Бланк заказа'!$W$146:$W$146</definedName>
    <definedName name="UnitOfMeasure55">'Бланк заказа'!$W$147:$W$147</definedName>
    <definedName name="UnitOfMeasure56">'Бланк заказа'!$W$152:$W$152</definedName>
    <definedName name="UnitOfMeasure57">'Бланк заказа'!$W$153:$W$153</definedName>
    <definedName name="UnitOfMeasure58">'Бланк заказа'!$W$158:$W$158</definedName>
    <definedName name="UnitOfMeasure59">'Бланк заказа'!$W$159:$W$159</definedName>
    <definedName name="UnitOfMeasure6">'Бланк заказа'!$W$27:$W$27</definedName>
    <definedName name="UnitOfMeasure60">'Бланк заказа'!$W$164:$W$164</definedName>
    <definedName name="UnitOfMeasure61">'Бланк заказа'!$W$169:$W$169</definedName>
    <definedName name="UnitOfMeasure62">'Бланк заказа'!$W$174:$W$174</definedName>
    <definedName name="UnitOfMeasure63">'Бланк заказа'!$W$180:$W$180</definedName>
    <definedName name="UnitOfMeasure64">'Бланк заказа'!$W$184:$W$184</definedName>
    <definedName name="UnitOfMeasure65">'Бланк заказа'!$W$189:$W$189</definedName>
    <definedName name="UnitOfMeasure66">'Бланк заказа'!$W$190:$W$190</definedName>
    <definedName name="UnitOfMeasure67">'Бланк заказа'!$W$195:$W$195</definedName>
    <definedName name="UnitOfMeasure68">'Бланк заказа'!$W$201:$W$201</definedName>
    <definedName name="UnitOfMeasure69">'Бланк заказа'!$W$202:$W$202</definedName>
    <definedName name="UnitOfMeasure7">'Бланк заказа'!$W$28:$W$28</definedName>
    <definedName name="UnitOfMeasure70">'Бланк заказа'!$W$203:$W$203</definedName>
    <definedName name="UnitOfMeasure71">'Бланк заказа'!$W$204:$W$204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заказа'!$W$216:$W$216</definedName>
    <definedName name="UnitOfMeasure76">'Бланк заказа'!$W$221:$W$221</definedName>
    <definedName name="UnitOfMeasure77">'Бланк заказа'!$W$222:$W$222</definedName>
    <definedName name="UnitOfMeasure78">'Бланк заказа'!$W$227:$W$227</definedName>
    <definedName name="UnitOfMeasure79">'Бланк заказа'!$W$233:$W$233</definedName>
    <definedName name="UnitOfMeasure8">'Бланк заказа'!$W$29:$W$29</definedName>
    <definedName name="UnitOfMeasure80">'Бланк заказа'!$W$239:$W$239</definedName>
    <definedName name="UnitOfMeasure81">'Бланк заказа'!$W$243:$W$243</definedName>
    <definedName name="UnitOfMeasure82">'Бланк заказа'!$W$249:$W$249</definedName>
    <definedName name="UnitOfMeasure83">'Бланк заказа'!$W$253:$W$253</definedName>
    <definedName name="UnitOfMeasure84">'Бланк заказа'!$W$259:$W$259</definedName>
    <definedName name="UnitOfMeasure85">'Бланк заказа'!$W$260:$W$260</definedName>
    <definedName name="UnitOfMeasure86">'Бланк заказа'!$W$264:$W$264</definedName>
    <definedName name="UnitOfMeasure87">'Бланк заказа'!$W$265:$W$265</definedName>
    <definedName name="UnitOfMeasure88">'Бланк заказа'!$W$266:$W$266</definedName>
    <definedName name="UnitOfMeasure89">'Бланк заказа'!$W$270:$W$270</definedName>
    <definedName name="UnitOfMeasure9">'Бланк заказа'!$W$34:$W$34</definedName>
    <definedName name="UnitOfMeasure90">'Бланк заказа'!$W$271:$W$271</definedName>
    <definedName name="UnitOfMeasure91">'Бланк заказа'!$W$272:$W$272</definedName>
    <definedName name="UnitOfMeasure92">'Бланк заказа'!$W$273:$W$273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заказа'!$W$277:$W$277</definedName>
    <definedName name="UnitOfMeasure97">'Бланк заказа'!$W$278:$W$278</definedName>
    <definedName name="UnitOfMeasure98">'Бланк заказа'!$W$279:$W$279</definedName>
    <definedName name="UnitOfMeasure99">'Бланк заказа'!$W$280:$W$280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X282" i="1"/>
  <c r="X281" i="1"/>
  <c r="BO280" i="1"/>
  <c r="BM280" i="1"/>
  <c r="Z280" i="1"/>
  <c r="Y280" i="1"/>
  <c r="P280" i="1"/>
  <c r="BO279" i="1"/>
  <c r="BM279" i="1"/>
  <c r="Z279" i="1"/>
  <c r="Y279" i="1"/>
  <c r="BP279" i="1" s="1"/>
  <c r="P279" i="1"/>
  <c r="BO278" i="1"/>
  <c r="BM278" i="1"/>
  <c r="Z278" i="1"/>
  <c r="Y278" i="1"/>
  <c r="P278" i="1"/>
  <c r="BO277" i="1"/>
  <c r="BM277" i="1"/>
  <c r="Z277" i="1"/>
  <c r="Y277" i="1"/>
  <c r="BP277" i="1" s="1"/>
  <c r="BO276" i="1"/>
  <c r="BM276" i="1"/>
  <c r="Z276" i="1"/>
  <c r="Y276" i="1"/>
  <c r="BP276" i="1" s="1"/>
  <c r="BO275" i="1"/>
  <c r="BM275" i="1"/>
  <c r="Z275" i="1"/>
  <c r="Y275" i="1"/>
  <c r="BP275" i="1" s="1"/>
  <c r="P275" i="1"/>
  <c r="BO274" i="1"/>
  <c r="BM274" i="1"/>
  <c r="Z274" i="1"/>
  <c r="Y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Y270" i="1"/>
  <c r="X268" i="1"/>
  <c r="X267" i="1"/>
  <c r="BO266" i="1"/>
  <c r="BM266" i="1"/>
  <c r="Z266" i="1"/>
  <c r="Y266" i="1"/>
  <c r="BP266" i="1" s="1"/>
  <c r="BO265" i="1"/>
  <c r="BM265" i="1"/>
  <c r="Z265" i="1"/>
  <c r="Y265" i="1"/>
  <c r="BP265" i="1" s="1"/>
  <c r="BO264" i="1"/>
  <c r="BM264" i="1"/>
  <c r="Z264" i="1"/>
  <c r="Z267" i="1" s="1"/>
  <c r="Y264" i="1"/>
  <c r="Y268" i="1" s="1"/>
  <c r="X262" i="1"/>
  <c r="X261" i="1"/>
  <c r="BO260" i="1"/>
  <c r="BM260" i="1"/>
  <c r="Z260" i="1"/>
  <c r="Y260" i="1"/>
  <c r="P260" i="1"/>
  <c r="BO259" i="1"/>
  <c r="BN259" i="1"/>
  <c r="BM259" i="1"/>
  <c r="Z259" i="1"/>
  <c r="Y259" i="1"/>
  <c r="BP259" i="1" s="1"/>
  <c r="P259" i="1"/>
  <c r="X255" i="1"/>
  <c r="X254" i="1"/>
  <c r="BP253" i="1"/>
  <c r="BO253" i="1"/>
  <c r="BM253" i="1"/>
  <c r="Z253" i="1"/>
  <c r="Z254" i="1" s="1"/>
  <c r="Y253" i="1"/>
  <c r="Y255" i="1" s="1"/>
  <c r="P253" i="1"/>
  <c r="X251" i="1"/>
  <c r="Y250" i="1"/>
  <c r="X250" i="1"/>
  <c r="BO249" i="1"/>
  <c r="BN249" i="1"/>
  <c r="BM249" i="1"/>
  <c r="Z249" i="1"/>
  <c r="Z250" i="1" s="1"/>
  <c r="Y249" i="1"/>
  <c r="Y251" i="1" s="1"/>
  <c r="P249" i="1"/>
  <c r="X245" i="1"/>
  <c r="X244" i="1"/>
  <c r="BP243" i="1"/>
  <c r="BO243" i="1"/>
  <c r="BM243" i="1"/>
  <c r="Z243" i="1"/>
  <c r="Z244" i="1" s="1"/>
  <c r="Y243" i="1"/>
  <c r="Y245" i="1" s="1"/>
  <c r="P243" i="1"/>
  <c r="X241" i="1"/>
  <c r="Y240" i="1"/>
  <c r="X240" i="1"/>
  <c r="BO239" i="1"/>
  <c r="BN239" i="1"/>
  <c r="BM239" i="1"/>
  <c r="Z239" i="1"/>
  <c r="Z240" i="1" s="1"/>
  <c r="Y239" i="1"/>
  <c r="Y241" i="1" s="1"/>
  <c r="P239" i="1"/>
  <c r="X235" i="1"/>
  <c r="X234" i="1"/>
  <c r="BP233" i="1"/>
  <c r="BO233" i="1"/>
  <c r="BM233" i="1"/>
  <c r="Z233" i="1"/>
  <c r="Z234" i="1" s="1"/>
  <c r="Y233" i="1"/>
  <c r="Y235" i="1" s="1"/>
  <c r="P233" i="1"/>
  <c r="X229" i="1"/>
  <c r="Y228" i="1"/>
  <c r="X228" i="1"/>
  <c r="BO227" i="1"/>
  <c r="BN227" i="1"/>
  <c r="BM227" i="1"/>
  <c r="Z227" i="1"/>
  <c r="Z228" i="1" s="1"/>
  <c r="Y227" i="1"/>
  <c r="Y229" i="1" s="1"/>
  <c r="P227" i="1"/>
  <c r="X224" i="1"/>
  <c r="X223" i="1"/>
  <c r="BO222" i="1"/>
  <c r="BM222" i="1"/>
  <c r="Z222" i="1"/>
  <c r="Y222" i="1"/>
  <c r="BP222" i="1" s="1"/>
  <c r="P222" i="1"/>
  <c r="BO221" i="1"/>
  <c r="BM221" i="1"/>
  <c r="Z221" i="1"/>
  <c r="Y221" i="1"/>
  <c r="P221" i="1"/>
  <c r="X218" i="1"/>
  <c r="X217" i="1"/>
  <c r="BO216" i="1"/>
  <c r="BM216" i="1"/>
  <c r="Z216" i="1"/>
  <c r="Y216" i="1"/>
  <c r="P216" i="1"/>
  <c r="BP215" i="1"/>
  <c r="BO215" i="1"/>
  <c r="BM215" i="1"/>
  <c r="Z215" i="1"/>
  <c r="Y215" i="1"/>
  <c r="BN215" i="1" s="1"/>
  <c r="P215" i="1"/>
  <c r="BO214" i="1"/>
  <c r="BM214" i="1"/>
  <c r="Z214" i="1"/>
  <c r="Y214" i="1"/>
  <c r="P214" i="1"/>
  <c r="X212" i="1"/>
  <c r="X211" i="1"/>
  <c r="BO210" i="1"/>
  <c r="BM210" i="1"/>
  <c r="Z210" i="1"/>
  <c r="Z211" i="1" s="1"/>
  <c r="Y210" i="1"/>
  <c r="P210" i="1"/>
  <c r="X206" i="1"/>
  <c r="X205" i="1"/>
  <c r="BO204" i="1"/>
  <c r="BM204" i="1"/>
  <c r="Z204" i="1"/>
  <c r="Y204" i="1"/>
  <c r="P204" i="1"/>
  <c r="BO203" i="1"/>
  <c r="BM203" i="1"/>
  <c r="Z203" i="1"/>
  <c r="Y203" i="1"/>
  <c r="BP203" i="1" s="1"/>
  <c r="P203" i="1"/>
  <c r="BO202" i="1"/>
  <c r="BM202" i="1"/>
  <c r="Z202" i="1"/>
  <c r="Y202" i="1"/>
  <c r="P202" i="1"/>
  <c r="BO201" i="1"/>
  <c r="BM201" i="1"/>
  <c r="Z201" i="1"/>
  <c r="Y201" i="1"/>
  <c r="P201" i="1"/>
  <c r="X197" i="1"/>
  <c r="X196" i="1"/>
  <c r="BO195" i="1"/>
  <c r="BM195" i="1"/>
  <c r="Z195" i="1"/>
  <c r="Z196" i="1" s="1"/>
  <c r="Y195" i="1"/>
  <c r="Y197" i="1" s="1"/>
  <c r="P195" i="1"/>
  <c r="X192" i="1"/>
  <c r="X191" i="1"/>
  <c r="BO190" i="1"/>
  <c r="BN190" i="1"/>
  <c r="BM190" i="1"/>
  <c r="Z190" i="1"/>
  <c r="Y190" i="1"/>
  <c r="BP190" i="1" s="1"/>
  <c r="P190" i="1"/>
  <c r="BO189" i="1"/>
  <c r="BM189" i="1"/>
  <c r="Z189" i="1"/>
  <c r="Y189" i="1"/>
  <c r="P189" i="1"/>
  <c r="X186" i="1"/>
  <c r="X185" i="1"/>
  <c r="BO184" i="1"/>
  <c r="BM184" i="1"/>
  <c r="Z184" i="1"/>
  <c r="Z185" i="1" s="1"/>
  <c r="Y184" i="1"/>
  <c r="P184" i="1"/>
  <c r="X182" i="1"/>
  <c r="X181" i="1"/>
  <c r="BO180" i="1"/>
  <c r="BM180" i="1"/>
  <c r="Z180" i="1"/>
  <c r="Z181" i="1" s="1"/>
  <c r="Y180" i="1"/>
  <c r="Y182" i="1" s="1"/>
  <c r="P180" i="1"/>
  <c r="X176" i="1"/>
  <c r="X175" i="1"/>
  <c r="BO174" i="1"/>
  <c r="BM174" i="1"/>
  <c r="Z174" i="1"/>
  <c r="Z175" i="1" s="1"/>
  <c r="Y174" i="1"/>
  <c r="P174" i="1"/>
  <c r="X171" i="1"/>
  <c r="X170" i="1"/>
  <c r="BO169" i="1"/>
  <c r="BM169" i="1"/>
  <c r="Z169" i="1"/>
  <c r="Z170" i="1" s="1"/>
  <c r="Y169" i="1"/>
  <c r="Y171" i="1" s="1"/>
  <c r="P169" i="1"/>
  <c r="X166" i="1"/>
  <c r="X165" i="1"/>
  <c r="BO164" i="1"/>
  <c r="BM164" i="1"/>
  <c r="Z164" i="1"/>
  <c r="Z165" i="1" s="1"/>
  <c r="Y164" i="1"/>
  <c r="P164" i="1"/>
  <c r="X161" i="1"/>
  <c r="X160" i="1"/>
  <c r="BO159" i="1"/>
  <c r="BM159" i="1"/>
  <c r="Z159" i="1"/>
  <c r="Y159" i="1"/>
  <c r="P159" i="1"/>
  <c r="BO158" i="1"/>
  <c r="BM158" i="1"/>
  <c r="Z158" i="1"/>
  <c r="Y158" i="1"/>
  <c r="Y160" i="1" s="1"/>
  <c r="P158" i="1"/>
  <c r="X155" i="1"/>
  <c r="X154" i="1"/>
  <c r="BP153" i="1"/>
  <c r="BO153" i="1"/>
  <c r="BM153" i="1"/>
  <c r="Z153" i="1"/>
  <c r="Y153" i="1"/>
  <c r="BN153" i="1" s="1"/>
  <c r="P153" i="1"/>
  <c r="BO152" i="1"/>
  <c r="BM152" i="1"/>
  <c r="Z152" i="1"/>
  <c r="Y152" i="1"/>
  <c r="P152" i="1"/>
  <c r="X149" i="1"/>
  <c r="X148" i="1"/>
  <c r="BO147" i="1"/>
  <c r="BM147" i="1"/>
  <c r="Z147" i="1"/>
  <c r="Y147" i="1"/>
  <c r="BP147" i="1" s="1"/>
  <c r="P147" i="1"/>
  <c r="BO146" i="1"/>
  <c r="BM146" i="1"/>
  <c r="Z146" i="1"/>
  <c r="Y146" i="1"/>
  <c r="BP146" i="1" s="1"/>
  <c r="P146" i="1"/>
  <c r="X143" i="1"/>
  <c r="X142" i="1"/>
  <c r="BO141" i="1"/>
  <c r="BN141" i="1"/>
  <c r="BM141" i="1"/>
  <c r="Z141" i="1"/>
  <c r="Y141" i="1"/>
  <c r="BP141" i="1" s="1"/>
  <c r="P141" i="1"/>
  <c r="BO140" i="1"/>
  <c r="BM140" i="1"/>
  <c r="Z140" i="1"/>
  <c r="Y140" i="1"/>
  <c r="BP140" i="1" s="1"/>
  <c r="P140" i="1"/>
  <c r="BO139" i="1"/>
  <c r="BN139" i="1"/>
  <c r="BM139" i="1"/>
  <c r="Z139" i="1"/>
  <c r="Y139" i="1"/>
  <c r="BP139" i="1" s="1"/>
  <c r="P139" i="1"/>
  <c r="X137" i="1"/>
  <c r="X136" i="1"/>
  <c r="BO135" i="1"/>
  <c r="BM135" i="1"/>
  <c r="Z135" i="1"/>
  <c r="Y135" i="1"/>
  <c r="BP135" i="1" s="1"/>
  <c r="P135" i="1"/>
  <c r="BO134" i="1"/>
  <c r="BM134" i="1"/>
  <c r="Z134" i="1"/>
  <c r="Y134" i="1"/>
  <c r="BP134" i="1" s="1"/>
  <c r="P134" i="1"/>
  <c r="BO133" i="1"/>
  <c r="BM133" i="1"/>
  <c r="Z133" i="1"/>
  <c r="Y133" i="1"/>
  <c r="BP133" i="1" s="1"/>
  <c r="P133" i="1"/>
  <c r="BO132" i="1"/>
  <c r="BM132" i="1"/>
  <c r="Z132" i="1"/>
  <c r="Z136" i="1" s="1"/>
  <c r="Y132" i="1"/>
  <c r="P132" i="1"/>
  <c r="X130" i="1"/>
  <c r="X129" i="1"/>
  <c r="BO128" i="1"/>
  <c r="BM128" i="1"/>
  <c r="Z128" i="1"/>
  <c r="Z129" i="1" s="1"/>
  <c r="Y128" i="1"/>
  <c r="Y129" i="1" s="1"/>
  <c r="P128" i="1"/>
  <c r="X125" i="1"/>
  <c r="X124" i="1"/>
  <c r="BO123" i="1"/>
  <c r="BM123" i="1"/>
  <c r="Z123" i="1"/>
  <c r="Z124" i="1" s="1"/>
  <c r="Y123" i="1"/>
  <c r="Y124" i="1" s="1"/>
  <c r="P123" i="1"/>
  <c r="X121" i="1"/>
  <c r="X120" i="1"/>
  <c r="BO119" i="1"/>
  <c r="BM119" i="1"/>
  <c r="Z119" i="1"/>
  <c r="Z120" i="1" s="1"/>
  <c r="Y119" i="1"/>
  <c r="Y120" i="1" s="1"/>
  <c r="P119" i="1"/>
  <c r="X117" i="1"/>
  <c r="X116" i="1"/>
  <c r="BO115" i="1"/>
  <c r="BM115" i="1"/>
  <c r="Z115" i="1"/>
  <c r="Y115" i="1"/>
  <c r="BP115" i="1" s="1"/>
  <c r="P115" i="1"/>
  <c r="BO114" i="1"/>
  <c r="BM114" i="1"/>
  <c r="Z114" i="1"/>
  <c r="Y114" i="1"/>
  <c r="BN114" i="1" s="1"/>
  <c r="P114" i="1"/>
  <c r="BO113" i="1"/>
  <c r="BM113" i="1"/>
  <c r="Z113" i="1"/>
  <c r="Y113" i="1"/>
  <c r="BP113" i="1" s="1"/>
  <c r="P113" i="1"/>
  <c r="BO112" i="1"/>
  <c r="BM112" i="1"/>
  <c r="Z112" i="1"/>
  <c r="Y112" i="1"/>
  <c r="BN112" i="1" s="1"/>
  <c r="P112" i="1"/>
  <c r="BO111" i="1"/>
  <c r="BM111" i="1"/>
  <c r="Z111" i="1"/>
  <c r="Y111" i="1"/>
  <c r="BP111" i="1" s="1"/>
  <c r="P111" i="1"/>
  <c r="BO110" i="1"/>
  <c r="BM110" i="1"/>
  <c r="Z110" i="1"/>
  <c r="Y110" i="1"/>
  <c r="BN110" i="1" s="1"/>
  <c r="P110" i="1"/>
  <c r="BO109" i="1"/>
  <c r="BM109" i="1"/>
  <c r="Z109" i="1"/>
  <c r="Y109" i="1"/>
  <c r="P109" i="1"/>
  <c r="X106" i="1"/>
  <c r="X105" i="1"/>
  <c r="BO104" i="1"/>
  <c r="BM104" i="1"/>
  <c r="Z104" i="1"/>
  <c r="Y104" i="1"/>
  <c r="BP104" i="1" s="1"/>
  <c r="P104" i="1"/>
  <c r="BO103" i="1"/>
  <c r="BM103" i="1"/>
  <c r="Z103" i="1"/>
  <c r="Y103" i="1"/>
  <c r="P103" i="1"/>
  <c r="X100" i="1"/>
  <c r="X99" i="1"/>
  <c r="BP98" i="1"/>
  <c r="BO98" i="1"/>
  <c r="BN98" i="1"/>
  <c r="BM98" i="1"/>
  <c r="Z98" i="1"/>
  <c r="Y98" i="1"/>
  <c r="P98" i="1"/>
  <c r="BO97" i="1"/>
  <c r="BM97" i="1"/>
  <c r="Z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Z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Z93" i="1"/>
  <c r="Y93" i="1"/>
  <c r="Y100" i="1" s="1"/>
  <c r="P93" i="1"/>
  <c r="X90" i="1"/>
  <c r="X89" i="1"/>
  <c r="BO88" i="1"/>
  <c r="BM88" i="1"/>
  <c r="Z88" i="1"/>
  <c r="Y88" i="1"/>
  <c r="BP88" i="1" s="1"/>
  <c r="P88" i="1"/>
  <c r="BO87" i="1"/>
  <c r="BM87" i="1"/>
  <c r="Z87" i="1"/>
  <c r="Y87" i="1"/>
  <c r="Y89" i="1" s="1"/>
  <c r="P87" i="1"/>
  <c r="X84" i="1"/>
  <c r="X83" i="1"/>
  <c r="BO82" i="1"/>
  <c r="BM82" i="1"/>
  <c r="Z82" i="1"/>
  <c r="Z83" i="1" s="1"/>
  <c r="Y82" i="1"/>
  <c r="Y84" i="1" s="1"/>
  <c r="P82" i="1"/>
  <c r="X79" i="1"/>
  <c r="X78" i="1"/>
  <c r="BO77" i="1"/>
  <c r="BN77" i="1"/>
  <c r="BM77" i="1"/>
  <c r="Z77" i="1"/>
  <c r="Y77" i="1"/>
  <c r="BP77" i="1" s="1"/>
  <c r="P77" i="1"/>
  <c r="BO76" i="1"/>
  <c r="BM76" i="1"/>
  <c r="Z76" i="1"/>
  <c r="Y76" i="1"/>
  <c r="Y79" i="1" s="1"/>
  <c r="P76" i="1"/>
  <c r="X73" i="1"/>
  <c r="X72" i="1"/>
  <c r="BO71" i="1"/>
  <c r="BM71" i="1"/>
  <c r="Z71" i="1"/>
  <c r="Y71" i="1"/>
  <c r="BP71" i="1" s="1"/>
  <c r="P71" i="1"/>
  <c r="BO70" i="1"/>
  <c r="BM70" i="1"/>
  <c r="Z70" i="1"/>
  <c r="Y70" i="1"/>
  <c r="BP70" i="1" s="1"/>
  <c r="P70" i="1"/>
  <c r="BO69" i="1"/>
  <c r="BM69" i="1"/>
  <c r="Z69" i="1"/>
  <c r="Z72" i="1" s="1"/>
  <c r="Y69" i="1"/>
  <c r="P69" i="1"/>
  <c r="X67" i="1"/>
  <c r="X66" i="1"/>
  <c r="BO65" i="1"/>
  <c r="BM65" i="1"/>
  <c r="Z65" i="1"/>
  <c r="Z66" i="1" s="1"/>
  <c r="Y65" i="1"/>
  <c r="Y66" i="1" s="1"/>
  <c r="P65" i="1"/>
  <c r="X63" i="1"/>
  <c r="X62" i="1"/>
  <c r="BO61" i="1"/>
  <c r="BM61" i="1"/>
  <c r="Z61" i="1"/>
  <c r="Z62" i="1" s="1"/>
  <c r="Y61" i="1"/>
  <c r="Y62" i="1" s="1"/>
  <c r="P61" i="1"/>
  <c r="X58" i="1"/>
  <c r="X57" i="1"/>
  <c r="BO56" i="1"/>
  <c r="BM56" i="1"/>
  <c r="Z56" i="1"/>
  <c r="Y56" i="1"/>
  <c r="P56" i="1"/>
  <c r="BP55" i="1"/>
  <c r="BO55" i="1"/>
  <c r="BM55" i="1"/>
  <c r="Z55" i="1"/>
  <c r="Y55" i="1"/>
  <c r="BN55" i="1" s="1"/>
  <c r="P55" i="1"/>
  <c r="BO54" i="1"/>
  <c r="BM54" i="1"/>
  <c r="Z54" i="1"/>
  <c r="Y54" i="1"/>
  <c r="BP54" i="1" s="1"/>
  <c r="P54" i="1"/>
  <c r="BP53" i="1"/>
  <c r="BO53" i="1"/>
  <c r="BM53" i="1"/>
  <c r="Z53" i="1"/>
  <c r="Z57" i="1" s="1"/>
  <c r="Y53" i="1"/>
  <c r="BN53" i="1" s="1"/>
  <c r="P53" i="1"/>
  <c r="X50" i="1"/>
  <c r="X49" i="1"/>
  <c r="BO48" i="1"/>
  <c r="BM48" i="1"/>
  <c r="Z48" i="1"/>
  <c r="Y48" i="1"/>
  <c r="BP48" i="1" s="1"/>
  <c r="P48" i="1"/>
  <c r="BO47" i="1"/>
  <c r="BM47" i="1"/>
  <c r="Z47" i="1"/>
  <c r="Z49" i="1" s="1"/>
  <c r="Y47" i="1"/>
  <c r="P47" i="1"/>
  <c r="X44" i="1"/>
  <c r="X43" i="1"/>
  <c r="BO42" i="1"/>
  <c r="BM42" i="1"/>
  <c r="Z42" i="1"/>
  <c r="Y42" i="1"/>
  <c r="Y44" i="1" s="1"/>
  <c r="P42" i="1"/>
  <c r="BO41" i="1"/>
  <c r="BN41" i="1"/>
  <c r="BM41" i="1"/>
  <c r="Z41" i="1"/>
  <c r="Y41" i="1"/>
  <c r="BP41" i="1" s="1"/>
  <c r="P41" i="1"/>
  <c r="X37" i="1"/>
  <c r="X36" i="1"/>
  <c r="BO35" i="1"/>
  <c r="BM35" i="1"/>
  <c r="Z35" i="1"/>
  <c r="Y35" i="1"/>
  <c r="BP35" i="1" s="1"/>
  <c r="P35" i="1"/>
  <c r="BO34" i="1"/>
  <c r="BM34" i="1"/>
  <c r="Z34" i="1"/>
  <c r="Y34" i="1"/>
  <c r="P34" i="1"/>
  <c r="X31" i="1"/>
  <c r="X30" i="1"/>
  <c r="BO29" i="1"/>
  <c r="BM29" i="1"/>
  <c r="Z29" i="1"/>
  <c r="Y29" i="1"/>
  <c r="BP29" i="1" s="1"/>
  <c r="P29" i="1"/>
  <c r="BP28" i="1"/>
  <c r="BO28" i="1"/>
  <c r="BM28" i="1"/>
  <c r="Z28" i="1"/>
  <c r="Y28" i="1"/>
  <c r="BN28" i="1" s="1"/>
  <c r="P28" i="1"/>
  <c r="BO27" i="1"/>
  <c r="BM27" i="1"/>
  <c r="Z27" i="1"/>
  <c r="Y27" i="1"/>
  <c r="BP27" i="1" s="1"/>
  <c r="P27" i="1"/>
  <c r="BP26" i="1"/>
  <c r="BO26" i="1"/>
  <c r="BM26" i="1"/>
  <c r="Z26" i="1"/>
  <c r="Y26" i="1"/>
  <c r="BN26" i="1" s="1"/>
  <c r="P26" i="1"/>
  <c r="BO25" i="1"/>
  <c r="BM25" i="1"/>
  <c r="Z25" i="1"/>
  <c r="Y25" i="1"/>
  <c r="BP25" i="1" s="1"/>
  <c r="P25" i="1"/>
  <c r="BP24" i="1"/>
  <c r="BO24" i="1"/>
  <c r="BM24" i="1"/>
  <c r="Z24" i="1"/>
  <c r="Y24" i="1"/>
  <c r="BN24" i="1" s="1"/>
  <c r="P24" i="1"/>
  <c r="BO23" i="1"/>
  <c r="BM23" i="1"/>
  <c r="Z23" i="1"/>
  <c r="Y23" i="1"/>
  <c r="Y31" i="1" s="1"/>
  <c r="P23" i="1"/>
  <c r="BP22" i="1"/>
  <c r="BO22" i="1"/>
  <c r="BN22" i="1"/>
  <c r="BM22" i="1"/>
  <c r="Z22" i="1"/>
  <c r="Z30" i="1" s="1"/>
  <c r="Y22" i="1"/>
  <c r="P22" i="1"/>
  <c r="H10" i="1"/>
  <c r="A9" i="1"/>
  <c r="F10" i="1" s="1"/>
  <c r="D7" i="1"/>
  <c r="Q6" i="1"/>
  <c r="P2" i="1"/>
  <c r="BP110" i="1" l="1"/>
  <c r="BP112" i="1"/>
  <c r="BP114" i="1"/>
  <c r="Y205" i="1"/>
  <c r="Z281" i="1"/>
  <c r="X287" i="1"/>
  <c r="Z36" i="1"/>
  <c r="Z43" i="1"/>
  <c r="Z142" i="1"/>
  <c r="Z160" i="1"/>
  <c r="Y218" i="1"/>
  <c r="BP227" i="1"/>
  <c r="BN233" i="1"/>
  <c r="Y234" i="1"/>
  <c r="BP239" i="1"/>
  <c r="BN243" i="1"/>
  <c r="Y244" i="1"/>
  <c r="BP249" i="1"/>
  <c r="BN253" i="1"/>
  <c r="Y254" i="1"/>
  <c r="Z261" i="1"/>
  <c r="Y105" i="1"/>
  <c r="Y116" i="1"/>
  <c r="Z205" i="1"/>
  <c r="Z217" i="1"/>
  <c r="Y161" i="1"/>
  <c r="Y206" i="1"/>
  <c r="Y30" i="1"/>
  <c r="Y36" i="1"/>
  <c r="BN35" i="1"/>
  <c r="Y43" i="1"/>
  <c r="Y49" i="1"/>
  <c r="BN48" i="1"/>
  <c r="Y72" i="1"/>
  <c r="BN70" i="1"/>
  <c r="Z78" i="1"/>
  <c r="BN82" i="1"/>
  <c r="BP82" i="1"/>
  <c r="Y83" i="1"/>
  <c r="Z89" i="1"/>
  <c r="BN87" i="1"/>
  <c r="BP87" i="1"/>
  <c r="Z99" i="1"/>
  <c r="Z105" i="1"/>
  <c r="BN103" i="1"/>
  <c r="BP103" i="1"/>
  <c r="Z116" i="1"/>
  <c r="Y137" i="1"/>
  <c r="BN133" i="1"/>
  <c r="BN135" i="1"/>
  <c r="Y143" i="1"/>
  <c r="Z148" i="1"/>
  <c r="BN146" i="1"/>
  <c r="Z154" i="1"/>
  <c r="BN158" i="1"/>
  <c r="BP158" i="1"/>
  <c r="Z191" i="1"/>
  <c r="BN195" i="1"/>
  <c r="BP195" i="1"/>
  <c r="Y196" i="1"/>
  <c r="BN201" i="1"/>
  <c r="BP201" i="1"/>
  <c r="BN203" i="1"/>
  <c r="BN222" i="1"/>
  <c r="BN264" i="1"/>
  <c r="BP264" i="1"/>
  <c r="BN265" i="1"/>
  <c r="BN266" i="1"/>
  <c r="Y267" i="1"/>
  <c r="Y282" i="1"/>
  <c r="BN275" i="1"/>
  <c r="BN276" i="1"/>
  <c r="BN277" i="1"/>
  <c r="BN279" i="1"/>
  <c r="H9" i="1"/>
  <c r="A10" i="1"/>
  <c r="X284" i="1"/>
  <c r="X285" i="1"/>
  <c r="BN23" i="1"/>
  <c r="BP23" i="1"/>
  <c r="BN25" i="1"/>
  <c r="BN27" i="1"/>
  <c r="BN29" i="1"/>
  <c r="X283" i="1"/>
  <c r="BN34" i="1"/>
  <c r="BP34" i="1"/>
  <c r="Y37" i="1"/>
  <c r="BN42" i="1"/>
  <c r="BP42" i="1"/>
  <c r="BN47" i="1"/>
  <c r="BP47" i="1"/>
  <c r="Y50" i="1"/>
  <c r="Y57" i="1"/>
  <c r="Y58" i="1"/>
  <c r="BN54" i="1"/>
  <c r="F9" i="1"/>
  <c r="J9" i="1"/>
  <c r="BP56" i="1"/>
  <c r="BN56" i="1"/>
  <c r="Y63" i="1"/>
  <c r="Y67" i="1"/>
  <c r="Y73" i="1"/>
  <c r="Y78" i="1"/>
  <c r="Y90" i="1"/>
  <c r="Y99" i="1"/>
  <c r="Y106" i="1"/>
  <c r="Y117" i="1"/>
  <c r="Y121" i="1"/>
  <c r="Y125" i="1"/>
  <c r="Y130" i="1"/>
  <c r="Y136" i="1"/>
  <c r="Y142" i="1"/>
  <c r="Y165" i="1"/>
  <c r="BP164" i="1"/>
  <c r="BN164" i="1"/>
  <c r="Y175" i="1"/>
  <c r="BP174" i="1"/>
  <c r="BN174" i="1"/>
  <c r="Y185" i="1"/>
  <c r="BP184" i="1"/>
  <c r="BN184" i="1"/>
  <c r="Y211" i="1"/>
  <c r="BP210" i="1"/>
  <c r="BN210" i="1"/>
  <c r="Y224" i="1"/>
  <c r="BP221" i="1"/>
  <c r="BN221" i="1"/>
  <c r="Y223" i="1"/>
  <c r="BP260" i="1"/>
  <c r="BN260" i="1"/>
  <c r="BN61" i="1"/>
  <c r="BP61" i="1"/>
  <c r="BN65" i="1"/>
  <c r="BP65" i="1"/>
  <c r="BN69" i="1"/>
  <c r="BP69" i="1"/>
  <c r="BN71" i="1"/>
  <c r="BN76" i="1"/>
  <c r="BP76" i="1"/>
  <c r="BN88" i="1"/>
  <c r="BN93" i="1"/>
  <c r="BP93" i="1"/>
  <c r="BN95" i="1"/>
  <c r="BN97" i="1"/>
  <c r="BN104" i="1"/>
  <c r="BN109" i="1"/>
  <c r="BP109" i="1"/>
  <c r="BN111" i="1"/>
  <c r="BN113" i="1"/>
  <c r="BN115" i="1"/>
  <c r="BN119" i="1"/>
  <c r="BP119" i="1"/>
  <c r="BN123" i="1"/>
  <c r="BP123" i="1"/>
  <c r="BN128" i="1"/>
  <c r="BP128" i="1"/>
  <c r="BN132" i="1"/>
  <c r="BP132" i="1"/>
  <c r="BN134" i="1"/>
  <c r="BN140" i="1"/>
  <c r="Y148" i="1"/>
  <c r="BN147" i="1"/>
  <c r="Y149" i="1"/>
  <c r="Y155" i="1"/>
  <c r="BP152" i="1"/>
  <c r="BN152" i="1"/>
  <c r="Y154" i="1"/>
  <c r="BP159" i="1"/>
  <c r="BN159" i="1"/>
  <c r="Y166" i="1"/>
  <c r="Y170" i="1"/>
  <c r="BP169" i="1"/>
  <c r="BN169" i="1"/>
  <c r="Y176" i="1"/>
  <c r="Y181" i="1"/>
  <c r="BP180" i="1"/>
  <c r="BN180" i="1"/>
  <c r="Y186" i="1"/>
  <c r="Y192" i="1"/>
  <c r="BP189" i="1"/>
  <c r="BN189" i="1"/>
  <c r="Y191" i="1"/>
  <c r="BP202" i="1"/>
  <c r="BN202" i="1"/>
  <c r="BP204" i="1"/>
  <c r="BN204" i="1"/>
  <c r="Y212" i="1"/>
  <c r="Y217" i="1"/>
  <c r="BP214" i="1"/>
  <c r="BN214" i="1"/>
  <c r="BP216" i="1"/>
  <c r="BN216" i="1"/>
  <c r="Z223" i="1"/>
  <c r="Z288" i="1" s="1"/>
  <c r="Y261" i="1"/>
  <c r="Y262" i="1"/>
  <c r="Y281" i="1"/>
  <c r="BP270" i="1"/>
  <c r="BN270" i="1"/>
  <c r="BP271" i="1"/>
  <c r="BN271" i="1"/>
  <c r="BP272" i="1"/>
  <c r="BN272" i="1"/>
  <c r="BP273" i="1"/>
  <c r="BN273" i="1"/>
  <c r="BP274" i="1"/>
  <c r="BN274" i="1"/>
  <c r="BP278" i="1"/>
  <c r="BN278" i="1"/>
  <c r="BP280" i="1"/>
  <c r="BN280" i="1"/>
  <c r="Y284" i="1" l="1"/>
  <c r="Y287" i="1"/>
  <c r="Y283" i="1"/>
  <c r="Y285" i="1"/>
  <c r="X286" i="1"/>
  <c r="Y286" i="1" l="1"/>
  <c r="B296" i="1" s="1"/>
  <c r="C296" i="1" l="1"/>
  <c r="A296" i="1"/>
</calcChain>
</file>

<file path=xl/sharedStrings.xml><?xml version="1.0" encoding="utf-8"?>
<sst xmlns="http://schemas.openxmlformats.org/spreadsheetml/2006/main" count="1315" uniqueCount="436">
  <si>
    <t xml:space="preserve">  БЛАНК ЗАКАЗА </t>
  </si>
  <si>
    <t>ЗПФ</t>
  </si>
  <si>
    <t>на отгрузку продукции с ООО Трейд-Сервис с</t>
  </si>
  <si>
    <t>30.09.2026</t>
  </si>
  <si>
    <t>бланк создан</t>
  </si>
  <si>
    <t>29.09.2026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</si>
  <si>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</si>
  <si>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</si>
  <si>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</si>
  <si>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</si>
  <si>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</si>
  <si>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</si>
  <si>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</si>
  <si>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</si>
  <si>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</si>
  <si>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</si>
  <si>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</si>
  <si>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</si>
  <si>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</si>
  <si>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</si>
  <si>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</si>
  <si>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</si>
  <si>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</si>
  <si>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</si>
  <si>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</si>
  <si>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</si>
  <si>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</si>
  <si>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</si>
  <si>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</si>
  <si>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</si>
  <si>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</si>
  <si>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</si>
  <si>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</si>
  <si>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</si>
  <si>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</si>
  <si>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</si>
  <si>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</si>
  <si>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</si>
  <si>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</si>
  <si>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</si>
  <si>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</si>
  <si>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</si>
  <si>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</si>
  <si>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</si>
  <si>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</si>
  <si>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</si>
  <si>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</si>
  <si>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</si>
  <si>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</si>
  <si>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</si>
  <si>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</si>
  <si>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</si>
  <si>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</si>
  <si>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</si>
  <si>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</si>
  <si>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</si>
  <si>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</si>
  <si>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</si>
  <si>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</si>
  <si>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</si>
  <si>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</si>
  <si>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</si>
  <si>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</si>
  <si>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</si>
  <si>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</si>
  <si>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</si>
  <si>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</si>
  <si>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</si>
  <si>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</si>
  <si>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</si>
  <si>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</si>
  <si>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</si>
  <si>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</si>
  <si>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</si>
  <si>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</si>
  <si>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</si>
  <si>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</si>
  <si>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</si>
  <si>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</si>
  <si>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</si>
  <si>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</si>
  <si>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</si>
  <si>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</si>
  <si>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</si>
  <si>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</si>
  <si>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</si>
  <si>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</si>
  <si>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</si>
  <si>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</si>
  <si>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</si>
  <si>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</si>
  <si>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</si>
  <si>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</si>
  <si>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</si>
  <si>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</si>
  <si>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</si>
  <si>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</si>
  <si>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</si>
  <si>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</si>
  <si>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</si>
  <si>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</si>
  <si>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</si>
  <si>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</si>
  <si>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</si>
  <si>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</si>
  <si>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</si>
  <si>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</si>
  <si>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</si>
  <si>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</si>
  <si>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</si>
  <si>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</si>
  <si>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</si>
  <si>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</si>
  <si>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</si>
  <si>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</si>
  <si>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</si>
  <si>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</si>
  <si>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</si>
  <si>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</si>
  <si>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</si>
  <si>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</si>
  <si>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</si>
  <si>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</si>
  <si>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</si>
  <si>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</si>
  <si>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</si>
  <si>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</si>
  <si>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</si>
  <si>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</si>
  <si>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</si>
  <si>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</si>
  <si>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</si>
  <si>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</si>
  <si>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</si>
  <si>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</si>
  <si>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</si>
  <si>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</si>
  <si>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</si>
  <si>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</si>
  <si>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</si>
  <si>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</si>
  <si>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</si>
  <si>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</si>
  <si>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</si>
  <si>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</si>
  <si>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</si>
  <si>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</si>
  <si>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</si>
  <si>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</si>
  <si>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</si>
  <si>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</si>
  <si>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</si>
  <si>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</si>
  <si>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</si>
  <si>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</si>
  <si>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</si>
  <si>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</si>
  <si>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</si>
  <si>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</si>
  <si>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</si>
  <si>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</si>
  <si>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</si>
  <si>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</si>
  <si>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</si>
  <si>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</si>
  <si>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</si>
  <si>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</si>
  <si>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</si>
  <si>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</si>
  <si>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</si>
  <si>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</si>
  <si>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</si>
  <si>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</si>
  <si>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</si>
  <si>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</si>
  <si>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</si>
  <si>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</si>
  <si>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</si>
  <si>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</si>
  <si>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</si>
  <si>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</si>
  <si>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</si>
  <si>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</si>
  <si>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</si>
  <si>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</si>
  <si>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</si>
  <si>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</si>
  <si>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</si>
  <si>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</si>
  <si>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</si>
  <si>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</si>
  <si>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</si>
  <si>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</si>
  <si>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</si>
  <si>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</si>
  <si>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</si>
  <si>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</si>
  <si>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</si>
  <si>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</si>
  <si>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</si>
  <si>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</si>
  <si>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</si>
  <si>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</si>
  <si>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</si>
  <si>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</si>
  <si>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</si>
  <si>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</si>
  <si>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</si>
  <si>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</si>
  <si>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</si>
  <si>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Новинка</t>
  </si>
  <si>
    <t>ЕАЭС N RU Д-RU.РА06.В.41516/26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</si>
  <si>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</si>
  <si>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</si>
  <si>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</si>
  <si>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</si>
  <si>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</si>
  <si>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</si>
  <si>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</si>
  <si>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</si>
  <si>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</si>
  <si>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</si>
  <si>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</si>
  <si>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</si>
  <si>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</si>
  <si>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</si>
  <si>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</si>
  <si>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</si>
  <si>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</si>
  <si>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</si>
  <si>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</si>
  <si>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</si>
  <si>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</si>
  <si>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SU003580</t>
  </si>
  <si>
    <t>P004486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</si>
  <si>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</si>
  <si>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</si>
  <si>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</si>
  <si>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</si>
  <si>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</si>
  <si>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</si>
  <si>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</si>
  <si>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</si>
  <si>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</si>
  <si>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ЕАЭС N RU Д-RU.РА10.В.33475/23</t>
  </si>
  <si>
    <t>SU004219</t>
  </si>
  <si>
    <t>P005485</t>
  </si>
  <si>
    <t>ЕАЭС N RU Д-RU.РА03.В.76733/26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</si>
  <si>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</si>
  <si>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</si>
  <si>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</si>
  <si>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</si>
  <si>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</si>
  <si>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</si>
  <si>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</si>
  <si>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</si>
  <si>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</si>
  <si>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</si>
  <si>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</si>
  <si>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</si>
  <si>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</si>
  <si>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</si>
  <si>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</si>
  <si>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</si>
  <si>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</si>
  <si>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</si>
  <si>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</si>
  <si>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</si>
  <si>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</si>
  <si>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</si>
  <si>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</si>
  <si>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</si>
  <si>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</si>
  <si>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</si>
  <si>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</si>
  <si>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</si>
  <si>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</si>
  <si>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</si>
  <si>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</si>
  <si>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</si>
  <si>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</si>
  <si>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</si>
  <si>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</si>
  <si>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</si>
  <si>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</si>
  <si>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</si>
  <si>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</si>
  <si>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</si>
  <si>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</si>
  <si>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</si>
  <si>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</si>
  <si>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</si>
  <si>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</si>
  <si>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</si>
  <si>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</si>
  <si>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</si>
  <si>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</si>
  <si>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</si>
  <si>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</si>
  <si>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</si>
  <si>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</si>
  <si>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</si>
  <si>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</si>
  <si>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</si>
  <si>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</si>
  <si>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</si>
  <si>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</si>
  <si>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</si>
  <si>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</si>
  <si>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</si>
  <si>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</si>
  <si>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</si>
  <si>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</si>
  <si>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</si>
  <si>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</si>
  <si>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</si>
  <si>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</si>
  <si>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</si>
  <si>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</si>
  <si>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</si>
  <si>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</si>
  <si>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</si>
  <si>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</si>
  <si>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</si>
  <si>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</si>
  <si>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</si>
  <si>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</si>
  <si>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</si>
  <si>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</si>
  <si>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</si>
  <si>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</si>
  <si>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</si>
  <si>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</si>
  <si>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</si>
  <si>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</si>
  <si>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</si>
  <si>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</si>
  <si>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</si>
  <si>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</si>
  <si>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</si>
  <si>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</si>
  <si>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</si>
  <si>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</si>
  <si>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</si>
  <si>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</si>
  <si>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</si>
  <si>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</si>
  <si>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</si>
  <si>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</si>
  <si>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</si>
  <si>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</si>
  <si>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</si>
  <si>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</si>
  <si>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</si>
  <si>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</si>
  <si>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</si>
  <si>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</si>
  <si>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</si>
  <si>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SU004374</t>
  </si>
  <si>
    <t>P005740</t>
  </si>
  <si>
    <t>Снеки «Мини-сосиски в ароматном тесте» Весовой ТМ «Зареченские продукты» 5 кг</t>
  </si>
  <si>
    <t>ЕАЭС N RU Д-RU.РА04.В.53375/26</t>
  </si>
  <si>
    <t>SU004361</t>
  </si>
  <si>
    <t>P005714</t>
  </si>
  <si>
    <t>Снеки «Мини-сосиски в ароматном тесте» Весовые ТМ «Зареченские продукты» 3,7 кг</t>
  </si>
  <si>
    <t>SU004375</t>
  </si>
  <si>
    <t>P005741</t>
  </si>
  <si>
    <t>Снеки «Мини-шарики с курочкой и сыром» Весовой ТМ «Зареченские продукты» 3 кг</t>
  </si>
  <si>
    <t>SU003439</t>
  </si>
  <si>
    <t>P004359</t>
  </si>
  <si>
    <t>ЕАЭС N RU Д-RU.РА02.В.25079/24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</si>
  <si>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</si>
  <si>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</si>
  <si>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</si>
  <si>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</si>
  <si>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</si>
  <si>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</si>
  <si>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</si>
  <si>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P004191</t>
  </si>
  <si>
    <t>SU003382</t>
  </si>
  <si>
    <t>P004195</t>
  </si>
  <si>
    <t>ЕАЭС N RU Д-RU.РА02.В.58883/24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</si>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</sst>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35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54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12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7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26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66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334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4" fillId="24" borderId="0" xfId="39" applyFont="1" applyFill="1" applyAlignment="1">
      <alignment horizontal="center" vertical="center" wrapText="1"/>
    </xf>
    <xf numFmtId="0" fontId="250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53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0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55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223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83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0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68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8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45" xfId="0" applyBorder="1" applyProtection="1">
      <protection hidden="1"/>
    </xf>
    <xf numFmtId="0" fontId="133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199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52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78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76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47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2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69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6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8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337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127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6"/>
  <sheetViews>
    <sheetView showGridLines="0" tabSelected="1" zoomScaleNormal="100" zoomScaleSheetLayoutView="100" workbookViewId="0">
      <selection activeCell="AA27" sqref="AA27"/>
    </sheetView>
  </sheetViews>
  <sheetFormatPr defaultColWidth="9.140625" defaultRowHeight="12.75" x14ac:dyDescent="0.2"/>
  <cols>
    <col min="1" max="1" width="9.140625" style="27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1" customWidth="1"/>
    <col min="19" max="19" width="6.140625" style="27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1" customWidth="1"/>
    <col min="25" max="25" width="11" style="271" customWidth="1"/>
    <col min="26" max="26" width="10" style="271" customWidth="1"/>
    <col min="27" max="27" width="11.5703125" style="271" customWidth="1"/>
    <col min="28" max="28" width="10.42578125" style="271" customWidth="1"/>
    <col min="29" max="29" width="30" style="27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1" customWidth="1"/>
    <col min="34" max="34" width="9.140625" style="271" customWidth="1"/>
    <col min="35" max="16384" width="9.140625" style="271"/>
  </cols>
  <sheetData>
    <row r="1" spans="1:32" s="275" customFormat="1" ht="45" customHeight="1" x14ac:dyDescent="0.2">
      <c r="A1" s="41"/>
      <c r="B1" s="41"/>
      <c r="C1" s="41"/>
      <c r="D1" s="340" t="s">
        <v>0</v>
      </c>
      <c r="E1" s="303"/>
      <c r="F1" s="303"/>
      <c r="G1" s="12" t="s">
        <v>1</v>
      </c>
      <c r="H1" s="340" t="s">
        <v>2</v>
      </c>
      <c r="I1" s="303"/>
      <c r="J1" s="303"/>
      <c r="K1" s="303"/>
      <c r="L1" s="303"/>
      <c r="M1" s="303"/>
      <c r="N1" s="303"/>
      <c r="O1" s="303"/>
      <c r="P1" s="303"/>
      <c r="Q1" s="303"/>
      <c r="R1" s="302" t="s">
        <v>3</v>
      </c>
      <c r="S1" s="303"/>
      <c r="T1" s="30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6"/>
      <c r="R2" s="296"/>
      <c r="S2" s="296"/>
      <c r="T2" s="296"/>
      <c r="U2" s="296"/>
      <c r="V2" s="296"/>
      <c r="W2" s="296"/>
      <c r="X2" s="16"/>
      <c r="Y2" s="16"/>
      <c r="Z2" s="16"/>
      <c r="AA2" s="16"/>
      <c r="AB2" s="51"/>
      <c r="AC2" s="51"/>
      <c r="AD2" s="51"/>
      <c r="AE2" s="51"/>
    </row>
    <row r="3" spans="1:32" s="27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96"/>
      <c r="Q3" s="296"/>
      <c r="R3" s="296"/>
      <c r="S3" s="296"/>
      <c r="T3" s="296"/>
      <c r="U3" s="296"/>
      <c r="V3" s="296"/>
      <c r="W3" s="296"/>
      <c r="X3" s="16"/>
      <c r="Y3" s="16"/>
      <c r="Z3" s="16"/>
      <c r="AA3" s="16"/>
      <c r="AB3" s="51"/>
      <c r="AC3" s="51"/>
      <c r="AD3" s="51"/>
      <c r="AE3" s="51"/>
    </row>
    <row r="4" spans="1:32" s="27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5" customFormat="1" ht="23.45" customHeight="1" x14ac:dyDescent="0.2">
      <c r="A5" s="354" t="s">
        <v>8</v>
      </c>
      <c r="B5" s="336"/>
      <c r="C5" s="337"/>
      <c r="D5" s="342"/>
      <c r="E5" s="343"/>
      <c r="F5" s="449" t="s">
        <v>9</v>
      </c>
      <c r="G5" s="337"/>
      <c r="H5" s="342" t="s">
        <v>435</v>
      </c>
      <c r="I5" s="443"/>
      <c r="J5" s="443"/>
      <c r="K5" s="443"/>
      <c r="L5" s="443"/>
      <c r="M5" s="343"/>
      <c r="N5" s="61"/>
      <c r="P5" s="24" t="s">
        <v>10</v>
      </c>
      <c r="Q5" s="451">
        <v>46300</v>
      </c>
      <c r="R5" s="381"/>
      <c r="T5" s="377" t="s">
        <v>11</v>
      </c>
      <c r="U5" s="378"/>
      <c r="V5" s="380" t="s">
        <v>12</v>
      </c>
      <c r="W5" s="381"/>
      <c r="AB5" s="51"/>
      <c r="AC5" s="51"/>
      <c r="AD5" s="51"/>
      <c r="AE5" s="51"/>
    </row>
    <row r="6" spans="1:32" s="275" customFormat="1" ht="24" customHeight="1" x14ac:dyDescent="0.2">
      <c r="A6" s="354" t="s">
        <v>13</v>
      </c>
      <c r="B6" s="336"/>
      <c r="C6" s="337"/>
      <c r="D6" s="420" t="s">
        <v>409</v>
      </c>
      <c r="E6" s="421"/>
      <c r="F6" s="421"/>
      <c r="G6" s="421"/>
      <c r="H6" s="421"/>
      <c r="I6" s="421"/>
      <c r="J6" s="421"/>
      <c r="K6" s="421"/>
      <c r="L6" s="421"/>
      <c r="M6" s="381"/>
      <c r="N6" s="62"/>
      <c r="P6" s="24" t="s">
        <v>14</v>
      </c>
      <c r="Q6" s="454" t="str">
        <f>IF(Q5=0," ",CHOOSE(WEEKDAY(Q5,2),"Понедельник","Вторник","Среда","Четверг","Пятница","Суббота","Воскресенье"))</f>
        <v>Понедельник</v>
      </c>
      <c r="R6" s="285"/>
      <c r="T6" s="385" t="s">
        <v>15</v>
      </c>
      <c r="U6" s="378"/>
      <c r="V6" s="426" t="s">
        <v>16</v>
      </c>
      <c r="W6" s="299"/>
      <c r="AB6" s="51"/>
      <c r="AC6" s="51"/>
      <c r="AD6" s="51"/>
      <c r="AE6" s="51"/>
    </row>
    <row r="7" spans="1:32" s="275" customFormat="1" ht="21.75" hidden="1" customHeight="1" x14ac:dyDescent="0.2">
      <c r="A7" s="55"/>
      <c r="B7" s="55"/>
      <c r="C7" s="55"/>
      <c r="D7" s="317" t="str">
        <f>IFERROR(VLOOKUP(DeliveryAddress,Table,3,0),1)</f>
        <v>4</v>
      </c>
      <c r="E7" s="318"/>
      <c r="F7" s="318"/>
      <c r="G7" s="318"/>
      <c r="H7" s="318"/>
      <c r="I7" s="318"/>
      <c r="J7" s="318"/>
      <c r="K7" s="318"/>
      <c r="L7" s="318"/>
      <c r="M7" s="319"/>
      <c r="N7" s="63"/>
      <c r="P7" s="24"/>
      <c r="Q7" s="42"/>
      <c r="R7" s="42"/>
      <c r="T7" s="296"/>
      <c r="U7" s="378"/>
      <c r="V7" s="427"/>
      <c r="W7" s="428"/>
      <c r="AB7" s="51"/>
      <c r="AC7" s="51"/>
      <c r="AD7" s="51"/>
      <c r="AE7" s="51"/>
    </row>
    <row r="8" spans="1:32" s="275" customFormat="1" ht="25.5" customHeight="1" x14ac:dyDescent="0.2">
      <c r="A8" s="469" t="s">
        <v>17</v>
      </c>
      <c r="B8" s="287"/>
      <c r="C8" s="288"/>
      <c r="D8" s="324"/>
      <c r="E8" s="325"/>
      <c r="F8" s="325"/>
      <c r="G8" s="325"/>
      <c r="H8" s="325"/>
      <c r="I8" s="325"/>
      <c r="J8" s="325"/>
      <c r="K8" s="325"/>
      <c r="L8" s="325"/>
      <c r="M8" s="326"/>
      <c r="N8" s="64"/>
      <c r="P8" s="24" t="s">
        <v>18</v>
      </c>
      <c r="Q8" s="356">
        <v>0.45833333333333331</v>
      </c>
      <c r="R8" s="319"/>
      <c r="T8" s="296"/>
      <c r="U8" s="378"/>
      <c r="V8" s="427"/>
      <c r="W8" s="428"/>
      <c r="AB8" s="51"/>
      <c r="AC8" s="51"/>
      <c r="AD8" s="51"/>
      <c r="AE8" s="51"/>
    </row>
    <row r="9" spans="1:32" s="275" customFormat="1" ht="39.950000000000003" customHeight="1" x14ac:dyDescent="0.2">
      <c r="A9" s="36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6"/>
      <c r="C9" s="296"/>
      <c r="D9" s="363"/>
      <c r="E9" s="283"/>
      <c r="F9" s="36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6"/>
      <c r="H9" s="282" t="str">
        <f>IF(AND($A$9="Тип доверенности/получателя при получении в адресе перегруза:",$D$9="Разовая доверенность"),"Введите ФИО","")</f>
        <v/>
      </c>
      <c r="I9" s="283"/>
      <c r="J9" s="28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3"/>
      <c r="L9" s="283"/>
      <c r="M9" s="283"/>
      <c r="N9" s="276"/>
      <c r="P9" s="26" t="s">
        <v>19</v>
      </c>
      <c r="Q9" s="417"/>
      <c r="R9" s="415"/>
      <c r="T9" s="296"/>
      <c r="U9" s="378"/>
      <c r="V9" s="429"/>
      <c r="W9" s="430"/>
      <c r="X9" s="43"/>
      <c r="Y9" s="43"/>
      <c r="Z9" s="43"/>
      <c r="AA9" s="43"/>
      <c r="AB9" s="51"/>
      <c r="AC9" s="51"/>
      <c r="AD9" s="51"/>
      <c r="AE9" s="51"/>
    </row>
    <row r="10" spans="1:32" s="275" customFormat="1" ht="26.45" customHeight="1" x14ac:dyDescent="0.2">
      <c r="A10" s="36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6"/>
      <c r="C10" s="296"/>
      <c r="D10" s="363"/>
      <c r="E10" s="283"/>
      <c r="F10" s="36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6"/>
      <c r="H10" s="413" t="str">
        <f>IFERROR(VLOOKUP($D$10,Proxy,2,FALSE),"")</f>
        <v/>
      </c>
      <c r="I10" s="296"/>
      <c r="J10" s="296"/>
      <c r="K10" s="296"/>
      <c r="L10" s="296"/>
      <c r="M10" s="296"/>
      <c r="N10" s="274"/>
      <c r="P10" s="26" t="s">
        <v>20</v>
      </c>
      <c r="Q10" s="386"/>
      <c r="R10" s="387"/>
      <c r="U10" s="24" t="s">
        <v>21</v>
      </c>
      <c r="V10" s="298" t="s">
        <v>22</v>
      </c>
      <c r="W10" s="299"/>
      <c r="X10" s="44"/>
      <c r="Y10" s="44"/>
      <c r="Z10" s="44"/>
      <c r="AA10" s="44"/>
      <c r="AB10" s="51"/>
      <c r="AC10" s="51"/>
      <c r="AD10" s="51"/>
      <c r="AE10" s="51"/>
    </row>
    <row r="11" spans="1:32" s="27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418"/>
      <c r="R11" s="381"/>
      <c r="U11" s="24" t="s">
        <v>25</v>
      </c>
      <c r="V11" s="414" t="s">
        <v>26</v>
      </c>
      <c r="W11" s="415"/>
      <c r="X11" s="45"/>
      <c r="Y11" s="45"/>
      <c r="Z11" s="45"/>
      <c r="AA11" s="45"/>
      <c r="AB11" s="51"/>
      <c r="AC11" s="51"/>
      <c r="AD11" s="51"/>
      <c r="AE11" s="51"/>
    </row>
    <row r="12" spans="1:32" s="275" customFormat="1" ht="18.600000000000001" customHeight="1" x14ac:dyDescent="0.2">
      <c r="A12" s="335" t="s">
        <v>27</v>
      </c>
      <c r="B12" s="336"/>
      <c r="C12" s="336"/>
      <c r="D12" s="336"/>
      <c r="E12" s="336"/>
      <c r="F12" s="336"/>
      <c r="G12" s="336"/>
      <c r="H12" s="336"/>
      <c r="I12" s="336"/>
      <c r="J12" s="336"/>
      <c r="K12" s="336"/>
      <c r="L12" s="336"/>
      <c r="M12" s="337"/>
      <c r="N12" s="65"/>
      <c r="P12" s="24" t="s">
        <v>28</v>
      </c>
      <c r="Q12" s="356"/>
      <c r="R12" s="319"/>
      <c r="S12" s="23"/>
      <c r="U12" s="24"/>
      <c r="V12" s="303"/>
      <c r="W12" s="296"/>
      <c r="AB12" s="51"/>
      <c r="AC12" s="51"/>
      <c r="AD12" s="51"/>
      <c r="AE12" s="51"/>
    </row>
    <row r="13" spans="1:32" s="275" customFormat="1" ht="23.25" customHeight="1" x14ac:dyDescent="0.2">
      <c r="A13" s="335" t="s">
        <v>29</v>
      </c>
      <c r="B13" s="336"/>
      <c r="C13" s="336"/>
      <c r="D13" s="336"/>
      <c r="E13" s="336"/>
      <c r="F13" s="336"/>
      <c r="G13" s="336"/>
      <c r="H13" s="336"/>
      <c r="I13" s="336"/>
      <c r="J13" s="336"/>
      <c r="K13" s="336"/>
      <c r="L13" s="336"/>
      <c r="M13" s="337"/>
      <c r="N13" s="65"/>
      <c r="O13" s="26"/>
      <c r="P13" s="26" t="s">
        <v>30</v>
      </c>
      <c r="Q13" s="414"/>
      <c r="R13" s="41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5" customFormat="1" ht="18.600000000000001" customHeight="1" x14ac:dyDescent="0.2">
      <c r="A14" s="335" t="s">
        <v>31</v>
      </c>
      <c r="B14" s="336"/>
      <c r="C14" s="336"/>
      <c r="D14" s="336"/>
      <c r="E14" s="336"/>
      <c r="F14" s="336"/>
      <c r="G14" s="336"/>
      <c r="H14" s="336"/>
      <c r="I14" s="336"/>
      <c r="J14" s="336"/>
      <c r="K14" s="336"/>
      <c r="L14" s="336"/>
      <c r="M14" s="337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5" customFormat="1" ht="22.5" customHeight="1" x14ac:dyDescent="0.2">
      <c r="A15" s="389" t="s">
        <v>32</v>
      </c>
      <c r="B15" s="336"/>
      <c r="C15" s="336"/>
      <c r="D15" s="336"/>
      <c r="E15" s="336"/>
      <c r="F15" s="336"/>
      <c r="G15" s="336"/>
      <c r="H15" s="336"/>
      <c r="I15" s="336"/>
      <c r="J15" s="336"/>
      <c r="K15" s="336"/>
      <c r="L15" s="336"/>
      <c r="M15" s="337"/>
      <c r="N15" s="66"/>
      <c r="P15" s="332" t="s">
        <v>33</v>
      </c>
      <c r="Q15" s="303"/>
      <c r="R15" s="303"/>
      <c r="S15" s="303"/>
      <c r="T15" s="30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33"/>
      <c r="Q16" s="333"/>
      <c r="R16" s="333"/>
      <c r="S16" s="333"/>
      <c r="T16" s="33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3" t="s">
        <v>34</v>
      </c>
      <c r="B17" s="293" t="s">
        <v>35</v>
      </c>
      <c r="C17" s="361" t="s">
        <v>36</v>
      </c>
      <c r="D17" s="293" t="s">
        <v>37</v>
      </c>
      <c r="E17" s="349"/>
      <c r="F17" s="293" t="s">
        <v>38</v>
      </c>
      <c r="G17" s="293" t="s">
        <v>39</v>
      </c>
      <c r="H17" s="293" t="s">
        <v>40</v>
      </c>
      <c r="I17" s="293" t="s">
        <v>41</v>
      </c>
      <c r="J17" s="293" t="s">
        <v>42</v>
      </c>
      <c r="K17" s="293" t="s">
        <v>43</v>
      </c>
      <c r="L17" s="293" t="s">
        <v>44</v>
      </c>
      <c r="M17" s="293" t="s">
        <v>45</v>
      </c>
      <c r="N17" s="293" t="s">
        <v>46</v>
      </c>
      <c r="O17" s="293" t="s">
        <v>47</v>
      </c>
      <c r="P17" s="293" t="s">
        <v>48</v>
      </c>
      <c r="Q17" s="348"/>
      <c r="R17" s="348"/>
      <c r="S17" s="348"/>
      <c r="T17" s="349"/>
      <c r="U17" s="461" t="s">
        <v>49</v>
      </c>
      <c r="V17" s="337"/>
      <c r="W17" s="293" t="s">
        <v>50</v>
      </c>
      <c r="X17" s="293" t="s">
        <v>51</v>
      </c>
      <c r="Y17" s="462" t="s">
        <v>52</v>
      </c>
      <c r="Z17" s="467" t="s">
        <v>53</v>
      </c>
      <c r="AA17" s="401" t="s">
        <v>54</v>
      </c>
      <c r="AB17" s="401" t="s">
        <v>55</v>
      </c>
      <c r="AC17" s="401" t="s">
        <v>56</v>
      </c>
      <c r="AD17" s="401" t="s">
        <v>57</v>
      </c>
      <c r="AE17" s="444"/>
      <c r="AF17" s="445"/>
      <c r="AG17" s="69"/>
      <c r="BD17" s="68" t="s">
        <v>58</v>
      </c>
    </row>
    <row r="18" spans="1:68" ht="14.25" customHeight="1" x14ac:dyDescent="0.2">
      <c r="A18" s="294"/>
      <c r="B18" s="294"/>
      <c r="C18" s="294"/>
      <c r="D18" s="350"/>
      <c r="E18" s="352"/>
      <c r="F18" s="294"/>
      <c r="G18" s="294"/>
      <c r="H18" s="294"/>
      <c r="I18" s="294"/>
      <c r="J18" s="294"/>
      <c r="K18" s="294"/>
      <c r="L18" s="294"/>
      <c r="M18" s="294"/>
      <c r="N18" s="294"/>
      <c r="O18" s="294"/>
      <c r="P18" s="350"/>
      <c r="Q18" s="351"/>
      <c r="R18" s="351"/>
      <c r="S18" s="351"/>
      <c r="T18" s="352"/>
      <c r="U18" s="70" t="s">
        <v>59</v>
      </c>
      <c r="V18" s="70" t="s">
        <v>60</v>
      </c>
      <c r="W18" s="294"/>
      <c r="X18" s="294"/>
      <c r="Y18" s="463"/>
      <c r="Z18" s="468"/>
      <c r="AA18" s="402"/>
      <c r="AB18" s="402"/>
      <c r="AC18" s="402"/>
      <c r="AD18" s="446"/>
      <c r="AE18" s="447"/>
      <c r="AF18" s="448"/>
      <c r="AG18" s="69"/>
      <c r="BD18" s="68"/>
    </row>
    <row r="19" spans="1:68" ht="27.75" hidden="1" customHeight="1" x14ac:dyDescent="0.2">
      <c r="A19" s="338" t="s">
        <v>61</v>
      </c>
      <c r="B19" s="339"/>
      <c r="C19" s="339"/>
      <c r="D19" s="339"/>
      <c r="E19" s="339"/>
      <c r="F19" s="339"/>
      <c r="G19" s="339"/>
      <c r="H19" s="339"/>
      <c r="I19" s="339"/>
      <c r="J19" s="339"/>
      <c r="K19" s="339"/>
      <c r="L19" s="339"/>
      <c r="M19" s="339"/>
      <c r="N19" s="339"/>
      <c r="O19" s="339"/>
      <c r="P19" s="339"/>
      <c r="Q19" s="339"/>
      <c r="R19" s="339"/>
      <c r="S19" s="339"/>
      <c r="T19" s="339"/>
      <c r="U19" s="339"/>
      <c r="V19" s="339"/>
      <c r="W19" s="339"/>
      <c r="X19" s="339"/>
      <c r="Y19" s="339"/>
      <c r="Z19" s="339"/>
      <c r="AA19" s="48"/>
      <c r="AB19" s="48"/>
      <c r="AC19" s="48"/>
    </row>
    <row r="20" spans="1:68" ht="16.5" hidden="1" customHeight="1" x14ac:dyDescent="0.25">
      <c r="A20" s="295" t="s">
        <v>61</v>
      </c>
      <c r="B20" s="296"/>
      <c r="C20" s="296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296"/>
      <c r="O20" s="296"/>
      <c r="P20" s="296"/>
      <c r="Q20" s="296"/>
      <c r="R20" s="296"/>
      <c r="S20" s="296"/>
      <c r="T20" s="296"/>
      <c r="U20" s="296"/>
      <c r="V20" s="296"/>
      <c r="W20" s="296"/>
      <c r="X20" s="296"/>
      <c r="Y20" s="296"/>
      <c r="Z20" s="296"/>
      <c r="AA20" s="273"/>
      <c r="AB20" s="273"/>
      <c r="AC20" s="273"/>
    </row>
    <row r="21" spans="1:68" ht="14.25" hidden="1" customHeight="1" x14ac:dyDescent="0.25">
      <c r="A21" s="310" t="s">
        <v>62</v>
      </c>
      <c r="B21" s="296"/>
      <c r="C21" s="296"/>
      <c r="D21" s="296"/>
      <c r="E21" s="296"/>
      <c r="F21" s="296"/>
      <c r="G21" s="296"/>
      <c r="H21" s="296"/>
      <c r="I21" s="296"/>
      <c r="J21" s="296"/>
      <c r="K21" s="296"/>
      <c r="L21" s="296"/>
      <c r="M21" s="296"/>
      <c r="N21" s="296"/>
      <c r="O21" s="296"/>
      <c r="P21" s="296"/>
      <c r="Q21" s="296"/>
      <c r="R21" s="296"/>
      <c r="S21" s="296"/>
      <c r="T21" s="296"/>
      <c r="U21" s="296"/>
      <c r="V21" s="296"/>
      <c r="W21" s="296"/>
      <c r="X21" s="296"/>
      <c r="Y21" s="296"/>
      <c r="Z21" s="296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4">
        <v>4620207491508</v>
      </c>
      <c r="E22" s="285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66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0"/>
      <c r="R22" s="290"/>
      <c r="S22" s="290"/>
      <c r="T22" s="291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4301071112</v>
      </c>
      <c r="D23" s="284">
        <v>4620207491256</v>
      </c>
      <c r="E23" s="285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3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0"/>
      <c r="R23" s="290"/>
      <c r="S23" s="290"/>
      <c r="T23" s="291"/>
      <c r="U23" s="34"/>
      <c r="V23" s="34"/>
      <c r="W23" s="35" t="s">
        <v>68</v>
      </c>
      <c r="X23" s="278">
        <v>0</v>
      </c>
      <c r="Y23" s="279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4">
        <v>4620207491713</v>
      </c>
      <c r="E24" s="285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00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0"/>
      <c r="R24" s="290"/>
      <c r="S24" s="290"/>
      <c r="T24" s="291"/>
      <c r="U24" s="34"/>
      <c r="V24" s="34"/>
      <c r="W24" s="35" t="s">
        <v>68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84">
        <v>4620207491720</v>
      </c>
      <c r="E25" s="285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59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0"/>
      <c r="R25" s="290"/>
      <c r="S25" s="290"/>
      <c r="T25" s="291"/>
      <c r="U25" s="34"/>
      <c r="V25" s="34"/>
      <c r="W25" s="35" t="s">
        <v>68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4">
        <v>4607111035912</v>
      </c>
      <c r="E26" s="285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0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0"/>
      <c r="R26" s="290"/>
      <c r="S26" s="290"/>
      <c r="T26" s="291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84">
        <v>4607111035929</v>
      </c>
      <c r="E27" s="285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1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0"/>
      <c r="R27" s="290"/>
      <c r="S27" s="290"/>
      <c r="T27" s="291"/>
      <c r="U27" s="34"/>
      <c r="V27" s="34"/>
      <c r="W27" s="35" t="s">
        <v>68</v>
      </c>
      <c r="X27" s="278">
        <v>12</v>
      </c>
      <c r="Y27" s="279">
        <f t="shared" si="0"/>
        <v>12</v>
      </c>
      <c r="Z27" s="36">
        <f t="shared" si="1"/>
        <v>0.186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4">
        <v>4607111035882</v>
      </c>
      <c r="E28" s="285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04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0"/>
      <c r="R28" s="290"/>
      <c r="S28" s="290"/>
      <c r="T28" s="291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84">
        <v>4607111035905</v>
      </c>
      <c r="E29" s="285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2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0"/>
      <c r="R29" s="290"/>
      <c r="S29" s="290"/>
      <c r="T29" s="291"/>
      <c r="U29" s="34"/>
      <c r="V29" s="34"/>
      <c r="W29" s="35" t="s">
        <v>68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307"/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308"/>
      <c r="P30" s="286" t="s">
        <v>87</v>
      </c>
      <c r="Q30" s="287"/>
      <c r="R30" s="287"/>
      <c r="S30" s="287"/>
      <c r="T30" s="287"/>
      <c r="U30" s="287"/>
      <c r="V30" s="288"/>
      <c r="W30" s="37" t="s">
        <v>68</v>
      </c>
      <c r="X30" s="280">
        <f>IFERROR(SUM(X22:X29),"0")</f>
        <v>12</v>
      </c>
      <c r="Y30" s="280">
        <f>IFERROR(SUM(Y22:Y29),"0")</f>
        <v>12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0.186</v>
      </c>
      <c r="AA30" s="281"/>
      <c r="AB30" s="281"/>
      <c r="AC30" s="281"/>
    </row>
    <row r="31" spans="1:68" x14ac:dyDescent="0.2">
      <c r="A31" s="296"/>
      <c r="B31" s="296"/>
      <c r="C31" s="296"/>
      <c r="D31" s="296"/>
      <c r="E31" s="296"/>
      <c r="F31" s="296"/>
      <c r="G31" s="296"/>
      <c r="H31" s="296"/>
      <c r="I31" s="296"/>
      <c r="J31" s="296"/>
      <c r="K31" s="296"/>
      <c r="L31" s="296"/>
      <c r="M31" s="296"/>
      <c r="N31" s="296"/>
      <c r="O31" s="308"/>
      <c r="P31" s="286" t="s">
        <v>87</v>
      </c>
      <c r="Q31" s="287"/>
      <c r="R31" s="287"/>
      <c r="S31" s="287"/>
      <c r="T31" s="287"/>
      <c r="U31" s="287"/>
      <c r="V31" s="288"/>
      <c r="W31" s="37" t="s">
        <v>88</v>
      </c>
      <c r="X31" s="280">
        <f>IFERROR(SUMPRODUCT(X22:X29*H22:H29),"0")</f>
        <v>86.4</v>
      </c>
      <c r="Y31" s="280">
        <f>IFERROR(SUMPRODUCT(Y22:Y29*H22:H29),"0")</f>
        <v>86.4</v>
      </c>
      <c r="Z31" s="37"/>
      <c r="AA31" s="281"/>
      <c r="AB31" s="281"/>
      <c r="AC31" s="281"/>
    </row>
    <row r="32" spans="1:68" ht="16.5" hidden="1" customHeight="1" x14ac:dyDescent="0.25">
      <c r="A32" s="295" t="s">
        <v>89</v>
      </c>
      <c r="B32" s="296"/>
      <c r="C32" s="296"/>
      <c r="D32" s="296"/>
      <c r="E32" s="296"/>
      <c r="F32" s="296"/>
      <c r="G32" s="296"/>
      <c r="H32" s="296"/>
      <c r="I32" s="296"/>
      <c r="J32" s="296"/>
      <c r="K32" s="296"/>
      <c r="L32" s="296"/>
      <c r="M32" s="296"/>
      <c r="N32" s="296"/>
      <c r="O32" s="296"/>
      <c r="P32" s="296"/>
      <c r="Q32" s="296"/>
      <c r="R32" s="296"/>
      <c r="S32" s="296"/>
      <c r="T32" s="296"/>
      <c r="U32" s="296"/>
      <c r="V32" s="296"/>
      <c r="W32" s="296"/>
      <c r="X32" s="296"/>
      <c r="Y32" s="296"/>
      <c r="Z32" s="296"/>
      <c r="AA32" s="273"/>
      <c r="AB32" s="273"/>
      <c r="AC32" s="273"/>
    </row>
    <row r="33" spans="1:68" ht="14.25" hidden="1" customHeight="1" x14ac:dyDescent="0.25">
      <c r="A33" s="310" t="s">
        <v>62</v>
      </c>
      <c r="B33" s="296"/>
      <c r="C33" s="296"/>
      <c r="D33" s="296"/>
      <c r="E33" s="296"/>
      <c r="F33" s="296"/>
      <c r="G33" s="296"/>
      <c r="H33" s="296"/>
      <c r="I33" s="296"/>
      <c r="J33" s="296"/>
      <c r="K33" s="296"/>
      <c r="L33" s="296"/>
      <c r="M33" s="296"/>
      <c r="N33" s="296"/>
      <c r="O33" s="296"/>
      <c r="P33" s="296"/>
      <c r="Q33" s="296"/>
      <c r="R33" s="296"/>
      <c r="S33" s="296"/>
      <c r="T33" s="296"/>
      <c r="U33" s="296"/>
      <c r="V33" s="296"/>
      <c r="W33" s="296"/>
      <c r="X33" s="296"/>
      <c r="Y33" s="296"/>
      <c r="Z33" s="296"/>
      <c r="AA33" s="272"/>
      <c r="AB33" s="272"/>
      <c r="AC33" s="272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84">
        <v>4607111039019</v>
      </c>
      <c r="E34" s="285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0"/>
      <c r="R34" s="290"/>
      <c r="S34" s="290"/>
      <c r="T34" s="291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84">
        <v>4607111038708</v>
      </c>
      <c r="E35" s="285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2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0"/>
      <c r="R35" s="290"/>
      <c r="S35" s="290"/>
      <c r="T35" s="291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307"/>
      <c r="B36" s="296"/>
      <c r="C36" s="296"/>
      <c r="D36" s="296"/>
      <c r="E36" s="296"/>
      <c r="F36" s="296"/>
      <c r="G36" s="296"/>
      <c r="H36" s="296"/>
      <c r="I36" s="296"/>
      <c r="J36" s="296"/>
      <c r="K36" s="296"/>
      <c r="L36" s="296"/>
      <c r="M36" s="296"/>
      <c r="N36" s="296"/>
      <c r="O36" s="308"/>
      <c r="P36" s="286" t="s">
        <v>87</v>
      </c>
      <c r="Q36" s="287"/>
      <c r="R36" s="287"/>
      <c r="S36" s="287"/>
      <c r="T36" s="287"/>
      <c r="U36" s="287"/>
      <c r="V36" s="288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96"/>
      <c r="B37" s="296"/>
      <c r="C37" s="296"/>
      <c r="D37" s="296"/>
      <c r="E37" s="296"/>
      <c r="F37" s="296"/>
      <c r="G37" s="296"/>
      <c r="H37" s="296"/>
      <c r="I37" s="296"/>
      <c r="J37" s="296"/>
      <c r="K37" s="296"/>
      <c r="L37" s="296"/>
      <c r="M37" s="296"/>
      <c r="N37" s="296"/>
      <c r="O37" s="308"/>
      <c r="P37" s="286" t="s">
        <v>87</v>
      </c>
      <c r="Q37" s="287"/>
      <c r="R37" s="287"/>
      <c r="S37" s="287"/>
      <c r="T37" s="287"/>
      <c r="U37" s="287"/>
      <c r="V37" s="288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hidden="1" customHeight="1" x14ac:dyDescent="0.2">
      <c r="A38" s="338" t="s">
        <v>95</v>
      </c>
      <c r="B38" s="339"/>
      <c r="C38" s="339"/>
      <c r="D38" s="339"/>
      <c r="E38" s="339"/>
      <c r="F38" s="339"/>
      <c r="G38" s="339"/>
      <c r="H38" s="339"/>
      <c r="I38" s="339"/>
      <c r="J38" s="339"/>
      <c r="K38" s="339"/>
      <c r="L38" s="339"/>
      <c r="M38" s="339"/>
      <c r="N38" s="339"/>
      <c r="O38" s="339"/>
      <c r="P38" s="339"/>
      <c r="Q38" s="339"/>
      <c r="R38" s="339"/>
      <c r="S38" s="339"/>
      <c r="T38" s="339"/>
      <c r="U38" s="339"/>
      <c r="V38" s="339"/>
      <c r="W38" s="339"/>
      <c r="X38" s="339"/>
      <c r="Y38" s="339"/>
      <c r="Z38" s="339"/>
      <c r="AA38" s="48"/>
      <c r="AB38" s="48"/>
      <c r="AC38" s="48"/>
    </row>
    <row r="39" spans="1:68" ht="16.5" hidden="1" customHeight="1" x14ac:dyDescent="0.25">
      <c r="A39" s="295" t="s">
        <v>96</v>
      </c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6"/>
      <c r="P39" s="296"/>
      <c r="Q39" s="296"/>
      <c r="R39" s="296"/>
      <c r="S39" s="296"/>
      <c r="T39" s="296"/>
      <c r="U39" s="296"/>
      <c r="V39" s="296"/>
      <c r="W39" s="296"/>
      <c r="X39" s="296"/>
      <c r="Y39" s="296"/>
      <c r="Z39" s="296"/>
      <c r="AA39" s="273"/>
      <c r="AB39" s="273"/>
      <c r="AC39" s="273"/>
    </row>
    <row r="40" spans="1:68" ht="14.25" hidden="1" customHeight="1" x14ac:dyDescent="0.25">
      <c r="A40" s="310" t="s">
        <v>97</v>
      </c>
      <c r="B40" s="296"/>
      <c r="C40" s="296"/>
      <c r="D40" s="296"/>
      <c r="E40" s="296"/>
      <c r="F40" s="296"/>
      <c r="G40" s="296"/>
      <c r="H40" s="296"/>
      <c r="I40" s="296"/>
      <c r="J40" s="296"/>
      <c r="K40" s="296"/>
      <c r="L40" s="296"/>
      <c r="M40" s="296"/>
      <c r="N40" s="296"/>
      <c r="O40" s="296"/>
      <c r="P40" s="296"/>
      <c r="Q40" s="296"/>
      <c r="R40" s="296"/>
      <c r="S40" s="296"/>
      <c r="T40" s="296"/>
      <c r="U40" s="296"/>
      <c r="V40" s="296"/>
      <c r="W40" s="296"/>
      <c r="X40" s="296"/>
      <c r="Y40" s="296"/>
      <c r="Z40" s="296"/>
      <c r="AA40" s="272"/>
      <c r="AB40" s="272"/>
      <c r="AC40" s="272"/>
    </row>
    <row r="41" spans="1:68" ht="27" hidden="1" customHeight="1" x14ac:dyDescent="0.25">
      <c r="A41" s="54" t="s">
        <v>98</v>
      </c>
      <c r="B41" s="54" t="s">
        <v>99</v>
      </c>
      <c r="C41" s="31">
        <v>4301132190</v>
      </c>
      <c r="D41" s="284">
        <v>4607111036537</v>
      </c>
      <c r="E41" s="285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39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0"/>
      <c r="R41" s="290"/>
      <c r="S41" s="290"/>
      <c r="T41" s="291"/>
      <c r="U41" s="34"/>
      <c r="V41" s="34"/>
      <c r="W41" s="35" t="s">
        <v>68</v>
      </c>
      <c r="X41" s="278">
        <v>0</v>
      </c>
      <c r="Y41" s="279">
        <f>IFERROR(IF(X41="","",X41),"")</f>
        <v>0</v>
      </c>
      <c r="Z41" s="36">
        <f>IFERROR(IF(X41="","",X41*0.00941),"")</f>
        <v>0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4301132188</v>
      </c>
      <c r="D42" s="284">
        <v>4607111036605</v>
      </c>
      <c r="E42" s="285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4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0"/>
      <c r="R42" s="290"/>
      <c r="S42" s="290"/>
      <c r="T42" s="291"/>
      <c r="U42" s="34"/>
      <c r="V42" s="34"/>
      <c r="W42" s="35" t="s">
        <v>68</v>
      </c>
      <c r="X42" s="278">
        <v>0</v>
      </c>
      <c r="Y42" s="279">
        <f>IFERROR(IF(X42="","",X42),"")</f>
        <v>0</v>
      </c>
      <c r="Z42" s="36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idden="1" x14ac:dyDescent="0.2">
      <c r="A43" s="307"/>
      <c r="B43" s="296"/>
      <c r="C43" s="296"/>
      <c r="D43" s="296"/>
      <c r="E43" s="296"/>
      <c r="F43" s="296"/>
      <c r="G43" s="296"/>
      <c r="H43" s="296"/>
      <c r="I43" s="296"/>
      <c r="J43" s="296"/>
      <c r="K43" s="296"/>
      <c r="L43" s="296"/>
      <c r="M43" s="296"/>
      <c r="N43" s="296"/>
      <c r="O43" s="308"/>
      <c r="P43" s="286" t="s">
        <v>87</v>
      </c>
      <c r="Q43" s="287"/>
      <c r="R43" s="287"/>
      <c r="S43" s="287"/>
      <c r="T43" s="287"/>
      <c r="U43" s="287"/>
      <c r="V43" s="288"/>
      <c r="W43" s="37" t="s">
        <v>68</v>
      </c>
      <c r="X43" s="280">
        <f>IFERROR(SUM(X41:X42),"0")</f>
        <v>0</v>
      </c>
      <c r="Y43" s="280">
        <f>IFERROR(SUM(Y41:Y42),"0")</f>
        <v>0</v>
      </c>
      <c r="Z43" s="280">
        <f>IFERROR(IF(Z41="",0,Z41),"0")+IFERROR(IF(Z42="",0,Z42),"0")</f>
        <v>0</v>
      </c>
      <c r="AA43" s="281"/>
      <c r="AB43" s="281"/>
      <c r="AC43" s="281"/>
    </row>
    <row r="44" spans="1:68" hidden="1" x14ac:dyDescent="0.2">
      <c r="A44" s="296"/>
      <c r="B44" s="296"/>
      <c r="C44" s="296"/>
      <c r="D44" s="296"/>
      <c r="E44" s="296"/>
      <c r="F44" s="296"/>
      <c r="G44" s="296"/>
      <c r="H44" s="296"/>
      <c r="I44" s="296"/>
      <c r="J44" s="296"/>
      <c r="K44" s="296"/>
      <c r="L44" s="296"/>
      <c r="M44" s="296"/>
      <c r="N44" s="296"/>
      <c r="O44" s="308"/>
      <c r="P44" s="286" t="s">
        <v>87</v>
      </c>
      <c r="Q44" s="287"/>
      <c r="R44" s="287"/>
      <c r="S44" s="287"/>
      <c r="T44" s="287"/>
      <c r="U44" s="287"/>
      <c r="V44" s="288"/>
      <c r="W44" s="37" t="s">
        <v>88</v>
      </c>
      <c r="X44" s="280">
        <f>IFERROR(SUMPRODUCT(X41:X42*H41:H42),"0")</f>
        <v>0</v>
      </c>
      <c r="Y44" s="280">
        <f>IFERROR(SUMPRODUCT(Y41:Y42*H41:H42),"0")</f>
        <v>0</v>
      </c>
      <c r="Z44" s="37"/>
      <c r="AA44" s="281"/>
      <c r="AB44" s="281"/>
      <c r="AC44" s="281"/>
    </row>
    <row r="45" spans="1:68" ht="16.5" hidden="1" customHeight="1" x14ac:dyDescent="0.25">
      <c r="A45" s="295" t="s">
        <v>107</v>
      </c>
      <c r="B45" s="296"/>
      <c r="C45" s="296"/>
      <c r="D45" s="296"/>
      <c r="E45" s="296"/>
      <c r="F45" s="296"/>
      <c r="G45" s="296"/>
      <c r="H45" s="296"/>
      <c r="I45" s="296"/>
      <c r="J45" s="296"/>
      <c r="K45" s="296"/>
      <c r="L45" s="296"/>
      <c r="M45" s="296"/>
      <c r="N45" s="296"/>
      <c r="O45" s="296"/>
      <c r="P45" s="296"/>
      <c r="Q45" s="296"/>
      <c r="R45" s="296"/>
      <c r="S45" s="296"/>
      <c r="T45" s="296"/>
      <c r="U45" s="296"/>
      <c r="V45" s="296"/>
      <c r="W45" s="296"/>
      <c r="X45" s="296"/>
      <c r="Y45" s="296"/>
      <c r="Z45" s="296"/>
      <c r="AA45" s="273"/>
      <c r="AB45" s="273"/>
      <c r="AC45" s="273"/>
    </row>
    <row r="46" spans="1:68" ht="14.25" hidden="1" customHeight="1" x14ac:dyDescent="0.25">
      <c r="A46" s="310" t="s">
        <v>62</v>
      </c>
      <c r="B46" s="296"/>
      <c r="C46" s="296"/>
      <c r="D46" s="296"/>
      <c r="E46" s="296"/>
      <c r="F46" s="296"/>
      <c r="G46" s="296"/>
      <c r="H46" s="296"/>
      <c r="I46" s="296"/>
      <c r="J46" s="296"/>
      <c r="K46" s="296"/>
      <c r="L46" s="296"/>
      <c r="M46" s="296"/>
      <c r="N46" s="296"/>
      <c r="O46" s="296"/>
      <c r="P46" s="296"/>
      <c r="Q46" s="296"/>
      <c r="R46" s="296"/>
      <c r="S46" s="296"/>
      <c r="T46" s="296"/>
      <c r="U46" s="296"/>
      <c r="V46" s="296"/>
      <c r="W46" s="296"/>
      <c r="X46" s="296"/>
      <c r="Y46" s="296"/>
      <c r="Z46" s="296"/>
      <c r="AA46" s="272"/>
      <c r="AB46" s="272"/>
      <c r="AC46" s="272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284">
        <v>4620207490075</v>
      </c>
      <c r="E47" s="285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4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0"/>
      <c r="R47" s="290"/>
      <c r="S47" s="290"/>
      <c r="T47" s="291"/>
      <c r="U47" s="34"/>
      <c r="V47" s="34"/>
      <c r="W47" s="35" t="s">
        <v>68</v>
      </c>
      <c r="X47" s="278">
        <v>36</v>
      </c>
      <c r="Y47" s="279">
        <f>IFERROR(IF(X47="","",X47),"")</f>
        <v>36</v>
      </c>
      <c r="Z47" s="36">
        <f>IFERROR(IF(X47="","",X47*0.0155),"")</f>
        <v>0.55800000000000005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211.32</v>
      </c>
      <c r="BN47" s="67">
        <f>IFERROR(Y47*I47,"0")</f>
        <v>211.32</v>
      </c>
      <c r="BO47" s="67">
        <f>IFERROR(X47/J47,"0")</f>
        <v>0.42857142857142855</v>
      </c>
      <c r="BP47" s="67">
        <f>IFERROR(Y47/J47,"0")</f>
        <v>0.42857142857142855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284">
        <v>4620207490174</v>
      </c>
      <c r="E48" s="285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1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0"/>
      <c r="R48" s="290"/>
      <c r="S48" s="290"/>
      <c r="T48" s="291"/>
      <c r="U48" s="34"/>
      <c r="V48" s="34"/>
      <c r="W48" s="35" t="s">
        <v>68</v>
      </c>
      <c r="X48" s="278">
        <v>24</v>
      </c>
      <c r="Y48" s="279">
        <f>IFERROR(IF(X48="","",X48),"")</f>
        <v>24</v>
      </c>
      <c r="Z48" s="36">
        <f>IFERROR(IF(X48="","",X48*0.0155),"")</f>
        <v>0.372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140.88</v>
      </c>
      <c r="BN48" s="67">
        <f>IFERROR(Y48*I48,"0")</f>
        <v>140.88</v>
      </c>
      <c r="BO48" s="67">
        <f>IFERROR(X48/J48,"0")</f>
        <v>0.2857142857142857</v>
      </c>
      <c r="BP48" s="67">
        <f>IFERROR(Y48/J48,"0")</f>
        <v>0.2857142857142857</v>
      </c>
    </row>
    <row r="49" spans="1:68" x14ac:dyDescent="0.2">
      <c r="A49" s="307"/>
      <c r="B49" s="296"/>
      <c r="C49" s="296"/>
      <c r="D49" s="296"/>
      <c r="E49" s="296"/>
      <c r="F49" s="296"/>
      <c r="G49" s="296"/>
      <c r="H49" s="296"/>
      <c r="I49" s="296"/>
      <c r="J49" s="296"/>
      <c r="K49" s="296"/>
      <c r="L49" s="296"/>
      <c r="M49" s="296"/>
      <c r="N49" s="296"/>
      <c r="O49" s="308"/>
      <c r="P49" s="286" t="s">
        <v>87</v>
      </c>
      <c r="Q49" s="287"/>
      <c r="R49" s="287"/>
      <c r="S49" s="287"/>
      <c r="T49" s="287"/>
      <c r="U49" s="287"/>
      <c r="V49" s="288"/>
      <c r="W49" s="37" t="s">
        <v>68</v>
      </c>
      <c r="X49" s="280">
        <f>IFERROR(SUM(X47:X48),"0")</f>
        <v>60</v>
      </c>
      <c r="Y49" s="280">
        <f>IFERROR(SUM(Y47:Y48),"0")</f>
        <v>60</v>
      </c>
      <c r="Z49" s="280">
        <f>IFERROR(IF(Z47="",0,Z47),"0")+IFERROR(IF(Z48="",0,Z48),"0")</f>
        <v>0.93</v>
      </c>
      <c r="AA49" s="281"/>
      <c r="AB49" s="281"/>
      <c r="AC49" s="281"/>
    </row>
    <row r="50" spans="1:68" x14ac:dyDescent="0.2">
      <c r="A50" s="296"/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  <c r="N50" s="296"/>
      <c r="O50" s="308"/>
      <c r="P50" s="286" t="s">
        <v>87</v>
      </c>
      <c r="Q50" s="287"/>
      <c r="R50" s="287"/>
      <c r="S50" s="287"/>
      <c r="T50" s="287"/>
      <c r="U50" s="287"/>
      <c r="V50" s="288"/>
      <c r="W50" s="37" t="s">
        <v>88</v>
      </c>
      <c r="X50" s="280">
        <f>IFERROR(SUMPRODUCT(X47:X48*H47:H48),"0")</f>
        <v>336</v>
      </c>
      <c r="Y50" s="280">
        <f>IFERROR(SUMPRODUCT(Y47:Y48*H47:H48),"0")</f>
        <v>336</v>
      </c>
      <c r="Z50" s="37"/>
      <c r="AA50" s="281"/>
      <c r="AB50" s="281"/>
      <c r="AC50" s="281"/>
    </row>
    <row r="51" spans="1:68" ht="16.5" hidden="1" customHeight="1" x14ac:dyDescent="0.25">
      <c r="A51" s="295" t="s">
        <v>114</v>
      </c>
      <c r="B51" s="296"/>
      <c r="C51" s="296"/>
      <c r="D51" s="296"/>
      <c r="E51" s="296"/>
      <c r="F51" s="296"/>
      <c r="G51" s="296"/>
      <c r="H51" s="296"/>
      <c r="I51" s="296"/>
      <c r="J51" s="296"/>
      <c r="K51" s="296"/>
      <c r="L51" s="296"/>
      <c r="M51" s="296"/>
      <c r="N51" s="296"/>
      <c r="O51" s="296"/>
      <c r="P51" s="296"/>
      <c r="Q51" s="296"/>
      <c r="R51" s="296"/>
      <c r="S51" s="296"/>
      <c r="T51" s="296"/>
      <c r="U51" s="296"/>
      <c r="V51" s="296"/>
      <c r="W51" s="296"/>
      <c r="X51" s="296"/>
      <c r="Y51" s="296"/>
      <c r="Z51" s="296"/>
      <c r="AA51" s="273"/>
      <c r="AB51" s="273"/>
      <c r="AC51" s="273"/>
    </row>
    <row r="52" spans="1:68" ht="14.25" hidden="1" customHeight="1" x14ac:dyDescent="0.25">
      <c r="A52" s="310" t="s">
        <v>62</v>
      </c>
      <c r="B52" s="296"/>
      <c r="C52" s="296"/>
      <c r="D52" s="296"/>
      <c r="E52" s="296"/>
      <c r="F52" s="296"/>
      <c r="G52" s="296"/>
      <c r="H52" s="296"/>
      <c r="I52" s="296"/>
      <c r="J52" s="296"/>
      <c r="K52" s="296"/>
      <c r="L52" s="296"/>
      <c r="M52" s="296"/>
      <c r="N52" s="296"/>
      <c r="O52" s="296"/>
      <c r="P52" s="296"/>
      <c r="Q52" s="296"/>
      <c r="R52" s="296"/>
      <c r="S52" s="296"/>
      <c r="T52" s="296"/>
      <c r="U52" s="296"/>
      <c r="V52" s="296"/>
      <c r="W52" s="296"/>
      <c r="X52" s="296"/>
      <c r="Y52" s="296"/>
      <c r="Z52" s="296"/>
      <c r="AA52" s="272"/>
      <c r="AB52" s="272"/>
      <c r="AC52" s="272"/>
    </row>
    <row r="53" spans="1:68" ht="27" hidden="1" customHeight="1" x14ac:dyDescent="0.25">
      <c r="A53" s="54" t="s">
        <v>115</v>
      </c>
      <c r="B53" s="54" t="s">
        <v>116</v>
      </c>
      <c r="C53" s="31">
        <v>4301071044</v>
      </c>
      <c r="D53" s="284">
        <v>4607111039385</v>
      </c>
      <c r="E53" s="285"/>
      <c r="F53" s="277">
        <v>0.7</v>
      </c>
      <c r="G53" s="32">
        <v>10</v>
      </c>
      <c r="H53" s="277">
        <v>7</v>
      </c>
      <c r="I53" s="277">
        <v>7.3</v>
      </c>
      <c r="J53" s="32">
        <v>84</v>
      </c>
      <c r="K53" s="32" t="s">
        <v>65</v>
      </c>
      <c r="L53" s="32" t="s">
        <v>101</v>
      </c>
      <c r="M53" s="33" t="s">
        <v>67</v>
      </c>
      <c r="N53" s="33"/>
      <c r="O53" s="32">
        <v>180</v>
      </c>
      <c r="P53" s="36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0"/>
      <c r="R53" s="290"/>
      <c r="S53" s="290"/>
      <c r="T53" s="291"/>
      <c r="U53" s="34"/>
      <c r="V53" s="34"/>
      <c r="W53" s="35" t="s">
        <v>68</v>
      </c>
      <c r="X53" s="278">
        <v>0</v>
      </c>
      <c r="Y53" s="279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118</v>
      </c>
      <c r="B54" s="54" t="s">
        <v>119</v>
      </c>
      <c r="C54" s="31">
        <v>4301071031</v>
      </c>
      <c r="D54" s="284">
        <v>4607111038982</v>
      </c>
      <c r="E54" s="285"/>
      <c r="F54" s="277">
        <v>0.7</v>
      </c>
      <c r="G54" s="32">
        <v>10</v>
      </c>
      <c r="H54" s="277">
        <v>7</v>
      </c>
      <c r="I54" s="277">
        <v>7.2859999999999996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0"/>
      <c r="R54" s="290"/>
      <c r="S54" s="290"/>
      <c r="T54" s="291"/>
      <c r="U54" s="34"/>
      <c r="V54" s="34"/>
      <c r="W54" s="35" t="s">
        <v>68</v>
      </c>
      <c r="X54" s="278">
        <v>0</v>
      </c>
      <c r="Y54" s="27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4301071046</v>
      </c>
      <c r="D55" s="284">
        <v>4607111039354</v>
      </c>
      <c r="E55" s="285"/>
      <c r="F55" s="277">
        <v>0.4</v>
      </c>
      <c r="G55" s="32">
        <v>16</v>
      </c>
      <c r="H55" s="277">
        <v>6.4</v>
      </c>
      <c r="I55" s="277">
        <v>6.7195999999999998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5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0"/>
      <c r="R55" s="290"/>
      <c r="S55" s="290"/>
      <c r="T55" s="291"/>
      <c r="U55" s="34"/>
      <c r="V55" s="34"/>
      <c r="W55" s="35" t="s">
        <v>68</v>
      </c>
      <c r="X55" s="278">
        <v>0</v>
      </c>
      <c r="Y55" s="27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hidden="1" customHeight="1" x14ac:dyDescent="0.25">
      <c r="A56" s="54" t="s">
        <v>123</v>
      </c>
      <c r="B56" s="54" t="s">
        <v>124</v>
      </c>
      <c r="C56" s="31">
        <v>4301071047</v>
      </c>
      <c r="D56" s="284">
        <v>4607111039330</v>
      </c>
      <c r="E56" s="285"/>
      <c r="F56" s="277">
        <v>0.7</v>
      </c>
      <c r="G56" s="32">
        <v>10</v>
      </c>
      <c r="H56" s="277">
        <v>7</v>
      </c>
      <c r="I56" s="277">
        <v>7.3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29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0"/>
      <c r="R56" s="290"/>
      <c r="S56" s="290"/>
      <c r="T56" s="291"/>
      <c r="U56" s="34"/>
      <c r="V56" s="34"/>
      <c r="W56" s="35" t="s">
        <v>68</v>
      </c>
      <c r="X56" s="278">
        <v>0</v>
      </c>
      <c r="Y56" s="279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hidden="1" x14ac:dyDescent="0.2">
      <c r="A57" s="307"/>
      <c r="B57" s="296"/>
      <c r="C57" s="296"/>
      <c r="D57" s="296"/>
      <c r="E57" s="296"/>
      <c r="F57" s="296"/>
      <c r="G57" s="296"/>
      <c r="H57" s="296"/>
      <c r="I57" s="296"/>
      <c r="J57" s="296"/>
      <c r="K57" s="296"/>
      <c r="L57" s="296"/>
      <c r="M57" s="296"/>
      <c r="N57" s="296"/>
      <c r="O57" s="308"/>
      <c r="P57" s="286" t="s">
        <v>87</v>
      </c>
      <c r="Q57" s="287"/>
      <c r="R57" s="287"/>
      <c r="S57" s="287"/>
      <c r="T57" s="287"/>
      <c r="U57" s="287"/>
      <c r="V57" s="288"/>
      <c r="W57" s="37" t="s">
        <v>68</v>
      </c>
      <c r="X57" s="280">
        <f>IFERROR(SUM(X53:X56),"0")</f>
        <v>0</v>
      </c>
      <c r="Y57" s="280">
        <f>IFERROR(SUM(Y53:Y56),"0")</f>
        <v>0</v>
      </c>
      <c r="Z57" s="280">
        <f>IFERROR(IF(Z53="",0,Z53),"0")+IFERROR(IF(Z54="",0,Z54),"0")+IFERROR(IF(Z55="",0,Z55),"0")+IFERROR(IF(Z56="",0,Z56),"0")</f>
        <v>0</v>
      </c>
      <c r="AA57" s="281"/>
      <c r="AB57" s="281"/>
      <c r="AC57" s="281"/>
    </row>
    <row r="58" spans="1:68" hidden="1" x14ac:dyDescent="0.2">
      <c r="A58" s="296"/>
      <c r="B58" s="296"/>
      <c r="C58" s="296"/>
      <c r="D58" s="296"/>
      <c r="E58" s="296"/>
      <c r="F58" s="296"/>
      <c r="G58" s="296"/>
      <c r="H58" s="296"/>
      <c r="I58" s="296"/>
      <c r="J58" s="296"/>
      <c r="K58" s="296"/>
      <c r="L58" s="296"/>
      <c r="M58" s="296"/>
      <c r="N58" s="296"/>
      <c r="O58" s="308"/>
      <c r="P58" s="286" t="s">
        <v>87</v>
      </c>
      <c r="Q58" s="287"/>
      <c r="R58" s="287"/>
      <c r="S58" s="287"/>
      <c r="T58" s="287"/>
      <c r="U58" s="287"/>
      <c r="V58" s="288"/>
      <c r="W58" s="37" t="s">
        <v>88</v>
      </c>
      <c r="X58" s="280">
        <f>IFERROR(SUMPRODUCT(X53:X56*H53:H56),"0")</f>
        <v>0</v>
      </c>
      <c r="Y58" s="280">
        <f>IFERROR(SUMPRODUCT(Y53:Y56*H53:H56),"0")</f>
        <v>0</v>
      </c>
      <c r="Z58" s="37"/>
      <c r="AA58" s="281"/>
      <c r="AB58" s="281"/>
      <c r="AC58" s="281"/>
    </row>
    <row r="59" spans="1:68" ht="16.5" hidden="1" customHeight="1" x14ac:dyDescent="0.25">
      <c r="A59" s="295" t="s">
        <v>125</v>
      </c>
      <c r="B59" s="296"/>
      <c r="C59" s="296"/>
      <c r="D59" s="296"/>
      <c r="E59" s="296"/>
      <c r="F59" s="296"/>
      <c r="G59" s="296"/>
      <c r="H59" s="296"/>
      <c r="I59" s="296"/>
      <c r="J59" s="296"/>
      <c r="K59" s="296"/>
      <c r="L59" s="296"/>
      <c r="M59" s="296"/>
      <c r="N59" s="296"/>
      <c r="O59" s="296"/>
      <c r="P59" s="296"/>
      <c r="Q59" s="296"/>
      <c r="R59" s="296"/>
      <c r="S59" s="296"/>
      <c r="T59" s="296"/>
      <c r="U59" s="296"/>
      <c r="V59" s="296"/>
      <c r="W59" s="296"/>
      <c r="X59" s="296"/>
      <c r="Y59" s="296"/>
      <c r="Z59" s="296"/>
      <c r="AA59" s="273"/>
      <c r="AB59" s="273"/>
      <c r="AC59" s="273"/>
    </row>
    <row r="60" spans="1:68" ht="14.25" hidden="1" customHeight="1" x14ac:dyDescent="0.25">
      <c r="A60" s="310" t="s">
        <v>97</v>
      </c>
      <c r="B60" s="296"/>
      <c r="C60" s="296"/>
      <c r="D60" s="296"/>
      <c r="E60" s="296"/>
      <c r="F60" s="296"/>
      <c r="G60" s="296"/>
      <c r="H60" s="296"/>
      <c r="I60" s="296"/>
      <c r="J60" s="296"/>
      <c r="K60" s="296"/>
      <c r="L60" s="296"/>
      <c r="M60" s="296"/>
      <c r="N60" s="296"/>
      <c r="O60" s="296"/>
      <c r="P60" s="296"/>
      <c r="Q60" s="296"/>
      <c r="R60" s="296"/>
      <c r="S60" s="296"/>
      <c r="T60" s="296"/>
      <c r="U60" s="296"/>
      <c r="V60" s="296"/>
      <c r="W60" s="296"/>
      <c r="X60" s="296"/>
      <c r="Y60" s="296"/>
      <c r="Z60" s="296"/>
      <c r="AA60" s="272"/>
      <c r="AB60" s="272"/>
      <c r="AC60" s="272"/>
    </row>
    <row r="61" spans="1:68" ht="27" hidden="1" customHeight="1" x14ac:dyDescent="0.25">
      <c r="A61" s="54" t="s">
        <v>126</v>
      </c>
      <c r="B61" s="54" t="s">
        <v>127</v>
      </c>
      <c r="C61" s="31">
        <v>4301132194</v>
      </c>
      <c r="D61" s="284">
        <v>4607111039712</v>
      </c>
      <c r="E61" s="285"/>
      <c r="F61" s="277">
        <v>0.2</v>
      </c>
      <c r="G61" s="32">
        <v>6</v>
      </c>
      <c r="H61" s="277">
        <v>1.2</v>
      </c>
      <c r="I61" s="277">
        <v>1.56</v>
      </c>
      <c r="J61" s="32">
        <v>140</v>
      </c>
      <c r="K61" s="32" t="s">
        <v>100</v>
      </c>
      <c r="L61" s="32" t="s">
        <v>66</v>
      </c>
      <c r="M61" s="33" t="s">
        <v>67</v>
      </c>
      <c r="N61" s="33"/>
      <c r="O61" s="32">
        <v>365</v>
      </c>
      <c r="P61" s="41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0"/>
      <c r="R61" s="290"/>
      <c r="S61" s="290"/>
      <c r="T61" s="291"/>
      <c r="U61" s="34"/>
      <c r="V61" s="34"/>
      <c r="W61" s="35" t="s">
        <v>68</v>
      </c>
      <c r="X61" s="278">
        <v>0</v>
      </c>
      <c r="Y61" s="279">
        <f>IFERROR(IF(X61="","",X61),"")</f>
        <v>0</v>
      </c>
      <c r="Z61" s="36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307"/>
      <c r="B62" s="296"/>
      <c r="C62" s="296"/>
      <c r="D62" s="296"/>
      <c r="E62" s="296"/>
      <c r="F62" s="296"/>
      <c r="G62" s="296"/>
      <c r="H62" s="296"/>
      <c r="I62" s="296"/>
      <c r="J62" s="296"/>
      <c r="K62" s="296"/>
      <c r="L62" s="296"/>
      <c r="M62" s="296"/>
      <c r="N62" s="296"/>
      <c r="O62" s="308"/>
      <c r="P62" s="286" t="s">
        <v>87</v>
      </c>
      <c r="Q62" s="287"/>
      <c r="R62" s="287"/>
      <c r="S62" s="287"/>
      <c r="T62" s="287"/>
      <c r="U62" s="287"/>
      <c r="V62" s="288"/>
      <c r="W62" s="37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hidden="1" x14ac:dyDescent="0.2">
      <c r="A63" s="296"/>
      <c r="B63" s="296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96"/>
      <c r="N63" s="296"/>
      <c r="O63" s="308"/>
      <c r="P63" s="286" t="s">
        <v>87</v>
      </c>
      <c r="Q63" s="287"/>
      <c r="R63" s="287"/>
      <c r="S63" s="287"/>
      <c r="T63" s="287"/>
      <c r="U63" s="287"/>
      <c r="V63" s="288"/>
      <c r="W63" s="37" t="s">
        <v>88</v>
      </c>
      <c r="X63" s="280">
        <f>IFERROR(SUMPRODUCT(X61:X61*H61:H61),"0")</f>
        <v>0</v>
      </c>
      <c r="Y63" s="280">
        <f>IFERROR(SUMPRODUCT(Y61:Y61*H61:H61),"0")</f>
        <v>0</v>
      </c>
      <c r="Z63" s="37"/>
      <c r="AA63" s="281"/>
      <c r="AB63" s="281"/>
      <c r="AC63" s="281"/>
    </row>
    <row r="64" spans="1:68" ht="14.25" hidden="1" customHeight="1" x14ac:dyDescent="0.25">
      <c r="A64" s="310" t="s">
        <v>129</v>
      </c>
      <c r="B64" s="296"/>
      <c r="C64" s="296"/>
      <c r="D64" s="296"/>
      <c r="E64" s="296"/>
      <c r="F64" s="296"/>
      <c r="G64" s="296"/>
      <c r="H64" s="296"/>
      <c r="I64" s="296"/>
      <c r="J64" s="296"/>
      <c r="K64" s="296"/>
      <c r="L64" s="296"/>
      <c r="M64" s="296"/>
      <c r="N64" s="296"/>
      <c r="O64" s="296"/>
      <c r="P64" s="296"/>
      <c r="Q64" s="296"/>
      <c r="R64" s="296"/>
      <c r="S64" s="296"/>
      <c r="T64" s="296"/>
      <c r="U64" s="296"/>
      <c r="V64" s="296"/>
      <c r="W64" s="296"/>
      <c r="X64" s="296"/>
      <c r="Y64" s="296"/>
      <c r="Z64" s="296"/>
      <c r="AA64" s="272"/>
      <c r="AB64" s="272"/>
      <c r="AC64" s="272"/>
    </row>
    <row r="65" spans="1:68" ht="16.5" hidden="1" customHeight="1" x14ac:dyDescent="0.25">
      <c r="A65" s="54" t="s">
        <v>130</v>
      </c>
      <c r="B65" s="54" t="s">
        <v>131</v>
      </c>
      <c r="C65" s="31">
        <v>4301136015</v>
      </c>
      <c r="D65" s="284">
        <v>4607111037398</v>
      </c>
      <c r="E65" s="285"/>
      <c r="F65" s="277">
        <v>0.09</v>
      </c>
      <c r="G65" s="32">
        <v>24</v>
      </c>
      <c r="H65" s="277">
        <v>2.16</v>
      </c>
      <c r="I65" s="277">
        <v>4.0199999999999996</v>
      </c>
      <c r="J65" s="32">
        <v>126</v>
      </c>
      <c r="K65" s="32" t="s">
        <v>100</v>
      </c>
      <c r="L65" s="32" t="s">
        <v>66</v>
      </c>
      <c r="M65" s="33" t="s">
        <v>67</v>
      </c>
      <c r="N65" s="33"/>
      <c r="O65" s="32">
        <v>365</v>
      </c>
      <c r="P65" s="45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290"/>
      <c r="R65" s="290"/>
      <c r="S65" s="290"/>
      <c r="T65" s="291"/>
      <c r="U65" s="34"/>
      <c r="V65" s="34"/>
      <c r="W65" s="35" t="s">
        <v>68</v>
      </c>
      <c r="X65" s="278">
        <v>0</v>
      </c>
      <c r="Y65" s="279">
        <f>IFERROR(IF(X65="","",X65),"")</f>
        <v>0</v>
      </c>
      <c r="Z65" s="36">
        <f>IFERROR(IF(X65="","",X65*0.00936),"")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307"/>
      <c r="B66" s="296"/>
      <c r="C66" s="296"/>
      <c r="D66" s="296"/>
      <c r="E66" s="296"/>
      <c r="F66" s="296"/>
      <c r="G66" s="296"/>
      <c r="H66" s="296"/>
      <c r="I66" s="296"/>
      <c r="J66" s="296"/>
      <c r="K66" s="296"/>
      <c r="L66" s="296"/>
      <c r="M66" s="296"/>
      <c r="N66" s="296"/>
      <c r="O66" s="308"/>
      <c r="P66" s="286" t="s">
        <v>87</v>
      </c>
      <c r="Q66" s="287"/>
      <c r="R66" s="287"/>
      <c r="S66" s="287"/>
      <c r="T66" s="287"/>
      <c r="U66" s="287"/>
      <c r="V66" s="288"/>
      <c r="W66" s="37" t="s">
        <v>68</v>
      </c>
      <c r="X66" s="280">
        <f>IFERROR(SUM(X65:X65),"0")</f>
        <v>0</v>
      </c>
      <c r="Y66" s="280">
        <f>IFERROR(SUM(Y65:Y65),"0")</f>
        <v>0</v>
      </c>
      <c r="Z66" s="280">
        <f>IFERROR(IF(Z65="",0,Z65),"0")</f>
        <v>0</v>
      </c>
      <c r="AA66" s="281"/>
      <c r="AB66" s="281"/>
      <c r="AC66" s="281"/>
    </row>
    <row r="67" spans="1:68" hidden="1" x14ac:dyDescent="0.2">
      <c r="A67" s="296"/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308"/>
      <c r="P67" s="286" t="s">
        <v>87</v>
      </c>
      <c r="Q67" s="287"/>
      <c r="R67" s="287"/>
      <c r="S67" s="287"/>
      <c r="T67" s="287"/>
      <c r="U67" s="287"/>
      <c r="V67" s="288"/>
      <c r="W67" s="37" t="s">
        <v>88</v>
      </c>
      <c r="X67" s="280">
        <f>IFERROR(SUMPRODUCT(X65:X65*H65:H65),"0")</f>
        <v>0</v>
      </c>
      <c r="Y67" s="280">
        <f>IFERROR(SUMPRODUCT(Y65:Y65*H65:H65),"0")</f>
        <v>0</v>
      </c>
      <c r="Z67" s="37"/>
      <c r="AA67" s="281"/>
      <c r="AB67" s="281"/>
      <c r="AC67" s="281"/>
    </row>
    <row r="68" spans="1:68" ht="14.25" hidden="1" customHeight="1" x14ac:dyDescent="0.25">
      <c r="A68" s="310" t="s">
        <v>133</v>
      </c>
      <c r="B68" s="296"/>
      <c r="C68" s="296"/>
      <c r="D68" s="296"/>
      <c r="E68" s="296"/>
      <c r="F68" s="296"/>
      <c r="G68" s="296"/>
      <c r="H68" s="296"/>
      <c r="I68" s="296"/>
      <c r="J68" s="296"/>
      <c r="K68" s="296"/>
      <c r="L68" s="296"/>
      <c r="M68" s="296"/>
      <c r="N68" s="296"/>
      <c r="O68" s="296"/>
      <c r="P68" s="296"/>
      <c r="Q68" s="296"/>
      <c r="R68" s="296"/>
      <c r="S68" s="296"/>
      <c r="T68" s="296"/>
      <c r="U68" s="296"/>
      <c r="V68" s="296"/>
      <c r="W68" s="296"/>
      <c r="X68" s="296"/>
      <c r="Y68" s="296"/>
      <c r="Z68" s="296"/>
      <c r="AA68" s="272"/>
      <c r="AB68" s="272"/>
      <c r="AC68" s="272"/>
    </row>
    <row r="69" spans="1:68" ht="27" hidden="1" customHeight="1" x14ac:dyDescent="0.25">
      <c r="A69" s="54" t="s">
        <v>134</v>
      </c>
      <c r="B69" s="54" t="s">
        <v>135</v>
      </c>
      <c r="C69" s="31">
        <v>4301135664</v>
      </c>
      <c r="D69" s="284">
        <v>4607111039705</v>
      </c>
      <c r="E69" s="285"/>
      <c r="F69" s="277">
        <v>0.2</v>
      </c>
      <c r="G69" s="32">
        <v>6</v>
      </c>
      <c r="H69" s="277">
        <v>1.2</v>
      </c>
      <c r="I69" s="277">
        <v>1.56</v>
      </c>
      <c r="J69" s="32">
        <v>140</v>
      </c>
      <c r="K69" s="32" t="s">
        <v>100</v>
      </c>
      <c r="L69" s="32" t="s">
        <v>66</v>
      </c>
      <c r="M69" s="33" t="s">
        <v>67</v>
      </c>
      <c r="N69" s="33"/>
      <c r="O69" s="32">
        <v>365</v>
      </c>
      <c r="P69" s="383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290"/>
      <c r="R69" s="290"/>
      <c r="S69" s="290"/>
      <c r="T69" s="291"/>
      <c r="U69" s="34"/>
      <c r="V69" s="34"/>
      <c r="W69" s="35" t="s">
        <v>68</v>
      </c>
      <c r="X69" s="278">
        <v>0</v>
      </c>
      <c r="Y69" s="279">
        <f>IFERROR(IF(X69="","",X69),"")</f>
        <v>0</v>
      </c>
      <c r="Z69" s="36">
        <f>IFERROR(IF(X69="","",X69*0.00941),"")</f>
        <v>0</v>
      </c>
      <c r="AA69" s="56"/>
      <c r="AB69" s="57"/>
      <c r="AC69" s="112" t="s">
        <v>132</v>
      </c>
      <c r="AG69" s="67"/>
      <c r="AJ69" s="71" t="s">
        <v>70</v>
      </c>
      <c r="AK69" s="71">
        <v>1</v>
      </c>
      <c r="BB69" s="113" t="s">
        <v>104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hidden="1" customHeight="1" x14ac:dyDescent="0.25">
      <c r="A70" s="54" t="s">
        <v>136</v>
      </c>
      <c r="B70" s="54" t="s">
        <v>137</v>
      </c>
      <c r="C70" s="31">
        <v>4301135665</v>
      </c>
      <c r="D70" s="284">
        <v>4607111039729</v>
      </c>
      <c r="E70" s="285"/>
      <c r="F70" s="277">
        <v>0.2</v>
      </c>
      <c r="G70" s="32">
        <v>6</v>
      </c>
      <c r="H70" s="277">
        <v>1.2</v>
      </c>
      <c r="I70" s="277">
        <v>1.56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5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290"/>
      <c r="R70" s="290"/>
      <c r="S70" s="290"/>
      <c r="T70" s="291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139</v>
      </c>
      <c r="B71" s="54" t="s">
        <v>140</v>
      </c>
      <c r="C71" s="31">
        <v>4301135702</v>
      </c>
      <c r="D71" s="284">
        <v>4620207490228</v>
      </c>
      <c r="E71" s="285"/>
      <c r="F71" s="277">
        <v>0.2</v>
      </c>
      <c r="G71" s="32">
        <v>6</v>
      </c>
      <c r="H71" s="277">
        <v>1.2</v>
      </c>
      <c r="I71" s="277">
        <v>1.56</v>
      </c>
      <c r="J71" s="32">
        <v>140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7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290"/>
      <c r="R71" s="290"/>
      <c r="S71" s="290"/>
      <c r="T71" s="291"/>
      <c r="U71" s="34"/>
      <c r="V71" s="34"/>
      <c r="W71" s="35" t="s">
        <v>68</v>
      </c>
      <c r="X71" s="278">
        <v>0</v>
      </c>
      <c r="Y71" s="279">
        <f>IFERROR(IF(X71="","",X71),"")</f>
        <v>0</v>
      </c>
      <c r="Z71" s="36">
        <f>IFERROR(IF(X71="","",X71*0.00941),"")</f>
        <v>0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307"/>
      <c r="B72" s="296"/>
      <c r="C72" s="296"/>
      <c r="D72" s="296"/>
      <c r="E72" s="296"/>
      <c r="F72" s="296"/>
      <c r="G72" s="296"/>
      <c r="H72" s="296"/>
      <c r="I72" s="296"/>
      <c r="J72" s="296"/>
      <c r="K72" s="296"/>
      <c r="L72" s="296"/>
      <c r="M72" s="296"/>
      <c r="N72" s="296"/>
      <c r="O72" s="308"/>
      <c r="P72" s="286" t="s">
        <v>87</v>
      </c>
      <c r="Q72" s="287"/>
      <c r="R72" s="287"/>
      <c r="S72" s="287"/>
      <c r="T72" s="287"/>
      <c r="U72" s="287"/>
      <c r="V72" s="288"/>
      <c r="W72" s="37" t="s">
        <v>68</v>
      </c>
      <c r="X72" s="280">
        <f>IFERROR(SUM(X69:X71),"0")</f>
        <v>0</v>
      </c>
      <c r="Y72" s="280">
        <f>IFERROR(SUM(Y69:Y71),"0")</f>
        <v>0</v>
      </c>
      <c r="Z72" s="280">
        <f>IFERROR(IF(Z69="",0,Z69),"0")+IFERROR(IF(Z70="",0,Z70),"0")+IFERROR(IF(Z71="",0,Z71),"0")</f>
        <v>0</v>
      </c>
      <c r="AA72" s="281"/>
      <c r="AB72" s="281"/>
      <c r="AC72" s="281"/>
    </row>
    <row r="73" spans="1:68" hidden="1" x14ac:dyDescent="0.2">
      <c r="A73" s="296"/>
      <c r="B73" s="296"/>
      <c r="C73" s="296"/>
      <c r="D73" s="296"/>
      <c r="E73" s="296"/>
      <c r="F73" s="296"/>
      <c r="G73" s="296"/>
      <c r="H73" s="296"/>
      <c r="I73" s="296"/>
      <c r="J73" s="296"/>
      <c r="K73" s="296"/>
      <c r="L73" s="296"/>
      <c r="M73" s="296"/>
      <c r="N73" s="296"/>
      <c r="O73" s="308"/>
      <c r="P73" s="286" t="s">
        <v>87</v>
      </c>
      <c r="Q73" s="287"/>
      <c r="R73" s="287"/>
      <c r="S73" s="287"/>
      <c r="T73" s="287"/>
      <c r="U73" s="287"/>
      <c r="V73" s="288"/>
      <c r="W73" s="37" t="s">
        <v>88</v>
      </c>
      <c r="X73" s="280">
        <f>IFERROR(SUMPRODUCT(X69:X71*H69:H71),"0")</f>
        <v>0</v>
      </c>
      <c r="Y73" s="280">
        <f>IFERROR(SUMPRODUCT(Y69:Y71*H69:H71),"0")</f>
        <v>0</v>
      </c>
      <c r="Z73" s="37"/>
      <c r="AA73" s="281"/>
      <c r="AB73" s="281"/>
      <c r="AC73" s="281"/>
    </row>
    <row r="74" spans="1:68" ht="16.5" hidden="1" customHeight="1" x14ac:dyDescent="0.25">
      <c r="A74" s="295" t="s">
        <v>141</v>
      </c>
      <c r="B74" s="296"/>
      <c r="C74" s="296"/>
      <c r="D74" s="296"/>
      <c r="E74" s="296"/>
      <c r="F74" s="296"/>
      <c r="G74" s="296"/>
      <c r="H74" s="296"/>
      <c r="I74" s="296"/>
      <c r="J74" s="296"/>
      <c r="K74" s="296"/>
      <c r="L74" s="296"/>
      <c r="M74" s="296"/>
      <c r="N74" s="296"/>
      <c r="O74" s="296"/>
      <c r="P74" s="296"/>
      <c r="Q74" s="296"/>
      <c r="R74" s="296"/>
      <c r="S74" s="296"/>
      <c r="T74" s="296"/>
      <c r="U74" s="296"/>
      <c r="V74" s="296"/>
      <c r="W74" s="296"/>
      <c r="X74" s="296"/>
      <c r="Y74" s="296"/>
      <c r="Z74" s="296"/>
      <c r="AA74" s="273"/>
      <c r="AB74" s="273"/>
      <c r="AC74" s="273"/>
    </row>
    <row r="75" spans="1:68" ht="14.25" hidden="1" customHeight="1" x14ac:dyDescent="0.25">
      <c r="A75" s="310" t="s">
        <v>62</v>
      </c>
      <c r="B75" s="296"/>
      <c r="C75" s="296"/>
      <c r="D75" s="296"/>
      <c r="E75" s="296"/>
      <c r="F75" s="296"/>
      <c r="G75" s="296"/>
      <c r="H75" s="296"/>
      <c r="I75" s="296"/>
      <c r="J75" s="296"/>
      <c r="K75" s="296"/>
      <c r="L75" s="296"/>
      <c r="M75" s="296"/>
      <c r="N75" s="296"/>
      <c r="O75" s="296"/>
      <c r="P75" s="296"/>
      <c r="Q75" s="296"/>
      <c r="R75" s="296"/>
      <c r="S75" s="296"/>
      <c r="T75" s="296"/>
      <c r="U75" s="296"/>
      <c r="V75" s="296"/>
      <c r="W75" s="296"/>
      <c r="X75" s="296"/>
      <c r="Y75" s="296"/>
      <c r="Z75" s="296"/>
      <c r="AA75" s="272"/>
      <c r="AB75" s="272"/>
      <c r="AC75" s="272"/>
    </row>
    <row r="76" spans="1:68" ht="27" hidden="1" customHeight="1" x14ac:dyDescent="0.25">
      <c r="A76" s="54" t="s">
        <v>142</v>
      </c>
      <c r="B76" s="54" t="s">
        <v>143</v>
      </c>
      <c r="C76" s="31">
        <v>4301070977</v>
      </c>
      <c r="D76" s="284">
        <v>4607111037411</v>
      </c>
      <c r="E76" s="285"/>
      <c r="F76" s="277">
        <v>2.7</v>
      </c>
      <c r="G76" s="32">
        <v>1</v>
      </c>
      <c r="H76" s="277">
        <v>2.7</v>
      </c>
      <c r="I76" s="277">
        <v>2.8132000000000001</v>
      </c>
      <c r="J76" s="32">
        <v>234</v>
      </c>
      <c r="K76" s="32" t="s">
        <v>144</v>
      </c>
      <c r="L76" s="32" t="s">
        <v>66</v>
      </c>
      <c r="M76" s="33" t="s">
        <v>67</v>
      </c>
      <c r="N76" s="33"/>
      <c r="O76" s="32">
        <v>180</v>
      </c>
      <c r="P76" s="37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290"/>
      <c r="R76" s="290"/>
      <c r="S76" s="290"/>
      <c r="T76" s="291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IFERROR(IF(X76="","",X76*0.00502),"")</f>
        <v>0</v>
      </c>
      <c r="AA76" s="56"/>
      <c r="AB76" s="57"/>
      <c r="AC76" s="118" t="s">
        <v>145</v>
      </c>
      <c r="AG76" s="67"/>
      <c r="AJ76" s="71" t="s">
        <v>70</v>
      </c>
      <c r="AK76" s="71">
        <v>1</v>
      </c>
      <c r="BB76" s="119" t="s">
        <v>1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hidden="1" customHeight="1" x14ac:dyDescent="0.25">
      <c r="A77" s="54" t="s">
        <v>146</v>
      </c>
      <c r="B77" s="54" t="s">
        <v>147</v>
      </c>
      <c r="C77" s="31">
        <v>4301070981</v>
      </c>
      <c r="D77" s="284">
        <v>4607111036728</v>
      </c>
      <c r="E77" s="285"/>
      <c r="F77" s="277">
        <v>5</v>
      </c>
      <c r="G77" s="32">
        <v>1</v>
      </c>
      <c r="H77" s="277">
        <v>5</v>
      </c>
      <c r="I77" s="277">
        <v>5.2131999999999996</v>
      </c>
      <c r="J77" s="32">
        <v>144</v>
      </c>
      <c r="K77" s="32" t="s">
        <v>65</v>
      </c>
      <c r="L77" s="32" t="s">
        <v>101</v>
      </c>
      <c r="M77" s="33" t="s">
        <v>67</v>
      </c>
      <c r="N77" s="33"/>
      <c r="O77" s="32">
        <v>180</v>
      </c>
      <c r="P77" s="39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290"/>
      <c r="R77" s="290"/>
      <c r="S77" s="290"/>
      <c r="T77" s="291"/>
      <c r="U77" s="34"/>
      <c r="V77" s="34"/>
      <c r="W77" s="35" t="s">
        <v>68</v>
      </c>
      <c r="X77" s="278">
        <v>0</v>
      </c>
      <c r="Y77" s="279">
        <f>IFERROR(IF(X77="","",X77),"")</f>
        <v>0</v>
      </c>
      <c r="Z77" s="36">
        <f>IFERROR(IF(X77="","",X77*0.00866),"")</f>
        <v>0</v>
      </c>
      <c r="AA77" s="56"/>
      <c r="AB77" s="57"/>
      <c r="AC77" s="120" t="s">
        <v>145</v>
      </c>
      <c r="AG77" s="67"/>
      <c r="AJ77" s="71" t="s">
        <v>103</v>
      </c>
      <c r="AK77" s="71">
        <v>12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idden="1" x14ac:dyDescent="0.2">
      <c r="A78" s="307"/>
      <c r="B78" s="296"/>
      <c r="C78" s="296"/>
      <c r="D78" s="296"/>
      <c r="E78" s="296"/>
      <c r="F78" s="296"/>
      <c r="G78" s="296"/>
      <c r="H78" s="296"/>
      <c r="I78" s="296"/>
      <c r="J78" s="296"/>
      <c r="K78" s="296"/>
      <c r="L78" s="296"/>
      <c r="M78" s="296"/>
      <c r="N78" s="296"/>
      <c r="O78" s="308"/>
      <c r="P78" s="286" t="s">
        <v>87</v>
      </c>
      <c r="Q78" s="287"/>
      <c r="R78" s="287"/>
      <c r="S78" s="287"/>
      <c r="T78" s="287"/>
      <c r="U78" s="287"/>
      <c r="V78" s="288"/>
      <c r="W78" s="37" t="s">
        <v>68</v>
      </c>
      <c r="X78" s="280">
        <f>IFERROR(SUM(X76:X77),"0")</f>
        <v>0</v>
      </c>
      <c r="Y78" s="280">
        <f>IFERROR(SUM(Y76:Y77),"0")</f>
        <v>0</v>
      </c>
      <c r="Z78" s="280">
        <f>IFERROR(IF(Z76="",0,Z76),"0")+IFERROR(IF(Z77="",0,Z77),"0")</f>
        <v>0</v>
      </c>
      <c r="AA78" s="281"/>
      <c r="AB78" s="281"/>
      <c r="AC78" s="281"/>
    </row>
    <row r="79" spans="1:68" hidden="1" x14ac:dyDescent="0.2">
      <c r="A79" s="296"/>
      <c r="B79" s="296"/>
      <c r="C79" s="296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308"/>
      <c r="P79" s="286" t="s">
        <v>87</v>
      </c>
      <c r="Q79" s="287"/>
      <c r="R79" s="287"/>
      <c r="S79" s="287"/>
      <c r="T79" s="287"/>
      <c r="U79" s="287"/>
      <c r="V79" s="288"/>
      <c r="W79" s="37" t="s">
        <v>88</v>
      </c>
      <c r="X79" s="280">
        <f>IFERROR(SUMPRODUCT(X76:X77*H76:H77),"0")</f>
        <v>0</v>
      </c>
      <c r="Y79" s="280">
        <f>IFERROR(SUMPRODUCT(Y76:Y77*H76:H77),"0")</f>
        <v>0</v>
      </c>
      <c r="Z79" s="37"/>
      <c r="AA79" s="281"/>
      <c r="AB79" s="281"/>
      <c r="AC79" s="281"/>
    </row>
    <row r="80" spans="1:68" ht="16.5" hidden="1" customHeight="1" x14ac:dyDescent="0.25">
      <c r="A80" s="295" t="s">
        <v>148</v>
      </c>
      <c r="B80" s="296"/>
      <c r="C80" s="296"/>
      <c r="D80" s="296"/>
      <c r="E80" s="296"/>
      <c r="F80" s="296"/>
      <c r="G80" s="296"/>
      <c r="H80" s="296"/>
      <c r="I80" s="296"/>
      <c r="J80" s="296"/>
      <c r="K80" s="296"/>
      <c r="L80" s="296"/>
      <c r="M80" s="296"/>
      <c r="N80" s="296"/>
      <c r="O80" s="296"/>
      <c r="P80" s="296"/>
      <c r="Q80" s="296"/>
      <c r="R80" s="296"/>
      <c r="S80" s="296"/>
      <c r="T80" s="296"/>
      <c r="U80" s="296"/>
      <c r="V80" s="296"/>
      <c r="W80" s="296"/>
      <c r="X80" s="296"/>
      <c r="Y80" s="296"/>
      <c r="Z80" s="296"/>
      <c r="AA80" s="273"/>
      <c r="AB80" s="273"/>
      <c r="AC80" s="273"/>
    </row>
    <row r="81" spans="1:68" ht="14.25" hidden="1" customHeight="1" x14ac:dyDescent="0.25">
      <c r="A81" s="310" t="s">
        <v>133</v>
      </c>
      <c r="B81" s="296"/>
      <c r="C81" s="296"/>
      <c r="D81" s="296"/>
      <c r="E81" s="296"/>
      <c r="F81" s="296"/>
      <c r="G81" s="296"/>
      <c r="H81" s="296"/>
      <c r="I81" s="296"/>
      <c r="J81" s="296"/>
      <c r="K81" s="296"/>
      <c r="L81" s="296"/>
      <c r="M81" s="296"/>
      <c r="N81" s="296"/>
      <c r="O81" s="296"/>
      <c r="P81" s="296"/>
      <c r="Q81" s="296"/>
      <c r="R81" s="296"/>
      <c r="S81" s="296"/>
      <c r="T81" s="296"/>
      <c r="U81" s="296"/>
      <c r="V81" s="296"/>
      <c r="W81" s="296"/>
      <c r="X81" s="296"/>
      <c r="Y81" s="296"/>
      <c r="Z81" s="296"/>
      <c r="AA81" s="272"/>
      <c r="AB81" s="272"/>
      <c r="AC81" s="272"/>
    </row>
    <row r="82" spans="1:68" ht="27" customHeight="1" x14ac:dyDescent="0.25">
      <c r="A82" s="54" t="s">
        <v>149</v>
      </c>
      <c r="B82" s="54" t="s">
        <v>150</v>
      </c>
      <c r="C82" s="31">
        <v>4301135910</v>
      </c>
      <c r="D82" s="284">
        <v>4620207491638</v>
      </c>
      <c r="E82" s="285"/>
      <c r="F82" s="277">
        <v>0.3</v>
      </c>
      <c r="G82" s="32">
        <v>12</v>
      </c>
      <c r="H82" s="277">
        <v>3.6</v>
      </c>
      <c r="I82" s="277">
        <v>4.3036000000000003</v>
      </c>
      <c r="J82" s="32">
        <v>70</v>
      </c>
      <c r="K82" s="32" t="s">
        <v>100</v>
      </c>
      <c r="L82" s="32" t="s">
        <v>66</v>
      </c>
      <c r="M82" s="33" t="s">
        <v>67</v>
      </c>
      <c r="N82" s="33"/>
      <c r="O82" s="32">
        <v>180</v>
      </c>
      <c r="P82" s="450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2" s="290"/>
      <c r="R82" s="290"/>
      <c r="S82" s="290"/>
      <c r="T82" s="291"/>
      <c r="U82" s="34"/>
      <c r="V82" s="34"/>
      <c r="W82" s="35" t="s">
        <v>68</v>
      </c>
      <c r="X82" s="278">
        <v>42</v>
      </c>
      <c r="Y82" s="279">
        <f>IFERROR(IF(X82="","",X82),"")</f>
        <v>42</v>
      </c>
      <c r="Z82" s="36">
        <f>IFERROR(IF(X82="","",X82*0.01788),"")</f>
        <v>0.75095999999999996</v>
      </c>
      <c r="AA82" s="56"/>
      <c r="AB82" s="57"/>
      <c r="AC82" s="122" t="s">
        <v>151</v>
      </c>
      <c r="AG82" s="67"/>
      <c r="AJ82" s="71" t="s">
        <v>70</v>
      </c>
      <c r="AK82" s="71">
        <v>1</v>
      </c>
      <c r="BB82" s="123" t="s">
        <v>104</v>
      </c>
      <c r="BM82" s="67">
        <f>IFERROR(X82*I82,"0")</f>
        <v>180.75120000000001</v>
      </c>
      <c r="BN82" s="67">
        <f>IFERROR(Y82*I82,"0")</f>
        <v>180.75120000000001</v>
      </c>
      <c r="BO82" s="67">
        <f>IFERROR(X82/J82,"0")</f>
        <v>0.6</v>
      </c>
      <c r="BP82" s="67">
        <f>IFERROR(Y82/J82,"0")</f>
        <v>0.6</v>
      </c>
    </row>
    <row r="83" spans="1:68" x14ac:dyDescent="0.2">
      <c r="A83" s="307"/>
      <c r="B83" s="296"/>
      <c r="C83" s="296"/>
      <c r="D83" s="296"/>
      <c r="E83" s="296"/>
      <c r="F83" s="296"/>
      <c r="G83" s="296"/>
      <c r="H83" s="296"/>
      <c r="I83" s="296"/>
      <c r="J83" s="296"/>
      <c r="K83" s="296"/>
      <c r="L83" s="296"/>
      <c r="M83" s="296"/>
      <c r="N83" s="296"/>
      <c r="O83" s="308"/>
      <c r="P83" s="286" t="s">
        <v>87</v>
      </c>
      <c r="Q83" s="287"/>
      <c r="R83" s="287"/>
      <c r="S83" s="287"/>
      <c r="T83" s="287"/>
      <c r="U83" s="287"/>
      <c r="V83" s="288"/>
      <c r="W83" s="37" t="s">
        <v>68</v>
      </c>
      <c r="X83" s="280">
        <f>IFERROR(SUM(X82:X82),"0")</f>
        <v>42</v>
      </c>
      <c r="Y83" s="280">
        <f>IFERROR(SUM(Y82:Y82),"0")</f>
        <v>42</v>
      </c>
      <c r="Z83" s="280">
        <f>IFERROR(IF(Z82="",0,Z82),"0")</f>
        <v>0.75095999999999996</v>
      </c>
      <c r="AA83" s="281"/>
      <c r="AB83" s="281"/>
      <c r="AC83" s="281"/>
    </row>
    <row r="84" spans="1:68" x14ac:dyDescent="0.2">
      <c r="A84" s="296"/>
      <c r="B84" s="296"/>
      <c r="C84" s="296"/>
      <c r="D84" s="296"/>
      <c r="E84" s="296"/>
      <c r="F84" s="296"/>
      <c r="G84" s="296"/>
      <c r="H84" s="296"/>
      <c r="I84" s="296"/>
      <c r="J84" s="296"/>
      <c r="K84" s="296"/>
      <c r="L84" s="296"/>
      <c r="M84" s="296"/>
      <c r="N84" s="296"/>
      <c r="O84" s="308"/>
      <c r="P84" s="286" t="s">
        <v>87</v>
      </c>
      <c r="Q84" s="287"/>
      <c r="R84" s="287"/>
      <c r="S84" s="287"/>
      <c r="T84" s="287"/>
      <c r="U84" s="287"/>
      <c r="V84" s="288"/>
      <c r="W84" s="37" t="s">
        <v>88</v>
      </c>
      <c r="X84" s="280">
        <f>IFERROR(SUMPRODUCT(X82:X82*H82:H82),"0")</f>
        <v>151.20000000000002</v>
      </c>
      <c r="Y84" s="280">
        <f>IFERROR(SUMPRODUCT(Y82:Y82*H82:H82),"0")</f>
        <v>151.20000000000002</v>
      </c>
      <c r="Z84" s="37"/>
      <c r="AA84" s="281"/>
      <c r="AB84" s="281"/>
      <c r="AC84" s="281"/>
    </row>
    <row r="85" spans="1:68" ht="16.5" hidden="1" customHeight="1" x14ac:dyDescent="0.25">
      <c r="A85" s="295" t="s">
        <v>152</v>
      </c>
      <c r="B85" s="296"/>
      <c r="C85" s="296"/>
      <c r="D85" s="296"/>
      <c r="E85" s="296"/>
      <c r="F85" s="296"/>
      <c r="G85" s="296"/>
      <c r="H85" s="296"/>
      <c r="I85" s="296"/>
      <c r="J85" s="296"/>
      <c r="K85" s="296"/>
      <c r="L85" s="296"/>
      <c r="M85" s="296"/>
      <c r="N85" s="296"/>
      <c r="O85" s="296"/>
      <c r="P85" s="296"/>
      <c r="Q85" s="296"/>
      <c r="R85" s="296"/>
      <c r="S85" s="296"/>
      <c r="T85" s="296"/>
      <c r="U85" s="296"/>
      <c r="V85" s="296"/>
      <c r="W85" s="296"/>
      <c r="X85" s="296"/>
      <c r="Y85" s="296"/>
      <c r="Z85" s="296"/>
      <c r="AA85" s="273"/>
      <c r="AB85" s="273"/>
      <c r="AC85" s="273"/>
    </row>
    <row r="86" spans="1:68" ht="14.25" hidden="1" customHeight="1" x14ac:dyDescent="0.25">
      <c r="A86" s="310" t="s">
        <v>153</v>
      </c>
      <c r="B86" s="296"/>
      <c r="C86" s="296"/>
      <c r="D86" s="296"/>
      <c r="E86" s="296"/>
      <c r="F86" s="296"/>
      <c r="G86" s="296"/>
      <c r="H86" s="296"/>
      <c r="I86" s="296"/>
      <c r="J86" s="296"/>
      <c r="K86" s="296"/>
      <c r="L86" s="296"/>
      <c r="M86" s="296"/>
      <c r="N86" s="296"/>
      <c r="O86" s="296"/>
      <c r="P86" s="296"/>
      <c r="Q86" s="296"/>
      <c r="R86" s="296"/>
      <c r="S86" s="296"/>
      <c r="T86" s="296"/>
      <c r="U86" s="296"/>
      <c r="V86" s="296"/>
      <c r="W86" s="296"/>
      <c r="X86" s="296"/>
      <c r="Y86" s="296"/>
      <c r="Z86" s="296"/>
      <c r="AA86" s="272"/>
      <c r="AB86" s="272"/>
      <c r="AC86" s="272"/>
    </row>
    <row r="87" spans="1:68" ht="27" customHeight="1" x14ac:dyDescent="0.25">
      <c r="A87" s="54" t="s">
        <v>154</v>
      </c>
      <c r="B87" s="54" t="s">
        <v>155</v>
      </c>
      <c r="C87" s="31">
        <v>4301131047</v>
      </c>
      <c r="D87" s="284">
        <v>4607111034120</v>
      </c>
      <c r="E87" s="285"/>
      <c r="F87" s="277">
        <v>0.3</v>
      </c>
      <c r="G87" s="32">
        <v>12</v>
      </c>
      <c r="H87" s="277">
        <v>3.6</v>
      </c>
      <c r="I87" s="277">
        <v>4.3036000000000003</v>
      </c>
      <c r="J87" s="32">
        <v>70</v>
      </c>
      <c r="K87" s="32" t="s">
        <v>100</v>
      </c>
      <c r="L87" s="32" t="s">
        <v>101</v>
      </c>
      <c r="M87" s="33" t="s">
        <v>67</v>
      </c>
      <c r="N87" s="33"/>
      <c r="O87" s="32">
        <v>180</v>
      </c>
      <c r="P87" s="36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290"/>
      <c r="R87" s="290"/>
      <c r="S87" s="290"/>
      <c r="T87" s="291"/>
      <c r="U87" s="34"/>
      <c r="V87" s="34"/>
      <c r="W87" s="35" t="s">
        <v>68</v>
      </c>
      <c r="X87" s="278">
        <v>14</v>
      </c>
      <c r="Y87" s="279">
        <f>IFERROR(IF(X87="","",X87),"")</f>
        <v>14</v>
      </c>
      <c r="Z87" s="36">
        <f>IFERROR(IF(X87="","",X87*0.01788),"")</f>
        <v>0.25031999999999999</v>
      </c>
      <c r="AA87" s="56"/>
      <c r="AB87" s="57"/>
      <c r="AC87" s="124" t="s">
        <v>156</v>
      </c>
      <c r="AG87" s="67"/>
      <c r="AJ87" s="71" t="s">
        <v>103</v>
      </c>
      <c r="AK87" s="71">
        <v>14</v>
      </c>
      <c r="BB87" s="125" t="s">
        <v>104</v>
      </c>
      <c r="BM87" s="67">
        <f>IFERROR(X87*I87,"0")</f>
        <v>60.250400000000006</v>
      </c>
      <c r="BN87" s="67">
        <f>IFERROR(Y87*I87,"0")</f>
        <v>60.250400000000006</v>
      </c>
      <c r="BO87" s="67">
        <f>IFERROR(X87/J87,"0")</f>
        <v>0.2</v>
      </c>
      <c r="BP87" s="67">
        <f>IFERROR(Y87/J87,"0")</f>
        <v>0.2</v>
      </c>
    </row>
    <row r="88" spans="1:68" ht="27" customHeight="1" x14ac:dyDescent="0.25">
      <c r="A88" s="54" t="s">
        <v>157</v>
      </c>
      <c r="B88" s="54" t="s">
        <v>158</v>
      </c>
      <c r="C88" s="31">
        <v>4301131046</v>
      </c>
      <c r="D88" s="284">
        <v>4607111034137</v>
      </c>
      <c r="E88" s="285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7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290"/>
      <c r="R88" s="290"/>
      <c r="S88" s="290"/>
      <c r="T88" s="291"/>
      <c r="U88" s="34"/>
      <c r="V88" s="34"/>
      <c r="W88" s="35" t="s">
        <v>68</v>
      </c>
      <c r="X88" s="278">
        <v>42</v>
      </c>
      <c r="Y88" s="279">
        <f>IFERROR(IF(X88="","",X88),"")</f>
        <v>42</v>
      </c>
      <c r="Z88" s="36">
        <f>IFERROR(IF(X88="","",X88*0.01788),"")</f>
        <v>0.75095999999999996</v>
      </c>
      <c r="AA88" s="56"/>
      <c r="AB88" s="57"/>
      <c r="AC88" s="126" t="s">
        <v>159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180.75120000000001</v>
      </c>
      <c r="BN88" s="67">
        <f>IFERROR(Y88*I88,"0")</f>
        <v>180.75120000000001</v>
      </c>
      <c r="BO88" s="67">
        <f>IFERROR(X88/J88,"0")</f>
        <v>0.6</v>
      </c>
      <c r="BP88" s="67">
        <f>IFERROR(Y88/J88,"0")</f>
        <v>0.6</v>
      </c>
    </row>
    <row r="89" spans="1:68" x14ac:dyDescent="0.2">
      <c r="A89" s="307"/>
      <c r="B89" s="296"/>
      <c r="C89" s="296"/>
      <c r="D89" s="296"/>
      <c r="E89" s="296"/>
      <c r="F89" s="296"/>
      <c r="G89" s="296"/>
      <c r="H89" s="296"/>
      <c r="I89" s="296"/>
      <c r="J89" s="296"/>
      <c r="K89" s="296"/>
      <c r="L89" s="296"/>
      <c r="M89" s="296"/>
      <c r="N89" s="296"/>
      <c r="O89" s="308"/>
      <c r="P89" s="286" t="s">
        <v>87</v>
      </c>
      <c r="Q89" s="287"/>
      <c r="R89" s="287"/>
      <c r="S89" s="287"/>
      <c r="T89" s="287"/>
      <c r="U89" s="287"/>
      <c r="V89" s="288"/>
      <c r="W89" s="37" t="s">
        <v>68</v>
      </c>
      <c r="X89" s="280">
        <f>IFERROR(SUM(X87:X88),"0")</f>
        <v>56</v>
      </c>
      <c r="Y89" s="280">
        <f>IFERROR(SUM(Y87:Y88),"0")</f>
        <v>56</v>
      </c>
      <c r="Z89" s="280">
        <f>IFERROR(IF(Z87="",0,Z87),"0")+IFERROR(IF(Z88="",0,Z88),"0")</f>
        <v>1.0012799999999999</v>
      </c>
      <c r="AA89" s="281"/>
      <c r="AB89" s="281"/>
      <c r="AC89" s="281"/>
    </row>
    <row r="90" spans="1:68" x14ac:dyDescent="0.2">
      <c r="A90" s="296"/>
      <c r="B90" s="296"/>
      <c r="C90" s="296"/>
      <c r="D90" s="296"/>
      <c r="E90" s="296"/>
      <c r="F90" s="296"/>
      <c r="G90" s="296"/>
      <c r="H90" s="296"/>
      <c r="I90" s="296"/>
      <c r="J90" s="296"/>
      <c r="K90" s="296"/>
      <c r="L90" s="296"/>
      <c r="M90" s="296"/>
      <c r="N90" s="296"/>
      <c r="O90" s="308"/>
      <c r="P90" s="286" t="s">
        <v>87</v>
      </c>
      <c r="Q90" s="287"/>
      <c r="R90" s="287"/>
      <c r="S90" s="287"/>
      <c r="T90" s="287"/>
      <c r="U90" s="287"/>
      <c r="V90" s="288"/>
      <c r="W90" s="37" t="s">
        <v>88</v>
      </c>
      <c r="X90" s="280">
        <f>IFERROR(SUMPRODUCT(X87:X88*H87:H88),"0")</f>
        <v>201.60000000000002</v>
      </c>
      <c r="Y90" s="280">
        <f>IFERROR(SUMPRODUCT(Y87:Y88*H87:H88),"0")</f>
        <v>201.60000000000002</v>
      </c>
      <c r="Z90" s="37"/>
      <c r="AA90" s="281"/>
      <c r="AB90" s="281"/>
      <c r="AC90" s="281"/>
    </row>
    <row r="91" spans="1:68" ht="16.5" hidden="1" customHeight="1" x14ac:dyDescent="0.25">
      <c r="A91" s="295" t="s">
        <v>160</v>
      </c>
      <c r="B91" s="296"/>
      <c r="C91" s="296"/>
      <c r="D91" s="296"/>
      <c r="E91" s="296"/>
      <c r="F91" s="296"/>
      <c r="G91" s="296"/>
      <c r="H91" s="296"/>
      <c r="I91" s="296"/>
      <c r="J91" s="296"/>
      <c r="K91" s="296"/>
      <c r="L91" s="296"/>
      <c r="M91" s="296"/>
      <c r="N91" s="296"/>
      <c r="O91" s="296"/>
      <c r="P91" s="296"/>
      <c r="Q91" s="296"/>
      <c r="R91" s="296"/>
      <c r="S91" s="296"/>
      <c r="T91" s="296"/>
      <c r="U91" s="296"/>
      <c r="V91" s="296"/>
      <c r="W91" s="296"/>
      <c r="X91" s="296"/>
      <c r="Y91" s="296"/>
      <c r="Z91" s="296"/>
      <c r="AA91" s="273"/>
      <c r="AB91" s="273"/>
      <c r="AC91" s="273"/>
    </row>
    <row r="92" spans="1:68" ht="14.25" hidden="1" customHeight="1" x14ac:dyDescent="0.25">
      <c r="A92" s="310" t="s">
        <v>133</v>
      </c>
      <c r="B92" s="296"/>
      <c r="C92" s="296"/>
      <c r="D92" s="296"/>
      <c r="E92" s="296"/>
      <c r="F92" s="296"/>
      <c r="G92" s="296"/>
      <c r="H92" s="296"/>
      <c r="I92" s="296"/>
      <c r="J92" s="296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96"/>
      <c r="Y92" s="296"/>
      <c r="Z92" s="296"/>
      <c r="AA92" s="272"/>
      <c r="AB92" s="272"/>
      <c r="AC92" s="272"/>
    </row>
    <row r="93" spans="1:68" ht="27" customHeight="1" x14ac:dyDescent="0.25">
      <c r="A93" s="54" t="s">
        <v>161</v>
      </c>
      <c r="B93" s="54" t="s">
        <v>162</v>
      </c>
      <c r="C93" s="31">
        <v>4301135763</v>
      </c>
      <c r="D93" s="284">
        <v>4620207491027</v>
      </c>
      <c r="E93" s="285"/>
      <c r="F93" s="277">
        <v>0.24</v>
      </c>
      <c r="G93" s="32">
        <v>12</v>
      </c>
      <c r="H93" s="277">
        <v>2.88</v>
      </c>
      <c r="I93" s="277">
        <v>3.5836000000000001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2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290"/>
      <c r="R93" s="290"/>
      <c r="S93" s="290"/>
      <c r="T93" s="291"/>
      <c r="U93" s="34"/>
      <c r="V93" s="34"/>
      <c r="W93" s="35" t="s">
        <v>68</v>
      </c>
      <c r="X93" s="278">
        <v>42</v>
      </c>
      <c r="Y93" s="279">
        <f t="shared" ref="Y93:Y98" si="6">IFERROR(IF(X93="","",X93),"")</f>
        <v>42</v>
      </c>
      <c r="Z93" s="36">
        <f t="shared" ref="Z93:Z98" si="7">IFERROR(IF(X93="","",X93*0.01788),"")</f>
        <v>0.75095999999999996</v>
      </c>
      <c r="AA93" s="56"/>
      <c r="AB93" s="57"/>
      <c r="AC93" s="128" t="s">
        <v>163</v>
      </c>
      <c r="AG93" s="67"/>
      <c r="AJ93" s="71" t="s">
        <v>103</v>
      </c>
      <c r="AK93" s="71">
        <v>14</v>
      </c>
      <c r="BB93" s="129" t="s">
        <v>104</v>
      </c>
      <c r="BM93" s="67">
        <f t="shared" ref="BM93:BM98" si="8">IFERROR(X93*I93,"0")</f>
        <v>150.5112</v>
      </c>
      <c r="BN93" s="67">
        <f t="shared" ref="BN93:BN98" si="9">IFERROR(Y93*I93,"0")</f>
        <v>150.5112</v>
      </c>
      <c r="BO93" s="67">
        <f t="shared" ref="BO93:BO98" si="10">IFERROR(X93/J93,"0")</f>
        <v>0.6</v>
      </c>
      <c r="BP93" s="67">
        <f t="shared" ref="BP93:BP98" si="11">IFERROR(Y93/J93,"0")</f>
        <v>0.6</v>
      </c>
    </row>
    <row r="94" spans="1:68" ht="27" customHeight="1" x14ac:dyDescent="0.25">
      <c r="A94" s="54" t="s">
        <v>164</v>
      </c>
      <c r="B94" s="54" t="s">
        <v>165</v>
      </c>
      <c r="C94" s="31">
        <v>4301135914</v>
      </c>
      <c r="D94" s="284">
        <v>4620207491621</v>
      </c>
      <c r="E94" s="285"/>
      <c r="F94" s="277">
        <v>0.24</v>
      </c>
      <c r="G94" s="32">
        <v>12</v>
      </c>
      <c r="H94" s="277">
        <v>2.88</v>
      </c>
      <c r="I94" s="277">
        <v>3.5836000000000001</v>
      </c>
      <c r="J94" s="32">
        <v>70</v>
      </c>
      <c r="K94" s="32" t="s">
        <v>100</v>
      </c>
      <c r="L94" s="32" t="s">
        <v>66</v>
      </c>
      <c r="M94" s="33" t="s">
        <v>67</v>
      </c>
      <c r="N94" s="33"/>
      <c r="O94" s="32">
        <v>180</v>
      </c>
      <c r="P94" s="322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290"/>
      <c r="R94" s="290"/>
      <c r="S94" s="290"/>
      <c r="T94" s="291"/>
      <c r="U94" s="34"/>
      <c r="V94" s="34"/>
      <c r="W94" s="35" t="s">
        <v>68</v>
      </c>
      <c r="X94" s="278">
        <v>28</v>
      </c>
      <c r="Y94" s="279">
        <f t="shared" si="6"/>
        <v>28</v>
      </c>
      <c r="Z94" s="36">
        <f t="shared" si="7"/>
        <v>0.50063999999999997</v>
      </c>
      <c r="AA94" s="56"/>
      <c r="AB94" s="57"/>
      <c r="AC94" s="130" t="s">
        <v>166</v>
      </c>
      <c r="AG94" s="67"/>
      <c r="AJ94" s="71" t="s">
        <v>70</v>
      </c>
      <c r="AK94" s="71">
        <v>1</v>
      </c>
      <c r="BB94" s="131" t="s">
        <v>104</v>
      </c>
      <c r="BM94" s="67">
        <f t="shared" si="8"/>
        <v>100.3408</v>
      </c>
      <c r="BN94" s="67">
        <f t="shared" si="9"/>
        <v>100.3408</v>
      </c>
      <c r="BO94" s="67">
        <f t="shared" si="10"/>
        <v>0.4</v>
      </c>
      <c r="BP94" s="67">
        <f t="shared" si="11"/>
        <v>0.4</v>
      </c>
    </row>
    <row r="95" spans="1:68" ht="27" customHeight="1" x14ac:dyDescent="0.25">
      <c r="A95" s="54" t="s">
        <v>167</v>
      </c>
      <c r="B95" s="54" t="s">
        <v>168</v>
      </c>
      <c r="C95" s="31">
        <v>4301135990</v>
      </c>
      <c r="D95" s="284">
        <v>4620207491881</v>
      </c>
      <c r="E95" s="285"/>
      <c r="F95" s="277">
        <v>0.24</v>
      </c>
      <c r="G95" s="32">
        <v>12</v>
      </c>
      <c r="H95" s="277">
        <v>2.88</v>
      </c>
      <c r="I95" s="277">
        <v>3.5836000000000001</v>
      </c>
      <c r="J95" s="32">
        <v>70</v>
      </c>
      <c r="K95" s="32" t="s">
        <v>100</v>
      </c>
      <c r="L95" s="32" t="s">
        <v>66</v>
      </c>
      <c r="M95" s="33" t="s">
        <v>67</v>
      </c>
      <c r="N95" s="33"/>
      <c r="O95" s="32">
        <v>180</v>
      </c>
      <c r="P95" s="328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290"/>
      <c r="R95" s="290"/>
      <c r="S95" s="290"/>
      <c r="T95" s="291"/>
      <c r="U95" s="34"/>
      <c r="V95" s="34"/>
      <c r="W95" s="35" t="s">
        <v>68</v>
      </c>
      <c r="X95" s="278">
        <v>42</v>
      </c>
      <c r="Y95" s="279">
        <f t="shared" si="6"/>
        <v>42</v>
      </c>
      <c r="Z95" s="36">
        <f t="shared" si="7"/>
        <v>0.75095999999999996</v>
      </c>
      <c r="AA95" s="56"/>
      <c r="AB95" s="57"/>
      <c r="AC95" s="132" t="s">
        <v>166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150.5112</v>
      </c>
      <c r="BN95" s="67">
        <f t="shared" si="9"/>
        <v>150.5112</v>
      </c>
      <c r="BO95" s="67">
        <f t="shared" si="10"/>
        <v>0.6</v>
      </c>
      <c r="BP95" s="67">
        <f t="shared" si="11"/>
        <v>0.6</v>
      </c>
    </row>
    <row r="96" spans="1:68" ht="27" customHeight="1" x14ac:dyDescent="0.25">
      <c r="A96" s="54" t="s">
        <v>169</v>
      </c>
      <c r="B96" s="54" t="s">
        <v>170</v>
      </c>
      <c r="C96" s="31">
        <v>4301135920</v>
      </c>
      <c r="D96" s="284">
        <v>4620207491577</v>
      </c>
      <c r="E96" s="285"/>
      <c r="F96" s="277">
        <v>0.24</v>
      </c>
      <c r="G96" s="32">
        <v>12</v>
      </c>
      <c r="H96" s="277">
        <v>2.88</v>
      </c>
      <c r="I96" s="277">
        <v>3.5836000000000001</v>
      </c>
      <c r="J96" s="32">
        <v>70</v>
      </c>
      <c r="K96" s="32" t="s">
        <v>100</v>
      </c>
      <c r="L96" s="32" t="s">
        <v>66</v>
      </c>
      <c r="M96" s="33" t="s">
        <v>67</v>
      </c>
      <c r="N96" s="33"/>
      <c r="O96" s="32">
        <v>180</v>
      </c>
      <c r="P96" s="292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290"/>
      <c r="R96" s="290"/>
      <c r="S96" s="290"/>
      <c r="T96" s="291"/>
      <c r="U96" s="34"/>
      <c r="V96" s="34"/>
      <c r="W96" s="35" t="s">
        <v>68</v>
      </c>
      <c r="X96" s="278">
        <v>56</v>
      </c>
      <c r="Y96" s="279">
        <f t="shared" si="6"/>
        <v>56</v>
      </c>
      <c r="Z96" s="36">
        <f t="shared" si="7"/>
        <v>1.0012799999999999</v>
      </c>
      <c r="AA96" s="56"/>
      <c r="AB96" s="57"/>
      <c r="AC96" s="134" t="s">
        <v>166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200.6816</v>
      </c>
      <c r="BN96" s="67">
        <f t="shared" si="9"/>
        <v>200.6816</v>
      </c>
      <c r="BO96" s="67">
        <f t="shared" si="10"/>
        <v>0.8</v>
      </c>
      <c r="BP96" s="67">
        <f t="shared" si="11"/>
        <v>0.8</v>
      </c>
    </row>
    <row r="97" spans="1:68" ht="27" customHeight="1" x14ac:dyDescent="0.25">
      <c r="A97" s="54" t="s">
        <v>171</v>
      </c>
      <c r="B97" s="54" t="s">
        <v>172</v>
      </c>
      <c r="C97" s="31">
        <v>4301135984</v>
      </c>
      <c r="D97" s="284">
        <v>4620207491874</v>
      </c>
      <c r="E97" s="285"/>
      <c r="F97" s="277">
        <v>0.48</v>
      </c>
      <c r="G97" s="32">
        <v>8</v>
      </c>
      <c r="H97" s="277">
        <v>3.84</v>
      </c>
      <c r="I97" s="277">
        <v>4.4488000000000003</v>
      </c>
      <c r="J97" s="32">
        <v>70</v>
      </c>
      <c r="K97" s="32" t="s">
        <v>100</v>
      </c>
      <c r="L97" s="32" t="s">
        <v>66</v>
      </c>
      <c r="M97" s="33" t="s">
        <v>67</v>
      </c>
      <c r="N97" s="33"/>
      <c r="O97" s="32">
        <v>180</v>
      </c>
      <c r="P97" s="331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290"/>
      <c r="R97" s="290"/>
      <c r="S97" s="290"/>
      <c r="T97" s="291"/>
      <c r="U97" s="34"/>
      <c r="V97" s="34"/>
      <c r="W97" s="35" t="s">
        <v>68</v>
      </c>
      <c r="X97" s="278">
        <v>14</v>
      </c>
      <c r="Y97" s="279">
        <f t="shared" si="6"/>
        <v>14</v>
      </c>
      <c r="Z97" s="36">
        <f t="shared" si="7"/>
        <v>0.25031999999999999</v>
      </c>
      <c r="AA97" s="56"/>
      <c r="AB97" s="57"/>
      <c r="AC97" s="136" t="s">
        <v>166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62.283200000000008</v>
      </c>
      <c r="BN97" s="67">
        <f t="shared" si="9"/>
        <v>62.283200000000008</v>
      </c>
      <c r="BO97" s="67">
        <f t="shared" si="10"/>
        <v>0.2</v>
      </c>
      <c r="BP97" s="67">
        <f t="shared" si="11"/>
        <v>0.2</v>
      </c>
    </row>
    <row r="98" spans="1:68" ht="27" customHeight="1" x14ac:dyDescent="0.25">
      <c r="A98" s="54" t="s">
        <v>173</v>
      </c>
      <c r="B98" s="54" t="s">
        <v>174</v>
      </c>
      <c r="C98" s="31">
        <v>4301137008</v>
      </c>
      <c r="D98" s="284">
        <v>4620207491782</v>
      </c>
      <c r="E98" s="285"/>
      <c r="F98" s="277">
        <v>0.3</v>
      </c>
      <c r="G98" s="32">
        <v>14</v>
      </c>
      <c r="H98" s="277">
        <v>4.2</v>
      </c>
      <c r="I98" s="277">
        <v>4.5292000000000003</v>
      </c>
      <c r="J98" s="32">
        <v>70</v>
      </c>
      <c r="K98" s="32" t="s">
        <v>100</v>
      </c>
      <c r="L98" s="32" t="s">
        <v>66</v>
      </c>
      <c r="M98" s="33" t="s">
        <v>67</v>
      </c>
      <c r="N98" s="33"/>
      <c r="O98" s="32">
        <v>180</v>
      </c>
      <c r="P98" s="438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8" s="290"/>
      <c r="R98" s="290"/>
      <c r="S98" s="290"/>
      <c r="T98" s="291"/>
      <c r="U98" s="34"/>
      <c r="V98" s="34"/>
      <c r="W98" s="35" t="s">
        <v>68</v>
      </c>
      <c r="X98" s="278">
        <v>28</v>
      </c>
      <c r="Y98" s="279">
        <f t="shared" si="6"/>
        <v>28</v>
      </c>
      <c r="Z98" s="36">
        <f t="shared" si="7"/>
        <v>0.50063999999999997</v>
      </c>
      <c r="AA98" s="56"/>
      <c r="AB98" s="57"/>
      <c r="AC98" s="138" t="s">
        <v>166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126.81760000000001</v>
      </c>
      <c r="BN98" s="67">
        <f t="shared" si="9"/>
        <v>126.81760000000001</v>
      </c>
      <c r="BO98" s="67">
        <f t="shared" si="10"/>
        <v>0.4</v>
      </c>
      <c r="BP98" s="67">
        <f t="shared" si="11"/>
        <v>0.4</v>
      </c>
    </row>
    <row r="99" spans="1:68" x14ac:dyDescent="0.2">
      <c r="A99" s="307"/>
      <c r="B99" s="296"/>
      <c r="C99" s="296"/>
      <c r="D99" s="296"/>
      <c r="E99" s="296"/>
      <c r="F99" s="296"/>
      <c r="G99" s="296"/>
      <c r="H99" s="296"/>
      <c r="I99" s="296"/>
      <c r="J99" s="296"/>
      <c r="K99" s="296"/>
      <c r="L99" s="296"/>
      <c r="M99" s="296"/>
      <c r="N99" s="296"/>
      <c r="O99" s="308"/>
      <c r="P99" s="286" t="s">
        <v>87</v>
      </c>
      <c r="Q99" s="287"/>
      <c r="R99" s="287"/>
      <c r="S99" s="287"/>
      <c r="T99" s="287"/>
      <c r="U99" s="287"/>
      <c r="V99" s="288"/>
      <c r="W99" s="37" t="s">
        <v>68</v>
      </c>
      <c r="X99" s="280">
        <f>IFERROR(SUM(X93:X98),"0")</f>
        <v>210</v>
      </c>
      <c r="Y99" s="280">
        <f>IFERROR(SUM(Y93:Y98),"0")</f>
        <v>210</v>
      </c>
      <c r="Z99" s="280">
        <f>IFERROR(IF(Z93="",0,Z93),"0")+IFERROR(IF(Z94="",0,Z94),"0")+IFERROR(IF(Z95="",0,Z95),"0")+IFERROR(IF(Z96="",0,Z96),"0")+IFERROR(IF(Z97="",0,Z97),"0")+IFERROR(IF(Z98="",0,Z98),"0")</f>
        <v>3.7547999999999995</v>
      </c>
      <c r="AA99" s="281"/>
      <c r="AB99" s="281"/>
      <c r="AC99" s="281"/>
    </row>
    <row r="100" spans="1:68" x14ac:dyDescent="0.2">
      <c r="A100" s="296"/>
      <c r="B100" s="296"/>
      <c r="C100" s="296"/>
      <c r="D100" s="296"/>
      <c r="E100" s="296"/>
      <c r="F100" s="296"/>
      <c r="G100" s="296"/>
      <c r="H100" s="296"/>
      <c r="I100" s="296"/>
      <c r="J100" s="296"/>
      <c r="K100" s="296"/>
      <c r="L100" s="296"/>
      <c r="M100" s="296"/>
      <c r="N100" s="296"/>
      <c r="O100" s="308"/>
      <c r="P100" s="286" t="s">
        <v>87</v>
      </c>
      <c r="Q100" s="287"/>
      <c r="R100" s="287"/>
      <c r="S100" s="287"/>
      <c r="T100" s="287"/>
      <c r="U100" s="287"/>
      <c r="V100" s="288"/>
      <c r="W100" s="37" t="s">
        <v>88</v>
      </c>
      <c r="X100" s="280">
        <f>IFERROR(SUMPRODUCT(X93:X98*H93:H98),"0")</f>
        <v>655.20000000000005</v>
      </c>
      <c r="Y100" s="280">
        <f>IFERROR(SUMPRODUCT(Y93:Y98*H93:H98),"0")</f>
        <v>655.20000000000005</v>
      </c>
      <c r="Z100" s="37"/>
      <c r="AA100" s="281"/>
      <c r="AB100" s="281"/>
      <c r="AC100" s="281"/>
    </row>
    <row r="101" spans="1:68" ht="16.5" hidden="1" customHeight="1" x14ac:dyDescent="0.25">
      <c r="A101" s="295" t="s">
        <v>175</v>
      </c>
      <c r="B101" s="296"/>
      <c r="C101" s="296"/>
      <c r="D101" s="296"/>
      <c r="E101" s="296"/>
      <c r="F101" s="296"/>
      <c r="G101" s="296"/>
      <c r="H101" s="296"/>
      <c r="I101" s="296"/>
      <c r="J101" s="296"/>
      <c r="K101" s="296"/>
      <c r="L101" s="296"/>
      <c r="M101" s="296"/>
      <c r="N101" s="296"/>
      <c r="O101" s="296"/>
      <c r="P101" s="296"/>
      <c r="Q101" s="296"/>
      <c r="R101" s="296"/>
      <c r="S101" s="296"/>
      <c r="T101" s="296"/>
      <c r="U101" s="296"/>
      <c r="V101" s="296"/>
      <c r="W101" s="296"/>
      <c r="X101" s="296"/>
      <c r="Y101" s="296"/>
      <c r="Z101" s="296"/>
      <c r="AA101" s="273"/>
      <c r="AB101" s="273"/>
      <c r="AC101" s="273"/>
    </row>
    <row r="102" spans="1:68" ht="14.25" hidden="1" customHeight="1" x14ac:dyDescent="0.25">
      <c r="A102" s="310" t="s">
        <v>129</v>
      </c>
      <c r="B102" s="296"/>
      <c r="C102" s="296"/>
      <c r="D102" s="296"/>
      <c r="E102" s="296"/>
      <c r="F102" s="296"/>
      <c r="G102" s="296"/>
      <c r="H102" s="296"/>
      <c r="I102" s="296"/>
      <c r="J102" s="296"/>
      <c r="K102" s="296"/>
      <c r="L102" s="296"/>
      <c r="M102" s="296"/>
      <c r="N102" s="296"/>
      <c r="O102" s="296"/>
      <c r="P102" s="296"/>
      <c r="Q102" s="296"/>
      <c r="R102" s="296"/>
      <c r="S102" s="296"/>
      <c r="T102" s="296"/>
      <c r="U102" s="296"/>
      <c r="V102" s="296"/>
      <c r="W102" s="296"/>
      <c r="X102" s="296"/>
      <c r="Y102" s="296"/>
      <c r="Z102" s="296"/>
      <c r="AA102" s="272"/>
      <c r="AB102" s="272"/>
      <c r="AC102" s="272"/>
    </row>
    <row r="103" spans="1:68" ht="27" customHeight="1" x14ac:dyDescent="0.25">
      <c r="A103" s="54" t="s">
        <v>176</v>
      </c>
      <c r="B103" s="54" t="s">
        <v>177</v>
      </c>
      <c r="C103" s="31">
        <v>4301136101</v>
      </c>
      <c r="D103" s="284">
        <v>4620207491652</v>
      </c>
      <c r="E103" s="285"/>
      <c r="F103" s="277">
        <v>0.09</v>
      </c>
      <c r="G103" s="32">
        <v>24</v>
      </c>
      <c r="H103" s="277">
        <v>2.16</v>
      </c>
      <c r="I103" s="277">
        <v>2.4912000000000001</v>
      </c>
      <c r="J103" s="32">
        <v>126</v>
      </c>
      <c r="K103" s="32" t="s">
        <v>100</v>
      </c>
      <c r="L103" s="32" t="s">
        <v>66</v>
      </c>
      <c r="M103" s="33" t="s">
        <v>67</v>
      </c>
      <c r="N103" s="33"/>
      <c r="O103" s="32">
        <v>180</v>
      </c>
      <c r="P103" s="330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290"/>
      <c r="R103" s="290"/>
      <c r="S103" s="290"/>
      <c r="T103" s="291"/>
      <c r="U103" s="34"/>
      <c r="V103" s="34"/>
      <c r="W103" s="35" t="s">
        <v>68</v>
      </c>
      <c r="X103" s="278">
        <v>28</v>
      </c>
      <c r="Y103" s="279">
        <f>IFERROR(IF(X103="","",X103),"")</f>
        <v>28</v>
      </c>
      <c r="Z103" s="36">
        <f>IFERROR(IF(X103="","",X103*0.00936),"")</f>
        <v>0.26207999999999998</v>
      </c>
      <c r="AA103" s="56"/>
      <c r="AB103" s="57"/>
      <c r="AC103" s="140" t="s">
        <v>178</v>
      </c>
      <c r="AG103" s="67"/>
      <c r="AJ103" s="71" t="s">
        <v>70</v>
      </c>
      <c r="AK103" s="71">
        <v>1</v>
      </c>
      <c r="BB103" s="141" t="s">
        <v>104</v>
      </c>
      <c r="BM103" s="67">
        <f>IFERROR(X103*I103,"0")</f>
        <v>69.753600000000006</v>
      </c>
      <c r="BN103" s="67">
        <f>IFERROR(Y103*I103,"0")</f>
        <v>69.753600000000006</v>
      </c>
      <c r="BO103" s="67">
        <f>IFERROR(X103/J103,"0")</f>
        <v>0.22222222222222221</v>
      </c>
      <c r="BP103" s="67">
        <f>IFERROR(Y103/J103,"0")</f>
        <v>0.22222222222222221</v>
      </c>
    </row>
    <row r="104" spans="1:68" ht="27" hidden="1" customHeight="1" x14ac:dyDescent="0.25">
      <c r="A104" s="54" t="s">
        <v>179</v>
      </c>
      <c r="B104" s="54" t="s">
        <v>180</v>
      </c>
      <c r="C104" s="31">
        <v>4301136103</v>
      </c>
      <c r="D104" s="284">
        <v>4620207491645</v>
      </c>
      <c r="E104" s="285"/>
      <c r="F104" s="277">
        <v>0.36</v>
      </c>
      <c r="G104" s="32">
        <v>10</v>
      </c>
      <c r="H104" s="277">
        <v>3.6</v>
      </c>
      <c r="I104" s="277">
        <v>4.2439999999999998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11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290"/>
      <c r="R104" s="290"/>
      <c r="S104" s="290"/>
      <c r="T104" s="291"/>
      <c r="U104" s="34"/>
      <c r="V104" s="34"/>
      <c r="W104" s="35" t="s">
        <v>68</v>
      </c>
      <c r="X104" s="278">
        <v>0</v>
      </c>
      <c r="Y104" s="279">
        <f>IFERROR(IF(X104="","",X104),"")</f>
        <v>0</v>
      </c>
      <c r="Z104" s="36">
        <f>IFERROR(IF(X104="","",X104*0.01788),"")</f>
        <v>0</v>
      </c>
      <c r="AA104" s="56"/>
      <c r="AB104" s="57"/>
      <c r="AC104" s="142" t="s">
        <v>178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x14ac:dyDescent="0.2">
      <c r="A105" s="307"/>
      <c r="B105" s="296"/>
      <c r="C105" s="296"/>
      <c r="D105" s="296"/>
      <c r="E105" s="296"/>
      <c r="F105" s="296"/>
      <c r="G105" s="296"/>
      <c r="H105" s="296"/>
      <c r="I105" s="296"/>
      <c r="J105" s="296"/>
      <c r="K105" s="296"/>
      <c r="L105" s="296"/>
      <c r="M105" s="296"/>
      <c r="N105" s="296"/>
      <c r="O105" s="308"/>
      <c r="P105" s="286" t="s">
        <v>87</v>
      </c>
      <c r="Q105" s="287"/>
      <c r="R105" s="287"/>
      <c r="S105" s="287"/>
      <c r="T105" s="287"/>
      <c r="U105" s="287"/>
      <c r="V105" s="288"/>
      <c r="W105" s="37" t="s">
        <v>68</v>
      </c>
      <c r="X105" s="280">
        <f>IFERROR(SUM(X103:X104),"0")</f>
        <v>28</v>
      </c>
      <c r="Y105" s="280">
        <f>IFERROR(SUM(Y103:Y104),"0")</f>
        <v>28</v>
      </c>
      <c r="Z105" s="280">
        <f>IFERROR(IF(Z103="",0,Z103),"0")+IFERROR(IF(Z104="",0,Z104),"0")</f>
        <v>0.26207999999999998</v>
      </c>
      <c r="AA105" s="281"/>
      <c r="AB105" s="281"/>
      <c r="AC105" s="281"/>
    </row>
    <row r="106" spans="1:68" x14ac:dyDescent="0.2">
      <c r="A106" s="296"/>
      <c r="B106" s="296"/>
      <c r="C106" s="296"/>
      <c r="D106" s="296"/>
      <c r="E106" s="296"/>
      <c r="F106" s="296"/>
      <c r="G106" s="296"/>
      <c r="H106" s="296"/>
      <c r="I106" s="296"/>
      <c r="J106" s="296"/>
      <c r="K106" s="296"/>
      <c r="L106" s="296"/>
      <c r="M106" s="296"/>
      <c r="N106" s="296"/>
      <c r="O106" s="308"/>
      <c r="P106" s="286" t="s">
        <v>87</v>
      </c>
      <c r="Q106" s="287"/>
      <c r="R106" s="287"/>
      <c r="S106" s="287"/>
      <c r="T106" s="287"/>
      <c r="U106" s="287"/>
      <c r="V106" s="288"/>
      <c r="W106" s="37" t="s">
        <v>88</v>
      </c>
      <c r="X106" s="280">
        <f>IFERROR(SUMPRODUCT(X103:X104*H103:H104),"0")</f>
        <v>60.480000000000004</v>
      </c>
      <c r="Y106" s="280">
        <f>IFERROR(SUMPRODUCT(Y103:Y104*H103:H104),"0")</f>
        <v>60.480000000000004</v>
      </c>
      <c r="Z106" s="37"/>
      <c r="AA106" s="281"/>
      <c r="AB106" s="281"/>
      <c r="AC106" s="281"/>
    </row>
    <row r="107" spans="1:68" ht="16.5" hidden="1" customHeight="1" x14ac:dyDescent="0.25">
      <c r="A107" s="295" t="s">
        <v>181</v>
      </c>
      <c r="B107" s="296"/>
      <c r="C107" s="296"/>
      <c r="D107" s="296"/>
      <c r="E107" s="296"/>
      <c r="F107" s="296"/>
      <c r="G107" s="296"/>
      <c r="H107" s="296"/>
      <c r="I107" s="296"/>
      <c r="J107" s="296"/>
      <c r="K107" s="296"/>
      <c r="L107" s="296"/>
      <c r="M107" s="296"/>
      <c r="N107" s="296"/>
      <c r="O107" s="296"/>
      <c r="P107" s="296"/>
      <c r="Q107" s="296"/>
      <c r="R107" s="296"/>
      <c r="S107" s="296"/>
      <c r="T107" s="296"/>
      <c r="U107" s="296"/>
      <c r="V107" s="296"/>
      <c r="W107" s="296"/>
      <c r="X107" s="296"/>
      <c r="Y107" s="296"/>
      <c r="Z107" s="296"/>
      <c r="AA107" s="273"/>
      <c r="AB107" s="273"/>
      <c r="AC107" s="273"/>
    </row>
    <row r="108" spans="1:68" ht="14.25" hidden="1" customHeight="1" x14ac:dyDescent="0.25">
      <c r="A108" s="310" t="s">
        <v>62</v>
      </c>
      <c r="B108" s="296"/>
      <c r="C108" s="296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72"/>
      <c r="AB108" s="272"/>
      <c r="AC108" s="272"/>
    </row>
    <row r="109" spans="1:68" ht="27" hidden="1" customHeight="1" x14ac:dyDescent="0.25">
      <c r="A109" s="54" t="s">
        <v>182</v>
      </c>
      <c r="B109" s="54" t="s">
        <v>183</v>
      </c>
      <c r="C109" s="31">
        <v>4301071074</v>
      </c>
      <c r="D109" s="284">
        <v>4620207491157</v>
      </c>
      <c r="E109" s="285"/>
      <c r="F109" s="277">
        <v>0.7</v>
      </c>
      <c r="G109" s="32">
        <v>10</v>
      </c>
      <c r="H109" s="277">
        <v>7</v>
      </c>
      <c r="I109" s="277">
        <v>7.28</v>
      </c>
      <c r="J109" s="32">
        <v>84</v>
      </c>
      <c r="K109" s="32" t="s">
        <v>65</v>
      </c>
      <c r="L109" s="32" t="s">
        <v>101</v>
      </c>
      <c r="M109" s="33" t="s">
        <v>67</v>
      </c>
      <c r="N109" s="33"/>
      <c r="O109" s="32">
        <v>180</v>
      </c>
      <c r="P109" s="43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290"/>
      <c r="R109" s="290"/>
      <c r="S109" s="290"/>
      <c r="T109" s="291"/>
      <c r="U109" s="34"/>
      <c r="V109" s="34"/>
      <c r="W109" s="35" t="s">
        <v>68</v>
      </c>
      <c r="X109" s="278">
        <v>0</v>
      </c>
      <c r="Y109" s="279">
        <f t="shared" ref="Y109:Y115" si="12">IFERROR(IF(X109="","",X109),"")</f>
        <v>0</v>
      </c>
      <c r="Z109" s="36">
        <f t="shared" ref="Z109:Z115" si="13">IFERROR(IF(X109="","",X109*0.0155),"")</f>
        <v>0</v>
      </c>
      <c r="AA109" s="56"/>
      <c r="AB109" s="57"/>
      <c r="AC109" s="144" t="s">
        <v>184</v>
      </c>
      <c r="AG109" s="67"/>
      <c r="AJ109" s="71" t="s">
        <v>103</v>
      </c>
      <c r="AK109" s="71">
        <v>12</v>
      </c>
      <c r="BB109" s="145" t="s">
        <v>1</v>
      </c>
      <c r="BM109" s="67">
        <f t="shared" ref="BM109:BM115" si="14">IFERROR(X109*I109,"0")</f>
        <v>0</v>
      </c>
      <c r="BN109" s="67">
        <f t="shared" ref="BN109:BN115" si="15">IFERROR(Y109*I109,"0")</f>
        <v>0</v>
      </c>
      <c r="BO109" s="67">
        <f t="shared" ref="BO109:BO115" si="16">IFERROR(X109/J109,"0")</f>
        <v>0</v>
      </c>
      <c r="BP109" s="67">
        <f t="shared" ref="BP109:BP115" si="17">IFERROR(Y109/J109,"0")</f>
        <v>0</v>
      </c>
    </row>
    <row r="110" spans="1:68" ht="27" hidden="1" customHeight="1" x14ac:dyDescent="0.25">
      <c r="A110" s="54" t="s">
        <v>185</v>
      </c>
      <c r="B110" s="54" t="s">
        <v>186</v>
      </c>
      <c r="C110" s="31">
        <v>4301071121</v>
      </c>
      <c r="D110" s="284">
        <v>4620207491393</v>
      </c>
      <c r="E110" s="285"/>
      <c r="F110" s="277">
        <v>0.4</v>
      </c>
      <c r="G110" s="32">
        <v>16</v>
      </c>
      <c r="H110" s="277">
        <v>6.4</v>
      </c>
      <c r="I110" s="277">
        <v>6.71</v>
      </c>
      <c r="J110" s="32">
        <v>84</v>
      </c>
      <c r="K110" s="32" t="s">
        <v>65</v>
      </c>
      <c r="L110" s="32" t="s">
        <v>66</v>
      </c>
      <c r="M110" s="33" t="s">
        <v>67</v>
      </c>
      <c r="N110" s="33"/>
      <c r="O110" s="32">
        <v>180</v>
      </c>
      <c r="P110" s="45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290"/>
      <c r="R110" s="290"/>
      <c r="S110" s="290"/>
      <c r="T110" s="291"/>
      <c r="U110" s="34"/>
      <c r="V110" s="34"/>
      <c r="W110" s="35" t="s">
        <v>68</v>
      </c>
      <c r="X110" s="278">
        <v>0</v>
      </c>
      <c r="Y110" s="279">
        <f t="shared" si="12"/>
        <v>0</v>
      </c>
      <c r="Z110" s="36">
        <f t="shared" si="13"/>
        <v>0</v>
      </c>
      <c r="AA110" s="56"/>
      <c r="AB110" s="57"/>
      <c r="AC110" s="146" t="s">
        <v>187</v>
      </c>
      <c r="AG110" s="67"/>
      <c r="AJ110" s="71" t="s">
        <v>70</v>
      </c>
      <c r="AK110" s="71">
        <v>1</v>
      </c>
      <c r="BB110" s="147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hidden="1" customHeight="1" x14ac:dyDescent="0.25">
      <c r="A111" s="54" t="s">
        <v>188</v>
      </c>
      <c r="B111" s="54" t="s">
        <v>189</v>
      </c>
      <c r="C111" s="31">
        <v>4301071051</v>
      </c>
      <c r="D111" s="284">
        <v>4607111039262</v>
      </c>
      <c r="E111" s="285"/>
      <c r="F111" s="277">
        <v>0.4</v>
      </c>
      <c r="G111" s="32">
        <v>16</v>
      </c>
      <c r="H111" s="277">
        <v>6.4</v>
      </c>
      <c r="I111" s="277">
        <v>6.7195999999999998</v>
      </c>
      <c r="J111" s="32">
        <v>84</v>
      </c>
      <c r="K111" s="32" t="s">
        <v>65</v>
      </c>
      <c r="L111" s="32" t="s">
        <v>101</v>
      </c>
      <c r="M111" s="33" t="s">
        <v>67</v>
      </c>
      <c r="N111" s="33"/>
      <c r="O111" s="32">
        <v>180</v>
      </c>
      <c r="P111" s="41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290"/>
      <c r="R111" s="290"/>
      <c r="S111" s="290"/>
      <c r="T111" s="291"/>
      <c r="U111" s="34"/>
      <c r="V111" s="34"/>
      <c r="W111" s="35" t="s">
        <v>68</v>
      </c>
      <c r="X111" s="278">
        <v>0</v>
      </c>
      <c r="Y111" s="279">
        <f t="shared" si="12"/>
        <v>0</v>
      </c>
      <c r="Z111" s="36">
        <f t="shared" si="13"/>
        <v>0</v>
      </c>
      <c r="AA111" s="56"/>
      <c r="AB111" s="57"/>
      <c r="AC111" s="148" t="s">
        <v>145</v>
      </c>
      <c r="AG111" s="67"/>
      <c r="AJ111" s="71" t="s">
        <v>103</v>
      </c>
      <c r="AK111" s="71">
        <v>12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190</v>
      </c>
      <c r="B112" s="54" t="s">
        <v>191</v>
      </c>
      <c r="C112" s="31">
        <v>4301071038</v>
      </c>
      <c r="D112" s="284">
        <v>4607111039248</v>
      </c>
      <c r="E112" s="285"/>
      <c r="F112" s="277">
        <v>0.7</v>
      </c>
      <c r="G112" s="32">
        <v>10</v>
      </c>
      <c r="H112" s="277">
        <v>7</v>
      </c>
      <c r="I112" s="277">
        <v>7.3</v>
      </c>
      <c r="J112" s="32">
        <v>84</v>
      </c>
      <c r="K112" s="32" t="s">
        <v>65</v>
      </c>
      <c r="L112" s="32" t="s">
        <v>101</v>
      </c>
      <c r="M112" s="33" t="s">
        <v>67</v>
      </c>
      <c r="N112" s="33"/>
      <c r="O112" s="32">
        <v>180</v>
      </c>
      <c r="P112" s="40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290"/>
      <c r="R112" s="290"/>
      <c r="S112" s="290"/>
      <c r="T112" s="291"/>
      <c r="U112" s="34"/>
      <c r="V112" s="34"/>
      <c r="W112" s="35" t="s">
        <v>68</v>
      </c>
      <c r="X112" s="278">
        <v>48</v>
      </c>
      <c r="Y112" s="279">
        <f t="shared" si="12"/>
        <v>48</v>
      </c>
      <c r="Z112" s="36">
        <f t="shared" si="13"/>
        <v>0.74399999999999999</v>
      </c>
      <c r="AA112" s="56"/>
      <c r="AB112" s="57"/>
      <c r="AC112" s="150" t="s">
        <v>145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350.4</v>
      </c>
      <c r="BN112" s="67">
        <f t="shared" si="15"/>
        <v>350.4</v>
      </c>
      <c r="BO112" s="67">
        <f t="shared" si="16"/>
        <v>0.5714285714285714</v>
      </c>
      <c r="BP112" s="67">
        <f t="shared" si="17"/>
        <v>0.5714285714285714</v>
      </c>
    </row>
    <row r="113" spans="1:68" ht="27" hidden="1" customHeight="1" x14ac:dyDescent="0.25">
      <c r="A113" s="54" t="s">
        <v>192</v>
      </c>
      <c r="B113" s="54" t="s">
        <v>193</v>
      </c>
      <c r="C113" s="31">
        <v>4301070979</v>
      </c>
      <c r="D113" s="284">
        <v>4607111037145</v>
      </c>
      <c r="E113" s="285"/>
      <c r="F113" s="277">
        <v>0.8</v>
      </c>
      <c r="G113" s="32">
        <v>8</v>
      </c>
      <c r="H113" s="277">
        <v>6.4</v>
      </c>
      <c r="I113" s="277">
        <v>6.6748000000000003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34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290"/>
      <c r="R113" s="290"/>
      <c r="S113" s="290"/>
      <c r="T113" s="291"/>
      <c r="U113" s="34"/>
      <c r="V113" s="34"/>
      <c r="W113" s="35" t="s">
        <v>68</v>
      </c>
      <c r="X113" s="278">
        <v>0</v>
      </c>
      <c r="Y113" s="279">
        <f t="shared" si="12"/>
        <v>0</v>
      </c>
      <c r="Z113" s="36">
        <f t="shared" si="13"/>
        <v>0</v>
      </c>
      <c r="AA113" s="56"/>
      <c r="AB113" s="57"/>
      <c r="AC113" s="152" t="s">
        <v>194</v>
      </c>
      <c r="AG113" s="67"/>
      <c r="AJ113" s="71" t="s">
        <v>70</v>
      </c>
      <c r="AK113" s="71">
        <v>1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195</v>
      </c>
      <c r="B114" s="54" t="s">
        <v>196</v>
      </c>
      <c r="C114" s="31">
        <v>4301071139</v>
      </c>
      <c r="D114" s="284">
        <v>4607111039293</v>
      </c>
      <c r="E114" s="285"/>
      <c r="F114" s="277">
        <v>0.4</v>
      </c>
      <c r="G114" s="32">
        <v>16</v>
      </c>
      <c r="H114" s="277">
        <v>6.4</v>
      </c>
      <c r="I114" s="277">
        <v>6.7195999999999998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395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290"/>
      <c r="R114" s="290"/>
      <c r="S114" s="290"/>
      <c r="T114" s="291"/>
      <c r="U114" s="34"/>
      <c r="V114" s="34"/>
      <c r="W114" s="35" t="s">
        <v>68</v>
      </c>
      <c r="X114" s="278">
        <v>12</v>
      </c>
      <c r="Y114" s="279">
        <f t="shared" si="12"/>
        <v>12</v>
      </c>
      <c r="Z114" s="36">
        <f t="shared" si="13"/>
        <v>0.186</v>
      </c>
      <c r="AA114" s="56"/>
      <c r="AB114" s="57"/>
      <c r="AC114" s="154" t="s">
        <v>197</v>
      </c>
      <c r="AG114" s="67"/>
      <c r="AJ114" s="71" t="s">
        <v>70</v>
      </c>
      <c r="AK114" s="71">
        <v>1</v>
      </c>
      <c r="BB114" s="155" t="s">
        <v>1</v>
      </c>
      <c r="BM114" s="67">
        <f t="shared" si="14"/>
        <v>80.635199999999998</v>
      </c>
      <c r="BN114" s="67">
        <f t="shared" si="15"/>
        <v>80.635199999999998</v>
      </c>
      <c r="BO114" s="67">
        <f t="shared" si="16"/>
        <v>0.14285714285714285</v>
      </c>
      <c r="BP114" s="67">
        <f t="shared" si="17"/>
        <v>0.14285714285714285</v>
      </c>
    </row>
    <row r="115" spans="1:68" ht="27" hidden="1" customHeight="1" x14ac:dyDescent="0.25">
      <c r="A115" s="54" t="s">
        <v>198</v>
      </c>
      <c r="B115" s="54" t="s">
        <v>199</v>
      </c>
      <c r="C115" s="31">
        <v>4301071039</v>
      </c>
      <c r="D115" s="284">
        <v>4607111039279</v>
      </c>
      <c r="E115" s="285"/>
      <c r="F115" s="277">
        <v>0.7</v>
      </c>
      <c r="G115" s="32">
        <v>10</v>
      </c>
      <c r="H115" s="277">
        <v>7</v>
      </c>
      <c r="I115" s="277">
        <v>7.3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8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290"/>
      <c r="R115" s="290"/>
      <c r="S115" s="290"/>
      <c r="T115" s="291"/>
      <c r="U115" s="34"/>
      <c r="V115" s="34"/>
      <c r="W115" s="35" t="s">
        <v>68</v>
      </c>
      <c r="X115" s="278">
        <v>0</v>
      </c>
      <c r="Y115" s="279">
        <f t="shared" si="12"/>
        <v>0</v>
      </c>
      <c r="Z115" s="36">
        <f t="shared" si="13"/>
        <v>0</v>
      </c>
      <c r="AA115" s="56"/>
      <c r="AB115" s="57"/>
      <c r="AC115" s="156" t="s">
        <v>145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x14ac:dyDescent="0.2">
      <c r="A116" s="307"/>
      <c r="B116" s="296"/>
      <c r="C116" s="296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308"/>
      <c r="P116" s="286" t="s">
        <v>87</v>
      </c>
      <c r="Q116" s="287"/>
      <c r="R116" s="287"/>
      <c r="S116" s="287"/>
      <c r="T116" s="287"/>
      <c r="U116" s="287"/>
      <c r="V116" s="288"/>
      <c r="W116" s="37" t="s">
        <v>68</v>
      </c>
      <c r="X116" s="280">
        <f>IFERROR(SUM(X109:X115),"0")</f>
        <v>60</v>
      </c>
      <c r="Y116" s="280">
        <f>IFERROR(SUM(Y109:Y115),"0")</f>
        <v>60</v>
      </c>
      <c r="Z116" s="280">
        <f>IFERROR(IF(Z109="",0,Z109),"0")+IFERROR(IF(Z110="",0,Z110),"0")+IFERROR(IF(Z111="",0,Z111),"0")+IFERROR(IF(Z112="",0,Z112),"0")+IFERROR(IF(Z113="",0,Z113),"0")+IFERROR(IF(Z114="",0,Z114),"0")+IFERROR(IF(Z115="",0,Z115),"0")</f>
        <v>0.92999999999999994</v>
      </c>
      <c r="AA116" s="281"/>
      <c r="AB116" s="281"/>
      <c r="AC116" s="281"/>
    </row>
    <row r="117" spans="1:68" x14ac:dyDescent="0.2">
      <c r="A117" s="296"/>
      <c r="B117" s="296"/>
      <c r="C117" s="296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308"/>
      <c r="P117" s="286" t="s">
        <v>87</v>
      </c>
      <c r="Q117" s="287"/>
      <c r="R117" s="287"/>
      <c r="S117" s="287"/>
      <c r="T117" s="287"/>
      <c r="U117" s="287"/>
      <c r="V117" s="288"/>
      <c r="W117" s="37" t="s">
        <v>88</v>
      </c>
      <c r="X117" s="280">
        <f>IFERROR(SUMPRODUCT(X109:X115*H109:H115),"0")</f>
        <v>412.8</v>
      </c>
      <c r="Y117" s="280">
        <f>IFERROR(SUMPRODUCT(Y109:Y115*H109:H115),"0")</f>
        <v>412.8</v>
      </c>
      <c r="Z117" s="37"/>
      <c r="AA117" s="281"/>
      <c r="AB117" s="281"/>
      <c r="AC117" s="281"/>
    </row>
    <row r="118" spans="1:68" ht="14.25" hidden="1" customHeight="1" x14ac:dyDescent="0.25">
      <c r="A118" s="310" t="s">
        <v>133</v>
      </c>
      <c r="B118" s="296"/>
      <c r="C118" s="296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72"/>
      <c r="AB118" s="272"/>
      <c r="AC118" s="272"/>
    </row>
    <row r="119" spans="1:68" ht="27" hidden="1" customHeight="1" x14ac:dyDescent="0.25">
      <c r="A119" s="54" t="s">
        <v>200</v>
      </c>
      <c r="B119" s="54" t="s">
        <v>201</v>
      </c>
      <c r="C119" s="31">
        <v>4301135826</v>
      </c>
      <c r="D119" s="284">
        <v>4620207490983</v>
      </c>
      <c r="E119" s="285"/>
      <c r="F119" s="277">
        <v>0.22</v>
      </c>
      <c r="G119" s="32">
        <v>12</v>
      </c>
      <c r="H119" s="277">
        <v>2.64</v>
      </c>
      <c r="I119" s="277">
        <v>3.3435999999999999</v>
      </c>
      <c r="J119" s="32">
        <v>70</v>
      </c>
      <c r="K119" s="32" t="s">
        <v>100</v>
      </c>
      <c r="L119" s="32" t="s">
        <v>66</v>
      </c>
      <c r="M119" s="33" t="s">
        <v>67</v>
      </c>
      <c r="N119" s="33"/>
      <c r="O119" s="32">
        <v>180</v>
      </c>
      <c r="P119" s="35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290"/>
      <c r="R119" s="290"/>
      <c r="S119" s="290"/>
      <c r="T119" s="291"/>
      <c r="U119" s="34"/>
      <c r="V119" s="34"/>
      <c r="W119" s="35" t="s">
        <v>68</v>
      </c>
      <c r="X119" s="278">
        <v>0</v>
      </c>
      <c r="Y119" s="279">
        <f>IFERROR(IF(X119="","",X119),"")</f>
        <v>0</v>
      </c>
      <c r="Z119" s="36">
        <f>IFERROR(IF(X119="","",X119*0.01788),"")</f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104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idden="1" x14ac:dyDescent="0.2">
      <c r="A120" s="307"/>
      <c r="B120" s="296"/>
      <c r="C120" s="296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308"/>
      <c r="P120" s="286" t="s">
        <v>87</v>
      </c>
      <c r="Q120" s="287"/>
      <c r="R120" s="287"/>
      <c r="S120" s="287"/>
      <c r="T120" s="287"/>
      <c r="U120" s="287"/>
      <c r="V120" s="288"/>
      <c r="W120" s="37" t="s">
        <v>68</v>
      </c>
      <c r="X120" s="280">
        <f>IFERROR(SUM(X119:X119),"0")</f>
        <v>0</v>
      </c>
      <c r="Y120" s="280">
        <f>IFERROR(SUM(Y119:Y119),"0")</f>
        <v>0</v>
      </c>
      <c r="Z120" s="280">
        <f>IFERROR(IF(Z119="",0,Z119),"0")</f>
        <v>0</v>
      </c>
      <c r="AA120" s="281"/>
      <c r="AB120" s="281"/>
      <c r="AC120" s="281"/>
    </row>
    <row r="121" spans="1:68" hidden="1" x14ac:dyDescent="0.2">
      <c r="A121" s="296"/>
      <c r="B121" s="296"/>
      <c r="C121" s="296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308"/>
      <c r="P121" s="286" t="s">
        <v>87</v>
      </c>
      <c r="Q121" s="287"/>
      <c r="R121" s="287"/>
      <c r="S121" s="287"/>
      <c r="T121" s="287"/>
      <c r="U121" s="287"/>
      <c r="V121" s="288"/>
      <c r="W121" s="37" t="s">
        <v>88</v>
      </c>
      <c r="X121" s="280">
        <f>IFERROR(SUMPRODUCT(X119:X119*H119:H119),"0")</f>
        <v>0</v>
      </c>
      <c r="Y121" s="280">
        <f>IFERROR(SUMPRODUCT(Y119:Y119*H119:H119),"0")</f>
        <v>0</v>
      </c>
      <c r="Z121" s="37"/>
      <c r="AA121" s="281"/>
      <c r="AB121" s="281"/>
      <c r="AC121" s="281"/>
    </row>
    <row r="122" spans="1:68" ht="14.25" hidden="1" customHeight="1" x14ac:dyDescent="0.25">
      <c r="A122" s="310" t="s">
        <v>203</v>
      </c>
      <c r="B122" s="296"/>
      <c r="C122" s="296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72"/>
      <c r="AB122" s="272"/>
      <c r="AC122" s="272"/>
    </row>
    <row r="123" spans="1:68" ht="27" hidden="1" customHeight="1" x14ac:dyDescent="0.25">
      <c r="A123" s="54" t="s">
        <v>204</v>
      </c>
      <c r="B123" s="54" t="s">
        <v>205</v>
      </c>
      <c r="C123" s="31">
        <v>4301071094</v>
      </c>
      <c r="D123" s="284">
        <v>4620207491140</v>
      </c>
      <c r="E123" s="285"/>
      <c r="F123" s="277">
        <v>0.6</v>
      </c>
      <c r="G123" s="32">
        <v>10</v>
      </c>
      <c r="H123" s="277">
        <v>6</v>
      </c>
      <c r="I123" s="277">
        <v>6.28</v>
      </c>
      <c r="J123" s="32">
        <v>84</v>
      </c>
      <c r="K123" s="32" t="s">
        <v>65</v>
      </c>
      <c r="L123" s="32" t="s">
        <v>66</v>
      </c>
      <c r="M123" s="33" t="s">
        <v>67</v>
      </c>
      <c r="N123" s="33"/>
      <c r="O123" s="32">
        <v>180</v>
      </c>
      <c r="P123" s="45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290"/>
      <c r="R123" s="290"/>
      <c r="S123" s="290"/>
      <c r="T123" s="291"/>
      <c r="U123" s="34"/>
      <c r="V123" s="34"/>
      <c r="W123" s="35" t="s">
        <v>68</v>
      </c>
      <c r="X123" s="278">
        <v>0</v>
      </c>
      <c r="Y123" s="279">
        <f>IFERROR(IF(X123="","",X123),"")</f>
        <v>0</v>
      </c>
      <c r="Z123" s="36">
        <f>IFERROR(IF(X123="","",X123*0.0155),"")</f>
        <v>0</v>
      </c>
      <c r="AA123" s="56"/>
      <c r="AB123" s="57"/>
      <c r="AC123" s="160" t="s">
        <v>206</v>
      </c>
      <c r="AG123" s="67"/>
      <c r="AJ123" s="71" t="s">
        <v>70</v>
      </c>
      <c r="AK123" s="71">
        <v>1</v>
      </c>
      <c r="BB123" s="161" t="s">
        <v>104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307"/>
      <c r="B124" s="296"/>
      <c r="C124" s="296"/>
      <c r="D124" s="296"/>
      <c r="E124" s="296"/>
      <c r="F124" s="296"/>
      <c r="G124" s="296"/>
      <c r="H124" s="296"/>
      <c r="I124" s="296"/>
      <c r="J124" s="296"/>
      <c r="K124" s="296"/>
      <c r="L124" s="296"/>
      <c r="M124" s="296"/>
      <c r="N124" s="296"/>
      <c r="O124" s="308"/>
      <c r="P124" s="286" t="s">
        <v>87</v>
      </c>
      <c r="Q124" s="287"/>
      <c r="R124" s="287"/>
      <c r="S124" s="287"/>
      <c r="T124" s="287"/>
      <c r="U124" s="287"/>
      <c r="V124" s="288"/>
      <c r="W124" s="37" t="s">
        <v>68</v>
      </c>
      <c r="X124" s="280">
        <f>IFERROR(SUM(X123:X123),"0")</f>
        <v>0</v>
      </c>
      <c r="Y124" s="280">
        <f>IFERROR(SUM(Y123:Y123),"0")</f>
        <v>0</v>
      </c>
      <c r="Z124" s="280">
        <f>IFERROR(IF(Z123="",0,Z123),"0")</f>
        <v>0</v>
      </c>
      <c r="AA124" s="281"/>
      <c r="AB124" s="281"/>
      <c r="AC124" s="281"/>
    </row>
    <row r="125" spans="1:68" hidden="1" x14ac:dyDescent="0.2">
      <c r="A125" s="296"/>
      <c r="B125" s="296"/>
      <c r="C125" s="296"/>
      <c r="D125" s="296"/>
      <c r="E125" s="296"/>
      <c r="F125" s="296"/>
      <c r="G125" s="296"/>
      <c r="H125" s="296"/>
      <c r="I125" s="296"/>
      <c r="J125" s="296"/>
      <c r="K125" s="296"/>
      <c r="L125" s="296"/>
      <c r="M125" s="296"/>
      <c r="N125" s="296"/>
      <c r="O125" s="308"/>
      <c r="P125" s="286" t="s">
        <v>87</v>
      </c>
      <c r="Q125" s="287"/>
      <c r="R125" s="287"/>
      <c r="S125" s="287"/>
      <c r="T125" s="287"/>
      <c r="U125" s="287"/>
      <c r="V125" s="288"/>
      <c r="W125" s="37" t="s">
        <v>88</v>
      </c>
      <c r="X125" s="280">
        <f>IFERROR(SUMPRODUCT(X123:X123*H123:H123),"0")</f>
        <v>0</v>
      </c>
      <c r="Y125" s="280">
        <f>IFERROR(SUMPRODUCT(Y123:Y123*H123:H123),"0")</f>
        <v>0</v>
      </c>
      <c r="Z125" s="37"/>
      <c r="AA125" s="281"/>
      <c r="AB125" s="281"/>
      <c r="AC125" s="281"/>
    </row>
    <row r="126" spans="1:68" ht="16.5" hidden="1" customHeight="1" x14ac:dyDescent="0.25">
      <c r="A126" s="295" t="s">
        <v>207</v>
      </c>
      <c r="B126" s="296"/>
      <c r="C126" s="296"/>
      <c r="D126" s="296"/>
      <c r="E126" s="296"/>
      <c r="F126" s="296"/>
      <c r="G126" s="296"/>
      <c r="H126" s="296"/>
      <c r="I126" s="296"/>
      <c r="J126" s="296"/>
      <c r="K126" s="296"/>
      <c r="L126" s="296"/>
      <c r="M126" s="296"/>
      <c r="N126" s="296"/>
      <c r="O126" s="296"/>
      <c r="P126" s="296"/>
      <c r="Q126" s="296"/>
      <c r="R126" s="296"/>
      <c r="S126" s="296"/>
      <c r="T126" s="296"/>
      <c r="U126" s="296"/>
      <c r="V126" s="296"/>
      <c r="W126" s="296"/>
      <c r="X126" s="296"/>
      <c r="Y126" s="296"/>
      <c r="Z126" s="296"/>
      <c r="AA126" s="273"/>
      <c r="AB126" s="273"/>
      <c r="AC126" s="273"/>
    </row>
    <row r="127" spans="1:68" ht="14.25" hidden="1" customHeight="1" x14ac:dyDescent="0.25">
      <c r="A127" s="310" t="s">
        <v>62</v>
      </c>
      <c r="B127" s="296"/>
      <c r="C127" s="296"/>
      <c r="D127" s="296"/>
      <c r="E127" s="296"/>
      <c r="F127" s="296"/>
      <c r="G127" s="296"/>
      <c r="H127" s="296"/>
      <c r="I127" s="296"/>
      <c r="J127" s="296"/>
      <c r="K127" s="296"/>
      <c r="L127" s="296"/>
      <c r="M127" s="296"/>
      <c r="N127" s="296"/>
      <c r="O127" s="296"/>
      <c r="P127" s="296"/>
      <c r="Q127" s="296"/>
      <c r="R127" s="296"/>
      <c r="S127" s="296"/>
      <c r="T127" s="296"/>
      <c r="U127" s="296"/>
      <c r="V127" s="296"/>
      <c r="W127" s="296"/>
      <c r="X127" s="296"/>
      <c r="Y127" s="296"/>
      <c r="Z127" s="296"/>
      <c r="AA127" s="272"/>
      <c r="AB127" s="272"/>
      <c r="AC127" s="272"/>
    </row>
    <row r="128" spans="1:68" ht="27" hidden="1" customHeight="1" x14ac:dyDescent="0.25">
      <c r="A128" s="54" t="s">
        <v>208</v>
      </c>
      <c r="B128" s="54" t="s">
        <v>209</v>
      </c>
      <c r="C128" s="31">
        <v>4301071142</v>
      </c>
      <c r="D128" s="284">
        <v>4620207491904</v>
      </c>
      <c r="E128" s="285"/>
      <c r="F128" s="277">
        <v>0.56999999999999995</v>
      </c>
      <c r="G128" s="32">
        <v>10</v>
      </c>
      <c r="H128" s="277">
        <v>5.7</v>
      </c>
      <c r="I128" s="277">
        <v>5.98</v>
      </c>
      <c r="J128" s="32">
        <v>84</v>
      </c>
      <c r="K128" s="32" t="s">
        <v>65</v>
      </c>
      <c r="L128" s="32" t="s">
        <v>66</v>
      </c>
      <c r="M128" s="33" t="s">
        <v>67</v>
      </c>
      <c r="N128" s="33"/>
      <c r="O128" s="32">
        <v>180</v>
      </c>
      <c r="P128" s="437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8" s="290"/>
      <c r="R128" s="290"/>
      <c r="S128" s="290"/>
      <c r="T128" s="291"/>
      <c r="U128" s="34"/>
      <c r="V128" s="34"/>
      <c r="W128" s="35" t="s">
        <v>68</v>
      </c>
      <c r="X128" s="278">
        <v>0</v>
      </c>
      <c r="Y128" s="279">
        <f>IFERROR(IF(X128="","",X128),"")</f>
        <v>0</v>
      </c>
      <c r="Z128" s="36">
        <f>IFERROR(IF(X128="","",X128*0.0155),"")</f>
        <v>0</v>
      </c>
      <c r="AA128" s="56"/>
      <c r="AB128" s="57" t="s">
        <v>210</v>
      </c>
      <c r="AC128" s="162" t="s">
        <v>211</v>
      </c>
      <c r="AG128" s="67"/>
      <c r="AJ128" s="71" t="s">
        <v>70</v>
      </c>
      <c r="AK128" s="71">
        <v>1</v>
      </c>
      <c r="BB128" s="163" t="s">
        <v>1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307"/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6"/>
      <c r="M129" s="296"/>
      <c r="N129" s="296"/>
      <c r="O129" s="308"/>
      <c r="P129" s="286" t="s">
        <v>87</v>
      </c>
      <c r="Q129" s="287"/>
      <c r="R129" s="287"/>
      <c r="S129" s="287"/>
      <c r="T129" s="287"/>
      <c r="U129" s="287"/>
      <c r="V129" s="288"/>
      <c r="W129" s="37" t="s">
        <v>68</v>
      </c>
      <c r="X129" s="280">
        <f>IFERROR(SUM(X128:X128),"0")</f>
        <v>0</v>
      </c>
      <c r="Y129" s="280">
        <f>IFERROR(SUM(Y128:Y128),"0")</f>
        <v>0</v>
      </c>
      <c r="Z129" s="280">
        <f>IFERROR(IF(Z128="",0,Z128),"0")</f>
        <v>0</v>
      </c>
      <c r="AA129" s="281"/>
      <c r="AB129" s="281"/>
      <c r="AC129" s="281"/>
    </row>
    <row r="130" spans="1:68" hidden="1" x14ac:dyDescent="0.2">
      <c r="A130" s="296"/>
      <c r="B130" s="296"/>
      <c r="C130" s="296"/>
      <c r="D130" s="296"/>
      <c r="E130" s="296"/>
      <c r="F130" s="296"/>
      <c r="G130" s="296"/>
      <c r="H130" s="296"/>
      <c r="I130" s="296"/>
      <c r="J130" s="296"/>
      <c r="K130" s="296"/>
      <c r="L130" s="296"/>
      <c r="M130" s="296"/>
      <c r="N130" s="296"/>
      <c r="O130" s="308"/>
      <c r="P130" s="286" t="s">
        <v>87</v>
      </c>
      <c r="Q130" s="287"/>
      <c r="R130" s="287"/>
      <c r="S130" s="287"/>
      <c r="T130" s="287"/>
      <c r="U130" s="287"/>
      <c r="V130" s="288"/>
      <c r="W130" s="37" t="s">
        <v>88</v>
      </c>
      <c r="X130" s="280">
        <f>IFERROR(SUMPRODUCT(X128:X128*H128:H128),"0")</f>
        <v>0</v>
      </c>
      <c r="Y130" s="280">
        <f>IFERROR(SUMPRODUCT(Y128:Y128*H128:H128),"0")</f>
        <v>0</v>
      </c>
      <c r="Z130" s="37"/>
      <c r="AA130" s="281"/>
      <c r="AB130" s="281"/>
      <c r="AC130" s="281"/>
    </row>
    <row r="131" spans="1:68" ht="14.25" hidden="1" customHeight="1" x14ac:dyDescent="0.25">
      <c r="A131" s="310" t="s">
        <v>133</v>
      </c>
      <c r="B131" s="296"/>
      <c r="C131" s="296"/>
      <c r="D131" s="296"/>
      <c r="E131" s="296"/>
      <c r="F131" s="296"/>
      <c r="G131" s="296"/>
      <c r="H131" s="296"/>
      <c r="I131" s="296"/>
      <c r="J131" s="296"/>
      <c r="K131" s="296"/>
      <c r="L131" s="296"/>
      <c r="M131" s="296"/>
      <c r="N131" s="296"/>
      <c r="O131" s="296"/>
      <c r="P131" s="296"/>
      <c r="Q131" s="296"/>
      <c r="R131" s="296"/>
      <c r="S131" s="296"/>
      <c r="T131" s="296"/>
      <c r="U131" s="296"/>
      <c r="V131" s="296"/>
      <c r="W131" s="296"/>
      <c r="X131" s="296"/>
      <c r="Y131" s="296"/>
      <c r="Z131" s="296"/>
      <c r="AA131" s="272"/>
      <c r="AB131" s="272"/>
      <c r="AC131" s="272"/>
    </row>
    <row r="132" spans="1:68" ht="27" customHeight="1" x14ac:dyDescent="0.25">
      <c r="A132" s="54" t="s">
        <v>212</v>
      </c>
      <c r="B132" s="54" t="s">
        <v>213</v>
      </c>
      <c r="C132" s="31">
        <v>4301135848</v>
      </c>
      <c r="D132" s="284">
        <v>4620207491799</v>
      </c>
      <c r="E132" s="285"/>
      <c r="F132" s="277">
        <v>0.23</v>
      </c>
      <c r="G132" s="32">
        <v>6</v>
      </c>
      <c r="H132" s="277">
        <v>1.38</v>
      </c>
      <c r="I132" s="277">
        <v>1.8</v>
      </c>
      <c r="J132" s="32">
        <v>140</v>
      </c>
      <c r="K132" s="32" t="s">
        <v>100</v>
      </c>
      <c r="L132" s="32" t="s">
        <v>66</v>
      </c>
      <c r="M132" s="33" t="s">
        <v>67</v>
      </c>
      <c r="N132" s="33"/>
      <c r="O132" s="32">
        <v>180</v>
      </c>
      <c r="P132" s="400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2" s="290"/>
      <c r="R132" s="290"/>
      <c r="S132" s="290"/>
      <c r="T132" s="291"/>
      <c r="U132" s="34"/>
      <c r="V132" s="34"/>
      <c r="W132" s="35" t="s">
        <v>68</v>
      </c>
      <c r="X132" s="278">
        <v>84</v>
      </c>
      <c r="Y132" s="279">
        <f>IFERROR(IF(X132="","",X132),"")</f>
        <v>84</v>
      </c>
      <c r="Z132" s="36">
        <f>IFERROR(IF(X132="","",X132*0.00941),"")</f>
        <v>0.79044000000000003</v>
      </c>
      <c r="AA132" s="56"/>
      <c r="AB132" s="57"/>
      <c r="AC132" s="164" t="s">
        <v>214</v>
      </c>
      <c r="AG132" s="67"/>
      <c r="AJ132" s="71" t="s">
        <v>70</v>
      </c>
      <c r="AK132" s="71">
        <v>1</v>
      </c>
      <c r="BB132" s="165" t="s">
        <v>104</v>
      </c>
      <c r="BM132" s="67">
        <f>IFERROR(X132*I132,"0")</f>
        <v>151.20000000000002</v>
      </c>
      <c r="BN132" s="67">
        <f>IFERROR(Y132*I132,"0")</f>
        <v>151.20000000000002</v>
      </c>
      <c r="BO132" s="67">
        <f>IFERROR(X132/J132,"0")</f>
        <v>0.6</v>
      </c>
      <c r="BP132" s="67">
        <f>IFERROR(Y132/J132,"0")</f>
        <v>0.6</v>
      </c>
    </row>
    <row r="133" spans="1:68" ht="27" hidden="1" customHeight="1" x14ac:dyDescent="0.25">
      <c r="A133" s="54" t="s">
        <v>215</v>
      </c>
      <c r="B133" s="54" t="s">
        <v>216</v>
      </c>
      <c r="C133" s="31">
        <v>4301135850</v>
      </c>
      <c r="D133" s="284">
        <v>4620207491492</v>
      </c>
      <c r="E133" s="285"/>
      <c r="F133" s="277">
        <v>0.23</v>
      </c>
      <c r="G133" s="32">
        <v>6</v>
      </c>
      <c r="H133" s="277">
        <v>1.38</v>
      </c>
      <c r="I133" s="277">
        <v>1.8</v>
      </c>
      <c r="J133" s="32">
        <v>140</v>
      </c>
      <c r="K133" s="32" t="s">
        <v>100</v>
      </c>
      <c r="L133" s="32" t="s">
        <v>66</v>
      </c>
      <c r="M133" s="33" t="s">
        <v>67</v>
      </c>
      <c r="N133" s="33"/>
      <c r="O133" s="32">
        <v>180</v>
      </c>
      <c r="P133" s="440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3" s="290"/>
      <c r="R133" s="290"/>
      <c r="S133" s="290"/>
      <c r="T133" s="291"/>
      <c r="U133" s="34"/>
      <c r="V133" s="34"/>
      <c r="W133" s="35" t="s">
        <v>68</v>
      </c>
      <c r="X133" s="278">
        <v>0</v>
      </c>
      <c r="Y133" s="279">
        <f>IFERROR(IF(X133="","",X133),"")</f>
        <v>0</v>
      </c>
      <c r="Z133" s="36">
        <f>IFERROR(IF(X133="","",X133*0.00941),"")</f>
        <v>0</v>
      </c>
      <c r="AA133" s="56"/>
      <c r="AB133" s="57"/>
      <c r="AC133" s="166" t="s">
        <v>214</v>
      </c>
      <c r="AG133" s="67"/>
      <c r="AJ133" s="71" t="s">
        <v>70</v>
      </c>
      <c r="AK133" s="71">
        <v>1</v>
      </c>
      <c r="BB133" s="167" t="s">
        <v>104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217</v>
      </c>
      <c r="B134" s="54" t="s">
        <v>218</v>
      </c>
      <c r="C134" s="31">
        <v>4301190118</v>
      </c>
      <c r="D134" s="284">
        <v>4620207491461</v>
      </c>
      <c r="E134" s="285"/>
      <c r="F134" s="277">
        <v>0.22</v>
      </c>
      <c r="G134" s="32">
        <v>6</v>
      </c>
      <c r="H134" s="277">
        <v>1.32</v>
      </c>
      <c r="I134" s="277">
        <v>1.74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45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4" s="290"/>
      <c r="R134" s="290"/>
      <c r="S134" s="290"/>
      <c r="T134" s="291"/>
      <c r="U134" s="34"/>
      <c r="V134" s="34"/>
      <c r="W134" s="35" t="s">
        <v>68</v>
      </c>
      <c r="X134" s="278">
        <v>42</v>
      </c>
      <c r="Y134" s="279">
        <f>IFERROR(IF(X134="","",X134),"")</f>
        <v>42</v>
      </c>
      <c r="Z134" s="36">
        <f>IFERROR(IF(X134="","",X134*0.00941),"")</f>
        <v>0.39522000000000002</v>
      </c>
      <c r="AA134" s="56"/>
      <c r="AB134" s="57"/>
      <c r="AC134" s="168" t="s">
        <v>214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73.08</v>
      </c>
      <c r="BN134" s="67">
        <f>IFERROR(Y134*I134,"0")</f>
        <v>73.08</v>
      </c>
      <c r="BO134" s="67">
        <f>IFERROR(X134/J134,"0")</f>
        <v>0.3</v>
      </c>
      <c r="BP134" s="67">
        <f>IFERROR(Y134/J134,"0")</f>
        <v>0.3</v>
      </c>
    </row>
    <row r="135" spans="1:68" ht="27" customHeight="1" x14ac:dyDescent="0.25">
      <c r="A135" s="54" t="s">
        <v>219</v>
      </c>
      <c r="B135" s="54" t="s">
        <v>220</v>
      </c>
      <c r="C135" s="31">
        <v>4301135865</v>
      </c>
      <c r="D135" s="284">
        <v>4620207491485</v>
      </c>
      <c r="E135" s="285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2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5" s="290"/>
      <c r="R135" s="290"/>
      <c r="S135" s="290"/>
      <c r="T135" s="291"/>
      <c r="U135" s="34"/>
      <c r="V135" s="34"/>
      <c r="W135" s="35" t="s">
        <v>68</v>
      </c>
      <c r="X135" s="278">
        <v>42</v>
      </c>
      <c r="Y135" s="279">
        <f>IFERROR(IF(X135="","",X135),"")</f>
        <v>42</v>
      </c>
      <c r="Z135" s="36">
        <f>IFERROR(IF(X135="","",X135*0.00941),"")</f>
        <v>0.39522000000000002</v>
      </c>
      <c r="AA135" s="56"/>
      <c r="AB135" s="57"/>
      <c r="AC135" s="170" t="s">
        <v>214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75.600000000000009</v>
      </c>
      <c r="BN135" s="67">
        <f>IFERROR(Y135*I135,"0")</f>
        <v>75.600000000000009</v>
      </c>
      <c r="BO135" s="67">
        <f>IFERROR(X135/J135,"0")</f>
        <v>0.3</v>
      </c>
      <c r="BP135" s="67">
        <f>IFERROR(Y135/J135,"0")</f>
        <v>0.3</v>
      </c>
    </row>
    <row r="136" spans="1:68" x14ac:dyDescent="0.2">
      <c r="A136" s="307"/>
      <c r="B136" s="296"/>
      <c r="C136" s="296"/>
      <c r="D136" s="296"/>
      <c r="E136" s="296"/>
      <c r="F136" s="296"/>
      <c r="G136" s="296"/>
      <c r="H136" s="296"/>
      <c r="I136" s="296"/>
      <c r="J136" s="296"/>
      <c r="K136" s="296"/>
      <c r="L136" s="296"/>
      <c r="M136" s="296"/>
      <c r="N136" s="296"/>
      <c r="O136" s="308"/>
      <c r="P136" s="286" t="s">
        <v>87</v>
      </c>
      <c r="Q136" s="287"/>
      <c r="R136" s="287"/>
      <c r="S136" s="287"/>
      <c r="T136" s="287"/>
      <c r="U136" s="287"/>
      <c r="V136" s="288"/>
      <c r="W136" s="37" t="s">
        <v>68</v>
      </c>
      <c r="X136" s="280">
        <f>IFERROR(SUM(X132:X135),"0")</f>
        <v>168</v>
      </c>
      <c r="Y136" s="280">
        <f>IFERROR(SUM(Y132:Y135),"0")</f>
        <v>168</v>
      </c>
      <c r="Z136" s="280">
        <f>IFERROR(IF(Z132="",0,Z132),"0")+IFERROR(IF(Z133="",0,Z133),"0")+IFERROR(IF(Z134="",0,Z134),"0")+IFERROR(IF(Z135="",0,Z135),"0")</f>
        <v>1.5808800000000001</v>
      </c>
      <c r="AA136" s="281"/>
      <c r="AB136" s="281"/>
      <c r="AC136" s="281"/>
    </row>
    <row r="137" spans="1:68" x14ac:dyDescent="0.2">
      <c r="A137" s="296"/>
      <c r="B137" s="296"/>
      <c r="C137" s="296"/>
      <c r="D137" s="296"/>
      <c r="E137" s="296"/>
      <c r="F137" s="296"/>
      <c r="G137" s="296"/>
      <c r="H137" s="296"/>
      <c r="I137" s="296"/>
      <c r="J137" s="296"/>
      <c r="K137" s="296"/>
      <c r="L137" s="296"/>
      <c r="M137" s="296"/>
      <c r="N137" s="296"/>
      <c r="O137" s="308"/>
      <c r="P137" s="286" t="s">
        <v>87</v>
      </c>
      <c r="Q137" s="287"/>
      <c r="R137" s="287"/>
      <c r="S137" s="287"/>
      <c r="T137" s="287"/>
      <c r="U137" s="287"/>
      <c r="V137" s="288"/>
      <c r="W137" s="37" t="s">
        <v>88</v>
      </c>
      <c r="X137" s="280">
        <f>IFERROR(SUMPRODUCT(X132:X135*H132:H135),"0")</f>
        <v>229.32</v>
      </c>
      <c r="Y137" s="280">
        <f>IFERROR(SUMPRODUCT(Y132:Y135*H132:H135),"0")</f>
        <v>229.32</v>
      </c>
      <c r="Z137" s="37"/>
      <c r="AA137" s="281"/>
      <c r="AB137" s="281"/>
      <c r="AC137" s="281"/>
    </row>
    <row r="138" spans="1:68" ht="14.25" hidden="1" customHeight="1" x14ac:dyDescent="0.25">
      <c r="A138" s="310" t="s">
        <v>221</v>
      </c>
      <c r="B138" s="296"/>
      <c r="C138" s="296"/>
      <c r="D138" s="296"/>
      <c r="E138" s="296"/>
      <c r="F138" s="296"/>
      <c r="G138" s="296"/>
      <c r="H138" s="296"/>
      <c r="I138" s="296"/>
      <c r="J138" s="296"/>
      <c r="K138" s="296"/>
      <c r="L138" s="296"/>
      <c r="M138" s="296"/>
      <c r="N138" s="296"/>
      <c r="O138" s="296"/>
      <c r="P138" s="296"/>
      <c r="Q138" s="296"/>
      <c r="R138" s="296"/>
      <c r="S138" s="296"/>
      <c r="T138" s="296"/>
      <c r="U138" s="296"/>
      <c r="V138" s="296"/>
      <c r="W138" s="296"/>
      <c r="X138" s="296"/>
      <c r="Y138" s="296"/>
      <c r="Z138" s="296"/>
      <c r="AA138" s="272"/>
      <c r="AB138" s="272"/>
      <c r="AC138" s="272"/>
    </row>
    <row r="139" spans="1:68" ht="27" hidden="1" customHeight="1" x14ac:dyDescent="0.25">
      <c r="A139" s="54" t="s">
        <v>222</v>
      </c>
      <c r="B139" s="54" t="s">
        <v>223</v>
      </c>
      <c r="C139" s="31">
        <v>4301190117</v>
      </c>
      <c r="D139" s="284">
        <v>4620207491386</v>
      </c>
      <c r="E139" s="285"/>
      <c r="F139" s="277">
        <v>0.18</v>
      </c>
      <c r="G139" s="32">
        <v>6</v>
      </c>
      <c r="H139" s="277">
        <v>1.08</v>
      </c>
      <c r="I139" s="277">
        <v>1.3979999999999999</v>
      </c>
      <c r="J139" s="32">
        <v>140</v>
      </c>
      <c r="K139" s="32" t="s">
        <v>100</v>
      </c>
      <c r="L139" s="32" t="s">
        <v>66</v>
      </c>
      <c r="M139" s="33" t="s">
        <v>67</v>
      </c>
      <c r="N139" s="33"/>
      <c r="O139" s="32">
        <v>180</v>
      </c>
      <c r="P139" s="40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9" s="290"/>
      <c r="R139" s="290"/>
      <c r="S139" s="290"/>
      <c r="T139" s="291"/>
      <c r="U139" s="34"/>
      <c r="V139" s="34"/>
      <c r="W139" s="35" t="s">
        <v>68</v>
      </c>
      <c r="X139" s="278">
        <v>0</v>
      </c>
      <c r="Y139" s="279">
        <f>IFERROR(IF(X139="","",X139),"")</f>
        <v>0</v>
      </c>
      <c r="Z139" s="36">
        <f>IFERROR(IF(X139="","",X139*0.00941),"")</f>
        <v>0</v>
      </c>
      <c r="AA139" s="56"/>
      <c r="AB139" s="57"/>
      <c r="AC139" s="172" t="s">
        <v>224</v>
      </c>
      <c r="AG139" s="67"/>
      <c r="AJ139" s="71" t="s">
        <v>70</v>
      </c>
      <c r="AK139" s="71">
        <v>1</v>
      </c>
      <c r="BB139" s="173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27" hidden="1" customHeight="1" x14ac:dyDescent="0.25">
      <c r="A140" s="54" t="s">
        <v>225</v>
      </c>
      <c r="B140" s="54" t="s">
        <v>226</v>
      </c>
      <c r="C140" s="31">
        <v>4301190115</v>
      </c>
      <c r="D140" s="284">
        <v>4620207491362</v>
      </c>
      <c r="E140" s="285"/>
      <c r="F140" s="277">
        <v>0.18</v>
      </c>
      <c r="G140" s="32">
        <v>6</v>
      </c>
      <c r="H140" s="277">
        <v>1.08</v>
      </c>
      <c r="I140" s="277">
        <v>1.3979999999999999</v>
      </c>
      <c r="J140" s="32">
        <v>140</v>
      </c>
      <c r="K140" s="32" t="s">
        <v>100</v>
      </c>
      <c r="L140" s="32" t="s">
        <v>66</v>
      </c>
      <c r="M140" s="33" t="s">
        <v>67</v>
      </c>
      <c r="N140" s="33"/>
      <c r="O140" s="32">
        <v>180</v>
      </c>
      <c r="P140" s="384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0" s="290"/>
      <c r="R140" s="290"/>
      <c r="S140" s="290"/>
      <c r="T140" s="291"/>
      <c r="U140" s="34"/>
      <c r="V140" s="34"/>
      <c r="W140" s="35" t="s">
        <v>68</v>
      </c>
      <c r="X140" s="278">
        <v>0</v>
      </c>
      <c r="Y140" s="279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224</v>
      </c>
      <c r="AG140" s="67"/>
      <c r="AJ140" s="71" t="s">
        <v>70</v>
      </c>
      <c r="AK140" s="71">
        <v>1</v>
      </c>
      <c r="BB140" s="175" t="s">
        <v>104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t="27" hidden="1" customHeight="1" x14ac:dyDescent="0.25">
      <c r="A141" s="54" t="s">
        <v>227</v>
      </c>
      <c r="B141" s="54" t="s">
        <v>228</v>
      </c>
      <c r="C141" s="31">
        <v>4301190116</v>
      </c>
      <c r="D141" s="284">
        <v>4620207491379</v>
      </c>
      <c r="E141" s="285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3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1" s="290"/>
      <c r="R141" s="290"/>
      <c r="S141" s="290"/>
      <c r="T141" s="291"/>
      <c r="U141" s="34"/>
      <c r="V141" s="34"/>
      <c r="W141" s="35" t="s">
        <v>68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224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idden="1" x14ac:dyDescent="0.2">
      <c r="A142" s="307"/>
      <c r="B142" s="296"/>
      <c r="C142" s="296"/>
      <c r="D142" s="296"/>
      <c r="E142" s="296"/>
      <c r="F142" s="296"/>
      <c r="G142" s="296"/>
      <c r="H142" s="296"/>
      <c r="I142" s="296"/>
      <c r="J142" s="296"/>
      <c r="K142" s="296"/>
      <c r="L142" s="296"/>
      <c r="M142" s="296"/>
      <c r="N142" s="296"/>
      <c r="O142" s="308"/>
      <c r="P142" s="286" t="s">
        <v>87</v>
      </c>
      <c r="Q142" s="287"/>
      <c r="R142" s="287"/>
      <c r="S142" s="287"/>
      <c r="T142" s="287"/>
      <c r="U142" s="287"/>
      <c r="V142" s="288"/>
      <c r="W142" s="37" t="s">
        <v>68</v>
      </c>
      <c r="X142" s="280">
        <f>IFERROR(SUM(X139:X141),"0")</f>
        <v>0</v>
      </c>
      <c r="Y142" s="280">
        <f>IFERROR(SUM(Y139:Y141),"0")</f>
        <v>0</v>
      </c>
      <c r="Z142" s="280">
        <f>IFERROR(IF(Z139="",0,Z139),"0")+IFERROR(IF(Z140="",0,Z140),"0")+IFERROR(IF(Z141="",0,Z141),"0")</f>
        <v>0</v>
      </c>
      <c r="AA142" s="281"/>
      <c r="AB142" s="281"/>
      <c r="AC142" s="281"/>
    </row>
    <row r="143" spans="1:68" hidden="1" x14ac:dyDescent="0.2">
      <c r="A143" s="296"/>
      <c r="B143" s="296"/>
      <c r="C143" s="296"/>
      <c r="D143" s="296"/>
      <c r="E143" s="296"/>
      <c r="F143" s="296"/>
      <c r="G143" s="296"/>
      <c r="H143" s="296"/>
      <c r="I143" s="296"/>
      <c r="J143" s="296"/>
      <c r="K143" s="296"/>
      <c r="L143" s="296"/>
      <c r="M143" s="296"/>
      <c r="N143" s="296"/>
      <c r="O143" s="308"/>
      <c r="P143" s="286" t="s">
        <v>87</v>
      </c>
      <c r="Q143" s="287"/>
      <c r="R143" s="287"/>
      <c r="S143" s="287"/>
      <c r="T143" s="287"/>
      <c r="U143" s="287"/>
      <c r="V143" s="288"/>
      <c r="W143" s="37" t="s">
        <v>88</v>
      </c>
      <c r="X143" s="280">
        <f>IFERROR(SUMPRODUCT(X139:X141*H139:H141),"0")</f>
        <v>0</v>
      </c>
      <c r="Y143" s="280">
        <f>IFERROR(SUMPRODUCT(Y139:Y141*H139:H141),"0")</f>
        <v>0</v>
      </c>
      <c r="Z143" s="37"/>
      <c r="AA143" s="281"/>
      <c r="AB143" s="281"/>
      <c r="AC143" s="281"/>
    </row>
    <row r="144" spans="1:68" ht="16.5" hidden="1" customHeight="1" x14ac:dyDescent="0.25">
      <c r="A144" s="295" t="s">
        <v>229</v>
      </c>
      <c r="B144" s="296"/>
      <c r="C144" s="296"/>
      <c r="D144" s="296"/>
      <c r="E144" s="296"/>
      <c r="F144" s="296"/>
      <c r="G144" s="296"/>
      <c r="H144" s="296"/>
      <c r="I144" s="296"/>
      <c r="J144" s="296"/>
      <c r="K144" s="296"/>
      <c r="L144" s="296"/>
      <c r="M144" s="296"/>
      <c r="N144" s="296"/>
      <c r="O144" s="296"/>
      <c r="P144" s="296"/>
      <c r="Q144" s="296"/>
      <c r="R144" s="296"/>
      <c r="S144" s="296"/>
      <c r="T144" s="296"/>
      <c r="U144" s="296"/>
      <c r="V144" s="296"/>
      <c r="W144" s="296"/>
      <c r="X144" s="296"/>
      <c r="Y144" s="296"/>
      <c r="Z144" s="296"/>
      <c r="AA144" s="273"/>
      <c r="AB144" s="273"/>
      <c r="AC144" s="273"/>
    </row>
    <row r="145" spans="1:68" ht="14.25" hidden="1" customHeight="1" x14ac:dyDescent="0.25">
      <c r="A145" s="310" t="s">
        <v>133</v>
      </c>
      <c r="B145" s="296"/>
      <c r="C145" s="296"/>
      <c r="D145" s="296"/>
      <c r="E145" s="296"/>
      <c r="F145" s="296"/>
      <c r="G145" s="296"/>
      <c r="H145" s="296"/>
      <c r="I145" s="296"/>
      <c r="J145" s="296"/>
      <c r="K145" s="296"/>
      <c r="L145" s="296"/>
      <c r="M145" s="296"/>
      <c r="N145" s="296"/>
      <c r="O145" s="296"/>
      <c r="P145" s="296"/>
      <c r="Q145" s="296"/>
      <c r="R145" s="296"/>
      <c r="S145" s="296"/>
      <c r="T145" s="296"/>
      <c r="U145" s="296"/>
      <c r="V145" s="296"/>
      <c r="W145" s="296"/>
      <c r="X145" s="296"/>
      <c r="Y145" s="296"/>
      <c r="Z145" s="296"/>
      <c r="AA145" s="272"/>
      <c r="AB145" s="272"/>
      <c r="AC145" s="272"/>
    </row>
    <row r="146" spans="1:68" ht="27" customHeight="1" x14ac:dyDescent="0.25">
      <c r="A146" s="54" t="s">
        <v>230</v>
      </c>
      <c r="B146" s="54" t="s">
        <v>231</v>
      </c>
      <c r="C146" s="31">
        <v>4301135956</v>
      </c>
      <c r="D146" s="284">
        <v>4620207491560</v>
      </c>
      <c r="E146" s="285"/>
      <c r="F146" s="277">
        <v>0.25</v>
      </c>
      <c r="G146" s="32">
        <v>12</v>
      </c>
      <c r="H146" s="277">
        <v>3</v>
      </c>
      <c r="I146" s="277">
        <v>3.7035999999999998</v>
      </c>
      <c r="J146" s="32">
        <v>70</v>
      </c>
      <c r="K146" s="32" t="s">
        <v>100</v>
      </c>
      <c r="L146" s="32" t="s">
        <v>66</v>
      </c>
      <c r="M146" s="33" t="s">
        <v>67</v>
      </c>
      <c r="N146" s="33"/>
      <c r="O146" s="32">
        <v>180</v>
      </c>
      <c r="P146" s="456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6" s="290"/>
      <c r="R146" s="290"/>
      <c r="S146" s="290"/>
      <c r="T146" s="291"/>
      <c r="U146" s="34"/>
      <c r="V146" s="34"/>
      <c r="W146" s="35" t="s">
        <v>68</v>
      </c>
      <c r="X146" s="278">
        <v>98</v>
      </c>
      <c r="Y146" s="279">
        <f>IFERROR(IF(X146="","",X146),"")</f>
        <v>98</v>
      </c>
      <c r="Z146" s="36">
        <f>IFERROR(IF(X146="","",X146*0.01788),"")</f>
        <v>1.75224</v>
      </c>
      <c r="AA146" s="56"/>
      <c r="AB146" s="57"/>
      <c r="AC146" s="178" t="s">
        <v>232</v>
      </c>
      <c r="AG146" s="67"/>
      <c r="AJ146" s="71" t="s">
        <v>70</v>
      </c>
      <c r="AK146" s="71">
        <v>1</v>
      </c>
      <c r="BB146" s="179" t="s">
        <v>104</v>
      </c>
      <c r="BM146" s="67">
        <f>IFERROR(X146*I146,"0")</f>
        <v>362.95279999999997</v>
      </c>
      <c r="BN146" s="67">
        <f>IFERROR(Y146*I146,"0")</f>
        <v>362.95279999999997</v>
      </c>
      <c r="BO146" s="67">
        <f>IFERROR(X146/J146,"0")</f>
        <v>1.4</v>
      </c>
      <c r="BP146" s="67">
        <f>IFERROR(Y146/J146,"0")</f>
        <v>1.4</v>
      </c>
    </row>
    <row r="147" spans="1:68" ht="27" customHeight="1" x14ac:dyDescent="0.25">
      <c r="A147" s="54" t="s">
        <v>233</v>
      </c>
      <c r="B147" s="54" t="s">
        <v>234</v>
      </c>
      <c r="C147" s="31">
        <v>4301135532</v>
      </c>
      <c r="D147" s="284">
        <v>4607111033994</v>
      </c>
      <c r="E147" s="285"/>
      <c r="F147" s="277">
        <v>0.25</v>
      </c>
      <c r="G147" s="32">
        <v>12</v>
      </c>
      <c r="H147" s="277">
        <v>3</v>
      </c>
      <c r="I147" s="277">
        <v>3.7035999999999998</v>
      </c>
      <c r="J147" s="32">
        <v>70</v>
      </c>
      <c r="K147" s="32" t="s">
        <v>100</v>
      </c>
      <c r="L147" s="32" t="s">
        <v>101</v>
      </c>
      <c r="M147" s="33" t="s">
        <v>67</v>
      </c>
      <c r="N147" s="33"/>
      <c r="O147" s="32">
        <v>180</v>
      </c>
      <c r="P147" s="36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7" s="290"/>
      <c r="R147" s="290"/>
      <c r="S147" s="290"/>
      <c r="T147" s="291"/>
      <c r="U147" s="34"/>
      <c r="V147" s="34"/>
      <c r="W147" s="35" t="s">
        <v>68</v>
      </c>
      <c r="X147" s="278">
        <v>126</v>
      </c>
      <c r="Y147" s="279">
        <f>IFERROR(IF(X147="","",X147),"")</f>
        <v>126</v>
      </c>
      <c r="Z147" s="36">
        <f>IFERROR(IF(X147="","",X147*0.01788),"")</f>
        <v>2.2528800000000002</v>
      </c>
      <c r="AA147" s="56"/>
      <c r="AB147" s="57"/>
      <c r="AC147" s="180" t="s">
        <v>163</v>
      </c>
      <c r="AG147" s="67"/>
      <c r="AJ147" s="71" t="s">
        <v>103</v>
      </c>
      <c r="AK147" s="71">
        <v>14</v>
      </c>
      <c r="BB147" s="181" t="s">
        <v>104</v>
      </c>
      <c r="BM147" s="67">
        <f>IFERROR(X147*I147,"0")</f>
        <v>466.65359999999998</v>
      </c>
      <c r="BN147" s="67">
        <f>IFERROR(Y147*I147,"0")</f>
        <v>466.65359999999998</v>
      </c>
      <c r="BO147" s="67">
        <f>IFERROR(X147/J147,"0")</f>
        <v>1.8</v>
      </c>
      <c r="BP147" s="67">
        <f>IFERROR(Y147/J147,"0")</f>
        <v>1.8</v>
      </c>
    </row>
    <row r="148" spans="1:68" x14ac:dyDescent="0.2">
      <c r="A148" s="307"/>
      <c r="B148" s="296"/>
      <c r="C148" s="296"/>
      <c r="D148" s="296"/>
      <c r="E148" s="296"/>
      <c r="F148" s="296"/>
      <c r="G148" s="296"/>
      <c r="H148" s="296"/>
      <c r="I148" s="296"/>
      <c r="J148" s="296"/>
      <c r="K148" s="296"/>
      <c r="L148" s="296"/>
      <c r="M148" s="296"/>
      <c r="N148" s="296"/>
      <c r="O148" s="308"/>
      <c r="P148" s="286" t="s">
        <v>87</v>
      </c>
      <c r="Q148" s="287"/>
      <c r="R148" s="287"/>
      <c r="S148" s="287"/>
      <c r="T148" s="287"/>
      <c r="U148" s="287"/>
      <c r="V148" s="288"/>
      <c r="W148" s="37" t="s">
        <v>68</v>
      </c>
      <c r="X148" s="280">
        <f>IFERROR(SUM(X146:X147),"0")</f>
        <v>224</v>
      </c>
      <c r="Y148" s="280">
        <f>IFERROR(SUM(Y146:Y147),"0")</f>
        <v>224</v>
      </c>
      <c r="Z148" s="280">
        <f>IFERROR(IF(Z146="",0,Z146),"0")+IFERROR(IF(Z147="",0,Z147),"0")</f>
        <v>4.0051199999999998</v>
      </c>
      <c r="AA148" s="281"/>
      <c r="AB148" s="281"/>
      <c r="AC148" s="281"/>
    </row>
    <row r="149" spans="1:68" x14ac:dyDescent="0.2">
      <c r="A149" s="296"/>
      <c r="B149" s="296"/>
      <c r="C149" s="296"/>
      <c r="D149" s="296"/>
      <c r="E149" s="296"/>
      <c r="F149" s="296"/>
      <c r="G149" s="296"/>
      <c r="H149" s="296"/>
      <c r="I149" s="296"/>
      <c r="J149" s="296"/>
      <c r="K149" s="296"/>
      <c r="L149" s="296"/>
      <c r="M149" s="296"/>
      <c r="N149" s="296"/>
      <c r="O149" s="308"/>
      <c r="P149" s="286" t="s">
        <v>87</v>
      </c>
      <c r="Q149" s="287"/>
      <c r="R149" s="287"/>
      <c r="S149" s="287"/>
      <c r="T149" s="287"/>
      <c r="U149" s="287"/>
      <c r="V149" s="288"/>
      <c r="W149" s="37" t="s">
        <v>88</v>
      </c>
      <c r="X149" s="280">
        <f>IFERROR(SUMPRODUCT(X146:X147*H146:H147),"0")</f>
        <v>672</v>
      </c>
      <c r="Y149" s="280">
        <f>IFERROR(SUMPRODUCT(Y146:Y147*H146:H147),"0")</f>
        <v>672</v>
      </c>
      <c r="Z149" s="37"/>
      <c r="AA149" s="281"/>
      <c r="AB149" s="281"/>
      <c r="AC149" s="281"/>
    </row>
    <row r="150" spans="1:68" ht="16.5" hidden="1" customHeight="1" x14ac:dyDescent="0.25">
      <c r="A150" s="295" t="s">
        <v>235</v>
      </c>
      <c r="B150" s="296"/>
      <c r="C150" s="296"/>
      <c r="D150" s="296"/>
      <c r="E150" s="296"/>
      <c r="F150" s="296"/>
      <c r="G150" s="296"/>
      <c r="H150" s="296"/>
      <c r="I150" s="296"/>
      <c r="J150" s="296"/>
      <c r="K150" s="296"/>
      <c r="L150" s="296"/>
      <c r="M150" s="296"/>
      <c r="N150" s="296"/>
      <c r="O150" s="296"/>
      <c r="P150" s="296"/>
      <c r="Q150" s="296"/>
      <c r="R150" s="296"/>
      <c r="S150" s="296"/>
      <c r="T150" s="296"/>
      <c r="U150" s="296"/>
      <c r="V150" s="296"/>
      <c r="W150" s="296"/>
      <c r="X150" s="296"/>
      <c r="Y150" s="296"/>
      <c r="Z150" s="296"/>
      <c r="AA150" s="273"/>
      <c r="AB150" s="273"/>
      <c r="AC150" s="273"/>
    </row>
    <row r="151" spans="1:68" ht="14.25" hidden="1" customHeight="1" x14ac:dyDescent="0.25">
      <c r="A151" s="310" t="s">
        <v>133</v>
      </c>
      <c r="B151" s="296"/>
      <c r="C151" s="296"/>
      <c r="D151" s="296"/>
      <c r="E151" s="296"/>
      <c r="F151" s="296"/>
      <c r="G151" s="296"/>
      <c r="H151" s="296"/>
      <c r="I151" s="296"/>
      <c r="J151" s="296"/>
      <c r="K151" s="296"/>
      <c r="L151" s="296"/>
      <c r="M151" s="296"/>
      <c r="N151" s="296"/>
      <c r="O151" s="296"/>
      <c r="P151" s="296"/>
      <c r="Q151" s="296"/>
      <c r="R151" s="296"/>
      <c r="S151" s="296"/>
      <c r="T151" s="296"/>
      <c r="U151" s="296"/>
      <c r="V151" s="296"/>
      <c r="W151" s="296"/>
      <c r="X151" s="296"/>
      <c r="Y151" s="296"/>
      <c r="Z151" s="296"/>
      <c r="AA151" s="272"/>
      <c r="AB151" s="272"/>
      <c r="AC151" s="272"/>
    </row>
    <row r="152" spans="1:68" ht="27" customHeight="1" x14ac:dyDescent="0.25">
      <c r="A152" s="54" t="s">
        <v>236</v>
      </c>
      <c r="B152" s="54" t="s">
        <v>237</v>
      </c>
      <c r="C152" s="31">
        <v>4301135954</v>
      </c>
      <c r="D152" s="284">
        <v>4620207491768</v>
      </c>
      <c r="E152" s="285"/>
      <c r="F152" s="277">
        <v>0.25</v>
      </c>
      <c r="G152" s="32">
        <v>12</v>
      </c>
      <c r="H152" s="277">
        <v>3</v>
      </c>
      <c r="I152" s="277">
        <v>3.7480000000000002</v>
      </c>
      <c r="J152" s="32">
        <v>70</v>
      </c>
      <c r="K152" s="32" t="s">
        <v>100</v>
      </c>
      <c r="L152" s="32" t="s">
        <v>66</v>
      </c>
      <c r="M152" s="33" t="s">
        <v>67</v>
      </c>
      <c r="N152" s="33"/>
      <c r="O152" s="32">
        <v>180</v>
      </c>
      <c r="P152" s="309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2" s="290"/>
      <c r="R152" s="290"/>
      <c r="S152" s="290"/>
      <c r="T152" s="291"/>
      <c r="U152" s="34"/>
      <c r="V152" s="34"/>
      <c r="W152" s="35" t="s">
        <v>68</v>
      </c>
      <c r="X152" s="278">
        <v>42</v>
      </c>
      <c r="Y152" s="279">
        <f>IFERROR(IF(X152="","",X152),"")</f>
        <v>42</v>
      </c>
      <c r="Z152" s="36">
        <f>IFERROR(IF(X152="","",X152*0.01788),"")</f>
        <v>0.75095999999999996</v>
      </c>
      <c r="AA152" s="56"/>
      <c r="AB152" s="57"/>
      <c r="AC152" s="182" t="s">
        <v>238</v>
      </c>
      <c r="AG152" s="67"/>
      <c r="AJ152" s="71" t="s">
        <v>70</v>
      </c>
      <c r="AK152" s="71">
        <v>1</v>
      </c>
      <c r="BB152" s="183" t="s">
        <v>104</v>
      </c>
      <c r="BM152" s="67">
        <f>IFERROR(X152*I152,"0")</f>
        <v>157.416</v>
      </c>
      <c r="BN152" s="67">
        <f>IFERROR(Y152*I152,"0")</f>
        <v>157.416</v>
      </c>
      <c r="BO152" s="67">
        <f>IFERROR(X152/J152,"0")</f>
        <v>0.6</v>
      </c>
      <c r="BP152" s="67">
        <f>IFERROR(Y152/J152,"0")</f>
        <v>0.6</v>
      </c>
    </row>
    <row r="153" spans="1:68" ht="16.5" hidden="1" customHeight="1" x14ac:dyDescent="0.25">
      <c r="A153" s="54" t="s">
        <v>239</v>
      </c>
      <c r="B153" s="54" t="s">
        <v>240</v>
      </c>
      <c r="C153" s="31">
        <v>4301135946</v>
      </c>
      <c r="D153" s="284">
        <v>4620207491553</v>
      </c>
      <c r="E153" s="285"/>
      <c r="F153" s="277">
        <v>0.25</v>
      </c>
      <c r="G153" s="32">
        <v>12</v>
      </c>
      <c r="H153" s="277">
        <v>3</v>
      </c>
      <c r="I153" s="277">
        <v>3.7035999999999998</v>
      </c>
      <c r="J153" s="32">
        <v>70</v>
      </c>
      <c r="K153" s="32" t="s">
        <v>100</v>
      </c>
      <c r="L153" s="32" t="s">
        <v>66</v>
      </c>
      <c r="M153" s="33" t="s">
        <v>67</v>
      </c>
      <c r="N153" s="33"/>
      <c r="O153" s="32">
        <v>180</v>
      </c>
      <c r="P153" s="371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3" s="290"/>
      <c r="R153" s="290"/>
      <c r="S153" s="290"/>
      <c r="T153" s="291"/>
      <c r="U153" s="34"/>
      <c r="V153" s="34"/>
      <c r="W153" s="35" t="s">
        <v>68</v>
      </c>
      <c r="X153" s="278">
        <v>0</v>
      </c>
      <c r="Y153" s="279">
        <f>IFERROR(IF(X153="","",X153),"")</f>
        <v>0</v>
      </c>
      <c r="Z153" s="36">
        <f>IFERROR(IF(X153="","",X153*0.01788),"")</f>
        <v>0</v>
      </c>
      <c r="AA153" s="56"/>
      <c r="AB153" s="57"/>
      <c r="AC153" s="184" t="s">
        <v>238</v>
      </c>
      <c r="AG153" s="67"/>
      <c r="AJ153" s="71" t="s">
        <v>70</v>
      </c>
      <c r="AK153" s="71">
        <v>1</v>
      </c>
      <c r="BB153" s="185" t="s">
        <v>104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x14ac:dyDescent="0.2">
      <c r="A154" s="307"/>
      <c r="B154" s="296"/>
      <c r="C154" s="296"/>
      <c r="D154" s="296"/>
      <c r="E154" s="296"/>
      <c r="F154" s="296"/>
      <c r="G154" s="296"/>
      <c r="H154" s="296"/>
      <c r="I154" s="296"/>
      <c r="J154" s="296"/>
      <c r="K154" s="296"/>
      <c r="L154" s="296"/>
      <c r="M154" s="296"/>
      <c r="N154" s="296"/>
      <c r="O154" s="308"/>
      <c r="P154" s="286" t="s">
        <v>87</v>
      </c>
      <c r="Q154" s="287"/>
      <c r="R154" s="287"/>
      <c r="S154" s="287"/>
      <c r="T154" s="287"/>
      <c r="U154" s="287"/>
      <c r="V154" s="288"/>
      <c r="W154" s="37" t="s">
        <v>68</v>
      </c>
      <c r="X154" s="280">
        <f>IFERROR(SUM(X152:X153),"0")</f>
        <v>42</v>
      </c>
      <c r="Y154" s="280">
        <f>IFERROR(SUM(Y152:Y153),"0")</f>
        <v>42</v>
      </c>
      <c r="Z154" s="280">
        <f>IFERROR(IF(Z152="",0,Z152),"0")+IFERROR(IF(Z153="",0,Z153),"0")</f>
        <v>0.75095999999999996</v>
      </c>
      <c r="AA154" s="281"/>
      <c r="AB154" s="281"/>
      <c r="AC154" s="281"/>
    </row>
    <row r="155" spans="1:68" x14ac:dyDescent="0.2">
      <c r="A155" s="296"/>
      <c r="B155" s="296"/>
      <c r="C155" s="296"/>
      <c r="D155" s="296"/>
      <c r="E155" s="296"/>
      <c r="F155" s="296"/>
      <c r="G155" s="296"/>
      <c r="H155" s="296"/>
      <c r="I155" s="296"/>
      <c r="J155" s="296"/>
      <c r="K155" s="296"/>
      <c r="L155" s="296"/>
      <c r="M155" s="296"/>
      <c r="N155" s="296"/>
      <c r="O155" s="308"/>
      <c r="P155" s="286" t="s">
        <v>87</v>
      </c>
      <c r="Q155" s="287"/>
      <c r="R155" s="287"/>
      <c r="S155" s="287"/>
      <c r="T155" s="287"/>
      <c r="U155" s="287"/>
      <c r="V155" s="288"/>
      <c r="W155" s="37" t="s">
        <v>88</v>
      </c>
      <c r="X155" s="280">
        <f>IFERROR(SUMPRODUCT(X152:X153*H152:H153),"0")</f>
        <v>126</v>
      </c>
      <c r="Y155" s="280">
        <f>IFERROR(SUMPRODUCT(Y152:Y153*H152:H153),"0")</f>
        <v>126</v>
      </c>
      <c r="Z155" s="37"/>
      <c r="AA155" s="281"/>
      <c r="AB155" s="281"/>
      <c r="AC155" s="281"/>
    </row>
    <row r="156" spans="1:68" ht="16.5" hidden="1" customHeight="1" x14ac:dyDescent="0.25">
      <c r="A156" s="295" t="s">
        <v>241</v>
      </c>
      <c r="B156" s="296"/>
      <c r="C156" s="296"/>
      <c r="D156" s="296"/>
      <c r="E156" s="296"/>
      <c r="F156" s="296"/>
      <c r="G156" s="296"/>
      <c r="H156" s="296"/>
      <c r="I156" s="296"/>
      <c r="J156" s="296"/>
      <c r="K156" s="296"/>
      <c r="L156" s="296"/>
      <c r="M156" s="296"/>
      <c r="N156" s="296"/>
      <c r="O156" s="296"/>
      <c r="P156" s="296"/>
      <c r="Q156" s="296"/>
      <c r="R156" s="296"/>
      <c r="S156" s="296"/>
      <c r="T156" s="296"/>
      <c r="U156" s="296"/>
      <c r="V156" s="296"/>
      <c r="W156" s="296"/>
      <c r="X156" s="296"/>
      <c r="Y156" s="296"/>
      <c r="Z156" s="296"/>
      <c r="AA156" s="273"/>
      <c r="AB156" s="273"/>
      <c r="AC156" s="273"/>
    </row>
    <row r="157" spans="1:68" ht="14.25" hidden="1" customHeight="1" x14ac:dyDescent="0.25">
      <c r="A157" s="310" t="s">
        <v>133</v>
      </c>
      <c r="B157" s="296"/>
      <c r="C157" s="296"/>
      <c r="D157" s="296"/>
      <c r="E157" s="296"/>
      <c r="F157" s="296"/>
      <c r="G157" s="296"/>
      <c r="H157" s="296"/>
      <c r="I157" s="296"/>
      <c r="J157" s="296"/>
      <c r="K157" s="296"/>
      <c r="L157" s="296"/>
      <c r="M157" s="296"/>
      <c r="N157" s="296"/>
      <c r="O157" s="296"/>
      <c r="P157" s="296"/>
      <c r="Q157" s="296"/>
      <c r="R157" s="296"/>
      <c r="S157" s="296"/>
      <c r="T157" s="296"/>
      <c r="U157" s="296"/>
      <c r="V157" s="296"/>
      <c r="W157" s="296"/>
      <c r="X157" s="296"/>
      <c r="Y157" s="296"/>
      <c r="Z157" s="296"/>
      <c r="AA157" s="272"/>
      <c r="AB157" s="272"/>
      <c r="AC157" s="272"/>
    </row>
    <row r="158" spans="1:68" ht="27" customHeight="1" x14ac:dyDescent="0.25">
      <c r="A158" s="54" t="s">
        <v>242</v>
      </c>
      <c r="B158" s="54" t="s">
        <v>243</v>
      </c>
      <c r="C158" s="31">
        <v>4301135753</v>
      </c>
      <c r="D158" s="284">
        <v>4620207490914</v>
      </c>
      <c r="E158" s="285"/>
      <c r="F158" s="277">
        <v>0.2</v>
      </c>
      <c r="G158" s="32">
        <v>12</v>
      </c>
      <c r="H158" s="277">
        <v>2.4</v>
      </c>
      <c r="I158" s="277">
        <v>2.68</v>
      </c>
      <c r="J158" s="32">
        <v>70</v>
      </c>
      <c r="K158" s="32" t="s">
        <v>100</v>
      </c>
      <c r="L158" s="32" t="s">
        <v>66</v>
      </c>
      <c r="M158" s="33" t="s">
        <v>67</v>
      </c>
      <c r="N158" s="33"/>
      <c r="O158" s="32">
        <v>180</v>
      </c>
      <c r="P158" s="32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8" s="290"/>
      <c r="R158" s="290"/>
      <c r="S158" s="290"/>
      <c r="T158" s="291"/>
      <c r="U158" s="34"/>
      <c r="V158" s="34"/>
      <c r="W158" s="35" t="s">
        <v>68</v>
      </c>
      <c r="X158" s="278">
        <v>56</v>
      </c>
      <c r="Y158" s="279">
        <f>IFERROR(IF(X158="","",X158),"")</f>
        <v>56</v>
      </c>
      <c r="Z158" s="36">
        <f>IFERROR(IF(X158="","",X158*0.01788),"")</f>
        <v>1.0012799999999999</v>
      </c>
      <c r="AA158" s="56"/>
      <c r="AB158" s="57"/>
      <c r="AC158" s="186" t="s">
        <v>244</v>
      </c>
      <c r="AG158" s="67"/>
      <c r="AJ158" s="71" t="s">
        <v>70</v>
      </c>
      <c r="AK158" s="71">
        <v>1</v>
      </c>
      <c r="BB158" s="187" t="s">
        <v>104</v>
      </c>
      <c r="BM158" s="67">
        <f>IFERROR(X158*I158,"0")</f>
        <v>150.08000000000001</v>
      </c>
      <c r="BN158" s="67">
        <f>IFERROR(Y158*I158,"0")</f>
        <v>150.08000000000001</v>
      </c>
      <c r="BO158" s="67">
        <f>IFERROR(X158/J158,"0")</f>
        <v>0.8</v>
      </c>
      <c r="BP158" s="67">
        <f>IFERROR(Y158/J158,"0")</f>
        <v>0.8</v>
      </c>
    </row>
    <row r="159" spans="1:68" ht="27" hidden="1" customHeight="1" x14ac:dyDescent="0.25">
      <c r="A159" s="54" t="s">
        <v>245</v>
      </c>
      <c r="B159" s="54" t="s">
        <v>246</v>
      </c>
      <c r="C159" s="31">
        <v>4301135932</v>
      </c>
      <c r="D159" s="284">
        <v>4620207491676</v>
      </c>
      <c r="E159" s="285"/>
      <c r="F159" s="277">
        <v>0.2</v>
      </c>
      <c r="G159" s="32">
        <v>12</v>
      </c>
      <c r="H159" s="277">
        <v>2.4</v>
      </c>
      <c r="I159" s="277">
        <v>2.68</v>
      </c>
      <c r="J159" s="32">
        <v>70</v>
      </c>
      <c r="K159" s="32" t="s">
        <v>100</v>
      </c>
      <c r="L159" s="32" t="s">
        <v>66</v>
      </c>
      <c r="M159" s="33" t="s">
        <v>67</v>
      </c>
      <c r="N159" s="33"/>
      <c r="O159" s="32">
        <v>180</v>
      </c>
      <c r="P159" s="289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9" s="290"/>
      <c r="R159" s="290"/>
      <c r="S159" s="290"/>
      <c r="T159" s="291"/>
      <c r="U159" s="34"/>
      <c r="V159" s="34"/>
      <c r="W159" s="35" t="s">
        <v>68</v>
      </c>
      <c r="X159" s="278">
        <v>0</v>
      </c>
      <c r="Y159" s="279">
        <f>IFERROR(IF(X159="","",X159),"")</f>
        <v>0</v>
      </c>
      <c r="Z159" s="36">
        <f>IFERROR(IF(X159="","",X159*0.01788),"")</f>
        <v>0</v>
      </c>
      <c r="AA159" s="56"/>
      <c r="AB159" s="57"/>
      <c r="AC159" s="188" t="s">
        <v>247</v>
      </c>
      <c r="AG159" s="67"/>
      <c r="AJ159" s="71" t="s">
        <v>70</v>
      </c>
      <c r="AK159" s="71">
        <v>1</v>
      </c>
      <c r="BB159" s="189" t="s">
        <v>104</v>
      </c>
      <c r="BM159" s="67">
        <f>IFERROR(X159*I159,"0")</f>
        <v>0</v>
      </c>
      <c r="BN159" s="67">
        <f>IFERROR(Y159*I159,"0")</f>
        <v>0</v>
      </c>
      <c r="BO159" s="67">
        <f>IFERROR(X159/J159,"0")</f>
        <v>0</v>
      </c>
      <c r="BP159" s="67">
        <f>IFERROR(Y159/J159,"0")</f>
        <v>0</v>
      </c>
    </row>
    <row r="160" spans="1:68" x14ac:dyDescent="0.2">
      <c r="A160" s="307"/>
      <c r="B160" s="296"/>
      <c r="C160" s="296"/>
      <c r="D160" s="296"/>
      <c r="E160" s="296"/>
      <c r="F160" s="296"/>
      <c r="G160" s="296"/>
      <c r="H160" s="296"/>
      <c r="I160" s="296"/>
      <c r="J160" s="296"/>
      <c r="K160" s="296"/>
      <c r="L160" s="296"/>
      <c r="M160" s="296"/>
      <c r="N160" s="296"/>
      <c r="O160" s="308"/>
      <c r="P160" s="286" t="s">
        <v>87</v>
      </c>
      <c r="Q160" s="287"/>
      <c r="R160" s="287"/>
      <c r="S160" s="287"/>
      <c r="T160" s="287"/>
      <c r="U160" s="287"/>
      <c r="V160" s="288"/>
      <c r="W160" s="37" t="s">
        <v>68</v>
      </c>
      <c r="X160" s="280">
        <f>IFERROR(SUM(X158:X159),"0")</f>
        <v>56</v>
      </c>
      <c r="Y160" s="280">
        <f>IFERROR(SUM(Y158:Y159),"0")</f>
        <v>56</v>
      </c>
      <c r="Z160" s="280">
        <f>IFERROR(IF(Z158="",0,Z158),"0")+IFERROR(IF(Z159="",0,Z159),"0")</f>
        <v>1.0012799999999999</v>
      </c>
      <c r="AA160" s="281"/>
      <c r="AB160" s="281"/>
      <c r="AC160" s="281"/>
    </row>
    <row r="161" spans="1:68" x14ac:dyDescent="0.2">
      <c r="A161" s="296"/>
      <c r="B161" s="296"/>
      <c r="C161" s="296"/>
      <c r="D161" s="296"/>
      <c r="E161" s="296"/>
      <c r="F161" s="296"/>
      <c r="G161" s="296"/>
      <c r="H161" s="296"/>
      <c r="I161" s="296"/>
      <c r="J161" s="296"/>
      <c r="K161" s="296"/>
      <c r="L161" s="296"/>
      <c r="M161" s="296"/>
      <c r="N161" s="296"/>
      <c r="O161" s="308"/>
      <c r="P161" s="286" t="s">
        <v>87</v>
      </c>
      <c r="Q161" s="287"/>
      <c r="R161" s="287"/>
      <c r="S161" s="287"/>
      <c r="T161" s="287"/>
      <c r="U161" s="287"/>
      <c r="V161" s="288"/>
      <c r="W161" s="37" t="s">
        <v>88</v>
      </c>
      <c r="X161" s="280">
        <f>IFERROR(SUMPRODUCT(X158:X159*H158:H159),"0")</f>
        <v>134.4</v>
      </c>
      <c r="Y161" s="280">
        <f>IFERROR(SUMPRODUCT(Y158:Y159*H158:H159),"0")</f>
        <v>134.4</v>
      </c>
      <c r="Z161" s="37"/>
      <c r="AA161" s="281"/>
      <c r="AB161" s="281"/>
      <c r="AC161" s="281"/>
    </row>
    <row r="162" spans="1:68" ht="16.5" hidden="1" customHeight="1" x14ac:dyDescent="0.25">
      <c r="A162" s="295" t="s">
        <v>248</v>
      </c>
      <c r="B162" s="296"/>
      <c r="C162" s="296"/>
      <c r="D162" s="296"/>
      <c r="E162" s="296"/>
      <c r="F162" s="296"/>
      <c r="G162" s="296"/>
      <c r="H162" s="296"/>
      <c r="I162" s="296"/>
      <c r="J162" s="296"/>
      <c r="K162" s="296"/>
      <c r="L162" s="296"/>
      <c r="M162" s="296"/>
      <c r="N162" s="296"/>
      <c r="O162" s="296"/>
      <c r="P162" s="296"/>
      <c r="Q162" s="296"/>
      <c r="R162" s="296"/>
      <c r="S162" s="296"/>
      <c r="T162" s="296"/>
      <c r="U162" s="296"/>
      <c r="V162" s="296"/>
      <c r="W162" s="296"/>
      <c r="X162" s="296"/>
      <c r="Y162" s="296"/>
      <c r="Z162" s="296"/>
      <c r="AA162" s="273"/>
      <c r="AB162" s="273"/>
      <c r="AC162" s="273"/>
    </row>
    <row r="163" spans="1:68" ht="14.25" hidden="1" customHeight="1" x14ac:dyDescent="0.25">
      <c r="A163" s="310" t="s">
        <v>133</v>
      </c>
      <c r="B163" s="296"/>
      <c r="C163" s="296"/>
      <c r="D163" s="296"/>
      <c r="E163" s="296"/>
      <c r="F163" s="296"/>
      <c r="G163" s="296"/>
      <c r="H163" s="296"/>
      <c r="I163" s="296"/>
      <c r="J163" s="296"/>
      <c r="K163" s="296"/>
      <c r="L163" s="296"/>
      <c r="M163" s="296"/>
      <c r="N163" s="296"/>
      <c r="O163" s="296"/>
      <c r="P163" s="296"/>
      <c r="Q163" s="296"/>
      <c r="R163" s="296"/>
      <c r="S163" s="296"/>
      <c r="T163" s="296"/>
      <c r="U163" s="296"/>
      <c r="V163" s="296"/>
      <c r="W163" s="296"/>
      <c r="X163" s="296"/>
      <c r="Y163" s="296"/>
      <c r="Z163" s="296"/>
      <c r="AA163" s="272"/>
      <c r="AB163" s="272"/>
      <c r="AC163" s="272"/>
    </row>
    <row r="164" spans="1:68" ht="27" hidden="1" customHeight="1" x14ac:dyDescent="0.25">
      <c r="A164" s="54" t="s">
        <v>249</v>
      </c>
      <c r="B164" s="54" t="s">
        <v>250</v>
      </c>
      <c r="C164" s="31">
        <v>4301135940</v>
      </c>
      <c r="D164" s="284">
        <v>4620207491614</v>
      </c>
      <c r="E164" s="285"/>
      <c r="F164" s="277">
        <v>0.25</v>
      </c>
      <c r="G164" s="32">
        <v>12</v>
      </c>
      <c r="H164" s="277">
        <v>3</v>
      </c>
      <c r="I164" s="277">
        <v>3.7035999999999998</v>
      </c>
      <c r="J164" s="32">
        <v>70</v>
      </c>
      <c r="K164" s="32" t="s">
        <v>100</v>
      </c>
      <c r="L164" s="32" t="s">
        <v>66</v>
      </c>
      <c r="M164" s="33" t="s">
        <v>67</v>
      </c>
      <c r="N164" s="33"/>
      <c r="O164" s="32">
        <v>180</v>
      </c>
      <c r="P164" s="424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4" s="290"/>
      <c r="R164" s="290"/>
      <c r="S164" s="290"/>
      <c r="T164" s="291"/>
      <c r="U164" s="34"/>
      <c r="V164" s="34"/>
      <c r="W164" s="35" t="s">
        <v>68</v>
      </c>
      <c r="X164" s="278">
        <v>0</v>
      </c>
      <c r="Y164" s="279">
        <f>IFERROR(IF(X164="","",X164),"")</f>
        <v>0</v>
      </c>
      <c r="Z164" s="36">
        <f>IFERROR(IF(X164="","",X164*0.01788),"")</f>
        <v>0</v>
      </c>
      <c r="AA164" s="56"/>
      <c r="AB164" s="57"/>
      <c r="AC164" s="190" t="s">
        <v>151</v>
      </c>
      <c r="AG164" s="67"/>
      <c r="AJ164" s="71" t="s">
        <v>70</v>
      </c>
      <c r="AK164" s="71">
        <v>1</v>
      </c>
      <c r="BB164" s="191" t="s">
        <v>104</v>
      </c>
      <c r="BM164" s="67">
        <f>IFERROR(X164*I164,"0")</f>
        <v>0</v>
      </c>
      <c r="BN164" s="67">
        <f>IFERROR(Y164*I164,"0")</f>
        <v>0</v>
      </c>
      <c r="BO164" s="67">
        <f>IFERROR(X164/J164,"0")</f>
        <v>0</v>
      </c>
      <c r="BP164" s="67">
        <f>IFERROR(Y164/J164,"0")</f>
        <v>0</v>
      </c>
    </row>
    <row r="165" spans="1:68" hidden="1" x14ac:dyDescent="0.2">
      <c r="A165" s="307"/>
      <c r="B165" s="296"/>
      <c r="C165" s="296"/>
      <c r="D165" s="296"/>
      <c r="E165" s="296"/>
      <c r="F165" s="296"/>
      <c r="G165" s="296"/>
      <c r="H165" s="296"/>
      <c r="I165" s="296"/>
      <c r="J165" s="296"/>
      <c r="K165" s="296"/>
      <c r="L165" s="296"/>
      <c r="M165" s="296"/>
      <c r="N165" s="296"/>
      <c r="O165" s="308"/>
      <c r="P165" s="286" t="s">
        <v>87</v>
      </c>
      <c r="Q165" s="287"/>
      <c r="R165" s="287"/>
      <c r="S165" s="287"/>
      <c r="T165" s="287"/>
      <c r="U165" s="287"/>
      <c r="V165" s="288"/>
      <c r="W165" s="37" t="s">
        <v>68</v>
      </c>
      <c r="X165" s="280">
        <f>IFERROR(SUM(X164:X164),"0")</f>
        <v>0</v>
      </c>
      <c r="Y165" s="280">
        <f>IFERROR(SUM(Y164:Y164),"0")</f>
        <v>0</v>
      </c>
      <c r="Z165" s="280">
        <f>IFERROR(IF(Z164="",0,Z164),"0")</f>
        <v>0</v>
      </c>
      <c r="AA165" s="281"/>
      <c r="AB165" s="281"/>
      <c r="AC165" s="281"/>
    </row>
    <row r="166" spans="1:68" hidden="1" x14ac:dyDescent="0.2">
      <c r="A166" s="296"/>
      <c r="B166" s="296"/>
      <c r="C166" s="296"/>
      <c r="D166" s="296"/>
      <c r="E166" s="296"/>
      <c r="F166" s="296"/>
      <c r="G166" s="296"/>
      <c r="H166" s="296"/>
      <c r="I166" s="296"/>
      <c r="J166" s="296"/>
      <c r="K166" s="296"/>
      <c r="L166" s="296"/>
      <c r="M166" s="296"/>
      <c r="N166" s="296"/>
      <c r="O166" s="308"/>
      <c r="P166" s="286" t="s">
        <v>87</v>
      </c>
      <c r="Q166" s="287"/>
      <c r="R166" s="287"/>
      <c r="S166" s="287"/>
      <c r="T166" s="287"/>
      <c r="U166" s="287"/>
      <c r="V166" s="288"/>
      <c r="W166" s="37" t="s">
        <v>88</v>
      </c>
      <c r="X166" s="280">
        <f>IFERROR(SUMPRODUCT(X164:X164*H164:H164),"0")</f>
        <v>0</v>
      </c>
      <c r="Y166" s="280">
        <f>IFERROR(SUMPRODUCT(Y164:Y164*H164:H164),"0")</f>
        <v>0</v>
      </c>
      <c r="Z166" s="37"/>
      <c r="AA166" s="281"/>
      <c r="AB166" s="281"/>
      <c r="AC166" s="281"/>
    </row>
    <row r="167" spans="1:68" ht="16.5" hidden="1" customHeight="1" x14ac:dyDescent="0.25">
      <c r="A167" s="295" t="s">
        <v>251</v>
      </c>
      <c r="B167" s="296"/>
      <c r="C167" s="296"/>
      <c r="D167" s="296"/>
      <c r="E167" s="296"/>
      <c r="F167" s="296"/>
      <c r="G167" s="296"/>
      <c r="H167" s="296"/>
      <c r="I167" s="296"/>
      <c r="J167" s="296"/>
      <c r="K167" s="296"/>
      <c r="L167" s="296"/>
      <c r="M167" s="296"/>
      <c r="N167" s="296"/>
      <c r="O167" s="296"/>
      <c r="P167" s="296"/>
      <c r="Q167" s="296"/>
      <c r="R167" s="296"/>
      <c r="S167" s="296"/>
      <c r="T167" s="296"/>
      <c r="U167" s="296"/>
      <c r="V167" s="296"/>
      <c r="W167" s="296"/>
      <c r="X167" s="296"/>
      <c r="Y167" s="296"/>
      <c r="Z167" s="296"/>
      <c r="AA167" s="273"/>
      <c r="AB167" s="273"/>
      <c r="AC167" s="273"/>
    </row>
    <row r="168" spans="1:68" ht="14.25" hidden="1" customHeight="1" x14ac:dyDescent="0.25">
      <c r="A168" s="310" t="s">
        <v>133</v>
      </c>
      <c r="B168" s="296"/>
      <c r="C168" s="296"/>
      <c r="D168" s="296"/>
      <c r="E168" s="296"/>
      <c r="F168" s="296"/>
      <c r="G168" s="296"/>
      <c r="H168" s="296"/>
      <c r="I168" s="296"/>
      <c r="J168" s="296"/>
      <c r="K168" s="296"/>
      <c r="L168" s="296"/>
      <c r="M168" s="296"/>
      <c r="N168" s="296"/>
      <c r="O168" s="296"/>
      <c r="P168" s="296"/>
      <c r="Q168" s="296"/>
      <c r="R168" s="296"/>
      <c r="S168" s="296"/>
      <c r="T168" s="296"/>
      <c r="U168" s="296"/>
      <c r="V168" s="296"/>
      <c r="W168" s="296"/>
      <c r="X168" s="296"/>
      <c r="Y168" s="296"/>
      <c r="Z168" s="296"/>
      <c r="AA168" s="272"/>
      <c r="AB168" s="272"/>
      <c r="AC168" s="272"/>
    </row>
    <row r="169" spans="1:68" ht="16.5" hidden="1" customHeight="1" x14ac:dyDescent="0.25">
      <c r="A169" s="54" t="s">
        <v>252</v>
      </c>
      <c r="B169" s="54" t="s">
        <v>253</v>
      </c>
      <c r="C169" s="31">
        <v>4301135607</v>
      </c>
      <c r="D169" s="284">
        <v>4607111039613</v>
      </c>
      <c r="E169" s="285"/>
      <c r="F169" s="277">
        <v>0.09</v>
      </c>
      <c r="G169" s="32">
        <v>30</v>
      </c>
      <c r="H169" s="277">
        <v>2.7</v>
      </c>
      <c r="I169" s="277">
        <v>3.09</v>
      </c>
      <c r="J169" s="32">
        <v>126</v>
      </c>
      <c r="K169" s="32" t="s">
        <v>100</v>
      </c>
      <c r="L169" s="32" t="s">
        <v>101</v>
      </c>
      <c r="M169" s="33" t="s">
        <v>67</v>
      </c>
      <c r="N169" s="33"/>
      <c r="O169" s="32">
        <v>180</v>
      </c>
      <c r="P169" s="35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9" s="290"/>
      <c r="R169" s="290"/>
      <c r="S169" s="290"/>
      <c r="T169" s="291"/>
      <c r="U169" s="34"/>
      <c r="V169" s="34"/>
      <c r="W169" s="35" t="s">
        <v>68</v>
      </c>
      <c r="X169" s="278">
        <v>0</v>
      </c>
      <c r="Y169" s="279">
        <f>IFERROR(IF(X169="","",X169),"")</f>
        <v>0</v>
      </c>
      <c r="Z169" s="36">
        <f>IFERROR(IF(X169="","",X169*0.00936),"")</f>
        <v>0</v>
      </c>
      <c r="AA169" s="56"/>
      <c r="AB169" s="57"/>
      <c r="AC169" s="192" t="s">
        <v>254</v>
      </c>
      <c r="AG169" s="67"/>
      <c r="AJ169" s="71" t="s">
        <v>103</v>
      </c>
      <c r="AK169" s="71">
        <v>14</v>
      </c>
      <c r="BB169" s="193" t="s">
        <v>104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hidden="1" x14ac:dyDescent="0.2">
      <c r="A170" s="307"/>
      <c r="B170" s="296"/>
      <c r="C170" s="296"/>
      <c r="D170" s="296"/>
      <c r="E170" s="296"/>
      <c r="F170" s="296"/>
      <c r="G170" s="296"/>
      <c r="H170" s="296"/>
      <c r="I170" s="296"/>
      <c r="J170" s="296"/>
      <c r="K170" s="296"/>
      <c r="L170" s="296"/>
      <c r="M170" s="296"/>
      <c r="N170" s="296"/>
      <c r="O170" s="308"/>
      <c r="P170" s="286" t="s">
        <v>87</v>
      </c>
      <c r="Q170" s="287"/>
      <c r="R170" s="287"/>
      <c r="S170" s="287"/>
      <c r="T170" s="287"/>
      <c r="U170" s="287"/>
      <c r="V170" s="288"/>
      <c r="W170" s="37" t="s">
        <v>68</v>
      </c>
      <c r="X170" s="280">
        <f>IFERROR(SUM(X169:X169),"0")</f>
        <v>0</v>
      </c>
      <c r="Y170" s="280">
        <f>IFERROR(SUM(Y169:Y169),"0")</f>
        <v>0</v>
      </c>
      <c r="Z170" s="280">
        <f>IFERROR(IF(Z169="",0,Z169),"0")</f>
        <v>0</v>
      </c>
      <c r="AA170" s="281"/>
      <c r="AB170" s="281"/>
      <c r="AC170" s="281"/>
    </row>
    <row r="171" spans="1:68" hidden="1" x14ac:dyDescent="0.2">
      <c r="A171" s="296"/>
      <c r="B171" s="296"/>
      <c r="C171" s="296"/>
      <c r="D171" s="296"/>
      <c r="E171" s="296"/>
      <c r="F171" s="296"/>
      <c r="G171" s="296"/>
      <c r="H171" s="296"/>
      <c r="I171" s="296"/>
      <c r="J171" s="296"/>
      <c r="K171" s="296"/>
      <c r="L171" s="296"/>
      <c r="M171" s="296"/>
      <c r="N171" s="296"/>
      <c r="O171" s="308"/>
      <c r="P171" s="286" t="s">
        <v>87</v>
      </c>
      <c r="Q171" s="287"/>
      <c r="R171" s="287"/>
      <c r="S171" s="287"/>
      <c r="T171" s="287"/>
      <c r="U171" s="287"/>
      <c r="V171" s="288"/>
      <c r="W171" s="37" t="s">
        <v>88</v>
      </c>
      <c r="X171" s="280">
        <f>IFERROR(SUMPRODUCT(X169:X169*H169:H169),"0")</f>
        <v>0</v>
      </c>
      <c r="Y171" s="280">
        <f>IFERROR(SUMPRODUCT(Y169:Y169*H169:H169),"0")</f>
        <v>0</v>
      </c>
      <c r="Z171" s="37"/>
      <c r="AA171" s="281"/>
      <c r="AB171" s="281"/>
      <c r="AC171" s="281"/>
    </row>
    <row r="172" spans="1:68" ht="16.5" hidden="1" customHeight="1" x14ac:dyDescent="0.25">
      <c r="A172" s="295" t="s">
        <v>255</v>
      </c>
      <c r="B172" s="296"/>
      <c r="C172" s="296"/>
      <c r="D172" s="296"/>
      <c r="E172" s="296"/>
      <c r="F172" s="296"/>
      <c r="G172" s="296"/>
      <c r="H172" s="296"/>
      <c r="I172" s="296"/>
      <c r="J172" s="296"/>
      <c r="K172" s="296"/>
      <c r="L172" s="296"/>
      <c r="M172" s="296"/>
      <c r="N172" s="296"/>
      <c r="O172" s="296"/>
      <c r="P172" s="296"/>
      <c r="Q172" s="296"/>
      <c r="R172" s="296"/>
      <c r="S172" s="296"/>
      <c r="T172" s="296"/>
      <c r="U172" s="296"/>
      <c r="V172" s="296"/>
      <c r="W172" s="296"/>
      <c r="X172" s="296"/>
      <c r="Y172" s="296"/>
      <c r="Z172" s="296"/>
      <c r="AA172" s="273"/>
      <c r="AB172" s="273"/>
      <c r="AC172" s="273"/>
    </row>
    <row r="173" spans="1:68" ht="14.25" hidden="1" customHeight="1" x14ac:dyDescent="0.25">
      <c r="A173" s="310" t="s">
        <v>133</v>
      </c>
      <c r="B173" s="296"/>
      <c r="C173" s="296"/>
      <c r="D173" s="296"/>
      <c r="E173" s="296"/>
      <c r="F173" s="296"/>
      <c r="G173" s="296"/>
      <c r="H173" s="296"/>
      <c r="I173" s="296"/>
      <c r="J173" s="296"/>
      <c r="K173" s="296"/>
      <c r="L173" s="296"/>
      <c r="M173" s="296"/>
      <c r="N173" s="296"/>
      <c r="O173" s="296"/>
      <c r="P173" s="296"/>
      <c r="Q173" s="296"/>
      <c r="R173" s="296"/>
      <c r="S173" s="296"/>
      <c r="T173" s="296"/>
      <c r="U173" s="296"/>
      <c r="V173" s="296"/>
      <c r="W173" s="296"/>
      <c r="X173" s="296"/>
      <c r="Y173" s="296"/>
      <c r="Z173" s="296"/>
      <c r="AA173" s="272"/>
      <c r="AB173" s="272"/>
      <c r="AC173" s="272"/>
    </row>
    <row r="174" spans="1:68" ht="27" customHeight="1" x14ac:dyDescent="0.25">
      <c r="A174" s="54" t="s">
        <v>256</v>
      </c>
      <c r="B174" s="54" t="s">
        <v>257</v>
      </c>
      <c r="C174" s="31">
        <v>4301135912</v>
      </c>
      <c r="D174" s="284">
        <v>4620207491751</v>
      </c>
      <c r="E174" s="285"/>
      <c r="F174" s="277">
        <v>0.28000000000000003</v>
      </c>
      <c r="G174" s="32">
        <v>6</v>
      </c>
      <c r="H174" s="277">
        <v>1.68</v>
      </c>
      <c r="I174" s="277">
        <v>2.1017999999999999</v>
      </c>
      <c r="J174" s="32">
        <v>140</v>
      </c>
      <c r="K174" s="32" t="s">
        <v>100</v>
      </c>
      <c r="L174" s="32" t="s">
        <v>66</v>
      </c>
      <c r="M174" s="33" t="s">
        <v>67</v>
      </c>
      <c r="N174" s="33"/>
      <c r="O174" s="32">
        <v>180</v>
      </c>
      <c r="P174" s="460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4" s="290"/>
      <c r="R174" s="290"/>
      <c r="S174" s="290"/>
      <c r="T174" s="291"/>
      <c r="U174" s="34"/>
      <c r="V174" s="34"/>
      <c r="W174" s="35" t="s">
        <v>68</v>
      </c>
      <c r="X174" s="278">
        <v>266</v>
      </c>
      <c r="Y174" s="279">
        <f>IFERROR(IF(X174="","",X174),"")</f>
        <v>266</v>
      </c>
      <c r="Z174" s="36">
        <f>IFERROR(IF(X174="","",X174*0.00941),"")</f>
        <v>2.5030600000000001</v>
      </c>
      <c r="AA174" s="56"/>
      <c r="AB174" s="57"/>
      <c r="AC174" s="194" t="s">
        <v>151</v>
      </c>
      <c r="AG174" s="67"/>
      <c r="AJ174" s="71" t="s">
        <v>70</v>
      </c>
      <c r="AK174" s="71">
        <v>1</v>
      </c>
      <c r="BB174" s="195" t="s">
        <v>104</v>
      </c>
      <c r="BM174" s="67">
        <f>IFERROR(X174*I174,"0")</f>
        <v>559.0788</v>
      </c>
      <c r="BN174" s="67">
        <f>IFERROR(Y174*I174,"0")</f>
        <v>559.0788</v>
      </c>
      <c r="BO174" s="67">
        <f>IFERROR(X174/J174,"0")</f>
        <v>1.9</v>
      </c>
      <c r="BP174" s="67">
        <f>IFERROR(Y174/J174,"0")</f>
        <v>1.9</v>
      </c>
    </row>
    <row r="175" spans="1:68" x14ac:dyDescent="0.2">
      <c r="A175" s="307"/>
      <c r="B175" s="296"/>
      <c r="C175" s="296"/>
      <c r="D175" s="296"/>
      <c r="E175" s="296"/>
      <c r="F175" s="296"/>
      <c r="G175" s="296"/>
      <c r="H175" s="296"/>
      <c r="I175" s="296"/>
      <c r="J175" s="296"/>
      <c r="K175" s="296"/>
      <c r="L175" s="296"/>
      <c r="M175" s="296"/>
      <c r="N175" s="296"/>
      <c r="O175" s="308"/>
      <c r="P175" s="286" t="s">
        <v>87</v>
      </c>
      <c r="Q175" s="287"/>
      <c r="R175" s="287"/>
      <c r="S175" s="287"/>
      <c r="T175" s="287"/>
      <c r="U175" s="287"/>
      <c r="V175" s="288"/>
      <c r="W175" s="37" t="s">
        <v>68</v>
      </c>
      <c r="X175" s="280">
        <f>IFERROR(SUM(X174:X174),"0")</f>
        <v>266</v>
      </c>
      <c r="Y175" s="280">
        <f>IFERROR(SUM(Y174:Y174),"0")</f>
        <v>266</v>
      </c>
      <c r="Z175" s="280">
        <f>IFERROR(IF(Z174="",0,Z174),"0")</f>
        <v>2.5030600000000001</v>
      </c>
      <c r="AA175" s="281"/>
      <c r="AB175" s="281"/>
      <c r="AC175" s="281"/>
    </row>
    <row r="176" spans="1:68" x14ac:dyDescent="0.2">
      <c r="A176" s="296"/>
      <c r="B176" s="296"/>
      <c r="C176" s="296"/>
      <c r="D176" s="296"/>
      <c r="E176" s="296"/>
      <c r="F176" s="296"/>
      <c r="G176" s="296"/>
      <c r="H176" s="296"/>
      <c r="I176" s="296"/>
      <c r="J176" s="296"/>
      <c r="K176" s="296"/>
      <c r="L176" s="296"/>
      <c r="M176" s="296"/>
      <c r="N176" s="296"/>
      <c r="O176" s="308"/>
      <c r="P176" s="286" t="s">
        <v>87</v>
      </c>
      <c r="Q176" s="287"/>
      <c r="R176" s="287"/>
      <c r="S176" s="287"/>
      <c r="T176" s="287"/>
      <c r="U176" s="287"/>
      <c r="V176" s="288"/>
      <c r="W176" s="37" t="s">
        <v>88</v>
      </c>
      <c r="X176" s="280">
        <f>IFERROR(SUMPRODUCT(X174:X174*H174:H174),"0")</f>
        <v>446.88</v>
      </c>
      <c r="Y176" s="280">
        <f>IFERROR(SUMPRODUCT(Y174:Y174*H174:H174),"0")</f>
        <v>446.88</v>
      </c>
      <c r="Z176" s="37"/>
      <c r="AA176" s="281"/>
      <c r="AB176" s="281"/>
      <c r="AC176" s="281"/>
    </row>
    <row r="177" spans="1:68" ht="27.75" hidden="1" customHeight="1" x14ac:dyDescent="0.2">
      <c r="A177" s="338" t="s">
        <v>258</v>
      </c>
      <c r="B177" s="339"/>
      <c r="C177" s="339"/>
      <c r="D177" s="339"/>
      <c r="E177" s="339"/>
      <c r="F177" s="339"/>
      <c r="G177" s="339"/>
      <c r="H177" s="339"/>
      <c r="I177" s="339"/>
      <c r="J177" s="339"/>
      <c r="K177" s="339"/>
      <c r="L177" s="339"/>
      <c r="M177" s="339"/>
      <c r="N177" s="339"/>
      <c r="O177" s="339"/>
      <c r="P177" s="339"/>
      <c r="Q177" s="339"/>
      <c r="R177" s="339"/>
      <c r="S177" s="339"/>
      <c r="T177" s="339"/>
      <c r="U177" s="339"/>
      <c r="V177" s="339"/>
      <c r="W177" s="339"/>
      <c r="X177" s="339"/>
      <c r="Y177" s="339"/>
      <c r="Z177" s="339"/>
      <c r="AA177" s="48"/>
      <c r="AB177" s="48"/>
      <c r="AC177" s="48"/>
    </row>
    <row r="178" spans="1:68" ht="16.5" hidden="1" customHeight="1" x14ac:dyDescent="0.25">
      <c r="A178" s="295" t="s">
        <v>259</v>
      </c>
      <c r="B178" s="296"/>
      <c r="C178" s="296"/>
      <c r="D178" s="296"/>
      <c r="E178" s="296"/>
      <c r="F178" s="296"/>
      <c r="G178" s="296"/>
      <c r="H178" s="296"/>
      <c r="I178" s="296"/>
      <c r="J178" s="296"/>
      <c r="K178" s="296"/>
      <c r="L178" s="296"/>
      <c r="M178" s="296"/>
      <c r="N178" s="296"/>
      <c r="O178" s="296"/>
      <c r="P178" s="296"/>
      <c r="Q178" s="296"/>
      <c r="R178" s="296"/>
      <c r="S178" s="296"/>
      <c r="T178" s="296"/>
      <c r="U178" s="296"/>
      <c r="V178" s="296"/>
      <c r="W178" s="296"/>
      <c r="X178" s="296"/>
      <c r="Y178" s="296"/>
      <c r="Z178" s="296"/>
      <c r="AA178" s="273"/>
      <c r="AB178" s="273"/>
      <c r="AC178" s="273"/>
    </row>
    <row r="179" spans="1:68" ht="14.25" hidden="1" customHeight="1" x14ac:dyDescent="0.25">
      <c r="A179" s="310" t="s">
        <v>97</v>
      </c>
      <c r="B179" s="296"/>
      <c r="C179" s="296"/>
      <c r="D179" s="296"/>
      <c r="E179" s="296"/>
      <c r="F179" s="296"/>
      <c r="G179" s="296"/>
      <c r="H179" s="296"/>
      <c r="I179" s="296"/>
      <c r="J179" s="296"/>
      <c r="K179" s="296"/>
      <c r="L179" s="296"/>
      <c r="M179" s="296"/>
      <c r="N179" s="296"/>
      <c r="O179" s="296"/>
      <c r="P179" s="296"/>
      <c r="Q179" s="296"/>
      <c r="R179" s="296"/>
      <c r="S179" s="296"/>
      <c r="T179" s="296"/>
      <c r="U179" s="296"/>
      <c r="V179" s="296"/>
      <c r="W179" s="296"/>
      <c r="X179" s="296"/>
      <c r="Y179" s="296"/>
      <c r="Z179" s="296"/>
      <c r="AA179" s="272"/>
      <c r="AB179" s="272"/>
      <c r="AC179" s="272"/>
    </row>
    <row r="180" spans="1:68" ht="27" customHeight="1" x14ac:dyDescent="0.25">
      <c r="A180" s="54" t="s">
        <v>260</v>
      </c>
      <c r="B180" s="54" t="s">
        <v>261</v>
      </c>
      <c r="C180" s="31">
        <v>4301132226</v>
      </c>
      <c r="D180" s="284">
        <v>4620207490631</v>
      </c>
      <c r="E180" s="285"/>
      <c r="F180" s="277">
        <v>6</v>
      </c>
      <c r="G180" s="32">
        <v>1</v>
      </c>
      <c r="H180" s="277">
        <v>6</v>
      </c>
      <c r="I180" s="277">
        <v>6.2350000000000003</v>
      </c>
      <c r="J180" s="32">
        <v>84</v>
      </c>
      <c r="K180" s="32" t="s">
        <v>65</v>
      </c>
      <c r="L180" s="32" t="s">
        <v>66</v>
      </c>
      <c r="M180" s="33" t="s">
        <v>67</v>
      </c>
      <c r="N180" s="33"/>
      <c r="O180" s="32">
        <v>180</v>
      </c>
      <c r="P180" s="419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80" s="290"/>
      <c r="R180" s="290"/>
      <c r="S180" s="290"/>
      <c r="T180" s="291"/>
      <c r="U180" s="34"/>
      <c r="V180" s="34"/>
      <c r="W180" s="35" t="s">
        <v>68</v>
      </c>
      <c r="X180" s="278">
        <v>48</v>
      </c>
      <c r="Y180" s="279">
        <f>IFERROR(IF(X180="","",X180),"")</f>
        <v>48</v>
      </c>
      <c r="Z180" s="36">
        <f>IFERROR(IF(X180="","",X180*0.0155),"")</f>
        <v>0.74399999999999999</v>
      </c>
      <c r="AA180" s="56"/>
      <c r="AB180" s="57"/>
      <c r="AC180" s="196" t="s">
        <v>262</v>
      </c>
      <c r="AG180" s="67"/>
      <c r="AJ180" s="71" t="s">
        <v>70</v>
      </c>
      <c r="AK180" s="71">
        <v>1</v>
      </c>
      <c r="BB180" s="197" t="s">
        <v>104</v>
      </c>
      <c r="BM180" s="67">
        <f>IFERROR(X180*I180,"0")</f>
        <v>299.28000000000003</v>
      </c>
      <c r="BN180" s="67">
        <f>IFERROR(Y180*I180,"0")</f>
        <v>299.28000000000003</v>
      </c>
      <c r="BO180" s="67">
        <f>IFERROR(X180/J180,"0")</f>
        <v>0.5714285714285714</v>
      </c>
      <c r="BP180" s="67">
        <f>IFERROR(Y180/J180,"0")</f>
        <v>0.5714285714285714</v>
      </c>
    </row>
    <row r="181" spans="1:68" x14ac:dyDescent="0.2">
      <c r="A181" s="307"/>
      <c r="B181" s="296"/>
      <c r="C181" s="296"/>
      <c r="D181" s="296"/>
      <c r="E181" s="296"/>
      <c r="F181" s="296"/>
      <c r="G181" s="296"/>
      <c r="H181" s="296"/>
      <c r="I181" s="296"/>
      <c r="J181" s="296"/>
      <c r="K181" s="296"/>
      <c r="L181" s="296"/>
      <c r="M181" s="296"/>
      <c r="N181" s="296"/>
      <c r="O181" s="308"/>
      <c r="P181" s="286" t="s">
        <v>87</v>
      </c>
      <c r="Q181" s="287"/>
      <c r="R181" s="287"/>
      <c r="S181" s="287"/>
      <c r="T181" s="287"/>
      <c r="U181" s="287"/>
      <c r="V181" s="288"/>
      <c r="W181" s="37" t="s">
        <v>68</v>
      </c>
      <c r="X181" s="280">
        <f>IFERROR(SUM(X180:X180),"0")</f>
        <v>48</v>
      </c>
      <c r="Y181" s="280">
        <f>IFERROR(SUM(Y180:Y180),"0")</f>
        <v>48</v>
      </c>
      <c r="Z181" s="280">
        <f>IFERROR(IF(Z180="",0,Z180),"0")</f>
        <v>0.74399999999999999</v>
      </c>
      <c r="AA181" s="281"/>
      <c r="AB181" s="281"/>
      <c r="AC181" s="281"/>
    </row>
    <row r="182" spans="1:68" x14ac:dyDescent="0.2">
      <c r="A182" s="296"/>
      <c r="B182" s="296"/>
      <c r="C182" s="296"/>
      <c r="D182" s="296"/>
      <c r="E182" s="296"/>
      <c r="F182" s="296"/>
      <c r="G182" s="296"/>
      <c r="H182" s="296"/>
      <c r="I182" s="296"/>
      <c r="J182" s="296"/>
      <c r="K182" s="296"/>
      <c r="L182" s="296"/>
      <c r="M182" s="296"/>
      <c r="N182" s="296"/>
      <c r="O182" s="308"/>
      <c r="P182" s="286" t="s">
        <v>87</v>
      </c>
      <c r="Q182" s="287"/>
      <c r="R182" s="287"/>
      <c r="S182" s="287"/>
      <c r="T182" s="287"/>
      <c r="U182" s="287"/>
      <c r="V182" s="288"/>
      <c r="W182" s="37" t="s">
        <v>88</v>
      </c>
      <c r="X182" s="280">
        <f>IFERROR(SUMPRODUCT(X180:X180*H180:H180),"0")</f>
        <v>288</v>
      </c>
      <c r="Y182" s="280">
        <f>IFERROR(SUMPRODUCT(Y180:Y180*H180:H180),"0")</f>
        <v>288</v>
      </c>
      <c r="Z182" s="37"/>
      <c r="AA182" s="281"/>
      <c r="AB182" s="281"/>
      <c r="AC182" s="281"/>
    </row>
    <row r="183" spans="1:68" ht="14.25" hidden="1" customHeight="1" x14ac:dyDescent="0.25">
      <c r="A183" s="310" t="s">
        <v>133</v>
      </c>
      <c r="B183" s="296"/>
      <c r="C183" s="296"/>
      <c r="D183" s="296"/>
      <c r="E183" s="296"/>
      <c r="F183" s="296"/>
      <c r="G183" s="296"/>
      <c r="H183" s="296"/>
      <c r="I183" s="296"/>
      <c r="J183" s="296"/>
      <c r="K183" s="296"/>
      <c r="L183" s="296"/>
      <c r="M183" s="296"/>
      <c r="N183" s="296"/>
      <c r="O183" s="296"/>
      <c r="P183" s="296"/>
      <c r="Q183" s="296"/>
      <c r="R183" s="296"/>
      <c r="S183" s="296"/>
      <c r="T183" s="296"/>
      <c r="U183" s="296"/>
      <c r="V183" s="296"/>
      <c r="W183" s="296"/>
      <c r="X183" s="296"/>
      <c r="Y183" s="296"/>
      <c r="Z183" s="296"/>
      <c r="AA183" s="272"/>
      <c r="AB183" s="272"/>
      <c r="AC183" s="272"/>
    </row>
    <row r="184" spans="1:68" ht="27" hidden="1" customHeight="1" x14ac:dyDescent="0.25">
      <c r="A184" s="54" t="s">
        <v>263</v>
      </c>
      <c r="B184" s="54" t="s">
        <v>264</v>
      </c>
      <c r="C184" s="31">
        <v>4301135392</v>
      </c>
      <c r="D184" s="284">
        <v>4607111039132</v>
      </c>
      <c r="E184" s="285"/>
      <c r="F184" s="277">
        <v>3.7</v>
      </c>
      <c r="G184" s="32">
        <v>1</v>
      </c>
      <c r="H184" s="277">
        <v>3.7</v>
      </c>
      <c r="I184" s="277">
        <v>3.8919999999999999</v>
      </c>
      <c r="J184" s="32">
        <v>126</v>
      </c>
      <c r="K184" s="32" t="s">
        <v>100</v>
      </c>
      <c r="L184" s="32" t="s">
        <v>66</v>
      </c>
      <c r="M184" s="33" t="s">
        <v>67</v>
      </c>
      <c r="N184" s="33"/>
      <c r="O184" s="32">
        <v>180</v>
      </c>
      <c r="P184" s="341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4" s="290"/>
      <c r="R184" s="290"/>
      <c r="S184" s="290"/>
      <c r="T184" s="291"/>
      <c r="U184" s="34"/>
      <c r="V184" s="34"/>
      <c r="W184" s="35" t="s">
        <v>68</v>
      </c>
      <c r="X184" s="278">
        <v>0</v>
      </c>
      <c r="Y184" s="279">
        <f>IFERROR(IF(X184="","",X184),"")</f>
        <v>0</v>
      </c>
      <c r="Z184" s="36">
        <f>IFERROR(IF(X184="","",X184*0.00936),"")</f>
        <v>0</v>
      </c>
      <c r="AA184" s="56"/>
      <c r="AB184" s="57"/>
      <c r="AC184" s="198" t="s">
        <v>265</v>
      </c>
      <c r="AG184" s="67"/>
      <c r="AJ184" s="71" t="s">
        <v>70</v>
      </c>
      <c r="AK184" s="71">
        <v>1</v>
      </c>
      <c r="BB184" s="199" t="s">
        <v>104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idden="1" x14ac:dyDescent="0.2">
      <c r="A185" s="307"/>
      <c r="B185" s="296"/>
      <c r="C185" s="296"/>
      <c r="D185" s="296"/>
      <c r="E185" s="296"/>
      <c r="F185" s="296"/>
      <c r="G185" s="296"/>
      <c r="H185" s="296"/>
      <c r="I185" s="296"/>
      <c r="J185" s="296"/>
      <c r="K185" s="296"/>
      <c r="L185" s="296"/>
      <c r="M185" s="296"/>
      <c r="N185" s="296"/>
      <c r="O185" s="308"/>
      <c r="P185" s="286" t="s">
        <v>87</v>
      </c>
      <c r="Q185" s="287"/>
      <c r="R185" s="287"/>
      <c r="S185" s="287"/>
      <c r="T185" s="287"/>
      <c r="U185" s="287"/>
      <c r="V185" s="288"/>
      <c r="W185" s="37" t="s">
        <v>68</v>
      </c>
      <c r="X185" s="280">
        <f>IFERROR(SUM(X184:X184),"0")</f>
        <v>0</v>
      </c>
      <c r="Y185" s="280">
        <f>IFERROR(SUM(Y184:Y184),"0")</f>
        <v>0</v>
      </c>
      <c r="Z185" s="280">
        <f>IFERROR(IF(Z184="",0,Z184),"0")</f>
        <v>0</v>
      </c>
      <c r="AA185" s="281"/>
      <c r="AB185" s="281"/>
      <c r="AC185" s="281"/>
    </row>
    <row r="186" spans="1:68" hidden="1" x14ac:dyDescent="0.2">
      <c r="A186" s="296"/>
      <c r="B186" s="296"/>
      <c r="C186" s="296"/>
      <c r="D186" s="296"/>
      <c r="E186" s="296"/>
      <c r="F186" s="296"/>
      <c r="G186" s="296"/>
      <c r="H186" s="296"/>
      <c r="I186" s="296"/>
      <c r="J186" s="296"/>
      <c r="K186" s="296"/>
      <c r="L186" s="296"/>
      <c r="M186" s="296"/>
      <c r="N186" s="296"/>
      <c r="O186" s="308"/>
      <c r="P186" s="286" t="s">
        <v>87</v>
      </c>
      <c r="Q186" s="287"/>
      <c r="R186" s="287"/>
      <c r="S186" s="287"/>
      <c r="T186" s="287"/>
      <c r="U186" s="287"/>
      <c r="V186" s="288"/>
      <c r="W186" s="37" t="s">
        <v>88</v>
      </c>
      <c r="X186" s="280">
        <f>IFERROR(SUMPRODUCT(X184:X184*H184:H184),"0")</f>
        <v>0</v>
      </c>
      <c r="Y186" s="280">
        <f>IFERROR(SUMPRODUCT(Y184:Y184*H184:H184),"0")</f>
        <v>0</v>
      </c>
      <c r="Z186" s="37"/>
      <c r="AA186" s="281"/>
      <c r="AB186" s="281"/>
      <c r="AC186" s="281"/>
    </row>
    <row r="187" spans="1:68" ht="16.5" hidden="1" customHeight="1" x14ac:dyDescent="0.25">
      <c r="A187" s="295" t="s">
        <v>266</v>
      </c>
      <c r="B187" s="296"/>
      <c r="C187" s="296"/>
      <c r="D187" s="296"/>
      <c r="E187" s="296"/>
      <c r="F187" s="296"/>
      <c r="G187" s="296"/>
      <c r="H187" s="296"/>
      <c r="I187" s="296"/>
      <c r="J187" s="296"/>
      <c r="K187" s="296"/>
      <c r="L187" s="296"/>
      <c r="M187" s="296"/>
      <c r="N187" s="296"/>
      <c r="O187" s="296"/>
      <c r="P187" s="296"/>
      <c r="Q187" s="296"/>
      <c r="R187" s="296"/>
      <c r="S187" s="296"/>
      <c r="T187" s="296"/>
      <c r="U187" s="296"/>
      <c r="V187" s="296"/>
      <c r="W187" s="296"/>
      <c r="X187" s="296"/>
      <c r="Y187" s="296"/>
      <c r="Z187" s="296"/>
      <c r="AA187" s="273"/>
      <c r="AB187" s="273"/>
      <c r="AC187" s="273"/>
    </row>
    <row r="188" spans="1:68" ht="14.25" hidden="1" customHeight="1" x14ac:dyDescent="0.25">
      <c r="A188" s="310" t="s">
        <v>62</v>
      </c>
      <c r="B188" s="296"/>
      <c r="C188" s="296"/>
      <c r="D188" s="296"/>
      <c r="E188" s="296"/>
      <c r="F188" s="296"/>
      <c r="G188" s="296"/>
      <c r="H188" s="296"/>
      <c r="I188" s="296"/>
      <c r="J188" s="296"/>
      <c r="K188" s="296"/>
      <c r="L188" s="296"/>
      <c r="M188" s="296"/>
      <c r="N188" s="296"/>
      <c r="O188" s="296"/>
      <c r="P188" s="296"/>
      <c r="Q188" s="296"/>
      <c r="R188" s="296"/>
      <c r="S188" s="296"/>
      <c r="T188" s="296"/>
      <c r="U188" s="296"/>
      <c r="V188" s="296"/>
      <c r="W188" s="296"/>
      <c r="X188" s="296"/>
      <c r="Y188" s="296"/>
      <c r="Z188" s="296"/>
      <c r="AA188" s="272"/>
      <c r="AB188" s="272"/>
      <c r="AC188" s="272"/>
    </row>
    <row r="189" spans="1:68" ht="16.5" hidden="1" customHeight="1" x14ac:dyDescent="0.25">
      <c r="A189" s="54" t="s">
        <v>267</v>
      </c>
      <c r="B189" s="54" t="s">
        <v>268</v>
      </c>
      <c r="C189" s="31">
        <v>4301071062</v>
      </c>
      <c r="D189" s="284">
        <v>4607111036384</v>
      </c>
      <c r="E189" s="285"/>
      <c r="F189" s="277">
        <v>5</v>
      </c>
      <c r="G189" s="32">
        <v>1</v>
      </c>
      <c r="H189" s="277">
        <v>5</v>
      </c>
      <c r="I189" s="277">
        <v>5.2106000000000003</v>
      </c>
      <c r="J189" s="32">
        <v>144</v>
      </c>
      <c r="K189" s="32" t="s">
        <v>65</v>
      </c>
      <c r="L189" s="32" t="s">
        <v>66</v>
      </c>
      <c r="M189" s="33" t="s">
        <v>67</v>
      </c>
      <c r="N189" s="33"/>
      <c r="O189" s="32">
        <v>180</v>
      </c>
      <c r="P189" s="35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9" s="290"/>
      <c r="R189" s="290"/>
      <c r="S189" s="290"/>
      <c r="T189" s="291"/>
      <c r="U189" s="34"/>
      <c r="V189" s="34"/>
      <c r="W189" s="35" t="s">
        <v>68</v>
      </c>
      <c r="X189" s="278">
        <v>0</v>
      </c>
      <c r="Y189" s="279">
        <f>IFERROR(IF(X189="","",X189),"")</f>
        <v>0</v>
      </c>
      <c r="Z189" s="36">
        <f>IFERROR(IF(X189="","",X189*0.00866),"")</f>
        <v>0</v>
      </c>
      <c r="AA189" s="56"/>
      <c r="AB189" s="57"/>
      <c r="AC189" s="200" t="s">
        <v>269</v>
      </c>
      <c r="AG189" s="67"/>
      <c r="AJ189" s="71" t="s">
        <v>70</v>
      </c>
      <c r="AK189" s="71">
        <v>1</v>
      </c>
      <c r="BB189" s="201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customHeight="1" x14ac:dyDescent="0.25">
      <c r="A190" s="54" t="s">
        <v>270</v>
      </c>
      <c r="B190" s="54" t="s">
        <v>271</v>
      </c>
      <c r="C190" s="31">
        <v>4301071050</v>
      </c>
      <c r="D190" s="284">
        <v>4607111036216</v>
      </c>
      <c r="E190" s="285"/>
      <c r="F190" s="277">
        <v>5</v>
      </c>
      <c r="G190" s="32">
        <v>1</v>
      </c>
      <c r="H190" s="277">
        <v>5</v>
      </c>
      <c r="I190" s="277">
        <v>5.2131999999999996</v>
      </c>
      <c r="J190" s="32">
        <v>144</v>
      </c>
      <c r="K190" s="32" t="s">
        <v>65</v>
      </c>
      <c r="L190" s="32" t="s">
        <v>101</v>
      </c>
      <c r="M190" s="33" t="s">
        <v>67</v>
      </c>
      <c r="N190" s="33"/>
      <c r="O190" s="32">
        <v>180</v>
      </c>
      <c r="P190" s="40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90" s="290"/>
      <c r="R190" s="290"/>
      <c r="S190" s="290"/>
      <c r="T190" s="291"/>
      <c r="U190" s="34"/>
      <c r="V190" s="34"/>
      <c r="W190" s="35" t="s">
        <v>68</v>
      </c>
      <c r="X190" s="278">
        <v>12</v>
      </c>
      <c r="Y190" s="279">
        <f>IFERROR(IF(X190="","",X190),"")</f>
        <v>12</v>
      </c>
      <c r="Z190" s="36">
        <f>IFERROR(IF(X190="","",X190*0.00866),"")</f>
        <v>0.10391999999999998</v>
      </c>
      <c r="AA190" s="56"/>
      <c r="AB190" s="57"/>
      <c r="AC190" s="202" t="s">
        <v>272</v>
      </c>
      <c r="AG190" s="67"/>
      <c r="AJ190" s="71" t="s">
        <v>103</v>
      </c>
      <c r="AK190" s="71">
        <v>12</v>
      </c>
      <c r="BB190" s="203" t="s">
        <v>1</v>
      </c>
      <c r="BM190" s="67">
        <f>IFERROR(X190*I190,"0")</f>
        <v>62.558399999999992</v>
      </c>
      <c r="BN190" s="67">
        <f>IFERROR(Y190*I190,"0")</f>
        <v>62.558399999999992</v>
      </c>
      <c r="BO190" s="67">
        <f>IFERROR(X190/J190,"0")</f>
        <v>8.3333333333333329E-2</v>
      </c>
      <c r="BP190" s="67">
        <f>IFERROR(Y190/J190,"0")</f>
        <v>8.3333333333333329E-2</v>
      </c>
    </row>
    <row r="191" spans="1:68" x14ac:dyDescent="0.2">
      <c r="A191" s="307"/>
      <c r="B191" s="296"/>
      <c r="C191" s="296"/>
      <c r="D191" s="296"/>
      <c r="E191" s="296"/>
      <c r="F191" s="296"/>
      <c r="G191" s="296"/>
      <c r="H191" s="296"/>
      <c r="I191" s="296"/>
      <c r="J191" s="296"/>
      <c r="K191" s="296"/>
      <c r="L191" s="296"/>
      <c r="M191" s="296"/>
      <c r="N191" s="296"/>
      <c r="O191" s="308"/>
      <c r="P191" s="286" t="s">
        <v>87</v>
      </c>
      <c r="Q191" s="287"/>
      <c r="R191" s="287"/>
      <c r="S191" s="287"/>
      <c r="T191" s="287"/>
      <c r="U191" s="287"/>
      <c r="V191" s="288"/>
      <c r="W191" s="37" t="s">
        <v>68</v>
      </c>
      <c r="X191" s="280">
        <f>IFERROR(SUM(X189:X190),"0")</f>
        <v>12</v>
      </c>
      <c r="Y191" s="280">
        <f>IFERROR(SUM(Y189:Y190),"0")</f>
        <v>12</v>
      </c>
      <c r="Z191" s="280">
        <f>IFERROR(IF(Z189="",0,Z189),"0")+IFERROR(IF(Z190="",0,Z190),"0")</f>
        <v>0.10391999999999998</v>
      </c>
      <c r="AA191" s="281"/>
      <c r="AB191" s="281"/>
      <c r="AC191" s="281"/>
    </row>
    <row r="192" spans="1:68" x14ac:dyDescent="0.2">
      <c r="A192" s="296"/>
      <c r="B192" s="296"/>
      <c r="C192" s="296"/>
      <c r="D192" s="296"/>
      <c r="E192" s="296"/>
      <c r="F192" s="296"/>
      <c r="G192" s="296"/>
      <c r="H192" s="296"/>
      <c r="I192" s="296"/>
      <c r="J192" s="296"/>
      <c r="K192" s="296"/>
      <c r="L192" s="296"/>
      <c r="M192" s="296"/>
      <c r="N192" s="296"/>
      <c r="O192" s="308"/>
      <c r="P192" s="286" t="s">
        <v>87</v>
      </c>
      <c r="Q192" s="287"/>
      <c r="R192" s="287"/>
      <c r="S192" s="287"/>
      <c r="T192" s="287"/>
      <c r="U192" s="287"/>
      <c r="V192" s="288"/>
      <c r="W192" s="37" t="s">
        <v>88</v>
      </c>
      <c r="X192" s="280">
        <f>IFERROR(SUMPRODUCT(X189:X190*H189:H190),"0")</f>
        <v>60</v>
      </c>
      <c r="Y192" s="280">
        <f>IFERROR(SUMPRODUCT(Y189:Y190*H189:H190),"0")</f>
        <v>60</v>
      </c>
      <c r="Z192" s="37"/>
      <c r="AA192" s="281"/>
      <c r="AB192" s="281"/>
      <c r="AC192" s="281"/>
    </row>
    <row r="193" spans="1:68" ht="16.5" hidden="1" customHeight="1" x14ac:dyDescent="0.25">
      <c r="A193" s="295" t="s">
        <v>273</v>
      </c>
      <c r="B193" s="296"/>
      <c r="C193" s="296"/>
      <c r="D193" s="296"/>
      <c r="E193" s="296"/>
      <c r="F193" s="296"/>
      <c r="G193" s="296"/>
      <c r="H193" s="296"/>
      <c r="I193" s="296"/>
      <c r="J193" s="296"/>
      <c r="K193" s="296"/>
      <c r="L193" s="296"/>
      <c r="M193" s="296"/>
      <c r="N193" s="296"/>
      <c r="O193" s="296"/>
      <c r="P193" s="296"/>
      <c r="Q193" s="296"/>
      <c r="R193" s="296"/>
      <c r="S193" s="296"/>
      <c r="T193" s="296"/>
      <c r="U193" s="296"/>
      <c r="V193" s="296"/>
      <c r="W193" s="296"/>
      <c r="X193" s="296"/>
      <c r="Y193" s="296"/>
      <c r="Z193" s="296"/>
      <c r="AA193" s="273"/>
      <c r="AB193" s="273"/>
      <c r="AC193" s="273"/>
    </row>
    <row r="194" spans="1:68" ht="14.25" hidden="1" customHeight="1" x14ac:dyDescent="0.25">
      <c r="A194" s="310" t="s">
        <v>62</v>
      </c>
      <c r="B194" s="296"/>
      <c r="C194" s="296"/>
      <c r="D194" s="296"/>
      <c r="E194" s="296"/>
      <c r="F194" s="296"/>
      <c r="G194" s="296"/>
      <c r="H194" s="296"/>
      <c r="I194" s="296"/>
      <c r="J194" s="296"/>
      <c r="K194" s="296"/>
      <c r="L194" s="296"/>
      <c r="M194" s="296"/>
      <c r="N194" s="296"/>
      <c r="O194" s="296"/>
      <c r="P194" s="296"/>
      <c r="Q194" s="296"/>
      <c r="R194" s="296"/>
      <c r="S194" s="296"/>
      <c r="T194" s="296"/>
      <c r="U194" s="296"/>
      <c r="V194" s="296"/>
      <c r="W194" s="296"/>
      <c r="X194" s="296"/>
      <c r="Y194" s="296"/>
      <c r="Z194" s="296"/>
      <c r="AA194" s="272"/>
      <c r="AB194" s="272"/>
      <c r="AC194" s="272"/>
    </row>
    <row r="195" spans="1:68" ht="27" hidden="1" customHeight="1" x14ac:dyDescent="0.25">
      <c r="A195" s="54" t="s">
        <v>274</v>
      </c>
      <c r="B195" s="54" t="s">
        <v>275</v>
      </c>
      <c r="C195" s="31">
        <v>4301071117</v>
      </c>
      <c r="D195" s="284">
        <v>4620207491737</v>
      </c>
      <c r="E195" s="285"/>
      <c r="F195" s="277">
        <v>1</v>
      </c>
      <c r="G195" s="32">
        <v>5</v>
      </c>
      <c r="H195" s="277">
        <v>5</v>
      </c>
      <c r="I195" s="277">
        <v>5.2619999999999996</v>
      </c>
      <c r="J195" s="32">
        <v>84</v>
      </c>
      <c r="K195" s="32" t="s">
        <v>65</v>
      </c>
      <c r="L195" s="32" t="s">
        <v>66</v>
      </c>
      <c r="M195" s="33" t="s">
        <v>67</v>
      </c>
      <c r="N195" s="33"/>
      <c r="O195" s="32">
        <v>180</v>
      </c>
      <c r="P195" s="362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5" s="290"/>
      <c r="R195" s="290"/>
      <c r="S195" s="290"/>
      <c r="T195" s="291"/>
      <c r="U195" s="34"/>
      <c r="V195" s="34"/>
      <c r="W195" s="35" t="s">
        <v>68</v>
      </c>
      <c r="X195" s="278">
        <v>0</v>
      </c>
      <c r="Y195" s="279">
        <f>IFERROR(IF(X195="","",X195),"")</f>
        <v>0</v>
      </c>
      <c r="Z195" s="36">
        <f>IFERROR(IF(X195="","",X195*0.0155),"")</f>
        <v>0</v>
      </c>
      <c r="AA195" s="56"/>
      <c r="AB195" s="57"/>
      <c r="AC195" s="204" t="s">
        <v>272</v>
      </c>
      <c r="AG195" s="67"/>
      <c r="AJ195" s="71" t="s">
        <v>70</v>
      </c>
      <c r="AK195" s="71">
        <v>1</v>
      </c>
      <c r="BB195" s="205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idden="1" x14ac:dyDescent="0.2">
      <c r="A196" s="307"/>
      <c r="B196" s="296"/>
      <c r="C196" s="296"/>
      <c r="D196" s="296"/>
      <c r="E196" s="296"/>
      <c r="F196" s="296"/>
      <c r="G196" s="296"/>
      <c r="H196" s="296"/>
      <c r="I196" s="296"/>
      <c r="J196" s="296"/>
      <c r="K196" s="296"/>
      <c r="L196" s="296"/>
      <c r="M196" s="296"/>
      <c r="N196" s="296"/>
      <c r="O196" s="308"/>
      <c r="P196" s="286" t="s">
        <v>87</v>
      </c>
      <c r="Q196" s="287"/>
      <c r="R196" s="287"/>
      <c r="S196" s="287"/>
      <c r="T196" s="287"/>
      <c r="U196" s="287"/>
      <c r="V196" s="288"/>
      <c r="W196" s="37" t="s">
        <v>68</v>
      </c>
      <c r="X196" s="280">
        <f>IFERROR(SUM(X195:X195),"0")</f>
        <v>0</v>
      </c>
      <c r="Y196" s="280">
        <f>IFERROR(SUM(Y195:Y195),"0")</f>
        <v>0</v>
      </c>
      <c r="Z196" s="280">
        <f>IFERROR(IF(Z195="",0,Z195),"0")</f>
        <v>0</v>
      </c>
      <c r="AA196" s="281"/>
      <c r="AB196" s="281"/>
      <c r="AC196" s="281"/>
    </row>
    <row r="197" spans="1:68" hidden="1" x14ac:dyDescent="0.2">
      <c r="A197" s="296"/>
      <c r="B197" s="296"/>
      <c r="C197" s="296"/>
      <c r="D197" s="296"/>
      <c r="E197" s="296"/>
      <c r="F197" s="296"/>
      <c r="G197" s="296"/>
      <c r="H197" s="296"/>
      <c r="I197" s="296"/>
      <c r="J197" s="296"/>
      <c r="K197" s="296"/>
      <c r="L197" s="296"/>
      <c r="M197" s="296"/>
      <c r="N197" s="296"/>
      <c r="O197" s="308"/>
      <c r="P197" s="286" t="s">
        <v>87</v>
      </c>
      <c r="Q197" s="287"/>
      <c r="R197" s="287"/>
      <c r="S197" s="287"/>
      <c r="T197" s="287"/>
      <c r="U197" s="287"/>
      <c r="V197" s="288"/>
      <c r="W197" s="37" t="s">
        <v>88</v>
      </c>
      <c r="X197" s="280">
        <f>IFERROR(SUMPRODUCT(X195:X195*H195:H195),"0")</f>
        <v>0</v>
      </c>
      <c r="Y197" s="280">
        <f>IFERROR(SUMPRODUCT(Y195:Y195*H195:H195),"0")</f>
        <v>0</v>
      </c>
      <c r="Z197" s="37"/>
      <c r="AA197" s="281"/>
      <c r="AB197" s="281"/>
      <c r="AC197" s="281"/>
    </row>
    <row r="198" spans="1:68" ht="27.75" hidden="1" customHeight="1" x14ac:dyDescent="0.2">
      <c r="A198" s="338" t="s">
        <v>276</v>
      </c>
      <c r="B198" s="339"/>
      <c r="C198" s="339"/>
      <c r="D198" s="339"/>
      <c r="E198" s="339"/>
      <c r="F198" s="339"/>
      <c r="G198" s="339"/>
      <c r="H198" s="339"/>
      <c r="I198" s="339"/>
      <c r="J198" s="339"/>
      <c r="K198" s="339"/>
      <c r="L198" s="339"/>
      <c r="M198" s="339"/>
      <c r="N198" s="339"/>
      <c r="O198" s="339"/>
      <c r="P198" s="339"/>
      <c r="Q198" s="339"/>
      <c r="R198" s="339"/>
      <c r="S198" s="339"/>
      <c r="T198" s="339"/>
      <c r="U198" s="339"/>
      <c r="V198" s="339"/>
      <c r="W198" s="339"/>
      <c r="X198" s="339"/>
      <c r="Y198" s="339"/>
      <c r="Z198" s="339"/>
      <c r="AA198" s="48"/>
      <c r="AB198" s="48"/>
      <c r="AC198" s="48"/>
    </row>
    <row r="199" spans="1:68" ht="16.5" hidden="1" customHeight="1" x14ac:dyDescent="0.25">
      <c r="A199" s="295" t="s">
        <v>277</v>
      </c>
      <c r="B199" s="296"/>
      <c r="C199" s="296"/>
      <c r="D199" s="296"/>
      <c r="E199" s="296"/>
      <c r="F199" s="296"/>
      <c r="G199" s="296"/>
      <c r="H199" s="296"/>
      <c r="I199" s="296"/>
      <c r="J199" s="296"/>
      <c r="K199" s="296"/>
      <c r="L199" s="296"/>
      <c r="M199" s="296"/>
      <c r="N199" s="296"/>
      <c r="O199" s="296"/>
      <c r="P199" s="296"/>
      <c r="Q199" s="296"/>
      <c r="R199" s="296"/>
      <c r="S199" s="296"/>
      <c r="T199" s="296"/>
      <c r="U199" s="296"/>
      <c r="V199" s="296"/>
      <c r="W199" s="296"/>
      <c r="X199" s="296"/>
      <c r="Y199" s="296"/>
      <c r="Z199" s="296"/>
      <c r="AA199" s="273"/>
      <c r="AB199" s="273"/>
      <c r="AC199" s="273"/>
    </row>
    <row r="200" spans="1:68" ht="14.25" hidden="1" customHeight="1" x14ac:dyDescent="0.25">
      <c r="A200" s="310" t="s">
        <v>97</v>
      </c>
      <c r="B200" s="296"/>
      <c r="C200" s="296"/>
      <c r="D200" s="296"/>
      <c r="E200" s="296"/>
      <c r="F200" s="296"/>
      <c r="G200" s="296"/>
      <c r="H200" s="296"/>
      <c r="I200" s="296"/>
      <c r="J200" s="296"/>
      <c r="K200" s="296"/>
      <c r="L200" s="296"/>
      <c r="M200" s="296"/>
      <c r="N200" s="296"/>
      <c r="O200" s="296"/>
      <c r="P200" s="296"/>
      <c r="Q200" s="296"/>
      <c r="R200" s="296"/>
      <c r="S200" s="296"/>
      <c r="T200" s="296"/>
      <c r="U200" s="296"/>
      <c r="V200" s="296"/>
      <c r="W200" s="296"/>
      <c r="X200" s="296"/>
      <c r="Y200" s="296"/>
      <c r="Z200" s="296"/>
      <c r="AA200" s="272"/>
      <c r="AB200" s="272"/>
      <c r="AC200" s="272"/>
    </row>
    <row r="201" spans="1:68" ht="16.5" customHeight="1" x14ac:dyDescent="0.25">
      <c r="A201" s="54" t="s">
        <v>278</v>
      </c>
      <c r="B201" s="54" t="s">
        <v>279</v>
      </c>
      <c r="C201" s="31">
        <v>4301132179</v>
      </c>
      <c r="D201" s="284">
        <v>4607111035691</v>
      </c>
      <c r="E201" s="285"/>
      <c r="F201" s="277">
        <v>0.25</v>
      </c>
      <c r="G201" s="32">
        <v>12</v>
      </c>
      <c r="H201" s="277">
        <v>3</v>
      </c>
      <c r="I201" s="277">
        <v>3.3879999999999999</v>
      </c>
      <c r="J201" s="32">
        <v>70</v>
      </c>
      <c r="K201" s="32" t="s">
        <v>100</v>
      </c>
      <c r="L201" s="32" t="s">
        <v>101</v>
      </c>
      <c r="M201" s="33" t="s">
        <v>67</v>
      </c>
      <c r="N201" s="33"/>
      <c r="O201" s="32">
        <v>365</v>
      </c>
      <c r="P201" s="40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01" s="290"/>
      <c r="R201" s="290"/>
      <c r="S201" s="290"/>
      <c r="T201" s="291"/>
      <c r="U201" s="34"/>
      <c r="V201" s="34"/>
      <c r="W201" s="35" t="s">
        <v>68</v>
      </c>
      <c r="X201" s="278">
        <v>28</v>
      </c>
      <c r="Y201" s="279">
        <f>IFERROR(IF(X201="","",X201),"")</f>
        <v>28</v>
      </c>
      <c r="Z201" s="36">
        <f>IFERROR(IF(X201="","",X201*0.01788),"")</f>
        <v>0.50063999999999997</v>
      </c>
      <c r="AA201" s="56"/>
      <c r="AB201" s="57"/>
      <c r="AC201" s="206" t="s">
        <v>280</v>
      </c>
      <c r="AG201" s="67"/>
      <c r="AJ201" s="71" t="s">
        <v>103</v>
      </c>
      <c r="AK201" s="71">
        <v>14</v>
      </c>
      <c r="BB201" s="207" t="s">
        <v>104</v>
      </c>
      <c r="BM201" s="67">
        <f>IFERROR(X201*I201,"0")</f>
        <v>94.864000000000004</v>
      </c>
      <c r="BN201" s="67">
        <f>IFERROR(Y201*I201,"0")</f>
        <v>94.864000000000004</v>
      </c>
      <c r="BO201" s="67">
        <f>IFERROR(X201/J201,"0")</f>
        <v>0.4</v>
      </c>
      <c r="BP201" s="67">
        <f>IFERROR(Y201/J201,"0")</f>
        <v>0.4</v>
      </c>
    </row>
    <row r="202" spans="1:68" ht="27" customHeight="1" x14ac:dyDescent="0.25">
      <c r="A202" s="54" t="s">
        <v>281</v>
      </c>
      <c r="B202" s="54" t="s">
        <v>282</v>
      </c>
      <c r="C202" s="31">
        <v>4301132182</v>
      </c>
      <c r="D202" s="284">
        <v>4607111035721</v>
      </c>
      <c r="E202" s="285"/>
      <c r="F202" s="277">
        <v>0.25</v>
      </c>
      <c r="G202" s="32">
        <v>12</v>
      </c>
      <c r="H202" s="277">
        <v>3</v>
      </c>
      <c r="I202" s="277">
        <v>3.3879999999999999</v>
      </c>
      <c r="J202" s="32">
        <v>70</v>
      </c>
      <c r="K202" s="32" t="s">
        <v>100</v>
      </c>
      <c r="L202" s="32" t="s">
        <v>101</v>
      </c>
      <c r="M202" s="33" t="s">
        <v>67</v>
      </c>
      <c r="N202" s="33"/>
      <c r="O202" s="32">
        <v>365</v>
      </c>
      <c r="P202" s="47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2" s="290"/>
      <c r="R202" s="290"/>
      <c r="S202" s="290"/>
      <c r="T202" s="291"/>
      <c r="U202" s="34"/>
      <c r="V202" s="34"/>
      <c r="W202" s="35" t="s">
        <v>68</v>
      </c>
      <c r="X202" s="278">
        <v>14</v>
      </c>
      <c r="Y202" s="279">
        <f>IFERROR(IF(X202="","",X202),"")</f>
        <v>14</v>
      </c>
      <c r="Z202" s="36">
        <f>IFERROR(IF(X202="","",X202*0.01788),"")</f>
        <v>0.25031999999999999</v>
      </c>
      <c r="AA202" s="56"/>
      <c r="AB202" s="57"/>
      <c r="AC202" s="208" t="s">
        <v>283</v>
      </c>
      <c r="AG202" s="67"/>
      <c r="AJ202" s="71" t="s">
        <v>103</v>
      </c>
      <c r="AK202" s="71">
        <v>14</v>
      </c>
      <c r="BB202" s="209" t="s">
        <v>104</v>
      </c>
      <c r="BM202" s="67">
        <f>IFERROR(X202*I202,"0")</f>
        <v>47.432000000000002</v>
      </c>
      <c r="BN202" s="67">
        <f>IFERROR(Y202*I202,"0")</f>
        <v>47.432000000000002</v>
      </c>
      <c r="BO202" s="67">
        <f>IFERROR(X202/J202,"0")</f>
        <v>0.2</v>
      </c>
      <c r="BP202" s="67">
        <f>IFERROR(Y202/J202,"0")</f>
        <v>0.2</v>
      </c>
    </row>
    <row r="203" spans="1:68" ht="27" customHeight="1" x14ac:dyDescent="0.25">
      <c r="A203" s="54" t="s">
        <v>284</v>
      </c>
      <c r="B203" s="54" t="s">
        <v>285</v>
      </c>
      <c r="C203" s="31">
        <v>4301132170</v>
      </c>
      <c r="D203" s="284">
        <v>4607111038487</v>
      </c>
      <c r="E203" s="285"/>
      <c r="F203" s="277">
        <v>0.25</v>
      </c>
      <c r="G203" s="32">
        <v>12</v>
      </c>
      <c r="H203" s="277">
        <v>3</v>
      </c>
      <c r="I203" s="277">
        <v>3.7360000000000002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8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3" s="290"/>
      <c r="R203" s="290"/>
      <c r="S203" s="290"/>
      <c r="T203" s="291"/>
      <c r="U203" s="34"/>
      <c r="V203" s="34"/>
      <c r="W203" s="35" t="s">
        <v>68</v>
      </c>
      <c r="X203" s="278">
        <v>14</v>
      </c>
      <c r="Y203" s="279">
        <f>IFERROR(IF(X203="","",X203),"")</f>
        <v>14</v>
      </c>
      <c r="Z203" s="36">
        <f>IFERROR(IF(X203="","",X203*0.01788),"")</f>
        <v>0.25031999999999999</v>
      </c>
      <c r="AA203" s="56"/>
      <c r="AB203" s="57"/>
      <c r="AC203" s="210" t="s">
        <v>286</v>
      </c>
      <c r="AG203" s="67"/>
      <c r="AJ203" s="71" t="s">
        <v>103</v>
      </c>
      <c r="AK203" s="71">
        <v>14</v>
      </c>
      <c r="BB203" s="211" t="s">
        <v>104</v>
      </c>
      <c r="BM203" s="67">
        <f>IFERROR(X203*I203,"0")</f>
        <v>52.304000000000002</v>
      </c>
      <c r="BN203" s="67">
        <f>IFERROR(Y203*I203,"0")</f>
        <v>52.304000000000002</v>
      </c>
      <c r="BO203" s="67">
        <f>IFERROR(X203/J203,"0")</f>
        <v>0.2</v>
      </c>
      <c r="BP203" s="67">
        <f>IFERROR(Y203/J203,"0")</f>
        <v>0.2</v>
      </c>
    </row>
    <row r="204" spans="1:68" ht="27" hidden="1" customHeight="1" x14ac:dyDescent="0.25">
      <c r="A204" s="54" t="s">
        <v>287</v>
      </c>
      <c r="B204" s="54" t="s">
        <v>288</v>
      </c>
      <c r="C204" s="31">
        <v>4301132243</v>
      </c>
      <c r="D204" s="284">
        <v>4620207491195</v>
      </c>
      <c r="E204" s="285"/>
      <c r="F204" s="277">
        <v>0.23</v>
      </c>
      <c r="G204" s="32">
        <v>12</v>
      </c>
      <c r="H204" s="277">
        <v>2.76</v>
      </c>
      <c r="I204" s="277">
        <v>3.1480000000000001</v>
      </c>
      <c r="J204" s="32">
        <v>70</v>
      </c>
      <c r="K204" s="32" t="s">
        <v>100</v>
      </c>
      <c r="L204" s="32" t="s">
        <v>66</v>
      </c>
      <c r="M204" s="33" t="s">
        <v>67</v>
      </c>
      <c r="N204" s="33"/>
      <c r="O204" s="32">
        <v>180</v>
      </c>
      <c r="P204" s="39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4" s="290"/>
      <c r="R204" s="290"/>
      <c r="S204" s="290"/>
      <c r="T204" s="291"/>
      <c r="U204" s="34"/>
      <c r="V204" s="34"/>
      <c r="W204" s="35" t="s">
        <v>68</v>
      </c>
      <c r="X204" s="278">
        <v>0</v>
      </c>
      <c r="Y204" s="279">
        <f>IFERROR(IF(X204="","",X204),"")</f>
        <v>0</v>
      </c>
      <c r="Z204" s="36">
        <f>IFERROR(IF(X204="","",X204*0.01788),"")</f>
        <v>0</v>
      </c>
      <c r="AA204" s="56"/>
      <c r="AB204" s="57"/>
      <c r="AC204" s="212" t="s">
        <v>289</v>
      </c>
      <c r="AG204" s="67"/>
      <c r="AJ204" s="71" t="s">
        <v>70</v>
      </c>
      <c r="AK204" s="71">
        <v>1</v>
      </c>
      <c r="BB204" s="213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307"/>
      <c r="B205" s="296"/>
      <c r="C205" s="296"/>
      <c r="D205" s="296"/>
      <c r="E205" s="296"/>
      <c r="F205" s="296"/>
      <c r="G205" s="296"/>
      <c r="H205" s="296"/>
      <c r="I205" s="296"/>
      <c r="J205" s="296"/>
      <c r="K205" s="296"/>
      <c r="L205" s="296"/>
      <c r="M205" s="296"/>
      <c r="N205" s="296"/>
      <c r="O205" s="308"/>
      <c r="P205" s="286" t="s">
        <v>87</v>
      </c>
      <c r="Q205" s="287"/>
      <c r="R205" s="287"/>
      <c r="S205" s="287"/>
      <c r="T205" s="287"/>
      <c r="U205" s="287"/>
      <c r="V205" s="288"/>
      <c r="W205" s="37" t="s">
        <v>68</v>
      </c>
      <c r="X205" s="280">
        <f>IFERROR(SUM(X201:X204),"0")</f>
        <v>56</v>
      </c>
      <c r="Y205" s="280">
        <f>IFERROR(SUM(Y201:Y204),"0")</f>
        <v>56</v>
      </c>
      <c r="Z205" s="280">
        <f>IFERROR(IF(Z201="",0,Z201),"0")+IFERROR(IF(Z202="",0,Z202),"0")+IFERROR(IF(Z203="",0,Z203),"0")+IFERROR(IF(Z204="",0,Z204),"0")</f>
        <v>1.0012799999999999</v>
      </c>
      <c r="AA205" s="281"/>
      <c r="AB205" s="281"/>
      <c r="AC205" s="281"/>
    </row>
    <row r="206" spans="1:68" x14ac:dyDescent="0.2">
      <c r="A206" s="296"/>
      <c r="B206" s="296"/>
      <c r="C206" s="296"/>
      <c r="D206" s="296"/>
      <c r="E206" s="296"/>
      <c r="F206" s="296"/>
      <c r="G206" s="296"/>
      <c r="H206" s="296"/>
      <c r="I206" s="296"/>
      <c r="J206" s="296"/>
      <c r="K206" s="296"/>
      <c r="L206" s="296"/>
      <c r="M206" s="296"/>
      <c r="N206" s="296"/>
      <c r="O206" s="308"/>
      <c r="P206" s="286" t="s">
        <v>87</v>
      </c>
      <c r="Q206" s="287"/>
      <c r="R206" s="287"/>
      <c r="S206" s="287"/>
      <c r="T206" s="287"/>
      <c r="U206" s="287"/>
      <c r="V206" s="288"/>
      <c r="W206" s="37" t="s">
        <v>88</v>
      </c>
      <c r="X206" s="280">
        <f>IFERROR(SUMPRODUCT(X201:X204*H201:H204),"0")</f>
        <v>168</v>
      </c>
      <c r="Y206" s="280">
        <f>IFERROR(SUMPRODUCT(Y201:Y204*H201:H204),"0")</f>
        <v>168</v>
      </c>
      <c r="Z206" s="37"/>
      <c r="AA206" s="281"/>
      <c r="AB206" s="281"/>
      <c r="AC206" s="281"/>
    </row>
    <row r="207" spans="1:68" ht="27.75" hidden="1" customHeight="1" x14ac:dyDescent="0.2">
      <c r="A207" s="338" t="s">
        <v>290</v>
      </c>
      <c r="B207" s="339"/>
      <c r="C207" s="339"/>
      <c r="D207" s="339"/>
      <c r="E207" s="339"/>
      <c r="F207" s="339"/>
      <c r="G207" s="339"/>
      <c r="H207" s="339"/>
      <c r="I207" s="339"/>
      <c r="J207" s="339"/>
      <c r="K207" s="339"/>
      <c r="L207" s="339"/>
      <c r="M207" s="339"/>
      <c r="N207" s="339"/>
      <c r="O207" s="339"/>
      <c r="P207" s="339"/>
      <c r="Q207" s="339"/>
      <c r="R207" s="339"/>
      <c r="S207" s="339"/>
      <c r="T207" s="339"/>
      <c r="U207" s="339"/>
      <c r="V207" s="339"/>
      <c r="W207" s="339"/>
      <c r="X207" s="339"/>
      <c r="Y207" s="339"/>
      <c r="Z207" s="339"/>
      <c r="AA207" s="48"/>
      <c r="AB207" s="48"/>
      <c r="AC207" s="48"/>
    </row>
    <row r="208" spans="1:68" ht="16.5" hidden="1" customHeight="1" x14ac:dyDescent="0.25">
      <c r="A208" s="295" t="s">
        <v>291</v>
      </c>
      <c r="B208" s="296"/>
      <c r="C208" s="296"/>
      <c r="D208" s="296"/>
      <c r="E208" s="296"/>
      <c r="F208" s="296"/>
      <c r="G208" s="296"/>
      <c r="H208" s="296"/>
      <c r="I208" s="296"/>
      <c r="J208" s="296"/>
      <c r="K208" s="296"/>
      <c r="L208" s="296"/>
      <c r="M208" s="296"/>
      <c r="N208" s="296"/>
      <c r="O208" s="296"/>
      <c r="P208" s="296"/>
      <c r="Q208" s="296"/>
      <c r="R208" s="296"/>
      <c r="S208" s="296"/>
      <c r="T208" s="296"/>
      <c r="U208" s="296"/>
      <c r="V208" s="296"/>
      <c r="W208" s="296"/>
      <c r="X208" s="296"/>
      <c r="Y208" s="296"/>
      <c r="Z208" s="296"/>
      <c r="AA208" s="273"/>
      <c r="AB208" s="273"/>
      <c r="AC208" s="273"/>
    </row>
    <row r="209" spans="1:68" ht="14.25" hidden="1" customHeight="1" x14ac:dyDescent="0.25">
      <c r="A209" s="310" t="s">
        <v>97</v>
      </c>
      <c r="B209" s="296"/>
      <c r="C209" s="296"/>
      <c r="D209" s="296"/>
      <c r="E209" s="296"/>
      <c r="F209" s="296"/>
      <c r="G209" s="296"/>
      <c r="H209" s="296"/>
      <c r="I209" s="296"/>
      <c r="J209" s="296"/>
      <c r="K209" s="296"/>
      <c r="L209" s="296"/>
      <c r="M209" s="296"/>
      <c r="N209" s="296"/>
      <c r="O209" s="296"/>
      <c r="P209" s="296"/>
      <c r="Q209" s="296"/>
      <c r="R209" s="296"/>
      <c r="S209" s="296"/>
      <c r="T209" s="296"/>
      <c r="U209" s="296"/>
      <c r="V209" s="296"/>
      <c r="W209" s="296"/>
      <c r="X209" s="296"/>
      <c r="Y209" s="296"/>
      <c r="Z209" s="296"/>
      <c r="AA209" s="272"/>
      <c r="AB209" s="272"/>
      <c r="AC209" s="272"/>
    </row>
    <row r="210" spans="1:68" ht="27" customHeight="1" x14ac:dyDescent="0.25">
      <c r="A210" s="54" t="s">
        <v>292</v>
      </c>
      <c r="B210" s="54" t="s">
        <v>293</v>
      </c>
      <c r="C210" s="31">
        <v>4301132227</v>
      </c>
      <c r="D210" s="284">
        <v>4620207491133</v>
      </c>
      <c r="E210" s="285"/>
      <c r="F210" s="277">
        <v>0.23</v>
      </c>
      <c r="G210" s="32">
        <v>12</v>
      </c>
      <c r="H210" s="277">
        <v>2.76</v>
      </c>
      <c r="I210" s="277">
        <v>2.98</v>
      </c>
      <c r="J210" s="32">
        <v>70</v>
      </c>
      <c r="K210" s="32" t="s">
        <v>100</v>
      </c>
      <c r="L210" s="32" t="s">
        <v>101</v>
      </c>
      <c r="M210" s="33" t="s">
        <v>67</v>
      </c>
      <c r="N210" s="33"/>
      <c r="O210" s="32">
        <v>180</v>
      </c>
      <c r="P210" s="37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10" s="290"/>
      <c r="R210" s="290"/>
      <c r="S210" s="290"/>
      <c r="T210" s="291"/>
      <c r="U210" s="34"/>
      <c r="V210" s="34"/>
      <c r="W210" s="35" t="s">
        <v>68</v>
      </c>
      <c r="X210" s="278">
        <v>42</v>
      </c>
      <c r="Y210" s="279">
        <f>IFERROR(IF(X210="","",X210),"")</f>
        <v>42</v>
      </c>
      <c r="Z210" s="36">
        <f>IFERROR(IF(X210="","",X210*0.01788),"")</f>
        <v>0.75095999999999996</v>
      </c>
      <c r="AA210" s="56"/>
      <c r="AB210" s="57"/>
      <c r="AC210" s="214" t="s">
        <v>294</v>
      </c>
      <c r="AG210" s="67"/>
      <c r="AJ210" s="71" t="s">
        <v>103</v>
      </c>
      <c r="AK210" s="71">
        <v>14</v>
      </c>
      <c r="BB210" s="215" t="s">
        <v>104</v>
      </c>
      <c r="BM210" s="67">
        <f>IFERROR(X210*I210,"0")</f>
        <v>125.16</v>
      </c>
      <c r="BN210" s="67">
        <f>IFERROR(Y210*I210,"0")</f>
        <v>125.16</v>
      </c>
      <c r="BO210" s="67">
        <f>IFERROR(X210/J210,"0")</f>
        <v>0.6</v>
      </c>
      <c r="BP210" s="67">
        <f>IFERROR(Y210/J210,"0")</f>
        <v>0.6</v>
      </c>
    </row>
    <row r="211" spans="1:68" x14ac:dyDescent="0.2">
      <c r="A211" s="307"/>
      <c r="B211" s="296"/>
      <c r="C211" s="296"/>
      <c r="D211" s="296"/>
      <c r="E211" s="296"/>
      <c r="F211" s="296"/>
      <c r="G211" s="296"/>
      <c r="H211" s="296"/>
      <c r="I211" s="296"/>
      <c r="J211" s="296"/>
      <c r="K211" s="296"/>
      <c r="L211" s="296"/>
      <c r="M211" s="296"/>
      <c r="N211" s="296"/>
      <c r="O211" s="308"/>
      <c r="P211" s="286" t="s">
        <v>87</v>
      </c>
      <c r="Q211" s="287"/>
      <c r="R211" s="287"/>
      <c r="S211" s="287"/>
      <c r="T211" s="287"/>
      <c r="U211" s="287"/>
      <c r="V211" s="288"/>
      <c r="W211" s="37" t="s">
        <v>68</v>
      </c>
      <c r="X211" s="280">
        <f>IFERROR(SUM(X210:X210),"0")</f>
        <v>42</v>
      </c>
      <c r="Y211" s="280">
        <f>IFERROR(SUM(Y210:Y210),"0")</f>
        <v>42</v>
      </c>
      <c r="Z211" s="280">
        <f>IFERROR(IF(Z210="",0,Z210),"0")</f>
        <v>0.75095999999999996</v>
      </c>
      <c r="AA211" s="281"/>
      <c r="AB211" s="281"/>
      <c r="AC211" s="281"/>
    </row>
    <row r="212" spans="1:68" x14ac:dyDescent="0.2">
      <c r="A212" s="296"/>
      <c r="B212" s="296"/>
      <c r="C212" s="296"/>
      <c r="D212" s="296"/>
      <c r="E212" s="296"/>
      <c r="F212" s="296"/>
      <c r="G212" s="296"/>
      <c r="H212" s="296"/>
      <c r="I212" s="296"/>
      <c r="J212" s="296"/>
      <c r="K212" s="296"/>
      <c r="L212" s="296"/>
      <c r="M212" s="296"/>
      <c r="N212" s="296"/>
      <c r="O212" s="308"/>
      <c r="P212" s="286" t="s">
        <v>87</v>
      </c>
      <c r="Q212" s="287"/>
      <c r="R212" s="287"/>
      <c r="S212" s="287"/>
      <c r="T212" s="287"/>
      <c r="U212" s="287"/>
      <c r="V212" s="288"/>
      <c r="W212" s="37" t="s">
        <v>88</v>
      </c>
      <c r="X212" s="280">
        <f>IFERROR(SUMPRODUCT(X210:X210*H210:H210),"0")</f>
        <v>115.91999999999999</v>
      </c>
      <c r="Y212" s="280">
        <f>IFERROR(SUMPRODUCT(Y210:Y210*H210:H210),"0")</f>
        <v>115.91999999999999</v>
      </c>
      <c r="Z212" s="37"/>
      <c r="AA212" s="281"/>
      <c r="AB212" s="281"/>
      <c r="AC212" s="281"/>
    </row>
    <row r="213" spans="1:68" ht="14.25" hidden="1" customHeight="1" x14ac:dyDescent="0.25">
      <c r="A213" s="310" t="s">
        <v>133</v>
      </c>
      <c r="B213" s="296"/>
      <c r="C213" s="296"/>
      <c r="D213" s="296"/>
      <c r="E213" s="296"/>
      <c r="F213" s="296"/>
      <c r="G213" s="296"/>
      <c r="H213" s="296"/>
      <c r="I213" s="296"/>
      <c r="J213" s="296"/>
      <c r="K213" s="296"/>
      <c r="L213" s="296"/>
      <c r="M213" s="296"/>
      <c r="N213" s="296"/>
      <c r="O213" s="296"/>
      <c r="P213" s="296"/>
      <c r="Q213" s="296"/>
      <c r="R213" s="296"/>
      <c r="S213" s="296"/>
      <c r="T213" s="296"/>
      <c r="U213" s="296"/>
      <c r="V213" s="296"/>
      <c r="W213" s="296"/>
      <c r="X213" s="296"/>
      <c r="Y213" s="296"/>
      <c r="Z213" s="296"/>
      <c r="AA213" s="272"/>
      <c r="AB213" s="272"/>
      <c r="AC213" s="272"/>
    </row>
    <row r="214" spans="1:68" ht="27" hidden="1" customHeight="1" x14ac:dyDescent="0.25">
      <c r="A214" s="54" t="s">
        <v>295</v>
      </c>
      <c r="B214" s="54" t="s">
        <v>296</v>
      </c>
      <c r="C214" s="31">
        <v>4301135834</v>
      </c>
      <c r="D214" s="284">
        <v>4620207491188</v>
      </c>
      <c r="E214" s="285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43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4" s="290"/>
      <c r="R214" s="290"/>
      <c r="S214" s="290"/>
      <c r="T214" s="291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297</v>
      </c>
      <c r="AG214" s="67"/>
      <c r="AJ214" s="71" t="s">
        <v>70</v>
      </c>
      <c r="AK214" s="71">
        <v>1</v>
      </c>
      <c r="BB214" s="217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hidden="1" customHeight="1" x14ac:dyDescent="0.25">
      <c r="A215" s="54" t="s">
        <v>298</v>
      </c>
      <c r="B215" s="54" t="s">
        <v>299</v>
      </c>
      <c r="C215" s="31">
        <v>4301135696</v>
      </c>
      <c r="D215" s="284">
        <v>4620207490235</v>
      </c>
      <c r="E215" s="285"/>
      <c r="F215" s="277">
        <v>0.2</v>
      </c>
      <c r="G215" s="32">
        <v>12</v>
      </c>
      <c r="H215" s="277">
        <v>2.4</v>
      </c>
      <c r="I215" s="277">
        <v>3.1036000000000001</v>
      </c>
      <c r="J215" s="32">
        <v>70</v>
      </c>
      <c r="K215" s="32" t="s">
        <v>100</v>
      </c>
      <c r="L215" s="32" t="s">
        <v>101</v>
      </c>
      <c r="M215" s="33" t="s">
        <v>67</v>
      </c>
      <c r="N215" s="33"/>
      <c r="O215" s="32">
        <v>180</v>
      </c>
      <c r="P215" s="306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5" s="290"/>
      <c r="R215" s="290"/>
      <c r="S215" s="290"/>
      <c r="T215" s="291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300</v>
      </c>
      <c r="AG215" s="67"/>
      <c r="AJ215" s="71" t="s">
        <v>103</v>
      </c>
      <c r="AK215" s="71">
        <v>14</v>
      </c>
      <c r="BB215" s="219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27" hidden="1" customHeight="1" x14ac:dyDescent="0.25">
      <c r="A216" s="54" t="s">
        <v>301</v>
      </c>
      <c r="B216" s="54" t="s">
        <v>302</v>
      </c>
      <c r="C216" s="31">
        <v>4301135697</v>
      </c>
      <c r="D216" s="284">
        <v>4620207490259</v>
      </c>
      <c r="E216" s="285"/>
      <c r="F216" s="277">
        <v>0.2</v>
      </c>
      <c r="G216" s="32">
        <v>12</v>
      </c>
      <c r="H216" s="277">
        <v>2.4</v>
      </c>
      <c r="I216" s="277">
        <v>3.1036000000000001</v>
      </c>
      <c r="J216" s="32">
        <v>70</v>
      </c>
      <c r="K216" s="32" t="s">
        <v>100</v>
      </c>
      <c r="L216" s="32" t="s">
        <v>101</v>
      </c>
      <c r="M216" s="33" t="s">
        <v>67</v>
      </c>
      <c r="N216" s="33"/>
      <c r="O216" s="32">
        <v>180</v>
      </c>
      <c r="P216" s="37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6" s="290"/>
      <c r="R216" s="290"/>
      <c r="S216" s="290"/>
      <c r="T216" s="291"/>
      <c r="U216" s="34"/>
      <c r="V216" s="34"/>
      <c r="W216" s="35" t="s">
        <v>68</v>
      </c>
      <c r="X216" s="278">
        <v>0</v>
      </c>
      <c r="Y216" s="279">
        <f>IFERROR(IF(X216="","",X216),"")</f>
        <v>0</v>
      </c>
      <c r="Z216" s="36">
        <f>IFERROR(IF(X216="","",X216*0.01788),"")</f>
        <v>0</v>
      </c>
      <c r="AA216" s="56"/>
      <c r="AB216" s="57"/>
      <c r="AC216" s="220" t="s">
        <v>303</v>
      </c>
      <c r="AG216" s="67"/>
      <c r="AJ216" s="71" t="s">
        <v>103</v>
      </c>
      <c r="AK216" s="71">
        <v>14</v>
      </c>
      <c r="BB216" s="221" t="s">
        <v>104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idden="1" x14ac:dyDescent="0.2">
      <c r="A217" s="307"/>
      <c r="B217" s="296"/>
      <c r="C217" s="296"/>
      <c r="D217" s="296"/>
      <c r="E217" s="296"/>
      <c r="F217" s="296"/>
      <c r="G217" s="296"/>
      <c r="H217" s="296"/>
      <c r="I217" s="296"/>
      <c r="J217" s="296"/>
      <c r="K217" s="296"/>
      <c r="L217" s="296"/>
      <c r="M217" s="296"/>
      <c r="N217" s="296"/>
      <c r="O217" s="308"/>
      <c r="P217" s="286" t="s">
        <v>87</v>
      </c>
      <c r="Q217" s="287"/>
      <c r="R217" s="287"/>
      <c r="S217" s="287"/>
      <c r="T217" s="287"/>
      <c r="U217" s="287"/>
      <c r="V217" s="288"/>
      <c r="W217" s="37" t="s">
        <v>68</v>
      </c>
      <c r="X217" s="280">
        <f>IFERROR(SUM(X214:X216),"0")</f>
        <v>0</v>
      </c>
      <c r="Y217" s="280">
        <f>IFERROR(SUM(Y214:Y216),"0")</f>
        <v>0</v>
      </c>
      <c r="Z217" s="280">
        <f>IFERROR(IF(Z214="",0,Z214),"0")+IFERROR(IF(Z215="",0,Z215),"0")+IFERROR(IF(Z216="",0,Z216),"0")</f>
        <v>0</v>
      </c>
      <c r="AA217" s="281"/>
      <c r="AB217" s="281"/>
      <c r="AC217" s="281"/>
    </row>
    <row r="218" spans="1:68" hidden="1" x14ac:dyDescent="0.2">
      <c r="A218" s="296"/>
      <c r="B218" s="296"/>
      <c r="C218" s="296"/>
      <c r="D218" s="296"/>
      <c r="E218" s="296"/>
      <c r="F218" s="296"/>
      <c r="G218" s="296"/>
      <c r="H218" s="296"/>
      <c r="I218" s="296"/>
      <c r="J218" s="296"/>
      <c r="K218" s="296"/>
      <c r="L218" s="296"/>
      <c r="M218" s="296"/>
      <c r="N218" s="296"/>
      <c r="O218" s="308"/>
      <c r="P218" s="286" t="s">
        <v>87</v>
      </c>
      <c r="Q218" s="287"/>
      <c r="R218" s="287"/>
      <c r="S218" s="287"/>
      <c r="T218" s="287"/>
      <c r="U218" s="287"/>
      <c r="V218" s="288"/>
      <c r="W218" s="37" t="s">
        <v>88</v>
      </c>
      <c r="X218" s="280">
        <f>IFERROR(SUMPRODUCT(X214:X216*H214:H216),"0")</f>
        <v>0</v>
      </c>
      <c r="Y218" s="280">
        <f>IFERROR(SUMPRODUCT(Y214:Y216*H214:H216),"0")</f>
        <v>0</v>
      </c>
      <c r="Z218" s="37"/>
      <c r="AA218" s="281"/>
      <c r="AB218" s="281"/>
      <c r="AC218" s="281"/>
    </row>
    <row r="219" spans="1:68" ht="16.5" hidden="1" customHeight="1" x14ac:dyDescent="0.25">
      <c r="A219" s="295" t="s">
        <v>304</v>
      </c>
      <c r="B219" s="296"/>
      <c r="C219" s="296"/>
      <c r="D219" s="296"/>
      <c r="E219" s="296"/>
      <c r="F219" s="296"/>
      <c r="G219" s="296"/>
      <c r="H219" s="296"/>
      <c r="I219" s="296"/>
      <c r="J219" s="296"/>
      <c r="K219" s="296"/>
      <c r="L219" s="296"/>
      <c r="M219" s="296"/>
      <c r="N219" s="296"/>
      <c r="O219" s="296"/>
      <c r="P219" s="296"/>
      <c r="Q219" s="296"/>
      <c r="R219" s="296"/>
      <c r="S219" s="296"/>
      <c r="T219" s="296"/>
      <c r="U219" s="296"/>
      <c r="V219" s="296"/>
      <c r="W219" s="296"/>
      <c r="X219" s="296"/>
      <c r="Y219" s="296"/>
      <c r="Z219" s="296"/>
      <c r="AA219" s="273"/>
      <c r="AB219" s="273"/>
      <c r="AC219" s="273"/>
    </row>
    <row r="220" spans="1:68" ht="14.25" hidden="1" customHeight="1" x14ac:dyDescent="0.25">
      <c r="A220" s="310" t="s">
        <v>133</v>
      </c>
      <c r="B220" s="296"/>
      <c r="C220" s="296"/>
      <c r="D220" s="296"/>
      <c r="E220" s="296"/>
      <c r="F220" s="296"/>
      <c r="G220" s="296"/>
      <c r="H220" s="296"/>
      <c r="I220" s="296"/>
      <c r="J220" s="296"/>
      <c r="K220" s="296"/>
      <c r="L220" s="296"/>
      <c r="M220" s="296"/>
      <c r="N220" s="296"/>
      <c r="O220" s="296"/>
      <c r="P220" s="296"/>
      <c r="Q220" s="296"/>
      <c r="R220" s="296"/>
      <c r="S220" s="296"/>
      <c r="T220" s="296"/>
      <c r="U220" s="296"/>
      <c r="V220" s="296"/>
      <c r="W220" s="296"/>
      <c r="X220" s="296"/>
      <c r="Y220" s="296"/>
      <c r="Z220" s="296"/>
      <c r="AA220" s="272"/>
      <c r="AB220" s="272"/>
      <c r="AC220" s="272"/>
    </row>
    <row r="221" spans="1:68" ht="27" hidden="1" customHeight="1" x14ac:dyDescent="0.25">
      <c r="A221" s="54" t="s">
        <v>305</v>
      </c>
      <c r="B221" s="54" t="s">
        <v>306</v>
      </c>
      <c r="C221" s="31">
        <v>4301135854</v>
      </c>
      <c r="D221" s="284">
        <v>4620207491706</v>
      </c>
      <c r="E221" s="285"/>
      <c r="F221" s="277">
        <v>0.2</v>
      </c>
      <c r="G221" s="32">
        <v>12</v>
      </c>
      <c r="H221" s="277">
        <v>2.4</v>
      </c>
      <c r="I221" s="277">
        <v>3.1036000000000001</v>
      </c>
      <c r="J221" s="32">
        <v>70</v>
      </c>
      <c r="K221" s="32" t="s">
        <v>100</v>
      </c>
      <c r="L221" s="32" t="s">
        <v>66</v>
      </c>
      <c r="M221" s="33" t="s">
        <v>67</v>
      </c>
      <c r="N221" s="33"/>
      <c r="O221" s="32">
        <v>180</v>
      </c>
      <c r="P221" s="305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21" s="290"/>
      <c r="R221" s="290"/>
      <c r="S221" s="290"/>
      <c r="T221" s="291"/>
      <c r="U221" s="34"/>
      <c r="V221" s="34"/>
      <c r="W221" s="35" t="s">
        <v>68</v>
      </c>
      <c r="X221" s="278">
        <v>0</v>
      </c>
      <c r="Y221" s="279">
        <f>IFERROR(IF(X221="","",X221),"")</f>
        <v>0</v>
      </c>
      <c r="Z221" s="36">
        <f>IFERROR(IF(X221="","",X221*0.01788),"")</f>
        <v>0</v>
      </c>
      <c r="AA221" s="56"/>
      <c r="AB221" s="57"/>
      <c r="AC221" s="222" t="s">
        <v>307</v>
      </c>
      <c r="AG221" s="67"/>
      <c r="AJ221" s="71" t="s">
        <v>70</v>
      </c>
      <c r="AK221" s="71">
        <v>1</v>
      </c>
      <c r="BB221" s="223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hidden="1" customHeight="1" x14ac:dyDescent="0.25">
      <c r="A222" s="54" t="s">
        <v>308</v>
      </c>
      <c r="B222" s="54" t="s">
        <v>309</v>
      </c>
      <c r="C222" s="31">
        <v>4301135895</v>
      </c>
      <c r="D222" s="284">
        <v>4620207491522</v>
      </c>
      <c r="E222" s="285"/>
      <c r="F222" s="277">
        <v>0.28000000000000003</v>
      </c>
      <c r="G222" s="32">
        <v>12</v>
      </c>
      <c r="H222" s="277">
        <v>3.36</v>
      </c>
      <c r="I222" s="277">
        <v>4.0636000000000001</v>
      </c>
      <c r="J222" s="32">
        <v>70</v>
      </c>
      <c r="K222" s="32" t="s">
        <v>100</v>
      </c>
      <c r="L222" s="32" t="s">
        <v>66</v>
      </c>
      <c r="M222" s="33" t="s">
        <v>67</v>
      </c>
      <c r="N222" s="33"/>
      <c r="O222" s="32">
        <v>180</v>
      </c>
      <c r="P222" s="46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2" s="290"/>
      <c r="R222" s="290"/>
      <c r="S222" s="290"/>
      <c r="T222" s="291"/>
      <c r="U222" s="34"/>
      <c r="V222" s="34"/>
      <c r="W222" s="35" t="s">
        <v>68</v>
      </c>
      <c r="X222" s="278">
        <v>0</v>
      </c>
      <c r="Y222" s="279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310</v>
      </c>
      <c r="AG222" s="67"/>
      <c r="AJ222" s="71" t="s">
        <v>70</v>
      </c>
      <c r="AK222" s="71">
        <v>1</v>
      </c>
      <c r="BB222" s="225" t="s">
        <v>104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307"/>
      <c r="B223" s="296"/>
      <c r="C223" s="296"/>
      <c r="D223" s="296"/>
      <c r="E223" s="296"/>
      <c r="F223" s="296"/>
      <c r="G223" s="296"/>
      <c r="H223" s="296"/>
      <c r="I223" s="296"/>
      <c r="J223" s="296"/>
      <c r="K223" s="296"/>
      <c r="L223" s="296"/>
      <c r="M223" s="296"/>
      <c r="N223" s="296"/>
      <c r="O223" s="308"/>
      <c r="P223" s="286" t="s">
        <v>87</v>
      </c>
      <c r="Q223" s="287"/>
      <c r="R223" s="287"/>
      <c r="S223" s="287"/>
      <c r="T223" s="287"/>
      <c r="U223" s="287"/>
      <c r="V223" s="288"/>
      <c r="W223" s="37" t="s">
        <v>68</v>
      </c>
      <c r="X223" s="280">
        <f>IFERROR(SUM(X221:X222),"0")</f>
        <v>0</v>
      </c>
      <c r="Y223" s="280">
        <f>IFERROR(SUM(Y221:Y222),"0")</f>
        <v>0</v>
      </c>
      <c r="Z223" s="280">
        <f>IFERROR(IF(Z221="",0,Z221),"0")+IFERROR(IF(Z222="",0,Z222),"0")</f>
        <v>0</v>
      </c>
      <c r="AA223" s="281"/>
      <c r="AB223" s="281"/>
      <c r="AC223" s="281"/>
    </row>
    <row r="224" spans="1:68" hidden="1" x14ac:dyDescent="0.2">
      <c r="A224" s="296"/>
      <c r="B224" s="296"/>
      <c r="C224" s="296"/>
      <c r="D224" s="296"/>
      <c r="E224" s="296"/>
      <c r="F224" s="296"/>
      <c r="G224" s="296"/>
      <c r="H224" s="296"/>
      <c r="I224" s="296"/>
      <c r="J224" s="296"/>
      <c r="K224" s="296"/>
      <c r="L224" s="296"/>
      <c r="M224" s="296"/>
      <c r="N224" s="296"/>
      <c r="O224" s="308"/>
      <c r="P224" s="286" t="s">
        <v>87</v>
      </c>
      <c r="Q224" s="287"/>
      <c r="R224" s="287"/>
      <c r="S224" s="287"/>
      <c r="T224" s="287"/>
      <c r="U224" s="287"/>
      <c r="V224" s="288"/>
      <c r="W224" s="37" t="s">
        <v>88</v>
      </c>
      <c r="X224" s="280">
        <f>IFERROR(SUMPRODUCT(X221:X222*H221:H222),"0")</f>
        <v>0</v>
      </c>
      <c r="Y224" s="280">
        <f>IFERROR(SUMPRODUCT(Y221:Y222*H221:H222),"0")</f>
        <v>0</v>
      </c>
      <c r="Z224" s="37"/>
      <c r="AA224" s="281"/>
      <c r="AB224" s="281"/>
      <c r="AC224" s="281"/>
    </row>
    <row r="225" spans="1:68" ht="16.5" hidden="1" customHeight="1" x14ac:dyDescent="0.25">
      <c r="A225" s="295" t="s">
        <v>311</v>
      </c>
      <c r="B225" s="296"/>
      <c r="C225" s="296"/>
      <c r="D225" s="296"/>
      <c r="E225" s="296"/>
      <c r="F225" s="296"/>
      <c r="G225" s="296"/>
      <c r="H225" s="296"/>
      <c r="I225" s="296"/>
      <c r="J225" s="296"/>
      <c r="K225" s="296"/>
      <c r="L225" s="296"/>
      <c r="M225" s="296"/>
      <c r="N225" s="296"/>
      <c r="O225" s="296"/>
      <c r="P225" s="296"/>
      <c r="Q225" s="296"/>
      <c r="R225" s="296"/>
      <c r="S225" s="296"/>
      <c r="T225" s="296"/>
      <c r="U225" s="296"/>
      <c r="V225" s="296"/>
      <c r="W225" s="296"/>
      <c r="X225" s="296"/>
      <c r="Y225" s="296"/>
      <c r="Z225" s="296"/>
      <c r="AA225" s="273"/>
      <c r="AB225" s="273"/>
      <c r="AC225" s="273"/>
    </row>
    <row r="226" spans="1:68" ht="14.25" hidden="1" customHeight="1" x14ac:dyDescent="0.25">
      <c r="A226" s="310" t="s">
        <v>62</v>
      </c>
      <c r="B226" s="296"/>
      <c r="C226" s="296"/>
      <c r="D226" s="296"/>
      <c r="E226" s="296"/>
      <c r="F226" s="296"/>
      <c r="G226" s="296"/>
      <c r="H226" s="296"/>
      <c r="I226" s="296"/>
      <c r="J226" s="296"/>
      <c r="K226" s="296"/>
      <c r="L226" s="296"/>
      <c r="M226" s="296"/>
      <c r="N226" s="296"/>
      <c r="O226" s="296"/>
      <c r="P226" s="296"/>
      <c r="Q226" s="296"/>
      <c r="R226" s="296"/>
      <c r="S226" s="296"/>
      <c r="T226" s="296"/>
      <c r="U226" s="296"/>
      <c r="V226" s="296"/>
      <c r="W226" s="296"/>
      <c r="X226" s="296"/>
      <c r="Y226" s="296"/>
      <c r="Z226" s="296"/>
      <c r="AA226" s="272"/>
      <c r="AB226" s="272"/>
      <c r="AC226" s="272"/>
    </row>
    <row r="227" spans="1:68" ht="27" customHeight="1" x14ac:dyDescent="0.25">
      <c r="A227" s="54" t="s">
        <v>312</v>
      </c>
      <c r="B227" s="54" t="s">
        <v>313</v>
      </c>
      <c r="C227" s="31">
        <v>4301071097</v>
      </c>
      <c r="D227" s="284">
        <v>4620207491096</v>
      </c>
      <c r="E227" s="285"/>
      <c r="F227" s="277">
        <v>1</v>
      </c>
      <c r="G227" s="32">
        <v>5</v>
      </c>
      <c r="H227" s="277">
        <v>5</v>
      </c>
      <c r="I227" s="277">
        <v>5.23</v>
      </c>
      <c r="J227" s="32">
        <v>84</v>
      </c>
      <c r="K227" s="32" t="s">
        <v>65</v>
      </c>
      <c r="L227" s="32" t="s">
        <v>101</v>
      </c>
      <c r="M227" s="33" t="s">
        <v>67</v>
      </c>
      <c r="N227" s="33"/>
      <c r="O227" s="32">
        <v>180</v>
      </c>
      <c r="P227" s="42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7" s="290"/>
      <c r="R227" s="290"/>
      <c r="S227" s="290"/>
      <c r="T227" s="291"/>
      <c r="U227" s="34"/>
      <c r="V227" s="34"/>
      <c r="W227" s="35" t="s">
        <v>68</v>
      </c>
      <c r="X227" s="278">
        <v>156</v>
      </c>
      <c r="Y227" s="279">
        <f>IFERROR(IF(X227="","",X227),"")</f>
        <v>156</v>
      </c>
      <c r="Z227" s="36">
        <f>IFERROR(IF(X227="","",X227*0.0155),"")</f>
        <v>2.4180000000000001</v>
      </c>
      <c r="AA227" s="56"/>
      <c r="AB227" s="57"/>
      <c r="AC227" s="226" t="s">
        <v>314</v>
      </c>
      <c r="AG227" s="67"/>
      <c r="AJ227" s="71" t="s">
        <v>103</v>
      </c>
      <c r="AK227" s="71">
        <v>12</v>
      </c>
      <c r="BB227" s="227" t="s">
        <v>1</v>
      </c>
      <c r="BM227" s="67">
        <f>IFERROR(X227*I227,"0")</f>
        <v>815.88000000000011</v>
      </c>
      <c r="BN227" s="67">
        <f>IFERROR(Y227*I227,"0")</f>
        <v>815.88000000000011</v>
      </c>
      <c r="BO227" s="67">
        <f>IFERROR(X227/J227,"0")</f>
        <v>1.8571428571428572</v>
      </c>
      <c r="BP227" s="67">
        <f>IFERROR(Y227/J227,"0")</f>
        <v>1.8571428571428572</v>
      </c>
    </row>
    <row r="228" spans="1:68" x14ac:dyDescent="0.2">
      <c r="A228" s="307"/>
      <c r="B228" s="296"/>
      <c r="C228" s="296"/>
      <c r="D228" s="296"/>
      <c r="E228" s="296"/>
      <c r="F228" s="296"/>
      <c r="G228" s="296"/>
      <c r="H228" s="296"/>
      <c r="I228" s="296"/>
      <c r="J228" s="296"/>
      <c r="K228" s="296"/>
      <c r="L228" s="296"/>
      <c r="M228" s="296"/>
      <c r="N228" s="296"/>
      <c r="O228" s="308"/>
      <c r="P228" s="286" t="s">
        <v>87</v>
      </c>
      <c r="Q228" s="287"/>
      <c r="R228" s="287"/>
      <c r="S228" s="287"/>
      <c r="T228" s="287"/>
      <c r="U228" s="287"/>
      <c r="V228" s="288"/>
      <c r="W228" s="37" t="s">
        <v>68</v>
      </c>
      <c r="X228" s="280">
        <f>IFERROR(SUM(X227:X227),"0")</f>
        <v>156</v>
      </c>
      <c r="Y228" s="280">
        <f>IFERROR(SUM(Y227:Y227),"0")</f>
        <v>156</v>
      </c>
      <c r="Z228" s="280">
        <f>IFERROR(IF(Z227="",0,Z227),"0")</f>
        <v>2.4180000000000001</v>
      </c>
      <c r="AA228" s="281"/>
      <c r="AB228" s="281"/>
      <c r="AC228" s="281"/>
    </row>
    <row r="229" spans="1:68" x14ac:dyDescent="0.2">
      <c r="A229" s="296"/>
      <c r="B229" s="296"/>
      <c r="C229" s="296"/>
      <c r="D229" s="296"/>
      <c r="E229" s="296"/>
      <c r="F229" s="296"/>
      <c r="G229" s="296"/>
      <c r="H229" s="296"/>
      <c r="I229" s="296"/>
      <c r="J229" s="296"/>
      <c r="K229" s="296"/>
      <c r="L229" s="296"/>
      <c r="M229" s="296"/>
      <c r="N229" s="296"/>
      <c r="O229" s="308"/>
      <c r="P229" s="286" t="s">
        <v>87</v>
      </c>
      <c r="Q229" s="287"/>
      <c r="R229" s="287"/>
      <c r="S229" s="287"/>
      <c r="T229" s="287"/>
      <c r="U229" s="287"/>
      <c r="V229" s="288"/>
      <c r="W229" s="37" t="s">
        <v>88</v>
      </c>
      <c r="X229" s="280">
        <f>IFERROR(SUMPRODUCT(X227:X227*H227:H227),"0")</f>
        <v>780</v>
      </c>
      <c r="Y229" s="280">
        <f>IFERROR(SUMPRODUCT(Y227:Y227*H227:H227),"0")</f>
        <v>780</v>
      </c>
      <c r="Z229" s="37"/>
      <c r="AA229" s="281"/>
      <c r="AB229" s="281"/>
      <c r="AC229" s="281"/>
    </row>
    <row r="230" spans="1:68" ht="27.75" hidden="1" customHeight="1" x14ac:dyDescent="0.2">
      <c r="A230" s="338" t="s">
        <v>315</v>
      </c>
      <c r="B230" s="339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339"/>
      <c r="N230" s="339"/>
      <c r="O230" s="339"/>
      <c r="P230" s="339"/>
      <c r="Q230" s="339"/>
      <c r="R230" s="339"/>
      <c r="S230" s="339"/>
      <c r="T230" s="339"/>
      <c r="U230" s="339"/>
      <c r="V230" s="339"/>
      <c r="W230" s="339"/>
      <c r="X230" s="339"/>
      <c r="Y230" s="339"/>
      <c r="Z230" s="339"/>
      <c r="AA230" s="48"/>
      <c r="AB230" s="48"/>
      <c r="AC230" s="48"/>
    </row>
    <row r="231" spans="1:68" ht="16.5" hidden="1" customHeight="1" x14ac:dyDescent="0.25">
      <c r="A231" s="295" t="s">
        <v>316</v>
      </c>
      <c r="B231" s="296"/>
      <c r="C231" s="296"/>
      <c r="D231" s="296"/>
      <c r="E231" s="296"/>
      <c r="F231" s="296"/>
      <c r="G231" s="296"/>
      <c r="H231" s="296"/>
      <c r="I231" s="296"/>
      <c r="J231" s="296"/>
      <c r="K231" s="296"/>
      <c r="L231" s="296"/>
      <c r="M231" s="296"/>
      <c r="N231" s="296"/>
      <c r="O231" s="296"/>
      <c r="P231" s="296"/>
      <c r="Q231" s="296"/>
      <c r="R231" s="296"/>
      <c r="S231" s="296"/>
      <c r="T231" s="296"/>
      <c r="U231" s="296"/>
      <c r="V231" s="296"/>
      <c r="W231" s="296"/>
      <c r="X231" s="296"/>
      <c r="Y231" s="296"/>
      <c r="Z231" s="296"/>
      <c r="AA231" s="273"/>
      <c r="AB231" s="273"/>
      <c r="AC231" s="273"/>
    </row>
    <row r="232" spans="1:68" ht="14.25" hidden="1" customHeight="1" x14ac:dyDescent="0.25">
      <c r="A232" s="310" t="s">
        <v>62</v>
      </c>
      <c r="B232" s="296"/>
      <c r="C232" s="296"/>
      <c r="D232" s="296"/>
      <c r="E232" s="296"/>
      <c r="F232" s="296"/>
      <c r="G232" s="296"/>
      <c r="H232" s="296"/>
      <c r="I232" s="296"/>
      <c r="J232" s="296"/>
      <c r="K232" s="296"/>
      <c r="L232" s="296"/>
      <c r="M232" s="296"/>
      <c r="N232" s="296"/>
      <c r="O232" s="296"/>
      <c r="P232" s="296"/>
      <c r="Q232" s="296"/>
      <c r="R232" s="296"/>
      <c r="S232" s="296"/>
      <c r="T232" s="296"/>
      <c r="U232" s="296"/>
      <c r="V232" s="296"/>
      <c r="W232" s="296"/>
      <c r="X232" s="296"/>
      <c r="Y232" s="296"/>
      <c r="Z232" s="296"/>
      <c r="AA232" s="272"/>
      <c r="AB232" s="272"/>
      <c r="AC232" s="272"/>
    </row>
    <row r="233" spans="1:68" ht="27" hidden="1" customHeight="1" x14ac:dyDescent="0.25">
      <c r="A233" s="54" t="s">
        <v>317</v>
      </c>
      <c r="B233" s="54" t="s">
        <v>318</v>
      </c>
      <c r="C233" s="31">
        <v>4301071036</v>
      </c>
      <c r="D233" s="284">
        <v>4607111036162</v>
      </c>
      <c r="E233" s="285"/>
      <c r="F233" s="277">
        <v>0.8</v>
      </c>
      <c r="G233" s="32">
        <v>8</v>
      </c>
      <c r="H233" s="277">
        <v>6.4</v>
      </c>
      <c r="I233" s="277">
        <v>6.6811999999999996</v>
      </c>
      <c r="J233" s="32">
        <v>84</v>
      </c>
      <c r="K233" s="32" t="s">
        <v>65</v>
      </c>
      <c r="L233" s="32" t="s">
        <v>66</v>
      </c>
      <c r="M233" s="33" t="s">
        <v>67</v>
      </c>
      <c r="N233" s="33"/>
      <c r="O233" s="32">
        <v>90</v>
      </c>
      <c r="P233" s="39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3" s="290"/>
      <c r="R233" s="290"/>
      <c r="S233" s="290"/>
      <c r="T233" s="291"/>
      <c r="U233" s="34"/>
      <c r="V233" s="34"/>
      <c r="W233" s="35" t="s">
        <v>68</v>
      </c>
      <c r="X233" s="278">
        <v>0</v>
      </c>
      <c r="Y233" s="279">
        <f>IFERROR(IF(X233="","",X233),"")</f>
        <v>0</v>
      </c>
      <c r="Z233" s="36">
        <f>IFERROR(IF(X233="","",X233*0.0155),"")</f>
        <v>0</v>
      </c>
      <c r="AA233" s="56"/>
      <c r="AB233" s="57"/>
      <c r="AC233" s="228" t="s">
        <v>319</v>
      </c>
      <c r="AG233" s="67"/>
      <c r="AJ233" s="71" t="s">
        <v>70</v>
      </c>
      <c r="AK233" s="71">
        <v>1</v>
      </c>
      <c r="BB233" s="229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307"/>
      <c r="B234" s="296"/>
      <c r="C234" s="296"/>
      <c r="D234" s="296"/>
      <c r="E234" s="296"/>
      <c r="F234" s="296"/>
      <c r="G234" s="296"/>
      <c r="H234" s="296"/>
      <c r="I234" s="296"/>
      <c r="J234" s="296"/>
      <c r="K234" s="296"/>
      <c r="L234" s="296"/>
      <c r="M234" s="296"/>
      <c r="N234" s="296"/>
      <c r="O234" s="308"/>
      <c r="P234" s="286" t="s">
        <v>87</v>
      </c>
      <c r="Q234" s="287"/>
      <c r="R234" s="287"/>
      <c r="S234" s="287"/>
      <c r="T234" s="287"/>
      <c r="U234" s="287"/>
      <c r="V234" s="288"/>
      <c r="W234" s="37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hidden="1" x14ac:dyDescent="0.2">
      <c r="A235" s="296"/>
      <c r="B235" s="296"/>
      <c r="C235" s="296"/>
      <c r="D235" s="296"/>
      <c r="E235" s="296"/>
      <c r="F235" s="296"/>
      <c r="G235" s="296"/>
      <c r="H235" s="296"/>
      <c r="I235" s="296"/>
      <c r="J235" s="296"/>
      <c r="K235" s="296"/>
      <c r="L235" s="296"/>
      <c r="M235" s="296"/>
      <c r="N235" s="296"/>
      <c r="O235" s="308"/>
      <c r="P235" s="286" t="s">
        <v>87</v>
      </c>
      <c r="Q235" s="287"/>
      <c r="R235" s="287"/>
      <c r="S235" s="287"/>
      <c r="T235" s="287"/>
      <c r="U235" s="287"/>
      <c r="V235" s="288"/>
      <c r="W235" s="37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7"/>
      <c r="AA235" s="281"/>
      <c r="AB235" s="281"/>
      <c r="AC235" s="281"/>
    </row>
    <row r="236" spans="1:68" ht="27.75" hidden="1" customHeight="1" x14ac:dyDescent="0.2">
      <c r="A236" s="338" t="s">
        <v>320</v>
      </c>
      <c r="B236" s="339"/>
      <c r="C236" s="339"/>
      <c r="D236" s="339"/>
      <c r="E236" s="339"/>
      <c r="F236" s="339"/>
      <c r="G236" s="339"/>
      <c r="H236" s="339"/>
      <c r="I236" s="339"/>
      <c r="J236" s="339"/>
      <c r="K236" s="339"/>
      <c r="L236" s="339"/>
      <c r="M236" s="339"/>
      <c r="N236" s="339"/>
      <c r="O236" s="339"/>
      <c r="P236" s="339"/>
      <c r="Q236" s="339"/>
      <c r="R236" s="339"/>
      <c r="S236" s="339"/>
      <c r="T236" s="339"/>
      <c r="U236" s="339"/>
      <c r="V236" s="339"/>
      <c r="W236" s="339"/>
      <c r="X236" s="339"/>
      <c r="Y236" s="339"/>
      <c r="Z236" s="339"/>
      <c r="AA236" s="48"/>
      <c r="AB236" s="48"/>
      <c r="AC236" s="48"/>
    </row>
    <row r="237" spans="1:68" ht="16.5" hidden="1" customHeight="1" x14ac:dyDescent="0.25">
      <c r="A237" s="295" t="s">
        <v>321</v>
      </c>
      <c r="B237" s="296"/>
      <c r="C237" s="296"/>
      <c r="D237" s="296"/>
      <c r="E237" s="296"/>
      <c r="F237" s="296"/>
      <c r="G237" s="296"/>
      <c r="H237" s="296"/>
      <c r="I237" s="296"/>
      <c r="J237" s="296"/>
      <c r="K237" s="296"/>
      <c r="L237" s="296"/>
      <c r="M237" s="296"/>
      <c r="N237" s="296"/>
      <c r="O237" s="296"/>
      <c r="P237" s="296"/>
      <c r="Q237" s="296"/>
      <c r="R237" s="296"/>
      <c r="S237" s="296"/>
      <c r="T237" s="296"/>
      <c r="U237" s="296"/>
      <c r="V237" s="296"/>
      <c r="W237" s="296"/>
      <c r="X237" s="296"/>
      <c r="Y237" s="296"/>
      <c r="Z237" s="296"/>
      <c r="AA237" s="273"/>
      <c r="AB237" s="273"/>
      <c r="AC237" s="273"/>
    </row>
    <row r="238" spans="1:68" ht="14.25" hidden="1" customHeight="1" x14ac:dyDescent="0.25">
      <c r="A238" s="310" t="s">
        <v>322</v>
      </c>
      <c r="B238" s="296"/>
      <c r="C238" s="296"/>
      <c r="D238" s="296"/>
      <c r="E238" s="296"/>
      <c r="F238" s="296"/>
      <c r="G238" s="296"/>
      <c r="H238" s="296"/>
      <c r="I238" s="296"/>
      <c r="J238" s="296"/>
      <c r="K238" s="296"/>
      <c r="L238" s="296"/>
      <c r="M238" s="296"/>
      <c r="N238" s="296"/>
      <c r="O238" s="296"/>
      <c r="P238" s="296"/>
      <c r="Q238" s="296"/>
      <c r="R238" s="296"/>
      <c r="S238" s="296"/>
      <c r="T238" s="296"/>
      <c r="U238" s="296"/>
      <c r="V238" s="296"/>
      <c r="W238" s="296"/>
      <c r="X238" s="296"/>
      <c r="Y238" s="296"/>
      <c r="Z238" s="296"/>
      <c r="AA238" s="272"/>
      <c r="AB238" s="272"/>
      <c r="AC238" s="272"/>
    </row>
    <row r="239" spans="1:68" ht="27" hidden="1" customHeight="1" x14ac:dyDescent="0.25">
      <c r="A239" s="54" t="s">
        <v>323</v>
      </c>
      <c r="B239" s="54" t="s">
        <v>324</v>
      </c>
      <c r="C239" s="31">
        <v>4301133004</v>
      </c>
      <c r="D239" s="284">
        <v>4607111039774</v>
      </c>
      <c r="E239" s="285"/>
      <c r="F239" s="277">
        <v>0.25</v>
      </c>
      <c r="G239" s="32">
        <v>12</v>
      </c>
      <c r="H239" s="277">
        <v>3</v>
      </c>
      <c r="I239" s="277">
        <v>3.22</v>
      </c>
      <c r="J239" s="32">
        <v>70</v>
      </c>
      <c r="K239" s="32" t="s">
        <v>100</v>
      </c>
      <c r="L239" s="32" t="s">
        <v>66</v>
      </c>
      <c r="M239" s="33" t="s">
        <v>67</v>
      </c>
      <c r="N239" s="33"/>
      <c r="O239" s="32">
        <v>180</v>
      </c>
      <c r="P239" s="36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9" s="290"/>
      <c r="R239" s="290"/>
      <c r="S239" s="290"/>
      <c r="T239" s="291"/>
      <c r="U239" s="34"/>
      <c r="V239" s="34"/>
      <c r="W239" s="35" t="s">
        <v>68</v>
      </c>
      <c r="X239" s="278">
        <v>0</v>
      </c>
      <c r="Y239" s="279">
        <f>IFERROR(IF(X239="","",X239),"")</f>
        <v>0</v>
      </c>
      <c r="Z239" s="36">
        <f>IFERROR(IF(X239="","",X239*0.01788),"")</f>
        <v>0</v>
      </c>
      <c r="AA239" s="56"/>
      <c r="AB239" s="57"/>
      <c r="AC239" s="230" t="s">
        <v>325</v>
      </c>
      <c r="AG239" s="67"/>
      <c r="AJ239" s="71" t="s">
        <v>70</v>
      </c>
      <c r="AK239" s="71">
        <v>1</v>
      </c>
      <c r="BB239" s="231" t="s">
        <v>104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307"/>
      <c r="B240" s="296"/>
      <c r="C240" s="296"/>
      <c r="D240" s="296"/>
      <c r="E240" s="296"/>
      <c r="F240" s="296"/>
      <c r="G240" s="296"/>
      <c r="H240" s="296"/>
      <c r="I240" s="296"/>
      <c r="J240" s="296"/>
      <c r="K240" s="296"/>
      <c r="L240" s="296"/>
      <c r="M240" s="296"/>
      <c r="N240" s="296"/>
      <c r="O240" s="308"/>
      <c r="P240" s="286" t="s">
        <v>87</v>
      </c>
      <c r="Q240" s="287"/>
      <c r="R240" s="287"/>
      <c r="S240" s="287"/>
      <c r="T240" s="287"/>
      <c r="U240" s="287"/>
      <c r="V240" s="288"/>
      <c r="W240" s="37" t="s">
        <v>68</v>
      </c>
      <c r="X240" s="280">
        <f>IFERROR(SUM(X239:X239),"0")</f>
        <v>0</v>
      </c>
      <c r="Y240" s="280">
        <f>IFERROR(SUM(Y239:Y239),"0")</f>
        <v>0</v>
      </c>
      <c r="Z240" s="280">
        <f>IFERROR(IF(Z239="",0,Z239),"0")</f>
        <v>0</v>
      </c>
      <c r="AA240" s="281"/>
      <c r="AB240" s="281"/>
      <c r="AC240" s="281"/>
    </row>
    <row r="241" spans="1:68" hidden="1" x14ac:dyDescent="0.2">
      <c r="A241" s="296"/>
      <c r="B241" s="296"/>
      <c r="C241" s="296"/>
      <c r="D241" s="296"/>
      <c r="E241" s="296"/>
      <c r="F241" s="296"/>
      <c r="G241" s="296"/>
      <c r="H241" s="296"/>
      <c r="I241" s="296"/>
      <c r="J241" s="296"/>
      <c r="K241" s="296"/>
      <c r="L241" s="296"/>
      <c r="M241" s="296"/>
      <c r="N241" s="296"/>
      <c r="O241" s="308"/>
      <c r="P241" s="286" t="s">
        <v>87</v>
      </c>
      <c r="Q241" s="287"/>
      <c r="R241" s="287"/>
      <c r="S241" s="287"/>
      <c r="T241" s="287"/>
      <c r="U241" s="287"/>
      <c r="V241" s="288"/>
      <c r="W241" s="37" t="s">
        <v>88</v>
      </c>
      <c r="X241" s="280">
        <f>IFERROR(SUMPRODUCT(X239:X239*H239:H239),"0")</f>
        <v>0</v>
      </c>
      <c r="Y241" s="280">
        <f>IFERROR(SUMPRODUCT(Y239:Y239*H239:H239),"0")</f>
        <v>0</v>
      </c>
      <c r="Z241" s="37"/>
      <c r="AA241" s="281"/>
      <c r="AB241" s="281"/>
      <c r="AC241" s="281"/>
    </row>
    <row r="242" spans="1:68" ht="14.25" hidden="1" customHeight="1" x14ac:dyDescent="0.25">
      <c r="A242" s="310" t="s">
        <v>133</v>
      </c>
      <c r="B242" s="296"/>
      <c r="C242" s="296"/>
      <c r="D242" s="296"/>
      <c r="E242" s="296"/>
      <c r="F242" s="296"/>
      <c r="G242" s="296"/>
      <c r="H242" s="296"/>
      <c r="I242" s="296"/>
      <c r="J242" s="296"/>
      <c r="K242" s="296"/>
      <c r="L242" s="296"/>
      <c r="M242" s="296"/>
      <c r="N242" s="296"/>
      <c r="O242" s="296"/>
      <c r="P242" s="296"/>
      <c r="Q242" s="296"/>
      <c r="R242" s="296"/>
      <c r="S242" s="296"/>
      <c r="T242" s="296"/>
      <c r="U242" s="296"/>
      <c r="V242" s="296"/>
      <c r="W242" s="296"/>
      <c r="X242" s="296"/>
      <c r="Y242" s="296"/>
      <c r="Z242" s="296"/>
      <c r="AA242" s="272"/>
      <c r="AB242" s="272"/>
      <c r="AC242" s="272"/>
    </row>
    <row r="243" spans="1:68" ht="37.5" hidden="1" customHeight="1" x14ac:dyDescent="0.25">
      <c r="A243" s="54" t="s">
        <v>326</v>
      </c>
      <c r="B243" s="54" t="s">
        <v>327</v>
      </c>
      <c r="C243" s="31">
        <v>4301135400</v>
      </c>
      <c r="D243" s="284">
        <v>4607111039361</v>
      </c>
      <c r="E243" s="285"/>
      <c r="F243" s="277">
        <v>0.25</v>
      </c>
      <c r="G243" s="32">
        <v>12</v>
      </c>
      <c r="H243" s="277">
        <v>3</v>
      </c>
      <c r="I243" s="277">
        <v>3.7035999999999998</v>
      </c>
      <c r="J243" s="32">
        <v>70</v>
      </c>
      <c r="K243" s="32" t="s">
        <v>100</v>
      </c>
      <c r="L243" s="32" t="s">
        <v>66</v>
      </c>
      <c r="M243" s="33" t="s">
        <v>67</v>
      </c>
      <c r="N243" s="33"/>
      <c r="O243" s="32">
        <v>180</v>
      </c>
      <c r="P243" s="39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3" s="290"/>
      <c r="R243" s="290"/>
      <c r="S243" s="290"/>
      <c r="T243" s="291"/>
      <c r="U243" s="34"/>
      <c r="V243" s="34"/>
      <c r="W243" s="35" t="s">
        <v>68</v>
      </c>
      <c r="X243" s="278">
        <v>0</v>
      </c>
      <c r="Y243" s="279">
        <f>IFERROR(IF(X243="","",X243),"")</f>
        <v>0</v>
      </c>
      <c r="Z243" s="36">
        <f>IFERROR(IF(X243="","",X243*0.01788),"")</f>
        <v>0</v>
      </c>
      <c r="AA243" s="56"/>
      <c r="AB243" s="57"/>
      <c r="AC243" s="232" t="s">
        <v>325</v>
      </c>
      <c r="AG243" s="67"/>
      <c r="AJ243" s="71" t="s">
        <v>70</v>
      </c>
      <c r="AK243" s="71">
        <v>1</v>
      </c>
      <c r="BB243" s="233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307"/>
      <c r="B244" s="296"/>
      <c r="C244" s="296"/>
      <c r="D244" s="296"/>
      <c r="E244" s="296"/>
      <c r="F244" s="296"/>
      <c r="G244" s="296"/>
      <c r="H244" s="296"/>
      <c r="I244" s="296"/>
      <c r="J244" s="296"/>
      <c r="K244" s="296"/>
      <c r="L244" s="296"/>
      <c r="M244" s="296"/>
      <c r="N244" s="296"/>
      <c r="O244" s="308"/>
      <c r="P244" s="286" t="s">
        <v>87</v>
      </c>
      <c r="Q244" s="287"/>
      <c r="R244" s="287"/>
      <c r="S244" s="287"/>
      <c r="T244" s="287"/>
      <c r="U244" s="287"/>
      <c r="V244" s="288"/>
      <c r="W244" s="37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hidden="1" x14ac:dyDescent="0.2">
      <c r="A245" s="296"/>
      <c r="B245" s="296"/>
      <c r="C245" s="296"/>
      <c r="D245" s="296"/>
      <c r="E245" s="296"/>
      <c r="F245" s="296"/>
      <c r="G245" s="296"/>
      <c r="H245" s="296"/>
      <c r="I245" s="296"/>
      <c r="J245" s="296"/>
      <c r="K245" s="296"/>
      <c r="L245" s="296"/>
      <c r="M245" s="296"/>
      <c r="N245" s="296"/>
      <c r="O245" s="308"/>
      <c r="P245" s="286" t="s">
        <v>87</v>
      </c>
      <c r="Q245" s="287"/>
      <c r="R245" s="287"/>
      <c r="S245" s="287"/>
      <c r="T245" s="287"/>
      <c r="U245" s="287"/>
      <c r="V245" s="288"/>
      <c r="W245" s="37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7"/>
      <c r="AA245" s="281"/>
      <c r="AB245" s="281"/>
      <c r="AC245" s="281"/>
    </row>
    <row r="246" spans="1:68" ht="27.75" hidden="1" customHeight="1" x14ac:dyDescent="0.2">
      <c r="A246" s="338" t="s">
        <v>328</v>
      </c>
      <c r="B246" s="339"/>
      <c r="C246" s="339"/>
      <c r="D246" s="339"/>
      <c r="E246" s="339"/>
      <c r="F246" s="339"/>
      <c r="G246" s="339"/>
      <c r="H246" s="339"/>
      <c r="I246" s="339"/>
      <c r="J246" s="339"/>
      <c r="K246" s="339"/>
      <c r="L246" s="339"/>
      <c r="M246" s="339"/>
      <c r="N246" s="339"/>
      <c r="O246" s="339"/>
      <c r="P246" s="339"/>
      <c r="Q246" s="339"/>
      <c r="R246" s="339"/>
      <c r="S246" s="339"/>
      <c r="T246" s="339"/>
      <c r="U246" s="339"/>
      <c r="V246" s="339"/>
      <c r="W246" s="339"/>
      <c r="X246" s="339"/>
      <c r="Y246" s="339"/>
      <c r="Z246" s="339"/>
      <c r="AA246" s="48"/>
      <c r="AB246" s="48"/>
      <c r="AC246" s="48"/>
    </row>
    <row r="247" spans="1:68" ht="16.5" hidden="1" customHeight="1" x14ac:dyDescent="0.25">
      <c r="A247" s="295" t="s">
        <v>328</v>
      </c>
      <c r="B247" s="296"/>
      <c r="C247" s="296"/>
      <c r="D247" s="296"/>
      <c r="E247" s="296"/>
      <c r="F247" s="296"/>
      <c r="G247" s="296"/>
      <c r="H247" s="296"/>
      <c r="I247" s="296"/>
      <c r="J247" s="296"/>
      <c r="K247" s="296"/>
      <c r="L247" s="296"/>
      <c r="M247" s="296"/>
      <c r="N247" s="296"/>
      <c r="O247" s="296"/>
      <c r="P247" s="296"/>
      <c r="Q247" s="296"/>
      <c r="R247" s="296"/>
      <c r="S247" s="296"/>
      <c r="T247" s="296"/>
      <c r="U247" s="296"/>
      <c r="V247" s="296"/>
      <c r="W247" s="296"/>
      <c r="X247" s="296"/>
      <c r="Y247" s="296"/>
      <c r="Z247" s="296"/>
      <c r="AA247" s="273"/>
      <c r="AB247" s="273"/>
      <c r="AC247" s="273"/>
    </row>
    <row r="248" spans="1:68" ht="14.25" hidden="1" customHeight="1" x14ac:dyDescent="0.25">
      <c r="A248" s="310" t="s">
        <v>97</v>
      </c>
      <c r="B248" s="296"/>
      <c r="C248" s="296"/>
      <c r="D248" s="296"/>
      <c r="E248" s="296"/>
      <c r="F248" s="296"/>
      <c r="G248" s="296"/>
      <c r="H248" s="296"/>
      <c r="I248" s="296"/>
      <c r="J248" s="296"/>
      <c r="K248" s="296"/>
      <c r="L248" s="296"/>
      <c r="M248" s="296"/>
      <c r="N248" s="296"/>
      <c r="O248" s="296"/>
      <c r="P248" s="296"/>
      <c r="Q248" s="296"/>
      <c r="R248" s="296"/>
      <c r="S248" s="296"/>
      <c r="T248" s="296"/>
      <c r="U248" s="296"/>
      <c r="V248" s="296"/>
      <c r="W248" s="296"/>
      <c r="X248" s="296"/>
      <c r="Y248" s="296"/>
      <c r="Z248" s="296"/>
      <c r="AA248" s="272"/>
      <c r="AB248" s="272"/>
      <c r="AC248" s="272"/>
    </row>
    <row r="249" spans="1:68" ht="27" hidden="1" customHeight="1" x14ac:dyDescent="0.25">
      <c r="A249" s="54" t="s">
        <v>329</v>
      </c>
      <c r="B249" s="54" t="s">
        <v>330</v>
      </c>
      <c r="C249" s="31">
        <v>4301132228</v>
      </c>
      <c r="D249" s="284">
        <v>4640242181950</v>
      </c>
      <c r="E249" s="285"/>
      <c r="F249" s="277">
        <v>0.23</v>
      </c>
      <c r="G249" s="32">
        <v>12</v>
      </c>
      <c r="H249" s="277">
        <v>2.76</v>
      </c>
      <c r="I249" s="277">
        <v>3.22</v>
      </c>
      <c r="J249" s="32">
        <v>70</v>
      </c>
      <c r="K249" s="32" t="s">
        <v>100</v>
      </c>
      <c r="L249" s="32" t="s">
        <v>66</v>
      </c>
      <c r="M249" s="33" t="s">
        <v>67</v>
      </c>
      <c r="N249" s="33"/>
      <c r="O249" s="32">
        <v>365</v>
      </c>
      <c r="P249" s="315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9" s="290"/>
      <c r="R249" s="290"/>
      <c r="S249" s="290"/>
      <c r="T249" s="291"/>
      <c r="U249" s="34"/>
      <c r="V249" s="34"/>
      <c r="W249" s="35" t="s">
        <v>68</v>
      </c>
      <c r="X249" s="278">
        <v>0</v>
      </c>
      <c r="Y249" s="279">
        <f>IFERROR(IF(X249="","",X249),"")</f>
        <v>0</v>
      </c>
      <c r="Z249" s="36">
        <f>IFERROR(IF(X249="","",X249*0.01788),"")</f>
        <v>0</v>
      </c>
      <c r="AA249" s="56"/>
      <c r="AB249" s="57"/>
      <c r="AC249" s="234" t="s">
        <v>331</v>
      </c>
      <c r="AG249" s="67"/>
      <c r="AJ249" s="71" t="s">
        <v>70</v>
      </c>
      <c r="AK249" s="71">
        <v>1</v>
      </c>
      <c r="BB249" s="235" t="s">
        <v>104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idden="1" x14ac:dyDescent="0.2">
      <c r="A250" s="307"/>
      <c r="B250" s="296"/>
      <c r="C250" s="296"/>
      <c r="D250" s="296"/>
      <c r="E250" s="296"/>
      <c r="F250" s="296"/>
      <c r="G250" s="296"/>
      <c r="H250" s="296"/>
      <c r="I250" s="296"/>
      <c r="J250" s="296"/>
      <c r="K250" s="296"/>
      <c r="L250" s="296"/>
      <c r="M250" s="296"/>
      <c r="N250" s="296"/>
      <c r="O250" s="308"/>
      <c r="P250" s="286" t="s">
        <v>87</v>
      </c>
      <c r="Q250" s="287"/>
      <c r="R250" s="287"/>
      <c r="S250" s="287"/>
      <c r="T250" s="287"/>
      <c r="U250" s="287"/>
      <c r="V250" s="288"/>
      <c r="W250" s="37" t="s">
        <v>68</v>
      </c>
      <c r="X250" s="280">
        <f>IFERROR(SUM(X249:X249),"0")</f>
        <v>0</v>
      </c>
      <c r="Y250" s="280">
        <f>IFERROR(SUM(Y249:Y249),"0")</f>
        <v>0</v>
      </c>
      <c r="Z250" s="280">
        <f>IFERROR(IF(Z249="",0,Z249),"0")</f>
        <v>0</v>
      </c>
      <c r="AA250" s="281"/>
      <c r="AB250" s="281"/>
      <c r="AC250" s="281"/>
    </row>
    <row r="251" spans="1:68" hidden="1" x14ac:dyDescent="0.2">
      <c r="A251" s="296"/>
      <c r="B251" s="296"/>
      <c r="C251" s="296"/>
      <c r="D251" s="296"/>
      <c r="E251" s="296"/>
      <c r="F251" s="296"/>
      <c r="G251" s="296"/>
      <c r="H251" s="296"/>
      <c r="I251" s="296"/>
      <c r="J251" s="296"/>
      <c r="K251" s="296"/>
      <c r="L251" s="296"/>
      <c r="M251" s="296"/>
      <c r="N251" s="296"/>
      <c r="O251" s="308"/>
      <c r="P251" s="286" t="s">
        <v>87</v>
      </c>
      <c r="Q251" s="287"/>
      <c r="R251" s="287"/>
      <c r="S251" s="287"/>
      <c r="T251" s="287"/>
      <c r="U251" s="287"/>
      <c r="V251" s="288"/>
      <c r="W251" s="37" t="s">
        <v>88</v>
      </c>
      <c r="X251" s="280">
        <f>IFERROR(SUMPRODUCT(X249:X249*H249:H249),"0")</f>
        <v>0</v>
      </c>
      <c r="Y251" s="280">
        <f>IFERROR(SUMPRODUCT(Y249:Y249*H249:H249),"0")</f>
        <v>0</v>
      </c>
      <c r="Z251" s="37"/>
      <c r="AA251" s="281"/>
      <c r="AB251" s="281"/>
      <c r="AC251" s="281"/>
    </row>
    <row r="252" spans="1:68" ht="14.25" hidden="1" customHeight="1" x14ac:dyDescent="0.25">
      <c r="A252" s="310" t="s">
        <v>129</v>
      </c>
      <c r="B252" s="296"/>
      <c r="C252" s="296"/>
      <c r="D252" s="296"/>
      <c r="E252" s="296"/>
      <c r="F252" s="296"/>
      <c r="G252" s="296"/>
      <c r="H252" s="296"/>
      <c r="I252" s="296"/>
      <c r="J252" s="296"/>
      <c r="K252" s="296"/>
      <c r="L252" s="296"/>
      <c r="M252" s="296"/>
      <c r="N252" s="296"/>
      <c r="O252" s="296"/>
      <c r="P252" s="296"/>
      <c r="Q252" s="296"/>
      <c r="R252" s="296"/>
      <c r="S252" s="296"/>
      <c r="T252" s="296"/>
      <c r="U252" s="296"/>
      <c r="V252" s="296"/>
      <c r="W252" s="296"/>
      <c r="X252" s="296"/>
      <c r="Y252" s="296"/>
      <c r="Z252" s="296"/>
      <c r="AA252" s="272"/>
      <c r="AB252" s="272"/>
      <c r="AC252" s="272"/>
    </row>
    <row r="253" spans="1:68" ht="27" hidden="1" customHeight="1" x14ac:dyDescent="0.25">
      <c r="A253" s="54" t="s">
        <v>332</v>
      </c>
      <c r="B253" s="54" t="s">
        <v>333</v>
      </c>
      <c r="C253" s="31">
        <v>4301136098</v>
      </c>
      <c r="D253" s="284">
        <v>4640242181943</v>
      </c>
      <c r="E253" s="285"/>
      <c r="F253" s="277">
        <v>0.09</v>
      </c>
      <c r="G253" s="32">
        <v>24</v>
      </c>
      <c r="H253" s="277">
        <v>2.16</v>
      </c>
      <c r="I253" s="277">
        <v>2.34</v>
      </c>
      <c r="J253" s="32">
        <v>126</v>
      </c>
      <c r="K253" s="32" t="s">
        <v>100</v>
      </c>
      <c r="L253" s="32" t="s">
        <v>66</v>
      </c>
      <c r="M253" s="33" t="s">
        <v>67</v>
      </c>
      <c r="N253" s="33"/>
      <c r="O253" s="32">
        <v>180</v>
      </c>
      <c r="P253" s="397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3" s="290"/>
      <c r="R253" s="290"/>
      <c r="S253" s="290"/>
      <c r="T253" s="291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IFERROR(IF(X253="","",X253*0.00936),"")</f>
        <v>0</v>
      </c>
      <c r="AA253" s="56"/>
      <c r="AB253" s="57"/>
      <c r="AC253" s="236" t="s">
        <v>334</v>
      </c>
      <c r="AG253" s="67"/>
      <c r="AJ253" s="71" t="s">
        <v>70</v>
      </c>
      <c r="AK253" s="71">
        <v>1</v>
      </c>
      <c r="BB253" s="237" t="s">
        <v>104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idden="1" x14ac:dyDescent="0.2">
      <c r="A254" s="307"/>
      <c r="B254" s="296"/>
      <c r="C254" s="296"/>
      <c r="D254" s="296"/>
      <c r="E254" s="296"/>
      <c r="F254" s="296"/>
      <c r="G254" s="296"/>
      <c r="H254" s="296"/>
      <c r="I254" s="296"/>
      <c r="J254" s="296"/>
      <c r="K254" s="296"/>
      <c r="L254" s="296"/>
      <c r="M254" s="296"/>
      <c r="N254" s="296"/>
      <c r="O254" s="308"/>
      <c r="P254" s="286" t="s">
        <v>87</v>
      </c>
      <c r="Q254" s="287"/>
      <c r="R254" s="287"/>
      <c r="S254" s="287"/>
      <c r="T254" s="287"/>
      <c r="U254" s="287"/>
      <c r="V254" s="288"/>
      <c r="W254" s="37" t="s">
        <v>68</v>
      </c>
      <c r="X254" s="280">
        <f>IFERROR(SUM(X253:X253),"0")</f>
        <v>0</v>
      </c>
      <c r="Y254" s="280">
        <f>IFERROR(SUM(Y253:Y253),"0")</f>
        <v>0</v>
      </c>
      <c r="Z254" s="280">
        <f>IFERROR(IF(Z253="",0,Z253),"0")</f>
        <v>0</v>
      </c>
      <c r="AA254" s="281"/>
      <c r="AB254" s="281"/>
      <c r="AC254" s="281"/>
    </row>
    <row r="255" spans="1:68" hidden="1" x14ac:dyDescent="0.2">
      <c r="A255" s="296"/>
      <c r="B255" s="296"/>
      <c r="C255" s="296"/>
      <c r="D255" s="296"/>
      <c r="E255" s="296"/>
      <c r="F255" s="296"/>
      <c r="G255" s="296"/>
      <c r="H255" s="296"/>
      <c r="I255" s="296"/>
      <c r="J255" s="296"/>
      <c r="K255" s="296"/>
      <c r="L255" s="296"/>
      <c r="M255" s="296"/>
      <c r="N255" s="296"/>
      <c r="O255" s="308"/>
      <c r="P255" s="286" t="s">
        <v>87</v>
      </c>
      <c r="Q255" s="287"/>
      <c r="R255" s="287"/>
      <c r="S255" s="287"/>
      <c r="T255" s="287"/>
      <c r="U255" s="287"/>
      <c r="V255" s="288"/>
      <c r="W255" s="37" t="s">
        <v>88</v>
      </c>
      <c r="X255" s="280">
        <f>IFERROR(SUMPRODUCT(X253:X253*H253:H253),"0")</f>
        <v>0</v>
      </c>
      <c r="Y255" s="280">
        <f>IFERROR(SUMPRODUCT(Y253:Y253*H253:H253),"0")</f>
        <v>0</v>
      </c>
      <c r="Z255" s="37"/>
      <c r="AA255" s="281"/>
      <c r="AB255" s="281"/>
      <c r="AC255" s="281"/>
    </row>
    <row r="256" spans="1:68" ht="27.75" hidden="1" customHeight="1" x14ac:dyDescent="0.2">
      <c r="A256" s="338" t="s">
        <v>259</v>
      </c>
      <c r="B256" s="339"/>
      <c r="C256" s="339"/>
      <c r="D256" s="339"/>
      <c r="E256" s="339"/>
      <c r="F256" s="339"/>
      <c r="G256" s="339"/>
      <c r="H256" s="339"/>
      <c r="I256" s="339"/>
      <c r="J256" s="339"/>
      <c r="K256" s="339"/>
      <c r="L256" s="339"/>
      <c r="M256" s="33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  <c r="AA256" s="48"/>
      <c r="AB256" s="48"/>
      <c r="AC256" s="48"/>
    </row>
    <row r="257" spans="1:68" ht="16.5" hidden="1" customHeight="1" x14ac:dyDescent="0.25">
      <c r="A257" s="295" t="s">
        <v>259</v>
      </c>
      <c r="B257" s="296"/>
      <c r="C257" s="296"/>
      <c r="D257" s="296"/>
      <c r="E257" s="296"/>
      <c r="F257" s="296"/>
      <c r="G257" s="296"/>
      <c r="H257" s="296"/>
      <c r="I257" s="296"/>
      <c r="J257" s="296"/>
      <c r="K257" s="296"/>
      <c r="L257" s="296"/>
      <c r="M257" s="296"/>
      <c r="N257" s="296"/>
      <c r="O257" s="296"/>
      <c r="P257" s="296"/>
      <c r="Q257" s="296"/>
      <c r="R257" s="296"/>
      <c r="S257" s="296"/>
      <c r="T257" s="296"/>
      <c r="U257" s="296"/>
      <c r="V257" s="296"/>
      <c r="W257" s="296"/>
      <c r="X257" s="296"/>
      <c r="Y257" s="296"/>
      <c r="Z257" s="296"/>
      <c r="AA257" s="273"/>
      <c r="AB257" s="273"/>
      <c r="AC257" s="273"/>
    </row>
    <row r="258" spans="1:68" ht="14.25" hidden="1" customHeight="1" x14ac:dyDescent="0.25">
      <c r="A258" s="310" t="s">
        <v>62</v>
      </c>
      <c r="B258" s="296"/>
      <c r="C258" s="296"/>
      <c r="D258" s="296"/>
      <c r="E258" s="296"/>
      <c r="F258" s="296"/>
      <c r="G258" s="296"/>
      <c r="H258" s="296"/>
      <c r="I258" s="296"/>
      <c r="J258" s="296"/>
      <c r="K258" s="296"/>
      <c r="L258" s="296"/>
      <c r="M258" s="296"/>
      <c r="N258" s="296"/>
      <c r="O258" s="296"/>
      <c r="P258" s="296"/>
      <c r="Q258" s="296"/>
      <c r="R258" s="296"/>
      <c r="S258" s="296"/>
      <c r="T258" s="296"/>
      <c r="U258" s="296"/>
      <c r="V258" s="296"/>
      <c r="W258" s="296"/>
      <c r="X258" s="296"/>
      <c r="Y258" s="296"/>
      <c r="Z258" s="296"/>
      <c r="AA258" s="272"/>
      <c r="AB258" s="272"/>
      <c r="AC258" s="272"/>
    </row>
    <row r="259" spans="1:68" ht="27" hidden="1" customHeight="1" x14ac:dyDescent="0.25">
      <c r="A259" s="54" t="s">
        <v>335</v>
      </c>
      <c r="B259" s="54" t="s">
        <v>336</v>
      </c>
      <c r="C259" s="31">
        <v>4301071014</v>
      </c>
      <c r="D259" s="284">
        <v>4640242181264</v>
      </c>
      <c r="E259" s="285"/>
      <c r="F259" s="277">
        <v>0.7</v>
      </c>
      <c r="G259" s="32">
        <v>10</v>
      </c>
      <c r="H259" s="277">
        <v>7</v>
      </c>
      <c r="I259" s="277">
        <v>7.28</v>
      </c>
      <c r="J259" s="32">
        <v>84</v>
      </c>
      <c r="K259" s="32" t="s">
        <v>65</v>
      </c>
      <c r="L259" s="32" t="s">
        <v>66</v>
      </c>
      <c r="M259" s="33" t="s">
        <v>67</v>
      </c>
      <c r="N259" s="33"/>
      <c r="O259" s="32">
        <v>180</v>
      </c>
      <c r="P259" s="34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9" s="290"/>
      <c r="R259" s="290"/>
      <c r="S259" s="290"/>
      <c r="T259" s="291"/>
      <c r="U259" s="34"/>
      <c r="V259" s="34"/>
      <c r="W259" s="35" t="s">
        <v>68</v>
      </c>
      <c r="X259" s="278">
        <v>0</v>
      </c>
      <c r="Y259" s="279">
        <f>IFERROR(IF(X259="","",X259),"")</f>
        <v>0</v>
      </c>
      <c r="Z259" s="36">
        <f>IFERROR(IF(X259="","",X259*0.0155),"")</f>
        <v>0</v>
      </c>
      <c r="AA259" s="56"/>
      <c r="AB259" s="57"/>
      <c r="AC259" s="238" t="s">
        <v>337</v>
      </c>
      <c r="AG259" s="67"/>
      <c r="AJ259" s="71" t="s">
        <v>70</v>
      </c>
      <c r="AK259" s="71">
        <v>1</v>
      </c>
      <c r="BB259" s="239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ht="27" customHeight="1" x14ac:dyDescent="0.25">
      <c r="A260" s="54" t="s">
        <v>338</v>
      </c>
      <c r="B260" s="54" t="s">
        <v>339</v>
      </c>
      <c r="C260" s="31">
        <v>4301071141</v>
      </c>
      <c r="D260" s="284">
        <v>4620207491980</v>
      </c>
      <c r="E260" s="285"/>
      <c r="F260" s="277">
        <v>0.7</v>
      </c>
      <c r="G260" s="32">
        <v>10</v>
      </c>
      <c r="H260" s="277">
        <v>7</v>
      </c>
      <c r="I260" s="277">
        <v>7.28</v>
      </c>
      <c r="J260" s="32">
        <v>84</v>
      </c>
      <c r="K260" s="32" t="s">
        <v>65</v>
      </c>
      <c r="L260" s="32" t="s">
        <v>66</v>
      </c>
      <c r="M260" s="33" t="s">
        <v>67</v>
      </c>
      <c r="N260" s="33"/>
      <c r="O260" s="32">
        <v>180</v>
      </c>
      <c r="P260" s="369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60" s="290"/>
      <c r="R260" s="290"/>
      <c r="S260" s="290"/>
      <c r="T260" s="291"/>
      <c r="U260" s="34"/>
      <c r="V260" s="34"/>
      <c r="W260" s="35" t="s">
        <v>68</v>
      </c>
      <c r="X260" s="278">
        <v>12</v>
      </c>
      <c r="Y260" s="279">
        <f>IFERROR(IF(X260="","",X260),"")</f>
        <v>12</v>
      </c>
      <c r="Z260" s="36">
        <f>IFERROR(IF(X260="","",X260*0.0155),"")</f>
        <v>0.186</v>
      </c>
      <c r="AA260" s="56"/>
      <c r="AB260" s="57"/>
      <c r="AC260" s="240" t="s">
        <v>340</v>
      </c>
      <c r="AG260" s="67"/>
      <c r="AJ260" s="71" t="s">
        <v>70</v>
      </c>
      <c r="AK260" s="71">
        <v>1</v>
      </c>
      <c r="BB260" s="241" t="s">
        <v>1</v>
      </c>
      <c r="BM260" s="67">
        <f>IFERROR(X260*I260,"0")</f>
        <v>87.36</v>
      </c>
      <c r="BN260" s="67">
        <f>IFERROR(Y260*I260,"0")</f>
        <v>87.36</v>
      </c>
      <c r="BO260" s="67">
        <f>IFERROR(X260/J260,"0")</f>
        <v>0.14285714285714285</v>
      </c>
      <c r="BP260" s="67">
        <f>IFERROR(Y260/J260,"0")</f>
        <v>0.14285714285714285</v>
      </c>
    </row>
    <row r="261" spans="1:68" x14ac:dyDescent="0.2">
      <c r="A261" s="307"/>
      <c r="B261" s="296"/>
      <c r="C261" s="296"/>
      <c r="D261" s="296"/>
      <c r="E261" s="296"/>
      <c r="F261" s="296"/>
      <c r="G261" s="296"/>
      <c r="H261" s="296"/>
      <c r="I261" s="296"/>
      <c r="J261" s="296"/>
      <c r="K261" s="296"/>
      <c r="L261" s="296"/>
      <c r="M261" s="296"/>
      <c r="N261" s="296"/>
      <c r="O261" s="308"/>
      <c r="P261" s="286" t="s">
        <v>87</v>
      </c>
      <c r="Q261" s="287"/>
      <c r="R261" s="287"/>
      <c r="S261" s="287"/>
      <c r="T261" s="287"/>
      <c r="U261" s="287"/>
      <c r="V261" s="288"/>
      <c r="W261" s="37" t="s">
        <v>68</v>
      </c>
      <c r="X261" s="280">
        <f>IFERROR(SUM(X259:X260),"0")</f>
        <v>12</v>
      </c>
      <c r="Y261" s="280">
        <f>IFERROR(SUM(Y259:Y260),"0")</f>
        <v>12</v>
      </c>
      <c r="Z261" s="280">
        <f>IFERROR(IF(Z259="",0,Z259),"0")+IFERROR(IF(Z260="",0,Z260),"0")</f>
        <v>0.186</v>
      </c>
      <c r="AA261" s="281"/>
      <c r="AB261" s="281"/>
      <c r="AC261" s="281"/>
    </row>
    <row r="262" spans="1:68" x14ac:dyDescent="0.2">
      <c r="A262" s="296"/>
      <c r="B262" s="296"/>
      <c r="C262" s="296"/>
      <c r="D262" s="296"/>
      <c r="E262" s="296"/>
      <c r="F262" s="296"/>
      <c r="G262" s="296"/>
      <c r="H262" s="296"/>
      <c r="I262" s="296"/>
      <c r="J262" s="296"/>
      <c r="K262" s="296"/>
      <c r="L262" s="296"/>
      <c r="M262" s="296"/>
      <c r="N262" s="296"/>
      <c r="O262" s="308"/>
      <c r="P262" s="286" t="s">
        <v>87</v>
      </c>
      <c r="Q262" s="287"/>
      <c r="R262" s="287"/>
      <c r="S262" s="287"/>
      <c r="T262" s="287"/>
      <c r="U262" s="287"/>
      <c r="V262" s="288"/>
      <c r="W262" s="37" t="s">
        <v>88</v>
      </c>
      <c r="X262" s="280">
        <f>IFERROR(SUMPRODUCT(X259:X260*H259:H260),"0")</f>
        <v>84</v>
      </c>
      <c r="Y262" s="280">
        <f>IFERROR(SUMPRODUCT(Y259:Y260*H259:H260),"0")</f>
        <v>84</v>
      </c>
      <c r="Z262" s="37"/>
      <c r="AA262" s="281"/>
      <c r="AB262" s="281"/>
      <c r="AC262" s="281"/>
    </row>
    <row r="263" spans="1:68" ht="14.25" hidden="1" customHeight="1" x14ac:dyDescent="0.25">
      <c r="A263" s="310" t="s">
        <v>129</v>
      </c>
      <c r="B263" s="296"/>
      <c r="C263" s="296"/>
      <c r="D263" s="296"/>
      <c r="E263" s="296"/>
      <c r="F263" s="296"/>
      <c r="G263" s="296"/>
      <c r="H263" s="296"/>
      <c r="I263" s="296"/>
      <c r="J263" s="296"/>
      <c r="K263" s="296"/>
      <c r="L263" s="296"/>
      <c r="M263" s="296"/>
      <c r="N263" s="296"/>
      <c r="O263" s="296"/>
      <c r="P263" s="296"/>
      <c r="Q263" s="296"/>
      <c r="R263" s="296"/>
      <c r="S263" s="296"/>
      <c r="T263" s="296"/>
      <c r="U263" s="296"/>
      <c r="V263" s="296"/>
      <c r="W263" s="296"/>
      <c r="X263" s="296"/>
      <c r="Y263" s="296"/>
      <c r="Z263" s="296"/>
      <c r="AA263" s="272"/>
      <c r="AB263" s="272"/>
      <c r="AC263" s="272"/>
    </row>
    <row r="264" spans="1:68" ht="27" hidden="1" customHeight="1" x14ac:dyDescent="0.25">
      <c r="A264" s="54" t="s">
        <v>341</v>
      </c>
      <c r="B264" s="54" t="s">
        <v>342</v>
      </c>
      <c r="C264" s="31">
        <v>4301136116</v>
      </c>
      <c r="D264" s="284">
        <v>4620207492147</v>
      </c>
      <c r="E264" s="285"/>
      <c r="F264" s="277">
        <v>2.7</v>
      </c>
      <c r="G264" s="32">
        <v>1</v>
      </c>
      <c r="H264" s="277">
        <v>2.7</v>
      </c>
      <c r="I264" s="277">
        <v>2.8906000000000001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366" t="s">
        <v>343</v>
      </c>
      <c r="Q264" s="290"/>
      <c r="R264" s="290"/>
      <c r="S264" s="290"/>
      <c r="T264" s="291"/>
      <c r="U264" s="34"/>
      <c r="V264" s="34"/>
      <c r="W264" s="35" t="s">
        <v>68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2" t="s">
        <v>178</v>
      </c>
      <c r="AG264" s="67"/>
      <c r="AJ264" s="71" t="s">
        <v>70</v>
      </c>
      <c r="AK264" s="71">
        <v>1</v>
      </c>
      <c r="BB264" s="243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ht="27" customHeight="1" x14ac:dyDescent="0.25">
      <c r="A265" s="54" t="s">
        <v>344</v>
      </c>
      <c r="B265" s="54" t="s">
        <v>345</v>
      </c>
      <c r="C265" s="31">
        <v>4301136112</v>
      </c>
      <c r="D265" s="284">
        <v>4620207492154</v>
      </c>
      <c r="E265" s="285"/>
      <c r="F265" s="277">
        <v>5</v>
      </c>
      <c r="G265" s="32">
        <v>1</v>
      </c>
      <c r="H265" s="277">
        <v>5</v>
      </c>
      <c r="I265" s="277">
        <v>5.2350000000000003</v>
      </c>
      <c r="J265" s="32">
        <v>84</v>
      </c>
      <c r="K265" s="32" t="s">
        <v>65</v>
      </c>
      <c r="L265" s="32" t="s">
        <v>66</v>
      </c>
      <c r="M265" s="33" t="s">
        <v>67</v>
      </c>
      <c r="N265" s="33"/>
      <c r="O265" s="32">
        <v>180</v>
      </c>
      <c r="P265" s="323" t="s">
        <v>346</v>
      </c>
      <c r="Q265" s="290"/>
      <c r="R265" s="290"/>
      <c r="S265" s="290"/>
      <c r="T265" s="291"/>
      <c r="U265" s="34"/>
      <c r="V265" s="34"/>
      <c r="W265" s="35" t="s">
        <v>68</v>
      </c>
      <c r="X265" s="278">
        <v>36</v>
      </c>
      <c r="Y265" s="279">
        <f>IFERROR(IF(X265="","",X265),"")</f>
        <v>36</v>
      </c>
      <c r="Z265" s="36">
        <f>IFERROR(IF(X265="","",X265*0.0155),"")</f>
        <v>0.55800000000000005</v>
      </c>
      <c r="AA265" s="56"/>
      <c r="AB265" s="57"/>
      <c r="AC265" s="244" t="s">
        <v>178</v>
      </c>
      <c r="AG265" s="67"/>
      <c r="AJ265" s="71" t="s">
        <v>70</v>
      </c>
      <c r="AK265" s="71">
        <v>1</v>
      </c>
      <c r="BB265" s="245" t="s">
        <v>104</v>
      </c>
      <c r="BM265" s="67">
        <f>IFERROR(X265*I265,"0")</f>
        <v>188.46</v>
      </c>
      <c r="BN265" s="67">
        <f>IFERROR(Y265*I265,"0")</f>
        <v>188.46</v>
      </c>
      <c r="BO265" s="67">
        <f>IFERROR(X265/J265,"0")</f>
        <v>0.42857142857142855</v>
      </c>
      <c r="BP265" s="67">
        <f>IFERROR(Y265/J265,"0")</f>
        <v>0.42857142857142855</v>
      </c>
    </row>
    <row r="266" spans="1:68" ht="27" hidden="1" customHeight="1" x14ac:dyDescent="0.25">
      <c r="A266" s="54" t="s">
        <v>347</v>
      </c>
      <c r="B266" s="54" t="s">
        <v>348</v>
      </c>
      <c r="C266" s="31">
        <v>4301136114</v>
      </c>
      <c r="D266" s="284">
        <v>4620207492086</v>
      </c>
      <c r="E266" s="285"/>
      <c r="F266" s="277">
        <v>2.2400000000000002</v>
      </c>
      <c r="G266" s="32">
        <v>1</v>
      </c>
      <c r="H266" s="277">
        <v>2.2400000000000002</v>
      </c>
      <c r="I266" s="277">
        <v>2.4319999999999999</v>
      </c>
      <c r="J266" s="32">
        <v>126</v>
      </c>
      <c r="K266" s="32" t="s">
        <v>100</v>
      </c>
      <c r="L266" s="32" t="s">
        <v>66</v>
      </c>
      <c r="M266" s="33" t="s">
        <v>67</v>
      </c>
      <c r="N266" s="33"/>
      <c r="O266" s="32">
        <v>180</v>
      </c>
      <c r="P266" s="329" t="s">
        <v>349</v>
      </c>
      <c r="Q266" s="290"/>
      <c r="R266" s="290"/>
      <c r="S266" s="290"/>
      <c r="T266" s="291"/>
      <c r="U266" s="34"/>
      <c r="V266" s="34"/>
      <c r="W266" s="35" t="s">
        <v>68</v>
      </c>
      <c r="X266" s="278">
        <v>0</v>
      </c>
      <c r="Y266" s="279">
        <f>IFERROR(IF(X266="","",X266),"")</f>
        <v>0</v>
      </c>
      <c r="Z266" s="36">
        <f>IFERROR(IF(X266="","",X266*0.00936),"")</f>
        <v>0</v>
      </c>
      <c r="AA266" s="56"/>
      <c r="AB266" s="57"/>
      <c r="AC266" s="246" t="s">
        <v>178</v>
      </c>
      <c r="AG266" s="67"/>
      <c r="AJ266" s="71" t="s">
        <v>70</v>
      </c>
      <c r="AK266" s="71">
        <v>1</v>
      </c>
      <c r="BB266" s="247" t="s">
        <v>104</v>
      </c>
      <c r="BM266" s="67">
        <f>IFERROR(X266*I266,"0")</f>
        <v>0</v>
      </c>
      <c r="BN266" s="67">
        <f>IFERROR(Y266*I266,"0")</f>
        <v>0</v>
      </c>
      <c r="BO266" s="67">
        <f>IFERROR(X266/J266,"0")</f>
        <v>0</v>
      </c>
      <c r="BP266" s="67">
        <f>IFERROR(Y266/J266,"0")</f>
        <v>0</v>
      </c>
    </row>
    <row r="267" spans="1:68" x14ac:dyDescent="0.2">
      <c r="A267" s="307"/>
      <c r="B267" s="296"/>
      <c r="C267" s="296"/>
      <c r="D267" s="296"/>
      <c r="E267" s="296"/>
      <c r="F267" s="296"/>
      <c r="G267" s="296"/>
      <c r="H267" s="296"/>
      <c r="I267" s="296"/>
      <c r="J267" s="296"/>
      <c r="K267" s="296"/>
      <c r="L267" s="296"/>
      <c r="M267" s="296"/>
      <c r="N267" s="296"/>
      <c r="O267" s="308"/>
      <c r="P267" s="286" t="s">
        <v>87</v>
      </c>
      <c r="Q267" s="287"/>
      <c r="R267" s="287"/>
      <c r="S267" s="287"/>
      <c r="T267" s="287"/>
      <c r="U267" s="287"/>
      <c r="V267" s="288"/>
      <c r="W267" s="37" t="s">
        <v>68</v>
      </c>
      <c r="X267" s="280">
        <f>IFERROR(SUM(X264:X266),"0")</f>
        <v>36</v>
      </c>
      <c r="Y267" s="280">
        <f>IFERROR(SUM(Y264:Y266),"0")</f>
        <v>36</v>
      </c>
      <c r="Z267" s="280">
        <f>IFERROR(IF(Z264="",0,Z264),"0")+IFERROR(IF(Z265="",0,Z265),"0")+IFERROR(IF(Z266="",0,Z266),"0")</f>
        <v>0.55800000000000005</v>
      </c>
      <c r="AA267" s="281"/>
      <c r="AB267" s="281"/>
      <c r="AC267" s="281"/>
    </row>
    <row r="268" spans="1:68" x14ac:dyDescent="0.2">
      <c r="A268" s="296"/>
      <c r="B268" s="296"/>
      <c r="C268" s="296"/>
      <c r="D268" s="296"/>
      <c r="E268" s="296"/>
      <c r="F268" s="296"/>
      <c r="G268" s="296"/>
      <c r="H268" s="296"/>
      <c r="I268" s="296"/>
      <c r="J268" s="296"/>
      <c r="K268" s="296"/>
      <c r="L268" s="296"/>
      <c r="M268" s="296"/>
      <c r="N268" s="296"/>
      <c r="O268" s="308"/>
      <c r="P268" s="286" t="s">
        <v>87</v>
      </c>
      <c r="Q268" s="287"/>
      <c r="R268" s="287"/>
      <c r="S268" s="287"/>
      <c r="T268" s="287"/>
      <c r="U268" s="287"/>
      <c r="V268" s="288"/>
      <c r="W268" s="37" t="s">
        <v>88</v>
      </c>
      <c r="X268" s="280">
        <f>IFERROR(SUMPRODUCT(X264:X266*H264:H266),"0")</f>
        <v>180</v>
      </c>
      <c r="Y268" s="280">
        <f>IFERROR(SUMPRODUCT(Y264:Y266*H264:H266),"0")</f>
        <v>180</v>
      </c>
      <c r="Z268" s="37"/>
      <c r="AA268" s="281"/>
      <c r="AB268" s="281"/>
      <c r="AC268" s="281"/>
    </row>
    <row r="269" spans="1:68" ht="14.25" hidden="1" customHeight="1" x14ac:dyDescent="0.25">
      <c r="A269" s="310" t="s">
        <v>133</v>
      </c>
      <c r="B269" s="296"/>
      <c r="C269" s="296"/>
      <c r="D269" s="296"/>
      <c r="E269" s="296"/>
      <c r="F269" s="296"/>
      <c r="G269" s="296"/>
      <c r="H269" s="296"/>
      <c r="I269" s="296"/>
      <c r="J269" s="296"/>
      <c r="K269" s="296"/>
      <c r="L269" s="296"/>
      <c r="M269" s="296"/>
      <c r="N269" s="296"/>
      <c r="O269" s="296"/>
      <c r="P269" s="296"/>
      <c r="Q269" s="296"/>
      <c r="R269" s="296"/>
      <c r="S269" s="296"/>
      <c r="T269" s="296"/>
      <c r="U269" s="296"/>
      <c r="V269" s="296"/>
      <c r="W269" s="296"/>
      <c r="X269" s="296"/>
      <c r="Y269" s="296"/>
      <c r="Z269" s="296"/>
      <c r="AA269" s="272"/>
      <c r="AB269" s="272"/>
      <c r="AC269" s="272"/>
    </row>
    <row r="270" spans="1:68" ht="16.5" customHeight="1" x14ac:dyDescent="0.25">
      <c r="A270" s="54" t="s">
        <v>350</v>
      </c>
      <c r="B270" s="54" t="s">
        <v>351</v>
      </c>
      <c r="C270" s="31">
        <v>4301137066</v>
      </c>
      <c r="D270" s="284">
        <v>4620207492109</v>
      </c>
      <c r="E270" s="285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66</v>
      </c>
      <c r="M270" s="33" t="s">
        <v>67</v>
      </c>
      <c r="N270" s="33"/>
      <c r="O270" s="32">
        <v>180</v>
      </c>
      <c r="P270" s="435" t="s">
        <v>352</v>
      </c>
      <c r="Q270" s="290"/>
      <c r="R270" s="290"/>
      <c r="S270" s="290"/>
      <c r="T270" s="291"/>
      <c r="U270" s="34"/>
      <c r="V270" s="34"/>
      <c r="W270" s="35" t="s">
        <v>68</v>
      </c>
      <c r="X270" s="278">
        <v>12</v>
      </c>
      <c r="Y270" s="279">
        <f t="shared" ref="Y270:Y280" si="18">IFERROR(IF(X270="","",X270),"")</f>
        <v>12</v>
      </c>
      <c r="Z270" s="36">
        <f>IFERROR(IF(X270="","",X270*0.0155),"")</f>
        <v>0.186</v>
      </c>
      <c r="AA270" s="56"/>
      <c r="AB270" s="57"/>
      <c r="AC270" s="248" t="s">
        <v>353</v>
      </c>
      <c r="AG270" s="67"/>
      <c r="AJ270" s="71" t="s">
        <v>70</v>
      </c>
      <c r="AK270" s="71">
        <v>1</v>
      </c>
      <c r="BB270" s="249" t="s">
        <v>104</v>
      </c>
      <c r="BM270" s="67">
        <f t="shared" ref="BM270:BM280" si="19">IFERROR(X270*I270,"0")</f>
        <v>68.820000000000007</v>
      </c>
      <c r="BN270" s="67">
        <f t="shared" ref="BN270:BN280" si="20">IFERROR(Y270*I270,"0")</f>
        <v>68.820000000000007</v>
      </c>
      <c r="BO270" s="67">
        <f t="shared" ref="BO270:BO280" si="21">IFERROR(X270/J270,"0")</f>
        <v>0.14285714285714285</v>
      </c>
      <c r="BP270" s="67">
        <f t="shared" ref="BP270:BP280" si="22">IFERROR(Y270/J270,"0")</f>
        <v>0.14285714285714285</v>
      </c>
    </row>
    <row r="271" spans="1:68" ht="37.5" hidden="1" customHeight="1" x14ac:dyDescent="0.25">
      <c r="A271" s="54" t="s">
        <v>354</v>
      </c>
      <c r="B271" s="54" t="s">
        <v>355</v>
      </c>
      <c r="C271" s="31">
        <v>4301137068</v>
      </c>
      <c r="D271" s="284">
        <v>4620207492161</v>
      </c>
      <c r="E271" s="285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66</v>
      </c>
      <c r="M271" s="33" t="s">
        <v>67</v>
      </c>
      <c r="N271" s="33"/>
      <c r="O271" s="32">
        <v>180</v>
      </c>
      <c r="P271" s="321" t="s">
        <v>356</v>
      </c>
      <c r="Q271" s="290"/>
      <c r="R271" s="290"/>
      <c r="S271" s="290"/>
      <c r="T271" s="291"/>
      <c r="U271" s="34"/>
      <c r="V271" s="34"/>
      <c r="W271" s="35" t="s">
        <v>68</v>
      </c>
      <c r="X271" s="278">
        <v>0</v>
      </c>
      <c r="Y271" s="279">
        <f t="shared" si="18"/>
        <v>0</v>
      </c>
      <c r="Z271" s="36">
        <f>IFERROR(IF(X271="","",X271*0.00936),"")</f>
        <v>0</v>
      </c>
      <c r="AA271" s="56"/>
      <c r="AB271" s="57"/>
      <c r="AC271" s="250" t="s">
        <v>357</v>
      </c>
      <c r="AG271" s="67"/>
      <c r="AJ271" s="71" t="s">
        <v>70</v>
      </c>
      <c r="AK271" s="71">
        <v>1</v>
      </c>
      <c r="BB271" s="251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hidden="1" customHeight="1" x14ac:dyDescent="0.25">
      <c r="A272" s="54" t="s">
        <v>358</v>
      </c>
      <c r="B272" s="54" t="s">
        <v>359</v>
      </c>
      <c r="C272" s="31">
        <v>4301137072</v>
      </c>
      <c r="D272" s="284">
        <v>4620207492222</v>
      </c>
      <c r="E272" s="285"/>
      <c r="F272" s="277">
        <v>5</v>
      </c>
      <c r="G272" s="32">
        <v>1</v>
      </c>
      <c r="H272" s="277">
        <v>5</v>
      </c>
      <c r="I272" s="277">
        <v>5.23</v>
      </c>
      <c r="J272" s="32">
        <v>84</v>
      </c>
      <c r="K272" s="32" t="s">
        <v>65</v>
      </c>
      <c r="L272" s="32" t="s">
        <v>66</v>
      </c>
      <c r="M272" s="33" t="s">
        <v>67</v>
      </c>
      <c r="N272" s="33"/>
      <c r="O272" s="32">
        <v>180</v>
      </c>
      <c r="P272" s="372" t="s">
        <v>360</v>
      </c>
      <c r="Q272" s="290"/>
      <c r="R272" s="290"/>
      <c r="S272" s="290"/>
      <c r="T272" s="291"/>
      <c r="U272" s="34"/>
      <c r="V272" s="34"/>
      <c r="W272" s="35" t="s">
        <v>68</v>
      </c>
      <c r="X272" s="278">
        <v>0</v>
      </c>
      <c r="Y272" s="279">
        <f t="shared" si="18"/>
        <v>0</v>
      </c>
      <c r="Z272" s="36">
        <f>IFERROR(IF(X272="","",X272*0.0155),"")</f>
        <v>0</v>
      </c>
      <c r="AA272" s="56"/>
      <c r="AB272" s="57"/>
      <c r="AC272" s="252" t="s">
        <v>361</v>
      </c>
      <c r="AG272" s="67"/>
      <c r="AJ272" s="71" t="s">
        <v>70</v>
      </c>
      <c r="AK272" s="71">
        <v>1</v>
      </c>
      <c r="BB272" s="253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27" customHeight="1" x14ac:dyDescent="0.25">
      <c r="A273" s="54" t="s">
        <v>362</v>
      </c>
      <c r="B273" s="54" t="s">
        <v>363</v>
      </c>
      <c r="C273" s="31">
        <v>4301137046</v>
      </c>
      <c r="D273" s="284">
        <v>4620207492093</v>
      </c>
      <c r="E273" s="285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66</v>
      </c>
      <c r="M273" s="33" t="s">
        <v>67</v>
      </c>
      <c r="N273" s="33"/>
      <c r="O273" s="32">
        <v>180</v>
      </c>
      <c r="P273" s="314" t="s">
        <v>364</v>
      </c>
      <c r="Q273" s="290"/>
      <c r="R273" s="290"/>
      <c r="S273" s="290"/>
      <c r="T273" s="291"/>
      <c r="U273" s="34"/>
      <c r="V273" s="34"/>
      <c r="W273" s="35" t="s">
        <v>68</v>
      </c>
      <c r="X273" s="278">
        <v>70</v>
      </c>
      <c r="Y273" s="279">
        <f t="shared" si="18"/>
        <v>70</v>
      </c>
      <c r="Z273" s="36">
        <f t="shared" ref="Z273:Z280" si="23">IFERROR(IF(X273="","",X273*0.00936),"")</f>
        <v>0.6552</v>
      </c>
      <c r="AA273" s="56"/>
      <c r="AB273" s="57"/>
      <c r="AC273" s="254" t="s">
        <v>361</v>
      </c>
      <c r="AG273" s="67"/>
      <c r="AJ273" s="71" t="s">
        <v>70</v>
      </c>
      <c r="AK273" s="71">
        <v>1</v>
      </c>
      <c r="BB273" s="255" t="s">
        <v>104</v>
      </c>
      <c r="BM273" s="67">
        <f t="shared" si="19"/>
        <v>272.44</v>
      </c>
      <c r="BN273" s="67">
        <f t="shared" si="20"/>
        <v>272.44</v>
      </c>
      <c r="BO273" s="67">
        <f t="shared" si="21"/>
        <v>0.55555555555555558</v>
      </c>
      <c r="BP273" s="67">
        <f t="shared" si="22"/>
        <v>0.55555555555555558</v>
      </c>
    </row>
    <row r="274" spans="1:68" ht="27" customHeight="1" x14ac:dyDescent="0.25">
      <c r="A274" s="54" t="s">
        <v>365</v>
      </c>
      <c r="B274" s="54" t="s">
        <v>366</v>
      </c>
      <c r="C274" s="31">
        <v>4301137074</v>
      </c>
      <c r="D274" s="284">
        <v>4620207492116</v>
      </c>
      <c r="E274" s="285"/>
      <c r="F274" s="277">
        <v>3</v>
      </c>
      <c r="G274" s="32">
        <v>1</v>
      </c>
      <c r="H274" s="277">
        <v>3</v>
      </c>
      <c r="I274" s="277">
        <v>3.1920000000000002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464" t="s">
        <v>367</v>
      </c>
      <c r="Q274" s="290"/>
      <c r="R274" s="290"/>
      <c r="S274" s="290"/>
      <c r="T274" s="291"/>
      <c r="U274" s="34"/>
      <c r="V274" s="34"/>
      <c r="W274" s="35" t="s">
        <v>68</v>
      </c>
      <c r="X274" s="278">
        <v>28</v>
      </c>
      <c r="Y274" s="279">
        <f t="shared" si="18"/>
        <v>28</v>
      </c>
      <c r="Z274" s="36">
        <f t="shared" si="23"/>
        <v>0.26207999999999998</v>
      </c>
      <c r="AA274" s="56"/>
      <c r="AB274" s="57"/>
      <c r="AC274" s="256" t="s">
        <v>353</v>
      </c>
      <c r="AG274" s="67"/>
      <c r="AJ274" s="71" t="s">
        <v>70</v>
      </c>
      <c r="AK274" s="71">
        <v>1</v>
      </c>
      <c r="BB274" s="257" t="s">
        <v>104</v>
      </c>
      <c r="BM274" s="67">
        <f t="shared" si="19"/>
        <v>89.376000000000005</v>
      </c>
      <c r="BN274" s="67">
        <f t="shared" si="20"/>
        <v>89.376000000000005</v>
      </c>
      <c r="BO274" s="67">
        <f t="shared" si="21"/>
        <v>0.22222222222222221</v>
      </c>
      <c r="BP274" s="67">
        <f t="shared" si="22"/>
        <v>0.22222222222222221</v>
      </c>
    </row>
    <row r="275" spans="1:68" ht="27" customHeight="1" x14ac:dyDescent="0.25">
      <c r="A275" s="54" t="s">
        <v>368</v>
      </c>
      <c r="B275" s="54" t="s">
        <v>369</v>
      </c>
      <c r="C275" s="31">
        <v>4301135375</v>
      </c>
      <c r="D275" s="284">
        <v>4640242181486</v>
      </c>
      <c r="E275" s="285"/>
      <c r="F275" s="277">
        <v>3.7</v>
      </c>
      <c r="G275" s="32">
        <v>1</v>
      </c>
      <c r="H275" s="277">
        <v>3.7</v>
      </c>
      <c r="I275" s="277">
        <v>3.8919999999999999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1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90"/>
      <c r="R275" s="290"/>
      <c r="S275" s="290"/>
      <c r="T275" s="291"/>
      <c r="U275" s="34"/>
      <c r="V275" s="34"/>
      <c r="W275" s="35" t="s">
        <v>68</v>
      </c>
      <c r="X275" s="278">
        <v>56</v>
      </c>
      <c r="Y275" s="279">
        <f t="shared" si="18"/>
        <v>56</v>
      </c>
      <c r="Z275" s="36">
        <f t="shared" si="23"/>
        <v>0.52415999999999996</v>
      </c>
      <c r="AA275" s="56"/>
      <c r="AB275" s="57"/>
      <c r="AC275" s="258" t="s">
        <v>370</v>
      </c>
      <c r="AG275" s="67"/>
      <c r="AJ275" s="71" t="s">
        <v>103</v>
      </c>
      <c r="AK275" s="71">
        <v>14</v>
      </c>
      <c r="BB275" s="259" t="s">
        <v>104</v>
      </c>
      <c r="BM275" s="67">
        <f t="shared" si="19"/>
        <v>217.952</v>
      </c>
      <c r="BN275" s="67">
        <f t="shared" si="20"/>
        <v>217.952</v>
      </c>
      <c r="BO275" s="67">
        <f t="shared" si="21"/>
        <v>0.44444444444444442</v>
      </c>
      <c r="BP275" s="67">
        <f t="shared" si="22"/>
        <v>0.44444444444444442</v>
      </c>
    </row>
    <row r="276" spans="1:68" ht="37.5" hidden="1" customHeight="1" x14ac:dyDescent="0.25">
      <c r="A276" s="54" t="s">
        <v>371</v>
      </c>
      <c r="B276" s="54" t="s">
        <v>372</v>
      </c>
      <c r="C276" s="31">
        <v>4301137070</v>
      </c>
      <c r="D276" s="284">
        <v>4620207492123</v>
      </c>
      <c r="E276" s="285"/>
      <c r="F276" s="277">
        <v>3.7</v>
      </c>
      <c r="G276" s="32">
        <v>1</v>
      </c>
      <c r="H276" s="277">
        <v>3.7</v>
      </c>
      <c r="I276" s="277">
        <v>3.8919999999999999</v>
      </c>
      <c r="J276" s="32">
        <v>126</v>
      </c>
      <c r="K276" s="32" t="s">
        <v>100</v>
      </c>
      <c r="L276" s="32" t="s">
        <v>66</v>
      </c>
      <c r="M276" s="33" t="s">
        <v>67</v>
      </c>
      <c r="N276" s="33"/>
      <c r="O276" s="32">
        <v>180</v>
      </c>
      <c r="P276" s="433" t="s">
        <v>373</v>
      </c>
      <c r="Q276" s="290"/>
      <c r="R276" s="290"/>
      <c r="S276" s="290"/>
      <c r="T276" s="291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0" t="s">
        <v>357</v>
      </c>
      <c r="AG276" s="67"/>
      <c r="AJ276" s="71" t="s">
        <v>70</v>
      </c>
      <c r="AK276" s="71">
        <v>1</v>
      </c>
      <c r="BB276" s="261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hidden="1" customHeight="1" x14ac:dyDescent="0.25">
      <c r="A277" s="54" t="s">
        <v>374</v>
      </c>
      <c r="B277" s="54" t="s">
        <v>375</v>
      </c>
      <c r="C277" s="31">
        <v>4301137078</v>
      </c>
      <c r="D277" s="284">
        <v>4620207492130</v>
      </c>
      <c r="E277" s="285"/>
      <c r="F277" s="277">
        <v>3.7</v>
      </c>
      <c r="G277" s="32">
        <v>1</v>
      </c>
      <c r="H277" s="277">
        <v>3.7</v>
      </c>
      <c r="I277" s="277">
        <v>3.8919999999999999</v>
      </c>
      <c r="J277" s="32">
        <v>126</v>
      </c>
      <c r="K277" s="32" t="s">
        <v>100</v>
      </c>
      <c r="L277" s="32" t="s">
        <v>66</v>
      </c>
      <c r="M277" s="33" t="s">
        <v>67</v>
      </c>
      <c r="N277" s="33"/>
      <c r="O277" s="32">
        <v>180</v>
      </c>
      <c r="P277" s="374" t="s">
        <v>376</v>
      </c>
      <c r="Q277" s="290"/>
      <c r="R277" s="290"/>
      <c r="S277" s="290"/>
      <c r="T277" s="291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62" t="s">
        <v>357</v>
      </c>
      <c r="AG277" s="67"/>
      <c r="AJ277" s="71" t="s">
        <v>70</v>
      </c>
      <c r="AK277" s="71">
        <v>1</v>
      </c>
      <c r="BB277" s="263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hidden="1" customHeight="1" x14ac:dyDescent="0.25">
      <c r="A278" s="54" t="s">
        <v>377</v>
      </c>
      <c r="B278" s="54" t="s">
        <v>378</v>
      </c>
      <c r="C278" s="31">
        <v>4301135304</v>
      </c>
      <c r="D278" s="284">
        <v>4640242181240</v>
      </c>
      <c r="E278" s="285"/>
      <c r="F278" s="277">
        <v>0.3</v>
      </c>
      <c r="G278" s="32">
        <v>9</v>
      </c>
      <c r="H278" s="277">
        <v>2.7</v>
      </c>
      <c r="I278" s="277">
        <v>2.88</v>
      </c>
      <c r="J278" s="32">
        <v>126</v>
      </c>
      <c r="K278" s="32" t="s">
        <v>100</v>
      </c>
      <c r="L278" s="32" t="s">
        <v>101</v>
      </c>
      <c r="M278" s="33" t="s">
        <v>67</v>
      </c>
      <c r="N278" s="33"/>
      <c r="O278" s="32">
        <v>180</v>
      </c>
      <c r="P278" s="43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90"/>
      <c r="R278" s="290"/>
      <c r="S278" s="290"/>
      <c r="T278" s="291"/>
      <c r="U278" s="34"/>
      <c r="V278" s="34"/>
      <c r="W278" s="35" t="s">
        <v>68</v>
      </c>
      <c r="X278" s="278">
        <v>0</v>
      </c>
      <c r="Y278" s="279">
        <f t="shared" si="18"/>
        <v>0</v>
      </c>
      <c r="Z278" s="36">
        <f t="shared" si="23"/>
        <v>0</v>
      </c>
      <c r="AA278" s="56"/>
      <c r="AB278" s="57"/>
      <c r="AC278" s="264" t="s">
        <v>370</v>
      </c>
      <c r="AG278" s="67"/>
      <c r="AJ278" s="71" t="s">
        <v>103</v>
      </c>
      <c r="AK278" s="71">
        <v>14</v>
      </c>
      <c r="BB278" s="265" t="s">
        <v>104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hidden="1" customHeight="1" x14ac:dyDescent="0.25">
      <c r="A279" s="54" t="s">
        <v>379</v>
      </c>
      <c r="B279" s="54" t="s">
        <v>380</v>
      </c>
      <c r="C279" s="31">
        <v>4301135610</v>
      </c>
      <c r="D279" s="284">
        <v>4640242181318</v>
      </c>
      <c r="E279" s="285"/>
      <c r="F279" s="277">
        <v>0.3</v>
      </c>
      <c r="G279" s="32">
        <v>9</v>
      </c>
      <c r="H279" s="277">
        <v>2.7</v>
      </c>
      <c r="I279" s="277">
        <v>2.988</v>
      </c>
      <c r="J279" s="32">
        <v>126</v>
      </c>
      <c r="K279" s="32" t="s">
        <v>100</v>
      </c>
      <c r="L279" s="32" t="s">
        <v>101</v>
      </c>
      <c r="M279" s="33" t="s">
        <v>67</v>
      </c>
      <c r="N279" s="33"/>
      <c r="O279" s="32">
        <v>180</v>
      </c>
      <c r="P279" s="40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90"/>
      <c r="R279" s="290"/>
      <c r="S279" s="290"/>
      <c r="T279" s="291"/>
      <c r="U279" s="34"/>
      <c r="V279" s="34"/>
      <c r="W279" s="35" t="s">
        <v>68</v>
      </c>
      <c r="X279" s="278">
        <v>0</v>
      </c>
      <c r="Y279" s="279">
        <f t="shared" si="18"/>
        <v>0</v>
      </c>
      <c r="Z279" s="36">
        <f t="shared" si="23"/>
        <v>0</v>
      </c>
      <c r="AA279" s="56"/>
      <c r="AB279" s="57"/>
      <c r="AC279" s="266" t="s">
        <v>381</v>
      </c>
      <c r="AG279" s="67"/>
      <c r="AJ279" s="71" t="s">
        <v>103</v>
      </c>
      <c r="AK279" s="71">
        <v>14</v>
      </c>
      <c r="BB279" s="267" t="s">
        <v>104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hidden="1" customHeight="1" x14ac:dyDescent="0.25">
      <c r="A280" s="54" t="s">
        <v>382</v>
      </c>
      <c r="B280" s="54" t="s">
        <v>383</v>
      </c>
      <c r="C280" s="31">
        <v>4301137012</v>
      </c>
      <c r="D280" s="284">
        <v>4620207491935</v>
      </c>
      <c r="E280" s="285"/>
      <c r="F280" s="277">
        <v>0.3</v>
      </c>
      <c r="G280" s="32">
        <v>9</v>
      </c>
      <c r="H280" s="277">
        <v>2.7</v>
      </c>
      <c r="I280" s="277">
        <v>2.9249999999999998</v>
      </c>
      <c r="J280" s="32">
        <v>126</v>
      </c>
      <c r="K280" s="32" t="s">
        <v>100</v>
      </c>
      <c r="L280" s="32" t="s">
        <v>66</v>
      </c>
      <c r="M280" s="33" t="s">
        <v>67</v>
      </c>
      <c r="N280" s="33"/>
      <c r="O280" s="32">
        <v>180</v>
      </c>
      <c r="P280" s="357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80" s="290"/>
      <c r="R280" s="290"/>
      <c r="S280" s="290"/>
      <c r="T280" s="291"/>
      <c r="U280" s="34"/>
      <c r="V280" s="34"/>
      <c r="W280" s="35" t="s">
        <v>68</v>
      </c>
      <c r="X280" s="278">
        <v>0</v>
      </c>
      <c r="Y280" s="279">
        <f t="shared" si="18"/>
        <v>0</v>
      </c>
      <c r="Z280" s="36">
        <f t="shared" si="23"/>
        <v>0</v>
      </c>
      <c r="AA280" s="56"/>
      <c r="AB280" s="57"/>
      <c r="AC280" s="268" t="s">
        <v>353</v>
      </c>
      <c r="AG280" s="67"/>
      <c r="AJ280" s="71" t="s">
        <v>70</v>
      </c>
      <c r="AK280" s="71">
        <v>1</v>
      </c>
      <c r="BB280" s="269" t="s">
        <v>104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x14ac:dyDescent="0.2">
      <c r="A281" s="307"/>
      <c r="B281" s="296"/>
      <c r="C281" s="296"/>
      <c r="D281" s="296"/>
      <c r="E281" s="296"/>
      <c r="F281" s="296"/>
      <c r="G281" s="296"/>
      <c r="H281" s="296"/>
      <c r="I281" s="296"/>
      <c r="J281" s="296"/>
      <c r="K281" s="296"/>
      <c r="L281" s="296"/>
      <c r="M281" s="296"/>
      <c r="N281" s="296"/>
      <c r="O281" s="308"/>
      <c r="P281" s="286" t="s">
        <v>87</v>
      </c>
      <c r="Q281" s="287"/>
      <c r="R281" s="287"/>
      <c r="S281" s="287"/>
      <c r="T281" s="287"/>
      <c r="U281" s="287"/>
      <c r="V281" s="288"/>
      <c r="W281" s="37" t="s">
        <v>68</v>
      </c>
      <c r="X281" s="280">
        <f>IFERROR(SUM(X270:X280),"0")</f>
        <v>166</v>
      </c>
      <c r="Y281" s="280">
        <f>IFERROR(SUM(Y270:Y280),"0")</f>
        <v>166</v>
      </c>
      <c r="Z281" s="280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1.6274399999999998</v>
      </c>
      <c r="AA281" s="281"/>
      <c r="AB281" s="281"/>
      <c r="AC281" s="281"/>
    </row>
    <row r="282" spans="1:68" x14ac:dyDescent="0.2">
      <c r="A282" s="296"/>
      <c r="B282" s="296"/>
      <c r="C282" s="296"/>
      <c r="D282" s="296"/>
      <c r="E282" s="296"/>
      <c r="F282" s="296"/>
      <c r="G282" s="296"/>
      <c r="H282" s="296"/>
      <c r="I282" s="296"/>
      <c r="J282" s="296"/>
      <c r="K282" s="296"/>
      <c r="L282" s="296"/>
      <c r="M282" s="296"/>
      <c r="N282" s="296"/>
      <c r="O282" s="308"/>
      <c r="P282" s="286" t="s">
        <v>87</v>
      </c>
      <c r="Q282" s="287"/>
      <c r="R282" s="287"/>
      <c r="S282" s="287"/>
      <c r="T282" s="287"/>
      <c r="U282" s="287"/>
      <c r="V282" s="288"/>
      <c r="W282" s="37" t="s">
        <v>88</v>
      </c>
      <c r="X282" s="280">
        <f>IFERROR(SUMPRODUCT(X270:X280*H270:H280),"0")</f>
        <v>616.20000000000005</v>
      </c>
      <c r="Y282" s="280">
        <f>IFERROR(SUMPRODUCT(Y270:Y280*H270:H280),"0")</f>
        <v>616.20000000000005</v>
      </c>
      <c r="Z282" s="37"/>
      <c r="AA282" s="281"/>
      <c r="AB282" s="281"/>
      <c r="AC282" s="281"/>
    </row>
    <row r="283" spans="1:68" ht="15" customHeight="1" x14ac:dyDescent="0.2">
      <c r="A283" s="470"/>
      <c r="B283" s="296"/>
      <c r="C283" s="296"/>
      <c r="D283" s="296"/>
      <c r="E283" s="296"/>
      <c r="F283" s="296"/>
      <c r="G283" s="296"/>
      <c r="H283" s="296"/>
      <c r="I283" s="296"/>
      <c r="J283" s="296"/>
      <c r="K283" s="296"/>
      <c r="L283" s="296"/>
      <c r="M283" s="296"/>
      <c r="N283" s="296"/>
      <c r="O283" s="378"/>
      <c r="P283" s="375" t="s">
        <v>384</v>
      </c>
      <c r="Q283" s="336"/>
      <c r="R283" s="336"/>
      <c r="S283" s="336"/>
      <c r="T283" s="336"/>
      <c r="U283" s="336"/>
      <c r="V283" s="337"/>
      <c r="W283" s="37" t="s">
        <v>88</v>
      </c>
      <c r="X283" s="280">
        <f>IFERROR(X31+X37+X44+X50+X58+X63+X67+X73+X79+X84+X90+X100+X106+X117+X121+X125+X130+X137+X143+X149+X155+X161+X166+X171+X176+X182+X186+X192+X197+X206+X212+X218+X224+X229+X235+X241+X245+X251+X255+X262+X268+X282,"0")</f>
        <v>5804.4</v>
      </c>
      <c r="Y283" s="280">
        <f>IFERROR(Y31+Y37+Y44+Y50+Y58+Y63+Y67+Y73+Y79+Y84+Y90+Y100+Y106+Y117+Y121+Y125+Y130+Y137+Y143+Y149+Y155+Y161+Y166+Y171+Y176+Y182+Y186+Y192+Y197+Y206+Y212+Y218+Y224+Y229+Y235+Y241+Y245+Y251+Y255+Y262+Y268+Y282,"0")</f>
        <v>5804.4</v>
      </c>
      <c r="Z283" s="37"/>
      <c r="AA283" s="281"/>
      <c r="AB283" s="281"/>
      <c r="AC283" s="281"/>
    </row>
    <row r="284" spans="1:68" x14ac:dyDescent="0.2">
      <c r="A284" s="296"/>
      <c r="B284" s="296"/>
      <c r="C284" s="296"/>
      <c r="D284" s="296"/>
      <c r="E284" s="296"/>
      <c r="F284" s="296"/>
      <c r="G284" s="296"/>
      <c r="H284" s="296"/>
      <c r="I284" s="296"/>
      <c r="J284" s="296"/>
      <c r="K284" s="296"/>
      <c r="L284" s="296"/>
      <c r="M284" s="296"/>
      <c r="N284" s="296"/>
      <c r="O284" s="378"/>
      <c r="P284" s="375" t="s">
        <v>385</v>
      </c>
      <c r="Q284" s="336"/>
      <c r="R284" s="336"/>
      <c r="S284" s="336"/>
      <c r="T284" s="336"/>
      <c r="U284" s="336"/>
      <c r="V284" s="337"/>
      <c r="W284" s="37" t="s">
        <v>88</v>
      </c>
      <c r="X284" s="280">
        <f>IFERROR(SUM(BM22:BM280),"0")</f>
        <v>6573.474799999999</v>
      </c>
      <c r="Y284" s="280">
        <f>IFERROR(SUM(BN22:BN280),"0")</f>
        <v>6573.474799999999</v>
      </c>
      <c r="Z284" s="37"/>
      <c r="AA284" s="281"/>
      <c r="AB284" s="281"/>
      <c r="AC284" s="281"/>
    </row>
    <row r="285" spans="1:68" x14ac:dyDescent="0.2">
      <c r="A285" s="296"/>
      <c r="B285" s="296"/>
      <c r="C285" s="296"/>
      <c r="D285" s="296"/>
      <c r="E285" s="296"/>
      <c r="F285" s="296"/>
      <c r="G285" s="296"/>
      <c r="H285" s="296"/>
      <c r="I285" s="296"/>
      <c r="J285" s="296"/>
      <c r="K285" s="296"/>
      <c r="L285" s="296"/>
      <c r="M285" s="296"/>
      <c r="N285" s="296"/>
      <c r="O285" s="378"/>
      <c r="P285" s="375" t="s">
        <v>386</v>
      </c>
      <c r="Q285" s="336"/>
      <c r="R285" s="336"/>
      <c r="S285" s="336"/>
      <c r="T285" s="336"/>
      <c r="U285" s="336"/>
      <c r="V285" s="337"/>
      <c r="W285" s="37" t="s">
        <v>387</v>
      </c>
      <c r="X285" s="38">
        <f>ROUNDUP(SUM(BO22:BO280),0)</f>
        <v>20</v>
      </c>
      <c r="Y285" s="38">
        <f>ROUNDUP(SUM(BP22:BP280),0)</f>
        <v>20</v>
      </c>
      <c r="Z285" s="37"/>
      <c r="AA285" s="281"/>
      <c r="AB285" s="281"/>
      <c r="AC285" s="281"/>
    </row>
    <row r="286" spans="1:68" x14ac:dyDescent="0.2">
      <c r="A286" s="296"/>
      <c r="B286" s="296"/>
      <c r="C286" s="296"/>
      <c r="D286" s="296"/>
      <c r="E286" s="296"/>
      <c r="F286" s="296"/>
      <c r="G286" s="296"/>
      <c r="H286" s="296"/>
      <c r="I286" s="296"/>
      <c r="J286" s="296"/>
      <c r="K286" s="296"/>
      <c r="L286" s="296"/>
      <c r="M286" s="296"/>
      <c r="N286" s="296"/>
      <c r="O286" s="378"/>
      <c r="P286" s="375" t="s">
        <v>388</v>
      </c>
      <c r="Q286" s="336"/>
      <c r="R286" s="336"/>
      <c r="S286" s="336"/>
      <c r="T286" s="336"/>
      <c r="U286" s="336"/>
      <c r="V286" s="337"/>
      <c r="W286" s="37" t="s">
        <v>88</v>
      </c>
      <c r="X286" s="280">
        <f>GrossWeightTotal+PalletQtyTotal*25</f>
        <v>7073.474799999999</v>
      </c>
      <c r="Y286" s="280">
        <f>GrossWeightTotalR+PalletQtyTotalR*25</f>
        <v>7073.474799999999</v>
      </c>
      <c r="Z286" s="37"/>
      <c r="AA286" s="281"/>
      <c r="AB286" s="281"/>
      <c r="AC286" s="281"/>
    </row>
    <row r="287" spans="1:68" x14ac:dyDescent="0.2">
      <c r="A287" s="296"/>
      <c r="B287" s="296"/>
      <c r="C287" s="296"/>
      <c r="D287" s="296"/>
      <c r="E287" s="296"/>
      <c r="F287" s="296"/>
      <c r="G287" s="296"/>
      <c r="H287" s="296"/>
      <c r="I287" s="296"/>
      <c r="J287" s="296"/>
      <c r="K287" s="296"/>
      <c r="L287" s="296"/>
      <c r="M287" s="296"/>
      <c r="N287" s="296"/>
      <c r="O287" s="378"/>
      <c r="P287" s="375" t="s">
        <v>389</v>
      </c>
      <c r="Q287" s="336"/>
      <c r="R287" s="336"/>
      <c r="S287" s="336"/>
      <c r="T287" s="336"/>
      <c r="U287" s="336"/>
      <c r="V287" s="337"/>
      <c r="W287" s="37" t="s">
        <v>387</v>
      </c>
      <c r="X287" s="280">
        <f>IFERROR(X30+X36+X43+X49+X57+X62+X66+X72+X78+X83+X89+X99+X105+X116+X120+X124+X129+X136+X142+X148+X154+X160+X165+X170+X175+X181+X185+X191+X196+X205+X211+X217+X223+X228+X234+X240+X244+X250+X254+X261+X267+X281,"0")</f>
        <v>1752</v>
      </c>
      <c r="Y287" s="280">
        <f>IFERROR(Y30+Y36+Y43+Y49+Y57+Y62+Y66+Y72+Y78+Y83+Y89+Y99+Y105+Y116+Y120+Y124+Y129+Y136+Y142+Y148+Y154+Y160+Y165+Y170+Y175+Y181+Y185+Y191+Y196+Y205+Y211+Y217+Y223+Y228+Y234+Y240+Y244+Y250+Y254+Y261+Y267+Y281,"0")</f>
        <v>1752</v>
      </c>
      <c r="Z287" s="37"/>
      <c r="AA287" s="281"/>
      <c r="AB287" s="281"/>
      <c r="AC287" s="281"/>
    </row>
    <row r="288" spans="1:68" ht="14.25" hidden="1" customHeight="1" x14ac:dyDescent="0.2">
      <c r="A288" s="296"/>
      <c r="B288" s="296"/>
      <c r="C288" s="296"/>
      <c r="D288" s="296"/>
      <c r="E288" s="296"/>
      <c r="F288" s="296"/>
      <c r="G288" s="296"/>
      <c r="H288" s="296"/>
      <c r="I288" s="296"/>
      <c r="J288" s="296"/>
      <c r="K288" s="296"/>
      <c r="L288" s="296"/>
      <c r="M288" s="296"/>
      <c r="N288" s="296"/>
      <c r="O288" s="378"/>
      <c r="P288" s="375" t="s">
        <v>390</v>
      </c>
      <c r="Q288" s="336"/>
      <c r="R288" s="336"/>
      <c r="S288" s="336"/>
      <c r="T288" s="336"/>
      <c r="U288" s="336"/>
      <c r="V288" s="337"/>
      <c r="W288" s="39" t="s">
        <v>391</v>
      </c>
      <c r="X288" s="37"/>
      <c r="Y288" s="37"/>
      <c r="Z288" s="37">
        <f>IFERROR(Z30+Z36+Z43+Z49+Z57+Z62+Z66+Z72+Z78+Z83+Z89+Z99+Z105+Z116+Z120+Z124+Z129+Z136+Z142+Z148+Z154+Z160+Z165+Z170+Z175+Z181+Z185+Z191+Z196+Z205+Z211+Z217+Z223+Z228+Z234+Z240+Z244+Z250+Z254+Z261+Z267+Z281,"0")</f>
        <v>25.046019999999995</v>
      </c>
      <c r="AA288" s="281"/>
      <c r="AB288" s="281"/>
      <c r="AC288" s="281"/>
    </row>
    <row r="289" spans="1:32" ht="13.5" customHeight="1" thickBot="1" x14ac:dyDescent="0.25"/>
    <row r="290" spans="1:32" ht="27" customHeight="1" thickTop="1" thickBot="1" x14ac:dyDescent="0.25">
      <c r="A290" s="40" t="s">
        <v>392</v>
      </c>
      <c r="B290" s="312" t="s">
        <v>61</v>
      </c>
      <c r="C290" s="390"/>
      <c r="D290" s="312" t="s">
        <v>95</v>
      </c>
      <c r="E290" s="399"/>
      <c r="F290" s="399"/>
      <c r="G290" s="399"/>
      <c r="H290" s="399"/>
      <c r="I290" s="399"/>
      <c r="J290" s="399"/>
      <c r="K290" s="399"/>
      <c r="L290" s="399"/>
      <c r="M290" s="399"/>
      <c r="N290" s="399"/>
      <c r="O290" s="399"/>
      <c r="P290" s="399"/>
      <c r="Q290" s="399"/>
      <c r="R290" s="399"/>
      <c r="S290" s="399"/>
      <c r="T290" s="399"/>
      <c r="U290" s="390"/>
      <c r="V290" s="312" t="s">
        <v>258</v>
      </c>
      <c r="W290" s="399"/>
      <c r="X290" s="390"/>
      <c r="Y290" s="270" t="s">
        <v>276</v>
      </c>
      <c r="Z290" s="312" t="s">
        <v>290</v>
      </c>
      <c r="AA290" s="399"/>
      <c r="AB290" s="390"/>
      <c r="AC290" s="270" t="s">
        <v>315</v>
      </c>
      <c r="AD290" s="270" t="s">
        <v>320</v>
      </c>
      <c r="AE290" s="270" t="s">
        <v>328</v>
      </c>
      <c r="AF290" s="270" t="s">
        <v>259</v>
      </c>
    </row>
    <row r="291" spans="1:32" ht="14.25" customHeight="1" thickTop="1" x14ac:dyDescent="0.2">
      <c r="A291" s="404" t="s">
        <v>393</v>
      </c>
      <c r="B291" s="312" t="s">
        <v>61</v>
      </c>
      <c r="C291" s="312" t="s">
        <v>89</v>
      </c>
      <c r="D291" s="312" t="s">
        <v>96</v>
      </c>
      <c r="E291" s="312" t="s">
        <v>107</v>
      </c>
      <c r="F291" s="312" t="s">
        <v>114</v>
      </c>
      <c r="G291" s="312" t="s">
        <v>125</v>
      </c>
      <c r="H291" s="312" t="s">
        <v>141</v>
      </c>
      <c r="I291" s="312" t="s">
        <v>148</v>
      </c>
      <c r="J291" s="312" t="s">
        <v>152</v>
      </c>
      <c r="K291" s="312" t="s">
        <v>160</v>
      </c>
      <c r="L291" s="312" t="s">
        <v>175</v>
      </c>
      <c r="M291" s="312" t="s">
        <v>181</v>
      </c>
      <c r="N291" s="271"/>
      <c r="O291" s="312" t="s">
        <v>207</v>
      </c>
      <c r="P291" s="312" t="s">
        <v>229</v>
      </c>
      <c r="Q291" s="312" t="s">
        <v>235</v>
      </c>
      <c r="R291" s="312" t="s">
        <v>241</v>
      </c>
      <c r="S291" s="312" t="s">
        <v>248</v>
      </c>
      <c r="T291" s="312" t="s">
        <v>251</v>
      </c>
      <c r="U291" s="312" t="s">
        <v>255</v>
      </c>
      <c r="V291" s="312" t="s">
        <v>259</v>
      </c>
      <c r="W291" s="312" t="s">
        <v>266</v>
      </c>
      <c r="X291" s="312" t="s">
        <v>273</v>
      </c>
      <c r="Y291" s="312" t="s">
        <v>277</v>
      </c>
      <c r="Z291" s="312" t="s">
        <v>291</v>
      </c>
      <c r="AA291" s="312" t="s">
        <v>304</v>
      </c>
      <c r="AB291" s="312" t="s">
        <v>311</v>
      </c>
      <c r="AC291" s="312" t="s">
        <v>316</v>
      </c>
      <c r="AD291" s="312" t="s">
        <v>321</v>
      </c>
      <c r="AE291" s="312" t="s">
        <v>328</v>
      </c>
      <c r="AF291" s="312" t="s">
        <v>259</v>
      </c>
    </row>
    <row r="292" spans="1:32" ht="13.5" customHeight="1" thickBot="1" x14ac:dyDescent="0.25">
      <c r="A292" s="405"/>
      <c r="B292" s="313"/>
      <c r="C292" s="313"/>
      <c r="D292" s="313"/>
      <c r="E292" s="313"/>
      <c r="F292" s="313"/>
      <c r="G292" s="313"/>
      <c r="H292" s="313"/>
      <c r="I292" s="313"/>
      <c r="J292" s="313"/>
      <c r="K292" s="313"/>
      <c r="L292" s="313"/>
      <c r="M292" s="313"/>
      <c r="N292" s="271"/>
      <c r="O292" s="313"/>
      <c r="P292" s="313"/>
      <c r="Q292" s="313"/>
      <c r="R292" s="313"/>
      <c r="S292" s="313"/>
      <c r="T292" s="313"/>
      <c r="U292" s="313"/>
      <c r="V292" s="313"/>
      <c r="W292" s="313"/>
      <c r="X292" s="313"/>
      <c r="Y292" s="313"/>
      <c r="Z292" s="313"/>
      <c r="AA292" s="313"/>
      <c r="AB292" s="313"/>
      <c r="AC292" s="313"/>
      <c r="AD292" s="313"/>
      <c r="AE292" s="313"/>
      <c r="AF292" s="313"/>
    </row>
    <row r="293" spans="1:32" ht="18" customHeight="1" thickTop="1" thickBot="1" x14ac:dyDescent="0.25">
      <c r="A293" s="40" t="s">
        <v>394</v>
      </c>
      <c r="B293" s="46">
        <f>IFERROR(X22*H22,"0")+IFERROR(X23*H23,"0")+IFERROR(X24*H24,"0")+IFERROR(X25*H25,"0")+IFERROR(X26*H26,"0")+IFERROR(X27*H27,"0")+IFERROR(X28*H28,"0")+IFERROR(X29*H29,"0")</f>
        <v>86.4</v>
      </c>
      <c r="C293" s="46">
        <f>IFERROR(X34*H34,"0")+IFERROR(X35*H35,"0")</f>
        <v>0</v>
      </c>
      <c r="D293" s="46">
        <f>IFERROR(X41*H41,"0")+IFERROR(X42*H42,"0")</f>
        <v>0</v>
      </c>
      <c r="E293" s="46">
        <f>IFERROR(X47*H47,"0")+IFERROR(X48*H48,"0")</f>
        <v>336</v>
      </c>
      <c r="F293" s="46">
        <f>IFERROR(X53*H53,"0")+IFERROR(X54*H54,"0")+IFERROR(X55*H55,"0")+IFERROR(X56*H56,"0")</f>
        <v>0</v>
      </c>
      <c r="G293" s="46">
        <f>IFERROR(X61*H61,"0")+IFERROR(X65*H65,"0")+IFERROR(X69*H69,"0")+IFERROR(X70*H70,"0")+IFERROR(X71*H71,"0")</f>
        <v>0</v>
      </c>
      <c r="H293" s="46">
        <f>IFERROR(X76*H76,"0")+IFERROR(X77*H77,"0")</f>
        <v>0</v>
      </c>
      <c r="I293" s="46">
        <f>IFERROR(X82*H82,"0")</f>
        <v>151.20000000000002</v>
      </c>
      <c r="J293" s="46">
        <f>IFERROR(X87*H87,"0")+IFERROR(X88*H88,"0")</f>
        <v>201.60000000000002</v>
      </c>
      <c r="K293" s="46">
        <f>IFERROR(X93*H93,"0")+IFERROR(X94*H94,"0")+IFERROR(X95*H95,"0")+IFERROR(X96*H96,"0")+IFERROR(X97*H97,"0")+IFERROR(X98*H98,"0")</f>
        <v>655.20000000000005</v>
      </c>
      <c r="L293" s="46">
        <f>IFERROR(X103*H103,"0")+IFERROR(X104*H104,"0")</f>
        <v>60.480000000000004</v>
      </c>
      <c r="M293" s="46">
        <f>IFERROR(X109*H109,"0")+IFERROR(X110*H110,"0")+IFERROR(X111*H111,"0")+IFERROR(X112*H112,"0")+IFERROR(X113*H113,"0")+IFERROR(X114*H114,"0")+IFERROR(X115*H115,"0")+IFERROR(X119*H119,"0")+IFERROR(X123*H123,"0")</f>
        <v>412.8</v>
      </c>
      <c r="N293" s="271"/>
      <c r="O293" s="46">
        <f>IFERROR(X128*H128,"0")+IFERROR(X132*H132,"0")+IFERROR(X133*H133,"0")+IFERROR(X134*H134,"0")+IFERROR(X135*H135,"0")+IFERROR(X139*H139,"0")+IFERROR(X140*H140,"0")+IFERROR(X141*H141,"0")</f>
        <v>229.32</v>
      </c>
      <c r="P293" s="46">
        <f>IFERROR(X146*H146,"0")+IFERROR(X147*H147,"0")</f>
        <v>672</v>
      </c>
      <c r="Q293" s="46">
        <f>IFERROR(X152*H152,"0")+IFERROR(X153*H153,"0")</f>
        <v>126</v>
      </c>
      <c r="R293" s="46">
        <f>IFERROR(X158*H158,"0")+IFERROR(X159*H159,"0")</f>
        <v>134.4</v>
      </c>
      <c r="S293" s="46">
        <f>IFERROR(X164*H164,"0")</f>
        <v>0</v>
      </c>
      <c r="T293" s="46">
        <f>IFERROR(X169*H169,"0")</f>
        <v>0</v>
      </c>
      <c r="U293" s="46">
        <f>IFERROR(X174*H174,"0")</f>
        <v>446.88</v>
      </c>
      <c r="V293" s="46">
        <f>IFERROR(X180*H180,"0")+IFERROR(X184*H184,"0")</f>
        <v>288</v>
      </c>
      <c r="W293" s="46">
        <f>IFERROR(X189*H189,"0")+IFERROR(X190*H190,"0")</f>
        <v>60</v>
      </c>
      <c r="X293" s="46">
        <f>IFERROR(X195*H195,"0")</f>
        <v>0</v>
      </c>
      <c r="Y293" s="46">
        <f>IFERROR(X201*H201,"0")+IFERROR(X202*H202,"0")+IFERROR(X203*H203,"0")+IFERROR(X204*H204,"0")</f>
        <v>168</v>
      </c>
      <c r="Z293" s="46">
        <f>IFERROR(X210*H210,"0")+IFERROR(X214*H214,"0")+IFERROR(X215*H215,"0")+IFERROR(X216*H216,"0")</f>
        <v>115.91999999999999</v>
      </c>
      <c r="AA293" s="46">
        <f>IFERROR(X221*H221,"0")+IFERROR(X222*H222,"0")</f>
        <v>0</v>
      </c>
      <c r="AB293" s="46">
        <f>IFERROR(X227*H227,"0")</f>
        <v>780</v>
      </c>
      <c r="AC293" s="46">
        <f>IFERROR(X233*H233,"0")</f>
        <v>0</v>
      </c>
      <c r="AD293" s="46">
        <f>IFERROR(X239*H239,"0")+IFERROR(X243*H243,"0")</f>
        <v>0</v>
      </c>
      <c r="AE293" s="46">
        <f>IFERROR(X249*H249,"0")+IFERROR(X253*H253,"0")</f>
        <v>0</v>
      </c>
      <c r="AF293" s="46">
        <f>IFERROR(X259*H259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+IFERROR(X280*H280,"0")</f>
        <v>880.2</v>
      </c>
    </row>
    <row r="294" spans="1:32" ht="13.5" customHeight="1" thickTop="1" x14ac:dyDescent="0.2">
      <c r="C294" s="271"/>
    </row>
    <row r="295" spans="1:32" ht="19.5" customHeight="1" x14ac:dyDescent="0.2">
      <c r="A295" s="58" t="s">
        <v>395</v>
      </c>
      <c r="B295" s="58" t="s">
        <v>396</v>
      </c>
      <c r="C295" s="58" t="s">
        <v>397</v>
      </c>
    </row>
    <row r="296" spans="1:32" x14ac:dyDescent="0.2">
      <c r="A296" s="59">
        <f>SUMPRODUCT(--(BB:BB="ЗПФ"),--(W:W="кор"),H:H,Y:Y)+SUMPRODUCT(--(BB:BB="ЗПФ"),--(W:W="кг"),Y:Y)</f>
        <v>1759.2</v>
      </c>
      <c r="B296" s="60">
        <f>SUMPRODUCT(--(BB:BB="ПГП"),--(W:W="кор"),H:H,Y:Y)+SUMPRODUCT(--(BB:BB="ПГП"),--(W:W="кг"),Y:Y)</f>
        <v>4045.2000000000003</v>
      </c>
      <c r="C296" s="60">
        <f>SUMPRODUCT(--(BB:BB="КИЗ"),--(W:W="кор"),H:H,Y:Y)+SUMPRODUCT(--(BB:BB="КИЗ"),--(W:W="кг"),Y:Y)</f>
        <v>0</v>
      </c>
    </row>
  </sheetData>
  <sheetProtection algorithmName="SHA-512" hashValue="c6ljLOXGw5HIiZvIqeEv3GGqMveuZbInBzybHm59OPLHNTtimO+QddYZIuLyngA/QnNapXvCVBPdJqcuEGsEZQ==" saltValue="0fsKOVRG9JgYueot4o7cjg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752,00"/>
        <filter val="115,92"/>
        <filter val="12,00"/>
        <filter val="126,00"/>
        <filter val="134,40"/>
        <filter val="14,00"/>
        <filter val="151,20"/>
        <filter val="156,00"/>
        <filter val="166,00"/>
        <filter val="168,00"/>
        <filter val="180,00"/>
        <filter val="20"/>
        <filter val="201,60"/>
        <filter val="210,00"/>
        <filter val="224,00"/>
        <filter val="229,32"/>
        <filter val="24,00"/>
        <filter val="266,00"/>
        <filter val="28,00"/>
        <filter val="288,00"/>
        <filter val="336,00"/>
        <filter val="36,00"/>
        <filter val="412,80"/>
        <filter val="42,00"/>
        <filter val="446,88"/>
        <filter val="48,00"/>
        <filter val="5 804,40"/>
        <filter val="56,00"/>
        <filter val="6 573,47"/>
        <filter val="60,00"/>
        <filter val="60,48"/>
        <filter val="616,20"/>
        <filter val="655,20"/>
        <filter val="672,00"/>
        <filter val="7 073,47"/>
        <filter val="70,00"/>
        <filter val="780,00"/>
        <filter val="84,00"/>
        <filter val="86,40"/>
        <filter val="98,00"/>
      </filters>
    </filterColumn>
    <filterColumn colId="29" showButton="0"/>
    <filterColumn colId="30" showButton="0"/>
  </autoFilter>
  <mergeCells count="513">
    <mergeCell ref="A8:C8"/>
    <mergeCell ref="D97:E97"/>
    <mergeCell ref="AB291:AB292"/>
    <mergeCell ref="AD291:AD292"/>
    <mergeCell ref="A10:C10"/>
    <mergeCell ref="A21:Z21"/>
    <mergeCell ref="D184:E184"/>
    <mergeCell ref="A194:Z194"/>
    <mergeCell ref="A99:O100"/>
    <mergeCell ref="D42:E42"/>
    <mergeCell ref="D17:E18"/>
    <mergeCell ref="A283:O288"/>
    <mergeCell ref="P71:T71"/>
    <mergeCell ref="A131:Z131"/>
    <mergeCell ref="X17:X18"/>
    <mergeCell ref="D123:E123"/>
    <mergeCell ref="P202:T202"/>
    <mergeCell ref="R291:R292"/>
    <mergeCell ref="D110:E110"/>
    <mergeCell ref="I291:I292"/>
    <mergeCell ref="D271:E271"/>
    <mergeCell ref="V12:W12"/>
    <mergeCell ref="P43:V43"/>
    <mergeCell ref="A39:Z39"/>
    <mergeCell ref="U17:V17"/>
    <mergeCell ref="Y17:Y18"/>
    <mergeCell ref="M17:M18"/>
    <mergeCell ref="O17:O18"/>
    <mergeCell ref="P223:V223"/>
    <mergeCell ref="A248:Z248"/>
    <mergeCell ref="A247:Z247"/>
    <mergeCell ref="P274:T274"/>
    <mergeCell ref="P222:T222"/>
    <mergeCell ref="P22:T22"/>
    <mergeCell ref="D65:E65"/>
    <mergeCell ref="A170:O171"/>
    <mergeCell ref="Z17:Z18"/>
    <mergeCell ref="P100:V100"/>
    <mergeCell ref="P44:V44"/>
    <mergeCell ref="A225:Z225"/>
    <mergeCell ref="P148:V148"/>
    <mergeCell ref="AA291:AA292"/>
    <mergeCell ref="P146:T146"/>
    <mergeCell ref="D152:E152"/>
    <mergeCell ref="A136:O137"/>
    <mergeCell ref="AC291:AC292"/>
    <mergeCell ref="D279:E279"/>
    <mergeCell ref="D29:E29"/>
    <mergeCell ref="D23:E23"/>
    <mergeCell ref="D216:E216"/>
    <mergeCell ref="D265:E265"/>
    <mergeCell ref="P123:T123"/>
    <mergeCell ref="P110:T110"/>
    <mergeCell ref="P66:V66"/>
    <mergeCell ref="P137:V137"/>
    <mergeCell ref="P197:V197"/>
    <mergeCell ref="A127:Z127"/>
    <mergeCell ref="A64:Z64"/>
    <mergeCell ref="A257:Z257"/>
    <mergeCell ref="D249:E249"/>
    <mergeCell ref="A51:Z51"/>
    <mergeCell ref="A107:Z107"/>
    <mergeCell ref="D276:E276"/>
    <mergeCell ref="A178:Z178"/>
    <mergeCell ref="A83:O84"/>
    <mergeCell ref="AD17:AF18"/>
    <mergeCell ref="P142:V142"/>
    <mergeCell ref="D76:E76"/>
    <mergeCell ref="F5:G5"/>
    <mergeCell ref="P117:V117"/>
    <mergeCell ref="A172:Z172"/>
    <mergeCell ref="A236:Z236"/>
    <mergeCell ref="A36:O37"/>
    <mergeCell ref="P82:T82"/>
    <mergeCell ref="D221:E221"/>
    <mergeCell ref="V11:W11"/>
    <mergeCell ref="A205:O206"/>
    <mergeCell ref="A20:Z20"/>
    <mergeCell ref="N17:N18"/>
    <mergeCell ref="Q5:R5"/>
    <mergeCell ref="F17:F18"/>
    <mergeCell ref="A49:O50"/>
    <mergeCell ref="P65:T65"/>
    <mergeCell ref="P70:T70"/>
    <mergeCell ref="Q6:R6"/>
    <mergeCell ref="P134:T134"/>
    <mergeCell ref="A124:O125"/>
    <mergeCell ref="A33:Z33"/>
    <mergeCell ref="D25:E25"/>
    <mergeCell ref="P2:W3"/>
    <mergeCell ref="P133:T133"/>
    <mergeCell ref="A57:O58"/>
    <mergeCell ref="P218:V218"/>
    <mergeCell ref="P54:T54"/>
    <mergeCell ref="A244:O245"/>
    <mergeCell ref="D35:E35"/>
    <mergeCell ref="D10:E10"/>
    <mergeCell ref="F10:G10"/>
    <mergeCell ref="P135:T135"/>
    <mergeCell ref="D34:E34"/>
    <mergeCell ref="A181:O182"/>
    <mergeCell ref="D243:E243"/>
    <mergeCell ref="P78:V78"/>
    <mergeCell ref="P205:V205"/>
    <mergeCell ref="D22:E22"/>
    <mergeCell ref="A157:Z157"/>
    <mergeCell ref="A62:O63"/>
    <mergeCell ref="H5:M5"/>
    <mergeCell ref="P31:V31"/>
    <mergeCell ref="P25:T25"/>
    <mergeCell ref="A142:O143"/>
    <mergeCell ref="D239:E239"/>
    <mergeCell ref="D95:E95"/>
    <mergeCell ref="P63:V63"/>
    <mergeCell ref="D215:E215"/>
    <mergeCell ref="P250:V250"/>
    <mergeCell ref="P50:V50"/>
    <mergeCell ref="A75:Z75"/>
    <mergeCell ref="A246:Z246"/>
    <mergeCell ref="P286:V286"/>
    <mergeCell ref="P128:T128"/>
    <mergeCell ref="F291:F292"/>
    <mergeCell ref="H291:H292"/>
    <mergeCell ref="A228:O229"/>
    <mergeCell ref="P98:T98"/>
    <mergeCell ref="D146:E146"/>
    <mergeCell ref="P287:V287"/>
    <mergeCell ref="P281:V281"/>
    <mergeCell ref="D164:E164"/>
    <mergeCell ref="D270:E270"/>
    <mergeCell ref="P285:V285"/>
    <mergeCell ref="P174:T174"/>
    <mergeCell ref="D266:E266"/>
    <mergeCell ref="D6:M6"/>
    <mergeCell ref="D290:U290"/>
    <mergeCell ref="A85:Z85"/>
    <mergeCell ref="P227:T227"/>
    <mergeCell ref="A223:O224"/>
    <mergeCell ref="P93:T93"/>
    <mergeCell ref="P164:T164"/>
    <mergeCell ref="P120:V120"/>
    <mergeCell ref="A230:Z230"/>
    <mergeCell ref="D222:E222"/>
    <mergeCell ref="P35:T35"/>
    <mergeCell ref="G17:G18"/>
    <mergeCell ref="P57:V57"/>
    <mergeCell ref="P171:V171"/>
    <mergeCell ref="A167:Z167"/>
    <mergeCell ref="D159:E159"/>
    <mergeCell ref="A232:Z232"/>
    <mergeCell ref="P121:V121"/>
    <mergeCell ref="A207:Z207"/>
    <mergeCell ref="V6:W9"/>
    <mergeCell ref="D128:E128"/>
    <mergeCell ref="P109:T109"/>
    <mergeCell ref="A59:Z59"/>
    <mergeCell ref="P234:V234"/>
    <mergeCell ref="D227:E227"/>
    <mergeCell ref="P262:V262"/>
    <mergeCell ref="A9:C9"/>
    <mergeCell ref="H10:M10"/>
    <mergeCell ref="Q13:R13"/>
    <mergeCell ref="P27:T27"/>
    <mergeCell ref="P181:V181"/>
    <mergeCell ref="Q9:R9"/>
    <mergeCell ref="A32:Z32"/>
    <mergeCell ref="D24:E24"/>
    <mergeCell ref="A219:Z219"/>
    <mergeCell ref="Q11:R11"/>
    <mergeCell ref="D260:E260"/>
    <mergeCell ref="D113:E113"/>
    <mergeCell ref="P180:T180"/>
    <mergeCell ref="D88:E88"/>
    <mergeCell ref="A151:Z151"/>
    <mergeCell ref="P154:V154"/>
    <mergeCell ref="P255:V255"/>
    <mergeCell ref="P34:T34"/>
    <mergeCell ref="P214:T214"/>
    <mergeCell ref="P192:V192"/>
    <mergeCell ref="A191:O192"/>
    <mergeCell ref="P129:V129"/>
    <mergeCell ref="AA17:AA18"/>
    <mergeCell ref="AC17:AC18"/>
    <mergeCell ref="A122:Z122"/>
    <mergeCell ref="P279:T279"/>
    <mergeCell ref="A291:A292"/>
    <mergeCell ref="A199:Z199"/>
    <mergeCell ref="A175:O176"/>
    <mergeCell ref="D153:E153"/>
    <mergeCell ref="AB17:AB18"/>
    <mergeCell ref="T291:T292"/>
    <mergeCell ref="V291:V292"/>
    <mergeCell ref="Z290:AB290"/>
    <mergeCell ref="D202:E202"/>
    <mergeCell ref="P112:T112"/>
    <mergeCell ref="A179:Z179"/>
    <mergeCell ref="A91:Z91"/>
    <mergeCell ref="A156:Z156"/>
    <mergeCell ref="P116:V116"/>
    <mergeCell ref="P268:V268"/>
    <mergeCell ref="P201:T201"/>
    <mergeCell ref="A220:Z220"/>
    <mergeCell ref="P139:T139"/>
    <mergeCell ref="D204:E204"/>
    <mergeCell ref="A252:Z252"/>
    <mergeCell ref="P170:V170"/>
    <mergeCell ref="P114:T114"/>
    <mergeCell ref="P41:T41"/>
    <mergeCell ref="S291:S292"/>
    <mergeCell ref="P253:T253"/>
    <mergeCell ref="D278:E278"/>
    <mergeCell ref="P243:T243"/>
    <mergeCell ref="A269:Z269"/>
    <mergeCell ref="D133:E133"/>
    <mergeCell ref="A231:Z231"/>
    <mergeCell ref="D54:E54"/>
    <mergeCell ref="P185:V185"/>
    <mergeCell ref="P160:V160"/>
    <mergeCell ref="G291:G292"/>
    <mergeCell ref="P283:V283"/>
    <mergeCell ref="V290:X290"/>
    <mergeCell ref="D169:E169"/>
    <mergeCell ref="P132:T132"/>
    <mergeCell ref="P190:T190"/>
    <mergeCell ref="P240:V240"/>
    <mergeCell ref="P111:T111"/>
    <mergeCell ref="P61:T61"/>
    <mergeCell ref="P48:T48"/>
    <mergeCell ref="A105:O106"/>
    <mergeCell ref="AE291:AE292"/>
    <mergeCell ref="A138:Z138"/>
    <mergeCell ref="P58:V58"/>
    <mergeCell ref="A13:M13"/>
    <mergeCell ref="P79:V79"/>
    <mergeCell ref="P73:V73"/>
    <mergeCell ref="P244:V244"/>
    <mergeCell ref="D61:E61"/>
    <mergeCell ref="P115:T115"/>
    <mergeCell ref="A256:Z256"/>
    <mergeCell ref="A15:M15"/>
    <mergeCell ref="B290:C290"/>
    <mergeCell ref="D48:E48"/>
    <mergeCell ref="A183:Z183"/>
    <mergeCell ref="P77:T77"/>
    <mergeCell ref="A193:Z193"/>
    <mergeCell ref="P204:T204"/>
    <mergeCell ref="A198:Z198"/>
    <mergeCell ref="D112:E112"/>
    <mergeCell ref="P141:T141"/>
    <mergeCell ref="D56:E56"/>
    <mergeCell ref="P233:T233"/>
    <mergeCell ref="D114:E114"/>
    <mergeCell ref="P155:V155"/>
    <mergeCell ref="T5:U5"/>
    <mergeCell ref="P76:T76"/>
    <mergeCell ref="D119:E119"/>
    <mergeCell ref="V5:W5"/>
    <mergeCell ref="D190:E190"/>
    <mergeCell ref="P203:T203"/>
    <mergeCell ref="M291:M292"/>
    <mergeCell ref="D111:E111"/>
    <mergeCell ref="D233:E233"/>
    <mergeCell ref="P212:V212"/>
    <mergeCell ref="Q8:R8"/>
    <mergeCell ref="P69:T69"/>
    <mergeCell ref="P140:T140"/>
    <mergeCell ref="D104:E104"/>
    <mergeCell ref="D275:E275"/>
    <mergeCell ref="P83:V83"/>
    <mergeCell ref="P254:V254"/>
    <mergeCell ref="T6:U9"/>
    <mergeCell ref="Q10:R10"/>
    <mergeCell ref="A30:O31"/>
    <mergeCell ref="D41:E41"/>
    <mergeCell ref="D277:E277"/>
    <mergeCell ref="A208:Z208"/>
    <mergeCell ref="P84:V84"/>
    <mergeCell ref="AF291:AF292"/>
    <mergeCell ref="P272:T272"/>
    <mergeCell ref="P210:T210"/>
    <mergeCell ref="A196:O197"/>
    <mergeCell ref="A267:O268"/>
    <mergeCell ref="D93:E93"/>
    <mergeCell ref="D264:E264"/>
    <mergeCell ref="P72:V72"/>
    <mergeCell ref="P277:T277"/>
    <mergeCell ref="P288:V288"/>
    <mergeCell ref="P136:V136"/>
    <mergeCell ref="A188:Z188"/>
    <mergeCell ref="A126:Z126"/>
    <mergeCell ref="P228:V228"/>
    <mergeCell ref="D109:E109"/>
    <mergeCell ref="A160:O161"/>
    <mergeCell ref="D280:E280"/>
    <mergeCell ref="P149:V149"/>
    <mergeCell ref="A145:Z145"/>
    <mergeCell ref="P216:T216"/>
    <mergeCell ref="P124:V124"/>
    <mergeCell ref="J291:J292"/>
    <mergeCell ref="L291:L292"/>
    <mergeCell ref="A217:O218"/>
    <mergeCell ref="D96:E96"/>
    <mergeCell ref="D27:E27"/>
    <mergeCell ref="A162:Z162"/>
    <mergeCell ref="A177:Z177"/>
    <mergeCell ref="A68:Z68"/>
    <mergeCell ref="P87:T87"/>
    <mergeCell ref="D201:E201"/>
    <mergeCell ref="D132:E132"/>
    <mergeCell ref="P260:T260"/>
    <mergeCell ref="P88:T88"/>
    <mergeCell ref="A72:O73"/>
    <mergeCell ref="P153:T153"/>
    <mergeCell ref="A92:Z92"/>
    <mergeCell ref="A154:O155"/>
    <mergeCell ref="A129:O130"/>
    <mergeCell ref="A38:Z38"/>
    <mergeCell ref="A209:Z209"/>
    <mergeCell ref="A40:Z40"/>
    <mergeCell ref="P49:V49"/>
    <mergeCell ref="P36:V36"/>
    <mergeCell ref="A78:O79"/>
    <mergeCell ref="P241:V241"/>
    <mergeCell ref="P105:V105"/>
    <mergeCell ref="P99:V99"/>
    <mergeCell ref="A5:C5"/>
    <mergeCell ref="A237:Z237"/>
    <mergeCell ref="P191:V191"/>
    <mergeCell ref="A187:Z187"/>
    <mergeCell ref="A108:Z108"/>
    <mergeCell ref="W291:W292"/>
    <mergeCell ref="A17:A18"/>
    <mergeCell ref="K17:K18"/>
    <mergeCell ref="A118:Z118"/>
    <mergeCell ref="C17:C18"/>
    <mergeCell ref="P195:T195"/>
    <mergeCell ref="D103:E103"/>
    <mergeCell ref="A238:Z238"/>
    <mergeCell ref="D9:E9"/>
    <mergeCell ref="D180:E180"/>
    <mergeCell ref="F9:G9"/>
    <mergeCell ref="P53:T53"/>
    <mergeCell ref="A254:O255"/>
    <mergeCell ref="P67:V67"/>
    <mergeCell ref="A263:Z263"/>
    <mergeCell ref="P264:T264"/>
    <mergeCell ref="P239:T239"/>
    <mergeCell ref="P186:V186"/>
    <mergeCell ref="A185:O186"/>
    <mergeCell ref="D26:E26"/>
    <mergeCell ref="Z291:Z292"/>
    <mergeCell ref="P55:T55"/>
    <mergeCell ref="D115:E115"/>
    <mergeCell ref="Q12:R12"/>
    <mergeCell ref="P280:T280"/>
    <mergeCell ref="P169:T169"/>
    <mergeCell ref="P196:V196"/>
    <mergeCell ref="A261:O262"/>
    <mergeCell ref="P119:T119"/>
    <mergeCell ref="D253:E253"/>
    <mergeCell ref="D53:E53"/>
    <mergeCell ref="D47:E47"/>
    <mergeCell ref="P147:T147"/>
    <mergeCell ref="W17:W18"/>
    <mergeCell ref="O291:O292"/>
    <mergeCell ref="Q291:Q292"/>
    <mergeCell ref="P90:V90"/>
    <mergeCell ref="A86:Z86"/>
    <mergeCell ref="P161:V161"/>
    <mergeCell ref="P217:V217"/>
    <mergeCell ref="A213:Z213"/>
    <mergeCell ref="P261:V261"/>
    <mergeCell ref="B291:B292"/>
    <mergeCell ref="D1:F1"/>
    <mergeCell ref="A242:Z242"/>
    <mergeCell ref="P47:T47"/>
    <mergeCell ref="P282:V282"/>
    <mergeCell ref="J17:J18"/>
    <mergeCell ref="D82:E82"/>
    <mergeCell ref="L17:L18"/>
    <mergeCell ref="P125:V125"/>
    <mergeCell ref="A116:O117"/>
    <mergeCell ref="A102:Z102"/>
    <mergeCell ref="P113:T113"/>
    <mergeCell ref="A173:Z173"/>
    <mergeCell ref="P17:T18"/>
    <mergeCell ref="D158:E158"/>
    <mergeCell ref="D77:E77"/>
    <mergeCell ref="A168:Z168"/>
    <mergeCell ref="I17:I18"/>
    <mergeCell ref="D141:E141"/>
    <mergeCell ref="D135:E135"/>
    <mergeCell ref="P176:V176"/>
    <mergeCell ref="P189:T189"/>
    <mergeCell ref="A6:C6"/>
    <mergeCell ref="A43:O44"/>
    <mergeCell ref="P62:V62"/>
    <mergeCell ref="H1:Q1"/>
    <mergeCell ref="D214:E214"/>
    <mergeCell ref="A74:Z74"/>
    <mergeCell ref="D259:E259"/>
    <mergeCell ref="A66:O67"/>
    <mergeCell ref="D28:E28"/>
    <mergeCell ref="A163:Z163"/>
    <mergeCell ref="A101:Z101"/>
    <mergeCell ref="P184:T184"/>
    <mergeCell ref="D55:E55"/>
    <mergeCell ref="D5:E5"/>
    <mergeCell ref="P42:T42"/>
    <mergeCell ref="D94:E94"/>
    <mergeCell ref="P259:T259"/>
    <mergeCell ref="D69:E69"/>
    <mergeCell ref="P175:V175"/>
    <mergeCell ref="A240:O241"/>
    <mergeCell ref="P106:V106"/>
    <mergeCell ref="A45:Z45"/>
    <mergeCell ref="D210:E210"/>
    <mergeCell ref="A250:O251"/>
    <mergeCell ref="A46:Z46"/>
    <mergeCell ref="D87:E87"/>
    <mergeCell ref="D147:E147"/>
    <mergeCell ref="A234:O235"/>
    <mergeCell ref="P275:T275"/>
    <mergeCell ref="P235:V235"/>
    <mergeCell ref="P245:V245"/>
    <mergeCell ref="D7:M7"/>
    <mergeCell ref="A81:Z81"/>
    <mergeCell ref="P29:T29"/>
    <mergeCell ref="P271:T271"/>
    <mergeCell ref="P94:T94"/>
    <mergeCell ref="P265:T265"/>
    <mergeCell ref="D8:M8"/>
    <mergeCell ref="A211:O212"/>
    <mergeCell ref="A226:Z226"/>
    <mergeCell ref="P158:T158"/>
    <mergeCell ref="D139:E139"/>
    <mergeCell ref="A148:O149"/>
    <mergeCell ref="P251:V251"/>
    <mergeCell ref="P95:T95"/>
    <mergeCell ref="P266:T266"/>
    <mergeCell ref="P182:V182"/>
    <mergeCell ref="P103:T103"/>
    <mergeCell ref="P97:T97"/>
    <mergeCell ref="P130:V130"/>
    <mergeCell ref="P15:T16"/>
    <mergeCell ref="P291:P292"/>
    <mergeCell ref="Y291:Y292"/>
    <mergeCell ref="P273:T273"/>
    <mergeCell ref="D272:E272"/>
    <mergeCell ref="D274:E274"/>
    <mergeCell ref="C291:C292"/>
    <mergeCell ref="A281:O282"/>
    <mergeCell ref="P249:T249"/>
    <mergeCell ref="A258:Z258"/>
    <mergeCell ref="X291:X292"/>
    <mergeCell ref="D291:D292"/>
    <mergeCell ref="E291:E292"/>
    <mergeCell ref="P267:V267"/>
    <mergeCell ref="K291:K292"/>
    <mergeCell ref="D273:E273"/>
    <mergeCell ref="U291:U292"/>
    <mergeCell ref="P276:T276"/>
    <mergeCell ref="P270:T270"/>
    <mergeCell ref="P284:V284"/>
    <mergeCell ref="P278:T278"/>
    <mergeCell ref="R1:T1"/>
    <mergeCell ref="P28:T28"/>
    <mergeCell ref="D71:E71"/>
    <mergeCell ref="P221:T221"/>
    <mergeCell ref="P215:T215"/>
    <mergeCell ref="P229:V229"/>
    <mergeCell ref="A89:O90"/>
    <mergeCell ref="D98:E98"/>
    <mergeCell ref="P152:T152"/>
    <mergeCell ref="A200:Z200"/>
    <mergeCell ref="P166:V166"/>
    <mergeCell ref="P206:V206"/>
    <mergeCell ref="P37:V37"/>
    <mergeCell ref="P104:T104"/>
    <mergeCell ref="B17:B18"/>
    <mergeCell ref="P143:V143"/>
    <mergeCell ref="A52:Z52"/>
    <mergeCell ref="A60:Z60"/>
    <mergeCell ref="A165:O166"/>
    <mergeCell ref="D174:E174"/>
    <mergeCell ref="H9:I9"/>
    <mergeCell ref="P224:V224"/>
    <mergeCell ref="P89:V89"/>
    <mergeCell ref="P211:V211"/>
    <mergeCell ref="J9:M9"/>
    <mergeCell ref="D203:E203"/>
    <mergeCell ref="P165:V165"/>
    <mergeCell ref="P30:V30"/>
    <mergeCell ref="P159:T159"/>
    <mergeCell ref="D140:E140"/>
    <mergeCell ref="P96:T96"/>
    <mergeCell ref="H17:H18"/>
    <mergeCell ref="D70:E70"/>
    <mergeCell ref="A80:Z80"/>
    <mergeCell ref="D134:E134"/>
    <mergeCell ref="P56:T56"/>
    <mergeCell ref="V10:W10"/>
    <mergeCell ref="D195:E195"/>
    <mergeCell ref="D189:E189"/>
    <mergeCell ref="P24:T24"/>
    <mergeCell ref="P26:T26"/>
    <mergeCell ref="A150:Z150"/>
    <mergeCell ref="A144:Z144"/>
    <mergeCell ref="A120:O121"/>
    <mergeCell ref="P23:T23"/>
    <mergeCell ref="A12:M12"/>
    <mergeCell ref="A19:Z19"/>
    <mergeCell ref="A14:M1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 X69:X71 X76 X82 X94:X98 X103:X104 X110 X113:X114 X119 X123 X128 X132:X135 X139:X141 X146 X152:X153 X158:X159 X164 X174 X180 X184 X189 X195 X204 X214 X221:X222 X233 X239 X243 X249 X253 X259:X260 X264:X266 X270:X274 X276:X277 X280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7 X87:X88 X93 X109 X111:X112 X115 X147 X169 X190 X201:X203 X210 X215:X216 X227 X275 X278:X279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52"/>
    </row>
    <row r="3" spans="2:8" x14ac:dyDescent="0.2">
      <c r="B3" s="47" t="s">
        <v>399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400</v>
      </c>
      <c r="C6" s="47" t="s">
        <v>401</v>
      </c>
      <c r="D6" s="47" t="s">
        <v>402</v>
      </c>
      <c r="E6" s="47"/>
    </row>
    <row r="7" spans="2:8" x14ac:dyDescent="0.2">
      <c r="B7" s="47" t="s">
        <v>403</v>
      </c>
      <c r="C7" s="47" t="s">
        <v>404</v>
      </c>
      <c r="D7" s="47" t="s">
        <v>405</v>
      </c>
      <c r="E7" s="47"/>
    </row>
    <row r="8" spans="2:8" x14ac:dyDescent="0.2">
      <c r="B8" s="47" t="s">
        <v>406</v>
      </c>
      <c r="C8" s="47" t="s">
        <v>407</v>
      </c>
      <c r="D8" s="47" t="s">
        <v>408</v>
      </c>
      <c r="E8" s="47"/>
    </row>
    <row r="9" spans="2:8" x14ac:dyDescent="0.2">
      <c r="B9" s="47" t="s">
        <v>409</v>
      </c>
      <c r="C9" s="47" t="s">
        <v>410</v>
      </c>
      <c r="D9" s="47" t="s">
        <v>411</v>
      </c>
      <c r="E9" s="47"/>
    </row>
    <row r="10" spans="2:8" x14ac:dyDescent="0.2">
      <c r="B10" s="47" t="s">
        <v>412</v>
      </c>
      <c r="C10" s="47" t="s">
        <v>413</v>
      </c>
      <c r="D10" s="47" t="s">
        <v>414</v>
      </c>
      <c r="E10" s="47"/>
    </row>
    <row r="11" spans="2:8" x14ac:dyDescent="0.2">
      <c r="B11" s="47" t="s">
        <v>415</v>
      </c>
      <c r="C11" s="47" t="s">
        <v>416</v>
      </c>
      <c r="D11" s="47" t="s">
        <v>417</v>
      </c>
      <c r="E11" s="47"/>
    </row>
    <row r="13" spans="2:8" x14ac:dyDescent="0.2">
      <c r="B13" s="47" t="s">
        <v>418</v>
      </c>
      <c r="C13" s="47" t="s">
        <v>401</v>
      </c>
      <c r="D13" s="47"/>
      <c r="E13" s="47"/>
    </row>
    <row r="15" spans="2:8" x14ac:dyDescent="0.2">
      <c r="B15" s="47" t="s">
        <v>419</v>
      </c>
      <c r="C15" s="47" t="s">
        <v>404</v>
      </c>
      <c r="D15" s="47"/>
      <c r="E15" s="47"/>
    </row>
    <row r="17" spans="2:5" x14ac:dyDescent="0.2">
      <c r="B17" s="47" t="s">
        <v>420</v>
      </c>
      <c r="C17" s="47" t="s">
        <v>407</v>
      </c>
      <c r="D17" s="47"/>
      <c r="E17" s="47"/>
    </row>
    <row r="19" spans="2:5" x14ac:dyDescent="0.2">
      <c r="B19" s="47" t="s">
        <v>421</v>
      </c>
      <c r="C19" s="47" t="s">
        <v>410</v>
      </c>
      <c r="D19" s="47"/>
      <c r="E19" s="47"/>
    </row>
    <row r="21" spans="2:5" x14ac:dyDescent="0.2">
      <c r="B21" s="47" t="s">
        <v>422</v>
      </c>
      <c r="C21" s="47" t="s">
        <v>413</v>
      </c>
      <c r="D21" s="47"/>
      <c r="E21" s="47"/>
    </row>
    <row r="23" spans="2:5" x14ac:dyDescent="0.2">
      <c r="B23" s="47" t="s">
        <v>423</v>
      </c>
      <c r="C23" s="47" t="s">
        <v>416</v>
      </c>
      <c r="D23" s="47"/>
      <c r="E23" s="47"/>
    </row>
    <row r="25" spans="2:5" x14ac:dyDescent="0.2">
      <c r="B25" s="47" t="s">
        <v>424</v>
      </c>
      <c r="C25" s="47"/>
      <c r="D25" s="47"/>
      <c r="E25" s="47"/>
    </row>
    <row r="26" spans="2:5" x14ac:dyDescent="0.2">
      <c r="B26" s="47" t="s">
        <v>425</v>
      </c>
      <c r="C26" s="47"/>
      <c r="D26" s="47"/>
      <c r="E26" s="47"/>
    </row>
    <row r="27" spans="2:5" x14ac:dyDescent="0.2">
      <c r="B27" s="47" t="s">
        <v>426</v>
      </c>
      <c r="C27" s="47"/>
      <c r="D27" s="47"/>
      <c r="E27" s="47"/>
    </row>
    <row r="28" spans="2:5" x14ac:dyDescent="0.2">
      <c r="B28" s="47" t="s">
        <v>427</v>
      </c>
      <c r="C28" s="47"/>
      <c r="D28" s="47"/>
      <c r="E28" s="47"/>
    </row>
    <row r="29" spans="2:5" x14ac:dyDescent="0.2">
      <c r="B29" s="47" t="s">
        <v>428</v>
      </c>
      <c r="C29" s="47"/>
      <c r="D29" s="47"/>
      <c r="E29" s="47"/>
    </row>
    <row r="30" spans="2:5" x14ac:dyDescent="0.2">
      <c r="B30" s="47" t="s">
        <v>429</v>
      </c>
      <c r="C30" s="47"/>
      <c r="D30" s="47"/>
      <c r="E30" s="47"/>
    </row>
    <row r="31" spans="2:5" x14ac:dyDescent="0.2">
      <c r="B31" s="47" t="s">
        <v>430</v>
      </c>
      <c r="C31" s="47"/>
      <c r="D31" s="47"/>
      <c r="E31" s="47"/>
    </row>
    <row r="32" spans="2:5" x14ac:dyDescent="0.2">
      <c r="B32" s="47" t="s">
        <v>431</v>
      </c>
      <c r="C32" s="47"/>
      <c r="D32" s="47"/>
      <c r="E32" s="47"/>
    </row>
    <row r="33" spans="2:5" x14ac:dyDescent="0.2">
      <c r="B33" s="47" t="s">
        <v>432</v>
      </c>
      <c r="C33" s="47"/>
      <c r="D33" s="47"/>
      <c r="E33" s="47"/>
    </row>
    <row r="34" spans="2:5" x14ac:dyDescent="0.2">
      <c r="B34" s="47" t="s">
        <v>433</v>
      </c>
      <c r="C34" s="47"/>
      <c r="D34" s="47"/>
      <c r="E34" s="47"/>
    </row>
    <row r="35" spans="2:5" x14ac:dyDescent="0.2">
      <c r="B35" s="47" t="s">
        <v>434</v>
      </c>
      <c r="C35" s="47"/>
      <c r="D35" s="47"/>
      <c r="E35" s="47"/>
    </row>
  </sheetData>
  <sheetProtection algorithmName="SHA-512" hashValue="0mghWVIdGJ+bKVReR1p1D0I7HQkaCcED7a5AQaJTYCy7KVatxM7ZNt6b5TzJztT7ihENgMk17Yjosq56IdK0QA==" saltValue="TR+KsmkfBzf9vWT2S11a6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447</vt:i4>
      </vt:variant>
    </vt:vector>
  </HeadingPairs>
  <TitlesOfParts>
    <vt:vector size="4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2026-10-02T12:36:05Z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