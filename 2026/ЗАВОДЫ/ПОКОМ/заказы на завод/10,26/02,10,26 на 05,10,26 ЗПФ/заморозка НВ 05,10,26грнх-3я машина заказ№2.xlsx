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2677604-8DAC-4B9E-9594-4F348599333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62" i="2" l="1"/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P275" i="2"/>
  <c r="BO274" i="2"/>
  <c r="BM274" i="2"/>
  <c r="Z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O267" i="2"/>
  <c r="BM267" i="2"/>
  <c r="Z267" i="2"/>
  <c r="Y267" i="2"/>
  <c r="BN267" i="2" s="1"/>
  <c r="P267" i="2"/>
  <c r="X265" i="2"/>
  <c r="X264" i="2"/>
  <c r="BO263" i="2"/>
  <c r="BM263" i="2"/>
  <c r="Z263" i="2"/>
  <c r="Y263" i="2"/>
  <c r="P263" i="2"/>
  <c r="BO262" i="2"/>
  <c r="BM262" i="2"/>
  <c r="Z262" i="2"/>
  <c r="Y262" i="2"/>
  <c r="BN262" i="2" s="1"/>
  <c r="P262" i="2"/>
  <c r="BO261" i="2"/>
  <c r="BM261" i="2"/>
  <c r="Z261" i="2"/>
  <c r="Y261" i="2"/>
  <c r="BN261" i="2" s="1"/>
  <c r="P261" i="2"/>
  <c r="X259" i="2"/>
  <c r="X258" i="2"/>
  <c r="BO257" i="2"/>
  <c r="BM257" i="2"/>
  <c r="Z257" i="2"/>
  <c r="Z258" i="2" s="1"/>
  <c r="Y257" i="2"/>
  <c r="BP257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Z254" i="2" s="1"/>
  <c r="Y252" i="2"/>
  <c r="BP252" i="2" s="1"/>
  <c r="P252" i="2"/>
  <c r="X248" i="2"/>
  <c r="X247" i="2"/>
  <c r="BO246" i="2"/>
  <c r="BM246" i="2"/>
  <c r="Z246" i="2"/>
  <c r="Z247" i="2" s="1"/>
  <c r="Y246" i="2"/>
  <c r="Y247" i="2" s="1"/>
  <c r="P246" i="2"/>
  <c r="X244" i="2"/>
  <c r="X243" i="2"/>
  <c r="BO242" i="2"/>
  <c r="BM242" i="2"/>
  <c r="Z242" i="2"/>
  <c r="Z243" i="2" s="1"/>
  <c r="Y242" i="2"/>
  <c r="P242" i="2"/>
  <c r="X238" i="2"/>
  <c r="X237" i="2"/>
  <c r="BO236" i="2"/>
  <c r="BM236" i="2"/>
  <c r="Z236" i="2"/>
  <c r="Z237" i="2" s="1"/>
  <c r="Y236" i="2"/>
  <c r="BP236" i="2" s="1"/>
  <c r="P236" i="2"/>
  <c r="X234" i="2"/>
  <c r="X233" i="2"/>
  <c r="BO232" i="2"/>
  <c r="BM232" i="2"/>
  <c r="Z232" i="2"/>
  <c r="Z233" i="2" s="1"/>
  <c r="Y232" i="2"/>
  <c r="Y233" i="2" s="1"/>
  <c r="P232" i="2"/>
  <c r="X228" i="2"/>
  <c r="X227" i="2"/>
  <c r="BO226" i="2"/>
  <c r="BM226" i="2"/>
  <c r="Z226" i="2"/>
  <c r="Z227" i="2" s="1"/>
  <c r="Y226" i="2"/>
  <c r="Y228" i="2" s="1"/>
  <c r="P226" i="2"/>
  <c r="X222" i="2"/>
  <c r="X221" i="2"/>
  <c r="BO220" i="2"/>
  <c r="BM220" i="2"/>
  <c r="Z220" i="2"/>
  <c r="Z221" i="2" s="1"/>
  <c r="Y220" i="2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P209" i="2"/>
  <c r="X206" i="2"/>
  <c r="X205" i="2"/>
  <c r="BO204" i="2"/>
  <c r="BM204" i="2"/>
  <c r="Z204" i="2"/>
  <c r="Y204" i="2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X200" i="2"/>
  <c r="X199" i="2"/>
  <c r="BO198" i="2"/>
  <c r="BM198" i="2"/>
  <c r="Z198" i="2"/>
  <c r="Z199" i="2" s="1"/>
  <c r="Y198" i="2"/>
  <c r="BN198" i="2" s="1"/>
  <c r="P198" i="2"/>
  <c r="X194" i="2"/>
  <c r="X193" i="2"/>
  <c r="BO192" i="2"/>
  <c r="BM192" i="2"/>
  <c r="Z192" i="2"/>
  <c r="Y192" i="2"/>
  <c r="P192" i="2"/>
  <c r="BO191" i="2"/>
  <c r="BM191" i="2"/>
  <c r="Z191" i="2"/>
  <c r="Y191" i="2"/>
  <c r="BN191" i="2" s="1"/>
  <c r="P191" i="2"/>
  <c r="BO190" i="2"/>
  <c r="BM190" i="2"/>
  <c r="Z190" i="2"/>
  <c r="Y190" i="2"/>
  <c r="P190" i="2"/>
  <c r="BO189" i="2"/>
  <c r="BM189" i="2"/>
  <c r="Z189" i="2"/>
  <c r="Y189" i="2"/>
  <c r="P189" i="2"/>
  <c r="X185" i="2"/>
  <c r="X184" i="2"/>
  <c r="BO183" i="2"/>
  <c r="BM183" i="2"/>
  <c r="Z183" i="2"/>
  <c r="Z184" i="2" s="1"/>
  <c r="Y183" i="2"/>
  <c r="BP183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BP177" i="2" s="1"/>
  <c r="P177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Y162" i="2" s="1"/>
  <c r="P161" i="2"/>
  <c r="X158" i="2"/>
  <c r="X157" i="2"/>
  <c r="BO156" i="2"/>
  <c r="BM156" i="2"/>
  <c r="Z156" i="2"/>
  <c r="Y156" i="2"/>
  <c r="P156" i="2"/>
  <c r="BO155" i="2"/>
  <c r="BM155" i="2"/>
  <c r="Z155" i="2"/>
  <c r="Z157" i="2" s="1"/>
  <c r="Y155" i="2"/>
  <c r="P155" i="2"/>
  <c r="X152" i="2"/>
  <c r="X151" i="2"/>
  <c r="BO150" i="2"/>
  <c r="BM150" i="2"/>
  <c r="Z150" i="2"/>
  <c r="Y150" i="2"/>
  <c r="P150" i="2"/>
  <c r="BO149" i="2"/>
  <c r="BM149" i="2"/>
  <c r="Z149" i="2"/>
  <c r="Y149" i="2"/>
  <c r="BP149" i="2" s="1"/>
  <c r="P149" i="2"/>
  <c r="BO148" i="2"/>
  <c r="BM148" i="2"/>
  <c r="Z148" i="2"/>
  <c r="Y148" i="2"/>
  <c r="P148" i="2"/>
  <c r="X145" i="2"/>
  <c r="X144" i="2"/>
  <c r="BO143" i="2"/>
  <c r="BM143" i="2"/>
  <c r="Z143" i="2"/>
  <c r="Y143" i="2"/>
  <c r="BN143" i="2" s="1"/>
  <c r="P143" i="2"/>
  <c r="BO142" i="2"/>
  <c r="BM142" i="2"/>
  <c r="Z142" i="2"/>
  <c r="Y142" i="2"/>
  <c r="BP142" i="2" s="1"/>
  <c r="P142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P136" i="2"/>
  <c r="BO135" i="2"/>
  <c r="BM135" i="2"/>
  <c r="Z135" i="2"/>
  <c r="Y135" i="2"/>
  <c r="P135" i="2"/>
  <c r="X133" i="2"/>
  <c r="X132" i="2"/>
  <c r="BO131" i="2"/>
  <c r="BM131" i="2"/>
  <c r="Z131" i="2"/>
  <c r="Y131" i="2"/>
  <c r="P131" i="2"/>
  <c r="BO130" i="2"/>
  <c r="BM130" i="2"/>
  <c r="Z130" i="2"/>
  <c r="Y130" i="2"/>
  <c r="BP130" i="2" s="1"/>
  <c r="P130" i="2"/>
  <c r="BO129" i="2"/>
  <c r="BM129" i="2"/>
  <c r="Z129" i="2"/>
  <c r="Y129" i="2"/>
  <c r="BN129" i="2" s="1"/>
  <c r="P129" i="2"/>
  <c r="BO128" i="2"/>
  <c r="BM128" i="2"/>
  <c r="Z128" i="2"/>
  <c r="Y128" i="2"/>
  <c r="P128" i="2"/>
  <c r="X125" i="2"/>
  <c r="X124" i="2"/>
  <c r="BO123" i="2"/>
  <c r="BM123" i="2"/>
  <c r="Z123" i="2"/>
  <c r="Z124" i="2" s="1"/>
  <c r="Y123" i="2"/>
  <c r="BN123" i="2" s="1"/>
  <c r="P123" i="2"/>
  <c r="X121" i="2"/>
  <c r="X120" i="2"/>
  <c r="BO119" i="2"/>
  <c r="BM119" i="2"/>
  <c r="Z119" i="2"/>
  <c r="Z120" i="2" s="1"/>
  <c r="Y119" i="2"/>
  <c r="Y121" i="2" s="1"/>
  <c r="P119" i="2"/>
  <c r="X117" i="2"/>
  <c r="X116" i="2"/>
  <c r="BO115" i="2"/>
  <c r="BM115" i="2"/>
  <c r="Z115" i="2"/>
  <c r="Y115" i="2"/>
  <c r="BN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P110" i="2"/>
  <c r="BO109" i="2"/>
  <c r="BM109" i="2"/>
  <c r="Z109" i="2"/>
  <c r="Y109" i="2"/>
  <c r="Y117" i="2" s="1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P98" i="2"/>
  <c r="BO97" i="2"/>
  <c r="BM97" i="2"/>
  <c r="Z97" i="2"/>
  <c r="Y97" i="2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N94" i="2" s="1"/>
  <c r="P94" i="2"/>
  <c r="BO93" i="2"/>
  <c r="BM93" i="2"/>
  <c r="Z93" i="2"/>
  <c r="Y93" i="2"/>
  <c r="P93" i="2"/>
  <c r="X90" i="2"/>
  <c r="X89" i="2"/>
  <c r="BO88" i="2"/>
  <c r="BM88" i="2"/>
  <c r="Z88" i="2"/>
  <c r="Y88" i="2"/>
  <c r="BN88" i="2" s="1"/>
  <c r="P88" i="2"/>
  <c r="BO87" i="2"/>
  <c r="BM87" i="2"/>
  <c r="Z87" i="2"/>
  <c r="Y87" i="2"/>
  <c r="P87" i="2"/>
  <c r="X84" i="2"/>
  <c r="X83" i="2"/>
  <c r="BO82" i="2"/>
  <c r="BM82" i="2"/>
  <c r="Z82" i="2"/>
  <c r="Z83" i="2" s="1"/>
  <c r="Y82" i="2"/>
  <c r="BP82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BO69" i="2"/>
  <c r="BM69" i="2"/>
  <c r="Z69" i="2"/>
  <c r="Y69" i="2"/>
  <c r="Y73" i="2" s="1"/>
  <c r="P69" i="2"/>
  <c r="X67" i="2"/>
  <c r="X66" i="2"/>
  <c r="BP65" i="2"/>
  <c r="BO65" i="2"/>
  <c r="BN65" i="2"/>
  <c r="BM65" i="2"/>
  <c r="Z65" i="2"/>
  <c r="Z66" i="2" s="1"/>
  <c r="Y65" i="2"/>
  <c r="Y66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Y54" i="2"/>
  <c r="BN54" i="2" s="1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Y49" i="2" s="1"/>
  <c r="P47" i="2"/>
  <c r="X44" i="2"/>
  <c r="X43" i="2"/>
  <c r="BO42" i="2"/>
  <c r="BM42" i="2"/>
  <c r="Z42" i="2"/>
  <c r="Y42" i="2"/>
  <c r="P42" i="2"/>
  <c r="BO41" i="2"/>
  <c r="BM41" i="2"/>
  <c r="Z41" i="2"/>
  <c r="Y41" i="2"/>
  <c r="BN41" i="2" s="1"/>
  <c r="P41" i="2"/>
  <c r="X37" i="2"/>
  <c r="X36" i="2"/>
  <c r="BO35" i="2"/>
  <c r="BM35" i="2"/>
  <c r="Z35" i="2"/>
  <c r="Z36" i="2" s="1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O23" i="2"/>
  <c r="BM23" i="2"/>
  <c r="Z23" i="2"/>
  <c r="Y23" i="2"/>
  <c r="BP23" i="2" s="1"/>
  <c r="P23" i="2"/>
  <c r="BO22" i="2"/>
  <c r="BN22" i="2"/>
  <c r="BM22" i="2"/>
  <c r="Z22" i="2"/>
  <c r="Y22" i="2"/>
  <c r="BP22" i="2" s="1"/>
  <c r="P22" i="2"/>
  <c r="H10" i="2"/>
  <c r="A9" i="2"/>
  <c r="J9" i="2" s="1"/>
  <c r="D7" i="2"/>
  <c r="Q6" i="2"/>
  <c r="P2" i="2"/>
  <c r="Z132" i="2" l="1"/>
  <c r="Z205" i="2"/>
  <c r="BN23" i="2"/>
  <c r="Z57" i="2"/>
  <c r="Y152" i="2"/>
  <c r="BN246" i="2"/>
  <c r="BP71" i="2"/>
  <c r="Y167" i="2"/>
  <c r="Y184" i="2"/>
  <c r="Y185" i="2"/>
  <c r="Y227" i="2"/>
  <c r="Y237" i="2"/>
  <c r="Y238" i="2"/>
  <c r="X280" i="2"/>
  <c r="Y31" i="2"/>
  <c r="BN25" i="2"/>
  <c r="Z43" i="2"/>
  <c r="BN47" i="2"/>
  <c r="Z78" i="2"/>
  <c r="Z89" i="2"/>
  <c r="Z105" i="2"/>
  <c r="Y124" i="2"/>
  <c r="Y132" i="2"/>
  <c r="Y139" i="2"/>
  <c r="Z151" i="2"/>
  <c r="Y157" i="2"/>
  <c r="BN166" i="2"/>
  <c r="Z179" i="2"/>
  <c r="BN183" i="2"/>
  <c r="Z211" i="2"/>
  <c r="BN226" i="2"/>
  <c r="BN232" i="2"/>
  <c r="BN236" i="2"/>
  <c r="BN253" i="2"/>
  <c r="BP275" i="2"/>
  <c r="BN275" i="2"/>
  <c r="BP242" i="2"/>
  <c r="Y244" i="2"/>
  <c r="Y243" i="2"/>
  <c r="BN242" i="2"/>
  <c r="BP220" i="2"/>
  <c r="Y221" i="2"/>
  <c r="BN220" i="2"/>
  <c r="Y211" i="2"/>
  <c r="BN209" i="2"/>
  <c r="BP202" i="2"/>
  <c r="BN202" i="2"/>
  <c r="Y206" i="2"/>
  <c r="BP189" i="2"/>
  <c r="BN189" i="2"/>
  <c r="BP190" i="2"/>
  <c r="BN190" i="2"/>
  <c r="BP156" i="2"/>
  <c r="BN156" i="2"/>
  <c r="BP150" i="2"/>
  <c r="BN150" i="2"/>
  <c r="BP136" i="2"/>
  <c r="BN136" i="2"/>
  <c r="BP131" i="2"/>
  <c r="BN131" i="2"/>
  <c r="BP110" i="2"/>
  <c r="BN110" i="2"/>
  <c r="BN97" i="2"/>
  <c r="BP97" i="2"/>
  <c r="BP98" i="2"/>
  <c r="BN98" i="2"/>
  <c r="Y89" i="2"/>
  <c r="BP87" i="2"/>
  <c r="BN87" i="2"/>
  <c r="Z99" i="2"/>
  <c r="BP104" i="2"/>
  <c r="BP267" i="2"/>
  <c r="BP27" i="2"/>
  <c r="BP41" i="2"/>
  <c r="Y43" i="2"/>
  <c r="BP48" i="2"/>
  <c r="Y50" i="2"/>
  <c r="BP54" i="2"/>
  <c r="BP61" i="2"/>
  <c r="BP88" i="2"/>
  <c r="BP94" i="2"/>
  <c r="BP96" i="2"/>
  <c r="Z116" i="2"/>
  <c r="BP111" i="2"/>
  <c r="Z144" i="2"/>
  <c r="BP171" i="2"/>
  <c r="Y173" i="2"/>
  <c r="Y180" i="2"/>
  <c r="BP198" i="2"/>
  <c r="BP210" i="2"/>
  <c r="BP215" i="2"/>
  <c r="Y234" i="2"/>
  <c r="Z264" i="2"/>
  <c r="BP261" i="2"/>
  <c r="Y264" i="2"/>
  <c r="Z277" i="2"/>
  <c r="Y278" i="2"/>
  <c r="BP270" i="2"/>
  <c r="BP128" i="2"/>
  <c r="BP191" i="2"/>
  <c r="Y217" i="2"/>
  <c r="X283" i="2"/>
  <c r="BP34" i="2"/>
  <c r="X281" i="2"/>
  <c r="X279" i="2"/>
  <c r="Y37" i="2"/>
  <c r="Z49" i="2"/>
  <c r="BP47" i="2"/>
  <c r="Z72" i="2"/>
  <c r="Y83" i="2"/>
  <c r="BP123" i="2"/>
  <c r="BP129" i="2"/>
  <c r="Y133" i="2"/>
  <c r="Z138" i="2"/>
  <c r="BN137" i="2"/>
  <c r="Y158" i="2"/>
  <c r="BP166" i="2"/>
  <c r="Y179" i="2"/>
  <c r="Y194" i="2"/>
  <c r="Y205" i="2"/>
  <c r="BP209" i="2"/>
  <c r="Y212" i="2"/>
  <c r="BP226" i="2"/>
  <c r="BP232" i="2"/>
  <c r="Y248" i="2"/>
  <c r="Y259" i="2"/>
  <c r="BP269" i="2"/>
  <c r="BN271" i="2"/>
  <c r="Z30" i="2"/>
  <c r="BP28" i="2"/>
  <c r="Y36" i="2"/>
  <c r="Y44" i="2"/>
  <c r="BP42" i="2"/>
  <c r="BP55" i="2"/>
  <c r="BN61" i="2"/>
  <c r="Y62" i="2"/>
  <c r="Y67" i="2"/>
  <c r="BN76" i="2"/>
  <c r="Y100" i="2"/>
  <c r="BP93" i="2"/>
  <c r="Y106" i="2"/>
  <c r="BN113" i="2"/>
  <c r="BP115" i="2"/>
  <c r="Y151" i="2"/>
  <c r="BP148" i="2"/>
  <c r="Y163" i="2"/>
  <c r="BN171" i="2"/>
  <c r="BN178" i="2"/>
  <c r="Z193" i="2"/>
  <c r="Y199" i="2"/>
  <c r="BP203" i="2"/>
  <c r="BN215" i="2"/>
  <c r="Y222" i="2"/>
  <c r="BP246" i="2"/>
  <c r="BN252" i="2"/>
  <c r="Y258" i="2"/>
  <c r="BP262" i="2"/>
  <c r="BP274" i="2"/>
  <c r="BP53" i="2"/>
  <c r="BP77" i="2"/>
  <c r="Y90" i="2"/>
  <c r="BP103" i="2"/>
  <c r="BP114" i="2"/>
  <c r="Y125" i="2"/>
  <c r="BN149" i="2"/>
  <c r="BN192" i="2"/>
  <c r="BN263" i="2"/>
  <c r="BN268" i="2"/>
  <c r="BN29" i="2"/>
  <c r="BN56" i="2"/>
  <c r="BN69" i="2"/>
  <c r="Y72" i="2"/>
  <c r="BN95" i="2"/>
  <c r="BP109" i="2"/>
  <c r="BP119" i="2"/>
  <c r="BN130" i="2"/>
  <c r="BP143" i="2"/>
  <c r="BN155" i="2"/>
  <c r="Y200" i="2"/>
  <c r="BP273" i="2"/>
  <c r="H9" i="2"/>
  <c r="F10" i="2"/>
  <c r="BP26" i="2"/>
  <c r="BN24" i="2"/>
  <c r="Y78" i="2"/>
  <c r="BN112" i="2"/>
  <c r="BN135" i="2"/>
  <c r="Y138" i="2"/>
  <c r="BN161" i="2"/>
  <c r="BN177" i="2"/>
  <c r="BP192" i="2"/>
  <c r="BN204" i="2"/>
  <c r="Y254" i="2"/>
  <c r="BP263" i="2"/>
  <c r="BP268" i="2"/>
  <c r="BN276" i="2"/>
  <c r="F9" i="2"/>
  <c r="Y84" i="2"/>
  <c r="BN109" i="2"/>
  <c r="BN35" i="2"/>
  <c r="BN42" i="2"/>
  <c r="BP69" i="2"/>
  <c r="Y120" i="2"/>
  <c r="Y144" i="2"/>
  <c r="BP155" i="2"/>
  <c r="BN103" i="2"/>
  <c r="A10" i="2"/>
  <c r="BN119" i="2"/>
  <c r="BP24" i="2"/>
  <c r="BP35" i="2"/>
  <c r="BP135" i="2"/>
  <c r="BP161" i="2"/>
  <c r="Y193" i="2"/>
  <c r="BP204" i="2"/>
  <c r="Y79" i="2"/>
  <c r="BN93" i="2"/>
  <c r="BN128" i="2"/>
  <c r="Y255" i="2"/>
  <c r="Y30" i="2"/>
  <c r="Y57" i="2"/>
  <c r="Y145" i="2"/>
  <c r="Y277" i="2"/>
  <c r="Y265" i="2"/>
  <c r="Y58" i="2"/>
  <c r="BN70" i="2"/>
  <c r="Y99" i="2"/>
  <c r="Y105" i="2"/>
  <c r="Y116" i="2"/>
  <c r="BN142" i="2"/>
  <c r="BN257" i="2"/>
  <c r="BN272" i="2"/>
  <c r="BN82" i="2"/>
  <c r="BN148" i="2"/>
  <c r="X282" i="2" l="1"/>
  <c r="Y279" i="2"/>
  <c r="Z284" i="2"/>
  <c r="Y281" i="2"/>
  <c r="Y280" i="2"/>
  <c r="Y283" i="2"/>
  <c r="Y282" i="2" l="1"/>
  <c r="C292" i="2"/>
  <c r="B292" i="2"/>
  <c r="A292" i="2"/>
</calcChain>
</file>

<file path=xl/sharedStrings.xml><?xml version="1.0" encoding="utf-8"?>
<sst xmlns="http://schemas.openxmlformats.org/spreadsheetml/2006/main" count="1755" uniqueCount="421">
  <si>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</si>
  <si>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</si>
  <si>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</si>
  <si>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</si>
  <si>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</si>
  <si>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</si>
  <si>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</si>
  <si>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</si>
  <si>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</si>
  <si>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</si>
  <si>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</si>
  <si>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</si>
  <si>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</si>
  <si>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</si>
  <si>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</si>
  <si>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</si>
  <si>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</si>
  <si>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</si>
  <si>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</si>
  <si>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</si>
  <si>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</si>
  <si>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</si>
  <si>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</si>
  <si>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</si>
  <si>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</si>
  <si>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</si>
  <si>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</si>
  <si>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</si>
  <si>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</si>
  <si>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</si>
  <si>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</si>
  <si>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</si>
  <si>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</si>
  <si>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</si>
  <si>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</si>
  <si>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</si>
  <si>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</si>
  <si>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</si>
  <si>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</si>
  <si>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</si>
  <si>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</si>
  <si>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</si>
  <si>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</si>
  <si>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</si>
  <si>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</si>
  <si>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</si>
  <si>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</si>
  <si>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</si>
  <si>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</si>
  <si>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</si>
  <si>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</si>
  <si>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</si>
  <si>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</si>
  <si>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</si>
  <si>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</si>
  <si>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</si>
  <si>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</si>
  <si>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</si>
  <si>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</si>
  <si>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</si>
  <si>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</si>
  <si>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</si>
  <si>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</si>
  <si>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</si>
  <si>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</si>
  <si>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</si>
  <si>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</si>
  <si>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</si>
  <si>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</si>
  <si>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</si>
  <si>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</si>
  <si>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15.09.2026</t>
  </si>
  <si>
    <t>14.09.2026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</si>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</sst>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9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87" sqref="AA8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5" t="s">
        <v>26</v>
      </c>
      <c r="E1" s="455"/>
      <c r="F1" s="455"/>
      <c r="G1" s="14" t="s">
        <v>70</v>
      </c>
      <c r="H1" s="455" t="s">
        <v>47</v>
      </c>
      <c r="I1" s="455"/>
      <c r="J1" s="455"/>
      <c r="K1" s="455"/>
      <c r="L1" s="455"/>
      <c r="M1" s="455"/>
      <c r="N1" s="455"/>
      <c r="O1" s="455"/>
      <c r="P1" s="455"/>
      <c r="Q1" s="455"/>
      <c r="R1" s="456" t="s">
        <v>71</v>
      </c>
      <c r="S1" s="457"/>
      <c r="T1" s="45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8"/>
      <c r="R2" s="458"/>
      <c r="S2" s="458"/>
      <c r="T2" s="458"/>
      <c r="U2" s="458"/>
      <c r="V2" s="458"/>
      <c r="W2" s="45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8"/>
      <c r="Q3" s="458"/>
      <c r="R3" s="458"/>
      <c r="S3" s="458"/>
      <c r="T3" s="458"/>
      <c r="U3" s="458"/>
      <c r="V3" s="458"/>
      <c r="W3" s="45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6" t="s">
        <v>8</v>
      </c>
      <c r="B5" s="436"/>
      <c r="C5" s="436"/>
      <c r="D5" s="459"/>
      <c r="E5" s="459"/>
      <c r="F5" s="460" t="s">
        <v>14</v>
      </c>
      <c r="G5" s="460"/>
      <c r="H5" s="459" t="s">
        <v>420</v>
      </c>
      <c r="I5" s="459"/>
      <c r="J5" s="459"/>
      <c r="K5" s="459"/>
      <c r="L5" s="459"/>
      <c r="M5" s="459"/>
      <c r="N5" s="72"/>
      <c r="P5" s="26" t="s">
        <v>4</v>
      </c>
      <c r="Q5" s="461">
        <v>46300</v>
      </c>
      <c r="R5" s="462"/>
      <c r="T5" s="463" t="s">
        <v>3</v>
      </c>
      <c r="U5" s="464"/>
      <c r="V5" s="465" t="s">
        <v>388</v>
      </c>
      <c r="W5" s="466"/>
      <c r="AB5" s="57"/>
      <c r="AC5" s="57"/>
      <c r="AD5" s="57"/>
      <c r="AE5" s="57"/>
    </row>
    <row r="6" spans="1:32" s="17" customFormat="1" ht="24" customHeight="1" x14ac:dyDescent="0.2">
      <c r="A6" s="436" t="s">
        <v>1</v>
      </c>
      <c r="B6" s="436"/>
      <c r="C6" s="436"/>
      <c r="D6" s="437" t="s">
        <v>398</v>
      </c>
      <c r="E6" s="437"/>
      <c r="F6" s="437"/>
      <c r="G6" s="437"/>
      <c r="H6" s="437"/>
      <c r="I6" s="437"/>
      <c r="J6" s="437"/>
      <c r="K6" s="437"/>
      <c r="L6" s="437"/>
      <c r="M6" s="437"/>
      <c r="N6" s="73"/>
      <c r="P6" s="26" t="s">
        <v>27</v>
      </c>
      <c r="Q6" s="438" t="str">
        <f>IF(Q5=0," ",CHOOSE(WEEKDAY(Q5,2),"Понедельник","Вторник","Среда","Четверг","Пятница","Суббота","Воскресенье"))</f>
        <v>Понедельник</v>
      </c>
      <c r="R6" s="438"/>
      <c r="T6" s="439" t="s">
        <v>5</v>
      </c>
      <c r="U6" s="440"/>
      <c r="V6" s="441" t="s">
        <v>73</v>
      </c>
      <c r="W6" s="44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7" t="str">
        <f>IFERROR(VLOOKUP(DeliveryAddress,Table,3,0),1)</f>
        <v>4</v>
      </c>
      <c r="E7" s="448"/>
      <c r="F7" s="448"/>
      <c r="G7" s="448"/>
      <c r="H7" s="448"/>
      <c r="I7" s="448"/>
      <c r="J7" s="448"/>
      <c r="K7" s="448"/>
      <c r="L7" s="448"/>
      <c r="M7" s="449"/>
      <c r="N7" s="74"/>
      <c r="P7" s="26"/>
      <c r="Q7" s="46"/>
      <c r="R7" s="46"/>
      <c r="T7" s="439"/>
      <c r="U7" s="440"/>
      <c r="V7" s="443"/>
      <c r="W7" s="444"/>
      <c r="AB7" s="57"/>
      <c r="AC7" s="57"/>
      <c r="AD7" s="57"/>
      <c r="AE7" s="57"/>
    </row>
    <row r="8" spans="1:32" s="17" customFormat="1" ht="25.5" customHeight="1" x14ac:dyDescent="0.2">
      <c r="A8" s="450" t="s">
        <v>58</v>
      </c>
      <c r="B8" s="450"/>
      <c r="C8" s="450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75"/>
      <c r="P8" s="26" t="s">
        <v>11</v>
      </c>
      <c r="Q8" s="434">
        <v>0.45833333333333331</v>
      </c>
      <c r="R8" s="452"/>
      <c r="T8" s="439"/>
      <c r="U8" s="440"/>
      <c r="V8" s="443"/>
      <c r="W8" s="444"/>
      <c r="AB8" s="57"/>
      <c r="AC8" s="57"/>
      <c r="AD8" s="57"/>
      <c r="AE8" s="57"/>
    </row>
    <row r="9" spans="1:32" s="17" customFormat="1" ht="39.950000000000003" customHeight="1" x14ac:dyDescent="0.2">
      <c r="A9" s="42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6"/>
      <c r="C9" s="426"/>
      <c r="D9" s="427" t="s">
        <v>46</v>
      </c>
      <c r="E9" s="428"/>
      <c r="F9" s="42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6"/>
      <c r="H9" s="453" t="str">
        <f>IF(AND($A$9="Тип доверенности/получателя при получении в адресе перегруза:",$D$9="Разовая доверенность"),"Введите ФИО","")</f>
        <v/>
      </c>
      <c r="I9" s="453"/>
      <c r="J9" s="4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3"/>
      <c r="L9" s="453"/>
      <c r="M9" s="453"/>
      <c r="N9" s="70"/>
      <c r="P9" s="29" t="s">
        <v>15</v>
      </c>
      <c r="Q9" s="454">
        <v>46303</v>
      </c>
      <c r="R9" s="454"/>
      <c r="T9" s="439"/>
      <c r="U9" s="440"/>
      <c r="V9" s="445"/>
      <c r="W9" s="44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6"/>
      <c r="C10" s="426"/>
      <c r="D10" s="427"/>
      <c r="E10" s="428"/>
      <c r="F10" s="42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6"/>
      <c r="H10" s="429" t="str">
        <f>IFERROR(VLOOKUP($D$10,Proxy,2,FALSE),"")</f>
        <v/>
      </c>
      <c r="I10" s="429"/>
      <c r="J10" s="429"/>
      <c r="K10" s="429"/>
      <c r="L10" s="429"/>
      <c r="M10" s="429"/>
      <c r="N10" s="71"/>
      <c r="P10" s="29" t="s">
        <v>32</v>
      </c>
      <c r="Q10" s="430">
        <v>0.54166666666666663</v>
      </c>
      <c r="R10" s="430"/>
      <c r="U10" s="26" t="s">
        <v>12</v>
      </c>
      <c r="V10" s="431" t="s">
        <v>74</v>
      </c>
      <c r="W10" s="43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3"/>
      <c r="R11" s="433"/>
      <c r="U11" s="26" t="s">
        <v>28</v>
      </c>
      <c r="V11" s="412" t="s">
        <v>55</v>
      </c>
      <c r="W11" s="41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11" t="s">
        <v>75</v>
      </c>
      <c r="B12" s="411"/>
      <c r="C12" s="411"/>
      <c r="D12" s="411"/>
      <c r="E12" s="411"/>
      <c r="F12" s="411"/>
      <c r="G12" s="411"/>
      <c r="H12" s="411"/>
      <c r="I12" s="411"/>
      <c r="J12" s="411"/>
      <c r="K12" s="411"/>
      <c r="L12" s="411"/>
      <c r="M12" s="411"/>
      <c r="N12" s="76"/>
      <c r="P12" s="26" t="s">
        <v>30</v>
      </c>
      <c r="Q12" s="434"/>
      <c r="R12" s="434"/>
      <c r="S12" s="27"/>
      <c r="T12"/>
      <c r="U12" s="26" t="s">
        <v>46</v>
      </c>
      <c r="V12" s="435"/>
      <c r="W12" s="435"/>
      <c r="X12"/>
      <c r="AB12" s="57"/>
      <c r="AC12" s="57"/>
      <c r="AD12" s="57"/>
      <c r="AE12" s="57"/>
    </row>
    <row r="13" spans="1:32" s="17" customFormat="1" ht="23.25" customHeight="1" x14ac:dyDescent="0.2">
      <c r="A13" s="411" t="s">
        <v>76</v>
      </c>
      <c r="B13" s="411"/>
      <c r="C13" s="411"/>
      <c r="D13" s="411"/>
      <c r="E13" s="411"/>
      <c r="F13" s="411"/>
      <c r="G13" s="411"/>
      <c r="H13" s="411"/>
      <c r="I13" s="411"/>
      <c r="J13" s="411"/>
      <c r="K13" s="411"/>
      <c r="L13" s="411"/>
      <c r="M13" s="411"/>
      <c r="N13" s="76"/>
      <c r="O13" s="29"/>
      <c r="P13" s="29" t="s">
        <v>31</v>
      </c>
      <c r="Q13" s="412"/>
      <c r="R13" s="41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11" t="s">
        <v>77</v>
      </c>
      <c r="B14" s="411"/>
      <c r="C14" s="411"/>
      <c r="D14" s="411"/>
      <c r="E14" s="411"/>
      <c r="F14" s="411"/>
      <c r="G14" s="411"/>
      <c r="H14" s="411"/>
      <c r="I14" s="411"/>
      <c r="J14" s="411"/>
      <c r="K14" s="411"/>
      <c r="L14" s="411"/>
      <c r="M14" s="411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3" t="s">
        <v>78</v>
      </c>
      <c r="B15" s="413"/>
      <c r="C15" s="413"/>
      <c r="D15" s="413"/>
      <c r="E15" s="413"/>
      <c r="F15" s="413"/>
      <c r="G15" s="413"/>
      <c r="H15" s="413"/>
      <c r="I15" s="413"/>
      <c r="J15" s="413"/>
      <c r="K15" s="413"/>
      <c r="L15" s="413"/>
      <c r="M15" s="413"/>
      <c r="N15" s="77"/>
      <c r="O15"/>
      <c r="P15" s="414" t="s">
        <v>61</v>
      </c>
      <c r="Q15" s="414"/>
      <c r="R15" s="414"/>
      <c r="S15" s="414"/>
      <c r="T15" s="41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5"/>
      <c r="Q16" s="415"/>
      <c r="R16" s="415"/>
      <c r="S16" s="415"/>
      <c r="T16" s="4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7" t="s">
        <v>59</v>
      </c>
      <c r="B17" s="397" t="s">
        <v>49</v>
      </c>
      <c r="C17" s="418" t="s">
        <v>48</v>
      </c>
      <c r="D17" s="420" t="s">
        <v>50</v>
      </c>
      <c r="E17" s="421"/>
      <c r="F17" s="397" t="s">
        <v>21</v>
      </c>
      <c r="G17" s="397" t="s">
        <v>24</v>
      </c>
      <c r="H17" s="397" t="s">
        <v>22</v>
      </c>
      <c r="I17" s="397" t="s">
        <v>23</v>
      </c>
      <c r="J17" s="397" t="s">
        <v>16</v>
      </c>
      <c r="K17" s="397" t="s">
        <v>69</v>
      </c>
      <c r="L17" s="397" t="s">
        <v>67</v>
      </c>
      <c r="M17" s="397" t="s">
        <v>2</v>
      </c>
      <c r="N17" s="397" t="s">
        <v>66</v>
      </c>
      <c r="O17" s="397" t="s">
        <v>25</v>
      </c>
      <c r="P17" s="420" t="s">
        <v>17</v>
      </c>
      <c r="Q17" s="424"/>
      <c r="R17" s="424"/>
      <c r="S17" s="424"/>
      <c r="T17" s="421"/>
      <c r="U17" s="416" t="s">
        <v>56</v>
      </c>
      <c r="V17" s="417"/>
      <c r="W17" s="397" t="s">
        <v>6</v>
      </c>
      <c r="X17" s="397" t="s">
        <v>41</v>
      </c>
      <c r="Y17" s="399" t="s">
        <v>54</v>
      </c>
      <c r="Z17" s="401" t="s">
        <v>18</v>
      </c>
      <c r="AA17" s="403" t="s">
        <v>60</v>
      </c>
      <c r="AB17" s="403" t="s">
        <v>19</v>
      </c>
      <c r="AC17" s="403" t="s">
        <v>68</v>
      </c>
      <c r="AD17" s="405" t="s">
        <v>57</v>
      </c>
      <c r="AE17" s="406"/>
      <c r="AF17" s="407"/>
      <c r="AG17" s="80"/>
      <c r="BD17" s="79" t="s">
        <v>64</v>
      </c>
    </row>
    <row r="18" spans="1:68" ht="14.25" customHeight="1" x14ac:dyDescent="0.2">
      <c r="A18" s="398"/>
      <c r="B18" s="398"/>
      <c r="C18" s="419"/>
      <c r="D18" s="422"/>
      <c r="E18" s="423"/>
      <c r="F18" s="398"/>
      <c r="G18" s="398"/>
      <c r="H18" s="398"/>
      <c r="I18" s="398"/>
      <c r="J18" s="398"/>
      <c r="K18" s="398"/>
      <c r="L18" s="398"/>
      <c r="M18" s="398"/>
      <c r="N18" s="398"/>
      <c r="O18" s="398"/>
      <c r="P18" s="422"/>
      <c r="Q18" s="425"/>
      <c r="R18" s="425"/>
      <c r="S18" s="425"/>
      <c r="T18" s="423"/>
      <c r="U18" s="81" t="s">
        <v>44</v>
      </c>
      <c r="V18" s="81" t="s">
        <v>43</v>
      </c>
      <c r="W18" s="398"/>
      <c r="X18" s="398"/>
      <c r="Y18" s="400"/>
      <c r="Z18" s="402"/>
      <c r="AA18" s="404"/>
      <c r="AB18" s="404"/>
      <c r="AC18" s="404"/>
      <c r="AD18" s="408"/>
      <c r="AE18" s="409"/>
      <c r="AF18" s="410"/>
      <c r="AG18" s="80"/>
      <c r="BD18" s="79"/>
    </row>
    <row r="19" spans="1:68" ht="27.75" hidden="1" customHeight="1" x14ac:dyDescent="0.2">
      <c r="A19" s="313" t="s">
        <v>79</v>
      </c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  <c r="AA19" s="52"/>
      <c r="AB19" s="52"/>
      <c r="AC19" s="52"/>
    </row>
    <row r="20" spans="1:68" ht="16.5" hidden="1" customHeight="1" x14ac:dyDescent="0.25">
      <c r="A20" s="314" t="s">
        <v>79</v>
      </c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62"/>
      <c r="AB20" s="62"/>
      <c r="AC20" s="62"/>
    </row>
    <row r="21" spans="1:68" ht="14.25" hidden="1" customHeight="1" x14ac:dyDescent="0.25">
      <c r="A21" s="302" t="s">
        <v>80</v>
      </c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63"/>
      <c r="AB21" s="63"/>
      <c r="AC21" s="63"/>
    </row>
    <row r="22" spans="1:68" ht="27" hidden="1" customHeight="1" x14ac:dyDescent="0.25">
      <c r="A22" s="60" t="s">
        <v>81</v>
      </c>
      <c r="B22" s="60" t="s">
        <v>82</v>
      </c>
      <c r="C22" s="34">
        <v>4301071113</v>
      </c>
      <c r="D22" s="284">
        <v>4620207491508</v>
      </c>
      <c r="E22" s="284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88</v>
      </c>
      <c r="B23" s="60" t="s">
        <v>89</v>
      </c>
      <c r="C23" s="34">
        <v>4301071112</v>
      </c>
      <c r="D23" s="284">
        <v>4620207491256</v>
      </c>
      <c r="E23" s="284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90</v>
      </c>
      <c r="B24" s="60" t="s">
        <v>91</v>
      </c>
      <c r="C24" s="34">
        <v>4301071135</v>
      </c>
      <c r="D24" s="284">
        <v>4620207491713</v>
      </c>
      <c r="E24" s="284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93</v>
      </c>
      <c r="B25" s="60" t="s">
        <v>94</v>
      </c>
      <c r="C25" s="34">
        <v>4301071134</v>
      </c>
      <c r="D25" s="284">
        <v>4620207491720</v>
      </c>
      <c r="E25" s="284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95</v>
      </c>
      <c r="B26" s="60" t="s">
        <v>96</v>
      </c>
      <c r="C26" s="34">
        <v>4301071108</v>
      </c>
      <c r="D26" s="284">
        <v>4607111035912</v>
      </c>
      <c r="E26" s="284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8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98</v>
      </c>
      <c r="B27" s="60" t="s">
        <v>99</v>
      </c>
      <c r="C27" s="34">
        <v>4301071109</v>
      </c>
      <c r="D27" s="284">
        <v>4607111035929</v>
      </c>
      <c r="E27" s="284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100</v>
      </c>
      <c r="B28" s="60" t="s">
        <v>101</v>
      </c>
      <c r="C28" s="34">
        <v>4301071106</v>
      </c>
      <c r="D28" s="284">
        <v>4607111035882</v>
      </c>
      <c r="E28" s="284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9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102</v>
      </c>
      <c r="B29" s="60" t="s">
        <v>103</v>
      </c>
      <c r="C29" s="34">
        <v>4301071107</v>
      </c>
      <c r="D29" s="284">
        <v>4607111035905</v>
      </c>
      <c r="E29" s="284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9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2"/>
      <c r="P30" s="288" t="s">
        <v>40</v>
      </c>
      <c r="Q30" s="289"/>
      <c r="R30" s="289"/>
      <c r="S30" s="289"/>
      <c r="T30" s="289"/>
      <c r="U30" s="289"/>
      <c r="V30" s="290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291"/>
      <c r="B31" s="291"/>
      <c r="C31" s="291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2"/>
      <c r="P31" s="288" t="s">
        <v>40</v>
      </c>
      <c r="Q31" s="289"/>
      <c r="R31" s="289"/>
      <c r="S31" s="289"/>
      <c r="T31" s="289"/>
      <c r="U31" s="289"/>
      <c r="V31" s="290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4" t="s">
        <v>104</v>
      </c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62"/>
      <c r="AB32" s="62"/>
      <c r="AC32" s="62"/>
    </row>
    <row r="33" spans="1:68" ht="14.25" hidden="1" customHeight="1" x14ac:dyDescent="0.25">
      <c r="A33" s="302" t="s">
        <v>80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02"/>
      <c r="U33" s="302"/>
      <c r="V33" s="302"/>
      <c r="W33" s="302"/>
      <c r="X33" s="302"/>
      <c r="Y33" s="302"/>
      <c r="Z33" s="302"/>
      <c r="AA33" s="63"/>
      <c r="AB33" s="63"/>
      <c r="AC33" s="63"/>
    </row>
    <row r="34" spans="1:68" ht="16.5" hidden="1" customHeight="1" x14ac:dyDescent="0.25">
      <c r="A34" s="60" t="s">
        <v>105</v>
      </c>
      <c r="B34" s="60" t="s">
        <v>106</v>
      </c>
      <c r="C34" s="34">
        <v>4301071099</v>
      </c>
      <c r="D34" s="284">
        <v>4607111039019</v>
      </c>
      <c r="E34" s="284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8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108</v>
      </c>
      <c r="B35" s="60" t="s">
        <v>109</v>
      </c>
      <c r="C35" s="34">
        <v>4301071100</v>
      </c>
      <c r="D35" s="284">
        <v>4607111038708</v>
      </c>
      <c r="E35" s="284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8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2"/>
      <c r="P36" s="288" t="s">
        <v>40</v>
      </c>
      <c r="Q36" s="289"/>
      <c r="R36" s="289"/>
      <c r="S36" s="289"/>
      <c r="T36" s="289"/>
      <c r="U36" s="289"/>
      <c r="V36" s="290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2"/>
      <c r="P37" s="288" t="s">
        <v>40</v>
      </c>
      <c r="Q37" s="289"/>
      <c r="R37" s="289"/>
      <c r="S37" s="289"/>
      <c r="T37" s="289"/>
      <c r="U37" s="289"/>
      <c r="V37" s="290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13" t="s">
        <v>45</v>
      </c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52"/>
      <c r="AB38" s="52"/>
      <c r="AC38" s="52"/>
    </row>
    <row r="39" spans="1:68" ht="16.5" hidden="1" customHeight="1" x14ac:dyDescent="0.25">
      <c r="A39" s="314" t="s">
        <v>110</v>
      </c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62"/>
      <c r="AB39" s="62"/>
      <c r="AC39" s="62"/>
    </row>
    <row r="40" spans="1:68" ht="14.25" hidden="1" customHeight="1" x14ac:dyDescent="0.25">
      <c r="A40" s="302" t="s">
        <v>111</v>
      </c>
      <c r="B40" s="302"/>
      <c r="C40" s="302"/>
      <c r="D40" s="302"/>
      <c r="E40" s="302"/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63"/>
      <c r="AB40" s="63"/>
      <c r="AC40" s="63"/>
    </row>
    <row r="41" spans="1:68" ht="27" hidden="1" customHeight="1" x14ac:dyDescent="0.25">
      <c r="A41" s="60" t="s">
        <v>112</v>
      </c>
      <c r="B41" s="60" t="s">
        <v>113</v>
      </c>
      <c r="C41" s="34">
        <v>4301132190</v>
      </c>
      <c r="D41" s="284">
        <v>4607111036537</v>
      </c>
      <c r="E41" s="284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8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hidden="1" customHeight="1" x14ac:dyDescent="0.25">
      <c r="A42" s="60" t="s">
        <v>119</v>
      </c>
      <c r="B42" s="60" t="s">
        <v>120</v>
      </c>
      <c r="C42" s="34">
        <v>4301132188</v>
      </c>
      <c r="D42" s="284">
        <v>4607111036605</v>
      </c>
      <c r="E42" s="284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8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hidden="1" x14ac:dyDescent="0.2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292"/>
      <c r="P43" s="288" t="s">
        <v>40</v>
      </c>
      <c r="Q43" s="289"/>
      <c r="R43" s="289"/>
      <c r="S43" s="289"/>
      <c r="T43" s="289"/>
      <c r="U43" s="289"/>
      <c r="V43" s="290"/>
      <c r="W43" s="40" t="s">
        <v>39</v>
      </c>
      <c r="X43" s="41">
        <f>IFERROR(SUM(X41:X42),"0")</f>
        <v>0</v>
      </c>
      <c r="Y43" s="41">
        <f>IFERROR(SUM(Y41:Y42),"0")</f>
        <v>0</v>
      </c>
      <c r="Z43" s="41">
        <f>IFERROR(IF(Z41="",0,Z41),"0")+IFERROR(IF(Z42="",0,Z42),"0")</f>
        <v>0</v>
      </c>
      <c r="AA43" s="64"/>
      <c r="AB43" s="64"/>
      <c r="AC43" s="64"/>
    </row>
    <row r="44" spans="1:68" hidden="1" x14ac:dyDescent="0.2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2"/>
      <c r="P44" s="288" t="s">
        <v>40</v>
      </c>
      <c r="Q44" s="289"/>
      <c r="R44" s="289"/>
      <c r="S44" s="289"/>
      <c r="T44" s="289"/>
      <c r="U44" s="289"/>
      <c r="V44" s="290"/>
      <c r="W44" s="40" t="s">
        <v>0</v>
      </c>
      <c r="X44" s="41">
        <f>IFERROR(SUMPRODUCT(X41:X42*H41:H42),"0")</f>
        <v>0</v>
      </c>
      <c r="Y44" s="41">
        <f>IFERROR(SUMPRODUCT(Y41:Y42*H41:H42),"0")</f>
        <v>0</v>
      </c>
      <c r="Z44" s="40"/>
      <c r="AA44" s="64"/>
      <c r="AB44" s="64"/>
      <c r="AC44" s="64"/>
    </row>
    <row r="45" spans="1:68" ht="16.5" hidden="1" customHeight="1" x14ac:dyDescent="0.25">
      <c r="A45" s="314" t="s">
        <v>121</v>
      </c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62"/>
      <c r="AB45" s="62"/>
      <c r="AC45" s="62"/>
    </row>
    <row r="46" spans="1:68" ht="14.25" hidden="1" customHeight="1" x14ac:dyDescent="0.25">
      <c r="A46" s="302" t="s">
        <v>80</v>
      </c>
      <c r="B46" s="302"/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  <c r="AA46" s="63"/>
      <c r="AB46" s="63"/>
      <c r="AC46" s="63"/>
    </row>
    <row r="47" spans="1:68" ht="27" hidden="1" customHeight="1" x14ac:dyDescent="0.25">
      <c r="A47" s="60" t="s">
        <v>122</v>
      </c>
      <c r="B47" s="60" t="s">
        <v>123</v>
      </c>
      <c r="C47" s="34">
        <v>4301071090</v>
      </c>
      <c r="D47" s="284">
        <v>4620207490075</v>
      </c>
      <c r="E47" s="284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8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125</v>
      </c>
      <c r="B48" s="60" t="s">
        <v>126</v>
      </c>
      <c r="C48" s="34">
        <v>4301071092</v>
      </c>
      <c r="D48" s="284">
        <v>4620207490174</v>
      </c>
      <c r="E48" s="284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8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idden="1" x14ac:dyDescent="0.2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291"/>
      <c r="N49" s="291"/>
      <c r="O49" s="292"/>
      <c r="P49" s="288" t="s">
        <v>40</v>
      </c>
      <c r="Q49" s="289"/>
      <c r="R49" s="289"/>
      <c r="S49" s="289"/>
      <c r="T49" s="289"/>
      <c r="U49" s="289"/>
      <c r="V49" s="290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hidden="1" x14ac:dyDescent="0.2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292"/>
      <c r="P50" s="288" t="s">
        <v>40</v>
      </c>
      <c r="Q50" s="289"/>
      <c r="R50" s="289"/>
      <c r="S50" s="289"/>
      <c r="T50" s="289"/>
      <c r="U50" s="289"/>
      <c r="V50" s="290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hidden="1" customHeight="1" x14ac:dyDescent="0.25">
      <c r="A51" s="314" t="s">
        <v>128</v>
      </c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62"/>
      <c r="AB51" s="62"/>
      <c r="AC51" s="62"/>
    </row>
    <row r="52" spans="1:68" ht="14.25" hidden="1" customHeight="1" x14ac:dyDescent="0.25">
      <c r="A52" s="302" t="s">
        <v>80</v>
      </c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63"/>
      <c r="AB52" s="63"/>
      <c r="AC52" s="63"/>
    </row>
    <row r="53" spans="1:68" ht="27" hidden="1" customHeight="1" x14ac:dyDescent="0.25">
      <c r="A53" s="60" t="s">
        <v>129</v>
      </c>
      <c r="B53" s="60" t="s">
        <v>130</v>
      </c>
      <c r="C53" s="34">
        <v>4301071044</v>
      </c>
      <c r="D53" s="284">
        <v>4607111039385</v>
      </c>
      <c r="E53" s="284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132</v>
      </c>
      <c r="B54" s="60" t="s">
        <v>133</v>
      </c>
      <c r="C54" s="34">
        <v>4301071031</v>
      </c>
      <c r="D54" s="284">
        <v>4607111038982</v>
      </c>
      <c r="E54" s="284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135</v>
      </c>
      <c r="B55" s="60" t="s">
        <v>136</v>
      </c>
      <c r="C55" s="34">
        <v>4301071046</v>
      </c>
      <c r="D55" s="284">
        <v>4607111039354</v>
      </c>
      <c r="E55" s="284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137</v>
      </c>
      <c r="B56" s="60" t="s">
        <v>138</v>
      </c>
      <c r="C56" s="34">
        <v>4301071047</v>
      </c>
      <c r="D56" s="284">
        <v>4607111039330</v>
      </c>
      <c r="E56" s="284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idden="1" x14ac:dyDescent="0.2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2"/>
      <c r="P57" s="288" t="s">
        <v>40</v>
      </c>
      <c r="Q57" s="289"/>
      <c r="R57" s="289"/>
      <c r="S57" s="289"/>
      <c r="T57" s="289"/>
      <c r="U57" s="289"/>
      <c r="V57" s="290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hidden="1" x14ac:dyDescent="0.2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2"/>
      <c r="P58" s="288" t="s">
        <v>40</v>
      </c>
      <c r="Q58" s="289"/>
      <c r="R58" s="289"/>
      <c r="S58" s="289"/>
      <c r="T58" s="289"/>
      <c r="U58" s="289"/>
      <c r="V58" s="290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hidden="1" customHeight="1" x14ac:dyDescent="0.25">
      <c r="A59" s="314" t="s">
        <v>139</v>
      </c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4"/>
      <c r="AA59" s="62"/>
      <c r="AB59" s="62"/>
      <c r="AC59" s="62"/>
    </row>
    <row r="60" spans="1:68" ht="14.25" hidden="1" customHeight="1" x14ac:dyDescent="0.25">
      <c r="A60" s="302" t="s">
        <v>111</v>
      </c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63"/>
      <c r="AB60" s="63"/>
      <c r="AC60" s="63"/>
    </row>
    <row r="61" spans="1:68" ht="27" hidden="1" customHeight="1" x14ac:dyDescent="0.25">
      <c r="A61" s="60" t="s">
        <v>140</v>
      </c>
      <c r="B61" s="60" t="s">
        <v>141</v>
      </c>
      <c r="C61" s="34">
        <v>4301132194</v>
      </c>
      <c r="D61" s="284">
        <v>4607111039712</v>
      </c>
      <c r="E61" s="284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7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2"/>
      <c r="P62" s="288" t="s">
        <v>40</v>
      </c>
      <c r="Q62" s="289"/>
      <c r="R62" s="289"/>
      <c r="S62" s="289"/>
      <c r="T62" s="289"/>
      <c r="U62" s="289"/>
      <c r="V62" s="290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2"/>
      <c r="P63" s="288" t="s">
        <v>40</v>
      </c>
      <c r="Q63" s="289"/>
      <c r="R63" s="289"/>
      <c r="S63" s="289"/>
      <c r="T63" s="289"/>
      <c r="U63" s="289"/>
      <c r="V63" s="290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02" t="s">
        <v>143</v>
      </c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63"/>
      <c r="AB64" s="63"/>
      <c r="AC64" s="63"/>
    </row>
    <row r="65" spans="1:68" ht="16.5" hidden="1" customHeight="1" x14ac:dyDescent="0.25">
      <c r="A65" s="60" t="s">
        <v>144</v>
      </c>
      <c r="B65" s="60" t="s">
        <v>145</v>
      </c>
      <c r="C65" s="34">
        <v>4301136015</v>
      </c>
      <c r="D65" s="284">
        <v>4607111037398</v>
      </c>
      <c r="E65" s="284"/>
      <c r="F65" s="59">
        <v>0.09</v>
      </c>
      <c r="G65" s="35">
        <v>24</v>
      </c>
      <c r="H65" s="59">
        <v>2.16</v>
      </c>
      <c r="I65" s="59">
        <v>4.0199999999999996</v>
      </c>
      <c r="J65" s="35">
        <v>126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6"/>
      <c r="R65" s="286"/>
      <c r="S65" s="286"/>
      <c r="T65" s="287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IFERROR(IF(X65="","",X65*0.00936),"")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idden="1" x14ac:dyDescent="0.2">
      <c r="A66" s="291"/>
      <c r="B66" s="291"/>
      <c r="C66" s="291"/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292"/>
      <c r="P66" s="288" t="s">
        <v>40</v>
      </c>
      <c r="Q66" s="289"/>
      <c r="R66" s="289"/>
      <c r="S66" s="289"/>
      <c r="T66" s="289"/>
      <c r="U66" s="289"/>
      <c r="V66" s="290"/>
      <c r="W66" s="40" t="s">
        <v>39</v>
      </c>
      <c r="X66" s="41">
        <f>IFERROR(SUM(X65:X65),"0")</f>
        <v>0</v>
      </c>
      <c r="Y66" s="41">
        <f>IFERROR(SUM(Y65:Y65),"0")</f>
        <v>0</v>
      </c>
      <c r="Z66" s="41">
        <f>IFERROR(IF(Z65="",0,Z65),"0")</f>
        <v>0</v>
      </c>
      <c r="AA66" s="64"/>
      <c r="AB66" s="64"/>
      <c r="AC66" s="64"/>
    </row>
    <row r="67" spans="1:68" hidden="1" x14ac:dyDescent="0.2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2"/>
      <c r="P67" s="288" t="s">
        <v>40</v>
      </c>
      <c r="Q67" s="289"/>
      <c r="R67" s="289"/>
      <c r="S67" s="289"/>
      <c r="T67" s="289"/>
      <c r="U67" s="289"/>
      <c r="V67" s="290"/>
      <c r="W67" s="40" t="s">
        <v>0</v>
      </c>
      <c r="X67" s="41">
        <f>IFERROR(SUMPRODUCT(X65:X65*H65:H65),"0")</f>
        <v>0</v>
      </c>
      <c r="Y67" s="41">
        <f>IFERROR(SUMPRODUCT(Y65:Y65*H65:H65),"0")</f>
        <v>0</v>
      </c>
      <c r="Z67" s="40"/>
      <c r="AA67" s="64"/>
      <c r="AB67" s="64"/>
      <c r="AC67" s="64"/>
    </row>
    <row r="68" spans="1:68" ht="14.25" hidden="1" customHeight="1" x14ac:dyDescent="0.25">
      <c r="A68" s="302" t="s">
        <v>147</v>
      </c>
      <c r="B68" s="302"/>
      <c r="C68" s="302"/>
      <c r="D68" s="302"/>
      <c r="E68" s="302"/>
      <c r="F68" s="302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63"/>
      <c r="AB68" s="63"/>
      <c r="AC68" s="63"/>
    </row>
    <row r="69" spans="1:68" ht="27" hidden="1" customHeight="1" x14ac:dyDescent="0.25">
      <c r="A69" s="60" t="s">
        <v>148</v>
      </c>
      <c r="B69" s="60" t="s">
        <v>149</v>
      </c>
      <c r="C69" s="34">
        <v>4301135664</v>
      </c>
      <c r="D69" s="284">
        <v>4607111039705</v>
      </c>
      <c r="E69" s="284"/>
      <c r="F69" s="59">
        <v>0.2</v>
      </c>
      <c r="G69" s="35">
        <v>6</v>
      </c>
      <c r="H69" s="59">
        <v>1.2</v>
      </c>
      <c r="I69" s="59">
        <v>1.56</v>
      </c>
      <c r="J69" s="35">
        <v>140</v>
      </c>
      <c r="K69" s="35" t="s">
        <v>116</v>
      </c>
      <c r="L69" s="35" t="s">
        <v>86</v>
      </c>
      <c r="M69" s="36" t="s">
        <v>84</v>
      </c>
      <c r="N69" s="36"/>
      <c r="O69" s="35">
        <v>365</v>
      </c>
      <c r="P69" s="37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6"/>
      <c r="R69" s="286"/>
      <c r="S69" s="286"/>
      <c r="T69" s="287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IFERROR(IF(X69="","",X69*0.00941),"")</f>
        <v>0</v>
      </c>
      <c r="AA69" s="65" t="s">
        <v>46</v>
      </c>
      <c r="AB69" s="66" t="s">
        <v>46</v>
      </c>
      <c r="AC69" s="124" t="s">
        <v>146</v>
      </c>
      <c r="AG69" s="78"/>
      <c r="AJ69" s="82" t="s">
        <v>87</v>
      </c>
      <c r="AK69" s="82">
        <v>1</v>
      </c>
      <c r="BB69" s="125" t="s">
        <v>115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ht="27" hidden="1" customHeight="1" x14ac:dyDescent="0.25">
      <c r="A70" s="60" t="s">
        <v>150</v>
      </c>
      <c r="B70" s="60" t="s">
        <v>151</v>
      </c>
      <c r="C70" s="34">
        <v>4301135665</v>
      </c>
      <c r="D70" s="284">
        <v>4607111039729</v>
      </c>
      <c r="E70" s="284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7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6"/>
      <c r="R70" s="286"/>
      <c r="S70" s="286"/>
      <c r="T70" s="287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152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153</v>
      </c>
      <c r="B71" s="60" t="s">
        <v>154</v>
      </c>
      <c r="C71" s="34">
        <v>4301135702</v>
      </c>
      <c r="D71" s="284">
        <v>4620207490228</v>
      </c>
      <c r="E71" s="284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7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6"/>
      <c r="R71" s="286"/>
      <c r="S71" s="286"/>
      <c r="T71" s="287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152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idden="1" x14ac:dyDescent="0.2">
      <c r="A72" s="291"/>
      <c r="B72" s="291"/>
      <c r="C72" s="291"/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2"/>
      <c r="P72" s="288" t="s">
        <v>40</v>
      </c>
      <c r="Q72" s="289"/>
      <c r="R72" s="289"/>
      <c r="S72" s="289"/>
      <c r="T72" s="289"/>
      <c r="U72" s="289"/>
      <c r="V72" s="290"/>
      <c r="W72" s="40" t="s">
        <v>39</v>
      </c>
      <c r="X72" s="41">
        <f>IFERROR(SUM(X69:X71),"0")</f>
        <v>0</v>
      </c>
      <c r="Y72" s="41">
        <f>IFERROR(SUM(Y69:Y71),"0")</f>
        <v>0</v>
      </c>
      <c r="Z72" s="41">
        <f>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2"/>
      <c r="P73" s="288" t="s">
        <v>40</v>
      </c>
      <c r="Q73" s="289"/>
      <c r="R73" s="289"/>
      <c r="S73" s="289"/>
      <c r="T73" s="289"/>
      <c r="U73" s="289"/>
      <c r="V73" s="290"/>
      <c r="W73" s="40" t="s">
        <v>0</v>
      </c>
      <c r="X73" s="41">
        <f>IFERROR(SUMPRODUCT(X69:X71*H69:H71),"0")</f>
        <v>0</v>
      </c>
      <c r="Y73" s="41">
        <f>IFERROR(SUMPRODUCT(Y69:Y71*H69:H71),"0")</f>
        <v>0</v>
      </c>
      <c r="Z73" s="40"/>
      <c r="AA73" s="64"/>
      <c r="AB73" s="64"/>
      <c r="AC73" s="64"/>
    </row>
    <row r="74" spans="1:68" ht="16.5" hidden="1" customHeight="1" x14ac:dyDescent="0.25">
      <c r="A74" s="314" t="s">
        <v>155</v>
      </c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4"/>
      <c r="AA74" s="62"/>
      <c r="AB74" s="62"/>
      <c r="AC74" s="62"/>
    </row>
    <row r="75" spans="1:68" ht="14.25" hidden="1" customHeight="1" x14ac:dyDescent="0.25">
      <c r="A75" s="302" t="s">
        <v>80</v>
      </c>
      <c r="B75" s="302"/>
      <c r="C75" s="302"/>
      <c r="D75" s="302"/>
      <c r="E75" s="302"/>
      <c r="F75" s="302"/>
      <c r="G75" s="302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63"/>
      <c r="AB75" s="63"/>
      <c r="AC75" s="63"/>
    </row>
    <row r="76" spans="1:68" ht="27" hidden="1" customHeight="1" x14ac:dyDescent="0.25">
      <c r="A76" s="60" t="s">
        <v>156</v>
      </c>
      <c r="B76" s="60" t="s">
        <v>157</v>
      </c>
      <c r="C76" s="34">
        <v>4301070977</v>
      </c>
      <c r="D76" s="284">
        <v>4607111037411</v>
      </c>
      <c r="E76" s="284"/>
      <c r="F76" s="59">
        <v>2.7</v>
      </c>
      <c r="G76" s="35">
        <v>1</v>
      </c>
      <c r="H76" s="59">
        <v>2.7</v>
      </c>
      <c r="I76" s="59">
        <v>2.8132000000000001</v>
      </c>
      <c r="J76" s="35">
        <v>234</v>
      </c>
      <c r="K76" s="35" t="s">
        <v>159</v>
      </c>
      <c r="L76" s="35" t="s">
        <v>86</v>
      </c>
      <c r="M76" s="36" t="s">
        <v>84</v>
      </c>
      <c r="N76" s="36"/>
      <c r="O76" s="35">
        <v>180</v>
      </c>
      <c r="P76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6"/>
      <c r="R76" s="286"/>
      <c r="S76" s="286"/>
      <c r="T76" s="287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IFERROR(IF(X76="","",X76*0.00502),"")</f>
        <v>0</v>
      </c>
      <c r="AA76" s="65" t="s">
        <v>46</v>
      </c>
      <c r="AB76" s="66" t="s">
        <v>46</v>
      </c>
      <c r="AC76" s="130" t="s">
        <v>158</v>
      </c>
      <c r="AG76" s="78"/>
      <c r="AJ76" s="82" t="s">
        <v>87</v>
      </c>
      <c r="AK76" s="82">
        <v>1</v>
      </c>
      <c r="BB76" s="131" t="s">
        <v>70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160</v>
      </c>
      <c r="B77" s="60" t="s">
        <v>161</v>
      </c>
      <c r="C77" s="34">
        <v>4301070981</v>
      </c>
      <c r="D77" s="284">
        <v>4607111036728</v>
      </c>
      <c r="E77" s="284"/>
      <c r="F77" s="59">
        <v>5</v>
      </c>
      <c r="G77" s="35">
        <v>1</v>
      </c>
      <c r="H77" s="59">
        <v>5</v>
      </c>
      <c r="I77" s="59">
        <v>5.2131999999999996</v>
      </c>
      <c r="J77" s="35">
        <v>144</v>
      </c>
      <c r="K77" s="35" t="s">
        <v>85</v>
      </c>
      <c r="L77" s="35" t="s">
        <v>117</v>
      </c>
      <c r="M77" s="36" t="s">
        <v>84</v>
      </c>
      <c r="N77" s="36"/>
      <c r="O77" s="35">
        <v>180</v>
      </c>
      <c r="P77" s="37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6"/>
      <c r="R77" s="286"/>
      <c r="S77" s="286"/>
      <c r="T77" s="287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IFERROR(IF(X77="","",X77*0.00866),"")</f>
        <v>0</v>
      </c>
      <c r="AA77" s="65" t="s">
        <v>46</v>
      </c>
      <c r="AB77" s="66" t="s">
        <v>46</v>
      </c>
      <c r="AC77" s="132" t="s">
        <v>158</v>
      </c>
      <c r="AG77" s="78"/>
      <c r="AJ77" s="82" t="s">
        <v>118</v>
      </c>
      <c r="AK77" s="82">
        <v>12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idden="1" x14ac:dyDescent="0.2">
      <c r="A78" s="291"/>
      <c r="B78" s="291"/>
      <c r="C78" s="291"/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2"/>
      <c r="P78" s="288" t="s">
        <v>40</v>
      </c>
      <c r="Q78" s="289"/>
      <c r="R78" s="289"/>
      <c r="S78" s="289"/>
      <c r="T78" s="289"/>
      <c r="U78" s="289"/>
      <c r="V78" s="290"/>
      <c r="W78" s="40" t="s">
        <v>39</v>
      </c>
      <c r="X78" s="41">
        <f>IFERROR(SUM(X76:X77),"0")</f>
        <v>0</v>
      </c>
      <c r="Y78" s="41">
        <f>IFERROR(SUM(Y76:Y77),"0")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288" t="s">
        <v>40</v>
      </c>
      <c r="Q79" s="289"/>
      <c r="R79" s="289"/>
      <c r="S79" s="289"/>
      <c r="T79" s="289"/>
      <c r="U79" s="289"/>
      <c r="V79" s="290"/>
      <c r="W79" s="40" t="s">
        <v>0</v>
      </c>
      <c r="X79" s="41">
        <f>IFERROR(SUMPRODUCT(X76:X77*H76:H77),"0")</f>
        <v>0</v>
      </c>
      <c r="Y79" s="41">
        <f>IFERROR(SUMPRODUCT(Y76:Y77*H76:H77),"0")</f>
        <v>0</v>
      </c>
      <c r="Z79" s="40"/>
      <c r="AA79" s="64"/>
      <c r="AB79" s="64"/>
      <c r="AC79" s="64"/>
    </row>
    <row r="80" spans="1:68" ht="16.5" hidden="1" customHeight="1" x14ac:dyDescent="0.25">
      <c r="A80" s="314" t="s">
        <v>162</v>
      </c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14"/>
      <c r="V80" s="314"/>
      <c r="W80" s="314"/>
      <c r="X80" s="314"/>
      <c r="Y80" s="314"/>
      <c r="Z80" s="314"/>
      <c r="AA80" s="62"/>
      <c r="AB80" s="62"/>
      <c r="AC80" s="62"/>
    </row>
    <row r="81" spans="1:68" ht="14.25" hidden="1" customHeight="1" x14ac:dyDescent="0.25">
      <c r="A81" s="302" t="s">
        <v>147</v>
      </c>
      <c r="B81" s="302"/>
      <c r="C81" s="302"/>
      <c r="D81" s="302"/>
      <c r="E81" s="302"/>
      <c r="F81" s="302"/>
      <c r="G81" s="302"/>
      <c r="H81" s="302"/>
      <c r="I81" s="302"/>
      <c r="J81" s="302"/>
      <c r="K81" s="302"/>
      <c r="L81" s="302"/>
      <c r="M81" s="302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63"/>
      <c r="AB81" s="63"/>
      <c r="AC81" s="63"/>
    </row>
    <row r="82" spans="1:68" ht="27" hidden="1" customHeight="1" x14ac:dyDescent="0.25">
      <c r="A82" s="60" t="s">
        <v>163</v>
      </c>
      <c r="B82" s="60" t="s">
        <v>164</v>
      </c>
      <c r="C82" s="34">
        <v>4301135574</v>
      </c>
      <c r="D82" s="284">
        <v>4607111033659</v>
      </c>
      <c r="E82" s="284"/>
      <c r="F82" s="59">
        <v>0.3</v>
      </c>
      <c r="G82" s="35">
        <v>12</v>
      </c>
      <c r="H82" s="59">
        <v>3.6</v>
      </c>
      <c r="I82" s="59">
        <v>4.3036000000000003</v>
      </c>
      <c r="J82" s="35">
        <v>70</v>
      </c>
      <c r="K82" s="35" t="s">
        <v>116</v>
      </c>
      <c r="L82" s="35" t="s">
        <v>117</v>
      </c>
      <c r="M82" s="36" t="s">
        <v>84</v>
      </c>
      <c r="N82" s="36"/>
      <c r="O82" s="35">
        <v>180</v>
      </c>
      <c r="P82" s="37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6"/>
      <c r="R82" s="286"/>
      <c r="S82" s="286"/>
      <c r="T82" s="287"/>
      <c r="U82" s="37" t="s">
        <v>46</v>
      </c>
      <c r="V82" s="37" t="s">
        <v>46</v>
      </c>
      <c r="W82" s="38" t="s">
        <v>39</v>
      </c>
      <c r="X82" s="56">
        <v>0</v>
      </c>
      <c r="Y82" s="53">
        <f>IFERROR(IF(X82="","",X82),"")</f>
        <v>0</v>
      </c>
      <c r="Z82" s="39">
        <f>IFERROR(IF(X82="","",X82*0.01788),"")</f>
        <v>0</v>
      </c>
      <c r="AA82" s="65" t="s">
        <v>46</v>
      </c>
      <c r="AB82" s="66" t="s">
        <v>46</v>
      </c>
      <c r="AC82" s="134" t="s">
        <v>165</v>
      </c>
      <c r="AG82" s="78"/>
      <c r="AJ82" s="82" t="s">
        <v>118</v>
      </c>
      <c r="AK82" s="82">
        <v>14</v>
      </c>
      <c r="BB82" s="135" t="s">
        <v>115</v>
      </c>
      <c r="BM82" s="78">
        <f>IFERROR(X82*I82,"0")</f>
        <v>0</v>
      </c>
      <c r="BN82" s="78">
        <f>IFERROR(Y82*I82,"0")</f>
        <v>0</v>
      </c>
      <c r="BO82" s="78">
        <f>IFERROR(X82/J82,"0")</f>
        <v>0</v>
      </c>
      <c r="BP82" s="78">
        <f>IFERROR(Y82/J82,"0")</f>
        <v>0</v>
      </c>
    </row>
    <row r="83" spans="1:68" hidden="1" x14ac:dyDescent="0.2">
      <c r="A83" s="291"/>
      <c r="B83" s="291"/>
      <c r="C83" s="291"/>
      <c r="D83" s="291"/>
      <c r="E83" s="291"/>
      <c r="F83" s="291"/>
      <c r="G83" s="291"/>
      <c r="H83" s="291"/>
      <c r="I83" s="291"/>
      <c r="J83" s="291"/>
      <c r="K83" s="291"/>
      <c r="L83" s="291"/>
      <c r="M83" s="291"/>
      <c r="N83" s="291"/>
      <c r="O83" s="292"/>
      <c r="P83" s="288" t="s">
        <v>40</v>
      </c>
      <c r="Q83" s="289"/>
      <c r="R83" s="289"/>
      <c r="S83" s="289"/>
      <c r="T83" s="289"/>
      <c r="U83" s="289"/>
      <c r="V83" s="290"/>
      <c r="W83" s="40" t="s">
        <v>39</v>
      </c>
      <c r="X83" s="41">
        <f>IFERROR(SUM(X82:X82),"0")</f>
        <v>0</v>
      </c>
      <c r="Y83" s="41">
        <f>IFERROR(SUM(Y82:Y82),"0")</f>
        <v>0</v>
      </c>
      <c r="Z83" s="41">
        <f>IFERROR(IF(Z82="",0,Z82),"0")</f>
        <v>0</v>
      </c>
      <c r="AA83" s="64"/>
      <c r="AB83" s="64"/>
      <c r="AC83" s="64"/>
    </row>
    <row r="84" spans="1:68" hidden="1" x14ac:dyDescent="0.2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291"/>
      <c r="N84" s="291"/>
      <c r="O84" s="292"/>
      <c r="P84" s="288" t="s">
        <v>40</v>
      </c>
      <c r="Q84" s="289"/>
      <c r="R84" s="289"/>
      <c r="S84" s="289"/>
      <c r="T84" s="289"/>
      <c r="U84" s="289"/>
      <c r="V84" s="290"/>
      <c r="W84" s="40" t="s">
        <v>0</v>
      </c>
      <c r="X84" s="41">
        <f>IFERROR(SUMPRODUCT(X82:X82*H82:H82),"0")</f>
        <v>0</v>
      </c>
      <c r="Y84" s="41">
        <f>IFERROR(SUMPRODUCT(Y82:Y82*H82:H82),"0")</f>
        <v>0</v>
      </c>
      <c r="Z84" s="40"/>
      <c r="AA84" s="64"/>
      <c r="AB84" s="64"/>
      <c r="AC84" s="64"/>
    </row>
    <row r="85" spans="1:68" ht="16.5" hidden="1" customHeight="1" x14ac:dyDescent="0.25">
      <c r="A85" s="314" t="s">
        <v>166</v>
      </c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14"/>
      <c r="W85" s="314"/>
      <c r="X85" s="314"/>
      <c r="Y85" s="314"/>
      <c r="Z85" s="314"/>
      <c r="AA85" s="62"/>
      <c r="AB85" s="62"/>
      <c r="AC85" s="62"/>
    </row>
    <row r="86" spans="1:68" ht="14.25" hidden="1" customHeight="1" x14ac:dyDescent="0.25">
      <c r="A86" s="302" t="s">
        <v>167</v>
      </c>
      <c r="B86" s="302"/>
      <c r="C86" s="302"/>
      <c r="D86" s="302"/>
      <c r="E86" s="302"/>
      <c r="F86" s="302"/>
      <c r="G86" s="302"/>
      <c r="H86" s="302"/>
      <c r="I86" s="302"/>
      <c r="J86" s="302"/>
      <c r="K86" s="302"/>
      <c r="L86" s="302"/>
      <c r="M86" s="302"/>
      <c r="N86" s="302"/>
      <c r="O86" s="302"/>
      <c r="P86" s="302"/>
      <c r="Q86" s="302"/>
      <c r="R86" s="302"/>
      <c r="S86" s="302"/>
      <c r="T86" s="302"/>
      <c r="U86" s="302"/>
      <c r="V86" s="302"/>
      <c r="W86" s="302"/>
      <c r="X86" s="302"/>
      <c r="Y86" s="302"/>
      <c r="Z86" s="302"/>
      <c r="AA86" s="63"/>
      <c r="AB86" s="63"/>
      <c r="AC86" s="63"/>
    </row>
    <row r="87" spans="1:68" ht="27" customHeight="1" x14ac:dyDescent="0.25">
      <c r="A87" s="60" t="s">
        <v>168</v>
      </c>
      <c r="B87" s="60" t="s">
        <v>169</v>
      </c>
      <c r="C87" s="34">
        <v>4301131047</v>
      </c>
      <c r="D87" s="284">
        <v>4607111034120</v>
      </c>
      <c r="E87" s="284"/>
      <c r="F87" s="59">
        <v>0.3</v>
      </c>
      <c r="G87" s="35">
        <v>12</v>
      </c>
      <c r="H87" s="59">
        <v>3.6</v>
      </c>
      <c r="I87" s="59">
        <v>4.3036000000000003</v>
      </c>
      <c r="J87" s="35">
        <v>70</v>
      </c>
      <c r="K87" s="35" t="s">
        <v>116</v>
      </c>
      <c r="L87" s="35" t="s">
        <v>117</v>
      </c>
      <c r="M87" s="36" t="s">
        <v>84</v>
      </c>
      <c r="N87" s="36"/>
      <c r="O87" s="35">
        <v>180</v>
      </c>
      <c r="P87" s="37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6"/>
      <c r="R87" s="286"/>
      <c r="S87" s="286"/>
      <c r="T87" s="287"/>
      <c r="U87" s="37" t="s">
        <v>46</v>
      </c>
      <c r="V87" s="37" t="s">
        <v>46</v>
      </c>
      <c r="W87" s="38" t="s">
        <v>39</v>
      </c>
      <c r="X87" s="56">
        <v>70</v>
      </c>
      <c r="Y87" s="53">
        <f>IFERROR(IF(X87="","",X87),"")</f>
        <v>70</v>
      </c>
      <c r="Z87" s="39">
        <f>IFERROR(IF(X87="","",X87*0.01788),"")</f>
        <v>1.2516</v>
      </c>
      <c r="AA87" s="65" t="s">
        <v>46</v>
      </c>
      <c r="AB87" s="66" t="s">
        <v>46</v>
      </c>
      <c r="AC87" s="136" t="s">
        <v>170</v>
      </c>
      <c r="AG87" s="78"/>
      <c r="AJ87" s="82" t="s">
        <v>118</v>
      </c>
      <c r="AK87" s="82">
        <v>14</v>
      </c>
      <c r="BB87" s="137" t="s">
        <v>115</v>
      </c>
      <c r="BM87" s="78">
        <f>IFERROR(X87*I87,"0")</f>
        <v>301.25200000000001</v>
      </c>
      <c r="BN87" s="78">
        <f>IFERROR(Y87*I87,"0")</f>
        <v>301.25200000000001</v>
      </c>
      <c r="BO87" s="78">
        <f>IFERROR(X87/J87,"0")</f>
        <v>1</v>
      </c>
      <c r="BP87" s="78">
        <f>IFERROR(Y87/J87,"0")</f>
        <v>1</v>
      </c>
    </row>
    <row r="88" spans="1:68" ht="27" hidden="1" customHeight="1" x14ac:dyDescent="0.25">
      <c r="A88" s="60" t="s">
        <v>171</v>
      </c>
      <c r="B88" s="60" t="s">
        <v>172</v>
      </c>
      <c r="C88" s="34">
        <v>4301131046</v>
      </c>
      <c r="D88" s="284">
        <v>4607111034137</v>
      </c>
      <c r="E88" s="284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6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6"/>
      <c r="R88" s="286"/>
      <c r="S88" s="286"/>
      <c r="T88" s="287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38" t="s">
        <v>173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x14ac:dyDescent="0.2">
      <c r="A89" s="291"/>
      <c r="B89" s="291"/>
      <c r="C89" s="291"/>
      <c r="D89" s="291"/>
      <c r="E89" s="291"/>
      <c r="F89" s="291"/>
      <c r="G89" s="291"/>
      <c r="H89" s="291"/>
      <c r="I89" s="291"/>
      <c r="J89" s="291"/>
      <c r="K89" s="291"/>
      <c r="L89" s="291"/>
      <c r="M89" s="291"/>
      <c r="N89" s="291"/>
      <c r="O89" s="292"/>
      <c r="P89" s="288" t="s">
        <v>40</v>
      </c>
      <c r="Q89" s="289"/>
      <c r="R89" s="289"/>
      <c r="S89" s="289"/>
      <c r="T89" s="289"/>
      <c r="U89" s="289"/>
      <c r="V89" s="290"/>
      <c r="W89" s="40" t="s">
        <v>39</v>
      </c>
      <c r="X89" s="41">
        <f>IFERROR(SUM(X87:X88),"0")</f>
        <v>70</v>
      </c>
      <c r="Y89" s="41">
        <f>IFERROR(SUM(Y87:Y88),"0")</f>
        <v>70</v>
      </c>
      <c r="Z89" s="41">
        <f>IFERROR(IF(Z87="",0,Z87),"0")+IFERROR(IF(Z88="",0,Z88),"0")</f>
        <v>1.2516</v>
      </c>
      <c r="AA89" s="64"/>
      <c r="AB89" s="64"/>
      <c r="AC89" s="64"/>
    </row>
    <row r="90" spans="1:68" x14ac:dyDescent="0.2">
      <c r="A90" s="291"/>
      <c r="B90" s="291"/>
      <c r="C90" s="291"/>
      <c r="D90" s="291"/>
      <c r="E90" s="291"/>
      <c r="F90" s="291"/>
      <c r="G90" s="291"/>
      <c r="H90" s="291"/>
      <c r="I90" s="291"/>
      <c r="J90" s="291"/>
      <c r="K90" s="291"/>
      <c r="L90" s="291"/>
      <c r="M90" s="291"/>
      <c r="N90" s="291"/>
      <c r="O90" s="292"/>
      <c r="P90" s="288" t="s">
        <v>40</v>
      </c>
      <c r="Q90" s="289"/>
      <c r="R90" s="289"/>
      <c r="S90" s="289"/>
      <c r="T90" s="289"/>
      <c r="U90" s="289"/>
      <c r="V90" s="290"/>
      <c r="W90" s="40" t="s">
        <v>0</v>
      </c>
      <c r="X90" s="41">
        <f>IFERROR(SUMPRODUCT(X87:X88*H87:H88),"0")</f>
        <v>252</v>
      </c>
      <c r="Y90" s="41">
        <f>IFERROR(SUMPRODUCT(Y87:Y88*H87:H88),"0")</f>
        <v>252</v>
      </c>
      <c r="Z90" s="40"/>
      <c r="AA90" s="64"/>
      <c r="AB90" s="64"/>
      <c r="AC90" s="64"/>
    </row>
    <row r="91" spans="1:68" ht="16.5" hidden="1" customHeight="1" x14ac:dyDescent="0.25">
      <c r="A91" s="314" t="s">
        <v>174</v>
      </c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62"/>
      <c r="AB91" s="62"/>
      <c r="AC91" s="62"/>
    </row>
    <row r="92" spans="1:68" ht="14.25" hidden="1" customHeight="1" x14ac:dyDescent="0.25">
      <c r="A92" s="302" t="s">
        <v>147</v>
      </c>
      <c r="B92" s="302"/>
      <c r="C92" s="302"/>
      <c r="D92" s="302"/>
      <c r="E92" s="302"/>
      <c r="F92" s="302"/>
      <c r="G92" s="302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  <c r="AA92" s="63"/>
      <c r="AB92" s="63"/>
      <c r="AC92" s="63"/>
    </row>
    <row r="93" spans="1:68" ht="27" customHeight="1" x14ac:dyDescent="0.25">
      <c r="A93" s="60" t="s">
        <v>175</v>
      </c>
      <c r="B93" s="60" t="s">
        <v>176</v>
      </c>
      <c r="C93" s="34">
        <v>4301135763</v>
      </c>
      <c r="D93" s="284">
        <v>4620207491027</v>
      </c>
      <c r="E93" s="284"/>
      <c r="F93" s="59">
        <v>0.24</v>
      </c>
      <c r="G93" s="35">
        <v>12</v>
      </c>
      <c r="H93" s="59">
        <v>2.88</v>
      </c>
      <c r="I93" s="59">
        <v>3.5836000000000001</v>
      </c>
      <c r="J93" s="35">
        <v>70</v>
      </c>
      <c r="K93" s="35" t="s">
        <v>116</v>
      </c>
      <c r="L93" s="35" t="s">
        <v>117</v>
      </c>
      <c r="M93" s="36" t="s">
        <v>84</v>
      </c>
      <c r="N93" s="36"/>
      <c r="O93" s="35">
        <v>180</v>
      </c>
      <c r="P93" s="36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6"/>
      <c r="R93" s="286"/>
      <c r="S93" s="286"/>
      <c r="T93" s="287"/>
      <c r="U93" s="37" t="s">
        <v>46</v>
      </c>
      <c r="V93" s="37" t="s">
        <v>46</v>
      </c>
      <c r="W93" s="38" t="s">
        <v>39</v>
      </c>
      <c r="X93" s="56">
        <v>70</v>
      </c>
      <c r="Y93" s="53">
        <f t="shared" ref="Y93:Y98" si="6">IFERROR(IF(X93="","",X93),"")</f>
        <v>70</v>
      </c>
      <c r="Z93" s="39">
        <f t="shared" ref="Z93:Z98" si="7">IFERROR(IF(X93="","",X93*0.01788),"")</f>
        <v>1.2516</v>
      </c>
      <c r="AA93" s="65" t="s">
        <v>46</v>
      </c>
      <c r="AB93" s="66" t="s">
        <v>46</v>
      </c>
      <c r="AC93" s="140" t="s">
        <v>165</v>
      </c>
      <c r="AG93" s="78"/>
      <c r="AJ93" s="82" t="s">
        <v>118</v>
      </c>
      <c r="AK93" s="82">
        <v>14</v>
      </c>
      <c r="BB93" s="141" t="s">
        <v>115</v>
      </c>
      <c r="BM93" s="78">
        <f t="shared" ref="BM93:BM98" si="8">IFERROR(X93*I93,"0")</f>
        <v>250.852</v>
      </c>
      <c r="BN93" s="78">
        <f t="shared" ref="BN93:BN98" si="9">IFERROR(Y93*I93,"0")</f>
        <v>250.852</v>
      </c>
      <c r="BO93" s="78">
        <f t="shared" ref="BO93:BO98" si="10">IFERROR(X93/J93,"0")</f>
        <v>1</v>
      </c>
      <c r="BP93" s="78">
        <f t="shared" ref="BP93:BP98" si="11">IFERROR(Y93/J93,"0")</f>
        <v>1</v>
      </c>
    </row>
    <row r="94" spans="1:68" ht="27" hidden="1" customHeight="1" x14ac:dyDescent="0.25">
      <c r="A94" s="60" t="s">
        <v>177</v>
      </c>
      <c r="B94" s="60" t="s">
        <v>178</v>
      </c>
      <c r="C94" s="34">
        <v>4301135914</v>
      </c>
      <c r="D94" s="284">
        <v>4620207491621</v>
      </c>
      <c r="E94" s="284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86</v>
      </c>
      <c r="M94" s="36" t="s">
        <v>84</v>
      </c>
      <c r="N94" s="36"/>
      <c r="O94" s="35">
        <v>180</v>
      </c>
      <c r="P94" s="363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6"/>
      <c r="R94" s="286"/>
      <c r="S94" s="286"/>
      <c r="T94" s="287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si="6"/>
        <v>0</v>
      </c>
      <c r="Z94" s="39">
        <f t="shared" si="7"/>
        <v>0</v>
      </c>
      <c r="AA94" s="65" t="s">
        <v>46</v>
      </c>
      <c r="AB94" s="66" t="s">
        <v>46</v>
      </c>
      <c r="AC94" s="142" t="s">
        <v>179</v>
      </c>
      <c r="AG94" s="78"/>
      <c r="AJ94" s="82" t="s">
        <v>87</v>
      </c>
      <c r="AK94" s="82">
        <v>1</v>
      </c>
      <c r="BB94" s="143" t="s">
        <v>115</v>
      </c>
      <c r="BM94" s="78">
        <f t="shared" si="8"/>
        <v>0</v>
      </c>
      <c r="BN94" s="78">
        <f t="shared" si="9"/>
        <v>0</v>
      </c>
      <c r="BO94" s="78">
        <f t="shared" si="10"/>
        <v>0</v>
      </c>
      <c r="BP94" s="78">
        <f t="shared" si="11"/>
        <v>0</v>
      </c>
    </row>
    <row r="95" spans="1:68" ht="27" hidden="1" customHeight="1" x14ac:dyDescent="0.25">
      <c r="A95" s="60" t="s">
        <v>180</v>
      </c>
      <c r="B95" s="60" t="s">
        <v>181</v>
      </c>
      <c r="C95" s="34">
        <v>4301135990</v>
      </c>
      <c r="D95" s="284">
        <v>4620207491881</v>
      </c>
      <c r="E95" s="284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86</v>
      </c>
      <c r="M95" s="36" t="s">
        <v>84</v>
      </c>
      <c r="N95" s="36"/>
      <c r="O95" s="35">
        <v>180</v>
      </c>
      <c r="P95" s="36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6"/>
      <c r="R95" s="286"/>
      <c r="S95" s="286"/>
      <c r="T95" s="287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44" t="s">
        <v>179</v>
      </c>
      <c r="AG95" s="78"/>
      <c r="AJ95" s="82" t="s">
        <v>87</v>
      </c>
      <c r="AK95" s="82">
        <v>1</v>
      </c>
      <c r="BB95" s="145" t="s">
        <v>115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hidden="1" customHeight="1" x14ac:dyDescent="0.25">
      <c r="A96" s="60" t="s">
        <v>182</v>
      </c>
      <c r="B96" s="60" t="s">
        <v>183</v>
      </c>
      <c r="C96" s="34">
        <v>4301135920</v>
      </c>
      <c r="D96" s="284">
        <v>4620207491577</v>
      </c>
      <c r="E96" s="284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86</v>
      </c>
      <c r="M96" s="36" t="s">
        <v>84</v>
      </c>
      <c r="N96" s="36"/>
      <c r="O96" s="35">
        <v>180</v>
      </c>
      <c r="P96" s="36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6"/>
      <c r="R96" s="286"/>
      <c r="S96" s="286"/>
      <c r="T96" s="287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179</v>
      </c>
      <c r="AG96" s="78"/>
      <c r="AJ96" s="82" t="s">
        <v>87</v>
      </c>
      <c r="AK96" s="82">
        <v>1</v>
      </c>
      <c r="BB96" s="147" t="s">
        <v>115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hidden="1" customHeight="1" x14ac:dyDescent="0.25">
      <c r="A97" s="60" t="s">
        <v>184</v>
      </c>
      <c r="B97" s="60" t="s">
        <v>185</v>
      </c>
      <c r="C97" s="34">
        <v>4301135984</v>
      </c>
      <c r="D97" s="284">
        <v>4620207491874</v>
      </c>
      <c r="E97" s="284"/>
      <c r="F97" s="59">
        <v>0.48</v>
      </c>
      <c r="G97" s="35">
        <v>8</v>
      </c>
      <c r="H97" s="59">
        <v>3.84</v>
      </c>
      <c r="I97" s="59">
        <v>4.4488000000000003</v>
      </c>
      <c r="J97" s="35">
        <v>70</v>
      </c>
      <c r="K97" s="35" t="s">
        <v>116</v>
      </c>
      <c r="L97" s="35" t="s">
        <v>86</v>
      </c>
      <c r="M97" s="36" t="s">
        <v>84</v>
      </c>
      <c r="N97" s="36"/>
      <c r="O97" s="35">
        <v>180</v>
      </c>
      <c r="P97" s="36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6"/>
      <c r="R97" s="286"/>
      <c r="S97" s="286"/>
      <c r="T97" s="287"/>
      <c r="U97" s="37" t="s">
        <v>46</v>
      </c>
      <c r="V97" s="37" t="s">
        <v>46</v>
      </c>
      <c r="W97" s="38" t="s">
        <v>39</v>
      </c>
      <c r="X97" s="56">
        <v>0</v>
      </c>
      <c r="Y97" s="53">
        <f t="shared" si="6"/>
        <v>0</v>
      </c>
      <c r="Z97" s="39">
        <f t="shared" si="7"/>
        <v>0</v>
      </c>
      <c r="AA97" s="65" t="s">
        <v>46</v>
      </c>
      <c r="AB97" s="66" t="s">
        <v>46</v>
      </c>
      <c r="AC97" s="148" t="s">
        <v>179</v>
      </c>
      <c r="AG97" s="78"/>
      <c r="AJ97" s="82" t="s">
        <v>87</v>
      </c>
      <c r="AK97" s="82">
        <v>1</v>
      </c>
      <c r="BB97" s="149" t="s">
        <v>115</v>
      </c>
      <c r="BM97" s="78">
        <f t="shared" si="8"/>
        <v>0</v>
      </c>
      <c r="BN97" s="78">
        <f t="shared" si="9"/>
        <v>0</v>
      </c>
      <c r="BO97" s="78">
        <f t="shared" si="10"/>
        <v>0</v>
      </c>
      <c r="BP97" s="78">
        <f t="shared" si="11"/>
        <v>0</v>
      </c>
    </row>
    <row r="98" spans="1:68" ht="27" hidden="1" customHeight="1" x14ac:dyDescent="0.25">
      <c r="A98" s="60" t="s">
        <v>186</v>
      </c>
      <c r="B98" s="60" t="s">
        <v>187</v>
      </c>
      <c r="C98" s="34">
        <v>4301135285</v>
      </c>
      <c r="D98" s="284">
        <v>4607111036407</v>
      </c>
      <c r="E98" s="284"/>
      <c r="F98" s="59">
        <v>0.3</v>
      </c>
      <c r="G98" s="35">
        <v>14</v>
      </c>
      <c r="H98" s="59">
        <v>4.2</v>
      </c>
      <c r="I98" s="59">
        <v>4.5292000000000003</v>
      </c>
      <c r="J98" s="35">
        <v>70</v>
      </c>
      <c r="K98" s="35" t="s">
        <v>116</v>
      </c>
      <c r="L98" s="35" t="s">
        <v>86</v>
      </c>
      <c r="M98" s="36" t="s">
        <v>84</v>
      </c>
      <c r="N98" s="36"/>
      <c r="O98" s="35">
        <v>180</v>
      </c>
      <c r="P98" s="36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6"/>
      <c r="R98" s="286"/>
      <c r="S98" s="286"/>
      <c r="T98" s="287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188</v>
      </c>
      <c r="AG98" s="78"/>
      <c r="AJ98" s="82" t="s">
        <v>87</v>
      </c>
      <c r="AK98" s="82">
        <v>1</v>
      </c>
      <c r="BB98" s="151" t="s">
        <v>115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x14ac:dyDescent="0.2">
      <c r="A99" s="291"/>
      <c r="B99" s="291"/>
      <c r="C99" s="291"/>
      <c r="D99" s="291"/>
      <c r="E99" s="291"/>
      <c r="F99" s="291"/>
      <c r="G99" s="291"/>
      <c r="H99" s="291"/>
      <c r="I99" s="291"/>
      <c r="J99" s="291"/>
      <c r="K99" s="291"/>
      <c r="L99" s="291"/>
      <c r="M99" s="291"/>
      <c r="N99" s="291"/>
      <c r="O99" s="292"/>
      <c r="P99" s="288" t="s">
        <v>40</v>
      </c>
      <c r="Q99" s="289"/>
      <c r="R99" s="289"/>
      <c r="S99" s="289"/>
      <c r="T99" s="289"/>
      <c r="U99" s="289"/>
      <c r="V99" s="290"/>
      <c r="W99" s="40" t="s">
        <v>39</v>
      </c>
      <c r="X99" s="41">
        <f>IFERROR(SUM(X93:X98),"0")</f>
        <v>70</v>
      </c>
      <c r="Y99" s="41">
        <f>IFERROR(SUM(Y93:Y98),"0")</f>
        <v>70</v>
      </c>
      <c r="Z99" s="41">
        <f>IFERROR(IF(Z93="",0,Z93),"0")+IFERROR(IF(Z94="",0,Z94),"0")+IFERROR(IF(Z95="",0,Z95),"0")+IFERROR(IF(Z96="",0,Z96),"0")+IFERROR(IF(Z97="",0,Z97),"0")+IFERROR(IF(Z98="",0,Z98),"0")</f>
        <v>1.2516</v>
      </c>
      <c r="AA99" s="64"/>
      <c r="AB99" s="64"/>
      <c r="AC99" s="64"/>
    </row>
    <row r="100" spans="1:68" x14ac:dyDescent="0.2">
      <c r="A100" s="291"/>
      <c r="B100" s="291"/>
      <c r="C100" s="291"/>
      <c r="D100" s="291"/>
      <c r="E100" s="291"/>
      <c r="F100" s="291"/>
      <c r="G100" s="291"/>
      <c r="H100" s="291"/>
      <c r="I100" s="291"/>
      <c r="J100" s="291"/>
      <c r="K100" s="291"/>
      <c r="L100" s="291"/>
      <c r="M100" s="291"/>
      <c r="N100" s="291"/>
      <c r="O100" s="292"/>
      <c r="P100" s="288" t="s">
        <v>40</v>
      </c>
      <c r="Q100" s="289"/>
      <c r="R100" s="289"/>
      <c r="S100" s="289"/>
      <c r="T100" s="289"/>
      <c r="U100" s="289"/>
      <c r="V100" s="290"/>
      <c r="W100" s="40" t="s">
        <v>0</v>
      </c>
      <c r="X100" s="41">
        <f>IFERROR(SUMPRODUCT(X93:X98*H93:H98),"0")</f>
        <v>201.6</v>
      </c>
      <c r="Y100" s="41">
        <f>IFERROR(SUMPRODUCT(Y93:Y98*H93:H98),"0")</f>
        <v>201.6</v>
      </c>
      <c r="Z100" s="40"/>
      <c r="AA100" s="64"/>
      <c r="AB100" s="64"/>
      <c r="AC100" s="64"/>
    </row>
    <row r="101" spans="1:68" ht="16.5" hidden="1" customHeight="1" x14ac:dyDescent="0.25">
      <c r="A101" s="314" t="s">
        <v>189</v>
      </c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  <c r="AA101" s="62"/>
      <c r="AB101" s="62"/>
      <c r="AC101" s="62"/>
    </row>
    <row r="102" spans="1:68" ht="14.25" hidden="1" customHeight="1" x14ac:dyDescent="0.25">
      <c r="A102" s="302" t="s">
        <v>143</v>
      </c>
      <c r="B102" s="302"/>
      <c r="C102" s="302"/>
      <c r="D102" s="302"/>
      <c r="E102" s="302"/>
      <c r="F102" s="302"/>
      <c r="G102" s="302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63"/>
      <c r="AB102" s="63"/>
      <c r="AC102" s="63"/>
    </row>
    <row r="103" spans="1:68" ht="27" hidden="1" customHeight="1" x14ac:dyDescent="0.25">
      <c r="A103" s="60" t="s">
        <v>190</v>
      </c>
      <c r="B103" s="60" t="s">
        <v>191</v>
      </c>
      <c r="C103" s="34">
        <v>4301136101</v>
      </c>
      <c r="D103" s="284">
        <v>4620207491652</v>
      </c>
      <c r="E103" s="284"/>
      <c r="F103" s="59">
        <v>0.09</v>
      </c>
      <c r="G103" s="35">
        <v>24</v>
      </c>
      <c r="H103" s="59">
        <v>2.16</v>
      </c>
      <c r="I103" s="59">
        <v>2.4912000000000001</v>
      </c>
      <c r="J103" s="35">
        <v>126</v>
      </c>
      <c r="K103" s="35" t="s">
        <v>116</v>
      </c>
      <c r="L103" s="35" t="s">
        <v>86</v>
      </c>
      <c r="M103" s="36" t="s">
        <v>84</v>
      </c>
      <c r="N103" s="36"/>
      <c r="O103" s="35">
        <v>180</v>
      </c>
      <c r="P103" s="36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6"/>
      <c r="R103" s="286"/>
      <c r="S103" s="286"/>
      <c r="T103" s="287"/>
      <c r="U103" s="37" t="s">
        <v>46</v>
      </c>
      <c r="V103" s="37" t="s">
        <v>46</v>
      </c>
      <c r="W103" s="38" t="s">
        <v>39</v>
      </c>
      <c r="X103" s="56">
        <v>0</v>
      </c>
      <c r="Y103" s="53">
        <f>IFERROR(IF(X103="","",X103),"")</f>
        <v>0</v>
      </c>
      <c r="Z103" s="39">
        <f>IFERROR(IF(X103="","",X103*0.00936),"")</f>
        <v>0</v>
      </c>
      <c r="AA103" s="65" t="s">
        <v>46</v>
      </c>
      <c r="AB103" s="66" t="s">
        <v>46</v>
      </c>
      <c r="AC103" s="152" t="s">
        <v>192</v>
      </c>
      <c r="AG103" s="78"/>
      <c r="AJ103" s="82" t="s">
        <v>87</v>
      </c>
      <c r="AK103" s="82">
        <v>1</v>
      </c>
      <c r="BB103" s="153" t="s">
        <v>115</v>
      </c>
      <c r="BM103" s="78">
        <f>IFERROR(X103*I103,"0")</f>
        <v>0</v>
      </c>
      <c r="BN103" s="78">
        <f>IFERROR(Y103*I103,"0")</f>
        <v>0</v>
      </c>
      <c r="BO103" s="78">
        <f>IFERROR(X103/J103,"0")</f>
        <v>0</v>
      </c>
      <c r="BP103" s="78">
        <f>IFERROR(Y103/J103,"0")</f>
        <v>0</v>
      </c>
    </row>
    <row r="104" spans="1:68" ht="27" hidden="1" customHeight="1" x14ac:dyDescent="0.25">
      <c r="A104" s="60" t="s">
        <v>193</v>
      </c>
      <c r="B104" s="60" t="s">
        <v>194</v>
      </c>
      <c r="C104" s="34">
        <v>4301136103</v>
      </c>
      <c r="D104" s="284">
        <v>4620207491645</v>
      </c>
      <c r="E104" s="284"/>
      <c r="F104" s="59">
        <v>0.36</v>
      </c>
      <c r="G104" s="35">
        <v>10</v>
      </c>
      <c r="H104" s="59">
        <v>3.6</v>
      </c>
      <c r="I104" s="59">
        <v>4.2439999999999998</v>
      </c>
      <c r="J104" s="35">
        <v>70</v>
      </c>
      <c r="K104" s="35" t="s">
        <v>116</v>
      </c>
      <c r="L104" s="35" t="s">
        <v>86</v>
      </c>
      <c r="M104" s="36" t="s">
        <v>84</v>
      </c>
      <c r="N104" s="36"/>
      <c r="O104" s="35">
        <v>180</v>
      </c>
      <c r="P104" s="362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6"/>
      <c r="R104" s="286"/>
      <c r="S104" s="286"/>
      <c r="T104" s="287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IFERROR(IF(X104="","",X104*0.01788),"")</f>
        <v>0</v>
      </c>
      <c r="AA104" s="65" t="s">
        <v>46</v>
      </c>
      <c r="AB104" s="66" t="s">
        <v>46</v>
      </c>
      <c r="AC104" s="154" t="s">
        <v>192</v>
      </c>
      <c r="AG104" s="78"/>
      <c r="AJ104" s="82" t="s">
        <v>87</v>
      </c>
      <c r="AK104" s="82">
        <v>1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idden="1" x14ac:dyDescent="0.2">
      <c r="A105" s="291"/>
      <c r="B105" s="291"/>
      <c r="C105" s="291"/>
      <c r="D105" s="291"/>
      <c r="E105" s="291"/>
      <c r="F105" s="291"/>
      <c r="G105" s="291"/>
      <c r="H105" s="291"/>
      <c r="I105" s="291"/>
      <c r="J105" s="291"/>
      <c r="K105" s="291"/>
      <c r="L105" s="291"/>
      <c r="M105" s="291"/>
      <c r="N105" s="291"/>
      <c r="O105" s="292"/>
      <c r="P105" s="288" t="s">
        <v>40</v>
      </c>
      <c r="Q105" s="289"/>
      <c r="R105" s="289"/>
      <c r="S105" s="289"/>
      <c r="T105" s="289"/>
      <c r="U105" s="289"/>
      <c r="V105" s="290"/>
      <c r="W105" s="40" t="s">
        <v>39</v>
      </c>
      <c r="X105" s="41">
        <f>IFERROR(SUM(X103:X104),"0")</f>
        <v>0</v>
      </c>
      <c r="Y105" s="41">
        <f>IFERROR(SUM(Y103:Y104),"0")</f>
        <v>0</v>
      </c>
      <c r="Z105" s="41">
        <f>IFERROR(IF(Z103="",0,Z103),"0")+IFERROR(IF(Z104="",0,Z104),"0")</f>
        <v>0</v>
      </c>
      <c r="AA105" s="64"/>
      <c r="AB105" s="64"/>
      <c r="AC105" s="64"/>
    </row>
    <row r="106" spans="1:68" hidden="1" x14ac:dyDescent="0.2">
      <c r="A106" s="291"/>
      <c r="B106" s="291"/>
      <c r="C106" s="291"/>
      <c r="D106" s="291"/>
      <c r="E106" s="291"/>
      <c r="F106" s="291"/>
      <c r="G106" s="291"/>
      <c r="H106" s="291"/>
      <c r="I106" s="291"/>
      <c r="J106" s="291"/>
      <c r="K106" s="291"/>
      <c r="L106" s="291"/>
      <c r="M106" s="291"/>
      <c r="N106" s="291"/>
      <c r="O106" s="292"/>
      <c r="P106" s="288" t="s">
        <v>40</v>
      </c>
      <c r="Q106" s="289"/>
      <c r="R106" s="289"/>
      <c r="S106" s="289"/>
      <c r="T106" s="289"/>
      <c r="U106" s="289"/>
      <c r="V106" s="290"/>
      <c r="W106" s="40" t="s">
        <v>0</v>
      </c>
      <c r="X106" s="41">
        <f>IFERROR(SUMPRODUCT(X103:X104*H103:H104),"0")</f>
        <v>0</v>
      </c>
      <c r="Y106" s="41">
        <f>IFERROR(SUMPRODUCT(Y103:Y104*H103:H104),"0")</f>
        <v>0</v>
      </c>
      <c r="Z106" s="40"/>
      <c r="AA106" s="64"/>
      <c r="AB106" s="64"/>
      <c r="AC106" s="64"/>
    </row>
    <row r="107" spans="1:68" ht="16.5" hidden="1" customHeight="1" x14ac:dyDescent="0.25">
      <c r="A107" s="314" t="s">
        <v>195</v>
      </c>
      <c r="B107" s="314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14"/>
      <c r="Z107" s="314"/>
      <c r="AA107" s="62"/>
      <c r="AB107" s="62"/>
      <c r="AC107" s="62"/>
    </row>
    <row r="108" spans="1:68" ht="14.25" hidden="1" customHeight="1" x14ac:dyDescent="0.25">
      <c r="A108" s="302" t="s">
        <v>80</v>
      </c>
      <c r="B108" s="302"/>
      <c r="C108" s="302"/>
      <c r="D108" s="302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63"/>
      <c r="AB108" s="63"/>
      <c r="AC108" s="63"/>
    </row>
    <row r="109" spans="1:68" ht="27" hidden="1" customHeight="1" x14ac:dyDescent="0.25">
      <c r="A109" s="60" t="s">
        <v>196</v>
      </c>
      <c r="B109" s="60" t="s">
        <v>197</v>
      </c>
      <c r="C109" s="34">
        <v>4301071074</v>
      </c>
      <c r="D109" s="284">
        <v>4620207491157</v>
      </c>
      <c r="E109" s="284"/>
      <c r="F109" s="59">
        <v>0.7</v>
      </c>
      <c r="G109" s="35">
        <v>10</v>
      </c>
      <c r="H109" s="59">
        <v>7</v>
      </c>
      <c r="I109" s="59">
        <v>7.28</v>
      </c>
      <c r="J109" s="35">
        <v>84</v>
      </c>
      <c r="K109" s="35" t="s">
        <v>85</v>
      </c>
      <c r="L109" s="35" t="s">
        <v>117</v>
      </c>
      <c r="M109" s="36" t="s">
        <v>84</v>
      </c>
      <c r="N109" s="36"/>
      <c r="O109" s="35">
        <v>180</v>
      </c>
      <c r="P109" s="35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6"/>
      <c r="R109" s="286"/>
      <c r="S109" s="286"/>
      <c r="T109" s="287"/>
      <c r="U109" s="37" t="s">
        <v>46</v>
      </c>
      <c r="V109" s="37" t="s">
        <v>46</v>
      </c>
      <c r="W109" s="38" t="s">
        <v>39</v>
      </c>
      <c r="X109" s="56">
        <v>0</v>
      </c>
      <c r="Y109" s="53">
        <f t="shared" ref="Y109:Y115" si="12">IFERROR(IF(X109="","",X109),"")</f>
        <v>0</v>
      </c>
      <c r="Z109" s="39">
        <f t="shared" ref="Z109:Z115" si="13">IFERROR(IF(X109="","",X109*0.0155),"")</f>
        <v>0</v>
      </c>
      <c r="AA109" s="65" t="s">
        <v>46</v>
      </c>
      <c r="AB109" s="66" t="s">
        <v>46</v>
      </c>
      <c r="AC109" s="156" t="s">
        <v>198</v>
      </c>
      <c r="AG109" s="78"/>
      <c r="AJ109" s="82" t="s">
        <v>118</v>
      </c>
      <c r="AK109" s="82">
        <v>12</v>
      </c>
      <c r="BB109" s="157" t="s">
        <v>70</v>
      </c>
      <c r="BM109" s="78">
        <f t="shared" ref="BM109:BM115" si="14">IFERROR(X109*I109,"0")</f>
        <v>0</v>
      </c>
      <c r="BN109" s="78">
        <f t="shared" ref="BN109:BN115" si="15">IFERROR(Y109*I109,"0")</f>
        <v>0</v>
      </c>
      <c r="BO109" s="78">
        <f t="shared" ref="BO109:BO115" si="16">IFERROR(X109/J109,"0")</f>
        <v>0</v>
      </c>
      <c r="BP109" s="78">
        <f t="shared" ref="BP109:BP115" si="17">IFERROR(Y109/J109,"0")</f>
        <v>0</v>
      </c>
    </row>
    <row r="110" spans="1:68" ht="27" hidden="1" customHeight="1" x14ac:dyDescent="0.25">
      <c r="A110" s="60" t="s">
        <v>199</v>
      </c>
      <c r="B110" s="60" t="s">
        <v>200</v>
      </c>
      <c r="C110" s="34">
        <v>4301071121</v>
      </c>
      <c r="D110" s="284">
        <v>4620207491393</v>
      </c>
      <c r="E110" s="284"/>
      <c r="F110" s="59">
        <v>0.4</v>
      </c>
      <c r="G110" s="35">
        <v>16</v>
      </c>
      <c r="H110" s="59">
        <v>6.4</v>
      </c>
      <c r="I110" s="59">
        <v>6.71</v>
      </c>
      <c r="J110" s="35">
        <v>84</v>
      </c>
      <c r="K110" s="35" t="s">
        <v>85</v>
      </c>
      <c r="L110" s="35" t="s">
        <v>86</v>
      </c>
      <c r="M110" s="36" t="s">
        <v>84</v>
      </c>
      <c r="N110" s="36"/>
      <c r="O110" s="35">
        <v>180</v>
      </c>
      <c r="P110" s="36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6"/>
      <c r="R110" s="286"/>
      <c r="S110" s="286"/>
      <c r="T110" s="287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si="12"/>
        <v>0</v>
      </c>
      <c r="Z110" s="39">
        <f t="shared" si="13"/>
        <v>0</v>
      </c>
      <c r="AA110" s="65" t="s">
        <v>46</v>
      </c>
      <c r="AB110" s="66" t="s">
        <v>46</v>
      </c>
      <c r="AC110" s="158" t="s">
        <v>201</v>
      </c>
      <c r="AG110" s="78"/>
      <c r="AJ110" s="82" t="s">
        <v>87</v>
      </c>
      <c r="AK110" s="82">
        <v>1</v>
      </c>
      <c r="BB110" s="159" t="s">
        <v>70</v>
      </c>
      <c r="BM110" s="78">
        <f t="shared" si="14"/>
        <v>0</v>
      </c>
      <c r="BN110" s="78">
        <f t="shared" si="15"/>
        <v>0</v>
      </c>
      <c r="BO110" s="78">
        <f t="shared" si="16"/>
        <v>0</v>
      </c>
      <c r="BP110" s="78">
        <f t="shared" si="17"/>
        <v>0</v>
      </c>
    </row>
    <row r="111" spans="1:68" ht="27" hidden="1" customHeight="1" x14ac:dyDescent="0.25">
      <c r="A111" s="60" t="s">
        <v>202</v>
      </c>
      <c r="B111" s="60" t="s">
        <v>203</v>
      </c>
      <c r="C111" s="34">
        <v>4301071051</v>
      </c>
      <c r="D111" s="284">
        <v>4607111039262</v>
      </c>
      <c r="E111" s="284"/>
      <c r="F111" s="59">
        <v>0.4</v>
      </c>
      <c r="G111" s="35">
        <v>16</v>
      </c>
      <c r="H111" s="59">
        <v>6.4</v>
      </c>
      <c r="I111" s="59">
        <v>6.7195999999999998</v>
      </c>
      <c r="J111" s="35">
        <v>84</v>
      </c>
      <c r="K111" s="35" t="s">
        <v>85</v>
      </c>
      <c r="L111" s="35" t="s">
        <v>117</v>
      </c>
      <c r="M111" s="36" t="s">
        <v>84</v>
      </c>
      <c r="N111" s="36"/>
      <c r="O111" s="35">
        <v>180</v>
      </c>
      <c r="P111" s="35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6"/>
      <c r="R111" s="286"/>
      <c r="S111" s="286"/>
      <c r="T111" s="287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158</v>
      </c>
      <c r="AG111" s="78"/>
      <c r="AJ111" s="82" t="s">
        <v>118</v>
      </c>
      <c r="AK111" s="82">
        <v>12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204</v>
      </c>
      <c r="B112" s="60" t="s">
        <v>205</v>
      </c>
      <c r="C112" s="34">
        <v>4301071038</v>
      </c>
      <c r="D112" s="284">
        <v>4607111039248</v>
      </c>
      <c r="E112" s="284"/>
      <c r="F112" s="59">
        <v>0.7</v>
      </c>
      <c r="G112" s="35">
        <v>10</v>
      </c>
      <c r="H112" s="59">
        <v>7</v>
      </c>
      <c r="I112" s="59">
        <v>7.3</v>
      </c>
      <c r="J112" s="35">
        <v>84</v>
      </c>
      <c r="K112" s="35" t="s">
        <v>85</v>
      </c>
      <c r="L112" s="35" t="s">
        <v>117</v>
      </c>
      <c r="M112" s="36" t="s">
        <v>84</v>
      </c>
      <c r="N112" s="36"/>
      <c r="O112" s="35">
        <v>180</v>
      </c>
      <c r="P112" s="35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6"/>
      <c r="R112" s="286"/>
      <c r="S112" s="286"/>
      <c r="T112" s="287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158</v>
      </c>
      <c r="AG112" s="78"/>
      <c r="AJ112" s="82" t="s">
        <v>118</v>
      </c>
      <c r="AK112" s="82">
        <v>12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hidden="1" customHeight="1" x14ac:dyDescent="0.25">
      <c r="A113" s="60" t="s">
        <v>206</v>
      </c>
      <c r="B113" s="60" t="s">
        <v>207</v>
      </c>
      <c r="C113" s="34">
        <v>4301070979</v>
      </c>
      <c r="D113" s="284">
        <v>4607111037145</v>
      </c>
      <c r="E113" s="284"/>
      <c r="F113" s="59">
        <v>0.8</v>
      </c>
      <c r="G113" s="35">
        <v>8</v>
      </c>
      <c r="H113" s="59">
        <v>6.4</v>
      </c>
      <c r="I113" s="59">
        <v>6.6748000000000003</v>
      </c>
      <c r="J113" s="35">
        <v>84</v>
      </c>
      <c r="K113" s="35" t="s">
        <v>85</v>
      </c>
      <c r="L113" s="35" t="s">
        <v>86</v>
      </c>
      <c r="M113" s="36" t="s">
        <v>84</v>
      </c>
      <c r="N113" s="36"/>
      <c r="O113" s="35">
        <v>180</v>
      </c>
      <c r="P113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6"/>
      <c r="R113" s="286"/>
      <c r="S113" s="286"/>
      <c r="T113" s="287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208</v>
      </c>
      <c r="AG113" s="78"/>
      <c r="AJ113" s="82" t="s">
        <v>87</v>
      </c>
      <c r="AK113" s="82">
        <v>1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hidden="1" customHeight="1" x14ac:dyDescent="0.25">
      <c r="A114" s="60" t="s">
        <v>209</v>
      </c>
      <c r="B114" s="60" t="s">
        <v>210</v>
      </c>
      <c r="C114" s="34">
        <v>4301071049</v>
      </c>
      <c r="D114" s="284">
        <v>4607111039293</v>
      </c>
      <c r="E114" s="284"/>
      <c r="F114" s="59">
        <v>0.4</v>
      </c>
      <c r="G114" s="35">
        <v>16</v>
      </c>
      <c r="H114" s="59">
        <v>6.4</v>
      </c>
      <c r="I114" s="59">
        <v>6.7195999999999998</v>
      </c>
      <c r="J114" s="35">
        <v>84</v>
      </c>
      <c r="K114" s="35" t="s">
        <v>85</v>
      </c>
      <c r="L114" s="35" t="s">
        <v>117</v>
      </c>
      <c r="M114" s="36" t="s">
        <v>84</v>
      </c>
      <c r="N114" s="36"/>
      <c r="O114" s="35">
        <v>180</v>
      </c>
      <c r="P114" s="35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6"/>
      <c r="R114" s="286"/>
      <c r="S114" s="286"/>
      <c r="T114" s="287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158</v>
      </c>
      <c r="AG114" s="78"/>
      <c r="AJ114" s="82" t="s">
        <v>118</v>
      </c>
      <c r="AK114" s="82">
        <v>12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hidden="1" customHeight="1" x14ac:dyDescent="0.25">
      <c r="A115" s="60" t="s">
        <v>211</v>
      </c>
      <c r="B115" s="60" t="s">
        <v>212</v>
      </c>
      <c r="C115" s="34">
        <v>4301071039</v>
      </c>
      <c r="D115" s="284">
        <v>4607111039279</v>
      </c>
      <c r="E115" s="284"/>
      <c r="F115" s="59">
        <v>0.7</v>
      </c>
      <c r="G115" s="35">
        <v>10</v>
      </c>
      <c r="H115" s="59">
        <v>7</v>
      </c>
      <c r="I115" s="59">
        <v>7.3</v>
      </c>
      <c r="J115" s="35">
        <v>84</v>
      </c>
      <c r="K115" s="35" t="s">
        <v>85</v>
      </c>
      <c r="L115" s="35" t="s">
        <v>117</v>
      </c>
      <c r="M115" s="36" t="s">
        <v>84</v>
      </c>
      <c r="N115" s="36"/>
      <c r="O115" s="35">
        <v>180</v>
      </c>
      <c r="P115" s="35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6"/>
      <c r="R115" s="286"/>
      <c r="S115" s="286"/>
      <c r="T115" s="287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158</v>
      </c>
      <c r="AG115" s="78"/>
      <c r="AJ115" s="82" t="s">
        <v>118</v>
      </c>
      <c r="AK115" s="82">
        <v>12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idden="1" x14ac:dyDescent="0.2">
      <c r="A116" s="291"/>
      <c r="B116" s="291"/>
      <c r="C116" s="291"/>
      <c r="D116" s="291"/>
      <c r="E116" s="291"/>
      <c r="F116" s="291"/>
      <c r="G116" s="291"/>
      <c r="H116" s="291"/>
      <c r="I116" s="291"/>
      <c r="J116" s="291"/>
      <c r="K116" s="291"/>
      <c r="L116" s="291"/>
      <c r="M116" s="291"/>
      <c r="N116" s="291"/>
      <c r="O116" s="292"/>
      <c r="P116" s="288" t="s">
        <v>40</v>
      </c>
      <c r="Q116" s="289"/>
      <c r="R116" s="289"/>
      <c r="S116" s="289"/>
      <c r="T116" s="289"/>
      <c r="U116" s="289"/>
      <c r="V116" s="290"/>
      <c r="W116" s="40" t="s">
        <v>39</v>
      </c>
      <c r="X116" s="41">
        <f>IFERROR(SUM(X109:X115),"0")</f>
        <v>0</v>
      </c>
      <c r="Y116" s="41">
        <f>IFERROR(SUM(Y109:Y115),"0")</f>
        <v>0</v>
      </c>
      <c r="Z116" s="41">
        <f>IFERROR(IF(Z109="",0,Z109),"0")+IFERROR(IF(Z110="",0,Z110),"0")+IFERROR(IF(Z111="",0,Z111),"0")+IFERROR(IF(Z112="",0,Z112),"0")+IFERROR(IF(Z113="",0,Z113),"0")+IFERROR(IF(Z114="",0,Z114),"0")+IFERROR(IF(Z115="",0,Z115),"0")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291"/>
      <c r="B117" s="291"/>
      <c r="C117" s="291"/>
      <c r="D117" s="291"/>
      <c r="E117" s="291"/>
      <c r="F117" s="291"/>
      <c r="G117" s="291"/>
      <c r="H117" s="291"/>
      <c r="I117" s="291"/>
      <c r="J117" s="291"/>
      <c r="K117" s="291"/>
      <c r="L117" s="291"/>
      <c r="M117" s="291"/>
      <c r="N117" s="291"/>
      <c r="O117" s="292"/>
      <c r="P117" s="288" t="s">
        <v>40</v>
      </c>
      <c r="Q117" s="289"/>
      <c r="R117" s="289"/>
      <c r="S117" s="289"/>
      <c r="T117" s="289"/>
      <c r="U117" s="289"/>
      <c r="V117" s="290"/>
      <c r="W117" s="40" t="s">
        <v>0</v>
      </c>
      <c r="X117" s="41">
        <f>IFERROR(SUMPRODUCT(X109:X115*H109:H115),"0")</f>
        <v>0</v>
      </c>
      <c r="Y117" s="41">
        <f>IFERROR(SUMPRODUCT(Y109:Y115*H109:H115),"0")</f>
        <v>0</v>
      </c>
      <c r="Z117" s="40"/>
      <c r="AA117" s="64"/>
      <c r="AB117" s="64"/>
      <c r="AC117" s="64"/>
    </row>
    <row r="118" spans="1:68" ht="14.25" hidden="1" customHeight="1" x14ac:dyDescent="0.25">
      <c r="A118" s="302" t="s">
        <v>147</v>
      </c>
      <c r="B118" s="302"/>
      <c r="C118" s="302"/>
      <c r="D118" s="302"/>
      <c r="E118" s="302"/>
      <c r="F118" s="302"/>
      <c r="G118" s="302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302"/>
      <c r="S118" s="302"/>
      <c r="T118" s="302"/>
      <c r="U118" s="302"/>
      <c r="V118" s="302"/>
      <c r="W118" s="302"/>
      <c r="X118" s="302"/>
      <c r="Y118" s="302"/>
      <c r="Z118" s="302"/>
      <c r="AA118" s="63"/>
      <c r="AB118" s="63"/>
      <c r="AC118" s="63"/>
    </row>
    <row r="119" spans="1:68" ht="27" customHeight="1" x14ac:dyDescent="0.25">
      <c r="A119" s="60" t="s">
        <v>213</v>
      </c>
      <c r="B119" s="60" t="s">
        <v>214</v>
      </c>
      <c r="C119" s="34">
        <v>4301135826</v>
      </c>
      <c r="D119" s="284">
        <v>4620207490983</v>
      </c>
      <c r="E119" s="284"/>
      <c r="F119" s="59">
        <v>0.22</v>
      </c>
      <c r="G119" s="35">
        <v>12</v>
      </c>
      <c r="H119" s="59">
        <v>2.64</v>
      </c>
      <c r="I119" s="59">
        <v>3.3435999999999999</v>
      </c>
      <c r="J119" s="35">
        <v>70</v>
      </c>
      <c r="K119" s="35" t="s">
        <v>116</v>
      </c>
      <c r="L119" s="35" t="s">
        <v>86</v>
      </c>
      <c r="M119" s="36" t="s">
        <v>84</v>
      </c>
      <c r="N119" s="36"/>
      <c r="O119" s="35">
        <v>180</v>
      </c>
      <c r="P119" s="3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6"/>
      <c r="R119" s="286"/>
      <c r="S119" s="286"/>
      <c r="T119" s="287"/>
      <c r="U119" s="37" t="s">
        <v>46</v>
      </c>
      <c r="V119" s="37" t="s">
        <v>46</v>
      </c>
      <c r="W119" s="38" t="s">
        <v>39</v>
      </c>
      <c r="X119" s="56">
        <v>28</v>
      </c>
      <c r="Y119" s="53">
        <f>IFERROR(IF(X119="","",X119),"")</f>
        <v>28</v>
      </c>
      <c r="Z119" s="39">
        <f>IFERROR(IF(X119="","",X119*0.01788),"")</f>
        <v>0.50063999999999997</v>
      </c>
      <c r="AA119" s="65" t="s">
        <v>46</v>
      </c>
      <c r="AB119" s="66" t="s">
        <v>46</v>
      </c>
      <c r="AC119" s="170" t="s">
        <v>215</v>
      </c>
      <c r="AG119" s="78"/>
      <c r="AJ119" s="82" t="s">
        <v>87</v>
      </c>
      <c r="AK119" s="82">
        <v>1</v>
      </c>
      <c r="BB119" s="171" t="s">
        <v>115</v>
      </c>
      <c r="BM119" s="78">
        <f>IFERROR(X119*I119,"0")</f>
        <v>93.620800000000003</v>
      </c>
      <c r="BN119" s="78">
        <f>IFERROR(Y119*I119,"0")</f>
        <v>93.620800000000003</v>
      </c>
      <c r="BO119" s="78">
        <f>IFERROR(X119/J119,"0")</f>
        <v>0.4</v>
      </c>
      <c r="BP119" s="78">
        <f>IFERROR(Y119/J119,"0")</f>
        <v>0.4</v>
      </c>
    </row>
    <row r="120" spans="1:68" x14ac:dyDescent="0.2">
      <c r="A120" s="291"/>
      <c r="B120" s="291"/>
      <c r="C120" s="291"/>
      <c r="D120" s="291"/>
      <c r="E120" s="291"/>
      <c r="F120" s="291"/>
      <c r="G120" s="291"/>
      <c r="H120" s="291"/>
      <c r="I120" s="291"/>
      <c r="J120" s="291"/>
      <c r="K120" s="291"/>
      <c r="L120" s="291"/>
      <c r="M120" s="291"/>
      <c r="N120" s="291"/>
      <c r="O120" s="292"/>
      <c r="P120" s="288" t="s">
        <v>40</v>
      </c>
      <c r="Q120" s="289"/>
      <c r="R120" s="289"/>
      <c r="S120" s="289"/>
      <c r="T120" s="289"/>
      <c r="U120" s="289"/>
      <c r="V120" s="290"/>
      <c r="W120" s="40" t="s">
        <v>39</v>
      </c>
      <c r="X120" s="41">
        <f>IFERROR(SUM(X119:X119),"0")</f>
        <v>28</v>
      </c>
      <c r="Y120" s="41">
        <f>IFERROR(SUM(Y119:Y119),"0")</f>
        <v>28</v>
      </c>
      <c r="Z120" s="41">
        <f>IFERROR(IF(Z119="",0,Z119),"0")</f>
        <v>0.50063999999999997</v>
      </c>
      <c r="AA120" s="64"/>
      <c r="AB120" s="64"/>
      <c r="AC120" s="64"/>
    </row>
    <row r="121" spans="1:68" x14ac:dyDescent="0.2">
      <c r="A121" s="291"/>
      <c r="B121" s="291"/>
      <c r="C121" s="291"/>
      <c r="D121" s="291"/>
      <c r="E121" s="291"/>
      <c r="F121" s="291"/>
      <c r="G121" s="291"/>
      <c r="H121" s="291"/>
      <c r="I121" s="291"/>
      <c r="J121" s="291"/>
      <c r="K121" s="291"/>
      <c r="L121" s="291"/>
      <c r="M121" s="291"/>
      <c r="N121" s="291"/>
      <c r="O121" s="292"/>
      <c r="P121" s="288" t="s">
        <v>40</v>
      </c>
      <c r="Q121" s="289"/>
      <c r="R121" s="289"/>
      <c r="S121" s="289"/>
      <c r="T121" s="289"/>
      <c r="U121" s="289"/>
      <c r="V121" s="290"/>
      <c r="W121" s="40" t="s">
        <v>0</v>
      </c>
      <c r="X121" s="41">
        <f>IFERROR(SUMPRODUCT(X119:X119*H119:H119),"0")</f>
        <v>73.92</v>
      </c>
      <c r="Y121" s="41">
        <f>IFERROR(SUMPRODUCT(Y119:Y119*H119:H119),"0")</f>
        <v>73.92</v>
      </c>
      <c r="Z121" s="40"/>
      <c r="AA121" s="64"/>
      <c r="AB121" s="64"/>
      <c r="AC121" s="64"/>
    </row>
    <row r="122" spans="1:68" ht="14.25" hidden="1" customHeight="1" x14ac:dyDescent="0.25">
      <c r="A122" s="302" t="s">
        <v>216</v>
      </c>
      <c r="B122" s="302"/>
      <c r="C122" s="302"/>
      <c r="D122" s="302"/>
      <c r="E122" s="302"/>
      <c r="F122" s="302"/>
      <c r="G122" s="302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302"/>
      <c r="S122" s="302"/>
      <c r="T122" s="302"/>
      <c r="U122" s="302"/>
      <c r="V122" s="302"/>
      <c r="W122" s="302"/>
      <c r="X122" s="302"/>
      <c r="Y122" s="302"/>
      <c r="Z122" s="302"/>
      <c r="AA122" s="63"/>
      <c r="AB122" s="63"/>
      <c r="AC122" s="63"/>
    </row>
    <row r="123" spans="1:68" ht="27" hidden="1" customHeight="1" x14ac:dyDescent="0.25">
      <c r="A123" s="60" t="s">
        <v>217</v>
      </c>
      <c r="B123" s="60" t="s">
        <v>218</v>
      </c>
      <c r="C123" s="34">
        <v>4301071094</v>
      </c>
      <c r="D123" s="284">
        <v>4620207491140</v>
      </c>
      <c r="E123" s="284"/>
      <c r="F123" s="59">
        <v>0.6</v>
      </c>
      <c r="G123" s="35">
        <v>10</v>
      </c>
      <c r="H123" s="59">
        <v>6</v>
      </c>
      <c r="I123" s="59">
        <v>6.28</v>
      </c>
      <c r="J123" s="35">
        <v>84</v>
      </c>
      <c r="K123" s="35" t="s">
        <v>85</v>
      </c>
      <c r="L123" s="35" t="s">
        <v>86</v>
      </c>
      <c r="M123" s="36" t="s">
        <v>84</v>
      </c>
      <c r="N123" s="36"/>
      <c r="O123" s="35">
        <v>180</v>
      </c>
      <c r="P123" s="35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6"/>
      <c r="R123" s="286"/>
      <c r="S123" s="286"/>
      <c r="T123" s="287"/>
      <c r="U123" s="37" t="s">
        <v>46</v>
      </c>
      <c r="V123" s="37" t="s">
        <v>46</v>
      </c>
      <c r="W123" s="38" t="s">
        <v>39</v>
      </c>
      <c r="X123" s="56">
        <v>0</v>
      </c>
      <c r="Y123" s="53">
        <f>IFERROR(IF(X123="","",X123),"")</f>
        <v>0</v>
      </c>
      <c r="Z123" s="39">
        <f>IFERROR(IF(X123="","",X123*0.0155),"")</f>
        <v>0</v>
      </c>
      <c r="AA123" s="65" t="s">
        <v>46</v>
      </c>
      <c r="AB123" s="66" t="s">
        <v>46</v>
      </c>
      <c r="AC123" s="172" t="s">
        <v>219</v>
      </c>
      <c r="AG123" s="78"/>
      <c r="AJ123" s="82" t="s">
        <v>87</v>
      </c>
      <c r="AK123" s="82">
        <v>1</v>
      </c>
      <c r="BB123" s="173" t="s">
        <v>115</v>
      </c>
      <c r="BM123" s="78">
        <f>IFERROR(X123*I123,"0")</f>
        <v>0</v>
      </c>
      <c r="BN123" s="78">
        <f>IFERROR(Y123*I123,"0")</f>
        <v>0</v>
      </c>
      <c r="BO123" s="78">
        <f>IFERROR(X123/J123,"0")</f>
        <v>0</v>
      </c>
      <c r="BP123" s="78">
        <f>IFERROR(Y123/J123,"0")</f>
        <v>0</v>
      </c>
    </row>
    <row r="124" spans="1:68" hidden="1" x14ac:dyDescent="0.2">
      <c r="A124" s="291"/>
      <c r="B124" s="291"/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292"/>
      <c r="P124" s="288" t="s">
        <v>40</v>
      </c>
      <c r="Q124" s="289"/>
      <c r="R124" s="289"/>
      <c r="S124" s="289"/>
      <c r="T124" s="289"/>
      <c r="U124" s="289"/>
      <c r="V124" s="290"/>
      <c r="W124" s="40" t="s">
        <v>39</v>
      </c>
      <c r="X124" s="41">
        <f>IFERROR(SUM(X123:X123),"0")</f>
        <v>0</v>
      </c>
      <c r="Y124" s="41">
        <f>IFERROR(SUM(Y123:Y123),"0")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291"/>
      <c r="B125" s="291"/>
      <c r="C125" s="291"/>
      <c r="D125" s="291"/>
      <c r="E125" s="291"/>
      <c r="F125" s="291"/>
      <c r="G125" s="291"/>
      <c r="H125" s="291"/>
      <c r="I125" s="291"/>
      <c r="J125" s="291"/>
      <c r="K125" s="291"/>
      <c r="L125" s="291"/>
      <c r="M125" s="291"/>
      <c r="N125" s="291"/>
      <c r="O125" s="292"/>
      <c r="P125" s="288" t="s">
        <v>40</v>
      </c>
      <c r="Q125" s="289"/>
      <c r="R125" s="289"/>
      <c r="S125" s="289"/>
      <c r="T125" s="289"/>
      <c r="U125" s="289"/>
      <c r="V125" s="290"/>
      <c r="W125" s="40" t="s">
        <v>0</v>
      </c>
      <c r="X125" s="41">
        <f>IFERROR(SUMPRODUCT(X123:X123*H123:H123),"0")</f>
        <v>0</v>
      </c>
      <c r="Y125" s="41">
        <f>IFERROR(SUMPRODUCT(Y123:Y123*H123:H123),"0")</f>
        <v>0</v>
      </c>
      <c r="Z125" s="40"/>
      <c r="AA125" s="64"/>
      <c r="AB125" s="64"/>
      <c r="AC125" s="64"/>
    </row>
    <row r="126" spans="1:68" ht="16.5" hidden="1" customHeight="1" x14ac:dyDescent="0.25">
      <c r="A126" s="314" t="s">
        <v>220</v>
      </c>
      <c r="B126" s="314"/>
      <c r="C126" s="314"/>
      <c r="D126" s="314"/>
      <c r="E126" s="314"/>
      <c r="F126" s="314"/>
      <c r="G126" s="314"/>
      <c r="H126" s="314"/>
      <c r="I126" s="314"/>
      <c r="J126" s="314"/>
      <c r="K126" s="314"/>
      <c r="L126" s="314"/>
      <c r="M126" s="314"/>
      <c r="N126" s="314"/>
      <c r="O126" s="314"/>
      <c r="P126" s="314"/>
      <c r="Q126" s="314"/>
      <c r="R126" s="314"/>
      <c r="S126" s="314"/>
      <c r="T126" s="314"/>
      <c r="U126" s="314"/>
      <c r="V126" s="314"/>
      <c r="W126" s="314"/>
      <c r="X126" s="314"/>
      <c r="Y126" s="314"/>
      <c r="Z126" s="314"/>
      <c r="AA126" s="62"/>
      <c r="AB126" s="62"/>
      <c r="AC126" s="62"/>
    </row>
    <row r="127" spans="1:68" ht="14.25" hidden="1" customHeight="1" x14ac:dyDescent="0.25">
      <c r="A127" s="302" t="s">
        <v>147</v>
      </c>
      <c r="B127" s="302"/>
      <c r="C127" s="302"/>
      <c r="D127" s="30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302"/>
      <c r="S127" s="302"/>
      <c r="T127" s="302"/>
      <c r="U127" s="302"/>
      <c r="V127" s="302"/>
      <c r="W127" s="302"/>
      <c r="X127" s="302"/>
      <c r="Y127" s="302"/>
      <c r="Z127" s="302"/>
      <c r="AA127" s="63"/>
      <c r="AB127" s="63"/>
      <c r="AC127" s="63"/>
    </row>
    <row r="128" spans="1:68" ht="27" hidden="1" customHeight="1" x14ac:dyDescent="0.25">
      <c r="A128" s="60" t="s">
        <v>221</v>
      </c>
      <c r="B128" s="60" t="s">
        <v>222</v>
      </c>
      <c r="C128" s="34">
        <v>4301135848</v>
      </c>
      <c r="D128" s="284">
        <v>4620207491799</v>
      </c>
      <c r="E128" s="284"/>
      <c r="F128" s="59">
        <v>0.23</v>
      </c>
      <c r="G128" s="35">
        <v>6</v>
      </c>
      <c r="H128" s="59">
        <v>1.38</v>
      </c>
      <c r="I128" s="59">
        <v>1.8</v>
      </c>
      <c r="J128" s="35">
        <v>140</v>
      </c>
      <c r="K128" s="35" t="s">
        <v>116</v>
      </c>
      <c r="L128" s="35" t="s">
        <v>86</v>
      </c>
      <c r="M128" s="36" t="s">
        <v>84</v>
      </c>
      <c r="N128" s="36"/>
      <c r="O128" s="35">
        <v>180</v>
      </c>
      <c r="P128" s="35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6"/>
      <c r="R128" s="286"/>
      <c r="S128" s="286"/>
      <c r="T128" s="287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IFERROR(IF(X128="","",X128*0.00941),"")</f>
        <v>0</v>
      </c>
      <c r="AA128" s="65" t="s">
        <v>46</v>
      </c>
      <c r="AB128" s="66" t="s">
        <v>46</v>
      </c>
      <c r="AC128" s="174" t="s">
        <v>223</v>
      </c>
      <c r="AG128" s="78"/>
      <c r="AJ128" s="82" t="s">
        <v>87</v>
      </c>
      <c r="AK128" s="82">
        <v>1</v>
      </c>
      <c r="BB128" s="175" t="s">
        <v>115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ht="27" customHeight="1" x14ac:dyDescent="0.25">
      <c r="A129" s="60" t="s">
        <v>224</v>
      </c>
      <c r="B129" s="60" t="s">
        <v>225</v>
      </c>
      <c r="C129" s="34">
        <v>4301135850</v>
      </c>
      <c r="D129" s="284">
        <v>4620207491492</v>
      </c>
      <c r="E129" s="284"/>
      <c r="F129" s="59">
        <v>0.23</v>
      </c>
      <c r="G129" s="35">
        <v>6</v>
      </c>
      <c r="H129" s="59">
        <v>1.38</v>
      </c>
      <c r="I129" s="59">
        <v>1.8</v>
      </c>
      <c r="J129" s="35">
        <v>140</v>
      </c>
      <c r="K129" s="35" t="s">
        <v>116</v>
      </c>
      <c r="L129" s="35" t="s">
        <v>86</v>
      </c>
      <c r="M129" s="36" t="s">
        <v>84</v>
      </c>
      <c r="N129" s="36"/>
      <c r="O129" s="35">
        <v>180</v>
      </c>
      <c r="P129" s="34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6"/>
      <c r="R129" s="286"/>
      <c r="S129" s="286"/>
      <c r="T129" s="287"/>
      <c r="U129" s="37" t="s">
        <v>46</v>
      </c>
      <c r="V129" s="37" t="s">
        <v>46</v>
      </c>
      <c r="W129" s="38" t="s">
        <v>39</v>
      </c>
      <c r="X129" s="56">
        <v>42</v>
      </c>
      <c r="Y129" s="53">
        <f>IFERROR(IF(X129="","",X129),"")</f>
        <v>42</v>
      </c>
      <c r="Z129" s="39">
        <f>IFERROR(IF(X129="","",X129*0.00941),"")</f>
        <v>0.39522000000000002</v>
      </c>
      <c r="AA129" s="65" t="s">
        <v>46</v>
      </c>
      <c r="AB129" s="66" t="s">
        <v>46</v>
      </c>
      <c r="AC129" s="176" t="s">
        <v>223</v>
      </c>
      <c r="AG129" s="78"/>
      <c r="AJ129" s="82" t="s">
        <v>87</v>
      </c>
      <c r="AK129" s="82">
        <v>1</v>
      </c>
      <c r="BB129" s="177" t="s">
        <v>115</v>
      </c>
      <c r="BM129" s="78">
        <f>IFERROR(X129*I129,"0")</f>
        <v>75.600000000000009</v>
      </c>
      <c r="BN129" s="78">
        <f>IFERROR(Y129*I129,"0")</f>
        <v>75.600000000000009</v>
      </c>
      <c r="BO129" s="78">
        <f>IFERROR(X129/J129,"0")</f>
        <v>0.3</v>
      </c>
      <c r="BP129" s="78">
        <f>IFERROR(Y129/J129,"0")</f>
        <v>0.3</v>
      </c>
    </row>
    <row r="130" spans="1:68" ht="27" customHeight="1" x14ac:dyDescent="0.25">
      <c r="A130" s="60" t="s">
        <v>226</v>
      </c>
      <c r="B130" s="60" t="s">
        <v>227</v>
      </c>
      <c r="C130" s="34">
        <v>4301190118</v>
      </c>
      <c r="D130" s="284">
        <v>4620207491461</v>
      </c>
      <c r="E130" s="284"/>
      <c r="F130" s="59">
        <v>0.22</v>
      </c>
      <c r="G130" s="35">
        <v>6</v>
      </c>
      <c r="H130" s="59">
        <v>1.32</v>
      </c>
      <c r="I130" s="59">
        <v>1.74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34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6"/>
      <c r="R130" s="286"/>
      <c r="S130" s="286"/>
      <c r="T130" s="287"/>
      <c r="U130" s="37" t="s">
        <v>46</v>
      </c>
      <c r="V130" s="37" t="s">
        <v>46</v>
      </c>
      <c r="W130" s="38" t="s">
        <v>39</v>
      </c>
      <c r="X130" s="56">
        <v>42</v>
      </c>
      <c r="Y130" s="53">
        <f>IFERROR(IF(X130="","",X130),"")</f>
        <v>42</v>
      </c>
      <c r="Z130" s="39">
        <f>IFERROR(IF(X130="","",X130*0.00941),"")</f>
        <v>0.39522000000000002</v>
      </c>
      <c r="AA130" s="65" t="s">
        <v>46</v>
      </c>
      <c r="AB130" s="66" t="s">
        <v>46</v>
      </c>
      <c r="AC130" s="178" t="s">
        <v>223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73.08</v>
      </c>
      <c r="BN130" s="78">
        <f>IFERROR(Y130*I130,"0")</f>
        <v>73.08</v>
      </c>
      <c r="BO130" s="78">
        <f>IFERROR(X130/J130,"0")</f>
        <v>0.3</v>
      </c>
      <c r="BP130" s="78">
        <f>IFERROR(Y130/J130,"0")</f>
        <v>0.3</v>
      </c>
    </row>
    <row r="131" spans="1:68" ht="27" customHeight="1" x14ac:dyDescent="0.25">
      <c r="A131" s="60" t="s">
        <v>228</v>
      </c>
      <c r="B131" s="60" t="s">
        <v>229</v>
      </c>
      <c r="C131" s="34">
        <v>4301135865</v>
      </c>
      <c r="D131" s="284">
        <v>4620207491485</v>
      </c>
      <c r="E131" s="284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35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6"/>
      <c r="R131" s="286"/>
      <c r="S131" s="286"/>
      <c r="T131" s="287"/>
      <c r="U131" s="37" t="s">
        <v>46</v>
      </c>
      <c r="V131" s="37" t="s">
        <v>46</v>
      </c>
      <c r="W131" s="38" t="s">
        <v>39</v>
      </c>
      <c r="X131" s="56">
        <v>42</v>
      </c>
      <c r="Y131" s="53">
        <f>IFERROR(IF(X131="","",X131),"")</f>
        <v>42</v>
      </c>
      <c r="Z131" s="39">
        <f>IFERROR(IF(X131="","",X131*0.00941),"")</f>
        <v>0.39522000000000002</v>
      </c>
      <c r="AA131" s="65" t="s">
        <v>46</v>
      </c>
      <c r="AB131" s="66" t="s">
        <v>46</v>
      </c>
      <c r="AC131" s="180" t="s">
        <v>223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75.600000000000009</v>
      </c>
      <c r="BN131" s="78">
        <f>IFERROR(Y131*I131,"0")</f>
        <v>75.600000000000009</v>
      </c>
      <c r="BO131" s="78">
        <f>IFERROR(X131/J131,"0")</f>
        <v>0.3</v>
      </c>
      <c r="BP131" s="78">
        <f>IFERROR(Y131/J131,"0")</f>
        <v>0.3</v>
      </c>
    </row>
    <row r="132" spans="1:68" x14ac:dyDescent="0.2">
      <c r="A132" s="291"/>
      <c r="B132" s="291"/>
      <c r="C132" s="291"/>
      <c r="D132" s="291"/>
      <c r="E132" s="291"/>
      <c r="F132" s="291"/>
      <c r="G132" s="291"/>
      <c r="H132" s="291"/>
      <c r="I132" s="291"/>
      <c r="J132" s="291"/>
      <c r="K132" s="291"/>
      <c r="L132" s="291"/>
      <c r="M132" s="291"/>
      <c r="N132" s="291"/>
      <c r="O132" s="292"/>
      <c r="P132" s="288" t="s">
        <v>40</v>
      </c>
      <c r="Q132" s="289"/>
      <c r="R132" s="289"/>
      <c r="S132" s="289"/>
      <c r="T132" s="289"/>
      <c r="U132" s="289"/>
      <c r="V132" s="290"/>
      <c r="W132" s="40" t="s">
        <v>39</v>
      </c>
      <c r="X132" s="41">
        <f>IFERROR(SUM(X128:X131),"0")</f>
        <v>126</v>
      </c>
      <c r="Y132" s="41">
        <f>IFERROR(SUM(Y128:Y131),"0")</f>
        <v>126</v>
      </c>
      <c r="Z132" s="41">
        <f>IFERROR(IF(Z128="",0,Z128),"0")+IFERROR(IF(Z129="",0,Z129),"0")+IFERROR(IF(Z130="",0,Z130),"0")+IFERROR(IF(Z131="",0,Z131),"0")</f>
        <v>1.1856599999999999</v>
      </c>
      <c r="AA132" s="64"/>
      <c r="AB132" s="64"/>
      <c r="AC132" s="64"/>
    </row>
    <row r="133" spans="1:68" x14ac:dyDescent="0.2">
      <c r="A133" s="291"/>
      <c r="B133" s="291"/>
      <c r="C133" s="291"/>
      <c r="D133" s="291"/>
      <c r="E133" s="291"/>
      <c r="F133" s="291"/>
      <c r="G133" s="291"/>
      <c r="H133" s="291"/>
      <c r="I133" s="291"/>
      <c r="J133" s="291"/>
      <c r="K133" s="291"/>
      <c r="L133" s="291"/>
      <c r="M133" s="291"/>
      <c r="N133" s="291"/>
      <c r="O133" s="292"/>
      <c r="P133" s="288" t="s">
        <v>40</v>
      </c>
      <c r="Q133" s="289"/>
      <c r="R133" s="289"/>
      <c r="S133" s="289"/>
      <c r="T133" s="289"/>
      <c r="U133" s="289"/>
      <c r="V133" s="290"/>
      <c r="W133" s="40" t="s">
        <v>0</v>
      </c>
      <c r="X133" s="41">
        <f>IFERROR(SUMPRODUCT(X128:X131*H128:H131),"0")</f>
        <v>171.36</v>
      </c>
      <c r="Y133" s="41">
        <f>IFERROR(SUMPRODUCT(Y128:Y131*H128:H131),"0")</f>
        <v>171.36</v>
      </c>
      <c r="Z133" s="40"/>
      <c r="AA133" s="64"/>
      <c r="AB133" s="64"/>
      <c r="AC133" s="64"/>
    </row>
    <row r="134" spans="1:68" ht="14.25" hidden="1" customHeight="1" x14ac:dyDescent="0.25">
      <c r="A134" s="302" t="s">
        <v>230</v>
      </c>
      <c r="B134" s="302"/>
      <c r="C134" s="302"/>
      <c r="D134" s="302"/>
      <c r="E134" s="302"/>
      <c r="F134" s="302"/>
      <c r="G134" s="302"/>
      <c r="H134" s="302"/>
      <c r="I134" s="302"/>
      <c r="J134" s="302"/>
      <c r="K134" s="302"/>
      <c r="L134" s="302"/>
      <c r="M134" s="302"/>
      <c r="N134" s="302"/>
      <c r="O134" s="302"/>
      <c r="P134" s="302"/>
      <c r="Q134" s="302"/>
      <c r="R134" s="302"/>
      <c r="S134" s="302"/>
      <c r="T134" s="302"/>
      <c r="U134" s="302"/>
      <c r="V134" s="302"/>
      <c r="W134" s="302"/>
      <c r="X134" s="302"/>
      <c r="Y134" s="302"/>
      <c r="Z134" s="302"/>
      <c r="AA134" s="63"/>
      <c r="AB134" s="63"/>
      <c r="AC134" s="63"/>
    </row>
    <row r="135" spans="1:68" ht="27" hidden="1" customHeight="1" x14ac:dyDescent="0.25">
      <c r="A135" s="60" t="s">
        <v>231</v>
      </c>
      <c r="B135" s="60" t="s">
        <v>232</v>
      </c>
      <c r="C135" s="34">
        <v>4301190117</v>
      </c>
      <c r="D135" s="284">
        <v>4620207491386</v>
      </c>
      <c r="E135" s="284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116</v>
      </c>
      <c r="L135" s="35" t="s">
        <v>86</v>
      </c>
      <c r="M135" s="36" t="s">
        <v>84</v>
      </c>
      <c r="N135" s="36"/>
      <c r="O135" s="35">
        <v>180</v>
      </c>
      <c r="P135" s="34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6"/>
      <c r="R135" s="286"/>
      <c r="S135" s="286"/>
      <c r="T135" s="287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233</v>
      </c>
      <c r="AG135" s="78"/>
      <c r="AJ135" s="82" t="s">
        <v>87</v>
      </c>
      <c r="AK135" s="82">
        <v>1</v>
      </c>
      <c r="BB135" s="183" t="s">
        <v>115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ht="27" hidden="1" customHeight="1" x14ac:dyDescent="0.25">
      <c r="A136" s="60" t="s">
        <v>234</v>
      </c>
      <c r="B136" s="60" t="s">
        <v>235</v>
      </c>
      <c r="C136" s="34">
        <v>4301190115</v>
      </c>
      <c r="D136" s="284">
        <v>4620207491362</v>
      </c>
      <c r="E136" s="284"/>
      <c r="F136" s="59">
        <v>0.18</v>
      </c>
      <c r="G136" s="35">
        <v>6</v>
      </c>
      <c r="H136" s="59">
        <v>1.08</v>
      </c>
      <c r="I136" s="59">
        <v>1.3979999999999999</v>
      </c>
      <c r="J136" s="35">
        <v>140</v>
      </c>
      <c r="K136" s="35" t="s">
        <v>116</v>
      </c>
      <c r="L136" s="35" t="s">
        <v>86</v>
      </c>
      <c r="M136" s="36" t="s">
        <v>84</v>
      </c>
      <c r="N136" s="36"/>
      <c r="O136" s="35">
        <v>180</v>
      </c>
      <c r="P136" s="34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6"/>
      <c r="R136" s="286"/>
      <c r="S136" s="286"/>
      <c r="T136" s="287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233</v>
      </c>
      <c r="AG136" s="78"/>
      <c r="AJ136" s="82" t="s">
        <v>87</v>
      </c>
      <c r="AK136" s="82">
        <v>1</v>
      </c>
      <c r="BB136" s="185" t="s">
        <v>115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ht="27" hidden="1" customHeight="1" x14ac:dyDescent="0.25">
      <c r="A137" s="60" t="s">
        <v>236</v>
      </c>
      <c r="B137" s="60" t="s">
        <v>237</v>
      </c>
      <c r="C137" s="34">
        <v>4301190116</v>
      </c>
      <c r="D137" s="284">
        <v>4620207491379</v>
      </c>
      <c r="E137" s="284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34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6"/>
      <c r="R137" s="286"/>
      <c r="S137" s="286"/>
      <c r="T137" s="287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233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idden="1" x14ac:dyDescent="0.2">
      <c r="A138" s="291"/>
      <c r="B138" s="291"/>
      <c r="C138" s="291"/>
      <c r="D138" s="291"/>
      <c r="E138" s="291"/>
      <c r="F138" s="291"/>
      <c r="G138" s="291"/>
      <c r="H138" s="291"/>
      <c r="I138" s="291"/>
      <c r="J138" s="291"/>
      <c r="K138" s="291"/>
      <c r="L138" s="291"/>
      <c r="M138" s="291"/>
      <c r="N138" s="291"/>
      <c r="O138" s="292"/>
      <c r="P138" s="288" t="s">
        <v>40</v>
      </c>
      <c r="Q138" s="289"/>
      <c r="R138" s="289"/>
      <c r="S138" s="289"/>
      <c r="T138" s="289"/>
      <c r="U138" s="289"/>
      <c r="V138" s="290"/>
      <c r="W138" s="40" t="s">
        <v>39</v>
      </c>
      <c r="X138" s="41">
        <f>IFERROR(SUM(X135:X137),"0")</f>
        <v>0</v>
      </c>
      <c r="Y138" s="41">
        <f>IFERROR(SUM(Y135:Y137),"0")</f>
        <v>0</v>
      </c>
      <c r="Z138" s="41">
        <f>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291"/>
      <c r="B139" s="291"/>
      <c r="C139" s="291"/>
      <c r="D139" s="291"/>
      <c r="E139" s="291"/>
      <c r="F139" s="291"/>
      <c r="G139" s="291"/>
      <c r="H139" s="291"/>
      <c r="I139" s="291"/>
      <c r="J139" s="291"/>
      <c r="K139" s="291"/>
      <c r="L139" s="291"/>
      <c r="M139" s="291"/>
      <c r="N139" s="291"/>
      <c r="O139" s="292"/>
      <c r="P139" s="288" t="s">
        <v>40</v>
      </c>
      <c r="Q139" s="289"/>
      <c r="R139" s="289"/>
      <c r="S139" s="289"/>
      <c r="T139" s="289"/>
      <c r="U139" s="289"/>
      <c r="V139" s="290"/>
      <c r="W139" s="40" t="s">
        <v>0</v>
      </c>
      <c r="X139" s="41">
        <f>IFERROR(SUMPRODUCT(X135:X137*H135:H137),"0")</f>
        <v>0</v>
      </c>
      <c r="Y139" s="41">
        <f>IFERROR(SUMPRODUCT(Y135:Y137*H135:H137),"0")</f>
        <v>0</v>
      </c>
      <c r="Z139" s="40"/>
      <c r="AA139" s="64"/>
      <c r="AB139" s="64"/>
      <c r="AC139" s="64"/>
    </row>
    <row r="140" spans="1:68" ht="16.5" hidden="1" customHeight="1" x14ac:dyDescent="0.25">
      <c r="A140" s="314" t="s">
        <v>238</v>
      </c>
      <c r="B140" s="314"/>
      <c r="C140" s="314"/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  <c r="V140" s="314"/>
      <c r="W140" s="314"/>
      <c r="X140" s="314"/>
      <c r="Y140" s="314"/>
      <c r="Z140" s="314"/>
      <c r="AA140" s="62"/>
      <c r="AB140" s="62"/>
      <c r="AC140" s="62"/>
    </row>
    <row r="141" spans="1:68" ht="14.25" hidden="1" customHeight="1" x14ac:dyDescent="0.25">
      <c r="A141" s="302" t="s">
        <v>147</v>
      </c>
      <c r="B141" s="302"/>
      <c r="C141" s="302"/>
      <c r="D141" s="302"/>
      <c r="E141" s="302"/>
      <c r="F141" s="302"/>
      <c r="G141" s="302"/>
      <c r="H141" s="302"/>
      <c r="I141" s="302"/>
      <c r="J141" s="302"/>
      <c r="K141" s="302"/>
      <c r="L141" s="302"/>
      <c r="M141" s="302"/>
      <c r="N141" s="302"/>
      <c r="O141" s="302"/>
      <c r="P141" s="302"/>
      <c r="Q141" s="302"/>
      <c r="R141" s="302"/>
      <c r="S141" s="302"/>
      <c r="T141" s="302"/>
      <c r="U141" s="302"/>
      <c r="V141" s="302"/>
      <c r="W141" s="302"/>
      <c r="X141" s="302"/>
      <c r="Y141" s="302"/>
      <c r="Z141" s="302"/>
      <c r="AA141" s="63"/>
      <c r="AB141" s="63"/>
      <c r="AC141" s="63"/>
    </row>
    <row r="142" spans="1:68" ht="27" hidden="1" customHeight="1" x14ac:dyDescent="0.25">
      <c r="A142" s="60" t="s">
        <v>239</v>
      </c>
      <c r="B142" s="60" t="s">
        <v>240</v>
      </c>
      <c r="C142" s="34">
        <v>4301135555</v>
      </c>
      <c r="D142" s="284">
        <v>4607111034014</v>
      </c>
      <c r="E142" s="284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116</v>
      </c>
      <c r="L142" s="35" t="s">
        <v>117</v>
      </c>
      <c r="M142" s="36" t="s">
        <v>84</v>
      </c>
      <c r="N142" s="36"/>
      <c r="O142" s="35">
        <v>180</v>
      </c>
      <c r="P142" s="3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6"/>
      <c r="R142" s="286"/>
      <c r="S142" s="286"/>
      <c r="T142" s="287"/>
      <c r="U142" s="37" t="s">
        <v>46</v>
      </c>
      <c r="V142" s="37" t="s">
        <v>46</v>
      </c>
      <c r="W142" s="38" t="s">
        <v>39</v>
      </c>
      <c r="X142" s="56">
        <v>0</v>
      </c>
      <c r="Y142" s="53">
        <f>IFERROR(IF(X142="","",X142),"")</f>
        <v>0</v>
      </c>
      <c r="Z142" s="39">
        <f>IFERROR(IF(X142="","",X142*0.01788),"")</f>
        <v>0</v>
      </c>
      <c r="AA142" s="65" t="s">
        <v>46</v>
      </c>
      <c r="AB142" s="66" t="s">
        <v>46</v>
      </c>
      <c r="AC142" s="188" t="s">
        <v>241</v>
      </c>
      <c r="AG142" s="78"/>
      <c r="AJ142" s="82" t="s">
        <v>118</v>
      </c>
      <c r="AK142" s="82">
        <v>14</v>
      </c>
      <c r="BB142" s="189" t="s">
        <v>115</v>
      </c>
      <c r="BM142" s="78">
        <f>IFERROR(X142*I142,"0")</f>
        <v>0</v>
      </c>
      <c r="BN142" s="78">
        <f>IFERROR(Y142*I142,"0")</f>
        <v>0</v>
      </c>
      <c r="BO142" s="78">
        <f>IFERROR(X142/J142,"0")</f>
        <v>0</v>
      </c>
      <c r="BP142" s="78">
        <f>IFERROR(Y142/J142,"0")</f>
        <v>0</v>
      </c>
    </row>
    <row r="143" spans="1:68" ht="27" customHeight="1" x14ac:dyDescent="0.25">
      <c r="A143" s="60" t="s">
        <v>242</v>
      </c>
      <c r="B143" s="60" t="s">
        <v>243</v>
      </c>
      <c r="C143" s="34">
        <v>4301135532</v>
      </c>
      <c r="D143" s="284">
        <v>4607111033994</v>
      </c>
      <c r="E143" s="284"/>
      <c r="F143" s="59">
        <v>0.25</v>
      </c>
      <c r="G143" s="35">
        <v>12</v>
      </c>
      <c r="H143" s="59">
        <v>3</v>
      </c>
      <c r="I143" s="59">
        <v>3.7035999999999998</v>
      </c>
      <c r="J143" s="35">
        <v>70</v>
      </c>
      <c r="K143" s="35" t="s">
        <v>116</v>
      </c>
      <c r="L143" s="35" t="s">
        <v>117</v>
      </c>
      <c r="M143" s="36" t="s">
        <v>84</v>
      </c>
      <c r="N143" s="36"/>
      <c r="O143" s="35">
        <v>180</v>
      </c>
      <c r="P143" s="34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6"/>
      <c r="R143" s="286"/>
      <c r="S143" s="286"/>
      <c r="T143" s="287"/>
      <c r="U143" s="37" t="s">
        <v>46</v>
      </c>
      <c r="V143" s="37" t="s">
        <v>46</v>
      </c>
      <c r="W143" s="38" t="s">
        <v>39</v>
      </c>
      <c r="X143" s="56">
        <v>70</v>
      </c>
      <c r="Y143" s="53">
        <f>IFERROR(IF(X143="","",X143),"")</f>
        <v>70</v>
      </c>
      <c r="Z143" s="39">
        <f>IFERROR(IF(X143="","",X143*0.01788),"")</f>
        <v>1.2516</v>
      </c>
      <c r="AA143" s="65" t="s">
        <v>46</v>
      </c>
      <c r="AB143" s="66" t="s">
        <v>46</v>
      </c>
      <c r="AC143" s="190" t="s">
        <v>165</v>
      </c>
      <c r="AG143" s="78"/>
      <c r="AJ143" s="82" t="s">
        <v>118</v>
      </c>
      <c r="AK143" s="82">
        <v>14</v>
      </c>
      <c r="BB143" s="191" t="s">
        <v>115</v>
      </c>
      <c r="BM143" s="78">
        <f>IFERROR(X143*I143,"0")</f>
        <v>259.25200000000001</v>
      </c>
      <c r="BN143" s="78">
        <f>IFERROR(Y143*I143,"0")</f>
        <v>259.25200000000001</v>
      </c>
      <c r="BO143" s="78">
        <f>IFERROR(X143/J143,"0")</f>
        <v>1</v>
      </c>
      <c r="BP143" s="78">
        <f>IFERROR(Y143/J143,"0")</f>
        <v>1</v>
      </c>
    </row>
    <row r="144" spans="1:68" x14ac:dyDescent="0.2">
      <c r="A144" s="291"/>
      <c r="B144" s="291"/>
      <c r="C144" s="291"/>
      <c r="D144" s="291"/>
      <c r="E144" s="291"/>
      <c r="F144" s="291"/>
      <c r="G144" s="291"/>
      <c r="H144" s="291"/>
      <c r="I144" s="291"/>
      <c r="J144" s="291"/>
      <c r="K144" s="291"/>
      <c r="L144" s="291"/>
      <c r="M144" s="291"/>
      <c r="N144" s="291"/>
      <c r="O144" s="292"/>
      <c r="P144" s="288" t="s">
        <v>40</v>
      </c>
      <c r="Q144" s="289"/>
      <c r="R144" s="289"/>
      <c r="S144" s="289"/>
      <c r="T144" s="289"/>
      <c r="U144" s="289"/>
      <c r="V144" s="290"/>
      <c r="W144" s="40" t="s">
        <v>39</v>
      </c>
      <c r="X144" s="41">
        <f>IFERROR(SUM(X142:X143),"0")</f>
        <v>70</v>
      </c>
      <c r="Y144" s="41">
        <f>IFERROR(SUM(Y142:Y143),"0")</f>
        <v>70</v>
      </c>
      <c r="Z144" s="41">
        <f>IFERROR(IF(Z142="",0,Z142),"0")+IFERROR(IF(Z143="",0,Z143),"0")</f>
        <v>1.2516</v>
      </c>
      <c r="AA144" s="64"/>
      <c r="AB144" s="64"/>
      <c r="AC144" s="64"/>
    </row>
    <row r="145" spans="1:68" x14ac:dyDescent="0.2">
      <c r="A145" s="291"/>
      <c r="B145" s="291"/>
      <c r="C145" s="291"/>
      <c r="D145" s="291"/>
      <c r="E145" s="291"/>
      <c r="F145" s="291"/>
      <c r="G145" s="291"/>
      <c r="H145" s="291"/>
      <c r="I145" s="291"/>
      <c r="J145" s="291"/>
      <c r="K145" s="291"/>
      <c r="L145" s="291"/>
      <c r="M145" s="291"/>
      <c r="N145" s="291"/>
      <c r="O145" s="292"/>
      <c r="P145" s="288" t="s">
        <v>40</v>
      </c>
      <c r="Q145" s="289"/>
      <c r="R145" s="289"/>
      <c r="S145" s="289"/>
      <c r="T145" s="289"/>
      <c r="U145" s="289"/>
      <c r="V145" s="290"/>
      <c r="W145" s="40" t="s">
        <v>0</v>
      </c>
      <c r="X145" s="41">
        <f>IFERROR(SUMPRODUCT(X142:X143*H142:H143),"0")</f>
        <v>210</v>
      </c>
      <c r="Y145" s="41">
        <f>IFERROR(SUMPRODUCT(Y142:Y143*H142:H143),"0")</f>
        <v>210</v>
      </c>
      <c r="Z145" s="40"/>
      <c r="AA145" s="64"/>
      <c r="AB145" s="64"/>
      <c r="AC145" s="64"/>
    </row>
    <row r="146" spans="1:68" ht="16.5" hidden="1" customHeight="1" x14ac:dyDescent="0.25">
      <c r="A146" s="314" t="s">
        <v>244</v>
      </c>
      <c r="B146" s="314"/>
      <c r="C146" s="314"/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4"/>
      <c r="S146" s="314"/>
      <c r="T146" s="314"/>
      <c r="U146" s="314"/>
      <c r="V146" s="314"/>
      <c r="W146" s="314"/>
      <c r="X146" s="314"/>
      <c r="Y146" s="314"/>
      <c r="Z146" s="314"/>
      <c r="AA146" s="62"/>
      <c r="AB146" s="62"/>
      <c r="AC146" s="62"/>
    </row>
    <row r="147" spans="1:68" ht="14.25" hidden="1" customHeight="1" x14ac:dyDescent="0.25">
      <c r="A147" s="302" t="s">
        <v>147</v>
      </c>
      <c r="B147" s="302"/>
      <c r="C147" s="302"/>
      <c r="D147" s="302"/>
      <c r="E147" s="302"/>
      <c r="F147" s="302"/>
      <c r="G147" s="302"/>
      <c r="H147" s="302"/>
      <c r="I147" s="302"/>
      <c r="J147" s="302"/>
      <c r="K147" s="302"/>
      <c r="L147" s="302"/>
      <c r="M147" s="302"/>
      <c r="N147" s="302"/>
      <c r="O147" s="302"/>
      <c r="P147" s="302"/>
      <c r="Q147" s="302"/>
      <c r="R147" s="302"/>
      <c r="S147" s="302"/>
      <c r="T147" s="302"/>
      <c r="U147" s="302"/>
      <c r="V147" s="302"/>
      <c r="W147" s="302"/>
      <c r="X147" s="302"/>
      <c r="Y147" s="302"/>
      <c r="Z147" s="302"/>
      <c r="AA147" s="63"/>
      <c r="AB147" s="63"/>
      <c r="AC147" s="63"/>
    </row>
    <row r="148" spans="1:68" ht="27" hidden="1" customHeight="1" x14ac:dyDescent="0.25">
      <c r="A148" s="60" t="s">
        <v>245</v>
      </c>
      <c r="B148" s="60" t="s">
        <v>246</v>
      </c>
      <c r="C148" s="34">
        <v>4301135824</v>
      </c>
      <c r="D148" s="284">
        <v>4607111039095</v>
      </c>
      <c r="E148" s="284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116</v>
      </c>
      <c r="L148" s="35" t="s">
        <v>86</v>
      </c>
      <c r="M148" s="36" t="s">
        <v>84</v>
      </c>
      <c r="N148" s="36"/>
      <c r="O148" s="35">
        <v>180</v>
      </c>
      <c r="P148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6"/>
      <c r="R148" s="286"/>
      <c r="S148" s="286"/>
      <c r="T148" s="287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247</v>
      </c>
      <c r="AG148" s="78"/>
      <c r="AJ148" s="82" t="s">
        <v>87</v>
      </c>
      <c r="AK148" s="82">
        <v>1</v>
      </c>
      <c r="BB148" s="193" t="s">
        <v>115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27" hidden="1" customHeight="1" x14ac:dyDescent="0.25">
      <c r="A149" s="60" t="s">
        <v>248</v>
      </c>
      <c r="B149" s="60" t="s">
        <v>249</v>
      </c>
      <c r="C149" s="34">
        <v>4301135954</v>
      </c>
      <c r="D149" s="284">
        <v>4620207491768</v>
      </c>
      <c r="E149" s="284"/>
      <c r="F149" s="59">
        <v>0.25</v>
      </c>
      <c r="G149" s="35">
        <v>12</v>
      </c>
      <c r="H149" s="59">
        <v>3</v>
      </c>
      <c r="I149" s="59">
        <v>3.7480000000000002</v>
      </c>
      <c r="J149" s="35">
        <v>70</v>
      </c>
      <c r="K149" s="35" t="s">
        <v>116</v>
      </c>
      <c r="L149" s="35" t="s">
        <v>86</v>
      </c>
      <c r="M149" s="36" t="s">
        <v>84</v>
      </c>
      <c r="N149" s="36"/>
      <c r="O149" s="35">
        <v>180</v>
      </c>
      <c r="P149" s="341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6"/>
      <c r="R149" s="286"/>
      <c r="S149" s="286"/>
      <c r="T149" s="287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250</v>
      </c>
      <c r="AG149" s="78"/>
      <c r="AJ149" s="82" t="s">
        <v>87</v>
      </c>
      <c r="AK149" s="82">
        <v>1</v>
      </c>
      <c r="BB149" s="195" t="s">
        <v>115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t="16.5" customHeight="1" x14ac:dyDescent="0.25">
      <c r="A150" s="60" t="s">
        <v>251</v>
      </c>
      <c r="B150" s="60" t="s">
        <v>252</v>
      </c>
      <c r="C150" s="34">
        <v>4301135946</v>
      </c>
      <c r="D150" s="284">
        <v>4620207491553</v>
      </c>
      <c r="E150" s="284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116</v>
      </c>
      <c r="L150" s="35" t="s">
        <v>86</v>
      </c>
      <c r="M150" s="36" t="s">
        <v>84</v>
      </c>
      <c r="N150" s="36"/>
      <c r="O150" s="35">
        <v>180</v>
      </c>
      <c r="P150" s="34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6"/>
      <c r="R150" s="286"/>
      <c r="S150" s="286"/>
      <c r="T150" s="287"/>
      <c r="U150" s="37" t="s">
        <v>46</v>
      </c>
      <c r="V150" s="37" t="s">
        <v>46</v>
      </c>
      <c r="W150" s="38" t="s">
        <v>39</v>
      </c>
      <c r="X150" s="56">
        <v>70</v>
      </c>
      <c r="Y150" s="53">
        <f>IFERROR(IF(X150="","",X150),"")</f>
        <v>70</v>
      </c>
      <c r="Z150" s="39">
        <f>IFERROR(IF(X150="","",X150*0.01788),"")</f>
        <v>1.2516</v>
      </c>
      <c r="AA150" s="65" t="s">
        <v>46</v>
      </c>
      <c r="AB150" s="66" t="s">
        <v>46</v>
      </c>
      <c r="AC150" s="196" t="s">
        <v>250</v>
      </c>
      <c r="AG150" s="78"/>
      <c r="AJ150" s="82" t="s">
        <v>87</v>
      </c>
      <c r="AK150" s="82">
        <v>1</v>
      </c>
      <c r="BB150" s="197" t="s">
        <v>115</v>
      </c>
      <c r="BM150" s="78">
        <f>IFERROR(X150*I150,"0")</f>
        <v>259.25200000000001</v>
      </c>
      <c r="BN150" s="78">
        <f>IFERROR(Y150*I150,"0")</f>
        <v>259.25200000000001</v>
      </c>
      <c r="BO150" s="78">
        <f>IFERROR(X150/J150,"0")</f>
        <v>1</v>
      </c>
      <c r="BP150" s="78">
        <f>IFERROR(Y150/J150,"0")</f>
        <v>1</v>
      </c>
    </row>
    <row r="151" spans="1:68" x14ac:dyDescent="0.2">
      <c r="A151" s="291"/>
      <c r="B151" s="291"/>
      <c r="C151" s="291"/>
      <c r="D151" s="291"/>
      <c r="E151" s="291"/>
      <c r="F151" s="291"/>
      <c r="G151" s="291"/>
      <c r="H151" s="291"/>
      <c r="I151" s="291"/>
      <c r="J151" s="291"/>
      <c r="K151" s="291"/>
      <c r="L151" s="291"/>
      <c r="M151" s="291"/>
      <c r="N151" s="291"/>
      <c r="O151" s="292"/>
      <c r="P151" s="288" t="s">
        <v>40</v>
      </c>
      <c r="Q151" s="289"/>
      <c r="R151" s="289"/>
      <c r="S151" s="289"/>
      <c r="T151" s="289"/>
      <c r="U151" s="289"/>
      <c r="V151" s="290"/>
      <c r="W151" s="40" t="s">
        <v>39</v>
      </c>
      <c r="X151" s="41">
        <f>IFERROR(SUM(X148:X150),"0")</f>
        <v>70</v>
      </c>
      <c r="Y151" s="41">
        <f>IFERROR(SUM(Y148:Y150),"0")</f>
        <v>70</v>
      </c>
      <c r="Z151" s="41">
        <f>IFERROR(IF(Z148="",0,Z148),"0")+IFERROR(IF(Z149="",0,Z149),"0")+IFERROR(IF(Z150="",0,Z150),"0")</f>
        <v>1.2516</v>
      </c>
      <c r="AA151" s="64"/>
      <c r="AB151" s="64"/>
      <c r="AC151" s="64"/>
    </row>
    <row r="152" spans="1:68" x14ac:dyDescent="0.2">
      <c r="A152" s="291"/>
      <c r="B152" s="291"/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  <c r="O152" s="292"/>
      <c r="P152" s="288" t="s">
        <v>40</v>
      </c>
      <c r="Q152" s="289"/>
      <c r="R152" s="289"/>
      <c r="S152" s="289"/>
      <c r="T152" s="289"/>
      <c r="U152" s="289"/>
      <c r="V152" s="290"/>
      <c r="W152" s="40" t="s">
        <v>0</v>
      </c>
      <c r="X152" s="41">
        <f>IFERROR(SUMPRODUCT(X148:X150*H148:H150),"0")</f>
        <v>210</v>
      </c>
      <c r="Y152" s="41">
        <f>IFERROR(SUMPRODUCT(Y148:Y150*H148:H150),"0")</f>
        <v>210</v>
      </c>
      <c r="Z152" s="40"/>
      <c r="AA152" s="64"/>
      <c r="AB152" s="64"/>
      <c r="AC152" s="64"/>
    </row>
    <row r="153" spans="1:68" ht="16.5" hidden="1" customHeight="1" x14ac:dyDescent="0.25">
      <c r="A153" s="314" t="s">
        <v>253</v>
      </c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14"/>
      <c r="AA153" s="62"/>
      <c r="AB153" s="62"/>
      <c r="AC153" s="62"/>
    </row>
    <row r="154" spans="1:68" ht="14.25" hidden="1" customHeight="1" x14ac:dyDescent="0.25">
      <c r="A154" s="302" t="s">
        <v>147</v>
      </c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  <c r="AA154" s="63"/>
      <c r="AB154" s="63"/>
      <c r="AC154" s="63"/>
    </row>
    <row r="155" spans="1:68" ht="27" hidden="1" customHeight="1" x14ac:dyDescent="0.25">
      <c r="A155" s="60" t="s">
        <v>254</v>
      </c>
      <c r="B155" s="60" t="s">
        <v>255</v>
      </c>
      <c r="C155" s="34">
        <v>4301135753</v>
      </c>
      <c r="D155" s="284">
        <v>4620207490914</v>
      </c>
      <c r="E155" s="284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116</v>
      </c>
      <c r="L155" s="35" t="s">
        <v>86</v>
      </c>
      <c r="M155" s="36" t="s">
        <v>84</v>
      </c>
      <c r="N155" s="36"/>
      <c r="O155" s="35">
        <v>180</v>
      </c>
      <c r="P155" s="33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241</v>
      </c>
      <c r="AG155" s="78"/>
      <c r="AJ155" s="82" t="s">
        <v>87</v>
      </c>
      <c r="AK155" s="82">
        <v>1</v>
      </c>
      <c r="BB155" s="199" t="s">
        <v>115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t="27" hidden="1" customHeight="1" x14ac:dyDescent="0.25">
      <c r="A156" s="60" t="s">
        <v>256</v>
      </c>
      <c r="B156" s="60" t="s">
        <v>257</v>
      </c>
      <c r="C156" s="34">
        <v>4301135932</v>
      </c>
      <c r="D156" s="284">
        <v>4620207491676</v>
      </c>
      <c r="E156" s="284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86</v>
      </c>
      <c r="M156" s="36" t="s">
        <v>84</v>
      </c>
      <c r="N156" s="36"/>
      <c r="O156" s="35">
        <v>180</v>
      </c>
      <c r="P156" s="33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6"/>
      <c r="R156" s="286"/>
      <c r="S156" s="286"/>
      <c r="T156" s="287"/>
      <c r="U156" s="37" t="s">
        <v>46</v>
      </c>
      <c r="V156" s="37" t="s">
        <v>46</v>
      </c>
      <c r="W156" s="38" t="s">
        <v>39</v>
      </c>
      <c r="X156" s="56">
        <v>0</v>
      </c>
      <c r="Y156" s="53">
        <f>IFERROR(IF(X156="","",X156),"")</f>
        <v>0</v>
      </c>
      <c r="Z156" s="39">
        <f>IFERROR(IF(X156="","",X156*0.01788),"")</f>
        <v>0</v>
      </c>
      <c r="AA156" s="65" t="s">
        <v>46</v>
      </c>
      <c r="AB156" s="66" t="s">
        <v>46</v>
      </c>
      <c r="AC156" s="200" t="s">
        <v>258</v>
      </c>
      <c r="AG156" s="78"/>
      <c r="AJ156" s="82" t="s">
        <v>87</v>
      </c>
      <c r="AK156" s="82">
        <v>1</v>
      </c>
      <c r="BB156" s="201" t="s">
        <v>115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hidden="1" x14ac:dyDescent="0.2">
      <c r="A157" s="291"/>
      <c r="B157" s="291"/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  <c r="O157" s="292"/>
      <c r="P157" s="288" t="s">
        <v>40</v>
      </c>
      <c r="Q157" s="289"/>
      <c r="R157" s="289"/>
      <c r="S157" s="289"/>
      <c r="T157" s="289"/>
      <c r="U157" s="289"/>
      <c r="V157" s="290"/>
      <c r="W157" s="40" t="s">
        <v>39</v>
      </c>
      <c r="X157" s="41">
        <f>IFERROR(SUM(X155:X156),"0")</f>
        <v>0</v>
      </c>
      <c r="Y157" s="41">
        <f>IFERROR(SUM(Y155:Y156),"0")</f>
        <v>0</v>
      </c>
      <c r="Z157" s="41">
        <f>IFERROR(IF(Z155="",0,Z155),"0")+IFERROR(IF(Z156="",0,Z156),"0")</f>
        <v>0</v>
      </c>
      <c r="AA157" s="64"/>
      <c r="AB157" s="64"/>
      <c r="AC157" s="64"/>
    </row>
    <row r="158" spans="1:68" hidden="1" x14ac:dyDescent="0.2">
      <c r="A158" s="291"/>
      <c r="B158" s="291"/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  <c r="O158" s="292"/>
      <c r="P158" s="288" t="s">
        <v>40</v>
      </c>
      <c r="Q158" s="289"/>
      <c r="R158" s="289"/>
      <c r="S158" s="289"/>
      <c r="T158" s="289"/>
      <c r="U158" s="289"/>
      <c r="V158" s="290"/>
      <c r="W158" s="40" t="s">
        <v>0</v>
      </c>
      <c r="X158" s="41">
        <f>IFERROR(SUMPRODUCT(X155:X156*H155:H156),"0")</f>
        <v>0</v>
      </c>
      <c r="Y158" s="41">
        <f>IFERROR(SUMPRODUCT(Y155:Y156*H155:H156),"0")</f>
        <v>0</v>
      </c>
      <c r="Z158" s="40"/>
      <c r="AA158" s="64"/>
      <c r="AB158" s="64"/>
      <c r="AC158" s="64"/>
    </row>
    <row r="159" spans="1:68" ht="16.5" hidden="1" customHeight="1" x14ac:dyDescent="0.25">
      <c r="A159" s="314" t="s">
        <v>259</v>
      </c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14"/>
      <c r="AA159" s="62"/>
      <c r="AB159" s="62"/>
      <c r="AC159" s="62"/>
    </row>
    <row r="160" spans="1:68" ht="14.25" hidden="1" customHeight="1" x14ac:dyDescent="0.25">
      <c r="A160" s="302" t="s">
        <v>147</v>
      </c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63"/>
      <c r="AB160" s="63"/>
      <c r="AC160" s="63"/>
    </row>
    <row r="161" spans="1:68" ht="27" hidden="1" customHeight="1" x14ac:dyDescent="0.25">
      <c r="A161" s="60" t="s">
        <v>260</v>
      </c>
      <c r="B161" s="60" t="s">
        <v>261</v>
      </c>
      <c r="C161" s="34">
        <v>4301135940</v>
      </c>
      <c r="D161" s="284">
        <v>4620207491614</v>
      </c>
      <c r="E161" s="284"/>
      <c r="F161" s="59">
        <v>0.25</v>
      </c>
      <c r="G161" s="35">
        <v>12</v>
      </c>
      <c r="H161" s="59">
        <v>3</v>
      </c>
      <c r="I161" s="59">
        <v>3.7035999999999998</v>
      </c>
      <c r="J161" s="35">
        <v>70</v>
      </c>
      <c r="K161" s="35" t="s">
        <v>116</v>
      </c>
      <c r="L161" s="35" t="s">
        <v>86</v>
      </c>
      <c r="M161" s="36" t="s">
        <v>84</v>
      </c>
      <c r="N161" s="36"/>
      <c r="O161" s="35">
        <v>180</v>
      </c>
      <c r="P161" s="33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6"/>
      <c r="R161" s="286"/>
      <c r="S161" s="286"/>
      <c r="T161" s="287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2" t="s">
        <v>262</v>
      </c>
      <c r="AG161" s="78"/>
      <c r="AJ161" s="82" t="s">
        <v>87</v>
      </c>
      <c r="AK161" s="82">
        <v>1</v>
      </c>
      <c r="BB161" s="203" t="s">
        <v>115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hidden="1" x14ac:dyDescent="0.2">
      <c r="A162" s="291"/>
      <c r="B162" s="291"/>
      <c r="C162" s="291"/>
      <c r="D162" s="291"/>
      <c r="E162" s="291"/>
      <c r="F162" s="291"/>
      <c r="G162" s="291"/>
      <c r="H162" s="291"/>
      <c r="I162" s="291"/>
      <c r="J162" s="291"/>
      <c r="K162" s="291"/>
      <c r="L162" s="291"/>
      <c r="M162" s="291"/>
      <c r="N162" s="291"/>
      <c r="O162" s="292"/>
      <c r="P162" s="288" t="s">
        <v>40</v>
      </c>
      <c r="Q162" s="289"/>
      <c r="R162" s="289"/>
      <c r="S162" s="289"/>
      <c r="T162" s="289"/>
      <c r="U162" s="289"/>
      <c r="V162" s="290"/>
      <c r="W162" s="40" t="s">
        <v>39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291"/>
      <c r="B163" s="291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292"/>
      <c r="P163" s="288" t="s">
        <v>40</v>
      </c>
      <c r="Q163" s="289"/>
      <c r="R163" s="289"/>
      <c r="S163" s="289"/>
      <c r="T163" s="289"/>
      <c r="U163" s="289"/>
      <c r="V163" s="290"/>
      <c r="W163" s="40" t="s">
        <v>0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hidden="1" customHeight="1" x14ac:dyDescent="0.25">
      <c r="A164" s="314" t="s">
        <v>263</v>
      </c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4"/>
      <c r="AA164" s="62"/>
      <c r="AB164" s="62"/>
      <c r="AC164" s="62"/>
    </row>
    <row r="165" spans="1:68" ht="14.25" hidden="1" customHeight="1" x14ac:dyDescent="0.25">
      <c r="A165" s="302" t="s">
        <v>147</v>
      </c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  <c r="AA165" s="63"/>
      <c r="AB165" s="63"/>
      <c r="AC165" s="63"/>
    </row>
    <row r="166" spans="1:68" ht="16.5" hidden="1" customHeight="1" x14ac:dyDescent="0.25">
      <c r="A166" s="60" t="s">
        <v>264</v>
      </c>
      <c r="B166" s="60" t="s">
        <v>265</v>
      </c>
      <c r="C166" s="34">
        <v>4301135607</v>
      </c>
      <c r="D166" s="284">
        <v>4607111039613</v>
      </c>
      <c r="E166" s="284"/>
      <c r="F166" s="59">
        <v>0.09</v>
      </c>
      <c r="G166" s="35">
        <v>30</v>
      </c>
      <c r="H166" s="59">
        <v>2.7</v>
      </c>
      <c r="I166" s="59">
        <v>3.09</v>
      </c>
      <c r="J166" s="35">
        <v>126</v>
      </c>
      <c r="K166" s="35" t="s">
        <v>116</v>
      </c>
      <c r="L166" s="35" t="s">
        <v>117</v>
      </c>
      <c r="M166" s="36" t="s">
        <v>84</v>
      </c>
      <c r="N166" s="36"/>
      <c r="O166" s="35">
        <v>180</v>
      </c>
      <c r="P166" s="33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IFERROR(IF(X166="","",X166*0.00936),"")</f>
        <v>0</v>
      </c>
      <c r="AA166" s="65" t="s">
        <v>46</v>
      </c>
      <c r="AB166" s="66" t="s">
        <v>46</v>
      </c>
      <c r="AC166" s="204" t="s">
        <v>247</v>
      </c>
      <c r="AG166" s="78"/>
      <c r="AJ166" s="82" t="s">
        <v>118</v>
      </c>
      <c r="AK166" s="82">
        <v>14</v>
      </c>
      <c r="BB166" s="205" t="s">
        <v>115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hidden="1" x14ac:dyDescent="0.2">
      <c r="A167" s="291"/>
      <c r="B167" s="291"/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1"/>
      <c r="N167" s="291"/>
      <c r="O167" s="292"/>
      <c r="P167" s="288" t="s">
        <v>40</v>
      </c>
      <c r="Q167" s="289"/>
      <c r="R167" s="289"/>
      <c r="S167" s="289"/>
      <c r="T167" s="289"/>
      <c r="U167" s="289"/>
      <c r="V167" s="290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291"/>
      <c r="B168" s="291"/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292"/>
      <c r="P168" s="288" t="s">
        <v>40</v>
      </c>
      <c r="Q168" s="289"/>
      <c r="R168" s="289"/>
      <c r="S168" s="289"/>
      <c r="T168" s="289"/>
      <c r="U168" s="289"/>
      <c r="V168" s="290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hidden="1" customHeight="1" x14ac:dyDescent="0.25">
      <c r="A169" s="314" t="s">
        <v>266</v>
      </c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4"/>
      <c r="AA169" s="62"/>
      <c r="AB169" s="62"/>
      <c r="AC169" s="62"/>
    </row>
    <row r="170" spans="1:68" ht="14.25" hidden="1" customHeight="1" x14ac:dyDescent="0.25">
      <c r="A170" s="302" t="s">
        <v>147</v>
      </c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63"/>
      <c r="AB170" s="63"/>
      <c r="AC170" s="63"/>
    </row>
    <row r="171" spans="1:68" ht="27" hidden="1" customHeight="1" x14ac:dyDescent="0.25">
      <c r="A171" s="60" t="s">
        <v>267</v>
      </c>
      <c r="B171" s="60" t="s">
        <v>268</v>
      </c>
      <c r="C171" s="34">
        <v>4301135591</v>
      </c>
      <c r="D171" s="284">
        <v>4607111036568</v>
      </c>
      <c r="E171" s="284"/>
      <c r="F171" s="59">
        <v>0.28000000000000003</v>
      </c>
      <c r="G171" s="35">
        <v>6</v>
      </c>
      <c r="H171" s="59">
        <v>1.68</v>
      </c>
      <c r="I171" s="59">
        <v>2.1017999999999999</v>
      </c>
      <c r="J171" s="35">
        <v>140</v>
      </c>
      <c r="K171" s="35" t="s">
        <v>116</v>
      </c>
      <c r="L171" s="35" t="s">
        <v>117</v>
      </c>
      <c r="M171" s="36" t="s">
        <v>84</v>
      </c>
      <c r="N171" s="36"/>
      <c r="O171" s="35">
        <v>180</v>
      </c>
      <c r="P171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6"/>
      <c r="R171" s="286"/>
      <c r="S171" s="286"/>
      <c r="T171" s="287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IFERROR(IF(X171="","",X171*0.00941),"")</f>
        <v>0</v>
      </c>
      <c r="AA171" s="65" t="s">
        <v>46</v>
      </c>
      <c r="AB171" s="66" t="s">
        <v>46</v>
      </c>
      <c r="AC171" s="206" t="s">
        <v>269</v>
      </c>
      <c r="AG171" s="78"/>
      <c r="AJ171" s="82" t="s">
        <v>118</v>
      </c>
      <c r="AK171" s="82">
        <v>14</v>
      </c>
      <c r="BB171" s="207" t="s">
        <v>115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hidden="1" x14ac:dyDescent="0.2">
      <c r="A172" s="291"/>
      <c r="B172" s="291"/>
      <c r="C172" s="291"/>
      <c r="D172" s="291"/>
      <c r="E172" s="291"/>
      <c r="F172" s="291"/>
      <c r="G172" s="291"/>
      <c r="H172" s="291"/>
      <c r="I172" s="291"/>
      <c r="J172" s="291"/>
      <c r="K172" s="291"/>
      <c r="L172" s="291"/>
      <c r="M172" s="291"/>
      <c r="N172" s="291"/>
      <c r="O172" s="292"/>
      <c r="P172" s="288" t="s">
        <v>40</v>
      </c>
      <c r="Q172" s="289"/>
      <c r="R172" s="289"/>
      <c r="S172" s="289"/>
      <c r="T172" s="289"/>
      <c r="U172" s="289"/>
      <c r="V172" s="290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hidden="1" x14ac:dyDescent="0.2">
      <c r="A173" s="291"/>
      <c r="B173" s="291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292"/>
      <c r="P173" s="288" t="s">
        <v>40</v>
      </c>
      <c r="Q173" s="289"/>
      <c r="R173" s="289"/>
      <c r="S173" s="289"/>
      <c r="T173" s="289"/>
      <c r="U173" s="289"/>
      <c r="V173" s="290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27.75" hidden="1" customHeight="1" x14ac:dyDescent="0.2">
      <c r="A174" s="313" t="s">
        <v>270</v>
      </c>
      <c r="B174" s="313"/>
      <c r="C174" s="313"/>
      <c r="D174" s="313"/>
      <c r="E174" s="313"/>
      <c r="F174" s="313"/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  <c r="T174" s="313"/>
      <c r="U174" s="313"/>
      <c r="V174" s="313"/>
      <c r="W174" s="313"/>
      <c r="X174" s="313"/>
      <c r="Y174" s="313"/>
      <c r="Z174" s="313"/>
      <c r="AA174" s="52"/>
      <c r="AB174" s="52"/>
      <c r="AC174" s="52"/>
    </row>
    <row r="175" spans="1:68" ht="16.5" hidden="1" customHeight="1" x14ac:dyDescent="0.25">
      <c r="A175" s="314" t="s">
        <v>271</v>
      </c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4"/>
      <c r="AA175" s="62"/>
      <c r="AB175" s="62"/>
      <c r="AC175" s="62"/>
    </row>
    <row r="176" spans="1:68" ht="14.25" hidden="1" customHeight="1" x14ac:dyDescent="0.25">
      <c r="A176" s="302" t="s">
        <v>80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63"/>
      <c r="AB176" s="63"/>
      <c r="AC176" s="63"/>
    </row>
    <row r="177" spans="1:68" ht="16.5" hidden="1" customHeight="1" x14ac:dyDescent="0.25">
      <c r="A177" s="60" t="s">
        <v>272</v>
      </c>
      <c r="B177" s="60" t="s">
        <v>273</v>
      </c>
      <c r="C177" s="34">
        <v>4301071062</v>
      </c>
      <c r="D177" s="284">
        <v>4607111036384</v>
      </c>
      <c r="E177" s="284"/>
      <c r="F177" s="59">
        <v>5</v>
      </c>
      <c r="G177" s="35">
        <v>1</v>
      </c>
      <c r="H177" s="59">
        <v>5</v>
      </c>
      <c r="I177" s="59">
        <v>5.2106000000000003</v>
      </c>
      <c r="J177" s="35">
        <v>144</v>
      </c>
      <c r="K177" s="35" t="s">
        <v>85</v>
      </c>
      <c r="L177" s="35" t="s">
        <v>86</v>
      </c>
      <c r="M177" s="36" t="s">
        <v>84</v>
      </c>
      <c r="N177" s="36"/>
      <c r="O177" s="35">
        <v>180</v>
      </c>
      <c r="P177" s="33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274</v>
      </c>
      <c r="AG177" s="78"/>
      <c r="AJ177" s="82" t="s">
        <v>87</v>
      </c>
      <c r="AK177" s="82">
        <v>1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t="27" hidden="1" customHeight="1" x14ac:dyDescent="0.25">
      <c r="A178" s="60" t="s">
        <v>275</v>
      </c>
      <c r="B178" s="60" t="s">
        <v>276</v>
      </c>
      <c r="C178" s="34">
        <v>4301071050</v>
      </c>
      <c r="D178" s="284">
        <v>4607111036216</v>
      </c>
      <c r="E178" s="284"/>
      <c r="F178" s="59">
        <v>5</v>
      </c>
      <c r="G178" s="35">
        <v>1</v>
      </c>
      <c r="H178" s="59">
        <v>5</v>
      </c>
      <c r="I178" s="59">
        <v>5.2131999999999996</v>
      </c>
      <c r="J178" s="35">
        <v>144</v>
      </c>
      <c r="K178" s="35" t="s">
        <v>85</v>
      </c>
      <c r="L178" s="35" t="s">
        <v>117</v>
      </c>
      <c r="M178" s="36" t="s">
        <v>84</v>
      </c>
      <c r="N178" s="36"/>
      <c r="O178" s="35">
        <v>180</v>
      </c>
      <c r="P178" s="3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277</v>
      </c>
      <c r="AG178" s="78"/>
      <c r="AJ178" s="82" t="s">
        <v>118</v>
      </c>
      <c r="AK178" s="82">
        <v>12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hidden="1" x14ac:dyDescent="0.2">
      <c r="A179" s="291"/>
      <c r="B179" s="291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292"/>
      <c r="P179" s="288" t="s">
        <v>40</v>
      </c>
      <c r="Q179" s="289"/>
      <c r="R179" s="289"/>
      <c r="S179" s="289"/>
      <c r="T179" s="289"/>
      <c r="U179" s="289"/>
      <c r="V179" s="290"/>
      <c r="W179" s="40" t="s">
        <v>39</v>
      </c>
      <c r="X179" s="41">
        <f>IFERROR(SUM(X177:X178),"0")</f>
        <v>0</v>
      </c>
      <c r="Y179" s="41">
        <f>IFERROR(SUM(Y177:Y178),"0")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291"/>
      <c r="B180" s="291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292"/>
      <c r="P180" s="288" t="s">
        <v>40</v>
      </c>
      <c r="Q180" s="289"/>
      <c r="R180" s="289"/>
      <c r="S180" s="289"/>
      <c r="T180" s="289"/>
      <c r="U180" s="289"/>
      <c r="V180" s="290"/>
      <c r="W180" s="40" t="s">
        <v>0</v>
      </c>
      <c r="X180" s="41">
        <f>IFERROR(SUMPRODUCT(X177:X178*H177:H178),"0")</f>
        <v>0</v>
      </c>
      <c r="Y180" s="41">
        <f>IFERROR(SUMPRODUCT(Y177:Y178*H177:H178),"0")</f>
        <v>0</v>
      </c>
      <c r="Z180" s="40"/>
      <c r="AA180" s="64"/>
      <c r="AB180" s="64"/>
      <c r="AC180" s="64"/>
    </row>
    <row r="181" spans="1:68" ht="16.5" hidden="1" customHeight="1" x14ac:dyDescent="0.25">
      <c r="A181" s="314" t="s">
        <v>278</v>
      </c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4"/>
      <c r="AA181" s="62"/>
      <c r="AB181" s="62"/>
      <c r="AC181" s="62"/>
    </row>
    <row r="182" spans="1:68" ht="14.25" hidden="1" customHeight="1" x14ac:dyDescent="0.25">
      <c r="A182" s="302" t="s">
        <v>80</v>
      </c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  <c r="AA182" s="63"/>
      <c r="AB182" s="63"/>
      <c r="AC182" s="63"/>
    </row>
    <row r="183" spans="1:68" ht="27" hidden="1" customHeight="1" x14ac:dyDescent="0.25">
      <c r="A183" s="60" t="s">
        <v>279</v>
      </c>
      <c r="B183" s="60" t="s">
        <v>280</v>
      </c>
      <c r="C183" s="34">
        <v>4301071117</v>
      </c>
      <c r="D183" s="284">
        <v>4620207491737</v>
      </c>
      <c r="E183" s="284"/>
      <c r="F183" s="59">
        <v>1</v>
      </c>
      <c r="G183" s="35">
        <v>5</v>
      </c>
      <c r="H183" s="59">
        <v>5</v>
      </c>
      <c r="I183" s="59">
        <v>5.2619999999999996</v>
      </c>
      <c r="J183" s="35">
        <v>84</v>
      </c>
      <c r="K183" s="35" t="s">
        <v>85</v>
      </c>
      <c r="L183" s="35" t="s">
        <v>86</v>
      </c>
      <c r="M183" s="36" t="s">
        <v>84</v>
      </c>
      <c r="N183" s="36"/>
      <c r="O183" s="35">
        <v>180</v>
      </c>
      <c r="P183" s="3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IFERROR(IF(X183="","",X183*0.0155),"")</f>
        <v>0</v>
      </c>
      <c r="AA183" s="65" t="s">
        <v>46</v>
      </c>
      <c r="AB183" s="66" t="s">
        <v>46</v>
      </c>
      <c r="AC183" s="212" t="s">
        <v>277</v>
      </c>
      <c r="AG183" s="78"/>
      <c r="AJ183" s="82" t="s">
        <v>87</v>
      </c>
      <c r="AK183" s="82">
        <v>1</v>
      </c>
      <c r="BB183" s="213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hidden="1" x14ac:dyDescent="0.2">
      <c r="A184" s="291"/>
      <c r="B184" s="291"/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  <c r="O184" s="292"/>
      <c r="P184" s="288" t="s">
        <v>40</v>
      </c>
      <c r="Q184" s="289"/>
      <c r="R184" s="289"/>
      <c r="S184" s="289"/>
      <c r="T184" s="289"/>
      <c r="U184" s="289"/>
      <c r="V184" s="290"/>
      <c r="W184" s="40" t="s">
        <v>39</v>
      </c>
      <c r="X184" s="41">
        <f>IFERROR(SUM(X183:X183),"0")</f>
        <v>0</v>
      </c>
      <c r="Y184" s="41">
        <f>IFERROR(SUM(Y183:Y183),"0")</f>
        <v>0</v>
      </c>
      <c r="Z184" s="41">
        <f>IFERROR(IF(Z183="",0,Z183),"0")</f>
        <v>0</v>
      </c>
      <c r="AA184" s="64"/>
      <c r="AB184" s="64"/>
      <c r="AC184" s="64"/>
    </row>
    <row r="185" spans="1:68" hidden="1" x14ac:dyDescent="0.2">
      <c r="A185" s="291"/>
      <c r="B185" s="291"/>
      <c r="C185" s="291"/>
      <c r="D185" s="291"/>
      <c r="E185" s="291"/>
      <c r="F185" s="291"/>
      <c r="G185" s="291"/>
      <c r="H185" s="291"/>
      <c r="I185" s="291"/>
      <c r="J185" s="291"/>
      <c r="K185" s="291"/>
      <c r="L185" s="291"/>
      <c r="M185" s="291"/>
      <c r="N185" s="291"/>
      <c r="O185" s="292"/>
      <c r="P185" s="288" t="s">
        <v>40</v>
      </c>
      <c r="Q185" s="289"/>
      <c r="R185" s="289"/>
      <c r="S185" s="289"/>
      <c r="T185" s="289"/>
      <c r="U185" s="289"/>
      <c r="V185" s="290"/>
      <c r="W185" s="40" t="s">
        <v>0</v>
      </c>
      <c r="X185" s="41">
        <f>IFERROR(SUMPRODUCT(X183:X183*H183:H183),"0")</f>
        <v>0</v>
      </c>
      <c r="Y185" s="41">
        <f>IFERROR(SUMPRODUCT(Y183:Y183*H183:H183),"0")</f>
        <v>0</v>
      </c>
      <c r="Z185" s="40"/>
      <c r="AA185" s="64"/>
      <c r="AB185" s="64"/>
      <c r="AC185" s="64"/>
    </row>
    <row r="186" spans="1:68" ht="27.75" hidden="1" customHeight="1" x14ac:dyDescent="0.2">
      <c r="A186" s="313" t="s">
        <v>281</v>
      </c>
      <c r="B186" s="313"/>
      <c r="C186" s="313"/>
      <c r="D186" s="313"/>
      <c r="E186" s="313"/>
      <c r="F186" s="313"/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  <c r="T186" s="313"/>
      <c r="U186" s="313"/>
      <c r="V186" s="313"/>
      <c r="W186" s="313"/>
      <c r="X186" s="313"/>
      <c r="Y186" s="313"/>
      <c r="Z186" s="313"/>
      <c r="AA186" s="52"/>
      <c r="AB186" s="52"/>
      <c r="AC186" s="52"/>
    </row>
    <row r="187" spans="1:68" ht="16.5" hidden="1" customHeight="1" x14ac:dyDescent="0.25">
      <c r="A187" s="314" t="s">
        <v>282</v>
      </c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4"/>
      <c r="AA187" s="62"/>
      <c r="AB187" s="62"/>
      <c r="AC187" s="62"/>
    </row>
    <row r="188" spans="1:68" ht="14.25" hidden="1" customHeight="1" x14ac:dyDescent="0.25">
      <c r="A188" s="302" t="s">
        <v>111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63"/>
      <c r="AB188" s="63"/>
      <c r="AC188" s="63"/>
    </row>
    <row r="189" spans="1:68" ht="16.5" customHeight="1" x14ac:dyDescent="0.25">
      <c r="A189" s="60" t="s">
        <v>283</v>
      </c>
      <c r="B189" s="60" t="s">
        <v>284</v>
      </c>
      <c r="C189" s="34">
        <v>4301132179</v>
      </c>
      <c r="D189" s="284">
        <v>4607111035691</v>
      </c>
      <c r="E189" s="284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116</v>
      </c>
      <c r="L189" s="35" t="s">
        <v>117</v>
      </c>
      <c r="M189" s="36" t="s">
        <v>84</v>
      </c>
      <c r="N189" s="36"/>
      <c r="O189" s="35">
        <v>365</v>
      </c>
      <c r="P189" s="3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7" t="s">
        <v>46</v>
      </c>
      <c r="V189" s="37" t="s">
        <v>46</v>
      </c>
      <c r="W189" s="38" t="s">
        <v>39</v>
      </c>
      <c r="X189" s="56">
        <v>28</v>
      </c>
      <c r="Y189" s="53">
        <f>IFERROR(IF(X189="","",X189),"")</f>
        <v>28</v>
      </c>
      <c r="Z189" s="39">
        <f>IFERROR(IF(X189="","",X189*0.01788),"")</f>
        <v>0.50063999999999997</v>
      </c>
      <c r="AA189" s="65" t="s">
        <v>46</v>
      </c>
      <c r="AB189" s="66" t="s">
        <v>46</v>
      </c>
      <c r="AC189" s="214" t="s">
        <v>285</v>
      </c>
      <c r="AG189" s="78"/>
      <c r="AJ189" s="82" t="s">
        <v>118</v>
      </c>
      <c r="AK189" s="82">
        <v>14</v>
      </c>
      <c r="BB189" s="215" t="s">
        <v>115</v>
      </c>
      <c r="BM189" s="78">
        <f>IFERROR(X189*I189,"0")</f>
        <v>94.864000000000004</v>
      </c>
      <c r="BN189" s="78">
        <f>IFERROR(Y189*I189,"0")</f>
        <v>94.864000000000004</v>
      </c>
      <c r="BO189" s="78">
        <f>IFERROR(X189/J189,"0")</f>
        <v>0.4</v>
      </c>
      <c r="BP189" s="78">
        <f>IFERROR(Y189/J189,"0")</f>
        <v>0.4</v>
      </c>
    </row>
    <row r="190" spans="1:68" ht="27" customHeight="1" x14ac:dyDescent="0.25">
      <c r="A190" s="60" t="s">
        <v>286</v>
      </c>
      <c r="B190" s="60" t="s">
        <v>287</v>
      </c>
      <c r="C190" s="34">
        <v>4301132182</v>
      </c>
      <c r="D190" s="284">
        <v>4607111035721</v>
      </c>
      <c r="E190" s="284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7" t="s">
        <v>46</v>
      </c>
      <c r="V190" s="37" t="s">
        <v>46</v>
      </c>
      <c r="W190" s="38" t="s">
        <v>39</v>
      </c>
      <c r="X190" s="56">
        <v>14</v>
      </c>
      <c r="Y190" s="53">
        <f>IFERROR(IF(X190="","",X190),"")</f>
        <v>14</v>
      </c>
      <c r="Z190" s="39">
        <f>IFERROR(IF(X190="","",X190*0.01788),"")</f>
        <v>0.25031999999999999</v>
      </c>
      <c r="AA190" s="65" t="s">
        <v>46</v>
      </c>
      <c r="AB190" s="66" t="s">
        <v>46</v>
      </c>
      <c r="AC190" s="216" t="s">
        <v>288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47.432000000000002</v>
      </c>
      <c r="BN190" s="78">
        <f>IFERROR(Y190*I190,"0")</f>
        <v>47.432000000000002</v>
      </c>
      <c r="BO190" s="78">
        <f>IFERROR(X190/J190,"0")</f>
        <v>0.2</v>
      </c>
      <c r="BP190" s="78">
        <f>IFERROR(Y190/J190,"0")</f>
        <v>0.2</v>
      </c>
    </row>
    <row r="191" spans="1:68" ht="27" customHeight="1" x14ac:dyDescent="0.25">
      <c r="A191" s="60" t="s">
        <v>289</v>
      </c>
      <c r="B191" s="60" t="s">
        <v>290</v>
      </c>
      <c r="C191" s="34">
        <v>4301132170</v>
      </c>
      <c r="D191" s="284">
        <v>4607111038487</v>
      </c>
      <c r="E191" s="284"/>
      <c r="F191" s="59">
        <v>0.25</v>
      </c>
      <c r="G191" s="35">
        <v>12</v>
      </c>
      <c r="H191" s="59">
        <v>3</v>
      </c>
      <c r="I191" s="59">
        <v>3.7360000000000002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180</v>
      </c>
      <c r="P191" s="3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7" t="s">
        <v>46</v>
      </c>
      <c r="V191" s="37" t="s">
        <v>46</v>
      </c>
      <c r="W191" s="38" t="s">
        <v>39</v>
      </c>
      <c r="X191" s="56">
        <v>14</v>
      </c>
      <c r="Y191" s="53">
        <f>IFERROR(IF(X191="","",X191),"")</f>
        <v>14</v>
      </c>
      <c r="Z191" s="39">
        <f>IFERROR(IF(X191="","",X191*0.01788),"")</f>
        <v>0.25031999999999999</v>
      </c>
      <c r="AA191" s="65" t="s">
        <v>46</v>
      </c>
      <c r="AB191" s="66" t="s">
        <v>46</v>
      </c>
      <c r="AC191" s="218" t="s">
        <v>291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52.304000000000002</v>
      </c>
      <c r="BN191" s="78">
        <f>IFERROR(Y191*I191,"0")</f>
        <v>52.304000000000002</v>
      </c>
      <c r="BO191" s="78">
        <f>IFERROR(X191/J191,"0")</f>
        <v>0.2</v>
      </c>
      <c r="BP191" s="78">
        <f>IFERROR(Y191/J191,"0")</f>
        <v>0.2</v>
      </c>
    </row>
    <row r="192" spans="1:68" ht="27" hidden="1" customHeight="1" x14ac:dyDescent="0.25">
      <c r="A192" s="60" t="s">
        <v>292</v>
      </c>
      <c r="B192" s="60" t="s">
        <v>293</v>
      </c>
      <c r="C192" s="34">
        <v>4301132243</v>
      </c>
      <c r="D192" s="284">
        <v>4620207491195</v>
      </c>
      <c r="E192" s="284"/>
      <c r="F192" s="59">
        <v>0.23</v>
      </c>
      <c r="G192" s="35">
        <v>12</v>
      </c>
      <c r="H192" s="59">
        <v>2.76</v>
      </c>
      <c r="I192" s="59">
        <v>3.1480000000000001</v>
      </c>
      <c r="J192" s="35">
        <v>70</v>
      </c>
      <c r="K192" s="35" t="s">
        <v>116</v>
      </c>
      <c r="L192" s="35" t="s">
        <v>86</v>
      </c>
      <c r="M192" s="36" t="s">
        <v>84</v>
      </c>
      <c r="N192" s="36"/>
      <c r="O192" s="35">
        <v>180</v>
      </c>
      <c r="P192" s="3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294</v>
      </c>
      <c r="AG192" s="78"/>
      <c r="AJ192" s="82" t="s">
        <v>87</v>
      </c>
      <c r="AK192" s="82">
        <v>1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x14ac:dyDescent="0.2">
      <c r="A193" s="291"/>
      <c r="B193" s="291"/>
      <c r="C193" s="291"/>
      <c r="D193" s="291"/>
      <c r="E193" s="291"/>
      <c r="F193" s="291"/>
      <c r="G193" s="291"/>
      <c r="H193" s="291"/>
      <c r="I193" s="291"/>
      <c r="J193" s="291"/>
      <c r="K193" s="291"/>
      <c r="L193" s="291"/>
      <c r="M193" s="291"/>
      <c r="N193" s="291"/>
      <c r="O193" s="292"/>
      <c r="P193" s="288" t="s">
        <v>40</v>
      </c>
      <c r="Q193" s="289"/>
      <c r="R193" s="289"/>
      <c r="S193" s="289"/>
      <c r="T193" s="289"/>
      <c r="U193" s="289"/>
      <c r="V193" s="290"/>
      <c r="W193" s="40" t="s">
        <v>39</v>
      </c>
      <c r="X193" s="41">
        <f>IFERROR(SUM(X189:X192),"0")</f>
        <v>56</v>
      </c>
      <c r="Y193" s="41">
        <f>IFERROR(SUM(Y189:Y192),"0")</f>
        <v>56</v>
      </c>
      <c r="Z193" s="41">
        <f>IFERROR(IF(Z189="",0,Z189),"0")+IFERROR(IF(Z190="",0,Z190),"0")+IFERROR(IF(Z191="",0,Z191),"0")+IFERROR(IF(Z192="",0,Z192),"0")</f>
        <v>1.0012799999999999</v>
      </c>
      <c r="AA193" s="64"/>
      <c r="AB193" s="64"/>
      <c r="AC193" s="64"/>
    </row>
    <row r="194" spans="1:68" x14ac:dyDescent="0.2">
      <c r="A194" s="291"/>
      <c r="B194" s="291"/>
      <c r="C194" s="291"/>
      <c r="D194" s="291"/>
      <c r="E194" s="291"/>
      <c r="F194" s="291"/>
      <c r="G194" s="291"/>
      <c r="H194" s="291"/>
      <c r="I194" s="291"/>
      <c r="J194" s="291"/>
      <c r="K194" s="291"/>
      <c r="L194" s="291"/>
      <c r="M194" s="291"/>
      <c r="N194" s="291"/>
      <c r="O194" s="292"/>
      <c r="P194" s="288" t="s">
        <v>40</v>
      </c>
      <c r="Q194" s="289"/>
      <c r="R194" s="289"/>
      <c r="S194" s="289"/>
      <c r="T194" s="289"/>
      <c r="U194" s="289"/>
      <c r="V194" s="290"/>
      <c r="W194" s="40" t="s">
        <v>0</v>
      </c>
      <c r="X194" s="41">
        <f>IFERROR(SUMPRODUCT(X189:X192*H189:H192),"0")</f>
        <v>168</v>
      </c>
      <c r="Y194" s="41">
        <f>IFERROR(SUMPRODUCT(Y189:Y192*H189:H192),"0")</f>
        <v>168</v>
      </c>
      <c r="Z194" s="40"/>
      <c r="AA194" s="64"/>
      <c r="AB194" s="64"/>
      <c r="AC194" s="64"/>
    </row>
    <row r="195" spans="1:68" ht="27.75" hidden="1" customHeight="1" x14ac:dyDescent="0.2">
      <c r="A195" s="313" t="s">
        <v>295</v>
      </c>
      <c r="B195" s="313"/>
      <c r="C195" s="313"/>
      <c r="D195" s="313"/>
      <c r="E195" s="313"/>
      <c r="F195" s="313"/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  <c r="T195" s="313"/>
      <c r="U195" s="313"/>
      <c r="V195" s="313"/>
      <c r="W195" s="313"/>
      <c r="X195" s="313"/>
      <c r="Y195" s="313"/>
      <c r="Z195" s="313"/>
      <c r="AA195" s="52"/>
      <c r="AB195" s="52"/>
      <c r="AC195" s="52"/>
    </row>
    <row r="196" spans="1:68" ht="16.5" hidden="1" customHeight="1" x14ac:dyDescent="0.25">
      <c r="A196" s="314" t="s">
        <v>296</v>
      </c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4"/>
      <c r="AA196" s="62"/>
      <c r="AB196" s="62"/>
      <c r="AC196" s="62"/>
    </row>
    <row r="197" spans="1:68" ht="14.25" hidden="1" customHeight="1" x14ac:dyDescent="0.25">
      <c r="A197" s="302" t="s">
        <v>111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63"/>
      <c r="AB197" s="63"/>
      <c r="AC197" s="63"/>
    </row>
    <row r="198" spans="1:68" ht="27" hidden="1" customHeight="1" x14ac:dyDescent="0.25">
      <c r="A198" s="60" t="s">
        <v>297</v>
      </c>
      <c r="B198" s="60" t="s">
        <v>298</v>
      </c>
      <c r="C198" s="34">
        <v>4301132227</v>
      </c>
      <c r="D198" s="284">
        <v>4620207491133</v>
      </c>
      <c r="E198" s="284"/>
      <c r="F198" s="59">
        <v>0.23</v>
      </c>
      <c r="G198" s="35">
        <v>12</v>
      </c>
      <c r="H198" s="59">
        <v>2.76</v>
      </c>
      <c r="I198" s="59">
        <v>2.98</v>
      </c>
      <c r="J198" s="35">
        <v>70</v>
      </c>
      <c r="K198" s="35" t="s">
        <v>116</v>
      </c>
      <c r="L198" s="35" t="s">
        <v>117</v>
      </c>
      <c r="M198" s="36" t="s">
        <v>84</v>
      </c>
      <c r="N198" s="36"/>
      <c r="O198" s="35">
        <v>180</v>
      </c>
      <c r="P198" s="3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7" t="s">
        <v>46</v>
      </c>
      <c r="V198" s="37" t="s">
        <v>46</v>
      </c>
      <c r="W198" s="38" t="s">
        <v>39</v>
      </c>
      <c r="X198" s="56">
        <v>0</v>
      </c>
      <c r="Y198" s="53">
        <f>IFERROR(IF(X198="","",X198),"")</f>
        <v>0</v>
      </c>
      <c r="Z198" s="39">
        <f>IFERROR(IF(X198="","",X198*0.01788),"")</f>
        <v>0</v>
      </c>
      <c r="AA198" s="65" t="s">
        <v>46</v>
      </c>
      <c r="AB198" s="66" t="s">
        <v>46</v>
      </c>
      <c r="AC198" s="222" t="s">
        <v>299</v>
      </c>
      <c r="AG198" s="78"/>
      <c r="AJ198" s="82" t="s">
        <v>118</v>
      </c>
      <c r="AK198" s="82">
        <v>14</v>
      </c>
      <c r="BB198" s="223" t="s">
        <v>115</v>
      </c>
      <c r="BM198" s="78">
        <f>IFERROR(X198*I198,"0")</f>
        <v>0</v>
      </c>
      <c r="BN198" s="78">
        <f>IFERROR(Y198*I198,"0")</f>
        <v>0</v>
      </c>
      <c r="BO198" s="78">
        <f>IFERROR(X198/J198,"0")</f>
        <v>0</v>
      </c>
      <c r="BP198" s="78">
        <f>IFERROR(Y198/J198,"0")</f>
        <v>0</v>
      </c>
    </row>
    <row r="199" spans="1:68" hidden="1" x14ac:dyDescent="0.2">
      <c r="A199" s="291"/>
      <c r="B199" s="291"/>
      <c r="C199" s="291"/>
      <c r="D199" s="291"/>
      <c r="E199" s="291"/>
      <c r="F199" s="291"/>
      <c r="G199" s="291"/>
      <c r="H199" s="291"/>
      <c r="I199" s="291"/>
      <c r="J199" s="291"/>
      <c r="K199" s="291"/>
      <c r="L199" s="291"/>
      <c r="M199" s="291"/>
      <c r="N199" s="291"/>
      <c r="O199" s="292"/>
      <c r="P199" s="288" t="s">
        <v>40</v>
      </c>
      <c r="Q199" s="289"/>
      <c r="R199" s="289"/>
      <c r="S199" s="289"/>
      <c r="T199" s="289"/>
      <c r="U199" s="289"/>
      <c r="V199" s="290"/>
      <c r="W199" s="40" t="s">
        <v>39</v>
      </c>
      <c r="X199" s="41">
        <f>IFERROR(SUM(X198:X198),"0")</f>
        <v>0</v>
      </c>
      <c r="Y199" s="41">
        <f>IFERROR(SUM(Y198:Y198),"0")</f>
        <v>0</v>
      </c>
      <c r="Z199" s="41">
        <f>IFERROR(IF(Z198="",0,Z198),"0")</f>
        <v>0</v>
      </c>
      <c r="AA199" s="64"/>
      <c r="AB199" s="64"/>
      <c r="AC199" s="64"/>
    </row>
    <row r="200" spans="1:68" hidden="1" x14ac:dyDescent="0.2">
      <c r="A200" s="291"/>
      <c r="B200" s="291"/>
      <c r="C200" s="291"/>
      <c r="D200" s="291"/>
      <c r="E200" s="291"/>
      <c r="F200" s="291"/>
      <c r="G200" s="291"/>
      <c r="H200" s="291"/>
      <c r="I200" s="291"/>
      <c r="J200" s="291"/>
      <c r="K200" s="291"/>
      <c r="L200" s="291"/>
      <c r="M200" s="291"/>
      <c r="N200" s="291"/>
      <c r="O200" s="292"/>
      <c r="P200" s="288" t="s">
        <v>40</v>
      </c>
      <c r="Q200" s="289"/>
      <c r="R200" s="289"/>
      <c r="S200" s="289"/>
      <c r="T200" s="289"/>
      <c r="U200" s="289"/>
      <c r="V200" s="290"/>
      <c r="W200" s="40" t="s">
        <v>0</v>
      </c>
      <c r="X200" s="41">
        <f>IFERROR(SUMPRODUCT(X198:X198*H198:H198),"0")</f>
        <v>0</v>
      </c>
      <c r="Y200" s="41">
        <f>IFERROR(SUMPRODUCT(Y198:Y198*H198:H198),"0")</f>
        <v>0</v>
      </c>
      <c r="Z200" s="40"/>
      <c r="AA200" s="64"/>
      <c r="AB200" s="64"/>
      <c r="AC200" s="64"/>
    </row>
    <row r="201" spans="1:68" ht="14.25" hidden="1" customHeight="1" x14ac:dyDescent="0.25">
      <c r="A201" s="302" t="s">
        <v>147</v>
      </c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63"/>
      <c r="AB201" s="63"/>
      <c r="AC201" s="63"/>
    </row>
    <row r="202" spans="1:68" ht="27" hidden="1" customHeight="1" x14ac:dyDescent="0.25">
      <c r="A202" s="60" t="s">
        <v>300</v>
      </c>
      <c r="B202" s="60" t="s">
        <v>301</v>
      </c>
      <c r="C202" s="34">
        <v>4301135834</v>
      </c>
      <c r="D202" s="284">
        <v>4620207491188</v>
      </c>
      <c r="E202" s="284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116</v>
      </c>
      <c r="L202" s="35" t="s">
        <v>86</v>
      </c>
      <c r="M202" s="36" t="s">
        <v>84</v>
      </c>
      <c r="N202" s="36"/>
      <c r="O202" s="35">
        <v>180</v>
      </c>
      <c r="P202" s="32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4" t="s">
        <v>302</v>
      </c>
      <c r="AG202" s="78"/>
      <c r="AJ202" s="82" t="s">
        <v>87</v>
      </c>
      <c r="AK202" s="82">
        <v>1</v>
      </c>
      <c r="BB202" s="225" t="s">
        <v>115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hidden="1" customHeight="1" x14ac:dyDescent="0.25">
      <c r="A203" s="60" t="s">
        <v>303</v>
      </c>
      <c r="B203" s="60" t="s">
        <v>304</v>
      </c>
      <c r="C203" s="34">
        <v>4301135696</v>
      </c>
      <c r="D203" s="284">
        <v>4620207490235</v>
      </c>
      <c r="E203" s="284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117</v>
      </c>
      <c r="M203" s="36" t="s">
        <v>84</v>
      </c>
      <c r="N203" s="36"/>
      <c r="O203" s="35">
        <v>180</v>
      </c>
      <c r="P203" s="32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305</v>
      </c>
      <c r="AG203" s="78"/>
      <c r="AJ203" s="82" t="s">
        <v>118</v>
      </c>
      <c r="AK203" s="82">
        <v>14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hidden="1" customHeight="1" x14ac:dyDescent="0.25">
      <c r="A204" s="60" t="s">
        <v>306</v>
      </c>
      <c r="B204" s="60" t="s">
        <v>307</v>
      </c>
      <c r="C204" s="34">
        <v>4301135697</v>
      </c>
      <c r="D204" s="284">
        <v>4620207490259</v>
      </c>
      <c r="E204" s="284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3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308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idden="1" x14ac:dyDescent="0.2">
      <c r="A205" s="291"/>
      <c r="B205" s="291"/>
      <c r="C205" s="291"/>
      <c r="D205" s="291"/>
      <c r="E205" s="291"/>
      <c r="F205" s="291"/>
      <c r="G205" s="291"/>
      <c r="H205" s="291"/>
      <c r="I205" s="291"/>
      <c r="J205" s="291"/>
      <c r="K205" s="291"/>
      <c r="L205" s="291"/>
      <c r="M205" s="291"/>
      <c r="N205" s="291"/>
      <c r="O205" s="292"/>
      <c r="P205" s="288" t="s">
        <v>40</v>
      </c>
      <c r="Q205" s="289"/>
      <c r="R205" s="289"/>
      <c r="S205" s="289"/>
      <c r="T205" s="289"/>
      <c r="U205" s="289"/>
      <c r="V205" s="290"/>
      <c r="W205" s="40" t="s">
        <v>39</v>
      </c>
      <c r="X205" s="41">
        <f>IFERROR(SUM(X202:X204),"0")</f>
        <v>0</v>
      </c>
      <c r="Y205" s="41">
        <f>IFERROR(SUM(Y202:Y204),"0")</f>
        <v>0</v>
      </c>
      <c r="Z205" s="41">
        <f>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291"/>
      <c r="B206" s="291"/>
      <c r="C206" s="291"/>
      <c r="D206" s="291"/>
      <c r="E206" s="291"/>
      <c r="F206" s="291"/>
      <c r="G206" s="291"/>
      <c r="H206" s="291"/>
      <c r="I206" s="291"/>
      <c r="J206" s="291"/>
      <c r="K206" s="291"/>
      <c r="L206" s="291"/>
      <c r="M206" s="291"/>
      <c r="N206" s="291"/>
      <c r="O206" s="292"/>
      <c r="P206" s="288" t="s">
        <v>40</v>
      </c>
      <c r="Q206" s="289"/>
      <c r="R206" s="289"/>
      <c r="S206" s="289"/>
      <c r="T206" s="289"/>
      <c r="U206" s="289"/>
      <c r="V206" s="290"/>
      <c r="W206" s="40" t="s">
        <v>0</v>
      </c>
      <c r="X206" s="41">
        <f>IFERROR(SUMPRODUCT(X202:X204*H202:H204),"0")</f>
        <v>0</v>
      </c>
      <c r="Y206" s="41">
        <f>IFERROR(SUMPRODUCT(Y202:Y204*H202:H204),"0")</f>
        <v>0</v>
      </c>
      <c r="Z206" s="40"/>
      <c r="AA206" s="64"/>
      <c r="AB206" s="64"/>
      <c r="AC206" s="64"/>
    </row>
    <row r="207" spans="1:68" ht="16.5" hidden="1" customHeight="1" x14ac:dyDescent="0.25">
      <c r="A207" s="314" t="s">
        <v>309</v>
      </c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4"/>
      <c r="AA207" s="62"/>
      <c r="AB207" s="62"/>
      <c r="AC207" s="62"/>
    </row>
    <row r="208" spans="1:68" ht="14.25" hidden="1" customHeight="1" x14ac:dyDescent="0.25">
      <c r="A208" s="302" t="s">
        <v>147</v>
      </c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63"/>
      <c r="AB208" s="63"/>
      <c r="AC208" s="63"/>
    </row>
    <row r="209" spans="1:68" ht="27" hidden="1" customHeight="1" x14ac:dyDescent="0.25">
      <c r="A209" s="60" t="s">
        <v>310</v>
      </c>
      <c r="B209" s="60" t="s">
        <v>311</v>
      </c>
      <c r="C209" s="34">
        <v>4301135854</v>
      </c>
      <c r="D209" s="284">
        <v>4620207491706</v>
      </c>
      <c r="E209" s="284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116</v>
      </c>
      <c r="L209" s="35" t="s">
        <v>86</v>
      </c>
      <c r="M209" s="36" t="s">
        <v>84</v>
      </c>
      <c r="N209" s="36"/>
      <c r="O209" s="35">
        <v>180</v>
      </c>
      <c r="P209" s="32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0" t="s">
        <v>312</v>
      </c>
      <c r="AG209" s="78"/>
      <c r="AJ209" s="82" t="s">
        <v>87</v>
      </c>
      <c r="AK209" s="82">
        <v>1</v>
      </c>
      <c r="BB209" s="231" t="s">
        <v>115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hidden="1" customHeight="1" x14ac:dyDescent="0.25">
      <c r="A210" s="60" t="s">
        <v>313</v>
      </c>
      <c r="B210" s="60" t="s">
        <v>314</v>
      </c>
      <c r="C210" s="34">
        <v>4301135895</v>
      </c>
      <c r="D210" s="284">
        <v>4620207491522</v>
      </c>
      <c r="E210" s="284"/>
      <c r="F210" s="59">
        <v>0.28000000000000003</v>
      </c>
      <c r="G210" s="35">
        <v>12</v>
      </c>
      <c r="H210" s="59">
        <v>3.36</v>
      </c>
      <c r="I210" s="59">
        <v>4.0636000000000001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32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315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hidden="1" x14ac:dyDescent="0.2">
      <c r="A211" s="291"/>
      <c r="B211" s="291"/>
      <c r="C211" s="291"/>
      <c r="D211" s="291"/>
      <c r="E211" s="291"/>
      <c r="F211" s="291"/>
      <c r="G211" s="291"/>
      <c r="H211" s="291"/>
      <c r="I211" s="291"/>
      <c r="J211" s="291"/>
      <c r="K211" s="291"/>
      <c r="L211" s="291"/>
      <c r="M211" s="291"/>
      <c r="N211" s="291"/>
      <c r="O211" s="292"/>
      <c r="P211" s="288" t="s">
        <v>40</v>
      </c>
      <c r="Q211" s="289"/>
      <c r="R211" s="289"/>
      <c r="S211" s="289"/>
      <c r="T211" s="289"/>
      <c r="U211" s="289"/>
      <c r="V211" s="290"/>
      <c r="W211" s="40" t="s">
        <v>39</v>
      </c>
      <c r="X211" s="41">
        <f>IFERROR(SUM(X209:X210),"0")</f>
        <v>0</v>
      </c>
      <c r="Y211" s="41">
        <f>IFERROR(SUM(Y209:Y210),"0")</f>
        <v>0</v>
      </c>
      <c r="Z211" s="41">
        <f>IFERROR(IF(Z209="",0,Z209),"0")+IFERROR(IF(Z210="",0,Z210),"0")</f>
        <v>0</v>
      </c>
      <c r="AA211" s="64"/>
      <c r="AB211" s="64"/>
      <c r="AC211" s="64"/>
    </row>
    <row r="212" spans="1:68" hidden="1" x14ac:dyDescent="0.2">
      <c r="A212" s="291"/>
      <c r="B212" s="291"/>
      <c r="C212" s="291"/>
      <c r="D212" s="291"/>
      <c r="E212" s="291"/>
      <c r="F212" s="291"/>
      <c r="G212" s="291"/>
      <c r="H212" s="291"/>
      <c r="I212" s="291"/>
      <c r="J212" s="291"/>
      <c r="K212" s="291"/>
      <c r="L212" s="291"/>
      <c r="M212" s="291"/>
      <c r="N212" s="291"/>
      <c r="O212" s="292"/>
      <c r="P212" s="288" t="s">
        <v>40</v>
      </c>
      <c r="Q212" s="289"/>
      <c r="R212" s="289"/>
      <c r="S212" s="289"/>
      <c r="T212" s="289"/>
      <c r="U212" s="289"/>
      <c r="V212" s="290"/>
      <c r="W212" s="40" t="s">
        <v>0</v>
      </c>
      <c r="X212" s="41">
        <f>IFERROR(SUMPRODUCT(X209:X210*H209:H210),"0")</f>
        <v>0</v>
      </c>
      <c r="Y212" s="41">
        <f>IFERROR(SUMPRODUCT(Y209:Y210*H209:H210),"0")</f>
        <v>0</v>
      </c>
      <c r="Z212" s="40"/>
      <c r="AA212" s="64"/>
      <c r="AB212" s="64"/>
      <c r="AC212" s="64"/>
    </row>
    <row r="213" spans="1:68" ht="16.5" hidden="1" customHeight="1" x14ac:dyDescent="0.25">
      <c r="A213" s="314" t="s">
        <v>316</v>
      </c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4"/>
      <c r="AA213" s="62"/>
      <c r="AB213" s="62"/>
      <c r="AC213" s="62"/>
    </row>
    <row r="214" spans="1:68" ht="14.25" hidden="1" customHeight="1" x14ac:dyDescent="0.25">
      <c r="A214" s="302" t="s">
        <v>80</v>
      </c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63"/>
      <c r="AB214" s="63"/>
      <c r="AC214" s="63"/>
    </row>
    <row r="215" spans="1:68" ht="27" hidden="1" customHeight="1" x14ac:dyDescent="0.25">
      <c r="A215" s="60" t="s">
        <v>317</v>
      </c>
      <c r="B215" s="60" t="s">
        <v>318</v>
      </c>
      <c r="C215" s="34">
        <v>4301071097</v>
      </c>
      <c r="D215" s="284">
        <v>4620207491096</v>
      </c>
      <c r="E215" s="284"/>
      <c r="F215" s="59">
        <v>1</v>
      </c>
      <c r="G215" s="35">
        <v>5</v>
      </c>
      <c r="H215" s="59">
        <v>5</v>
      </c>
      <c r="I215" s="59">
        <v>5.23</v>
      </c>
      <c r="J215" s="35">
        <v>84</v>
      </c>
      <c r="K215" s="35" t="s">
        <v>85</v>
      </c>
      <c r="L215" s="35" t="s">
        <v>117</v>
      </c>
      <c r="M215" s="36" t="s">
        <v>84</v>
      </c>
      <c r="N215" s="36"/>
      <c r="O215" s="35">
        <v>180</v>
      </c>
      <c r="P215" s="3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IFERROR(IF(X215="","",X215*0.0155),"")</f>
        <v>0</v>
      </c>
      <c r="AA215" s="65" t="s">
        <v>46</v>
      </c>
      <c r="AB215" s="66" t="s">
        <v>46</v>
      </c>
      <c r="AC215" s="234" t="s">
        <v>319</v>
      </c>
      <c r="AG215" s="78"/>
      <c r="AJ215" s="82" t="s">
        <v>118</v>
      </c>
      <c r="AK215" s="82">
        <v>12</v>
      </c>
      <c r="BB215" s="235" t="s">
        <v>70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hidden="1" x14ac:dyDescent="0.2">
      <c r="A216" s="291"/>
      <c r="B216" s="291"/>
      <c r="C216" s="291"/>
      <c r="D216" s="291"/>
      <c r="E216" s="291"/>
      <c r="F216" s="291"/>
      <c r="G216" s="291"/>
      <c r="H216" s="291"/>
      <c r="I216" s="291"/>
      <c r="J216" s="291"/>
      <c r="K216" s="291"/>
      <c r="L216" s="291"/>
      <c r="M216" s="291"/>
      <c r="N216" s="291"/>
      <c r="O216" s="292"/>
      <c r="P216" s="288" t="s">
        <v>40</v>
      </c>
      <c r="Q216" s="289"/>
      <c r="R216" s="289"/>
      <c r="S216" s="289"/>
      <c r="T216" s="289"/>
      <c r="U216" s="289"/>
      <c r="V216" s="290"/>
      <c r="W216" s="40" t="s">
        <v>39</v>
      </c>
      <c r="X216" s="41">
        <f>IFERROR(SUM(X215:X215),"0")</f>
        <v>0</v>
      </c>
      <c r="Y216" s="41">
        <f>IFERROR(SUM(Y215:Y215),"0")</f>
        <v>0</v>
      </c>
      <c r="Z216" s="41">
        <f>IFERROR(IF(Z215="",0,Z215),"0")</f>
        <v>0</v>
      </c>
      <c r="AA216" s="64"/>
      <c r="AB216" s="64"/>
      <c r="AC216" s="64"/>
    </row>
    <row r="217" spans="1:68" hidden="1" x14ac:dyDescent="0.2">
      <c r="A217" s="291"/>
      <c r="B217" s="291"/>
      <c r="C217" s="291"/>
      <c r="D217" s="291"/>
      <c r="E217" s="291"/>
      <c r="F217" s="291"/>
      <c r="G217" s="291"/>
      <c r="H217" s="291"/>
      <c r="I217" s="291"/>
      <c r="J217" s="291"/>
      <c r="K217" s="291"/>
      <c r="L217" s="291"/>
      <c r="M217" s="291"/>
      <c r="N217" s="291"/>
      <c r="O217" s="292"/>
      <c r="P217" s="288" t="s">
        <v>40</v>
      </c>
      <c r="Q217" s="289"/>
      <c r="R217" s="289"/>
      <c r="S217" s="289"/>
      <c r="T217" s="289"/>
      <c r="U217" s="289"/>
      <c r="V217" s="290"/>
      <c r="W217" s="40" t="s">
        <v>0</v>
      </c>
      <c r="X217" s="41">
        <f>IFERROR(SUMPRODUCT(X215:X215*H215:H215),"0")</f>
        <v>0</v>
      </c>
      <c r="Y217" s="41">
        <f>IFERROR(SUMPRODUCT(Y215:Y215*H215:H215),"0")</f>
        <v>0</v>
      </c>
      <c r="Z217" s="40"/>
      <c r="AA217" s="64"/>
      <c r="AB217" s="64"/>
      <c r="AC217" s="64"/>
    </row>
    <row r="218" spans="1:68" ht="16.5" hidden="1" customHeight="1" x14ac:dyDescent="0.25">
      <c r="A218" s="314" t="s">
        <v>320</v>
      </c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4"/>
      <c r="AA218" s="62"/>
      <c r="AB218" s="62"/>
      <c r="AC218" s="62"/>
    </row>
    <row r="219" spans="1:68" ht="14.25" hidden="1" customHeight="1" x14ac:dyDescent="0.25">
      <c r="A219" s="302" t="s">
        <v>147</v>
      </c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63"/>
      <c r="AB219" s="63"/>
      <c r="AC219" s="63"/>
    </row>
    <row r="220" spans="1:68" ht="27" hidden="1" customHeight="1" x14ac:dyDescent="0.25">
      <c r="A220" s="60" t="s">
        <v>321</v>
      </c>
      <c r="B220" s="60" t="s">
        <v>322</v>
      </c>
      <c r="C220" s="34">
        <v>4301135694</v>
      </c>
      <c r="D220" s="284">
        <v>4620207490501</v>
      </c>
      <c r="E220" s="284"/>
      <c r="F220" s="59">
        <v>0.2</v>
      </c>
      <c r="G220" s="35">
        <v>12</v>
      </c>
      <c r="H220" s="59">
        <v>2.4</v>
      </c>
      <c r="I220" s="59">
        <v>3.1036000000000001</v>
      </c>
      <c r="J220" s="35">
        <v>70</v>
      </c>
      <c r="K220" s="35" t="s">
        <v>116</v>
      </c>
      <c r="L220" s="35" t="s">
        <v>86</v>
      </c>
      <c r="M220" s="36" t="s">
        <v>84</v>
      </c>
      <c r="N220" s="36"/>
      <c r="O220" s="35">
        <v>180</v>
      </c>
      <c r="P220" s="3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7" t="s">
        <v>46</v>
      </c>
      <c r="V220" s="37" t="s">
        <v>46</v>
      </c>
      <c r="W220" s="38" t="s">
        <v>39</v>
      </c>
      <c r="X220" s="56">
        <v>0</v>
      </c>
      <c r="Y220" s="53">
        <f>IFERROR(IF(X220="","",X220),"")</f>
        <v>0</v>
      </c>
      <c r="Z220" s="39">
        <f>IFERROR(IF(X220="","",X220*0.01788),"")</f>
        <v>0</v>
      </c>
      <c r="AA220" s="65" t="s">
        <v>46</v>
      </c>
      <c r="AB220" s="66" t="s">
        <v>46</v>
      </c>
      <c r="AC220" s="236" t="s">
        <v>323</v>
      </c>
      <c r="AG220" s="78"/>
      <c r="AJ220" s="82" t="s">
        <v>87</v>
      </c>
      <c r="AK220" s="82">
        <v>1</v>
      </c>
      <c r="BB220" s="237" t="s">
        <v>115</v>
      </c>
      <c r="BM220" s="78">
        <f>IFERROR(X220*I220,"0")</f>
        <v>0</v>
      </c>
      <c r="BN220" s="78">
        <f>IFERROR(Y220*I220,"0")</f>
        <v>0</v>
      </c>
      <c r="BO220" s="78">
        <f>IFERROR(X220/J220,"0")</f>
        <v>0</v>
      </c>
      <c r="BP220" s="78">
        <f>IFERROR(Y220/J220,"0")</f>
        <v>0</v>
      </c>
    </row>
    <row r="221" spans="1:68" hidden="1" x14ac:dyDescent="0.2">
      <c r="A221" s="291"/>
      <c r="B221" s="291"/>
      <c r="C221" s="291"/>
      <c r="D221" s="291"/>
      <c r="E221" s="291"/>
      <c r="F221" s="291"/>
      <c r="G221" s="291"/>
      <c r="H221" s="291"/>
      <c r="I221" s="291"/>
      <c r="J221" s="291"/>
      <c r="K221" s="291"/>
      <c r="L221" s="291"/>
      <c r="M221" s="291"/>
      <c r="N221" s="291"/>
      <c r="O221" s="292"/>
      <c r="P221" s="288" t="s">
        <v>40</v>
      </c>
      <c r="Q221" s="289"/>
      <c r="R221" s="289"/>
      <c r="S221" s="289"/>
      <c r="T221" s="289"/>
      <c r="U221" s="289"/>
      <c r="V221" s="290"/>
      <c r="W221" s="40" t="s">
        <v>39</v>
      </c>
      <c r="X221" s="41">
        <f>IFERROR(SUM(X220:X220),"0")</f>
        <v>0</v>
      </c>
      <c r="Y221" s="41">
        <f>IFERROR(SUM(Y220:Y220),"0")</f>
        <v>0</v>
      </c>
      <c r="Z221" s="41">
        <f>IFERROR(IF(Z220="",0,Z220),"0")</f>
        <v>0</v>
      </c>
      <c r="AA221" s="64"/>
      <c r="AB221" s="64"/>
      <c r="AC221" s="64"/>
    </row>
    <row r="222" spans="1:68" hidden="1" x14ac:dyDescent="0.2">
      <c r="A222" s="291"/>
      <c r="B222" s="291"/>
      <c r="C222" s="291"/>
      <c r="D222" s="291"/>
      <c r="E222" s="291"/>
      <c r="F222" s="291"/>
      <c r="G222" s="291"/>
      <c r="H222" s="291"/>
      <c r="I222" s="291"/>
      <c r="J222" s="291"/>
      <c r="K222" s="291"/>
      <c r="L222" s="291"/>
      <c r="M222" s="291"/>
      <c r="N222" s="291"/>
      <c r="O222" s="292"/>
      <c r="P222" s="288" t="s">
        <v>40</v>
      </c>
      <c r="Q222" s="289"/>
      <c r="R222" s="289"/>
      <c r="S222" s="289"/>
      <c r="T222" s="289"/>
      <c r="U222" s="289"/>
      <c r="V222" s="290"/>
      <c r="W222" s="40" t="s">
        <v>0</v>
      </c>
      <c r="X222" s="41">
        <f>IFERROR(SUMPRODUCT(X220:X220*H220:H220),"0")</f>
        <v>0</v>
      </c>
      <c r="Y222" s="41">
        <f>IFERROR(SUMPRODUCT(Y220:Y220*H220:H220),"0")</f>
        <v>0</v>
      </c>
      <c r="Z222" s="40"/>
      <c r="AA222" s="64"/>
      <c r="AB222" s="64"/>
      <c r="AC222" s="64"/>
    </row>
    <row r="223" spans="1:68" ht="27.75" hidden="1" customHeight="1" x14ac:dyDescent="0.2">
      <c r="A223" s="313" t="s">
        <v>324</v>
      </c>
      <c r="B223" s="313"/>
      <c r="C223" s="313"/>
      <c r="D223" s="313"/>
      <c r="E223" s="313"/>
      <c r="F223" s="313"/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  <c r="T223" s="313"/>
      <c r="U223" s="313"/>
      <c r="V223" s="313"/>
      <c r="W223" s="313"/>
      <c r="X223" s="313"/>
      <c r="Y223" s="313"/>
      <c r="Z223" s="313"/>
      <c r="AA223" s="52"/>
      <c r="AB223" s="52"/>
      <c r="AC223" s="52"/>
    </row>
    <row r="224" spans="1:68" ht="16.5" hidden="1" customHeight="1" x14ac:dyDescent="0.25">
      <c r="A224" s="314" t="s">
        <v>325</v>
      </c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4"/>
      <c r="AA224" s="62"/>
      <c r="AB224" s="62"/>
      <c r="AC224" s="62"/>
    </row>
    <row r="225" spans="1:68" ht="14.25" hidden="1" customHeight="1" x14ac:dyDescent="0.25">
      <c r="A225" s="302" t="s">
        <v>80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63"/>
      <c r="AB225" s="63"/>
      <c r="AC225" s="63"/>
    </row>
    <row r="226" spans="1:68" ht="27" hidden="1" customHeight="1" x14ac:dyDescent="0.25">
      <c r="A226" s="60" t="s">
        <v>326</v>
      </c>
      <c r="B226" s="60" t="s">
        <v>327</v>
      </c>
      <c r="C226" s="34">
        <v>4301071036</v>
      </c>
      <c r="D226" s="284">
        <v>4607111036162</v>
      </c>
      <c r="E226" s="284"/>
      <c r="F226" s="59">
        <v>0.8</v>
      </c>
      <c r="G226" s="35">
        <v>8</v>
      </c>
      <c r="H226" s="59">
        <v>6.4</v>
      </c>
      <c r="I226" s="59">
        <v>6.6811999999999996</v>
      </c>
      <c r="J226" s="35">
        <v>84</v>
      </c>
      <c r="K226" s="35" t="s">
        <v>85</v>
      </c>
      <c r="L226" s="35" t="s">
        <v>86</v>
      </c>
      <c r="M226" s="36" t="s">
        <v>84</v>
      </c>
      <c r="N226" s="36"/>
      <c r="O226" s="35">
        <v>90</v>
      </c>
      <c r="P226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IFERROR(IF(X226="","",X226*0.0155),"")</f>
        <v>0</v>
      </c>
      <c r="AA226" s="65" t="s">
        <v>46</v>
      </c>
      <c r="AB226" s="66" t="s">
        <v>46</v>
      </c>
      <c r="AC226" s="238" t="s">
        <v>328</v>
      </c>
      <c r="AG226" s="78"/>
      <c r="AJ226" s="82" t="s">
        <v>87</v>
      </c>
      <c r="AK226" s="82">
        <v>1</v>
      </c>
      <c r="BB226" s="239" t="s">
        <v>70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hidden="1" x14ac:dyDescent="0.2">
      <c r="A227" s="291"/>
      <c r="B227" s="291"/>
      <c r="C227" s="291"/>
      <c r="D227" s="291"/>
      <c r="E227" s="291"/>
      <c r="F227" s="291"/>
      <c r="G227" s="291"/>
      <c r="H227" s="291"/>
      <c r="I227" s="291"/>
      <c r="J227" s="291"/>
      <c r="K227" s="291"/>
      <c r="L227" s="291"/>
      <c r="M227" s="291"/>
      <c r="N227" s="291"/>
      <c r="O227" s="292"/>
      <c r="P227" s="288" t="s">
        <v>40</v>
      </c>
      <c r="Q227" s="289"/>
      <c r="R227" s="289"/>
      <c r="S227" s="289"/>
      <c r="T227" s="289"/>
      <c r="U227" s="289"/>
      <c r="V227" s="290"/>
      <c r="W227" s="40" t="s">
        <v>39</v>
      </c>
      <c r="X227" s="41">
        <f>IFERROR(SUM(X226:X226),"0")</f>
        <v>0</v>
      </c>
      <c r="Y227" s="41">
        <f>IFERROR(SUM(Y226:Y226),"0")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291"/>
      <c r="B228" s="291"/>
      <c r="C228" s="291"/>
      <c r="D228" s="291"/>
      <c r="E228" s="291"/>
      <c r="F228" s="291"/>
      <c r="G228" s="291"/>
      <c r="H228" s="291"/>
      <c r="I228" s="291"/>
      <c r="J228" s="291"/>
      <c r="K228" s="291"/>
      <c r="L228" s="291"/>
      <c r="M228" s="291"/>
      <c r="N228" s="291"/>
      <c r="O228" s="292"/>
      <c r="P228" s="288" t="s">
        <v>40</v>
      </c>
      <c r="Q228" s="289"/>
      <c r="R228" s="289"/>
      <c r="S228" s="289"/>
      <c r="T228" s="289"/>
      <c r="U228" s="289"/>
      <c r="V228" s="290"/>
      <c r="W228" s="40" t="s">
        <v>0</v>
      </c>
      <c r="X228" s="41">
        <f>IFERROR(SUMPRODUCT(X226:X226*H226:H226),"0")</f>
        <v>0</v>
      </c>
      <c r="Y228" s="41">
        <f>IFERROR(SUMPRODUCT(Y226:Y226*H226:H226),"0")</f>
        <v>0</v>
      </c>
      <c r="Z228" s="40"/>
      <c r="AA228" s="64"/>
      <c r="AB228" s="64"/>
      <c r="AC228" s="64"/>
    </row>
    <row r="229" spans="1:68" ht="27.75" hidden="1" customHeight="1" x14ac:dyDescent="0.2">
      <c r="A229" s="313" t="s">
        <v>329</v>
      </c>
      <c r="B229" s="313"/>
      <c r="C229" s="313"/>
      <c r="D229" s="313"/>
      <c r="E229" s="313"/>
      <c r="F229" s="313"/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  <c r="T229" s="313"/>
      <c r="U229" s="313"/>
      <c r="V229" s="313"/>
      <c r="W229" s="313"/>
      <c r="X229" s="313"/>
      <c r="Y229" s="313"/>
      <c r="Z229" s="313"/>
      <c r="AA229" s="52"/>
      <c r="AB229" s="52"/>
      <c r="AC229" s="52"/>
    </row>
    <row r="230" spans="1:68" ht="16.5" hidden="1" customHeight="1" x14ac:dyDescent="0.25">
      <c r="A230" s="314" t="s">
        <v>330</v>
      </c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4"/>
      <c r="AA230" s="62"/>
      <c r="AB230" s="62"/>
      <c r="AC230" s="62"/>
    </row>
    <row r="231" spans="1:68" ht="14.25" hidden="1" customHeight="1" x14ac:dyDescent="0.25">
      <c r="A231" s="302" t="s">
        <v>331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63"/>
      <c r="AB231" s="63"/>
      <c r="AC231" s="63"/>
    </row>
    <row r="232" spans="1:68" ht="27" hidden="1" customHeight="1" x14ac:dyDescent="0.25">
      <c r="A232" s="60" t="s">
        <v>332</v>
      </c>
      <c r="B232" s="60" t="s">
        <v>333</v>
      </c>
      <c r="C232" s="34">
        <v>4301133004</v>
      </c>
      <c r="D232" s="284">
        <v>4607111039774</v>
      </c>
      <c r="E232" s="284"/>
      <c r="F232" s="59">
        <v>0.25</v>
      </c>
      <c r="G232" s="35">
        <v>12</v>
      </c>
      <c r="H232" s="59">
        <v>3</v>
      </c>
      <c r="I232" s="59">
        <v>3.22</v>
      </c>
      <c r="J232" s="35">
        <v>70</v>
      </c>
      <c r="K232" s="35" t="s">
        <v>116</v>
      </c>
      <c r="L232" s="35" t="s">
        <v>86</v>
      </c>
      <c r="M232" s="36" t="s">
        <v>84</v>
      </c>
      <c r="N232" s="36"/>
      <c r="O232" s="35">
        <v>180</v>
      </c>
      <c r="P232" s="31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IFERROR(IF(X232="","",X232*0.01788),"")</f>
        <v>0</v>
      </c>
      <c r="AA232" s="65" t="s">
        <v>46</v>
      </c>
      <c r="AB232" s="66" t="s">
        <v>46</v>
      </c>
      <c r="AC232" s="240" t="s">
        <v>334</v>
      </c>
      <c r="AG232" s="78"/>
      <c r="AJ232" s="82" t="s">
        <v>87</v>
      </c>
      <c r="AK232" s="82">
        <v>1</v>
      </c>
      <c r="BB232" s="241" t="s">
        <v>115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hidden="1" x14ac:dyDescent="0.2">
      <c r="A233" s="291"/>
      <c r="B233" s="291"/>
      <c r="C233" s="291"/>
      <c r="D233" s="291"/>
      <c r="E233" s="291"/>
      <c r="F233" s="291"/>
      <c r="G233" s="291"/>
      <c r="H233" s="291"/>
      <c r="I233" s="291"/>
      <c r="J233" s="291"/>
      <c r="K233" s="291"/>
      <c r="L233" s="291"/>
      <c r="M233" s="291"/>
      <c r="N233" s="291"/>
      <c r="O233" s="292"/>
      <c r="P233" s="288" t="s">
        <v>40</v>
      </c>
      <c r="Q233" s="289"/>
      <c r="R233" s="289"/>
      <c r="S233" s="289"/>
      <c r="T233" s="289"/>
      <c r="U233" s="289"/>
      <c r="V233" s="290"/>
      <c r="W233" s="40" t="s">
        <v>39</v>
      </c>
      <c r="X233" s="41">
        <f>IFERROR(SUM(X232:X232),"0")</f>
        <v>0</v>
      </c>
      <c r="Y233" s="41">
        <f>IFERROR(SUM(Y232:Y232),"0")</f>
        <v>0</v>
      </c>
      <c r="Z233" s="41">
        <f>IFERROR(IF(Z232="",0,Z232),"0")</f>
        <v>0</v>
      </c>
      <c r="AA233" s="64"/>
      <c r="AB233" s="64"/>
      <c r="AC233" s="64"/>
    </row>
    <row r="234" spans="1:68" hidden="1" x14ac:dyDescent="0.2">
      <c r="A234" s="291"/>
      <c r="B234" s="291"/>
      <c r="C234" s="291"/>
      <c r="D234" s="291"/>
      <c r="E234" s="291"/>
      <c r="F234" s="291"/>
      <c r="G234" s="291"/>
      <c r="H234" s="291"/>
      <c r="I234" s="291"/>
      <c r="J234" s="291"/>
      <c r="K234" s="291"/>
      <c r="L234" s="291"/>
      <c r="M234" s="291"/>
      <c r="N234" s="291"/>
      <c r="O234" s="292"/>
      <c r="P234" s="288" t="s">
        <v>40</v>
      </c>
      <c r="Q234" s="289"/>
      <c r="R234" s="289"/>
      <c r="S234" s="289"/>
      <c r="T234" s="289"/>
      <c r="U234" s="289"/>
      <c r="V234" s="290"/>
      <c r="W234" s="40" t="s">
        <v>0</v>
      </c>
      <c r="X234" s="41">
        <f>IFERROR(SUMPRODUCT(X232:X232*H232:H232),"0")</f>
        <v>0</v>
      </c>
      <c r="Y234" s="41">
        <f>IFERROR(SUMPRODUCT(Y232:Y232*H232:H232),"0")</f>
        <v>0</v>
      </c>
      <c r="Z234" s="40"/>
      <c r="AA234" s="64"/>
      <c r="AB234" s="64"/>
      <c r="AC234" s="64"/>
    </row>
    <row r="235" spans="1:68" ht="14.25" hidden="1" customHeight="1" x14ac:dyDescent="0.25">
      <c r="A235" s="302" t="s">
        <v>147</v>
      </c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63"/>
      <c r="AB235" s="63"/>
      <c r="AC235" s="63"/>
    </row>
    <row r="236" spans="1:68" ht="37.5" hidden="1" customHeight="1" x14ac:dyDescent="0.25">
      <c r="A236" s="60" t="s">
        <v>335</v>
      </c>
      <c r="B236" s="60" t="s">
        <v>336</v>
      </c>
      <c r="C236" s="34">
        <v>4301135400</v>
      </c>
      <c r="D236" s="284">
        <v>4607111039361</v>
      </c>
      <c r="E236" s="284"/>
      <c r="F236" s="59">
        <v>0.25</v>
      </c>
      <c r="G236" s="35">
        <v>12</v>
      </c>
      <c r="H236" s="59">
        <v>3</v>
      </c>
      <c r="I236" s="59">
        <v>3.7035999999999998</v>
      </c>
      <c r="J236" s="35">
        <v>70</v>
      </c>
      <c r="K236" s="35" t="s">
        <v>116</v>
      </c>
      <c r="L236" s="35" t="s">
        <v>86</v>
      </c>
      <c r="M236" s="36" t="s">
        <v>84</v>
      </c>
      <c r="N236" s="36"/>
      <c r="O236" s="35">
        <v>180</v>
      </c>
      <c r="P236" s="31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7" t="s">
        <v>46</v>
      </c>
      <c r="V236" s="37" t="s">
        <v>46</v>
      </c>
      <c r="W236" s="38" t="s">
        <v>39</v>
      </c>
      <c r="X236" s="56">
        <v>0</v>
      </c>
      <c r="Y236" s="53">
        <f>IFERROR(IF(X236="","",X236),"")</f>
        <v>0</v>
      </c>
      <c r="Z236" s="39">
        <f>IFERROR(IF(X236="","",X236*0.01788),"")</f>
        <v>0</v>
      </c>
      <c r="AA236" s="65" t="s">
        <v>46</v>
      </c>
      <c r="AB236" s="66" t="s">
        <v>46</v>
      </c>
      <c r="AC236" s="242" t="s">
        <v>334</v>
      </c>
      <c r="AG236" s="78"/>
      <c r="AJ236" s="82" t="s">
        <v>87</v>
      </c>
      <c r="AK236" s="82">
        <v>1</v>
      </c>
      <c r="BB236" s="243" t="s">
        <v>115</v>
      </c>
      <c r="BM236" s="78">
        <f>IFERROR(X236*I236,"0")</f>
        <v>0</v>
      </c>
      <c r="BN236" s="78">
        <f>IFERROR(Y236*I236,"0")</f>
        <v>0</v>
      </c>
      <c r="BO236" s="78">
        <f>IFERROR(X236/J236,"0")</f>
        <v>0</v>
      </c>
      <c r="BP236" s="78">
        <f>IFERROR(Y236/J236,"0")</f>
        <v>0</v>
      </c>
    </row>
    <row r="237" spans="1:68" hidden="1" x14ac:dyDescent="0.2">
      <c r="A237" s="291"/>
      <c r="B237" s="291"/>
      <c r="C237" s="291"/>
      <c r="D237" s="291"/>
      <c r="E237" s="291"/>
      <c r="F237" s="291"/>
      <c r="G237" s="291"/>
      <c r="H237" s="291"/>
      <c r="I237" s="291"/>
      <c r="J237" s="291"/>
      <c r="K237" s="291"/>
      <c r="L237" s="291"/>
      <c r="M237" s="291"/>
      <c r="N237" s="291"/>
      <c r="O237" s="292"/>
      <c r="P237" s="288" t="s">
        <v>40</v>
      </c>
      <c r="Q237" s="289"/>
      <c r="R237" s="289"/>
      <c r="S237" s="289"/>
      <c r="T237" s="289"/>
      <c r="U237" s="289"/>
      <c r="V237" s="290"/>
      <c r="W237" s="40" t="s">
        <v>39</v>
      </c>
      <c r="X237" s="41">
        <f>IFERROR(SUM(X236:X236),"0")</f>
        <v>0</v>
      </c>
      <c r="Y237" s="41">
        <f>IFERROR(SUM(Y236:Y236),"0")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291"/>
      <c r="B238" s="291"/>
      <c r="C238" s="291"/>
      <c r="D238" s="291"/>
      <c r="E238" s="291"/>
      <c r="F238" s="291"/>
      <c r="G238" s="291"/>
      <c r="H238" s="291"/>
      <c r="I238" s="291"/>
      <c r="J238" s="291"/>
      <c r="K238" s="291"/>
      <c r="L238" s="291"/>
      <c r="M238" s="291"/>
      <c r="N238" s="291"/>
      <c r="O238" s="292"/>
      <c r="P238" s="288" t="s">
        <v>40</v>
      </c>
      <c r="Q238" s="289"/>
      <c r="R238" s="289"/>
      <c r="S238" s="289"/>
      <c r="T238" s="289"/>
      <c r="U238" s="289"/>
      <c r="V238" s="290"/>
      <c r="W238" s="40" t="s">
        <v>0</v>
      </c>
      <c r="X238" s="41">
        <f>IFERROR(SUMPRODUCT(X236:X236*H236:H236),"0")</f>
        <v>0</v>
      </c>
      <c r="Y238" s="41">
        <f>IFERROR(SUMPRODUCT(Y236:Y236*H236:H236),"0")</f>
        <v>0</v>
      </c>
      <c r="Z238" s="40"/>
      <c r="AA238" s="64"/>
      <c r="AB238" s="64"/>
      <c r="AC238" s="64"/>
    </row>
    <row r="239" spans="1:68" ht="27.75" hidden="1" customHeight="1" x14ac:dyDescent="0.2">
      <c r="A239" s="313" t="s">
        <v>337</v>
      </c>
      <c r="B239" s="313"/>
      <c r="C239" s="313"/>
      <c r="D239" s="313"/>
      <c r="E239" s="313"/>
      <c r="F239" s="313"/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  <c r="T239" s="313"/>
      <c r="U239" s="313"/>
      <c r="V239" s="313"/>
      <c r="W239" s="313"/>
      <c r="X239" s="313"/>
      <c r="Y239" s="313"/>
      <c r="Z239" s="313"/>
      <c r="AA239" s="52"/>
      <c r="AB239" s="52"/>
      <c r="AC239" s="52"/>
    </row>
    <row r="240" spans="1:68" ht="16.5" hidden="1" customHeight="1" x14ac:dyDescent="0.25">
      <c r="A240" s="314" t="s">
        <v>337</v>
      </c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4"/>
      <c r="AA240" s="62"/>
      <c r="AB240" s="62"/>
      <c r="AC240" s="62"/>
    </row>
    <row r="241" spans="1:68" ht="14.25" hidden="1" customHeight="1" x14ac:dyDescent="0.25">
      <c r="A241" s="302" t="s">
        <v>111</v>
      </c>
      <c r="B241" s="302"/>
      <c r="C241" s="302"/>
      <c r="D241" s="302"/>
      <c r="E241" s="302"/>
      <c r="F241" s="302"/>
      <c r="G241" s="302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63"/>
      <c r="AB241" s="63"/>
      <c r="AC241" s="63"/>
    </row>
    <row r="242" spans="1:68" ht="27" hidden="1" customHeight="1" x14ac:dyDescent="0.25">
      <c r="A242" s="60" t="s">
        <v>338</v>
      </c>
      <c r="B242" s="60" t="s">
        <v>339</v>
      </c>
      <c r="C242" s="34">
        <v>4301132228</v>
      </c>
      <c r="D242" s="284">
        <v>4640242181950</v>
      </c>
      <c r="E242" s="284"/>
      <c r="F242" s="59">
        <v>0.23</v>
      </c>
      <c r="G242" s="35">
        <v>12</v>
      </c>
      <c r="H242" s="59">
        <v>2.76</v>
      </c>
      <c r="I242" s="59">
        <v>3.22</v>
      </c>
      <c r="J242" s="35">
        <v>70</v>
      </c>
      <c r="K242" s="35" t="s">
        <v>116</v>
      </c>
      <c r="L242" s="35" t="s">
        <v>86</v>
      </c>
      <c r="M242" s="36" t="s">
        <v>84</v>
      </c>
      <c r="N242" s="36"/>
      <c r="O242" s="35">
        <v>365</v>
      </c>
      <c r="P242" s="31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4" t="s">
        <v>340</v>
      </c>
      <c r="AG242" s="78"/>
      <c r="AJ242" s="82" t="s">
        <v>87</v>
      </c>
      <c r="AK242" s="82">
        <v>1</v>
      </c>
      <c r="BB242" s="245" t="s">
        <v>115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hidden="1" x14ac:dyDescent="0.2">
      <c r="A243" s="291"/>
      <c r="B243" s="291"/>
      <c r="C243" s="291"/>
      <c r="D243" s="291"/>
      <c r="E243" s="291"/>
      <c r="F243" s="291"/>
      <c r="G243" s="291"/>
      <c r="H243" s="291"/>
      <c r="I243" s="291"/>
      <c r="J243" s="291"/>
      <c r="K243" s="291"/>
      <c r="L243" s="291"/>
      <c r="M243" s="291"/>
      <c r="N243" s="291"/>
      <c r="O243" s="292"/>
      <c r="P243" s="288" t="s">
        <v>40</v>
      </c>
      <c r="Q243" s="289"/>
      <c r="R243" s="289"/>
      <c r="S243" s="289"/>
      <c r="T243" s="289"/>
      <c r="U243" s="289"/>
      <c r="V243" s="290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hidden="1" x14ac:dyDescent="0.2">
      <c r="A244" s="291"/>
      <c r="B244" s="291"/>
      <c r="C244" s="291"/>
      <c r="D244" s="291"/>
      <c r="E244" s="291"/>
      <c r="F244" s="291"/>
      <c r="G244" s="291"/>
      <c r="H244" s="291"/>
      <c r="I244" s="291"/>
      <c r="J244" s="291"/>
      <c r="K244" s="291"/>
      <c r="L244" s="291"/>
      <c r="M244" s="291"/>
      <c r="N244" s="291"/>
      <c r="O244" s="292"/>
      <c r="P244" s="288" t="s">
        <v>40</v>
      </c>
      <c r="Q244" s="289"/>
      <c r="R244" s="289"/>
      <c r="S244" s="289"/>
      <c r="T244" s="289"/>
      <c r="U244" s="289"/>
      <c r="V244" s="290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14.25" hidden="1" customHeight="1" x14ac:dyDescent="0.25">
      <c r="A245" s="302" t="s">
        <v>143</v>
      </c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63"/>
      <c r="AB245" s="63"/>
      <c r="AC245" s="63"/>
    </row>
    <row r="246" spans="1:68" ht="27" hidden="1" customHeight="1" x14ac:dyDescent="0.25">
      <c r="A246" s="60" t="s">
        <v>341</v>
      </c>
      <c r="B246" s="60" t="s">
        <v>342</v>
      </c>
      <c r="C246" s="34">
        <v>4301136098</v>
      </c>
      <c r="D246" s="284">
        <v>4640242181943</v>
      </c>
      <c r="E246" s="284"/>
      <c r="F246" s="59">
        <v>0.09</v>
      </c>
      <c r="G246" s="35">
        <v>24</v>
      </c>
      <c r="H246" s="59">
        <v>2.16</v>
      </c>
      <c r="I246" s="59">
        <v>2.34</v>
      </c>
      <c r="J246" s="35">
        <v>126</v>
      </c>
      <c r="K246" s="35" t="s">
        <v>116</v>
      </c>
      <c r="L246" s="35" t="s">
        <v>86</v>
      </c>
      <c r="M246" s="36" t="s">
        <v>84</v>
      </c>
      <c r="N246" s="36"/>
      <c r="O246" s="35">
        <v>180</v>
      </c>
      <c r="P246" s="31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7" t="s">
        <v>46</v>
      </c>
      <c r="V246" s="37" t="s">
        <v>46</v>
      </c>
      <c r="W246" s="38" t="s">
        <v>39</v>
      </c>
      <c r="X246" s="56">
        <v>0</v>
      </c>
      <c r="Y246" s="53">
        <f>IFERROR(IF(X246="","",X246),"")</f>
        <v>0</v>
      </c>
      <c r="Z246" s="39">
        <f>IFERROR(IF(X246="","",X246*0.00936),"")</f>
        <v>0</v>
      </c>
      <c r="AA246" s="65" t="s">
        <v>46</v>
      </c>
      <c r="AB246" s="66" t="s">
        <v>46</v>
      </c>
      <c r="AC246" s="246" t="s">
        <v>343</v>
      </c>
      <c r="AG246" s="78"/>
      <c r="AJ246" s="82" t="s">
        <v>87</v>
      </c>
      <c r="AK246" s="82">
        <v>1</v>
      </c>
      <c r="BB246" s="247" t="s">
        <v>115</v>
      </c>
      <c r="BM246" s="78">
        <f>IFERROR(X246*I246,"0")</f>
        <v>0</v>
      </c>
      <c r="BN246" s="78">
        <f>IFERROR(Y246*I246,"0")</f>
        <v>0</v>
      </c>
      <c r="BO246" s="78">
        <f>IFERROR(X246/J246,"0")</f>
        <v>0</v>
      </c>
      <c r="BP246" s="78">
        <f>IFERROR(Y246/J246,"0")</f>
        <v>0</v>
      </c>
    </row>
    <row r="247" spans="1:68" hidden="1" x14ac:dyDescent="0.2">
      <c r="A247" s="291"/>
      <c r="B247" s="291"/>
      <c r="C247" s="291"/>
      <c r="D247" s="291"/>
      <c r="E247" s="291"/>
      <c r="F247" s="291"/>
      <c r="G247" s="291"/>
      <c r="H247" s="291"/>
      <c r="I247" s="291"/>
      <c r="J247" s="291"/>
      <c r="K247" s="291"/>
      <c r="L247" s="291"/>
      <c r="M247" s="291"/>
      <c r="N247" s="291"/>
      <c r="O247" s="292"/>
      <c r="P247" s="288" t="s">
        <v>40</v>
      </c>
      <c r="Q247" s="289"/>
      <c r="R247" s="289"/>
      <c r="S247" s="289"/>
      <c r="T247" s="289"/>
      <c r="U247" s="289"/>
      <c r="V247" s="290"/>
      <c r="W247" s="40" t="s">
        <v>39</v>
      </c>
      <c r="X247" s="41">
        <f>IFERROR(SUM(X246:X246),"0")</f>
        <v>0</v>
      </c>
      <c r="Y247" s="41">
        <f>IFERROR(SUM(Y246:Y246),"0")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291"/>
      <c r="B248" s="291"/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  <c r="O248" s="292"/>
      <c r="P248" s="288" t="s">
        <v>40</v>
      </c>
      <c r="Q248" s="289"/>
      <c r="R248" s="289"/>
      <c r="S248" s="289"/>
      <c r="T248" s="289"/>
      <c r="U248" s="289"/>
      <c r="V248" s="290"/>
      <c r="W248" s="40" t="s">
        <v>0</v>
      </c>
      <c r="X248" s="41">
        <f>IFERROR(SUMPRODUCT(X246:X246*H246:H246),"0")</f>
        <v>0</v>
      </c>
      <c r="Y248" s="41">
        <f>IFERROR(SUMPRODUCT(Y246:Y246*H246:H246),"0")</f>
        <v>0</v>
      </c>
      <c r="Z248" s="40"/>
      <c r="AA248" s="64"/>
      <c r="AB248" s="64"/>
      <c r="AC248" s="64"/>
    </row>
    <row r="249" spans="1:68" ht="27.75" hidden="1" customHeight="1" x14ac:dyDescent="0.2">
      <c r="A249" s="313" t="s">
        <v>344</v>
      </c>
      <c r="B249" s="313"/>
      <c r="C249" s="313"/>
      <c r="D249" s="313"/>
      <c r="E249" s="313"/>
      <c r="F249" s="313"/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  <c r="T249" s="313"/>
      <c r="U249" s="313"/>
      <c r="V249" s="313"/>
      <c r="W249" s="313"/>
      <c r="X249" s="313"/>
      <c r="Y249" s="313"/>
      <c r="Z249" s="313"/>
      <c r="AA249" s="52"/>
      <c r="AB249" s="52"/>
      <c r="AC249" s="52"/>
    </row>
    <row r="250" spans="1:68" ht="16.5" hidden="1" customHeight="1" x14ac:dyDescent="0.25">
      <c r="A250" s="314" t="s">
        <v>344</v>
      </c>
      <c r="B250" s="314"/>
      <c r="C250" s="314"/>
      <c r="D250" s="314"/>
      <c r="E250" s="314"/>
      <c r="F250" s="314"/>
      <c r="G250" s="314"/>
      <c r="H250" s="314"/>
      <c r="I250" s="314"/>
      <c r="J250" s="314"/>
      <c r="K250" s="314"/>
      <c r="L250" s="314"/>
      <c r="M250" s="314"/>
      <c r="N250" s="314"/>
      <c r="O250" s="314"/>
      <c r="P250" s="314"/>
      <c r="Q250" s="314"/>
      <c r="R250" s="314"/>
      <c r="S250" s="314"/>
      <c r="T250" s="314"/>
      <c r="U250" s="314"/>
      <c r="V250" s="314"/>
      <c r="W250" s="314"/>
      <c r="X250" s="314"/>
      <c r="Y250" s="314"/>
      <c r="Z250" s="314"/>
      <c r="AA250" s="62"/>
      <c r="AB250" s="62"/>
      <c r="AC250" s="62"/>
    </row>
    <row r="251" spans="1:68" ht="14.25" hidden="1" customHeight="1" x14ac:dyDescent="0.25">
      <c r="A251" s="302" t="s">
        <v>80</v>
      </c>
      <c r="B251" s="302"/>
      <c r="C251" s="302"/>
      <c r="D251" s="302"/>
      <c r="E251" s="302"/>
      <c r="F251" s="302"/>
      <c r="G251" s="302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63"/>
      <c r="AB251" s="63"/>
      <c r="AC251" s="63"/>
    </row>
    <row r="252" spans="1:68" ht="27" hidden="1" customHeight="1" x14ac:dyDescent="0.25">
      <c r="A252" s="60" t="s">
        <v>345</v>
      </c>
      <c r="B252" s="60" t="s">
        <v>346</v>
      </c>
      <c r="C252" s="34">
        <v>4301071014</v>
      </c>
      <c r="D252" s="284">
        <v>4640242181264</v>
      </c>
      <c r="E252" s="284"/>
      <c r="F252" s="59">
        <v>0.7</v>
      </c>
      <c r="G252" s="35">
        <v>10</v>
      </c>
      <c r="H252" s="59">
        <v>7</v>
      </c>
      <c r="I252" s="59">
        <v>7.28</v>
      </c>
      <c r="J252" s="35">
        <v>84</v>
      </c>
      <c r="K252" s="35" t="s">
        <v>85</v>
      </c>
      <c r="L252" s="35" t="s">
        <v>86</v>
      </c>
      <c r="M252" s="36" t="s">
        <v>84</v>
      </c>
      <c r="N252" s="36"/>
      <c r="O252" s="35">
        <v>180</v>
      </c>
      <c r="P252" s="31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IFERROR(IF(X252="","",X252*0.0155),"")</f>
        <v>0</v>
      </c>
      <c r="AA252" s="65" t="s">
        <v>46</v>
      </c>
      <c r="AB252" s="66" t="s">
        <v>46</v>
      </c>
      <c r="AC252" s="248" t="s">
        <v>347</v>
      </c>
      <c r="AG252" s="78"/>
      <c r="AJ252" s="82" t="s">
        <v>87</v>
      </c>
      <c r="AK252" s="82">
        <v>1</v>
      </c>
      <c r="BB252" s="249" t="s">
        <v>70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hidden="1" customHeight="1" x14ac:dyDescent="0.25">
      <c r="A253" s="60" t="s">
        <v>348</v>
      </c>
      <c r="B253" s="60" t="s">
        <v>349</v>
      </c>
      <c r="C253" s="34">
        <v>4301071141</v>
      </c>
      <c r="D253" s="284">
        <v>4620207491980</v>
      </c>
      <c r="E253" s="284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86</v>
      </c>
      <c r="M253" s="36" t="s">
        <v>84</v>
      </c>
      <c r="N253" s="36"/>
      <c r="O253" s="35">
        <v>180</v>
      </c>
      <c r="P253" s="31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6"/>
      <c r="R253" s="286"/>
      <c r="S253" s="286"/>
      <c r="T253" s="287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350</v>
      </c>
      <c r="AG253" s="78"/>
      <c r="AJ253" s="82" t="s">
        <v>87</v>
      </c>
      <c r="AK253" s="82">
        <v>1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hidden="1" x14ac:dyDescent="0.2">
      <c r="A254" s="291"/>
      <c r="B254" s="291"/>
      <c r="C254" s="291"/>
      <c r="D254" s="291"/>
      <c r="E254" s="291"/>
      <c r="F254" s="291"/>
      <c r="G254" s="291"/>
      <c r="H254" s="291"/>
      <c r="I254" s="291"/>
      <c r="J254" s="291"/>
      <c r="K254" s="291"/>
      <c r="L254" s="291"/>
      <c r="M254" s="291"/>
      <c r="N254" s="291"/>
      <c r="O254" s="292"/>
      <c r="P254" s="288" t="s">
        <v>40</v>
      </c>
      <c r="Q254" s="289"/>
      <c r="R254" s="289"/>
      <c r="S254" s="289"/>
      <c r="T254" s="289"/>
      <c r="U254" s="289"/>
      <c r="V254" s="290"/>
      <c r="W254" s="40" t="s">
        <v>39</v>
      </c>
      <c r="X254" s="41">
        <f>IFERROR(SUM(X252:X253),"0")</f>
        <v>0</v>
      </c>
      <c r="Y254" s="41">
        <f>IFERROR(SUM(Y252:Y253),"0")</f>
        <v>0</v>
      </c>
      <c r="Z254" s="41">
        <f>IFERROR(IF(Z252="",0,Z252),"0")+IFERROR(IF(Z253="",0,Z253),"0")</f>
        <v>0</v>
      </c>
      <c r="AA254" s="64"/>
      <c r="AB254" s="64"/>
      <c r="AC254" s="64"/>
    </row>
    <row r="255" spans="1:68" hidden="1" x14ac:dyDescent="0.2">
      <c r="A255" s="291"/>
      <c r="B255" s="291"/>
      <c r="C255" s="291"/>
      <c r="D255" s="291"/>
      <c r="E255" s="291"/>
      <c r="F255" s="291"/>
      <c r="G255" s="291"/>
      <c r="H255" s="291"/>
      <c r="I255" s="291"/>
      <c r="J255" s="291"/>
      <c r="K255" s="291"/>
      <c r="L255" s="291"/>
      <c r="M255" s="291"/>
      <c r="N255" s="291"/>
      <c r="O255" s="292"/>
      <c r="P255" s="288" t="s">
        <v>40</v>
      </c>
      <c r="Q255" s="289"/>
      <c r="R255" s="289"/>
      <c r="S255" s="289"/>
      <c r="T255" s="289"/>
      <c r="U255" s="289"/>
      <c r="V255" s="290"/>
      <c r="W255" s="40" t="s">
        <v>0</v>
      </c>
      <c r="X255" s="41">
        <f>IFERROR(SUMPRODUCT(X252:X253*H252:H253),"0")</f>
        <v>0</v>
      </c>
      <c r="Y255" s="41">
        <f>IFERROR(SUMPRODUCT(Y252:Y253*H252:H253),"0")</f>
        <v>0</v>
      </c>
      <c r="Z255" s="40"/>
      <c r="AA255" s="64"/>
      <c r="AB255" s="64"/>
      <c r="AC255" s="64"/>
    </row>
    <row r="256" spans="1:68" ht="14.25" hidden="1" customHeight="1" x14ac:dyDescent="0.25">
      <c r="A256" s="302" t="s">
        <v>111</v>
      </c>
      <c r="B256" s="302"/>
      <c r="C256" s="302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63"/>
      <c r="AB256" s="63"/>
      <c r="AC256" s="63"/>
    </row>
    <row r="257" spans="1:68" ht="27" customHeight="1" x14ac:dyDescent="0.25">
      <c r="A257" s="60" t="s">
        <v>351</v>
      </c>
      <c r="B257" s="60" t="s">
        <v>352</v>
      </c>
      <c r="C257" s="34">
        <v>4301132080</v>
      </c>
      <c r="D257" s="284">
        <v>4640242180397</v>
      </c>
      <c r="E257" s="284"/>
      <c r="F257" s="59">
        <v>1</v>
      </c>
      <c r="G257" s="35">
        <v>6</v>
      </c>
      <c r="H257" s="59">
        <v>6</v>
      </c>
      <c r="I257" s="59">
        <v>6.26</v>
      </c>
      <c r="J257" s="35">
        <v>84</v>
      </c>
      <c r="K257" s="35" t="s">
        <v>85</v>
      </c>
      <c r="L257" s="35" t="s">
        <v>117</v>
      </c>
      <c r="M257" s="36" t="s">
        <v>84</v>
      </c>
      <c r="N257" s="36"/>
      <c r="O257" s="35">
        <v>180</v>
      </c>
      <c r="P257" s="3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7" t="s">
        <v>46</v>
      </c>
      <c r="V257" s="37" t="s">
        <v>46</v>
      </c>
      <c r="W257" s="38" t="s">
        <v>39</v>
      </c>
      <c r="X257" s="56">
        <v>252</v>
      </c>
      <c r="Y257" s="53">
        <f>IFERROR(IF(X257="","",X257),"")</f>
        <v>252</v>
      </c>
      <c r="Z257" s="39">
        <f>IFERROR(IF(X257="","",X257*0.0155),"")</f>
        <v>3.9060000000000001</v>
      </c>
      <c r="AA257" s="65" t="s">
        <v>46</v>
      </c>
      <c r="AB257" s="66" t="s">
        <v>46</v>
      </c>
      <c r="AC257" s="252" t="s">
        <v>353</v>
      </c>
      <c r="AG257" s="78"/>
      <c r="AJ257" s="82" t="s">
        <v>118</v>
      </c>
      <c r="AK257" s="82">
        <v>12</v>
      </c>
      <c r="BB257" s="253" t="s">
        <v>115</v>
      </c>
      <c r="BM257" s="78">
        <f>IFERROR(X257*I257,"0")</f>
        <v>1577.52</v>
      </c>
      <c r="BN257" s="78">
        <f>IFERROR(Y257*I257,"0")</f>
        <v>1577.52</v>
      </c>
      <c r="BO257" s="78">
        <f>IFERROR(X257/J257,"0")</f>
        <v>3</v>
      </c>
      <c r="BP257" s="78">
        <f>IFERROR(Y257/J257,"0")</f>
        <v>3</v>
      </c>
    </row>
    <row r="258" spans="1:68" x14ac:dyDescent="0.2">
      <c r="A258" s="291"/>
      <c r="B258" s="291"/>
      <c r="C258" s="291"/>
      <c r="D258" s="291"/>
      <c r="E258" s="291"/>
      <c r="F258" s="291"/>
      <c r="G258" s="291"/>
      <c r="H258" s="291"/>
      <c r="I258" s="291"/>
      <c r="J258" s="291"/>
      <c r="K258" s="291"/>
      <c r="L258" s="291"/>
      <c r="M258" s="291"/>
      <c r="N258" s="291"/>
      <c r="O258" s="292"/>
      <c r="P258" s="288" t="s">
        <v>40</v>
      </c>
      <c r="Q258" s="289"/>
      <c r="R258" s="289"/>
      <c r="S258" s="289"/>
      <c r="T258" s="289"/>
      <c r="U258" s="289"/>
      <c r="V258" s="290"/>
      <c r="W258" s="40" t="s">
        <v>39</v>
      </c>
      <c r="X258" s="41">
        <f>IFERROR(SUM(X257:X257),"0")</f>
        <v>252</v>
      </c>
      <c r="Y258" s="41">
        <f>IFERROR(SUM(Y257:Y257),"0")</f>
        <v>252</v>
      </c>
      <c r="Z258" s="41">
        <f>IFERROR(IF(Z257="",0,Z257),"0")</f>
        <v>3.9060000000000001</v>
      </c>
      <c r="AA258" s="64"/>
      <c r="AB258" s="64"/>
      <c r="AC258" s="64"/>
    </row>
    <row r="259" spans="1:68" x14ac:dyDescent="0.2">
      <c r="A259" s="291"/>
      <c r="B259" s="291"/>
      <c r="C259" s="291"/>
      <c r="D259" s="291"/>
      <c r="E259" s="291"/>
      <c r="F259" s="291"/>
      <c r="G259" s="291"/>
      <c r="H259" s="291"/>
      <c r="I259" s="291"/>
      <c r="J259" s="291"/>
      <c r="K259" s="291"/>
      <c r="L259" s="291"/>
      <c r="M259" s="291"/>
      <c r="N259" s="291"/>
      <c r="O259" s="292"/>
      <c r="P259" s="288" t="s">
        <v>40</v>
      </c>
      <c r="Q259" s="289"/>
      <c r="R259" s="289"/>
      <c r="S259" s="289"/>
      <c r="T259" s="289"/>
      <c r="U259" s="289"/>
      <c r="V259" s="290"/>
      <c r="W259" s="40" t="s">
        <v>0</v>
      </c>
      <c r="X259" s="41">
        <f>IFERROR(SUMPRODUCT(X257:X257*H257:H257),"0")</f>
        <v>1512</v>
      </c>
      <c r="Y259" s="41">
        <f>IFERROR(SUMPRODUCT(Y257:Y257*H257:H257),"0")</f>
        <v>1512</v>
      </c>
      <c r="Z259" s="40"/>
      <c r="AA259" s="64"/>
      <c r="AB259" s="64"/>
      <c r="AC259" s="64"/>
    </row>
    <row r="260" spans="1:68" ht="14.25" hidden="1" customHeight="1" x14ac:dyDescent="0.25">
      <c r="A260" s="302" t="s">
        <v>143</v>
      </c>
      <c r="B260" s="302"/>
      <c r="C260" s="302"/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63"/>
      <c r="AB260" s="63"/>
      <c r="AC260" s="63"/>
    </row>
    <row r="261" spans="1:68" ht="27" hidden="1" customHeight="1" x14ac:dyDescent="0.25">
      <c r="A261" s="60" t="s">
        <v>354</v>
      </c>
      <c r="B261" s="60" t="s">
        <v>355</v>
      </c>
      <c r="C261" s="34">
        <v>4301136051</v>
      </c>
      <c r="D261" s="284">
        <v>4640242180304</v>
      </c>
      <c r="E261" s="284"/>
      <c r="F261" s="59">
        <v>2.7</v>
      </c>
      <c r="G261" s="35">
        <v>1</v>
      </c>
      <c r="H261" s="59">
        <v>2.7</v>
      </c>
      <c r="I261" s="59">
        <v>2.8906000000000001</v>
      </c>
      <c r="J261" s="35">
        <v>126</v>
      </c>
      <c r="K261" s="35" t="s">
        <v>116</v>
      </c>
      <c r="L261" s="35" t="s">
        <v>117</v>
      </c>
      <c r="M261" s="36" t="s">
        <v>84</v>
      </c>
      <c r="N261" s="36"/>
      <c r="O261" s="35">
        <v>180</v>
      </c>
      <c r="P261" s="30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7" t="s">
        <v>46</v>
      </c>
      <c r="V261" s="37" t="s">
        <v>46</v>
      </c>
      <c r="W261" s="38" t="s">
        <v>39</v>
      </c>
      <c r="X261" s="56">
        <v>0</v>
      </c>
      <c r="Y261" s="53">
        <f>IFERROR(IF(X261="","",X261),"")</f>
        <v>0</v>
      </c>
      <c r="Z261" s="39">
        <f>IFERROR(IF(X261="","",X261*0.00936),"")</f>
        <v>0</v>
      </c>
      <c r="AA261" s="65" t="s">
        <v>46</v>
      </c>
      <c r="AB261" s="66" t="s">
        <v>46</v>
      </c>
      <c r="AC261" s="254" t="s">
        <v>356</v>
      </c>
      <c r="AG261" s="78"/>
      <c r="AJ261" s="82" t="s">
        <v>118</v>
      </c>
      <c r="AK261" s="82">
        <v>14</v>
      </c>
      <c r="BB261" s="255" t="s">
        <v>115</v>
      </c>
      <c r="BM261" s="78">
        <f>IFERROR(X261*I261,"0")</f>
        <v>0</v>
      </c>
      <c r="BN261" s="78">
        <f>IFERROR(Y261*I261,"0")</f>
        <v>0</v>
      </c>
      <c r="BO261" s="78">
        <f>IFERROR(X261/J261,"0")</f>
        <v>0</v>
      </c>
      <c r="BP261" s="78">
        <f>IFERROR(Y261/J261,"0")</f>
        <v>0</v>
      </c>
    </row>
    <row r="262" spans="1:68" ht="27" customHeight="1" x14ac:dyDescent="0.25">
      <c r="A262" s="60" t="s">
        <v>357</v>
      </c>
      <c r="B262" s="60" t="s">
        <v>358</v>
      </c>
      <c r="C262" s="34">
        <v>4301136053</v>
      </c>
      <c r="D262" s="284">
        <v>4640242180236</v>
      </c>
      <c r="E262" s="284"/>
      <c r="F262" s="59">
        <v>5</v>
      </c>
      <c r="G262" s="35">
        <v>1</v>
      </c>
      <c r="H262" s="59">
        <v>5</v>
      </c>
      <c r="I262" s="59">
        <v>5.2350000000000003</v>
      </c>
      <c r="J262" s="35">
        <v>84</v>
      </c>
      <c r="K262" s="35" t="s">
        <v>85</v>
      </c>
      <c r="L262" s="35" t="s">
        <v>117</v>
      </c>
      <c r="M262" s="36" t="s">
        <v>84</v>
      </c>
      <c r="N262" s="36"/>
      <c r="O262" s="35">
        <v>180</v>
      </c>
      <c r="P262" s="3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7" t="s">
        <v>46</v>
      </c>
      <c r="V262" s="37" t="s">
        <v>46</v>
      </c>
      <c r="W262" s="38" t="s">
        <v>39</v>
      </c>
      <c r="X262" s="56">
        <f>84*6</f>
        <v>504</v>
      </c>
      <c r="Y262" s="53">
        <f>IFERROR(IF(X262="","",X262),"")</f>
        <v>504</v>
      </c>
      <c r="Z262" s="39">
        <f>IFERROR(IF(X262="","",X262*0.0155),"")</f>
        <v>7.8120000000000003</v>
      </c>
      <c r="AA262" s="65" t="s">
        <v>46</v>
      </c>
      <c r="AB262" s="66" t="s">
        <v>46</v>
      </c>
      <c r="AC262" s="256" t="s">
        <v>356</v>
      </c>
      <c r="AG262" s="78"/>
      <c r="AJ262" s="82" t="s">
        <v>118</v>
      </c>
      <c r="AK262" s="82">
        <v>12</v>
      </c>
      <c r="BB262" s="257" t="s">
        <v>115</v>
      </c>
      <c r="BM262" s="78">
        <f>IFERROR(X262*I262,"0")</f>
        <v>2638.44</v>
      </c>
      <c r="BN262" s="78">
        <f>IFERROR(Y262*I262,"0")</f>
        <v>2638.44</v>
      </c>
      <c r="BO262" s="78">
        <f>IFERROR(X262/J262,"0")</f>
        <v>6</v>
      </c>
      <c r="BP262" s="78">
        <f>IFERROR(Y262/J262,"0")</f>
        <v>6</v>
      </c>
    </row>
    <row r="263" spans="1:68" ht="27" hidden="1" customHeight="1" x14ac:dyDescent="0.25">
      <c r="A263" s="60" t="s">
        <v>359</v>
      </c>
      <c r="B263" s="60" t="s">
        <v>360</v>
      </c>
      <c r="C263" s="34">
        <v>4301136052</v>
      </c>
      <c r="D263" s="284">
        <v>4640242180410</v>
      </c>
      <c r="E263" s="284"/>
      <c r="F263" s="59">
        <v>2.2400000000000002</v>
      </c>
      <c r="G263" s="35">
        <v>1</v>
      </c>
      <c r="H263" s="59">
        <v>2.2400000000000002</v>
      </c>
      <c r="I263" s="59">
        <v>2.4319999999999999</v>
      </c>
      <c r="J263" s="35">
        <v>126</v>
      </c>
      <c r="K263" s="35" t="s">
        <v>116</v>
      </c>
      <c r="L263" s="35" t="s">
        <v>86</v>
      </c>
      <c r="M263" s="36" t="s">
        <v>84</v>
      </c>
      <c r="N263" s="36"/>
      <c r="O263" s="35">
        <v>180</v>
      </c>
      <c r="P263" s="30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IFERROR(IF(X263="","",X263*0.00936),"")</f>
        <v>0</v>
      </c>
      <c r="AA263" s="65" t="s">
        <v>46</v>
      </c>
      <c r="AB263" s="66" t="s">
        <v>46</v>
      </c>
      <c r="AC263" s="258" t="s">
        <v>356</v>
      </c>
      <c r="AG263" s="78"/>
      <c r="AJ263" s="82" t="s">
        <v>87</v>
      </c>
      <c r="AK263" s="82">
        <v>1</v>
      </c>
      <c r="BB263" s="259" t="s">
        <v>115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x14ac:dyDescent="0.2">
      <c r="A264" s="291"/>
      <c r="B264" s="291"/>
      <c r="C264" s="291"/>
      <c r="D264" s="291"/>
      <c r="E264" s="291"/>
      <c r="F264" s="291"/>
      <c r="G264" s="291"/>
      <c r="H264" s="291"/>
      <c r="I264" s="291"/>
      <c r="J264" s="291"/>
      <c r="K264" s="291"/>
      <c r="L264" s="291"/>
      <c r="M264" s="291"/>
      <c r="N264" s="291"/>
      <c r="O264" s="292"/>
      <c r="P264" s="288" t="s">
        <v>40</v>
      </c>
      <c r="Q264" s="289"/>
      <c r="R264" s="289"/>
      <c r="S264" s="289"/>
      <c r="T264" s="289"/>
      <c r="U264" s="289"/>
      <c r="V264" s="290"/>
      <c r="W264" s="40" t="s">
        <v>39</v>
      </c>
      <c r="X264" s="41">
        <f>IFERROR(SUM(X261:X263),"0")</f>
        <v>504</v>
      </c>
      <c r="Y264" s="41">
        <f>IFERROR(SUM(Y261:Y263),"0")</f>
        <v>504</v>
      </c>
      <c r="Z264" s="41">
        <f>IFERROR(IF(Z261="",0,Z261),"0")+IFERROR(IF(Z262="",0,Z262),"0")+IFERROR(IF(Z263="",0,Z263),"0")</f>
        <v>7.8120000000000003</v>
      </c>
      <c r="AA264" s="64"/>
      <c r="AB264" s="64"/>
      <c r="AC264" s="64"/>
    </row>
    <row r="265" spans="1:68" x14ac:dyDescent="0.2">
      <c r="A265" s="291"/>
      <c r="B265" s="291"/>
      <c r="C265" s="291"/>
      <c r="D265" s="291"/>
      <c r="E265" s="291"/>
      <c r="F265" s="291"/>
      <c r="G265" s="291"/>
      <c r="H265" s="291"/>
      <c r="I265" s="291"/>
      <c r="J265" s="291"/>
      <c r="K265" s="291"/>
      <c r="L265" s="291"/>
      <c r="M265" s="291"/>
      <c r="N265" s="291"/>
      <c r="O265" s="292"/>
      <c r="P265" s="288" t="s">
        <v>40</v>
      </c>
      <c r="Q265" s="289"/>
      <c r="R265" s="289"/>
      <c r="S265" s="289"/>
      <c r="T265" s="289"/>
      <c r="U265" s="289"/>
      <c r="V265" s="290"/>
      <c r="W265" s="40" t="s">
        <v>0</v>
      </c>
      <c r="X265" s="41">
        <f>IFERROR(SUMPRODUCT(X261:X263*H261:H263),"0")</f>
        <v>2520</v>
      </c>
      <c r="Y265" s="41">
        <f>IFERROR(SUMPRODUCT(Y261:Y263*H261:H263),"0")</f>
        <v>2520</v>
      </c>
      <c r="Z265" s="40"/>
      <c r="AA265" s="64"/>
      <c r="AB265" s="64"/>
      <c r="AC265" s="64"/>
    </row>
    <row r="266" spans="1:68" ht="14.25" hidden="1" customHeight="1" x14ac:dyDescent="0.25">
      <c r="A266" s="302" t="s">
        <v>147</v>
      </c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63"/>
      <c r="AB266" s="63"/>
      <c r="AC266" s="63"/>
    </row>
    <row r="267" spans="1:68" ht="37.5" hidden="1" customHeight="1" x14ac:dyDescent="0.25">
      <c r="A267" s="60" t="s">
        <v>361</v>
      </c>
      <c r="B267" s="60" t="s">
        <v>362</v>
      </c>
      <c r="C267" s="34">
        <v>4301135504</v>
      </c>
      <c r="D267" s="284">
        <v>4640242181554</v>
      </c>
      <c r="E267" s="284"/>
      <c r="F267" s="59">
        <v>3</v>
      </c>
      <c r="G267" s="35">
        <v>1</v>
      </c>
      <c r="H267" s="59">
        <v>3</v>
      </c>
      <c r="I267" s="59">
        <v>3.1920000000000002</v>
      </c>
      <c r="J267" s="35">
        <v>126</v>
      </c>
      <c r="K267" s="35" t="s">
        <v>116</v>
      </c>
      <c r="L267" s="35" t="s">
        <v>117</v>
      </c>
      <c r="M267" s="36" t="s">
        <v>84</v>
      </c>
      <c r="N267" s="36"/>
      <c r="O267" s="35">
        <v>180</v>
      </c>
      <c r="P267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ref="Y267:Y276" si="18">IFERROR(IF(X267="","",X267),"")</f>
        <v>0</v>
      </c>
      <c r="Z267" s="39">
        <f>IFERROR(IF(X267="","",X267*0.00936),"")</f>
        <v>0</v>
      </c>
      <c r="AA267" s="65" t="s">
        <v>46</v>
      </c>
      <c r="AB267" s="66" t="s">
        <v>46</v>
      </c>
      <c r="AC267" s="260" t="s">
        <v>363</v>
      </c>
      <c r="AG267" s="78"/>
      <c r="AJ267" s="82" t="s">
        <v>118</v>
      </c>
      <c r="AK267" s="82">
        <v>14</v>
      </c>
      <c r="BB267" s="261" t="s">
        <v>115</v>
      </c>
      <c r="BM267" s="78">
        <f t="shared" ref="BM267:BM276" si="19">IFERROR(X267*I267,"0")</f>
        <v>0</v>
      </c>
      <c r="BN267" s="78">
        <f t="shared" ref="BN267:BN276" si="20">IFERROR(Y267*I267,"0")</f>
        <v>0</v>
      </c>
      <c r="BO267" s="78">
        <f t="shared" ref="BO267:BO276" si="21">IFERROR(X267/J267,"0")</f>
        <v>0</v>
      </c>
      <c r="BP267" s="78">
        <f t="shared" ref="BP267:BP276" si="22">IFERROR(Y267/J267,"0")</f>
        <v>0</v>
      </c>
    </row>
    <row r="268" spans="1:68" ht="27" hidden="1" customHeight="1" x14ac:dyDescent="0.25">
      <c r="A268" s="60" t="s">
        <v>364</v>
      </c>
      <c r="B268" s="60" t="s">
        <v>365</v>
      </c>
      <c r="C268" s="34">
        <v>4301137046</v>
      </c>
      <c r="D268" s="284">
        <v>4620207492093</v>
      </c>
      <c r="E268" s="284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116</v>
      </c>
      <c r="L268" s="35" t="s">
        <v>86</v>
      </c>
      <c r="M268" s="36" t="s">
        <v>84</v>
      </c>
      <c r="N268" s="36"/>
      <c r="O268" s="35">
        <v>180</v>
      </c>
      <c r="P268" s="304" t="s">
        <v>366</v>
      </c>
      <c r="Q268" s="286"/>
      <c r="R268" s="286"/>
      <c r="S268" s="286"/>
      <c r="T268" s="287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8"/>
        <v>0</v>
      </c>
      <c r="Z268" s="39">
        <f>IFERROR(IF(X268="","",X268*0.00936),"")</f>
        <v>0</v>
      </c>
      <c r="AA268" s="65" t="s">
        <v>46</v>
      </c>
      <c r="AB268" s="66" t="s">
        <v>46</v>
      </c>
      <c r="AC268" s="262" t="s">
        <v>367</v>
      </c>
      <c r="AG268" s="78"/>
      <c r="AJ268" s="82" t="s">
        <v>87</v>
      </c>
      <c r="AK268" s="82">
        <v>1</v>
      </c>
      <c r="BB268" s="263" t="s">
        <v>115</v>
      </c>
      <c r="BM268" s="78">
        <f t="shared" si="19"/>
        <v>0</v>
      </c>
      <c r="BN268" s="78">
        <f t="shared" si="20"/>
        <v>0</v>
      </c>
      <c r="BO268" s="78">
        <f t="shared" si="21"/>
        <v>0</v>
      </c>
      <c r="BP268" s="78">
        <f t="shared" si="22"/>
        <v>0</v>
      </c>
    </row>
    <row r="269" spans="1:68" ht="27" customHeight="1" x14ac:dyDescent="0.25">
      <c r="A269" s="60" t="s">
        <v>368</v>
      </c>
      <c r="B269" s="60" t="s">
        <v>369</v>
      </c>
      <c r="C269" s="34">
        <v>4301135374</v>
      </c>
      <c r="D269" s="284">
        <v>4640242181424</v>
      </c>
      <c r="E269" s="284"/>
      <c r="F269" s="59">
        <v>5.5</v>
      </c>
      <c r="G269" s="35">
        <v>1</v>
      </c>
      <c r="H269" s="59">
        <v>5.5</v>
      </c>
      <c r="I269" s="59">
        <v>5.7350000000000003</v>
      </c>
      <c r="J269" s="35">
        <v>84</v>
      </c>
      <c r="K269" s="35" t="s">
        <v>85</v>
      </c>
      <c r="L269" s="35" t="s">
        <v>117</v>
      </c>
      <c r="M269" s="36" t="s">
        <v>84</v>
      </c>
      <c r="N269" s="36"/>
      <c r="O269" s="35">
        <v>180</v>
      </c>
      <c r="P269" s="30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7" t="s">
        <v>46</v>
      </c>
      <c r="V269" s="37" t="s">
        <v>46</v>
      </c>
      <c r="W269" s="38" t="s">
        <v>39</v>
      </c>
      <c r="X269" s="56">
        <v>168</v>
      </c>
      <c r="Y269" s="53">
        <f t="shared" si="18"/>
        <v>168</v>
      </c>
      <c r="Z269" s="39">
        <f>IFERROR(IF(X269="","",X269*0.0155),"")</f>
        <v>2.6040000000000001</v>
      </c>
      <c r="AA269" s="65" t="s">
        <v>46</v>
      </c>
      <c r="AB269" s="66" t="s">
        <v>46</v>
      </c>
      <c r="AC269" s="264" t="s">
        <v>363</v>
      </c>
      <c r="AG269" s="78"/>
      <c r="AJ269" s="82" t="s">
        <v>118</v>
      </c>
      <c r="AK269" s="82">
        <v>12</v>
      </c>
      <c r="BB269" s="265" t="s">
        <v>115</v>
      </c>
      <c r="BM269" s="78">
        <f t="shared" si="19"/>
        <v>963.48</v>
      </c>
      <c r="BN269" s="78">
        <f t="shared" si="20"/>
        <v>963.48</v>
      </c>
      <c r="BO269" s="78">
        <f t="shared" si="21"/>
        <v>2</v>
      </c>
      <c r="BP269" s="78">
        <f t="shared" si="22"/>
        <v>2</v>
      </c>
    </row>
    <row r="270" spans="1:68" ht="27" hidden="1" customHeight="1" x14ac:dyDescent="0.25">
      <c r="A270" s="60" t="s">
        <v>370</v>
      </c>
      <c r="B270" s="60" t="s">
        <v>371</v>
      </c>
      <c r="C270" s="34">
        <v>4301135405</v>
      </c>
      <c r="D270" s="284">
        <v>4640242181523</v>
      </c>
      <c r="E270" s="284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116</v>
      </c>
      <c r="L270" s="35" t="s">
        <v>117</v>
      </c>
      <c r="M270" s="36" t="s">
        <v>84</v>
      </c>
      <c r="N270" s="36"/>
      <c r="O270" s="35">
        <v>180</v>
      </c>
      <c r="P270" s="3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8"/>
        <v>0</v>
      </c>
      <c r="Z270" s="39">
        <f t="shared" ref="Z270:Z276" si="23">IFERROR(IF(X270="","",X270*0.00936),"")</f>
        <v>0</v>
      </c>
      <c r="AA270" s="65" t="s">
        <v>46</v>
      </c>
      <c r="AB270" s="66" t="s">
        <v>46</v>
      </c>
      <c r="AC270" s="266" t="s">
        <v>372</v>
      </c>
      <c r="AG270" s="78"/>
      <c r="AJ270" s="82" t="s">
        <v>118</v>
      </c>
      <c r="AK270" s="82">
        <v>14</v>
      </c>
      <c r="BB270" s="267" t="s">
        <v>115</v>
      </c>
      <c r="BM270" s="78">
        <f t="shared" si="19"/>
        <v>0</v>
      </c>
      <c r="BN270" s="78">
        <f t="shared" si="20"/>
        <v>0</v>
      </c>
      <c r="BO270" s="78">
        <f t="shared" si="21"/>
        <v>0</v>
      </c>
      <c r="BP270" s="78">
        <f t="shared" si="22"/>
        <v>0</v>
      </c>
    </row>
    <row r="271" spans="1:68" ht="27" customHeight="1" x14ac:dyDescent="0.25">
      <c r="A271" s="60" t="s">
        <v>373</v>
      </c>
      <c r="B271" s="60" t="s">
        <v>374</v>
      </c>
      <c r="C271" s="34">
        <v>4301135375</v>
      </c>
      <c r="D271" s="284">
        <v>4640242181486</v>
      </c>
      <c r="E271" s="284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29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7" t="s">
        <v>46</v>
      </c>
      <c r="V271" s="37" t="s">
        <v>46</v>
      </c>
      <c r="W271" s="38" t="s">
        <v>39</v>
      </c>
      <c r="X271" s="56">
        <v>378</v>
      </c>
      <c r="Y271" s="53">
        <f t="shared" si="18"/>
        <v>378</v>
      </c>
      <c r="Z271" s="39">
        <f t="shared" si="23"/>
        <v>3.5380799999999999</v>
      </c>
      <c r="AA271" s="65" t="s">
        <v>46</v>
      </c>
      <c r="AB271" s="66" t="s">
        <v>46</v>
      </c>
      <c r="AC271" s="268" t="s">
        <v>363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1471.1759999999999</v>
      </c>
      <c r="BN271" s="78">
        <f t="shared" si="20"/>
        <v>1471.1759999999999</v>
      </c>
      <c r="BO271" s="78">
        <f t="shared" si="21"/>
        <v>3</v>
      </c>
      <c r="BP271" s="78">
        <f t="shared" si="22"/>
        <v>3</v>
      </c>
    </row>
    <row r="272" spans="1:68" ht="37.5" hidden="1" customHeight="1" x14ac:dyDescent="0.25">
      <c r="A272" s="60" t="s">
        <v>375</v>
      </c>
      <c r="B272" s="60" t="s">
        <v>376</v>
      </c>
      <c r="C272" s="34">
        <v>4301135402</v>
      </c>
      <c r="D272" s="284">
        <v>4640242181493</v>
      </c>
      <c r="E272" s="284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29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 t="shared" si="23"/>
        <v>0</v>
      </c>
      <c r="AA272" s="65" t="s">
        <v>46</v>
      </c>
      <c r="AB272" s="66" t="s">
        <v>46</v>
      </c>
      <c r="AC272" s="270" t="s">
        <v>363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37.5" hidden="1" customHeight="1" x14ac:dyDescent="0.25">
      <c r="A273" s="60" t="s">
        <v>377</v>
      </c>
      <c r="B273" s="60" t="s">
        <v>378</v>
      </c>
      <c r="C273" s="34">
        <v>4301135403</v>
      </c>
      <c r="D273" s="284">
        <v>4640242181509</v>
      </c>
      <c r="E273" s="284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86</v>
      </c>
      <c r="M273" s="36" t="s">
        <v>84</v>
      </c>
      <c r="N273" s="36"/>
      <c r="O273" s="35">
        <v>180</v>
      </c>
      <c r="P273" s="29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363</v>
      </c>
      <c r="AG273" s="78"/>
      <c r="AJ273" s="82" t="s">
        <v>87</v>
      </c>
      <c r="AK273" s="82">
        <v>1</v>
      </c>
      <c r="BB273" s="273" t="s">
        <v>115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hidden="1" customHeight="1" x14ac:dyDescent="0.25">
      <c r="A274" s="60" t="s">
        <v>379</v>
      </c>
      <c r="B274" s="60" t="s">
        <v>380</v>
      </c>
      <c r="C274" s="34">
        <v>4301135304</v>
      </c>
      <c r="D274" s="284">
        <v>4640242181240</v>
      </c>
      <c r="E274" s="284"/>
      <c r="F274" s="59">
        <v>0.3</v>
      </c>
      <c r="G274" s="35">
        <v>9</v>
      </c>
      <c r="H274" s="59">
        <v>2.7</v>
      </c>
      <c r="I274" s="59">
        <v>2.88</v>
      </c>
      <c r="J274" s="35">
        <v>126</v>
      </c>
      <c r="K274" s="35" t="s">
        <v>116</v>
      </c>
      <c r="L274" s="35" t="s">
        <v>117</v>
      </c>
      <c r="M274" s="36" t="s">
        <v>84</v>
      </c>
      <c r="N274" s="36"/>
      <c r="O274" s="35">
        <v>180</v>
      </c>
      <c r="P274" s="3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363</v>
      </c>
      <c r="AG274" s="78"/>
      <c r="AJ274" s="82" t="s">
        <v>118</v>
      </c>
      <c r="AK274" s="82">
        <v>14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hidden="1" customHeight="1" x14ac:dyDescent="0.25">
      <c r="A275" s="60" t="s">
        <v>381</v>
      </c>
      <c r="B275" s="60" t="s">
        <v>382</v>
      </c>
      <c r="C275" s="34">
        <v>4301135610</v>
      </c>
      <c r="D275" s="284">
        <v>4640242181318</v>
      </c>
      <c r="E275" s="284"/>
      <c r="F275" s="59">
        <v>0.3</v>
      </c>
      <c r="G275" s="35">
        <v>9</v>
      </c>
      <c r="H275" s="59">
        <v>2.7</v>
      </c>
      <c r="I275" s="59">
        <v>2.988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3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372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hidden="1" customHeight="1" x14ac:dyDescent="0.25">
      <c r="A276" s="60" t="s">
        <v>383</v>
      </c>
      <c r="B276" s="60" t="s">
        <v>384</v>
      </c>
      <c r="C276" s="34">
        <v>4301137012</v>
      </c>
      <c r="D276" s="284">
        <v>4620207491935</v>
      </c>
      <c r="E276" s="284"/>
      <c r="F276" s="59">
        <v>0.3</v>
      </c>
      <c r="G276" s="35">
        <v>9</v>
      </c>
      <c r="H276" s="59">
        <v>2.7</v>
      </c>
      <c r="I276" s="59">
        <v>2.9249999999999998</v>
      </c>
      <c r="J276" s="35">
        <v>126</v>
      </c>
      <c r="K276" s="35" t="s">
        <v>116</v>
      </c>
      <c r="L276" s="35" t="s">
        <v>86</v>
      </c>
      <c r="M276" s="36" t="s">
        <v>84</v>
      </c>
      <c r="N276" s="36"/>
      <c r="O276" s="35">
        <v>180</v>
      </c>
      <c r="P276" s="28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6"/>
      <c r="R276" s="286"/>
      <c r="S276" s="286"/>
      <c r="T276" s="287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385</v>
      </c>
      <c r="AG276" s="78"/>
      <c r="AJ276" s="82" t="s">
        <v>87</v>
      </c>
      <c r="AK276" s="82">
        <v>1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x14ac:dyDescent="0.2">
      <c r="A277" s="291"/>
      <c r="B277" s="291"/>
      <c r="C277" s="291"/>
      <c r="D277" s="291"/>
      <c r="E277" s="291"/>
      <c r="F277" s="291"/>
      <c r="G277" s="291"/>
      <c r="H277" s="291"/>
      <c r="I277" s="291"/>
      <c r="J277" s="291"/>
      <c r="K277" s="291"/>
      <c r="L277" s="291"/>
      <c r="M277" s="291"/>
      <c r="N277" s="291"/>
      <c r="O277" s="292"/>
      <c r="P277" s="288" t="s">
        <v>40</v>
      </c>
      <c r="Q277" s="289"/>
      <c r="R277" s="289"/>
      <c r="S277" s="289"/>
      <c r="T277" s="289"/>
      <c r="U277" s="289"/>
      <c r="V277" s="290"/>
      <c r="W277" s="40" t="s">
        <v>39</v>
      </c>
      <c r="X277" s="41">
        <f>IFERROR(SUM(X267:X276),"0")</f>
        <v>546</v>
      </c>
      <c r="Y277" s="41">
        <f>IFERROR(SUM(Y267:Y276),"0")</f>
        <v>546</v>
      </c>
      <c r="Z277" s="41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6.14208</v>
      </c>
      <c r="AA277" s="64"/>
      <c r="AB277" s="64"/>
      <c r="AC277" s="64"/>
    </row>
    <row r="278" spans="1:68" x14ac:dyDescent="0.2">
      <c r="A278" s="291"/>
      <c r="B278" s="291"/>
      <c r="C278" s="291"/>
      <c r="D278" s="291"/>
      <c r="E278" s="291"/>
      <c r="F278" s="291"/>
      <c r="G278" s="291"/>
      <c r="H278" s="291"/>
      <c r="I278" s="291"/>
      <c r="J278" s="291"/>
      <c r="K278" s="291"/>
      <c r="L278" s="291"/>
      <c r="M278" s="291"/>
      <c r="N278" s="291"/>
      <c r="O278" s="292"/>
      <c r="P278" s="288" t="s">
        <v>40</v>
      </c>
      <c r="Q278" s="289"/>
      <c r="R278" s="289"/>
      <c r="S278" s="289"/>
      <c r="T278" s="289"/>
      <c r="U278" s="289"/>
      <c r="V278" s="290"/>
      <c r="W278" s="40" t="s">
        <v>0</v>
      </c>
      <c r="X278" s="41">
        <f>IFERROR(SUMPRODUCT(X267:X276*H267:H276),"0")</f>
        <v>2322.6000000000004</v>
      </c>
      <c r="Y278" s="41">
        <f>IFERROR(SUMPRODUCT(Y267:Y276*H267:H276),"0")</f>
        <v>2322.6000000000004</v>
      </c>
      <c r="Z278" s="40"/>
      <c r="AA278" s="64"/>
      <c r="AB278" s="64"/>
      <c r="AC278" s="64"/>
    </row>
    <row r="279" spans="1:68" ht="15" customHeight="1" x14ac:dyDescent="0.2">
      <c r="A279" s="291"/>
      <c r="B279" s="291"/>
      <c r="C279" s="291"/>
      <c r="D279" s="291"/>
      <c r="E279" s="291"/>
      <c r="F279" s="291"/>
      <c r="G279" s="291"/>
      <c r="H279" s="291"/>
      <c r="I279" s="291"/>
      <c r="J279" s="291"/>
      <c r="K279" s="291"/>
      <c r="L279" s="291"/>
      <c r="M279" s="291"/>
      <c r="N279" s="291"/>
      <c r="O279" s="296"/>
      <c r="P279" s="293" t="s">
        <v>33</v>
      </c>
      <c r="Q279" s="294"/>
      <c r="R279" s="294"/>
      <c r="S279" s="294"/>
      <c r="T279" s="294"/>
      <c r="U279" s="294"/>
      <c r="V279" s="295"/>
      <c r="W279" s="40" t="s">
        <v>0</v>
      </c>
      <c r="X279" s="41">
        <f>IFERROR(X31+X37+X44+X50+X58+X63+X67+X73+X79+X84+X90+X100+X106+X117+X121+X125+X133+X139+X145+X152+X158+X163+X168+X173+X180+X185+X194+X200+X206+X212+X217+X222+X228+X234+X238+X244+X248+X255+X259+X265+X278,"0")</f>
        <v>7641.4800000000005</v>
      </c>
      <c r="Y279" s="41">
        <f>IFERROR(Y31+Y37+Y44+Y50+Y58+Y63+Y67+Y73+Y79+Y84+Y90+Y100+Y106+Y117+Y121+Y125+Y133+Y139+Y145+Y152+Y158+Y163+Y168+Y173+Y180+Y185+Y194+Y200+Y206+Y212+Y217+Y222+Y228+Y234+Y238+Y244+Y248+Y255+Y259+Y265+Y278,"0")</f>
        <v>7641.4800000000005</v>
      </c>
      <c r="Z279" s="40"/>
      <c r="AA279" s="64"/>
      <c r="AB279" s="64"/>
      <c r="AC279" s="64"/>
    </row>
    <row r="280" spans="1:68" x14ac:dyDescent="0.2">
      <c r="A280" s="291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91"/>
      <c r="O280" s="296"/>
      <c r="P280" s="293" t="s">
        <v>34</v>
      </c>
      <c r="Q280" s="294"/>
      <c r="R280" s="294"/>
      <c r="S280" s="294"/>
      <c r="T280" s="294"/>
      <c r="U280" s="294"/>
      <c r="V280" s="295"/>
      <c r="W280" s="40" t="s">
        <v>0</v>
      </c>
      <c r="X280" s="41">
        <f>IFERROR(SUM(BM22:BM276),"0")</f>
        <v>8233.7248</v>
      </c>
      <c r="Y280" s="41">
        <f>IFERROR(SUM(BN22:BN276),"0")</f>
        <v>8233.7248</v>
      </c>
      <c r="Z280" s="40"/>
      <c r="AA280" s="64"/>
      <c r="AB280" s="64"/>
      <c r="AC280" s="64"/>
    </row>
    <row r="281" spans="1:68" x14ac:dyDescent="0.2">
      <c r="A281" s="291"/>
      <c r="B281" s="291"/>
      <c r="C281" s="291"/>
      <c r="D281" s="291"/>
      <c r="E281" s="291"/>
      <c r="F281" s="291"/>
      <c r="G281" s="291"/>
      <c r="H281" s="291"/>
      <c r="I281" s="291"/>
      <c r="J281" s="291"/>
      <c r="K281" s="291"/>
      <c r="L281" s="291"/>
      <c r="M281" s="291"/>
      <c r="N281" s="291"/>
      <c r="O281" s="296"/>
      <c r="P281" s="293" t="s">
        <v>35</v>
      </c>
      <c r="Q281" s="294"/>
      <c r="R281" s="294"/>
      <c r="S281" s="294"/>
      <c r="T281" s="294"/>
      <c r="U281" s="294"/>
      <c r="V281" s="295"/>
      <c r="W281" s="40" t="s">
        <v>20</v>
      </c>
      <c r="X281" s="42">
        <f>ROUNDUP(SUM(BO22:BO276),0)</f>
        <v>21</v>
      </c>
      <c r="Y281" s="42">
        <f>ROUNDUP(SUM(BP22:BP276),0)</f>
        <v>21</v>
      </c>
      <c r="Z281" s="40"/>
      <c r="AA281" s="64"/>
      <c r="AB281" s="64"/>
      <c r="AC281" s="64"/>
    </row>
    <row r="282" spans="1:68" x14ac:dyDescent="0.2">
      <c r="A282" s="291"/>
      <c r="B282" s="291"/>
      <c r="C282" s="291"/>
      <c r="D282" s="291"/>
      <c r="E282" s="291"/>
      <c r="F282" s="291"/>
      <c r="G282" s="291"/>
      <c r="H282" s="291"/>
      <c r="I282" s="291"/>
      <c r="J282" s="291"/>
      <c r="K282" s="291"/>
      <c r="L282" s="291"/>
      <c r="M282" s="291"/>
      <c r="N282" s="291"/>
      <c r="O282" s="296"/>
      <c r="P282" s="293" t="s">
        <v>36</v>
      </c>
      <c r="Q282" s="294"/>
      <c r="R282" s="294"/>
      <c r="S282" s="294"/>
      <c r="T282" s="294"/>
      <c r="U282" s="294"/>
      <c r="V282" s="295"/>
      <c r="W282" s="40" t="s">
        <v>0</v>
      </c>
      <c r="X282" s="41">
        <f>GrossWeightTotal+PalletQtyTotal*25</f>
        <v>8758.7248</v>
      </c>
      <c r="Y282" s="41">
        <f>GrossWeightTotalR+PalletQtyTotalR*25</f>
        <v>8758.7248</v>
      </c>
      <c r="Z282" s="40"/>
      <c r="AA282" s="64"/>
      <c r="AB282" s="64"/>
      <c r="AC282" s="64"/>
    </row>
    <row r="283" spans="1:68" x14ac:dyDescent="0.2">
      <c r="A283" s="291"/>
      <c r="B283" s="291"/>
      <c r="C283" s="291"/>
      <c r="D283" s="291"/>
      <c r="E283" s="291"/>
      <c r="F283" s="291"/>
      <c r="G283" s="291"/>
      <c r="H283" s="291"/>
      <c r="I283" s="291"/>
      <c r="J283" s="291"/>
      <c r="K283" s="291"/>
      <c r="L283" s="291"/>
      <c r="M283" s="291"/>
      <c r="N283" s="291"/>
      <c r="O283" s="296"/>
      <c r="P283" s="293" t="s">
        <v>37</v>
      </c>
      <c r="Q283" s="294"/>
      <c r="R283" s="294"/>
      <c r="S283" s="294"/>
      <c r="T283" s="294"/>
      <c r="U283" s="294"/>
      <c r="V283" s="295"/>
      <c r="W283" s="40" t="s">
        <v>20</v>
      </c>
      <c r="X283" s="41">
        <f>IFERROR(X30+X36+X43+X49+X57+X62+X66+X72+X78+X83+X89+X99+X105+X116+X120+X124+X132+X138+X144+X151+X157+X162+X167+X172+X179+X184+X193+X199+X205+X211+X216+X221+X227+X233+X237+X243+X247+X254+X258+X264+X277,"0")</f>
        <v>1792</v>
      </c>
      <c r="Y283" s="41">
        <f>IFERROR(Y30+Y36+Y43+Y49+Y57+Y62+Y66+Y72+Y78+Y83+Y89+Y99+Y105+Y116+Y120+Y124+Y132+Y138+Y144+Y151+Y157+Y162+Y167+Y172+Y179+Y184+Y193+Y199+Y205+Y211+Y216+Y221+Y227+Y233+Y237+Y243+Y247+Y254+Y258+Y264+Y277,"0")</f>
        <v>1792</v>
      </c>
      <c r="Z283" s="40"/>
      <c r="AA283" s="64"/>
      <c r="AB283" s="64"/>
      <c r="AC283" s="64"/>
    </row>
    <row r="284" spans="1:68" ht="14.25" hidden="1" x14ac:dyDescent="0.2">
      <c r="A284" s="291"/>
      <c r="B284" s="291"/>
      <c r="C284" s="291"/>
      <c r="D284" s="291"/>
      <c r="E284" s="291"/>
      <c r="F284" s="291"/>
      <c r="G284" s="291"/>
      <c r="H284" s="291"/>
      <c r="I284" s="291"/>
      <c r="J284" s="291"/>
      <c r="K284" s="291"/>
      <c r="L284" s="291"/>
      <c r="M284" s="291"/>
      <c r="N284" s="291"/>
      <c r="O284" s="296"/>
      <c r="P284" s="293" t="s">
        <v>38</v>
      </c>
      <c r="Q284" s="294"/>
      <c r="R284" s="294"/>
      <c r="S284" s="294"/>
      <c r="T284" s="294"/>
      <c r="U284" s="294"/>
      <c r="V284" s="295"/>
      <c r="W284" s="43" t="s">
        <v>52</v>
      </c>
      <c r="X284" s="40"/>
      <c r="Y284" s="40"/>
      <c r="Z284" s="40">
        <f>IFERROR(Z30+Z36+Z43+Z49+Z57+Z62+Z66+Z72+Z78+Z83+Z89+Z99+Z105+Z116+Z120+Z124+Z132+Z138+Z144+Z151+Z157+Z162+Z167+Z172+Z179+Z184+Z193+Z199+Z205+Z211+Z216+Z221+Z227+Z233+Z237+Z243+Z247+Z254+Z258+Z264+Z277,"0")</f>
        <v>25.55406</v>
      </c>
      <c r="AA284" s="64"/>
      <c r="AB284" s="64"/>
      <c r="AC284" s="64"/>
    </row>
    <row r="285" spans="1:68" ht="13.5" thickBot="1" x14ac:dyDescent="0.25"/>
    <row r="286" spans="1:68" ht="27" thickTop="1" thickBot="1" x14ac:dyDescent="0.25">
      <c r="A286" s="44" t="s">
        <v>9</v>
      </c>
      <c r="B286" s="280" t="s">
        <v>79</v>
      </c>
      <c r="C286" s="280" t="s">
        <v>79</v>
      </c>
      <c r="D286" s="280" t="s">
        <v>45</v>
      </c>
      <c r="E286" s="280" t="s">
        <v>45</v>
      </c>
      <c r="F286" s="280" t="s">
        <v>45</v>
      </c>
      <c r="G286" s="280" t="s">
        <v>45</v>
      </c>
      <c r="H286" s="280" t="s">
        <v>45</v>
      </c>
      <c r="I286" s="280" t="s">
        <v>45</v>
      </c>
      <c r="J286" s="280" t="s">
        <v>45</v>
      </c>
      <c r="K286" s="280" t="s">
        <v>45</v>
      </c>
      <c r="L286" s="280" t="s">
        <v>45</v>
      </c>
      <c r="M286" s="280" t="s">
        <v>45</v>
      </c>
      <c r="N286" s="281"/>
      <c r="O286" s="280" t="s">
        <v>45</v>
      </c>
      <c r="P286" s="280" t="s">
        <v>45</v>
      </c>
      <c r="Q286" s="280" t="s">
        <v>45</v>
      </c>
      <c r="R286" s="280" t="s">
        <v>45</v>
      </c>
      <c r="S286" s="280" t="s">
        <v>45</v>
      </c>
      <c r="T286" s="280" t="s">
        <v>45</v>
      </c>
      <c r="U286" s="280" t="s">
        <v>45</v>
      </c>
      <c r="V286" s="280" t="s">
        <v>270</v>
      </c>
      <c r="W286" s="280" t="s">
        <v>270</v>
      </c>
      <c r="X286" s="83" t="s">
        <v>281</v>
      </c>
      <c r="Y286" s="280" t="s">
        <v>295</v>
      </c>
      <c r="Z286" s="280" t="s">
        <v>295</v>
      </c>
      <c r="AA286" s="280" t="s">
        <v>295</v>
      </c>
      <c r="AB286" s="280" t="s">
        <v>295</v>
      </c>
      <c r="AC286" s="83" t="s">
        <v>324</v>
      </c>
      <c r="AD286" s="83" t="s">
        <v>329</v>
      </c>
      <c r="AE286" s="83" t="s">
        <v>337</v>
      </c>
      <c r="AF286" s="83" t="s">
        <v>344</v>
      </c>
    </row>
    <row r="287" spans="1:68" ht="14.25" customHeight="1" thickTop="1" x14ac:dyDescent="0.2">
      <c r="A287" s="282" t="s">
        <v>10</v>
      </c>
      <c r="B287" s="280" t="s">
        <v>79</v>
      </c>
      <c r="C287" s="280" t="s">
        <v>104</v>
      </c>
      <c r="D287" s="280" t="s">
        <v>110</v>
      </c>
      <c r="E287" s="280" t="s">
        <v>121</v>
      </c>
      <c r="F287" s="280" t="s">
        <v>128</v>
      </c>
      <c r="G287" s="280" t="s">
        <v>139</v>
      </c>
      <c r="H287" s="280" t="s">
        <v>155</v>
      </c>
      <c r="I287" s="280" t="s">
        <v>162</v>
      </c>
      <c r="J287" s="280" t="s">
        <v>166</v>
      </c>
      <c r="K287" s="280" t="s">
        <v>174</v>
      </c>
      <c r="L287" s="280" t="s">
        <v>189</v>
      </c>
      <c r="M287" s="280" t="s">
        <v>195</v>
      </c>
      <c r="N287" s="1"/>
      <c r="O287" s="280" t="s">
        <v>220</v>
      </c>
      <c r="P287" s="280" t="s">
        <v>238</v>
      </c>
      <c r="Q287" s="280" t="s">
        <v>244</v>
      </c>
      <c r="R287" s="280" t="s">
        <v>253</v>
      </c>
      <c r="S287" s="280" t="s">
        <v>259</v>
      </c>
      <c r="T287" s="280" t="s">
        <v>263</v>
      </c>
      <c r="U287" s="280" t="s">
        <v>266</v>
      </c>
      <c r="V287" s="280" t="s">
        <v>271</v>
      </c>
      <c r="W287" s="280" t="s">
        <v>278</v>
      </c>
      <c r="X287" s="280" t="s">
        <v>282</v>
      </c>
      <c r="Y287" s="280" t="s">
        <v>296</v>
      </c>
      <c r="Z287" s="280" t="s">
        <v>309</v>
      </c>
      <c r="AA287" s="280" t="s">
        <v>316</v>
      </c>
      <c r="AB287" s="280" t="s">
        <v>320</v>
      </c>
      <c r="AC287" s="280" t="s">
        <v>325</v>
      </c>
      <c r="AD287" s="280" t="s">
        <v>330</v>
      </c>
      <c r="AE287" s="280" t="s">
        <v>337</v>
      </c>
      <c r="AF287" s="280" t="s">
        <v>344</v>
      </c>
    </row>
    <row r="288" spans="1:68" ht="13.5" thickBot="1" x14ac:dyDescent="0.25">
      <c r="A288" s="283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1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  <c r="AA288" s="280"/>
      <c r="AB288" s="280"/>
      <c r="AC288" s="280"/>
      <c r="AD288" s="280"/>
      <c r="AE288" s="280"/>
      <c r="AF288" s="280"/>
    </row>
    <row r="289" spans="1:32" ht="18" thickTop="1" thickBot="1" x14ac:dyDescent="0.25">
      <c r="A289" s="44" t="s">
        <v>13</v>
      </c>
      <c r="B289" s="50">
        <f>IFERROR(X22*H22,"0")+IFERROR(X23*H23,"0")+IFERROR(X24*H24,"0")+IFERROR(X25*H25,"0")+IFERROR(X26*H26,"0")+IFERROR(X27*H27,"0")+IFERROR(X28*H28,"0")+IFERROR(X29*H29,"0")</f>
        <v>0</v>
      </c>
      <c r="C289" s="50">
        <f>IFERROR(X34*H34,"0")+IFERROR(X35*H35,"0")</f>
        <v>0</v>
      </c>
      <c r="D289" s="50">
        <f>IFERROR(X41*H41,"0")+IFERROR(X42*H42,"0")</f>
        <v>0</v>
      </c>
      <c r="E289" s="50">
        <f>IFERROR(X47*H47,"0")+IFERROR(X48*H48,"0")</f>
        <v>0</v>
      </c>
      <c r="F289" s="50">
        <f>IFERROR(X53*H53,"0")+IFERROR(X54*H54,"0")+IFERROR(X55*H55,"0")+IFERROR(X56*H56,"0")</f>
        <v>0</v>
      </c>
      <c r="G289" s="50">
        <f>IFERROR(X61*H61,"0")+IFERROR(X65*H65,"0")+IFERROR(X69*H69,"0")+IFERROR(X70*H70,"0")+IFERROR(X71*H71,"0")</f>
        <v>0</v>
      </c>
      <c r="H289" s="50">
        <f>IFERROR(X76*H76,"0")+IFERROR(X77*H77,"0")</f>
        <v>0</v>
      </c>
      <c r="I289" s="50">
        <f>IFERROR(X82*H82,"0")</f>
        <v>0</v>
      </c>
      <c r="J289" s="50">
        <f>IFERROR(X87*H87,"0")+IFERROR(X88*H88,"0")</f>
        <v>252</v>
      </c>
      <c r="K289" s="50">
        <f>IFERROR(X93*H93,"0")+IFERROR(X94*H94,"0")+IFERROR(X95*H95,"0")+IFERROR(X96*H96,"0")+IFERROR(X97*H97,"0")+IFERROR(X98*H98,"0")</f>
        <v>201.6</v>
      </c>
      <c r="L289" s="50">
        <f>IFERROR(X103*H103,"0")+IFERROR(X104*H104,"0")</f>
        <v>0</v>
      </c>
      <c r="M289" s="50">
        <f>IFERROR(X109*H109,"0")+IFERROR(X110*H110,"0")+IFERROR(X111*H111,"0")+IFERROR(X112*H112,"0")+IFERROR(X113*H113,"0")+IFERROR(X114*H114,"0")+IFERROR(X115*H115,"0")+IFERROR(X119*H119,"0")+IFERROR(X123*H123,"0")</f>
        <v>73.92</v>
      </c>
      <c r="N289" s="1"/>
      <c r="O289" s="50">
        <f>IFERROR(X128*H128,"0")+IFERROR(X129*H129,"0")+IFERROR(X130*H130,"0")+IFERROR(X131*H131,"0")+IFERROR(X135*H135,"0")+IFERROR(X136*H136,"0")+IFERROR(X137*H137,"0")</f>
        <v>171.36</v>
      </c>
      <c r="P289" s="50">
        <f>IFERROR(X142*H142,"0")+IFERROR(X143*H143,"0")</f>
        <v>210</v>
      </c>
      <c r="Q289" s="50">
        <f>IFERROR(X148*H148,"0")+IFERROR(X149*H149,"0")+IFERROR(X150*H150,"0")</f>
        <v>210</v>
      </c>
      <c r="R289" s="50">
        <f>IFERROR(X155*H155,"0")+IFERROR(X156*H156,"0")</f>
        <v>0</v>
      </c>
      <c r="S289" s="50">
        <f>IFERROR(X161*H161,"0")</f>
        <v>0</v>
      </c>
      <c r="T289" s="50">
        <f>IFERROR(X166*H166,"0")</f>
        <v>0</v>
      </c>
      <c r="U289" s="50">
        <f>IFERROR(X171*H171,"0")</f>
        <v>0</v>
      </c>
      <c r="V289" s="50">
        <f>IFERROR(X177*H177,"0")+IFERROR(X178*H178,"0")</f>
        <v>0</v>
      </c>
      <c r="W289" s="50">
        <f>IFERROR(X183*H183,"0")</f>
        <v>0</v>
      </c>
      <c r="X289" s="50">
        <f>IFERROR(X189*H189,"0")+IFERROR(X190*H190,"0")+IFERROR(X191*H191,"0")+IFERROR(X192*H192,"0")</f>
        <v>168</v>
      </c>
      <c r="Y289" s="50">
        <f>IFERROR(X198*H198,"0")+IFERROR(X202*H202,"0")+IFERROR(X203*H203,"0")+IFERROR(X204*H204,"0")</f>
        <v>0</v>
      </c>
      <c r="Z289" s="50">
        <f>IFERROR(X209*H209,"0")+IFERROR(X210*H210,"0")</f>
        <v>0</v>
      </c>
      <c r="AA289" s="50">
        <f>IFERROR(X215*H215,"0")</f>
        <v>0</v>
      </c>
      <c r="AB289" s="50">
        <f>IFERROR(X220*H220,"0")</f>
        <v>0</v>
      </c>
      <c r="AC289" s="50">
        <f>IFERROR(X226*H226,"0")</f>
        <v>0</v>
      </c>
      <c r="AD289" s="50">
        <f>IFERROR(X232*H232,"0")+IFERROR(X236*H236,"0")</f>
        <v>0</v>
      </c>
      <c r="AE289" s="50">
        <f>IFERROR(X242*H242,"0")+IFERROR(X246*H246,"0")</f>
        <v>0</v>
      </c>
      <c r="AF289" s="50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6354.6</v>
      </c>
    </row>
    <row r="290" spans="1:32" ht="13.5" thickTop="1" x14ac:dyDescent="0.2">
      <c r="C290" s="1"/>
    </row>
    <row r="291" spans="1:32" ht="19.5" customHeight="1" x14ac:dyDescent="0.2">
      <c r="A291" s="67" t="s">
        <v>62</v>
      </c>
      <c r="B291" s="67" t="s">
        <v>63</v>
      </c>
      <c r="C291" s="67" t="s">
        <v>65</v>
      </c>
    </row>
    <row r="292" spans="1:32" x14ac:dyDescent="0.2">
      <c r="A292" s="68">
        <f>SUMPRODUCT(--(BB:BB="ЗПФ"),--(W:W="кор"),H:H,Y:Y)+SUMPRODUCT(--(BB:BB="ЗПФ"),--(W:W="кг"),Y:Y)</f>
        <v>0</v>
      </c>
      <c r="B292" s="69">
        <f>SUMPRODUCT(--(BB:BB="ПГП"),--(W:W="кор"),H:H,Y:Y)+SUMPRODUCT(--(BB:BB="ПГП"),--(W:W="кг"),Y:Y)</f>
        <v>7641.4800000000005</v>
      </c>
      <c r="C292" s="69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12,00"/>
        <filter val="1 792,00"/>
        <filter val="126,00"/>
        <filter val="14,00"/>
        <filter val="168,00"/>
        <filter val="171,36"/>
        <filter val="2 322,60"/>
        <filter val="2 520,00"/>
        <filter val="201,60"/>
        <filter val="21"/>
        <filter val="210,00"/>
        <filter val="252,00"/>
        <filter val="28,00"/>
        <filter val="378,00"/>
        <filter val="42,00"/>
        <filter val="504,00"/>
        <filter val="546,00"/>
        <filter val="56,00"/>
        <filter val="7 641,48"/>
        <filter val="70,00"/>
        <filter val="73,92"/>
        <filter val="8 233,72"/>
        <filter val="8 758,72"/>
      </filters>
    </filterColumn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6:R6 P8 P5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6 X273 X268 X263 X252:X253 X246 X242 X236 X232 X226 X220 X209:X210 X202 X192 X183 X177 X161 X155:X156 X148:X150 X135:X137 X128:X131 X123 X119 X113 X110 X103:X104 X94:X98 X76 X69:X71 X65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5 X269:X272 X267 X261:X262 X257 X215 X203:X204 X198 X189:X191 X178 X171 X166 X142:X143 X114:X115 X111:X112 X109 X93 X87:X88 X82 X77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9"/>
    </row>
    <row r="3" spans="2:8" x14ac:dyDescent="0.2">
      <c r="B3" s="51" t="s">
        <v>387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389</v>
      </c>
      <c r="C6" s="51" t="s">
        <v>390</v>
      </c>
      <c r="D6" s="51" t="s">
        <v>391</v>
      </c>
      <c r="E6" s="51" t="s">
        <v>46</v>
      </c>
    </row>
    <row r="7" spans="2:8" x14ac:dyDescent="0.2">
      <c r="B7" s="51" t="s">
        <v>392</v>
      </c>
      <c r="C7" s="51" t="s">
        <v>393</v>
      </c>
      <c r="D7" s="51" t="s">
        <v>394</v>
      </c>
      <c r="E7" s="51" t="s">
        <v>46</v>
      </c>
    </row>
    <row r="8" spans="2:8" x14ac:dyDescent="0.2">
      <c r="B8" s="51" t="s">
        <v>395</v>
      </c>
      <c r="C8" s="51" t="s">
        <v>396</v>
      </c>
      <c r="D8" s="51" t="s">
        <v>397</v>
      </c>
      <c r="E8" s="51" t="s">
        <v>46</v>
      </c>
    </row>
    <row r="9" spans="2:8" x14ac:dyDescent="0.2">
      <c r="B9" s="51" t="s">
        <v>398</v>
      </c>
      <c r="C9" s="51" t="s">
        <v>399</v>
      </c>
      <c r="D9" s="51" t="s">
        <v>400</v>
      </c>
      <c r="E9" s="51" t="s">
        <v>46</v>
      </c>
    </row>
    <row r="10" spans="2:8" x14ac:dyDescent="0.2">
      <c r="B10" s="51" t="s">
        <v>401</v>
      </c>
      <c r="C10" s="51" t="s">
        <v>402</v>
      </c>
      <c r="D10" s="51" t="s">
        <v>403</v>
      </c>
      <c r="E10" s="51" t="s">
        <v>46</v>
      </c>
    </row>
    <row r="12" spans="2:8" x14ac:dyDescent="0.2">
      <c r="B12" s="51" t="s">
        <v>404</v>
      </c>
      <c r="C12" s="51" t="s">
        <v>390</v>
      </c>
      <c r="D12" s="51" t="s">
        <v>46</v>
      </c>
      <c r="E12" s="51" t="s">
        <v>46</v>
      </c>
    </row>
    <row r="14" spans="2:8" x14ac:dyDescent="0.2">
      <c r="B14" s="51" t="s">
        <v>405</v>
      </c>
      <c r="C14" s="51" t="s">
        <v>393</v>
      </c>
      <c r="D14" s="51" t="s">
        <v>46</v>
      </c>
      <c r="E14" s="51" t="s">
        <v>46</v>
      </c>
    </row>
    <row r="16" spans="2:8" x14ac:dyDescent="0.2">
      <c r="B16" s="51" t="s">
        <v>406</v>
      </c>
      <c r="C16" s="51" t="s">
        <v>396</v>
      </c>
      <c r="D16" s="51" t="s">
        <v>46</v>
      </c>
      <c r="E16" s="51" t="s">
        <v>46</v>
      </c>
    </row>
    <row r="18" spans="2:5" x14ac:dyDescent="0.2">
      <c r="B18" s="51" t="s">
        <v>407</v>
      </c>
      <c r="C18" s="51" t="s">
        <v>399</v>
      </c>
      <c r="D18" s="51" t="s">
        <v>46</v>
      </c>
      <c r="E18" s="51" t="s">
        <v>46</v>
      </c>
    </row>
    <row r="20" spans="2:5" x14ac:dyDescent="0.2">
      <c r="B20" s="51" t="s">
        <v>408</v>
      </c>
      <c r="C20" s="51" t="s">
        <v>402</v>
      </c>
      <c r="D20" s="51" t="s">
        <v>46</v>
      </c>
      <c r="E20" s="51" t="s">
        <v>46</v>
      </c>
    </row>
    <row r="22" spans="2:5" x14ac:dyDescent="0.2">
      <c r="B22" s="51" t="s">
        <v>409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410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411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412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413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414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419</v>
      </c>
      <c r="C32" s="51" t="s">
        <v>46</v>
      </c>
      <c r="D32" s="51" t="s">
        <v>46</v>
      </c>
      <c r="E32" s="51" t="s">
        <v>46</v>
      </c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