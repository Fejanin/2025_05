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6CDC0B-76A5-42B8-BE30-B2A0863574B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N22" i="2" l="1"/>
  <c r="BN23" i="2"/>
  <c r="Z105" i="2"/>
  <c r="Z179" i="2"/>
  <c r="BN183" i="2"/>
  <c r="Y211" i="2"/>
  <c r="BN220" i="2"/>
  <c r="BN226" i="2"/>
  <c r="BN232" i="2"/>
  <c r="BN236" i="2"/>
  <c r="BN242" i="2"/>
  <c r="Y244" i="2"/>
  <c r="BN87" i="2"/>
  <c r="Z36" i="2"/>
  <c r="BN65" i="2"/>
  <c r="BP65" i="2"/>
  <c r="Y73" i="2"/>
  <c r="BN166" i="2"/>
  <c r="Z211" i="2"/>
  <c r="BN253" i="2"/>
  <c r="BP71" i="2"/>
  <c r="Y31" i="2"/>
  <c r="BN25" i="2"/>
  <c r="Z78" i="2"/>
  <c r="Y89" i="2"/>
  <c r="Y117" i="2"/>
  <c r="BN110" i="2"/>
  <c r="Y124" i="2"/>
  <c r="Y139" i="2"/>
  <c r="BN136" i="2"/>
  <c r="Z157" i="2"/>
  <c r="Y167" i="2"/>
  <c r="Y184" i="2"/>
  <c r="Y185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N275" i="2"/>
  <c r="BN189" i="2"/>
  <c r="Y157" i="2"/>
  <c r="BN156" i="2"/>
  <c r="Y152" i="2"/>
  <c r="BN150" i="2"/>
  <c r="Z151" i="2"/>
  <c r="BN131" i="2"/>
  <c r="Y132" i="2"/>
  <c r="Z132" i="2"/>
  <c r="BN98" i="2"/>
  <c r="BP97" i="2"/>
  <c r="Z89" i="2"/>
  <c r="Z57" i="2"/>
  <c r="Y49" i="2"/>
  <c r="X280" i="2"/>
  <c r="Z43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<sst xmlns="http://schemas.openxmlformats.org/spreadsheetml/2006/main" count="1755" uniqueCount="421">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</sst>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 t="s">
        <v>420</v>
      </c>
      <c r="I5" s="290"/>
      <c r="J5" s="290"/>
      <c r="K5" s="290"/>
      <c r="L5" s="290"/>
      <c r="M5" s="290"/>
      <c r="N5" s="75"/>
      <c r="P5" s="27" t="s">
        <v>4</v>
      </c>
      <c r="Q5" s="292">
        <v>46300</v>
      </c>
      <c r="R5" s="293"/>
      <c r="T5" s="294" t="s">
        <v>3</v>
      </c>
      <c r="U5" s="295"/>
      <c r="V5" s="296" t="s">
        <v>388</v>
      </c>
      <c r="W5" s="297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8" t="s">
        <v>395</v>
      </c>
      <c r="E6" s="298"/>
      <c r="F6" s="298"/>
      <c r="G6" s="298"/>
      <c r="H6" s="298"/>
      <c r="I6" s="298"/>
      <c r="J6" s="298"/>
      <c r="K6" s="298"/>
      <c r="L6" s="298"/>
      <c r="M6" s="298"/>
      <c r="N6" s="76"/>
      <c r="P6" s="27" t="s">
        <v>27</v>
      </c>
      <c r="Q6" s="299" t="str">
        <f>IF(Q5=0," ",CHOOSE(WEEKDAY(Q5,2),"Понедельник","Вторник","Среда","Четверг","Пятница","Суббота","Воскресенье"))</f>
        <v>Понедельник</v>
      </c>
      <c r="R6" s="299"/>
      <c r="T6" s="300" t="s">
        <v>5</v>
      </c>
      <c r="U6" s="301"/>
      <c r="V6" s="302" t="s">
        <v>73</v>
      </c>
      <c r="W6" s="30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8" t="str">
        <f>IFERROR(VLOOKUP(DeliveryAddress,Table,3,0),1)</f>
        <v>3</v>
      </c>
      <c r="E7" s="309"/>
      <c r="F7" s="309"/>
      <c r="G7" s="309"/>
      <c r="H7" s="309"/>
      <c r="I7" s="309"/>
      <c r="J7" s="309"/>
      <c r="K7" s="309"/>
      <c r="L7" s="309"/>
      <c r="M7" s="310"/>
      <c r="N7" s="77"/>
      <c r="P7" s="29"/>
      <c r="Q7" s="48"/>
      <c r="R7" s="48"/>
      <c r="T7" s="300"/>
      <c r="U7" s="301"/>
      <c r="V7" s="304"/>
      <c r="W7" s="305"/>
      <c r="AB7" s="59"/>
      <c r="AC7" s="59"/>
      <c r="AD7" s="59"/>
      <c r="AE7" s="59"/>
    </row>
    <row r="8" spans="1:32" s="17" customFormat="1" ht="25.5" customHeight="1" x14ac:dyDescent="0.2">
      <c r="A8" s="311" t="s">
        <v>58</v>
      </c>
      <c r="B8" s="311"/>
      <c r="C8" s="311"/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78"/>
      <c r="P8" s="27" t="s">
        <v>11</v>
      </c>
      <c r="Q8" s="313">
        <v>0.41666666666666669</v>
      </c>
      <c r="R8" s="314"/>
      <c r="T8" s="300"/>
      <c r="U8" s="301"/>
      <c r="V8" s="304"/>
      <c r="W8" s="305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>
        <v>46303</v>
      </c>
      <c r="R9" s="319"/>
      <c r="T9" s="300"/>
      <c r="U9" s="301"/>
      <c r="V9" s="306"/>
      <c r="W9" s="30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>
        <v>0.375</v>
      </c>
      <c r="R10" s="321"/>
      <c r="U10" s="29" t="s">
        <v>12</v>
      </c>
      <c r="V10" s="322" t="s">
        <v>74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75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3"/>
      <c r="R12" s="313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76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77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78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hidden="1" customHeight="1" x14ac:dyDescent="0.2">
      <c r="A19" s="355" t="s">
        <v>79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hidden="1" customHeight="1" x14ac:dyDescent="0.25">
      <c r="A20" s="356" t="s">
        <v>79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hidden="1" customHeight="1" x14ac:dyDescent="0.25">
      <c r="A21" s="357" t="s">
        <v>80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6" t="s">
        <v>104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hidden="1" customHeight="1" x14ac:dyDescent="0.25">
      <c r="A33" s="357" t="s">
        <v>80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hidden="1" customHeight="1" x14ac:dyDescent="0.25">
      <c r="A39" s="356" t="s">
        <v>110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hidden="1" customHeight="1" x14ac:dyDescent="0.25">
      <c r="A40" s="357" t="s">
        <v>111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14</v>
      </c>
      <c r="Y42" s="55">
        <f>IFERROR(IF(X42="","",X42),"")</f>
        <v>14</v>
      </c>
      <c r="Z42" s="41">
        <f>IFERROR(IF(X42="","",X42*0.00941),"")</f>
        <v>0.13174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26.905200000000001</v>
      </c>
      <c r="BN42" s="81">
        <f>IFERROR(Y42*I42,"0")</f>
        <v>26.905200000000001</v>
      </c>
      <c r="BO42" s="81">
        <f>IFERROR(X42/J42,"0")</f>
        <v>0.1</v>
      </c>
      <c r="BP42" s="81">
        <f>IFERROR(Y42/J42,"0")</f>
        <v>0.1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56" t="s">
        <v>121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hidden="1" customHeight="1" x14ac:dyDescent="0.25">
      <c r="A46" s="357" t="s">
        <v>80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/>
      <c r="Y47" s="55" t="str">
        <f>IFERROR(IF(X47="","",X47),"")</f>
        <v/>
      </c>
      <c r="Z47" s="41" t="str">
        <f>IFERROR(IF(X47="","",X47*0.0155),"")</f>
        <v/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 t="str">
        <f>IFERROR(Y47*I47,"0")</f>
        <v>0</v>
      </c>
      <c r="BO47" s="81">
        <f>IFERROR(X47/J47,"0")</f>
        <v>0</v>
      </c>
      <c r="BP47" s="81" t="str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/>
      <c r="Y48" s="55" t="str">
        <f>IFERROR(IF(X48="","",X48),"")</f>
        <v/>
      </c>
      <c r="Z48" s="41" t="str">
        <f>IFERROR(IF(X48="","",X48*0.0155),"")</f>
        <v/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 t="str">
        <f>IFERROR(Y48*I48,"0")</f>
        <v>0</v>
      </c>
      <c r="BO48" s="81">
        <f>IFERROR(X48/J48,"0")</f>
        <v>0</v>
      </c>
      <c r="BP48" s="81" t="str">
        <f>IFERROR(Y48/J48,"0")</f>
        <v>0</v>
      </c>
    </row>
    <row r="49" spans="1:68" hidden="1" x14ac:dyDescent="0.2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3"/>
      <c r="P49" s="369" t="s">
        <v>40</v>
      </c>
      <c r="Q49" s="370"/>
      <c r="R49" s="370"/>
      <c r="S49" s="370"/>
      <c r="T49" s="370"/>
      <c r="U49" s="370"/>
      <c r="V49" s="37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0</v>
      </c>
      <c r="X50" s="43">
        <f>IFERROR(SUMPRODUCT(X47:X48*H47:H48),"0")</f>
        <v>0</v>
      </c>
      <c r="Y50" s="43" t="str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6" t="s">
        <v>128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65"/>
      <c r="AB51" s="65"/>
      <c r="AC51" s="82"/>
    </row>
    <row r="52" spans="1:68" ht="14.25" hidden="1" customHeight="1" x14ac:dyDescent="0.25">
      <c r="A52" s="357" t="s">
        <v>80</v>
      </c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8">
        <v>4607111039385</v>
      </c>
      <c r="E53" s="35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0"/>
      <c r="R53" s="360"/>
      <c r="S53" s="360"/>
      <c r="T53" s="361"/>
      <c r="U53" s="39" t="s">
        <v>46</v>
      </c>
      <c r="V53" s="39" t="s">
        <v>46</v>
      </c>
      <c r="W53" s="40" t="s">
        <v>39</v>
      </c>
      <c r="X53" s="58"/>
      <c r="Y53" s="55" t="str">
        <f>IFERROR(IF(X53="","",X53),"")</f>
        <v/>
      </c>
      <c r="Z53" s="41" t="str">
        <f>IFERROR(IF(X53="","",X53*0.0155),"")</f>
        <v/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 t="str">
        <f>IFERROR(Y53*I53,"0")</f>
        <v>0</v>
      </c>
      <c r="BO53" s="81">
        <f>IFERROR(X53/J53,"0")</f>
        <v>0</v>
      </c>
      <c r="BP53" s="81" t="str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8">
        <v>4607111038982</v>
      </c>
      <c r="E54" s="35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358">
        <v>4607111039354</v>
      </c>
      <c r="E55" s="35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8">
        <v>4607111039330</v>
      </c>
      <c r="E56" s="35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3"/>
      <c r="P57" s="369" t="s">
        <v>40</v>
      </c>
      <c r="Q57" s="370"/>
      <c r="R57" s="370"/>
      <c r="S57" s="370"/>
      <c r="T57" s="370"/>
      <c r="U57" s="370"/>
      <c r="V57" s="371"/>
      <c r="W57" s="42" t="s">
        <v>39</v>
      </c>
      <c r="X57" s="43">
        <f>IFERROR(SUM(X53:X56),"0")</f>
        <v>12</v>
      </c>
      <c r="Y57" s="43">
        <f>IFERROR(SUM(Y53:Y56),"0")</f>
        <v>12</v>
      </c>
      <c r="Z57" s="43">
        <f>IFERROR(IF(Z53="",0,Z53),"0")+IFERROR(IF(Z54="",0,Z54),"0")+IFERROR(IF(Z55="",0,Z55),"0")+IFERROR(IF(Z56="",0,Z56),"0")</f>
        <v>0.186</v>
      </c>
      <c r="AA57" s="67"/>
      <c r="AB57" s="67"/>
      <c r="AC57" s="67"/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0</v>
      </c>
      <c r="X58" s="43">
        <f>IFERROR(SUMPRODUCT(X53:X56*H53:H56),"0")</f>
        <v>84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56" t="s">
        <v>139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65"/>
      <c r="AB59" s="65"/>
      <c r="AC59" s="82"/>
    </row>
    <row r="60" spans="1:68" ht="14.25" hidden="1" customHeight="1" x14ac:dyDescent="0.25">
      <c r="A60" s="357" t="s">
        <v>111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8">
        <v>4607111039712</v>
      </c>
      <c r="E61" s="35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0"/>
      <c r="R61" s="360"/>
      <c r="S61" s="360"/>
      <c r="T61" s="36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3"/>
      <c r="P62" s="369" t="s">
        <v>40</v>
      </c>
      <c r="Q62" s="370"/>
      <c r="R62" s="370"/>
      <c r="S62" s="370"/>
      <c r="T62" s="370"/>
      <c r="U62" s="370"/>
      <c r="V62" s="37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7" t="s">
        <v>143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8">
        <v>4607111037398</v>
      </c>
      <c r="E65" s="358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60"/>
      <c r="R65" s="360"/>
      <c r="S65" s="360"/>
      <c r="T65" s="36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3"/>
      <c r="P66" s="369" t="s">
        <v>40</v>
      </c>
      <c r="Q66" s="370"/>
      <c r="R66" s="370"/>
      <c r="S66" s="370"/>
      <c r="T66" s="370"/>
      <c r="U66" s="370"/>
      <c r="V66" s="371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7" t="s">
        <v>147</v>
      </c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  <c r="Y68" s="357"/>
      <c r="Z68" s="357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8">
        <v>4607111039705</v>
      </c>
      <c r="E69" s="358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60"/>
      <c r="R69" s="360"/>
      <c r="S69" s="360"/>
      <c r="T69" s="36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8">
        <v>4607111039729</v>
      </c>
      <c r="E70" s="35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8">
        <v>4620207490228</v>
      </c>
      <c r="E71" s="35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3"/>
      <c r="P72" s="369" t="s">
        <v>40</v>
      </c>
      <c r="Q72" s="370"/>
      <c r="R72" s="370"/>
      <c r="S72" s="370"/>
      <c r="T72" s="370"/>
      <c r="U72" s="370"/>
      <c r="V72" s="371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6" t="s">
        <v>155</v>
      </c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65"/>
      <c r="AB74" s="65"/>
      <c r="AC74" s="82"/>
    </row>
    <row r="75" spans="1:68" ht="14.25" hidden="1" customHeight="1" x14ac:dyDescent="0.25">
      <c r="A75" s="357" t="s">
        <v>80</v>
      </c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58">
        <v>4607111037411</v>
      </c>
      <c r="E76" s="358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60"/>
      <c r="R76" s="360"/>
      <c r="S76" s="360"/>
      <c r="T76" s="361"/>
      <c r="U76" s="39" t="s">
        <v>46</v>
      </c>
      <c r="V76" s="39" t="s">
        <v>46</v>
      </c>
      <c r="W76" s="40" t="s">
        <v>39</v>
      </c>
      <c r="X76" s="58"/>
      <c r="Y76" s="55" t="str">
        <f>IFERROR(IF(X76="","",X76),"")</f>
        <v/>
      </c>
      <c r="Z76" s="41" t="str">
        <f>IFERROR(IF(X76="","",X76*0.00502),"")</f>
        <v/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 t="str">
        <f>IFERROR(Y76*I76,"0")</f>
        <v>0</v>
      </c>
      <c r="BO76" s="81">
        <f>IFERROR(X76/J76,"0")</f>
        <v>0</v>
      </c>
      <c r="BP76" s="81" t="str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8">
        <v>4607111036728</v>
      </c>
      <c r="E77" s="358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69" t="s">
        <v>40</v>
      </c>
      <c r="Q78" s="370"/>
      <c r="R78" s="370"/>
      <c r="S78" s="370"/>
      <c r="T78" s="370"/>
      <c r="U78" s="370"/>
      <c r="V78" s="371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0</v>
      </c>
      <c r="X79" s="43">
        <f>IFERROR(SUMPRODUCT(X76:X77*H76:H77),"0")</f>
        <v>0</v>
      </c>
      <c r="Y79" s="43" t="str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56" t="s">
        <v>162</v>
      </c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65"/>
      <c r="AB80" s="65"/>
      <c r="AC80" s="82"/>
    </row>
    <row r="81" spans="1:68" ht="14.25" hidden="1" customHeight="1" x14ac:dyDescent="0.25">
      <c r="A81" s="357" t="s">
        <v>147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6"/>
      <c r="AB81" s="66"/>
      <c r="AC81" s="83"/>
    </row>
    <row r="82" spans="1:68" ht="27" hidden="1" customHeight="1" x14ac:dyDescent="0.25">
      <c r="A82" s="63" t="s">
        <v>163</v>
      </c>
      <c r="B82" s="63" t="s">
        <v>164</v>
      </c>
      <c r="C82" s="36">
        <v>4301135574</v>
      </c>
      <c r="D82" s="358">
        <v>4607111033659</v>
      </c>
      <c r="E82" s="358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60"/>
      <c r="R82" s="360"/>
      <c r="S82" s="360"/>
      <c r="T82" s="361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IFERROR(IF(X82="","",X82*0.01788),"")</f>
        <v/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idden="1" x14ac:dyDescent="0.2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3"/>
      <c r="P83" s="369" t="s">
        <v>40</v>
      </c>
      <c r="Q83" s="370"/>
      <c r="R83" s="370"/>
      <c r="S83" s="370"/>
      <c r="T83" s="370"/>
      <c r="U83" s="370"/>
      <c r="V83" s="371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hidden="1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0</v>
      </c>
      <c r="X84" s="43">
        <f>IFERROR(SUMPRODUCT(X82:X82*H82:H82),"0")</f>
        <v>0</v>
      </c>
      <c r="Y84" s="43" t="str">
        <f>IFERROR(SUMPRODUCT(Y82:Y82*H82:H82),"0")</f>
        <v>0</v>
      </c>
      <c r="Z84" s="42"/>
      <c r="AA84" s="67"/>
      <c r="AB84" s="67"/>
      <c r="AC84" s="67"/>
    </row>
    <row r="85" spans="1:68" ht="16.5" hidden="1" customHeight="1" x14ac:dyDescent="0.25">
      <c r="A85" s="356" t="s">
        <v>166</v>
      </c>
      <c r="B85" s="356"/>
      <c r="C85" s="356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65"/>
      <c r="AB85" s="65"/>
      <c r="AC85" s="82"/>
    </row>
    <row r="86" spans="1:68" ht="14.25" hidden="1" customHeight="1" x14ac:dyDescent="0.25">
      <c r="A86" s="357" t="s">
        <v>167</v>
      </c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8">
        <v>4607111034120</v>
      </c>
      <c r="E87" s="358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60"/>
      <c r="R87" s="360"/>
      <c r="S87" s="360"/>
      <c r="T87" s="361"/>
      <c r="U87" s="39" t="s">
        <v>46</v>
      </c>
      <c r="V87" s="39" t="s">
        <v>46</v>
      </c>
      <c r="W87" s="40" t="s">
        <v>39</v>
      </c>
      <c r="X87" s="58">
        <v>42</v>
      </c>
      <c r="Y87" s="55">
        <f>IFERROR(IF(X87="","",X87),"")</f>
        <v>42</v>
      </c>
      <c r="Z87" s="41">
        <f>IFERROR(IF(X87="","",X87*0.01788),"")</f>
        <v>0.75095999999999996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180.75120000000001</v>
      </c>
      <c r="BN87" s="81">
        <f>IFERROR(Y87*I87,"0")</f>
        <v>180.75120000000001</v>
      </c>
      <c r="BO87" s="81">
        <f>IFERROR(X87/J87,"0")</f>
        <v>0.6</v>
      </c>
      <c r="BP87" s="81">
        <f>IFERROR(Y87/J87,"0")</f>
        <v>0.6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8">
        <v>4607111034137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56</v>
      </c>
      <c r="Y88" s="55">
        <f>IFERROR(IF(X88="","",X88),"")</f>
        <v>56</v>
      </c>
      <c r="Z88" s="41">
        <f>IFERROR(IF(X88="","",X88*0.01788),"")</f>
        <v>1.0012799999999999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241.00160000000002</v>
      </c>
      <c r="BN88" s="81">
        <f>IFERROR(Y88*I88,"0")</f>
        <v>241.00160000000002</v>
      </c>
      <c r="BO88" s="81">
        <f>IFERROR(X88/J88,"0")</f>
        <v>0.8</v>
      </c>
      <c r="BP88" s="81">
        <f>IFERROR(Y88/J88,"0")</f>
        <v>0.8</v>
      </c>
    </row>
    <row r="89" spans="1:68" x14ac:dyDescent="0.2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3"/>
      <c r="P89" s="369" t="s">
        <v>40</v>
      </c>
      <c r="Q89" s="370"/>
      <c r="R89" s="370"/>
      <c r="S89" s="370"/>
      <c r="T89" s="370"/>
      <c r="U89" s="370"/>
      <c r="V89" s="371"/>
      <c r="W89" s="42" t="s">
        <v>39</v>
      </c>
      <c r="X89" s="43">
        <f>IFERROR(SUM(X87:X88),"0")</f>
        <v>98</v>
      </c>
      <c r="Y89" s="43">
        <f>IFERROR(SUM(Y87:Y88),"0")</f>
        <v>98</v>
      </c>
      <c r="Z89" s="43">
        <f>IFERROR(IF(Z87="",0,Z87),"0")+IFERROR(IF(Z88="",0,Z88),"0")</f>
        <v>1.75224</v>
      </c>
      <c r="AA89" s="67"/>
      <c r="AB89" s="67"/>
      <c r="AC89" s="67"/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0</v>
      </c>
      <c r="X90" s="43">
        <f>IFERROR(SUMPRODUCT(X87:X88*H87:H88),"0")</f>
        <v>352.8</v>
      </c>
      <c r="Y90" s="43">
        <f>IFERROR(SUMPRODUCT(Y87:Y88*H87:H88),"0")</f>
        <v>352.8</v>
      </c>
      <c r="Z90" s="42"/>
      <c r="AA90" s="67"/>
      <c r="AB90" s="67"/>
      <c r="AC90" s="67"/>
    </row>
    <row r="91" spans="1:68" ht="16.5" hidden="1" customHeight="1" x14ac:dyDescent="0.25">
      <c r="A91" s="356" t="s">
        <v>174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65"/>
      <c r="AB91" s="65"/>
      <c r="AC91" s="82"/>
    </row>
    <row r="92" spans="1:68" ht="14.25" hidden="1" customHeight="1" x14ac:dyDescent="0.25">
      <c r="A92" s="357" t="s">
        <v>147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8">
        <v>4620207491027</v>
      </c>
      <c r="E93" s="358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60"/>
      <c r="R93" s="360"/>
      <c r="S93" s="360"/>
      <c r="T93" s="361"/>
      <c r="U93" s="39" t="s">
        <v>46</v>
      </c>
      <c r="V93" s="39" t="s">
        <v>46</v>
      </c>
      <c r="W93" s="40" t="s">
        <v>39</v>
      </c>
      <c r="X93" s="58">
        <v>56</v>
      </c>
      <c r="Y93" s="55">
        <f t="shared" ref="Y93:Y98" si="6">IFERROR(IF(X93="","",X93),"")</f>
        <v>56</v>
      </c>
      <c r="Z93" s="41">
        <f t="shared" ref="Z93:Z98" si="7">IFERROR(IF(X93="","",X93*0.01788),"")</f>
        <v>1.0012799999999999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200.6816</v>
      </c>
      <c r="BN93" s="81">
        <f t="shared" ref="BN93:BN98" si="9">IFERROR(Y93*I93,"0")</f>
        <v>200.6816</v>
      </c>
      <c r="BO93" s="81">
        <f t="shared" ref="BO93:BO98" si="10">IFERROR(X93/J93,"0")</f>
        <v>0.8</v>
      </c>
      <c r="BP93" s="81">
        <f t="shared" ref="BP93:BP98" si="11">IFERROR(Y93/J93,"0")</f>
        <v>0.8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8">
        <v>4620207491621</v>
      </c>
      <c r="E94" s="35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si="6"/>
        <v>42</v>
      </c>
      <c r="Z94" s="41">
        <f t="shared" si="7"/>
        <v>0.75095999999999996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150.5112</v>
      </c>
      <c r="BN94" s="81">
        <f t="shared" si="9"/>
        <v>150.5112</v>
      </c>
      <c r="BO94" s="81">
        <f t="shared" si="10"/>
        <v>0.6</v>
      </c>
      <c r="BP94" s="81">
        <f t="shared" si="11"/>
        <v>0.6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8">
        <v>4620207491881</v>
      </c>
      <c r="E95" s="35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6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0"/>
      <c r="R95" s="360"/>
      <c r="S95" s="360"/>
      <c r="T95" s="361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358">
        <v>4620207491577</v>
      </c>
      <c r="E96" s="35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7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0"/>
      <c r="R96" s="360"/>
      <c r="S96" s="360"/>
      <c r="T96" s="361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hidden="1" customHeight="1" x14ac:dyDescent="0.25">
      <c r="A97" s="63" t="s">
        <v>184</v>
      </c>
      <c r="B97" s="63" t="s">
        <v>185</v>
      </c>
      <c r="C97" s="36">
        <v>4301135984</v>
      </c>
      <c r="D97" s="358">
        <v>4620207491874</v>
      </c>
      <c r="E97" s="358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0"/>
      <c r="R97" s="360"/>
      <c r="S97" s="360"/>
      <c r="T97" s="361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358">
        <v>4607111036407</v>
      </c>
      <c r="E98" s="358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60"/>
      <c r="R98" s="360"/>
      <c r="S98" s="360"/>
      <c r="T98" s="361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3"/>
      <c r="P99" s="369" t="s">
        <v>40</v>
      </c>
      <c r="Q99" s="370"/>
      <c r="R99" s="370"/>
      <c r="S99" s="370"/>
      <c r="T99" s="370"/>
      <c r="U99" s="370"/>
      <c r="V99" s="371"/>
      <c r="W99" s="42" t="s">
        <v>39</v>
      </c>
      <c r="X99" s="43">
        <f>IFERROR(SUM(X93:X98),"0")</f>
        <v>210</v>
      </c>
      <c r="Y99" s="43">
        <f>IFERROR(SUM(Y93:Y98),"0")</f>
        <v>210</v>
      </c>
      <c r="Z99" s="43">
        <f>IFERROR(IF(Z93="",0,Z93),"0")+IFERROR(IF(Z94="",0,Z94),"0")+IFERROR(IF(Z95="",0,Z95),"0")+IFERROR(IF(Z96="",0,Z96),"0")+IFERROR(IF(Z97="",0,Z97),"0")+IFERROR(IF(Z98="",0,Z98),"0")</f>
        <v>3.7547999999999999</v>
      </c>
      <c r="AA99" s="67"/>
      <c r="AB99" s="67"/>
      <c r="AC99" s="67"/>
    </row>
    <row r="100" spans="1:68" x14ac:dyDescent="0.2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3"/>
      <c r="P100" s="369" t="s">
        <v>40</v>
      </c>
      <c r="Q100" s="370"/>
      <c r="R100" s="370"/>
      <c r="S100" s="370"/>
      <c r="T100" s="370"/>
      <c r="U100" s="370"/>
      <c r="V100" s="371"/>
      <c r="W100" s="42" t="s">
        <v>0</v>
      </c>
      <c r="X100" s="43">
        <f>IFERROR(SUMPRODUCT(X93:X98*H93:H98),"0")</f>
        <v>623.28</v>
      </c>
      <c r="Y100" s="43" t="str">
        <f>IFERROR(SUMPRODUCT(Y93:Y98*H93:H98),"0")</f>
        <v>0</v>
      </c>
      <c r="Z100" s="42"/>
      <c r="AA100" s="67"/>
      <c r="AB100" s="67"/>
      <c r="AC100" s="67"/>
    </row>
    <row r="101" spans="1:68" ht="16.5" hidden="1" customHeight="1" x14ac:dyDescent="0.25">
      <c r="A101" s="356" t="s">
        <v>189</v>
      </c>
      <c r="B101" s="356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65"/>
      <c r="AB101" s="65"/>
      <c r="AC101" s="82"/>
    </row>
    <row r="102" spans="1:68" ht="14.25" hidden="1" customHeight="1" x14ac:dyDescent="0.25">
      <c r="A102" s="357" t="s">
        <v>143</v>
      </c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8">
        <v>4620207491652</v>
      </c>
      <c r="E103" s="358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40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0"/>
      <c r="R103" s="360"/>
      <c r="S103" s="360"/>
      <c r="T103" s="361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8">
        <v>4620207491645</v>
      </c>
      <c r="E104" s="358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3"/>
      <c r="P105" s="369" t="s">
        <v>40</v>
      </c>
      <c r="Q105" s="370"/>
      <c r="R105" s="370"/>
      <c r="S105" s="370"/>
      <c r="T105" s="370"/>
      <c r="U105" s="370"/>
      <c r="V105" s="371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6" t="s">
        <v>195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65"/>
      <c r="AB107" s="65"/>
      <c r="AC107" s="82"/>
    </row>
    <row r="108" spans="1:68" ht="14.25" hidden="1" customHeight="1" x14ac:dyDescent="0.25">
      <c r="A108" s="357" t="s">
        <v>80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58">
        <v>4620207491157</v>
      </c>
      <c r="E109" s="358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0"/>
      <c r="R109" s="360"/>
      <c r="S109" s="360"/>
      <c r="T109" s="361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8">
        <v>4620207491393</v>
      </c>
      <c r="E110" s="358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8">
        <v>4607111039262</v>
      </c>
      <c r="E111" s="358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0"/>
      <c r="R111" s="360"/>
      <c r="S111" s="360"/>
      <c r="T111" s="361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80.635199999999998</v>
      </c>
      <c r="BN111" s="81">
        <f t="shared" si="15"/>
        <v>80.635199999999998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8">
        <v>4607111039248</v>
      </c>
      <c r="E112" s="358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0"/>
      <c r="R112" s="360"/>
      <c r="S112" s="360"/>
      <c r="T112" s="361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262.8</v>
      </c>
      <c r="BN112" s="81">
        <f t="shared" si="15"/>
        <v>262.8</v>
      </c>
      <c r="BO112" s="81">
        <f t="shared" si="16"/>
        <v>0.42857142857142855</v>
      </c>
      <c r="BP112" s="81">
        <f t="shared" si="17"/>
        <v>0.42857142857142855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8">
        <v>4607111037145</v>
      </c>
      <c r="E113" s="358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0"/>
      <c r="R113" s="360"/>
      <c r="S113" s="360"/>
      <c r="T113" s="36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4301071049</v>
      </c>
      <c r="D114" s="358">
        <v>4607111039293</v>
      </c>
      <c r="E114" s="358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60"/>
      <c r="R114" s="360"/>
      <c r="S114" s="360"/>
      <c r="T114" s="361"/>
      <c r="U114" s="39" t="s">
        <v>46</v>
      </c>
      <c r="V114" s="39" t="s">
        <v>46</v>
      </c>
      <c r="W114" s="40" t="s">
        <v>39</v>
      </c>
      <c r="X114" s="58">
        <v>12</v>
      </c>
      <c r="Y114" s="55">
        <f t="shared" si="12"/>
        <v>12</v>
      </c>
      <c r="Z114" s="41">
        <f t="shared" si="13"/>
        <v>0.186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80.635199999999998</v>
      </c>
      <c r="BN114" s="81">
        <f t="shared" si="15"/>
        <v>80.635199999999998</v>
      </c>
      <c r="BO114" s="81">
        <f t="shared" si="16"/>
        <v>0.14285714285714285</v>
      </c>
      <c r="BP114" s="81">
        <f t="shared" si="17"/>
        <v>0.14285714285714285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8">
        <v>4607111039279</v>
      </c>
      <c r="E115" s="358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si="12"/>
        <v>48</v>
      </c>
      <c r="Z115" s="41">
        <f t="shared" si="13"/>
        <v>0.74399999999999999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350.4</v>
      </c>
      <c r="BN115" s="81">
        <f t="shared" si="15"/>
        <v>350.4</v>
      </c>
      <c r="BO115" s="81">
        <f t="shared" si="16"/>
        <v>0.5714285714285714</v>
      </c>
      <c r="BP115" s="81">
        <f t="shared" si="17"/>
        <v>0.5714285714285714</v>
      </c>
    </row>
    <row r="116" spans="1:68" x14ac:dyDescent="0.2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3"/>
      <c r="P116" s="369" t="s">
        <v>40</v>
      </c>
      <c r="Q116" s="370"/>
      <c r="R116" s="370"/>
      <c r="S116" s="370"/>
      <c r="T116" s="370"/>
      <c r="U116" s="370"/>
      <c r="V116" s="371"/>
      <c r="W116" s="42" t="s">
        <v>39</v>
      </c>
      <c r="X116" s="43">
        <f>IFERROR(SUM(X109:X115),"0")</f>
        <v>108</v>
      </c>
      <c r="Y116" s="43">
        <f>IFERROR(SUM(Y109:Y115),"0")</f>
        <v>108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1.6739999999999999</v>
      </c>
      <c r="AA116" s="67"/>
      <c r="AB116" s="67"/>
      <c r="AC116" s="67"/>
    </row>
    <row r="117" spans="1:68" x14ac:dyDescent="0.2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3"/>
      <c r="P117" s="369" t="s">
        <v>40</v>
      </c>
      <c r="Q117" s="370"/>
      <c r="R117" s="370"/>
      <c r="S117" s="370"/>
      <c r="T117" s="370"/>
      <c r="U117" s="370"/>
      <c r="V117" s="371"/>
      <c r="W117" s="42" t="s">
        <v>0</v>
      </c>
      <c r="X117" s="43">
        <f>IFERROR(SUMPRODUCT(X109:X115*H109:H115),"0")</f>
        <v>741.6</v>
      </c>
      <c r="Y117" s="43">
        <f>IFERROR(SUMPRODUCT(Y109:Y115*H109:H115),"0")</f>
        <v>741.6</v>
      </c>
      <c r="Z117" s="42"/>
      <c r="AA117" s="67"/>
      <c r="AB117" s="67"/>
      <c r="AC117" s="67"/>
    </row>
    <row r="118" spans="1:68" ht="14.25" hidden="1" customHeight="1" x14ac:dyDescent="0.25">
      <c r="A118" s="357" t="s">
        <v>147</v>
      </c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358">
        <v>4620207490983</v>
      </c>
      <c r="E119" s="358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60"/>
      <c r="R119" s="360"/>
      <c r="S119" s="360"/>
      <c r="T119" s="361"/>
      <c r="U119" s="39" t="s">
        <v>46</v>
      </c>
      <c r="V119" s="39" t="s">
        <v>46</v>
      </c>
      <c r="W119" s="40" t="s">
        <v>39</v>
      </c>
      <c r="X119" s="58">
        <v>14</v>
      </c>
      <c r="Y119" s="55">
        <f>IFERROR(IF(X119="","",X119),"")</f>
        <v>14</v>
      </c>
      <c r="Z119" s="41">
        <f>IFERROR(IF(X119="","",X119*0.01788),"")</f>
        <v>0.25031999999999999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46.810400000000001</v>
      </c>
      <c r="BN119" s="81">
        <f>IFERROR(Y119*I119,"0")</f>
        <v>46.810400000000001</v>
      </c>
      <c r="BO119" s="81">
        <f>IFERROR(X119/J119,"0")</f>
        <v>0.2</v>
      </c>
      <c r="BP119" s="81">
        <f>IFERROR(Y119/J119,"0")</f>
        <v>0.2</v>
      </c>
    </row>
    <row r="120" spans="1:68" x14ac:dyDescent="0.2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3"/>
      <c r="P120" s="369" t="s">
        <v>40</v>
      </c>
      <c r="Q120" s="370"/>
      <c r="R120" s="370"/>
      <c r="S120" s="370"/>
      <c r="T120" s="370"/>
      <c r="U120" s="370"/>
      <c r="V120" s="371"/>
      <c r="W120" s="42" t="s">
        <v>39</v>
      </c>
      <c r="X120" s="43">
        <f>IFERROR(SUM(X119:X119),"0")</f>
        <v>14</v>
      </c>
      <c r="Y120" s="43">
        <f>IFERROR(SUM(Y119:Y119),"0")</f>
        <v>14</v>
      </c>
      <c r="Z120" s="43">
        <f>IFERROR(IF(Z119="",0,Z119),"0")</f>
        <v>0.25031999999999999</v>
      </c>
      <c r="AA120" s="67"/>
      <c r="AB120" s="67"/>
      <c r="AC120" s="67"/>
    </row>
    <row r="121" spans="1:68" x14ac:dyDescent="0.2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3"/>
      <c r="P121" s="369" t="s">
        <v>40</v>
      </c>
      <c r="Q121" s="370"/>
      <c r="R121" s="370"/>
      <c r="S121" s="370"/>
      <c r="T121" s="370"/>
      <c r="U121" s="370"/>
      <c r="V121" s="371"/>
      <c r="W121" s="42" t="s">
        <v>0</v>
      </c>
      <c r="X121" s="43">
        <f>IFERROR(SUMPRODUCT(X119:X119*H119:H119),"0")</f>
        <v>36.96</v>
      </c>
      <c r="Y121" s="43">
        <f>IFERROR(SUMPRODUCT(Y119:Y119*H119:H119),"0")</f>
        <v>36.96</v>
      </c>
      <c r="Z121" s="42"/>
      <c r="AA121" s="67"/>
      <c r="AB121" s="67"/>
      <c r="AC121" s="67"/>
    </row>
    <row r="122" spans="1:68" ht="14.25" hidden="1" customHeight="1" x14ac:dyDescent="0.25">
      <c r="A122" s="357" t="s">
        <v>216</v>
      </c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358">
        <v>4620207491140</v>
      </c>
      <c r="E123" s="358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60"/>
      <c r="R123" s="360"/>
      <c r="S123" s="360"/>
      <c r="T123" s="36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3"/>
      <c r="P124" s="369" t="s">
        <v>40</v>
      </c>
      <c r="Q124" s="370"/>
      <c r="R124" s="370"/>
      <c r="S124" s="370"/>
      <c r="T124" s="370"/>
      <c r="U124" s="370"/>
      <c r="V124" s="371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3"/>
      <c r="P125" s="369" t="s">
        <v>40</v>
      </c>
      <c r="Q125" s="370"/>
      <c r="R125" s="370"/>
      <c r="S125" s="370"/>
      <c r="T125" s="370"/>
      <c r="U125" s="370"/>
      <c r="V125" s="371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6" t="s">
        <v>220</v>
      </c>
      <c r="B126" s="356"/>
      <c r="C126" s="356"/>
      <c r="D126" s="356"/>
      <c r="E126" s="356"/>
      <c r="F126" s="356"/>
      <c r="G126" s="356"/>
      <c r="H126" s="356"/>
      <c r="I126" s="356"/>
      <c r="J126" s="356"/>
      <c r="K126" s="356"/>
      <c r="L126" s="356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65"/>
      <c r="AB126" s="65"/>
      <c r="AC126" s="82"/>
    </row>
    <row r="127" spans="1:68" ht="14.25" hidden="1" customHeight="1" x14ac:dyDescent="0.25">
      <c r="A127" s="357" t="s">
        <v>147</v>
      </c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358">
        <v>4620207491799</v>
      </c>
      <c r="E128" s="358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60"/>
      <c r="R128" s="360"/>
      <c r="S128" s="360"/>
      <c r="T128" s="36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8">
        <v>4620207491492</v>
      </c>
      <c r="E129" s="358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60"/>
      <c r="R129" s="360"/>
      <c r="S129" s="360"/>
      <c r="T129" s="361"/>
      <c r="U129" s="39" t="s">
        <v>46</v>
      </c>
      <c r="V129" s="39" t="s">
        <v>46</v>
      </c>
      <c r="W129" s="40" t="s">
        <v>39</v>
      </c>
      <c r="X129" s="58">
        <v>56</v>
      </c>
      <c r="Y129" s="55">
        <f>IFERROR(IF(X129="","",X129),"")</f>
        <v>56</v>
      </c>
      <c r="Z129" s="41">
        <f>IFERROR(IF(X129="","",X129*0.00941),"")</f>
        <v>0.52695999999999998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100.8</v>
      </c>
      <c r="BN129" s="81">
        <f>IFERROR(Y129*I129,"0")</f>
        <v>100.8</v>
      </c>
      <c r="BO129" s="81">
        <f>IFERROR(X129/J129,"0")</f>
        <v>0.4</v>
      </c>
      <c r="BP129" s="81">
        <f>IFERROR(Y129/J129,"0")</f>
        <v>0.4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358">
        <v>4620207491461</v>
      </c>
      <c r="E130" s="358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60"/>
      <c r="R130" s="360"/>
      <c r="S130" s="360"/>
      <c r="T130" s="361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48.72</v>
      </c>
      <c r="BN130" s="81">
        <f>IFERROR(Y130*I130,"0")</f>
        <v>48.72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8">
        <v>4620207491485</v>
      </c>
      <c r="E131" s="35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60"/>
      <c r="R131" s="360"/>
      <c r="S131" s="360"/>
      <c r="T131" s="361"/>
      <c r="U131" s="39" t="s">
        <v>46</v>
      </c>
      <c r="V131" s="39" t="s">
        <v>46</v>
      </c>
      <c r="W131" s="40" t="s">
        <v>39</v>
      </c>
      <c r="X131" s="58">
        <v>70</v>
      </c>
      <c r="Y131" s="55">
        <f>IFERROR(IF(X131="","",X131),"")</f>
        <v>70</v>
      </c>
      <c r="Z131" s="41">
        <f>IFERROR(IF(X131="","",X131*0.00941),"")</f>
        <v>0.65869999999999995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126</v>
      </c>
      <c r="BN131" s="81">
        <f>IFERROR(Y131*I131,"0")</f>
        <v>126</v>
      </c>
      <c r="BO131" s="81">
        <f>IFERROR(X131/J131,"0")</f>
        <v>0.5</v>
      </c>
      <c r="BP131" s="81">
        <f>IFERROR(Y131/J131,"0")</f>
        <v>0.5</v>
      </c>
    </row>
    <row r="132" spans="1:68" x14ac:dyDescent="0.2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3"/>
      <c r="P132" s="369" t="s">
        <v>40</v>
      </c>
      <c r="Q132" s="370"/>
      <c r="R132" s="370"/>
      <c r="S132" s="370"/>
      <c r="T132" s="370"/>
      <c r="U132" s="370"/>
      <c r="V132" s="371"/>
      <c r="W132" s="42" t="s">
        <v>39</v>
      </c>
      <c r="X132" s="43">
        <f>IFERROR(SUM(X128:X131),"0")</f>
        <v>154</v>
      </c>
      <c r="Y132" s="43">
        <f>IFERROR(SUM(Y128:Y131),"0")</f>
        <v>154</v>
      </c>
      <c r="Z132" s="43">
        <f>IFERROR(IF(Z128="",0,Z128),"0")+IFERROR(IF(Z129="",0,Z129),"0")+IFERROR(IF(Z130="",0,Z130),"0")+IFERROR(IF(Z131="",0,Z131),"0")</f>
        <v>1.4491399999999999</v>
      </c>
      <c r="AA132" s="67"/>
      <c r="AB132" s="67"/>
      <c r="AC132" s="67"/>
    </row>
    <row r="133" spans="1:68" x14ac:dyDescent="0.2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3"/>
      <c r="P133" s="369" t="s">
        <v>40</v>
      </c>
      <c r="Q133" s="370"/>
      <c r="R133" s="370"/>
      <c r="S133" s="370"/>
      <c r="T133" s="370"/>
      <c r="U133" s="370"/>
      <c r="V133" s="371"/>
      <c r="W133" s="42" t="s">
        <v>0</v>
      </c>
      <c r="X133" s="43">
        <f>IFERROR(SUMPRODUCT(X128:X131*H128:H131),"0")</f>
        <v>210.84</v>
      </c>
      <c r="Y133" s="43">
        <f>IFERROR(SUMPRODUCT(Y128:Y131*H128:H131),"0")</f>
        <v>210.84</v>
      </c>
      <c r="Z133" s="42"/>
      <c r="AA133" s="67"/>
      <c r="AB133" s="67"/>
      <c r="AC133" s="67"/>
    </row>
    <row r="134" spans="1:68" ht="14.25" hidden="1" customHeight="1" x14ac:dyDescent="0.25">
      <c r="A134" s="357" t="s">
        <v>230</v>
      </c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  <c r="AA134" s="66"/>
      <c r="AB134" s="66"/>
      <c r="AC134" s="83"/>
    </row>
    <row r="135" spans="1:68" ht="27" customHeight="1" x14ac:dyDescent="0.25">
      <c r="A135" s="63" t="s">
        <v>231</v>
      </c>
      <c r="B135" s="63" t="s">
        <v>232</v>
      </c>
      <c r="C135" s="36">
        <v>4301190117</v>
      </c>
      <c r="D135" s="358">
        <v>4620207491386</v>
      </c>
      <c r="E135" s="358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60"/>
      <c r="R135" s="360"/>
      <c r="S135" s="360"/>
      <c r="T135" s="361"/>
      <c r="U135" s="39" t="s">
        <v>46</v>
      </c>
      <c r="V135" s="39" t="s">
        <v>46</v>
      </c>
      <c r="W135" s="40" t="s">
        <v>39</v>
      </c>
      <c r="X135" s="58">
        <v>14</v>
      </c>
      <c r="Y135" s="55">
        <f>IFERROR(IF(X135="","",X135),"")</f>
        <v>14</v>
      </c>
      <c r="Z135" s="41">
        <f>IFERROR(IF(X135="","",X135*0.00941),"")</f>
        <v>0.13174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19.571999999999999</v>
      </c>
      <c r="BN135" s="81">
        <f>IFERROR(Y135*I135,"0")</f>
        <v>19.571999999999999</v>
      </c>
      <c r="BO135" s="81">
        <f>IFERROR(X135/J135,"0")</f>
        <v>0.1</v>
      </c>
      <c r="BP135" s="81">
        <f>IFERROR(Y135/J135,"0")</f>
        <v>0.1</v>
      </c>
    </row>
    <row r="136" spans="1:68" ht="27" customHeight="1" x14ac:dyDescent="0.25">
      <c r="A136" s="63" t="s">
        <v>234</v>
      </c>
      <c r="B136" s="63" t="s">
        <v>235</v>
      </c>
      <c r="C136" s="36">
        <v>4301190115</v>
      </c>
      <c r="D136" s="358">
        <v>4620207491362</v>
      </c>
      <c r="E136" s="358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60"/>
      <c r="R136" s="360"/>
      <c r="S136" s="360"/>
      <c r="T136" s="361"/>
      <c r="U136" s="39" t="s">
        <v>46</v>
      </c>
      <c r="V136" s="39" t="s">
        <v>46</v>
      </c>
      <c r="W136" s="40" t="s">
        <v>39</v>
      </c>
      <c r="X136" s="58">
        <v>14</v>
      </c>
      <c r="Y136" s="55">
        <f>IFERROR(IF(X136="","",X136),"")</f>
        <v>14</v>
      </c>
      <c r="Z136" s="41">
        <f>IFERROR(IF(X136="","",X136*0.00941),"")</f>
        <v>0.13174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19.571999999999999</v>
      </c>
      <c r="BN136" s="81">
        <f>IFERROR(Y136*I136,"0")</f>
        <v>19.571999999999999</v>
      </c>
      <c r="BO136" s="81">
        <f>IFERROR(X136/J136,"0")</f>
        <v>0.1</v>
      </c>
      <c r="BP136" s="81">
        <f>IFERROR(Y136/J136,"0")</f>
        <v>0.1</v>
      </c>
    </row>
    <row r="137" spans="1:68" ht="27" customHeight="1" x14ac:dyDescent="0.25">
      <c r="A137" s="63" t="s">
        <v>236</v>
      </c>
      <c r="B137" s="63" t="s">
        <v>237</v>
      </c>
      <c r="C137" s="36">
        <v>4301190116</v>
      </c>
      <c r="D137" s="358">
        <v>4620207491379</v>
      </c>
      <c r="E137" s="358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60"/>
      <c r="R137" s="360"/>
      <c r="S137" s="360"/>
      <c r="T137" s="361"/>
      <c r="U137" s="39" t="s">
        <v>46</v>
      </c>
      <c r="V137" s="39" t="s">
        <v>46</v>
      </c>
      <c r="W137" s="40" t="s">
        <v>39</v>
      </c>
      <c r="X137" s="58">
        <v>14</v>
      </c>
      <c r="Y137" s="55">
        <f>IFERROR(IF(X137="","",X137),"")</f>
        <v>14</v>
      </c>
      <c r="Z137" s="41">
        <f>IFERROR(IF(X137="","",X137*0.00941),"")</f>
        <v>0.13174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19.571999999999999</v>
      </c>
      <c r="BN137" s="81">
        <f>IFERROR(Y137*I137,"0")</f>
        <v>19.571999999999999</v>
      </c>
      <c r="BO137" s="81">
        <f>IFERROR(X137/J137,"0")</f>
        <v>0.1</v>
      </c>
      <c r="BP137" s="81">
        <f>IFERROR(Y137/J137,"0")</f>
        <v>0.1</v>
      </c>
    </row>
    <row r="138" spans="1:68" x14ac:dyDescent="0.2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3"/>
      <c r="P138" s="369" t="s">
        <v>40</v>
      </c>
      <c r="Q138" s="370"/>
      <c r="R138" s="370"/>
      <c r="S138" s="370"/>
      <c r="T138" s="370"/>
      <c r="U138" s="370"/>
      <c r="V138" s="371"/>
      <c r="W138" s="42" t="s">
        <v>39</v>
      </c>
      <c r="X138" s="43">
        <f>IFERROR(SUM(X135:X137),"0")</f>
        <v>42</v>
      </c>
      <c r="Y138" s="43">
        <f>IFERROR(SUM(Y135:Y137),"0")</f>
        <v>42</v>
      </c>
      <c r="Z138" s="43">
        <f>IFERROR(IF(Z135="",0,Z135),"0")+IFERROR(IF(Z136="",0,Z136),"0")+IFERROR(IF(Z137="",0,Z137),"0")</f>
        <v>0.39522000000000002</v>
      </c>
      <c r="AA138" s="67"/>
      <c r="AB138" s="67"/>
      <c r="AC138" s="67"/>
    </row>
    <row r="139" spans="1:68" x14ac:dyDescent="0.2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3"/>
      <c r="P139" s="369" t="s">
        <v>40</v>
      </c>
      <c r="Q139" s="370"/>
      <c r="R139" s="370"/>
      <c r="S139" s="370"/>
      <c r="T139" s="370"/>
      <c r="U139" s="370"/>
      <c r="V139" s="371"/>
      <c r="W139" s="42" t="s">
        <v>0</v>
      </c>
      <c r="X139" s="43">
        <f>IFERROR(SUMPRODUCT(X135:X137*H135:H137),"0")</f>
        <v>45.36</v>
      </c>
      <c r="Y139" s="43">
        <f>IFERROR(SUMPRODUCT(Y135:Y137*H135:H137),"0")</f>
        <v>45.36</v>
      </c>
      <c r="Z139" s="42"/>
      <c r="AA139" s="67"/>
      <c r="AB139" s="67"/>
      <c r="AC139" s="67"/>
    </row>
    <row r="140" spans="1:68" ht="16.5" hidden="1" customHeight="1" x14ac:dyDescent="0.25">
      <c r="A140" s="356" t="s">
        <v>238</v>
      </c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65"/>
      <c r="AB140" s="65"/>
      <c r="AC140" s="82"/>
    </row>
    <row r="141" spans="1:68" ht="14.25" hidden="1" customHeight="1" x14ac:dyDescent="0.25">
      <c r="A141" s="357" t="s">
        <v>147</v>
      </c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8">
        <v>4607111034014</v>
      </c>
      <c r="E142" s="358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60"/>
      <c r="R142" s="360"/>
      <c r="S142" s="360"/>
      <c r="T142" s="361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8">
        <v>4607111033994</v>
      </c>
      <c r="E143" s="358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60"/>
      <c r="R143" s="360"/>
      <c r="S143" s="360"/>
      <c r="T143" s="361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3"/>
      <c r="P144" s="369" t="s">
        <v>40</v>
      </c>
      <c r="Q144" s="370"/>
      <c r="R144" s="370"/>
      <c r="S144" s="370"/>
      <c r="T144" s="370"/>
      <c r="U144" s="370"/>
      <c r="V144" s="371"/>
      <c r="W144" s="42" t="s">
        <v>39</v>
      </c>
      <c r="X144" s="43">
        <f>IFERROR(SUM(X142:X143),"0")</f>
        <v>140</v>
      </c>
      <c r="Y144" s="43">
        <f>IFERROR(SUM(Y142:Y143),"0")</f>
        <v>140</v>
      </c>
      <c r="Z144" s="43">
        <f>IFERROR(IF(Z142="",0,Z142),"0")+IFERROR(IF(Z143="",0,Z143),"0")</f>
        <v>2.5032000000000001</v>
      </c>
      <c r="AA144" s="67"/>
      <c r="AB144" s="67"/>
      <c r="AC144" s="67"/>
    </row>
    <row r="145" spans="1:68" x14ac:dyDescent="0.2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3"/>
      <c r="P145" s="369" t="s">
        <v>40</v>
      </c>
      <c r="Q145" s="370"/>
      <c r="R145" s="370"/>
      <c r="S145" s="370"/>
      <c r="T145" s="370"/>
      <c r="U145" s="370"/>
      <c r="V145" s="371"/>
      <c r="W145" s="42" t="s">
        <v>0</v>
      </c>
      <c r="X145" s="43">
        <f>IFERROR(SUMPRODUCT(X142:X143*H142:H143),"0")</f>
        <v>420</v>
      </c>
      <c r="Y145" s="43">
        <f>IFERROR(SUMPRODUCT(Y142:Y143*H142:H143),"0")</f>
        <v>420</v>
      </c>
      <c r="Z145" s="42"/>
      <c r="AA145" s="67"/>
      <c r="AB145" s="67"/>
      <c r="AC145" s="67"/>
    </row>
    <row r="146" spans="1:68" ht="16.5" hidden="1" customHeight="1" x14ac:dyDescent="0.25">
      <c r="A146" s="356" t="s">
        <v>244</v>
      </c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65"/>
      <c r="AB146" s="65"/>
      <c r="AC146" s="82"/>
    </row>
    <row r="147" spans="1:68" ht="14.25" hidden="1" customHeight="1" x14ac:dyDescent="0.25">
      <c r="A147" s="357" t="s">
        <v>147</v>
      </c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  <c r="AA147" s="66"/>
      <c r="AB147" s="66"/>
      <c r="AC147" s="83"/>
    </row>
    <row r="148" spans="1:68" ht="27" customHeight="1" x14ac:dyDescent="0.25">
      <c r="A148" s="63" t="s">
        <v>245</v>
      </c>
      <c r="B148" s="63" t="s">
        <v>246</v>
      </c>
      <c r="C148" s="36">
        <v>4301135824</v>
      </c>
      <c r="D148" s="358">
        <v>4607111039095</v>
      </c>
      <c r="E148" s="358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60"/>
      <c r="R148" s="360"/>
      <c r="S148" s="360"/>
      <c r="T148" s="361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104.944</v>
      </c>
      <c r="BN148" s="81">
        <f>IFERROR(Y148*I148,"0")</f>
        <v>104.944</v>
      </c>
      <c r="BO148" s="81">
        <f>IFERROR(X148/J148,"0")</f>
        <v>0.4</v>
      </c>
      <c r="BP148" s="81">
        <f>IFERROR(Y148/J148,"0")</f>
        <v>0.4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358">
        <v>4620207491768</v>
      </c>
      <c r="E149" s="358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2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60"/>
      <c r="R149" s="360"/>
      <c r="S149" s="360"/>
      <c r="T149" s="361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hidden="1" customHeight="1" x14ac:dyDescent="0.25">
      <c r="A150" s="63" t="s">
        <v>251</v>
      </c>
      <c r="B150" s="63" t="s">
        <v>252</v>
      </c>
      <c r="C150" s="36">
        <v>4301135946</v>
      </c>
      <c r="D150" s="358">
        <v>4620207491553</v>
      </c>
      <c r="E150" s="358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60"/>
      <c r="R150" s="360"/>
      <c r="S150" s="360"/>
      <c r="T150" s="361"/>
      <c r="U150" s="39" t="s">
        <v>46</v>
      </c>
      <c r="V150" s="39" t="s">
        <v>46</v>
      </c>
      <c r="W150" s="40" t="s">
        <v>39</v>
      </c>
      <c r="X150" s="58"/>
      <c r="Y150" s="55" t="str">
        <f>IFERROR(IF(X150="","",X150),"")</f>
        <v/>
      </c>
      <c r="Z150" s="41" t="str">
        <f>IFERROR(IF(X150="","",X150*0.01788),"")</f>
        <v/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 t="str">
        <f>IFERROR(Y150*I150,"0")</f>
        <v>0</v>
      </c>
      <c r="BO150" s="81">
        <f>IFERROR(X150/J150,"0")</f>
        <v>0</v>
      </c>
      <c r="BP150" s="81" t="str">
        <f>IFERROR(Y150/J150,"0")</f>
        <v>0</v>
      </c>
    </row>
    <row r="151" spans="1:68" x14ac:dyDescent="0.2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3"/>
      <c r="P151" s="369" t="s">
        <v>40</v>
      </c>
      <c r="Q151" s="370"/>
      <c r="R151" s="370"/>
      <c r="S151" s="370"/>
      <c r="T151" s="370"/>
      <c r="U151" s="370"/>
      <c r="V151" s="371"/>
      <c r="W151" s="42" t="s">
        <v>39</v>
      </c>
      <c r="X151" s="43">
        <f>IFERROR(SUM(X148:X150),"0")</f>
        <v>28</v>
      </c>
      <c r="Y151" s="43">
        <f>IFERROR(SUM(Y148:Y150),"0")</f>
        <v>28</v>
      </c>
      <c r="Z151" s="43">
        <f>IFERROR(IF(Z148="",0,Z148),"0")+IFERROR(IF(Z149="",0,Z149),"0")+IFERROR(IF(Z150="",0,Z150),"0")</f>
        <v>0.50063999999999997</v>
      </c>
      <c r="AA151" s="67"/>
      <c r="AB151" s="67"/>
      <c r="AC151" s="67"/>
    </row>
    <row r="152" spans="1:68" x14ac:dyDescent="0.2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3"/>
      <c r="P152" s="369" t="s">
        <v>40</v>
      </c>
      <c r="Q152" s="370"/>
      <c r="R152" s="370"/>
      <c r="S152" s="370"/>
      <c r="T152" s="370"/>
      <c r="U152" s="370"/>
      <c r="V152" s="371"/>
      <c r="W152" s="42" t="s">
        <v>0</v>
      </c>
      <c r="X152" s="43">
        <f>IFERROR(SUMPRODUCT(X148:X150*H148:H150),"0")</f>
        <v>84</v>
      </c>
      <c r="Y152" s="43" t="str">
        <f>IFERROR(SUMPRODUCT(Y148:Y150*H148:H150),"0")</f>
        <v>0</v>
      </c>
      <c r="Z152" s="42"/>
      <c r="AA152" s="67"/>
      <c r="AB152" s="67"/>
      <c r="AC152" s="67"/>
    </row>
    <row r="153" spans="1:68" ht="16.5" hidden="1" customHeight="1" x14ac:dyDescent="0.25">
      <c r="A153" s="356" t="s">
        <v>253</v>
      </c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65"/>
      <c r="AB153" s="65"/>
      <c r="AC153" s="82"/>
    </row>
    <row r="154" spans="1:68" ht="14.25" hidden="1" customHeight="1" x14ac:dyDescent="0.25">
      <c r="A154" s="357" t="s">
        <v>147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8">
        <v>4620207490914</v>
      </c>
      <c r="E155" s="358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60"/>
      <c r="R155" s="360"/>
      <c r="S155" s="360"/>
      <c r="T155" s="361"/>
      <c r="U155" s="39" t="s">
        <v>46</v>
      </c>
      <c r="V155" s="39" t="s">
        <v>46</v>
      </c>
      <c r="W155" s="40" t="s">
        <v>39</v>
      </c>
      <c r="X155" s="58">
        <v>14</v>
      </c>
      <c r="Y155" s="55">
        <f>IFERROR(IF(X155="","",X155),"")</f>
        <v>14</v>
      </c>
      <c r="Z155" s="41">
        <f>IFERROR(IF(X155="","",X155*0.01788),"")</f>
        <v>0.25031999999999999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37.520000000000003</v>
      </c>
      <c r="BN155" s="81">
        <f>IFERROR(Y155*I155,"0")</f>
        <v>37.520000000000003</v>
      </c>
      <c r="BO155" s="81">
        <f>IFERROR(X155/J155,"0")</f>
        <v>0.2</v>
      </c>
      <c r="BP155" s="81">
        <f>IFERROR(Y155/J155,"0")</f>
        <v>0.2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8">
        <v>4620207491676</v>
      </c>
      <c r="E156" s="358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60"/>
      <c r="R156" s="360"/>
      <c r="S156" s="360"/>
      <c r="T156" s="361"/>
      <c r="U156" s="39" t="s">
        <v>46</v>
      </c>
      <c r="V156" s="39" t="s">
        <v>46</v>
      </c>
      <c r="W156" s="40" t="s">
        <v>39</v>
      </c>
      <c r="X156" s="58">
        <v>14</v>
      </c>
      <c r="Y156" s="55">
        <f>IFERROR(IF(X156="","",X156),"")</f>
        <v>14</v>
      </c>
      <c r="Z156" s="41">
        <f>IFERROR(IF(X156="","",X156*0.01788),"")</f>
        <v>0.25031999999999999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37.520000000000003</v>
      </c>
      <c r="BN156" s="81">
        <f>IFERROR(Y156*I156,"0")</f>
        <v>37.520000000000003</v>
      </c>
      <c r="BO156" s="81">
        <f>IFERROR(X156/J156,"0")</f>
        <v>0.2</v>
      </c>
      <c r="BP156" s="81">
        <f>IFERROR(Y156/J156,"0")</f>
        <v>0.2</v>
      </c>
    </row>
    <row r="157" spans="1:68" x14ac:dyDescent="0.2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3"/>
      <c r="P157" s="369" t="s">
        <v>40</v>
      </c>
      <c r="Q157" s="370"/>
      <c r="R157" s="370"/>
      <c r="S157" s="370"/>
      <c r="T157" s="370"/>
      <c r="U157" s="370"/>
      <c r="V157" s="371"/>
      <c r="W157" s="42" t="s">
        <v>39</v>
      </c>
      <c r="X157" s="43">
        <f>IFERROR(SUM(X155:X156),"0")</f>
        <v>28</v>
      </c>
      <c r="Y157" s="43">
        <f>IFERROR(SUM(Y155:Y156),"0")</f>
        <v>28</v>
      </c>
      <c r="Z157" s="43">
        <f>IFERROR(IF(Z155="",0,Z155),"0")+IFERROR(IF(Z156="",0,Z156),"0")</f>
        <v>0.50063999999999997</v>
      </c>
      <c r="AA157" s="67"/>
      <c r="AB157" s="67"/>
      <c r="AC157" s="67"/>
    </row>
    <row r="158" spans="1:68" x14ac:dyDescent="0.2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3"/>
      <c r="P158" s="369" t="s">
        <v>40</v>
      </c>
      <c r="Q158" s="370"/>
      <c r="R158" s="370"/>
      <c r="S158" s="370"/>
      <c r="T158" s="370"/>
      <c r="U158" s="370"/>
      <c r="V158" s="371"/>
      <c r="W158" s="42" t="s">
        <v>0</v>
      </c>
      <c r="X158" s="43">
        <f>IFERROR(SUMPRODUCT(X155:X156*H155:H156),"0")</f>
        <v>67.2</v>
      </c>
      <c r="Y158" s="43">
        <f>IFERROR(SUMPRODUCT(Y155:Y156*H155:H156),"0")</f>
        <v>67.2</v>
      </c>
      <c r="Z158" s="42"/>
      <c r="AA158" s="67"/>
      <c r="AB158" s="67"/>
      <c r="AC158" s="67"/>
    </row>
    <row r="159" spans="1:68" ht="16.5" hidden="1" customHeight="1" x14ac:dyDescent="0.25">
      <c r="A159" s="356" t="s">
        <v>259</v>
      </c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65"/>
      <c r="AB159" s="65"/>
      <c r="AC159" s="82"/>
    </row>
    <row r="160" spans="1:68" ht="14.25" hidden="1" customHeight="1" x14ac:dyDescent="0.25">
      <c r="A160" s="357" t="s">
        <v>147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358">
        <v>4620207491614</v>
      </c>
      <c r="E161" s="358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60"/>
      <c r="R161" s="360"/>
      <c r="S161" s="360"/>
      <c r="T161" s="361"/>
      <c r="U161" s="39" t="s">
        <v>46</v>
      </c>
      <c r="V161" s="39" t="s">
        <v>46</v>
      </c>
      <c r="W161" s="40" t="s">
        <v>39</v>
      </c>
      <c r="X161" s="58">
        <v>14</v>
      </c>
      <c r="Y161" s="55">
        <f>IFERROR(IF(X161="","",X161),"")</f>
        <v>14</v>
      </c>
      <c r="Z161" s="41">
        <f>IFERROR(IF(X161="","",X161*0.01788),"")</f>
        <v>0.25031999999999999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51.850399999999993</v>
      </c>
      <c r="BN161" s="81">
        <f>IFERROR(Y161*I161,"0")</f>
        <v>51.850399999999993</v>
      </c>
      <c r="BO161" s="81">
        <f>IFERROR(X161/J161,"0")</f>
        <v>0.2</v>
      </c>
      <c r="BP161" s="81">
        <f>IFERROR(Y161/J161,"0")</f>
        <v>0.2</v>
      </c>
    </row>
    <row r="162" spans="1:68" x14ac:dyDescent="0.2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3"/>
      <c r="P162" s="369" t="s">
        <v>40</v>
      </c>
      <c r="Q162" s="370"/>
      <c r="R162" s="370"/>
      <c r="S162" s="370"/>
      <c r="T162" s="370"/>
      <c r="U162" s="370"/>
      <c r="V162" s="371"/>
      <c r="W162" s="42" t="s">
        <v>39</v>
      </c>
      <c r="X162" s="43">
        <f>IFERROR(SUM(X161:X161),"0")</f>
        <v>14</v>
      </c>
      <c r="Y162" s="43">
        <f>IFERROR(SUM(Y161:Y161),"0")</f>
        <v>14</v>
      </c>
      <c r="Z162" s="43">
        <f>IFERROR(IF(Z161="",0,Z161),"0")</f>
        <v>0.25031999999999999</v>
      </c>
      <c r="AA162" s="67"/>
      <c r="AB162" s="67"/>
      <c r="AC162" s="67"/>
    </row>
    <row r="163" spans="1:68" x14ac:dyDescent="0.2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3"/>
      <c r="P163" s="369" t="s">
        <v>40</v>
      </c>
      <c r="Q163" s="370"/>
      <c r="R163" s="370"/>
      <c r="S163" s="370"/>
      <c r="T163" s="370"/>
      <c r="U163" s="370"/>
      <c r="V163" s="371"/>
      <c r="W163" s="42" t="s">
        <v>0</v>
      </c>
      <c r="X163" s="43">
        <f>IFERROR(SUMPRODUCT(X161:X161*H161:H161),"0")</f>
        <v>42</v>
      </c>
      <c r="Y163" s="43">
        <f>IFERROR(SUMPRODUCT(Y161:Y161*H161:H161),"0")</f>
        <v>42</v>
      </c>
      <c r="Z163" s="42"/>
      <c r="AA163" s="67"/>
      <c r="AB163" s="67"/>
      <c r="AC163" s="67"/>
    </row>
    <row r="164" spans="1:68" ht="16.5" hidden="1" customHeight="1" x14ac:dyDescent="0.25">
      <c r="A164" s="356" t="s">
        <v>263</v>
      </c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6"/>
      <c r="P164" s="356"/>
      <c r="Q164" s="356"/>
      <c r="R164" s="356"/>
      <c r="S164" s="356"/>
      <c r="T164" s="356"/>
      <c r="U164" s="356"/>
      <c r="V164" s="356"/>
      <c r="W164" s="356"/>
      <c r="X164" s="356"/>
      <c r="Y164" s="356"/>
      <c r="Z164" s="356"/>
      <c r="AA164" s="65"/>
      <c r="AB164" s="65"/>
      <c r="AC164" s="82"/>
    </row>
    <row r="165" spans="1:68" ht="14.25" hidden="1" customHeight="1" x14ac:dyDescent="0.25">
      <c r="A165" s="357" t="s">
        <v>147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6"/>
      <c r="AB165" s="66"/>
      <c r="AC165" s="83"/>
    </row>
    <row r="166" spans="1:68" ht="16.5" customHeight="1" x14ac:dyDescent="0.25">
      <c r="A166" s="63" t="s">
        <v>264</v>
      </c>
      <c r="B166" s="63" t="s">
        <v>265</v>
      </c>
      <c r="C166" s="36">
        <v>4301135607</v>
      </c>
      <c r="D166" s="358">
        <v>4607111039613</v>
      </c>
      <c r="E166" s="358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60"/>
      <c r="R166" s="360"/>
      <c r="S166" s="360"/>
      <c r="T166" s="361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IFERROR(IF(X166="","",X166*0.00936),"")</f>
        <v>0.13103999999999999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43.26</v>
      </c>
      <c r="BN166" s="81">
        <f>IFERROR(Y166*I166,"0")</f>
        <v>43.26</v>
      </c>
      <c r="BO166" s="81">
        <f>IFERROR(X166/J166,"0")</f>
        <v>0.1111111111111111</v>
      </c>
      <c r="BP166" s="81">
        <f>IFERROR(Y166/J166,"0")</f>
        <v>0.1111111111111111</v>
      </c>
    </row>
    <row r="167" spans="1:68" x14ac:dyDescent="0.2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3"/>
      <c r="P167" s="369" t="s">
        <v>40</v>
      </c>
      <c r="Q167" s="370"/>
      <c r="R167" s="370"/>
      <c r="S167" s="370"/>
      <c r="T167" s="370"/>
      <c r="U167" s="370"/>
      <c r="V167" s="371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0.13103999999999999</v>
      </c>
      <c r="AA167" s="67"/>
      <c r="AB167" s="67"/>
      <c r="AC167" s="67"/>
    </row>
    <row r="168" spans="1:68" x14ac:dyDescent="0.2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3"/>
      <c r="P168" s="369" t="s">
        <v>40</v>
      </c>
      <c r="Q168" s="370"/>
      <c r="R168" s="370"/>
      <c r="S168" s="370"/>
      <c r="T168" s="370"/>
      <c r="U168" s="370"/>
      <c r="V168" s="371"/>
      <c r="W168" s="42" t="s">
        <v>0</v>
      </c>
      <c r="X168" s="43">
        <f>IFERROR(SUMPRODUCT(X166:X166*H166:H166),"0")</f>
        <v>37.800000000000004</v>
      </c>
      <c r="Y168" s="43">
        <f>IFERROR(SUMPRODUCT(Y166:Y166*H166:H166),"0")</f>
        <v>37.800000000000004</v>
      </c>
      <c r="Z168" s="42"/>
      <c r="AA168" s="67"/>
      <c r="AB168" s="67"/>
      <c r="AC168" s="67"/>
    </row>
    <row r="169" spans="1:68" ht="16.5" hidden="1" customHeight="1" x14ac:dyDescent="0.25">
      <c r="A169" s="356" t="s">
        <v>266</v>
      </c>
      <c r="B169" s="356"/>
      <c r="C169" s="356"/>
      <c r="D169" s="356"/>
      <c r="E169" s="356"/>
      <c r="F169" s="356"/>
      <c r="G169" s="356"/>
      <c r="H169" s="356"/>
      <c r="I169" s="356"/>
      <c r="J169" s="356"/>
      <c r="K169" s="356"/>
      <c r="L169" s="356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56"/>
      <c r="AA169" s="65"/>
      <c r="AB169" s="65"/>
      <c r="AC169" s="82"/>
    </row>
    <row r="170" spans="1:68" ht="14.25" hidden="1" customHeight="1" x14ac:dyDescent="0.25">
      <c r="A170" s="357" t="s">
        <v>147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8">
        <v>4607111036568</v>
      </c>
      <c r="E171" s="358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60"/>
      <c r="R171" s="360"/>
      <c r="S171" s="360"/>
      <c r="T171" s="361"/>
      <c r="U171" s="39" t="s">
        <v>46</v>
      </c>
      <c r="V171" s="39" t="s">
        <v>46</v>
      </c>
      <c r="W171" s="40" t="s">
        <v>39</v>
      </c>
      <c r="X171" s="58">
        <v>70</v>
      </c>
      <c r="Y171" s="55">
        <f>IFERROR(IF(X171="","",X171),"")</f>
        <v>70</v>
      </c>
      <c r="Z171" s="41">
        <f>IFERROR(IF(X171="","",X171*0.00941),"")</f>
        <v>0.65869999999999995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147.126</v>
      </c>
      <c r="BN171" s="81">
        <f>IFERROR(Y171*I171,"0")</f>
        <v>147.126</v>
      </c>
      <c r="BO171" s="81">
        <f>IFERROR(X171/J171,"0")</f>
        <v>0.5</v>
      </c>
      <c r="BP171" s="81">
        <f>IFERROR(Y171/J171,"0")</f>
        <v>0.5</v>
      </c>
    </row>
    <row r="172" spans="1:68" x14ac:dyDescent="0.2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3"/>
      <c r="P172" s="369" t="s">
        <v>40</v>
      </c>
      <c r="Q172" s="370"/>
      <c r="R172" s="370"/>
      <c r="S172" s="370"/>
      <c r="T172" s="370"/>
      <c r="U172" s="370"/>
      <c r="V172" s="371"/>
      <c r="W172" s="42" t="s">
        <v>39</v>
      </c>
      <c r="X172" s="43">
        <f>IFERROR(SUM(X171:X171),"0")</f>
        <v>70</v>
      </c>
      <c r="Y172" s="43">
        <f>IFERROR(SUM(Y171:Y171),"0")</f>
        <v>70</v>
      </c>
      <c r="Z172" s="43">
        <f>IFERROR(IF(Z171="",0,Z171),"0")</f>
        <v>0.65869999999999995</v>
      </c>
      <c r="AA172" s="67"/>
      <c r="AB172" s="67"/>
      <c r="AC172" s="67"/>
    </row>
    <row r="173" spans="1:68" x14ac:dyDescent="0.2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3"/>
      <c r="P173" s="369" t="s">
        <v>40</v>
      </c>
      <c r="Q173" s="370"/>
      <c r="R173" s="370"/>
      <c r="S173" s="370"/>
      <c r="T173" s="370"/>
      <c r="U173" s="370"/>
      <c r="V173" s="371"/>
      <c r="W173" s="42" t="s">
        <v>0</v>
      </c>
      <c r="X173" s="43">
        <f>IFERROR(SUMPRODUCT(X171:X171*H171:H171),"0")</f>
        <v>117.6</v>
      </c>
      <c r="Y173" s="43">
        <f>IFERROR(SUMPRODUCT(Y171:Y171*H171:H171),"0")</f>
        <v>117.6</v>
      </c>
      <c r="Z173" s="42"/>
      <c r="AA173" s="67"/>
      <c r="AB173" s="67"/>
      <c r="AC173" s="67"/>
    </row>
    <row r="174" spans="1:68" ht="27.75" hidden="1" customHeight="1" x14ac:dyDescent="0.2">
      <c r="A174" s="355" t="s">
        <v>270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  <c r="T174" s="355"/>
      <c r="U174" s="355"/>
      <c r="V174" s="355"/>
      <c r="W174" s="355"/>
      <c r="X174" s="355"/>
      <c r="Y174" s="355"/>
      <c r="Z174" s="355"/>
      <c r="AA174" s="54"/>
      <c r="AB174" s="54"/>
      <c r="AC174" s="54"/>
    </row>
    <row r="175" spans="1:68" ht="16.5" hidden="1" customHeight="1" x14ac:dyDescent="0.25">
      <c r="A175" s="356" t="s">
        <v>271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65"/>
      <c r="AB175" s="65"/>
      <c r="AC175" s="82"/>
    </row>
    <row r="176" spans="1:68" ht="14.25" hidden="1" customHeight="1" x14ac:dyDescent="0.25">
      <c r="A176" s="357" t="s">
        <v>80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358">
        <v>4607111036384</v>
      </c>
      <c r="E177" s="358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60"/>
      <c r="R177" s="360"/>
      <c r="S177" s="360"/>
      <c r="T177" s="361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358">
        <v>4607111036216</v>
      </c>
      <c r="E178" s="358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60"/>
      <c r="R178" s="360"/>
      <c r="S178" s="360"/>
      <c r="T178" s="361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3"/>
      <c r="P179" s="369" t="s">
        <v>40</v>
      </c>
      <c r="Q179" s="370"/>
      <c r="R179" s="370"/>
      <c r="S179" s="370"/>
      <c r="T179" s="370"/>
      <c r="U179" s="370"/>
      <c r="V179" s="371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3"/>
      <c r="P180" s="369" t="s">
        <v>40</v>
      </c>
      <c r="Q180" s="370"/>
      <c r="R180" s="370"/>
      <c r="S180" s="370"/>
      <c r="T180" s="370"/>
      <c r="U180" s="370"/>
      <c r="V180" s="371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6" t="s">
        <v>278</v>
      </c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65"/>
      <c r="AB181" s="65"/>
      <c r="AC181" s="82"/>
    </row>
    <row r="182" spans="1:68" ht="14.25" hidden="1" customHeight="1" x14ac:dyDescent="0.25">
      <c r="A182" s="357" t="s">
        <v>80</v>
      </c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358">
        <v>4620207491737</v>
      </c>
      <c r="E183" s="358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3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60"/>
      <c r="R183" s="360"/>
      <c r="S183" s="360"/>
      <c r="T183" s="36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3"/>
      <c r="P184" s="369" t="s">
        <v>40</v>
      </c>
      <c r="Q184" s="370"/>
      <c r="R184" s="370"/>
      <c r="S184" s="370"/>
      <c r="T184" s="370"/>
      <c r="U184" s="370"/>
      <c r="V184" s="371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3"/>
      <c r="P185" s="369" t="s">
        <v>40</v>
      </c>
      <c r="Q185" s="370"/>
      <c r="R185" s="370"/>
      <c r="S185" s="370"/>
      <c r="T185" s="370"/>
      <c r="U185" s="370"/>
      <c r="V185" s="371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5" t="s">
        <v>281</v>
      </c>
      <c r="B186" s="355"/>
      <c r="C186" s="355"/>
      <c r="D186" s="355"/>
      <c r="E186" s="355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55"/>
      <c r="U186" s="355"/>
      <c r="V186" s="355"/>
      <c r="W186" s="355"/>
      <c r="X186" s="355"/>
      <c r="Y186" s="355"/>
      <c r="Z186" s="355"/>
      <c r="AA186" s="54"/>
      <c r="AB186" s="54"/>
      <c r="AC186" s="54"/>
    </row>
    <row r="187" spans="1:68" ht="16.5" hidden="1" customHeight="1" x14ac:dyDescent="0.25">
      <c r="A187" s="356" t="s">
        <v>282</v>
      </c>
      <c r="B187" s="356"/>
      <c r="C187" s="356"/>
      <c r="D187" s="356"/>
      <c r="E187" s="356"/>
      <c r="F187" s="356"/>
      <c r="G187" s="356"/>
      <c r="H187" s="356"/>
      <c r="I187" s="356"/>
      <c r="J187" s="356"/>
      <c r="K187" s="356"/>
      <c r="L187" s="356"/>
      <c r="M187" s="356"/>
      <c r="N187" s="356"/>
      <c r="O187" s="356"/>
      <c r="P187" s="356"/>
      <c r="Q187" s="356"/>
      <c r="R187" s="356"/>
      <c r="S187" s="356"/>
      <c r="T187" s="356"/>
      <c r="U187" s="356"/>
      <c r="V187" s="356"/>
      <c r="W187" s="356"/>
      <c r="X187" s="356"/>
      <c r="Y187" s="356"/>
      <c r="Z187" s="356"/>
      <c r="AA187" s="65"/>
      <c r="AB187" s="65"/>
      <c r="AC187" s="82"/>
    </row>
    <row r="188" spans="1:68" ht="14.25" hidden="1" customHeight="1" x14ac:dyDescent="0.25">
      <c r="A188" s="357" t="s">
        <v>111</v>
      </c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358">
        <v>4607111035691</v>
      </c>
      <c r="E189" s="358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60"/>
      <c r="R189" s="360"/>
      <c r="S189" s="360"/>
      <c r="T189" s="361"/>
      <c r="U189" s="39" t="s">
        <v>46</v>
      </c>
      <c r="V189" s="39" t="s">
        <v>46</v>
      </c>
      <c r="W189" s="40" t="s">
        <v>39</v>
      </c>
      <c r="X189" s="58">
        <v>28</v>
      </c>
      <c r="Y189" s="55">
        <f>IFERROR(IF(X189="","",X189),"")</f>
        <v>28</v>
      </c>
      <c r="Z189" s="41">
        <f>IFERROR(IF(X189="","",X189*0.01788),"")</f>
        <v>0.50063999999999997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94.864000000000004</v>
      </c>
      <c r="BN189" s="81">
        <f>IFERROR(Y189*I189,"0")</f>
        <v>94.864000000000004</v>
      </c>
      <c r="BO189" s="81">
        <f>IFERROR(X189/J189,"0")</f>
        <v>0.4</v>
      </c>
      <c r="BP189" s="81">
        <f>IFERROR(Y189/J189,"0")</f>
        <v>0.4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358">
        <v>4607111035721</v>
      </c>
      <c r="E190" s="358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60"/>
      <c r="R190" s="360"/>
      <c r="S190" s="360"/>
      <c r="T190" s="361"/>
      <c r="U190" s="39" t="s">
        <v>46</v>
      </c>
      <c r="V190" s="39" t="s">
        <v>46</v>
      </c>
      <c r="W190" s="40" t="s">
        <v>39</v>
      </c>
      <c r="X190" s="58">
        <v>28</v>
      </c>
      <c r="Y190" s="55">
        <f>IFERROR(IF(X190="","",X190),"")</f>
        <v>28</v>
      </c>
      <c r="Z190" s="41">
        <f>IFERROR(IF(X190="","",X190*0.01788),"")</f>
        <v>0.50063999999999997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94.864000000000004</v>
      </c>
      <c r="BN190" s="81">
        <f>IFERROR(Y190*I190,"0")</f>
        <v>94.864000000000004</v>
      </c>
      <c r="BO190" s="81">
        <f>IFERROR(X190/J190,"0")</f>
        <v>0.4</v>
      </c>
      <c r="BP190" s="81">
        <f>IFERROR(Y190/J190,"0")</f>
        <v>0.4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358">
        <v>4607111038487</v>
      </c>
      <c r="E191" s="358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4301132243</v>
      </c>
      <c r="D192" s="358">
        <v>4620207491195</v>
      </c>
      <c r="E192" s="358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60"/>
      <c r="R192" s="360"/>
      <c r="S192" s="360"/>
      <c r="T192" s="361"/>
      <c r="U192" s="39" t="s">
        <v>46</v>
      </c>
      <c r="V192" s="39" t="s">
        <v>46</v>
      </c>
      <c r="W192" s="40" t="s">
        <v>39</v>
      </c>
      <c r="X192" s="58">
        <v>14</v>
      </c>
      <c r="Y192" s="55">
        <f>IFERROR(IF(X192="","",X192),"")</f>
        <v>14</v>
      </c>
      <c r="Z192" s="41">
        <f>IFERROR(IF(X192="","",X192*0.01788),"")</f>
        <v>0.25031999999999999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44.072000000000003</v>
      </c>
      <c r="BN192" s="81">
        <f>IFERROR(Y192*I192,"0")</f>
        <v>44.072000000000003</v>
      </c>
      <c r="BO192" s="81">
        <f>IFERROR(X192/J192,"0")</f>
        <v>0.2</v>
      </c>
      <c r="BP192" s="81">
        <f>IFERROR(Y192/J192,"0")</f>
        <v>0.2</v>
      </c>
    </row>
    <row r="193" spans="1:68" x14ac:dyDescent="0.2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3"/>
      <c r="P193" s="369" t="s">
        <v>40</v>
      </c>
      <c r="Q193" s="370"/>
      <c r="R193" s="370"/>
      <c r="S193" s="370"/>
      <c r="T193" s="370"/>
      <c r="U193" s="370"/>
      <c r="V193" s="371"/>
      <c r="W193" s="42" t="s">
        <v>39</v>
      </c>
      <c r="X193" s="43">
        <f>IFERROR(SUM(X189:X192),"0")</f>
        <v>70</v>
      </c>
      <c r="Y193" s="43">
        <f>IFERROR(SUM(Y189:Y192),"0")</f>
        <v>70</v>
      </c>
      <c r="Z193" s="43">
        <f>IFERROR(IF(Z189="",0,Z189),"0")+IFERROR(IF(Z190="",0,Z190),"0")+IFERROR(IF(Z191="",0,Z191),"0")+IFERROR(IF(Z192="",0,Z192),"0")</f>
        <v>1.2515999999999998</v>
      </c>
      <c r="AA193" s="67"/>
      <c r="AB193" s="67"/>
      <c r="AC193" s="67"/>
    </row>
    <row r="194" spans="1:68" x14ac:dyDescent="0.2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3"/>
      <c r="P194" s="369" t="s">
        <v>40</v>
      </c>
      <c r="Q194" s="370"/>
      <c r="R194" s="370"/>
      <c r="S194" s="370"/>
      <c r="T194" s="370"/>
      <c r="U194" s="370"/>
      <c r="V194" s="371"/>
      <c r="W194" s="42" t="s">
        <v>0</v>
      </c>
      <c r="X194" s="43">
        <f>IFERROR(SUMPRODUCT(X189:X192*H189:H192),"0")</f>
        <v>206.64</v>
      </c>
      <c r="Y194" s="43">
        <f>IFERROR(SUMPRODUCT(Y189:Y192*H189:H192),"0")</f>
        <v>206.64</v>
      </c>
      <c r="Z194" s="42"/>
      <c r="AA194" s="67"/>
      <c r="AB194" s="67"/>
      <c r="AC194" s="67"/>
    </row>
    <row r="195" spans="1:68" ht="27.75" hidden="1" customHeight="1" x14ac:dyDescent="0.2">
      <c r="A195" s="355" t="s">
        <v>295</v>
      </c>
      <c r="B195" s="355"/>
      <c r="C195" s="355"/>
      <c r="D195" s="355"/>
      <c r="E195" s="355"/>
      <c r="F195" s="355"/>
      <c r="G195" s="355"/>
      <c r="H195" s="355"/>
      <c r="I195" s="355"/>
      <c r="J195" s="355"/>
      <c r="K195" s="355"/>
      <c r="L195" s="355"/>
      <c r="M195" s="355"/>
      <c r="N195" s="355"/>
      <c r="O195" s="355"/>
      <c r="P195" s="355"/>
      <c r="Q195" s="355"/>
      <c r="R195" s="355"/>
      <c r="S195" s="355"/>
      <c r="T195" s="355"/>
      <c r="U195" s="355"/>
      <c r="V195" s="355"/>
      <c r="W195" s="355"/>
      <c r="X195" s="355"/>
      <c r="Y195" s="355"/>
      <c r="Z195" s="355"/>
      <c r="AA195" s="54"/>
      <c r="AB195" s="54"/>
      <c r="AC195" s="54"/>
    </row>
    <row r="196" spans="1:68" ht="16.5" hidden="1" customHeight="1" x14ac:dyDescent="0.25">
      <c r="A196" s="356" t="s">
        <v>296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65"/>
      <c r="AB196" s="65"/>
      <c r="AC196" s="82"/>
    </row>
    <row r="197" spans="1:68" ht="14.25" hidden="1" customHeight="1" x14ac:dyDescent="0.25">
      <c r="A197" s="357" t="s">
        <v>111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358">
        <v>4620207491133</v>
      </c>
      <c r="E198" s="358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60"/>
      <c r="R198" s="360"/>
      <c r="S198" s="360"/>
      <c r="T198" s="36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3"/>
      <c r="P199" s="369" t="s">
        <v>40</v>
      </c>
      <c r="Q199" s="370"/>
      <c r="R199" s="370"/>
      <c r="S199" s="370"/>
      <c r="T199" s="370"/>
      <c r="U199" s="370"/>
      <c r="V199" s="371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3"/>
      <c r="P200" s="369" t="s">
        <v>40</v>
      </c>
      <c r="Q200" s="370"/>
      <c r="R200" s="370"/>
      <c r="S200" s="370"/>
      <c r="T200" s="370"/>
      <c r="U200" s="370"/>
      <c r="V200" s="371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7" t="s">
        <v>147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358">
        <v>4620207491188</v>
      </c>
      <c r="E202" s="358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60"/>
      <c r="R202" s="360"/>
      <c r="S202" s="360"/>
      <c r="T202" s="36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358">
        <v>4620207490235</v>
      </c>
      <c r="E203" s="35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60"/>
      <c r="R203" s="360"/>
      <c r="S203" s="360"/>
      <c r="T203" s="36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358">
        <v>4620207490259</v>
      </c>
      <c r="E204" s="35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60"/>
      <c r="R204" s="360"/>
      <c r="S204" s="360"/>
      <c r="T204" s="36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3"/>
      <c r="P205" s="369" t="s">
        <v>40</v>
      </c>
      <c r="Q205" s="370"/>
      <c r="R205" s="370"/>
      <c r="S205" s="370"/>
      <c r="T205" s="370"/>
      <c r="U205" s="370"/>
      <c r="V205" s="371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3"/>
      <c r="P206" s="369" t="s">
        <v>40</v>
      </c>
      <c r="Q206" s="370"/>
      <c r="R206" s="370"/>
      <c r="S206" s="370"/>
      <c r="T206" s="370"/>
      <c r="U206" s="370"/>
      <c r="V206" s="371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6" t="s">
        <v>309</v>
      </c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6"/>
      <c r="P207" s="356"/>
      <c r="Q207" s="356"/>
      <c r="R207" s="356"/>
      <c r="S207" s="356"/>
      <c r="T207" s="356"/>
      <c r="U207" s="356"/>
      <c r="V207" s="356"/>
      <c r="W207" s="356"/>
      <c r="X207" s="356"/>
      <c r="Y207" s="356"/>
      <c r="Z207" s="356"/>
      <c r="AA207" s="65"/>
      <c r="AB207" s="65"/>
      <c r="AC207" s="82"/>
    </row>
    <row r="208" spans="1:68" ht="14.25" hidden="1" customHeight="1" x14ac:dyDescent="0.25">
      <c r="A208" s="357" t="s">
        <v>147</v>
      </c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358">
        <v>4620207491706</v>
      </c>
      <c r="E209" s="35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60"/>
      <c r="R209" s="360"/>
      <c r="S209" s="360"/>
      <c r="T209" s="36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358">
        <v>4620207491522</v>
      </c>
      <c r="E210" s="358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60"/>
      <c r="R210" s="360"/>
      <c r="S210" s="360"/>
      <c r="T210" s="36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3"/>
      <c r="P211" s="369" t="s">
        <v>40</v>
      </c>
      <c r="Q211" s="370"/>
      <c r="R211" s="370"/>
      <c r="S211" s="370"/>
      <c r="T211" s="370"/>
      <c r="U211" s="370"/>
      <c r="V211" s="371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3"/>
      <c r="P212" s="369" t="s">
        <v>40</v>
      </c>
      <c r="Q212" s="370"/>
      <c r="R212" s="370"/>
      <c r="S212" s="370"/>
      <c r="T212" s="370"/>
      <c r="U212" s="370"/>
      <c r="V212" s="371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6" t="s">
        <v>316</v>
      </c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6"/>
      <c r="P213" s="356"/>
      <c r="Q213" s="356"/>
      <c r="R213" s="356"/>
      <c r="S213" s="356"/>
      <c r="T213" s="356"/>
      <c r="U213" s="356"/>
      <c r="V213" s="356"/>
      <c r="W213" s="356"/>
      <c r="X213" s="356"/>
      <c r="Y213" s="356"/>
      <c r="Z213" s="356"/>
      <c r="AA213" s="65"/>
      <c r="AB213" s="65"/>
      <c r="AC213" s="82"/>
    </row>
    <row r="214" spans="1:68" ht="14.25" hidden="1" customHeight="1" x14ac:dyDescent="0.25">
      <c r="A214" s="357" t="s">
        <v>80</v>
      </c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358">
        <v>4620207491096</v>
      </c>
      <c r="E215" s="358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60"/>
      <c r="R215" s="360"/>
      <c r="S215" s="360"/>
      <c r="T215" s="361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3"/>
      <c r="P216" s="369" t="s">
        <v>40</v>
      </c>
      <c r="Q216" s="370"/>
      <c r="R216" s="370"/>
      <c r="S216" s="370"/>
      <c r="T216" s="370"/>
      <c r="U216" s="370"/>
      <c r="V216" s="371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3"/>
      <c r="P217" s="369" t="s">
        <v>40</v>
      </c>
      <c r="Q217" s="370"/>
      <c r="R217" s="370"/>
      <c r="S217" s="370"/>
      <c r="T217" s="370"/>
      <c r="U217" s="370"/>
      <c r="V217" s="371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6" t="s">
        <v>320</v>
      </c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  <c r="Z218" s="356"/>
      <c r="AA218" s="65"/>
      <c r="AB218" s="65"/>
      <c r="AC218" s="82"/>
    </row>
    <row r="219" spans="1:68" ht="14.25" hidden="1" customHeight="1" x14ac:dyDescent="0.25">
      <c r="A219" s="357" t="s">
        <v>147</v>
      </c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358">
        <v>4620207490501</v>
      </c>
      <c r="E220" s="358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60"/>
      <c r="R220" s="360"/>
      <c r="S220" s="360"/>
      <c r="T220" s="36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3"/>
      <c r="P221" s="369" t="s">
        <v>40</v>
      </c>
      <c r="Q221" s="370"/>
      <c r="R221" s="370"/>
      <c r="S221" s="370"/>
      <c r="T221" s="370"/>
      <c r="U221" s="370"/>
      <c r="V221" s="371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3"/>
      <c r="P222" s="369" t="s">
        <v>40</v>
      </c>
      <c r="Q222" s="370"/>
      <c r="R222" s="370"/>
      <c r="S222" s="370"/>
      <c r="T222" s="370"/>
      <c r="U222" s="370"/>
      <c r="V222" s="371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5" t="s">
        <v>324</v>
      </c>
      <c r="B223" s="355"/>
      <c r="C223" s="355"/>
      <c r="D223" s="355"/>
      <c r="E223" s="355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  <c r="T223" s="355"/>
      <c r="U223" s="355"/>
      <c r="V223" s="355"/>
      <c r="W223" s="355"/>
      <c r="X223" s="355"/>
      <c r="Y223" s="355"/>
      <c r="Z223" s="355"/>
      <c r="AA223" s="54"/>
      <c r="AB223" s="54"/>
      <c r="AC223" s="54"/>
    </row>
    <row r="224" spans="1:68" ht="16.5" hidden="1" customHeight="1" x14ac:dyDescent="0.25">
      <c r="A224" s="356" t="s">
        <v>325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65"/>
      <c r="AB224" s="65"/>
      <c r="AC224" s="82"/>
    </row>
    <row r="225" spans="1:68" ht="14.25" hidden="1" customHeight="1" x14ac:dyDescent="0.25">
      <c r="A225" s="357" t="s">
        <v>80</v>
      </c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358">
        <v>4607111036162</v>
      </c>
      <c r="E226" s="358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60"/>
      <c r="R226" s="360"/>
      <c r="S226" s="360"/>
      <c r="T226" s="361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3"/>
      <c r="P227" s="369" t="s">
        <v>40</v>
      </c>
      <c r="Q227" s="370"/>
      <c r="R227" s="370"/>
      <c r="S227" s="370"/>
      <c r="T227" s="370"/>
      <c r="U227" s="370"/>
      <c r="V227" s="371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3"/>
      <c r="P228" s="369" t="s">
        <v>40</v>
      </c>
      <c r="Q228" s="370"/>
      <c r="R228" s="370"/>
      <c r="S228" s="370"/>
      <c r="T228" s="370"/>
      <c r="U228" s="370"/>
      <c r="V228" s="371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5" t="s">
        <v>329</v>
      </c>
      <c r="B229" s="355"/>
      <c r="C229" s="355"/>
      <c r="D229" s="355"/>
      <c r="E229" s="355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  <c r="T229" s="355"/>
      <c r="U229" s="355"/>
      <c r="V229" s="355"/>
      <c r="W229" s="355"/>
      <c r="X229" s="355"/>
      <c r="Y229" s="355"/>
      <c r="Z229" s="355"/>
      <c r="AA229" s="54"/>
      <c r="AB229" s="54"/>
      <c r="AC229" s="54"/>
    </row>
    <row r="230" spans="1:68" ht="16.5" hidden="1" customHeight="1" x14ac:dyDescent="0.25">
      <c r="A230" s="356" t="s">
        <v>330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65"/>
      <c r="AB230" s="65"/>
      <c r="AC230" s="82"/>
    </row>
    <row r="231" spans="1:68" ht="14.25" hidden="1" customHeight="1" x14ac:dyDescent="0.25">
      <c r="A231" s="357" t="s">
        <v>331</v>
      </c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358">
        <v>4607111039774</v>
      </c>
      <c r="E232" s="358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60"/>
      <c r="R232" s="360"/>
      <c r="S232" s="360"/>
      <c r="T232" s="361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3"/>
      <c r="P233" s="369" t="s">
        <v>40</v>
      </c>
      <c r="Q233" s="370"/>
      <c r="R233" s="370"/>
      <c r="S233" s="370"/>
      <c r="T233" s="370"/>
      <c r="U233" s="370"/>
      <c r="V233" s="371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3"/>
      <c r="P234" s="369" t="s">
        <v>40</v>
      </c>
      <c r="Q234" s="370"/>
      <c r="R234" s="370"/>
      <c r="S234" s="370"/>
      <c r="T234" s="370"/>
      <c r="U234" s="370"/>
      <c r="V234" s="371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7" t="s">
        <v>147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358">
        <v>4607111039361</v>
      </c>
      <c r="E236" s="358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60"/>
      <c r="R236" s="360"/>
      <c r="S236" s="360"/>
      <c r="T236" s="36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3"/>
      <c r="P237" s="369" t="s">
        <v>40</v>
      </c>
      <c r="Q237" s="370"/>
      <c r="R237" s="370"/>
      <c r="S237" s="370"/>
      <c r="T237" s="370"/>
      <c r="U237" s="370"/>
      <c r="V237" s="371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3"/>
      <c r="P238" s="369" t="s">
        <v>40</v>
      </c>
      <c r="Q238" s="370"/>
      <c r="R238" s="370"/>
      <c r="S238" s="370"/>
      <c r="T238" s="370"/>
      <c r="U238" s="370"/>
      <c r="V238" s="371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5" t="s">
        <v>337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54"/>
      <c r="AB239" s="54"/>
      <c r="AC239" s="54"/>
    </row>
    <row r="240" spans="1:68" ht="16.5" hidden="1" customHeight="1" x14ac:dyDescent="0.25">
      <c r="A240" s="356" t="s">
        <v>337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65"/>
      <c r="AB240" s="65"/>
      <c r="AC240" s="82"/>
    </row>
    <row r="241" spans="1:68" ht="14.25" hidden="1" customHeight="1" x14ac:dyDescent="0.25">
      <c r="A241" s="357" t="s">
        <v>111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358">
        <v>4640242181950</v>
      </c>
      <c r="E242" s="358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60"/>
      <c r="R242" s="360"/>
      <c r="S242" s="360"/>
      <c r="T242" s="36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3"/>
      <c r="P243" s="369" t="s">
        <v>40</v>
      </c>
      <c r="Q243" s="370"/>
      <c r="R243" s="370"/>
      <c r="S243" s="370"/>
      <c r="T243" s="370"/>
      <c r="U243" s="370"/>
      <c r="V243" s="371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3"/>
      <c r="P244" s="369" t="s">
        <v>40</v>
      </c>
      <c r="Q244" s="370"/>
      <c r="R244" s="370"/>
      <c r="S244" s="370"/>
      <c r="T244" s="370"/>
      <c r="U244" s="370"/>
      <c r="V244" s="371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7" t="s">
        <v>143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358">
        <v>4640242181943</v>
      </c>
      <c r="E246" s="358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60"/>
      <c r="R246" s="360"/>
      <c r="S246" s="360"/>
      <c r="T246" s="36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3"/>
      <c r="P247" s="369" t="s">
        <v>40</v>
      </c>
      <c r="Q247" s="370"/>
      <c r="R247" s="370"/>
      <c r="S247" s="370"/>
      <c r="T247" s="370"/>
      <c r="U247" s="370"/>
      <c r="V247" s="371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3"/>
      <c r="P248" s="369" t="s">
        <v>40</v>
      </c>
      <c r="Q248" s="370"/>
      <c r="R248" s="370"/>
      <c r="S248" s="370"/>
      <c r="T248" s="370"/>
      <c r="U248" s="370"/>
      <c r="V248" s="371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5" t="s">
        <v>344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54"/>
      <c r="AB249" s="54"/>
      <c r="AC249" s="54"/>
    </row>
    <row r="250" spans="1:68" ht="16.5" hidden="1" customHeight="1" x14ac:dyDescent="0.25">
      <c r="A250" s="356" t="s">
        <v>344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65"/>
      <c r="AB250" s="65"/>
      <c r="AC250" s="82"/>
    </row>
    <row r="251" spans="1:68" ht="14.25" hidden="1" customHeight="1" x14ac:dyDescent="0.25">
      <c r="A251" s="357" t="s">
        <v>80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358">
        <v>4640242181264</v>
      </c>
      <c r="E252" s="358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60"/>
      <c r="R252" s="360"/>
      <c r="S252" s="360"/>
      <c r="T252" s="36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358">
        <v>4620207491980</v>
      </c>
      <c r="E253" s="358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60"/>
      <c r="R253" s="360"/>
      <c r="S253" s="360"/>
      <c r="T253" s="36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3"/>
      <c r="P254" s="369" t="s">
        <v>40</v>
      </c>
      <c r="Q254" s="370"/>
      <c r="R254" s="370"/>
      <c r="S254" s="370"/>
      <c r="T254" s="370"/>
      <c r="U254" s="370"/>
      <c r="V254" s="371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3"/>
      <c r="P255" s="369" t="s">
        <v>40</v>
      </c>
      <c r="Q255" s="370"/>
      <c r="R255" s="370"/>
      <c r="S255" s="370"/>
      <c r="T255" s="370"/>
      <c r="U255" s="370"/>
      <c r="V255" s="371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7" t="s">
        <v>111</v>
      </c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358">
        <v>4640242180397</v>
      </c>
      <c r="E257" s="358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60"/>
      <c r="R257" s="360"/>
      <c r="S257" s="360"/>
      <c r="T257" s="361"/>
      <c r="U257" s="39" t="s">
        <v>46</v>
      </c>
      <c r="V257" s="39" t="s">
        <v>46</v>
      </c>
      <c r="W257" s="40" t="s">
        <v>39</v>
      </c>
      <c r="X257" s="58">
        <v>192</v>
      </c>
      <c r="Y257" s="55">
        <f>IFERROR(IF(X257="","",X257),"")</f>
        <v>192</v>
      </c>
      <c r="Z257" s="41">
        <f>IFERROR(IF(X257="","",X257*0.0155),"")</f>
        <v>2.976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1201.92</v>
      </c>
      <c r="BN257" s="81">
        <f>IFERROR(Y257*I257,"0")</f>
        <v>1201.92</v>
      </c>
      <c r="BO257" s="81">
        <f>IFERROR(X257/J257,"0")</f>
        <v>2.2857142857142856</v>
      </c>
      <c r="BP257" s="81">
        <f>IFERROR(Y257/J257,"0")</f>
        <v>2.2857142857142856</v>
      </c>
    </row>
    <row r="258" spans="1:68" x14ac:dyDescent="0.2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3"/>
      <c r="P258" s="369" t="s">
        <v>40</v>
      </c>
      <c r="Q258" s="370"/>
      <c r="R258" s="370"/>
      <c r="S258" s="370"/>
      <c r="T258" s="370"/>
      <c r="U258" s="370"/>
      <c r="V258" s="371"/>
      <c r="W258" s="42" t="s">
        <v>39</v>
      </c>
      <c r="X258" s="43">
        <f>IFERROR(SUM(X257:X257),"0")</f>
        <v>192</v>
      </c>
      <c r="Y258" s="43">
        <f>IFERROR(SUM(Y257:Y257),"0")</f>
        <v>192</v>
      </c>
      <c r="Z258" s="43">
        <f>IFERROR(IF(Z257="",0,Z257),"0")</f>
        <v>2.976</v>
      </c>
      <c r="AA258" s="67"/>
      <c r="AB258" s="67"/>
      <c r="AC258" s="67"/>
    </row>
    <row r="259" spans="1:68" x14ac:dyDescent="0.2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3"/>
      <c r="P259" s="369" t="s">
        <v>40</v>
      </c>
      <c r="Q259" s="370"/>
      <c r="R259" s="370"/>
      <c r="S259" s="370"/>
      <c r="T259" s="370"/>
      <c r="U259" s="370"/>
      <c r="V259" s="371"/>
      <c r="W259" s="42" t="s">
        <v>0</v>
      </c>
      <c r="X259" s="43">
        <f>IFERROR(SUMPRODUCT(X257:X257*H257:H257),"0")</f>
        <v>1152</v>
      </c>
      <c r="Y259" s="43">
        <f>IFERROR(SUMPRODUCT(Y257:Y257*H257:H257),"0")</f>
        <v>1152</v>
      </c>
      <c r="Z259" s="42"/>
      <c r="AA259" s="67"/>
      <c r="AB259" s="67"/>
      <c r="AC259" s="67"/>
    </row>
    <row r="260" spans="1:68" ht="14.25" hidden="1" customHeight="1" x14ac:dyDescent="0.25">
      <c r="A260" s="357" t="s">
        <v>143</v>
      </c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358">
        <v>4640242180304</v>
      </c>
      <c r="E261" s="358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5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60"/>
      <c r="R261" s="360"/>
      <c r="S261" s="360"/>
      <c r="T261" s="361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358">
        <v>4640242180236</v>
      </c>
      <c r="E262" s="358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60"/>
      <c r="R262" s="360"/>
      <c r="S262" s="360"/>
      <c r="T262" s="361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358">
        <v>4640242180410</v>
      </c>
      <c r="E263" s="358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60"/>
      <c r="R263" s="360"/>
      <c r="S263" s="360"/>
      <c r="T263" s="36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3"/>
      <c r="P264" s="369" t="s">
        <v>40</v>
      </c>
      <c r="Q264" s="370"/>
      <c r="R264" s="370"/>
      <c r="S264" s="370"/>
      <c r="T264" s="370"/>
      <c r="U264" s="370"/>
      <c r="V264" s="371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3"/>
      <c r="P265" s="369" t="s">
        <v>40</v>
      </c>
      <c r="Q265" s="370"/>
      <c r="R265" s="370"/>
      <c r="S265" s="370"/>
      <c r="T265" s="370"/>
      <c r="U265" s="370"/>
      <c r="V265" s="371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7" t="s">
        <v>147</v>
      </c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358">
        <v>4640242181554</v>
      </c>
      <c r="E267" s="358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60"/>
      <c r="R267" s="360"/>
      <c r="S267" s="360"/>
      <c r="T267" s="36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358">
        <v>4620207492093</v>
      </c>
      <c r="E268" s="35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5" t="s">
        <v>366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224</v>
      </c>
      <c r="Y268" s="55">
        <f t="shared" si="18"/>
        <v>224</v>
      </c>
      <c r="Z268" s="41">
        <f>IFERROR(IF(X268="","",X268*0.00936),"")</f>
        <v>2.0966399999999998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871.80799999999999</v>
      </c>
      <c r="BN268" s="81">
        <f t="shared" si="20"/>
        <v>871.80799999999999</v>
      </c>
      <c r="BO268" s="81">
        <f t="shared" si="21"/>
        <v>1.7777777777777777</v>
      </c>
      <c r="BP268" s="81">
        <f t="shared" si="22"/>
        <v>1.7777777777777777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358">
        <v>4640242181424</v>
      </c>
      <c r="E269" s="358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84</v>
      </c>
      <c r="Y269" s="55">
        <f t="shared" si="18"/>
        <v>84</v>
      </c>
      <c r="Z269" s="41">
        <f>IFERROR(IF(X269="","",X269*0.0155),"")</f>
        <v>1.302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481.74</v>
      </c>
      <c r="BN269" s="81">
        <f t="shared" si="20"/>
        <v>481.74</v>
      </c>
      <c r="BO269" s="81">
        <f t="shared" si="21"/>
        <v>1</v>
      </c>
      <c r="BP269" s="81">
        <f t="shared" si="22"/>
        <v>1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358">
        <v>4640242181523</v>
      </c>
      <c r="E270" s="358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60"/>
      <c r="R270" s="360"/>
      <c r="S270" s="360"/>
      <c r="T270" s="361"/>
      <c r="U270" s="39" t="s">
        <v>46</v>
      </c>
      <c r="V270" s="39" t="s">
        <v>46</v>
      </c>
      <c r="W270" s="40" t="s">
        <v>39</v>
      </c>
      <c r="X270" s="58">
        <v>126</v>
      </c>
      <c r="Y270" s="55">
        <f t="shared" si="18"/>
        <v>126</v>
      </c>
      <c r="Z270" s="41">
        <f t="shared" ref="Z270:Z276" si="23">IFERROR(IF(X270="","",X270*0.00936),"")</f>
        <v>1.17936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402.19200000000001</v>
      </c>
      <c r="BN270" s="81">
        <f t="shared" si="20"/>
        <v>402.19200000000001</v>
      </c>
      <c r="BO270" s="81">
        <f t="shared" si="21"/>
        <v>1</v>
      </c>
      <c r="BP270" s="81">
        <f t="shared" si="22"/>
        <v>1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358">
        <v>4640242181486</v>
      </c>
      <c r="E271" s="358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420</v>
      </c>
      <c r="Y271" s="55">
        <f t="shared" si="18"/>
        <v>420</v>
      </c>
      <c r="Z271" s="41">
        <f t="shared" si="23"/>
        <v>3.9312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1634.6399999999999</v>
      </c>
      <c r="BN271" s="81">
        <f t="shared" si="20"/>
        <v>1634.6399999999999</v>
      </c>
      <c r="BO271" s="81">
        <f t="shared" si="21"/>
        <v>3.3333333333333335</v>
      </c>
      <c r="BP271" s="81">
        <f t="shared" si="22"/>
        <v>3.3333333333333335</v>
      </c>
    </row>
    <row r="272" spans="1:68" ht="37.5" hidden="1" customHeight="1" x14ac:dyDescent="0.25">
      <c r="A272" s="63" t="s">
        <v>375</v>
      </c>
      <c r="B272" s="63" t="s">
        <v>376</v>
      </c>
      <c r="C272" s="36">
        <v>4301135402</v>
      </c>
      <c r="D272" s="358">
        <v>4640242181493</v>
      </c>
      <c r="E272" s="358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/>
      <c r="Y272" s="55" t="str">
        <f t="shared" si="18"/>
        <v/>
      </c>
      <c r="Z272" s="41" t="str">
        <f t="shared" si="23"/>
        <v/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 t="str">
        <f t="shared" si="20"/>
        <v>0</v>
      </c>
      <c r="BO272" s="81">
        <f t="shared" si="21"/>
        <v>0</v>
      </c>
      <c r="BP272" s="81" t="str">
        <f t="shared" si="22"/>
        <v>0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358">
        <v>4640242181509</v>
      </c>
      <c r="E273" s="35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358">
        <v>4640242181240</v>
      </c>
      <c r="E274" s="358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358">
        <v>4640242181318</v>
      </c>
      <c r="E275" s="358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358">
        <v>4620207491935</v>
      </c>
      <c r="E276" s="358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3"/>
      <c r="P277" s="369" t="s">
        <v>40</v>
      </c>
      <c r="Q277" s="370"/>
      <c r="R277" s="370"/>
      <c r="S277" s="370"/>
      <c r="T277" s="370"/>
      <c r="U277" s="370"/>
      <c r="V277" s="371"/>
      <c r="W277" s="42" t="s">
        <v>39</v>
      </c>
      <c r="X277" s="43">
        <f>IFERROR(SUM(X267:X276),"0")</f>
        <v>854</v>
      </c>
      <c r="Y277" s="43">
        <f>IFERROR(SUM(Y267:Y276),"0")</f>
        <v>854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8.5091999999999999</v>
      </c>
      <c r="AA277" s="67"/>
      <c r="AB277" s="67"/>
      <c r="AC277" s="67"/>
    </row>
    <row r="278" spans="1:68" x14ac:dyDescent="0.2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3"/>
      <c r="P278" s="369" t="s">
        <v>40</v>
      </c>
      <c r="Q278" s="370"/>
      <c r="R278" s="370"/>
      <c r="S278" s="370"/>
      <c r="T278" s="370"/>
      <c r="U278" s="370"/>
      <c r="V278" s="371"/>
      <c r="W278" s="42" t="s">
        <v>0</v>
      </c>
      <c r="X278" s="43">
        <f>IFERROR(SUMPRODUCT(X267:X276*H267:H276),"0")</f>
        <v>3222.8</v>
      </c>
      <c r="Y278" s="43" t="str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467"/>
      <c r="P279" s="464" t="s">
        <v>33</v>
      </c>
      <c r="Q279" s="465"/>
      <c r="R279" s="465"/>
      <c r="S279" s="465"/>
      <c r="T279" s="465"/>
      <c r="U279" s="465"/>
      <c r="V279" s="466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7528.88</v>
      </c>
      <c r="Y279" s="43">
        <f>IFERROR(Y31+Y37+Y44+Y50+Y58+Y63+Y67+Y73+Y79+Y84+Y90+Y100+Y106+Y117+Y121+Y125+Y133+Y139+Y145+Y152+Y158+Y163+Y168+Y173+Y180+Y185+Y194+Y200+Y206+Y212+Y217+Y222+Y228+Y234+Y238+Y244+Y248+Y255+Y259+Y265+Y278,"0")</f>
        <v>3514.7999999999997</v>
      </c>
      <c r="Z279" s="42"/>
      <c r="AA279" s="67"/>
      <c r="AB279" s="67"/>
      <c r="AC279" s="67"/>
    </row>
    <row r="280" spans="1:68" x14ac:dyDescent="0.2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467"/>
      <c r="P280" s="464" t="s">
        <v>34</v>
      </c>
      <c r="Q280" s="465"/>
      <c r="R280" s="465"/>
      <c r="S280" s="465"/>
      <c r="T280" s="465"/>
      <c r="U280" s="465"/>
      <c r="V280" s="466"/>
      <c r="W280" s="42" t="s">
        <v>0</v>
      </c>
      <c r="X280" s="43">
        <f>IFERROR(SUM(BM22:BM276),"0")</f>
        <v>8305.109199999999</v>
      </c>
      <c r="Y280" s="43">
        <f>IFERROR(SUM(BN22:BN276),"0")</f>
        <v>8305.109199999999</v>
      </c>
      <c r="Z280" s="42"/>
      <c r="AA280" s="67"/>
      <c r="AB280" s="67"/>
      <c r="AC280" s="67"/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467"/>
      <c r="P281" s="464" t="s">
        <v>35</v>
      </c>
      <c r="Q281" s="465"/>
      <c r="R281" s="465"/>
      <c r="S281" s="465"/>
      <c r="T281" s="465"/>
      <c r="U281" s="465"/>
      <c r="V281" s="466"/>
      <c r="W281" s="42" t="s">
        <v>20</v>
      </c>
      <c r="X281" s="44">
        <f>ROUNDUP(SUM(BO22:BO276),0)</f>
        <v>22</v>
      </c>
      <c r="Y281" s="44">
        <f>ROUNDUP(SUM(BP22:BP276),0)</f>
        <v>22</v>
      </c>
      <c r="Z281" s="42"/>
      <c r="AA281" s="67"/>
      <c r="AB281" s="67"/>
      <c r="AC281" s="67"/>
    </row>
    <row r="282" spans="1:68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467"/>
      <c r="P282" s="464" t="s">
        <v>36</v>
      </c>
      <c r="Q282" s="465"/>
      <c r="R282" s="465"/>
      <c r="S282" s="465"/>
      <c r="T282" s="465"/>
      <c r="U282" s="465"/>
      <c r="V282" s="466"/>
      <c r="W282" s="42" t="s">
        <v>0</v>
      </c>
      <c r="X282" s="43">
        <f>GrossWeightTotal+PalletQtyTotal*25</f>
        <v>8855.109199999999</v>
      </c>
      <c r="Y282" s="43">
        <f>GrossWeightTotalR+PalletQtyTotalR*25</f>
        <v>8855.109199999999</v>
      </c>
      <c r="Z282" s="42"/>
      <c r="AA282" s="67"/>
      <c r="AB282" s="67"/>
      <c r="AC282" s="67"/>
    </row>
    <row r="283" spans="1:68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467"/>
      <c r="P283" s="464" t="s">
        <v>37</v>
      </c>
      <c r="Q283" s="465"/>
      <c r="R283" s="465"/>
      <c r="S283" s="465"/>
      <c r="T283" s="465"/>
      <c r="U283" s="465"/>
      <c r="V283" s="466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2104</v>
      </c>
      <c r="Y283" s="43">
        <f>IFERROR(Y30+Y36+Y43+Y49+Y57+Y62+Y66+Y72+Y78+Y83+Y89+Y99+Y105+Y116+Y120+Y124+Y132+Y138+Y144+Y151+Y157+Y162+Y167+Y172+Y179+Y184+Y193+Y199+Y205+Y211+Y216+Y221+Y227+Y233+Y237+Y243+Y247+Y254+Y258+Y264+Y277,"0")</f>
        <v>2104</v>
      </c>
      <c r="Z283" s="42"/>
      <c r="AA283" s="67"/>
      <c r="AB283" s="67"/>
      <c r="AC283" s="67"/>
    </row>
    <row r="284" spans="1:68" ht="14.25" hidden="1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467"/>
      <c r="P284" s="464" t="s">
        <v>38</v>
      </c>
      <c r="Q284" s="465"/>
      <c r="R284" s="465"/>
      <c r="S284" s="465"/>
      <c r="T284" s="465"/>
      <c r="U284" s="465"/>
      <c r="V284" s="466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27.270020000000002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8" t="s">
        <v>79</v>
      </c>
      <c r="C286" s="468" t="s">
        <v>79</v>
      </c>
      <c r="D286" s="468" t="s">
        <v>45</v>
      </c>
      <c r="E286" s="468" t="s">
        <v>45</v>
      </c>
      <c r="F286" s="468" t="s">
        <v>45</v>
      </c>
      <c r="G286" s="468" t="s">
        <v>45</v>
      </c>
      <c r="H286" s="468" t="s">
        <v>45</v>
      </c>
      <c r="I286" s="468" t="s">
        <v>45</v>
      </c>
      <c r="J286" s="468" t="s">
        <v>45</v>
      </c>
      <c r="K286" s="468" t="s">
        <v>45</v>
      </c>
      <c r="L286" s="468" t="s">
        <v>45</v>
      </c>
      <c r="M286" s="468" t="s">
        <v>45</v>
      </c>
      <c r="N286" s="469"/>
      <c r="O286" s="468" t="s">
        <v>45</v>
      </c>
      <c r="P286" s="468" t="s">
        <v>45</v>
      </c>
      <c r="Q286" s="468" t="s">
        <v>45</v>
      </c>
      <c r="R286" s="468" t="s">
        <v>45</v>
      </c>
      <c r="S286" s="468" t="s">
        <v>45</v>
      </c>
      <c r="T286" s="468" t="s">
        <v>45</v>
      </c>
      <c r="U286" s="468" t="s">
        <v>45</v>
      </c>
      <c r="V286" s="468" t="s">
        <v>270</v>
      </c>
      <c r="W286" s="468" t="s">
        <v>270</v>
      </c>
      <c r="X286" s="88" t="s">
        <v>281</v>
      </c>
      <c r="Y286" s="468" t="s">
        <v>295</v>
      </c>
      <c r="Z286" s="468" t="s">
        <v>295</v>
      </c>
      <c r="AA286" s="468" t="s">
        <v>295</v>
      </c>
      <c r="AB286" s="468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70" t="s">
        <v>10</v>
      </c>
      <c r="B287" s="468" t="s">
        <v>79</v>
      </c>
      <c r="C287" s="468" t="s">
        <v>104</v>
      </c>
      <c r="D287" s="468" t="s">
        <v>110</v>
      </c>
      <c r="E287" s="468" t="s">
        <v>121</v>
      </c>
      <c r="F287" s="468" t="s">
        <v>128</v>
      </c>
      <c r="G287" s="468" t="s">
        <v>139</v>
      </c>
      <c r="H287" s="468" t="s">
        <v>155</v>
      </c>
      <c r="I287" s="468" t="s">
        <v>162</v>
      </c>
      <c r="J287" s="468" t="s">
        <v>166</v>
      </c>
      <c r="K287" s="468" t="s">
        <v>174</v>
      </c>
      <c r="L287" s="468" t="s">
        <v>189</v>
      </c>
      <c r="M287" s="468" t="s">
        <v>195</v>
      </c>
      <c r="N287" s="1"/>
      <c r="O287" s="468" t="s">
        <v>220</v>
      </c>
      <c r="P287" s="468" t="s">
        <v>238</v>
      </c>
      <c r="Q287" s="468" t="s">
        <v>244</v>
      </c>
      <c r="R287" s="468" t="s">
        <v>253</v>
      </c>
      <c r="S287" s="468" t="s">
        <v>259</v>
      </c>
      <c r="T287" s="468" t="s">
        <v>263</v>
      </c>
      <c r="U287" s="468" t="s">
        <v>266</v>
      </c>
      <c r="V287" s="468" t="s">
        <v>271</v>
      </c>
      <c r="W287" s="468" t="s">
        <v>278</v>
      </c>
      <c r="X287" s="468" t="s">
        <v>282</v>
      </c>
      <c r="Y287" s="468" t="s">
        <v>296</v>
      </c>
      <c r="Z287" s="468" t="s">
        <v>309</v>
      </c>
      <c r="AA287" s="468" t="s">
        <v>316</v>
      </c>
      <c r="AB287" s="468" t="s">
        <v>320</v>
      </c>
      <c r="AC287" s="468" t="s">
        <v>325</v>
      </c>
      <c r="AD287" s="468" t="s">
        <v>330</v>
      </c>
      <c r="AE287" s="468" t="s">
        <v>337</v>
      </c>
      <c r="AF287" s="468" t="s">
        <v>344</v>
      </c>
    </row>
    <row r="288" spans="1:68" ht="13.5" thickBot="1" x14ac:dyDescent="0.25">
      <c r="A288" s="471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1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  <c r="AA288" s="468"/>
      <c r="AB288" s="468"/>
      <c r="AC288" s="468"/>
      <c r="AD288" s="468"/>
      <c r="AE288" s="468"/>
      <c r="AF288" s="468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84</v>
      </c>
      <c r="E289" s="52">
        <f>IFERROR(X47*H47,"0")+IFERROR(X48*H48,"0")</f>
        <v>0</v>
      </c>
      <c r="F289" s="52">
        <f>IFERROR(X53*H53,"0")+IFERROR(X54*H54,"0")+IFERROR(X55*H55,"0")+IFERROR(X56*H56,"0")</f>
        <v>84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0</v>
      </c>
      <c r="J289" s="52">
        <f>IFERROR(X87*H87,"0")+IFERROR(X88*H88,"0")</f>
        <v>352.8</v>
      </c>
      <c r="K289" s="52">
        <f>IFERROR(X93*H93,"0")+IFERROR(X94*H94,"0")+IFERROR(X95*H95,"0")+IFERROR(X96*H96,"0")+IFERROR(X97*H97,"0")+IFERROR(X98*H98,"0")</f>
        <v>623.28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778.56000000000006</v>
      </c>
      <c r="N289" s="1"/>
      <c r="O289" s="52">
        <f>IFERROR(X128*H128,"0")+IFERROR(X129*H129,"0")+IFERROR(X130*H130,"0")+IFERROR(X131*H131,"0")+IFERROR(X135*H135,"0")+IFERROR(X136*H136,"0")+IFERROR(X137*H137,"0")</f>
        <v>256.2</v>
      </c>
      <c r="P289" s="52">
        <f>IFERROR(X142*H142,"0")+IFERROR(X143*H143,"0")</f>
        <v>420</v>
      </c>
      <c r="Q289" s="52">
        <f>IFERROR(X148*H148,"0")+IFERROR(X149*H149,"0")+IFERROR(X150*H150,"0")</f>
        <v>84</v>
      </c>
      <c r="R289" s="52">
        <f>IFERROR(X155*H155,"0")+IFERROR(X156*H156,"0")</f>
        <v>67.2</v>
      </c>
      <c r="S289" s="52">
        <f>IFERROR(X161*H161,"0")</f>
        <v>42</v>
      </c>
      <c r="T289" s="52">
        <f>IFERROR(X166*H166,"0")</f>
        <v>37.800000000000004</v>
      </c>
      <c r="U289" s="52">
        <f>IFERROR(X171*H171,"0")</f>
        <v>117.6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206.64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4374.8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825.6</v>
      </c>
      <c r="B292" s="72">
        <f>SUMPRODUCT(--(BB:BB="ПГП"),--(W:W="кор"),H:H,Y:Y)+SUMPRODUCT(--(BB:BB="ПГП"),--(W:W="кг"),Y:Y)</f>
        <v>6703.28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2,00"/>
        <filter val="108,00"/>
        <filter val="117,60"/>
        <filter val="12,00"/>
        <filter val="126,00"/>
        <filter val="14,00"/>
        <filter val="140,00"/>
        <filter val="154,00"/>
        <filter val="192,00"/>
        <filter val="2 104,00"/>
        <filter val="206,64"/>
        <filter val="210,00"/>
        <filter val="210,84"/>
        <filter val="22"/>
        <filter val="224,00"/>
        <filter val="28,00"/>
        <filter val="3 222,80"/>
        <filter val="352,80"/>
        <filter val="36,00"/>
        <filter val="36,96"/>
        <filter val="37,80"/>
        <filter val="42,00"/>
        <filter val="420,00"/>
        <filter val="45,36"/>
        <filter val="48,00"/>
        <filter val="56,00"/>
        <filter val="623,28"/>
        <filter val="67,20"/>
        <filter val="7 528,88"/>
        <filter val="70,00"/>
        <filter val="741,60"/>
        <filter val="8 305,11"/>
        <filter val="8 855,11"/>
        <filter val="84,00"/>
        <filter val="854,00"/>
        <filter val="98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