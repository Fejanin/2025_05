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470DF1-0090-4DC7-BDEC-1D8BA109960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N293" i="1"/>
  <c r="BM293" i="1"/>
  <c r="Z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BP167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74" i="1" l="1"/>
  <c r="BN74" i="1"/>
  <c r="Z74" i="1"/>
  <c r="BP108" i="1"/>
  <c r="BN108" i="1"/>
  <c r="Z108" i="1"/>
  <c r="BP150" i="1"/>
  <c r="BN150" i="1"/>
  <c r="Z150" i="1"/>
  <c r="BP184" i="1"/>
  <c r="BN184" i="1"/>
  <c r="Z184" i="1"/>
  <c r="BP218" i="1"/>
  <c r="BN218" i="1"/>
  <c r="Z218" i="1"/>
  <c r="BP241" i="1"/>
  <c r="BN241" i="1"/>
  <c r="Z241" i="1"/>
  <c r="BP282" i="1"/>
  <c r="BN282" i="1"/>
  <c r="Z282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BP174" i="1"/>
  <c r="BN174" i="1"/>
  <c r="Z174" i="1"/>
  <c r="BP207" i="1"/>
  <c r="BN207" i="1"/>
  <c r="Z207" i="1"/>
  <c r="BP228" i="1"/>
  <c r="BN228" i="1"/>
  <c r="Z228" i="1"/>
  <c r="BP266" i="1"/>
  <c r="BN266" i="1"/>
  <c r="Z266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Z448" i="1" s="1"/>
  <c r="Y485" i="1"/>
  <c r="Y484" i="1"/>
  <c r="BP483" i="1"/>
  <c r="BN483" i="1"/>
  <c r="Z483" i="1"/>
  <c r="Z484" i="1" s="1"/>
  <c r="BP487" i="1"/>
  <c r="BN487" i="1"/>
  <c r="Z487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Z93" i="1"/>
  <c r="BN93" i="1"/>
  <c r="Z100" i="1"/>
  <c r="BN100" i="1"/>
  <c r="Z104" i="1"/>
  <c r="BN104" i="1"/>
  <c r="Y112" i="1"/>
  <c r="Z110" i="1"/>
  <c r="BN110" i="1"/>
  <c r="Z118" i="1"/>
  <c r="BN118" i="1"/>
  <c r="Z133" i="1"/>
  <c r="BN133" i="1"/>
  <c r="Y139" i="1"/>
  <c r="Z144" i="1"/>
  <c r="BN144" i="1"/>
  <c r="Z148" i="1"/>
  <c r="BN148" i="1"/>
  <c r="Z152" i="1"/>
  <c r="BN152" i="1"/>
  <c r="Z167" i="1"/>
  <c r="BN167" i="1"/>
  <c r="Z168" i="1"/>
  <c r="BN168" i="1"/>
  <c r="Z172" i="1"/>
  <c r="BN172" i="1"/>
  <c r="Z176" i="1"/>
  <c r="BN176" i="1"/>
  <c r="Z180" i="1"/>
  <c r="BN180" i="1"/>
  <c r="Z186" i="1"/>
  <c r="BN186" i="1"/>
  <c r="Z201" i="1"/>
  <c r="BN201" i="1"/>
  <c r="Z205" i="1"/>
  <c r="BN205" i="1"/>
  <c r="Z209" i="1"/>
  <c r="BN209" i="1"/>
  <c r="Z216" i="1"/>
  <c r="BN216" i="1"/>
  <c r="Z220" i="1"/>
  <c r="BN220" i="1"/>
  <c r="Z224" i="1"/>
  <c r="BN224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Z287" i="1"/>
  <c r="BN287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Y333" i="1"/>
  <c r="BP337" i="1"/>
  <c r="BN337" i="1"/>
  <c r="Z337" i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Y490" i="1"/>
  <c r="Z506" i="1"/>
  <c r="Y494" i="1"/>
  <c r="BP493" i="1"/>
  <c r="BN493" i="1"/>
  <c r="Z493" i="1"/>
  <c r="Z494" i="1" s="1"/>
  <c r="Y495" i="1"/>
  <c r="Z489" i="1" l="1"/>
  <c r="Z420" i="1"/>
  <c r="Z383" i="1"/>
  <c r="Z363" i="1"/>
  <c r="Z358" i="1"/>
  <c r="Z320" i="1"/>
  <c r="Z181" i="1"/>
  <c r="Z58" i="1"/>
  <c r="Z32" i="1"/>
  <c r="Z154" i="1"/>
  <c r="Z389" i="1"/>
  <c r="Z339" i="1"/>
  <c r="Z333" i="1"/>
  <c r="Z457" i="1"/>
  <c r="Z225" i="1"/>
  <c r="Z112" i="1"/>
  <c r="Z304" i="1"/>
  <c r="Z213" i="1"/>
  <c r="Z134" i="1"/>
  <c r="Z76" i="1"/>
  <c r="Z276" i="1"/>
  <c r="Z268" i="1"/>
  <c r="Z259" i="1"/>
  <c r="Y497" i="1"/>
  <c r="Z313" i="1"/>
  <c r="Z119" i="1"/>
  <c r="Z442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<sst xmlns="http://schemas.openxmlformats.org/spreadsheetml/2006/main" count="2386" uniqueCount="785">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</sst>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46038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Пятница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0.45833333333333331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108</v>
      </c>
      <c r="Y41" s="55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112.1</v>
      </c>
      <c r="BN41" s="64">
        <f>IFERROR(Y41*I41/H41,"0")</f>
        <v>112.1</v>
      </c>
      <c r="BO41" s="64">
        <f>IFERROR(1/J41*(X41/H41),"0")</f>
        <v>0.15625</v>
      </c>
      <c r="BP41" s="64">
        <f>IFERROR(1/J41*(Y41/H41),"0")</f>
        <v>0.15625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10</v>
      </c>
      <c r="Y44" s="557">
        <f>IFERROR(Y41/H41,"0")+IFERROR(Y42/H42,"0")+IFERROR(Y43/H43,"0")</f>
        <v>10</v>
      </c>
      <c r="Z44" s="557">
        <f>IFERROR(IF(Z41="",0,Z41),"0")+IFERROR(IF(Z42="",0,Z42),"0")+IFERROR(IF(Z43="",0,Z43),"0")</f>
        <v>0.1898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108</v>
      </c>
      <c r="Y45" s="557">
        <f>IFERROR(SUM(Y41:Y43),"0")</f>
        <v>108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33.6</v>
      </c>
      <c r="Y52" s="556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34.830000000000005</v>
      </c>
      <c r="BN52" s="64">
        <f t="shared" ref="BN52:BN57" si="2">IFERROR(Y52*I52/H52,"0")</f>
        <v>34.829999999999991</v>
      </c>
      <c r="BO52" s="64">
        <f t="shared" ref="BO52:BO57" si="3">IFERROR(1/J52*(X52/H52),"0")</f>
        <v>4.6875000000000007E-2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54</v>
      </c>
      <c r="Y53" s="55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56.05</v>
      </c>
      <c r="BN53" s="64">
        <f t="shared" si="2"/>
        <v>56.05</v>
      </c>
      <c r="BO53" s="64">
        <f t="shared" si="3"/>
        <v>7.8125E-2</v>
      </c>
      <c r="BP53" s="64">
        <f t="shared" si="4"/>
        <v>7.8125E-2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9.6</v>
      </c>
      <c r="Y54" s="556">
        <f t="shared" si="0"/>
        <v>9.6</v>
      </c>
      <c r="Z54" s="36">
        <f>IFERROR(IF(Y54=0,"",ROUNDUP(Y54/H54,0)*0.00902),"")</f>
        <v>1.804E-2</v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9.98</v>
      </c>
      <c r="BN54" s="64">
        <f t="shared" si="2"/>
        <v>9.98</v>
      </c>
      <c r="BO54" s="64">
        <f t="shared" si="3"/>
        <v>1.5151515151515152E-2</v>
      </c>
      <c r="BP54" s="64">
        <f t="shared" si="4"/>
        <v>1.5151515151515152E-2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6.3</v>
      </c>
      <c r="Y56" s="556">
        <f t="shared" si="0"/>
        <v>6.3000000000000007</v>
      </c>
      <c r="Z56" s="36">
        <f>IFERROR(IF(Y56=0,"",ROUNDUP(Y56/H56,0)*0.00651),"")</f>
        <v>1.9529999999999999E-2</v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6.839999999999999</v>
      </c>
      <c r="BN56" s="64">
        <f t="shared" si="2"/>
        <v>6.84</v>
      </c>
      <c r="BO56" s="64">
        <f t="shared" si="3"/>
        <v>1.6483516483516484E-2</v>
      </c>
      <c r="BP56" s="64">
        <f t="shared" si="4"/>
        <v>1.6483516483516484E-2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13</v>
      </c>
      <c r="Y58" s="557">
        <f>IFERROR(Y52/H52,"0")+IFERROR(Y53/H53,"0")+IFERROR(Y54/H54,"0")+IFERROR(Y55/H55,"0")+IFERROR(Y56/H56,"0")+IFERROR(Y57/H57,"0")</f>
        <v>13</v>
      </c>
      <c r="Z58" s="557">
        <f>IFERROR(IF(Z52="",0,Z52),"0")+IFERROR(IF(Z53="",0,Z53),"0")+IFERROR(IF(Z54="",0,Z54),"0")+IFERROR(IF(Z55="",0,Z55),"0")+IFERROR(IF(Z56="",0,Z56),"0")+IFERROR(IF(Z57="",0,Z57),"0")</f>
        <v>0.18941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103.49999999999999</v>
      </c>
      <c r="Y59" s="557">
        <f>IFERROR(SUM(Y52:Y57),"0")</f>
        <v>103.49999999999999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108</v>
      </c>
      <c r="Y61" s="55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112.1</v>
      </c>
      <c r="BN61" s="64">
        <f>IFERROR(Y61*I61/H61,"0")</f>
        <v>112.1</v>
      </c>
      <c r="BO61" s="64">
        <f>IFERROR(1/J61*(X61/H61),"0")</f>
        <v>0.15625</v>
      </c>
      <c r="BP61" s="64">
        <f>IFERROR(1/J61*(Y61/H61),"0")</f>
        <v>0.15625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13.5</v>
      </c>
      <c r="Y63" s="556">
        <f>IFERROR(IF(X63="",0,CEILING((X63/$H63),1)*$H63),"")</f>
        <v>13.5</v>
      </c>
      <c r="Z63" s="36">
        <f>IFERROR(IF(Y63=0,"",ROUNDUP(Y63/H63,0)*0.00651),"")</f>
        <v>3.2550000000000003E-2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14.399999999999997</v>
      </c>
      <c r="BN63" s="64">
        <f>IFERROR(Y63*I63/H63,"0")</f>
        <v>14.399999999999997</v>
      </c>
      <c r="BO63" s="64">
        <f>IFERROR(1/J63*(X63/H63),"0")</f>
        <v>2.7472527472527476E-2</v>
      </c>
      <c r="BP63" s="64">
        <f>IFERROR(1/J63*(Y63/H63),"0")</f>
        <v>2.7472527472527476E-2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15</v>
      </c>
      <c r="Y64" s="557">
        <f>IFERROR(Y61/H61,"0")+IFERROR(Y62/H62,"0")+IFERROR(Y63/H63,"0")</f>
        <v>15</v>
      </c>
      <c r="Z64" s="557">
        <f>IFERROR(IF(Z61="",0,Z61),"0")+IFERROR(IF(Z62="",0,Z62),"0")+IFERROR(IF(Z63="",0,Z63),"0")</f>
        <v>0.22234999999999999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121.5</v>
      </c>
      <c r="Y65" s="557">
        <f>IFERROR(SUM(Y61:Y63),"0")</f>
        <v>121.5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5.4</v>
      </c>
      <c r="Y67" s="556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5.7</v>
      </c>
      <c r="BN67" s="64">
        <f>IFERROR(Y67*I67/H67,"0")</f>
        <v>5.7</v>
      </c>
      <c r="BO67" s="64">
        <f>IFERROR(1/J67*(X67/H67),"0")</f>
        <v>1.2820512820512822E-2</v>
      </c>
      <c r="BP67" s="64">
        <f>IFERROR(1/J67*(Y67/H67),"0")</f>
        <v>1.2820512820512822E-2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5.4</v>
      </c>
      <c r="Y68" s="556">
        <f>IFERROR(IF(X68="",0,CEILING((X68/$H68),1)*$H68),"")</f>
        <v>5.4</v>
      </c>
      <c r="Z68" s="36">
        <f>IFERROR(IF(Y68=0,"",ROUNDUP(Y68/H68,0)*0.00502),"")</f>
        <v>1.506E-2</v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5.7</v>
      </c>
      <c r="BN68" s="64">
        <f>IFERROR(Y68*I68/H68,"0")</f>
        <v>5.7</v>
      </c>
      <c r="BO68" s="64">
        <f>IFERROR(1/J68*(X68/H68),"0")</f>
        <v>1.2820512820512822E-2</v>
      </c>
      <c r="BP68" s="64">
        <f>IFERROR(1/J68*(Y68/H68),"0")</f>
        <v>1.2820512820512822E-2</v>
      </c>
    </row>
    <row r="69" spans="1:68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6</v>
      </c>
      <c r="Y69" s="557">
        <f>IFERROR(Y67/H67,"0")+IFERROR(Y68/H68,"0")</f>
        <v>6</v>
      </c>
      <c r="Z69" s="557">
        <f>IFERROR(IF(Z67="",0,Z67),"0")+IFERROR(IF(Z68="",0,Z68),"0")</f>
        <v>3.0120000000000001E-2</v>
      </c>
      <c r="AA69" s="558"/>
      <c r="AB69" s="558"/>
      <c r="AC69" s="558"/>
    </row>
    <row r="70" spans="1:68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10.8</v>
      </c>
      <c r="Y70" s="557">
        <f>IFERROR(SUM(Y67:Y68),"0")</f>
        <v>10.8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16.8</v>
      </c>
      <c r="Y72" s="556">
        <f>IFERROR(IF(X72="",0,CEILING((X72/$H72),1)*$H72),"")</f>
        <v>16.8</v>
      </c>
      <c r="Z72" s="36">
        <f>IFERROR(IF(Y72=0,"",ROUNDUP(Y72/H72,0)*0.01898),"")</f>
        <v>3.7960000000000001E-2</v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17.62</v>
      </c>
      <c r="BN72" s="64">
        <f>IFERROR(Y72*I72/H72,"0")</f>
        <v>17.62</v>
      </c>
      <c r="BO72" s="64">
        <f>IFERROR(1/J72*(X72/H72),"0")</f>
        <v>3.125E-2</v>
      </c>
      <c r="BP72" s="64">
        <f>IFERROR(1/J72*(Y72/H72),"0")</f>
        <v>3.125E-2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2.52</v>
      </c>
      <c r="Y74" s="556">
        <f>IFERROR(IF(X74="",0,CEILING((X74/$H74),1)*$H74),"")</f>
        <v>2.52</v>
      </c>
      <c r="Z74" s="36">
        <f>IFERROR(IF(Y74=0,"",ROUNDUP(Y74/H74,0)*0.00651),"")</f>
        <v>6.5100000000000002E-3</v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2.7</v>
      </c>
      <c r="BN74" s="64">
        <f>IFERROR(Y74*I74/H74,"0")</f>
        <v>2.7</v>
      </c>
      <c r="BO74" s="64">
        <f>IFERROR(1/J74*(X74/H74),"0")</f>
        <v>5.4945054945054949E-3</v>
      </c>
      <c r="BP74" s="64">
        <f>IFERROR(1/J74*(Y74/H74),"0")</f>
        <v>5.4945054945054949E-3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1.8</v>
      </c>
      <c r="Y75" s="556">
        <f>IFERROR(IF(X75="",0,CEILING((X75/$H75),1)*$H75),"")</f>
        <v>1.8</v>
      </c>
      <c r="Z75" s="36">
        <f>IFERROR(IF(Y75=0,"",ROUNDUP(Y75/H75,0)*0.00651),"")</f>
        <v>6.5100000000000002E-3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1.98</v>
      </c>
      <c r="BN75" s="64">
        <f>IFERROR(Y75*I75/H75,"0")</f>
        <v>1.98</v>
      </c>
      <c r="BO75" s="64">
        <f>IFERROR(1/J75*(X75/H75),"0")</f>
        <v>5.4945054945054949E-3</v>
      </c>
      <c r="BP75" s="64">
        <f>IFERROR(1/J75*(Y75/H75),"0")</f>
        <v>5.4945054945054949E-3</v>
      </c>
    </row>
    <row r="76" spans="1:68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4</v>
      </c>
      <c r="Y76" s="557">
        <f>IFERROR(Y72/H72,"0")+IFERROR(Y73/H73,"0")+IFERROR(Y74/H74,"0")+IFERROR(Y75/H75,"0")</f>
        <v>4</v>
      </c>
      <c r="Z76" s="557">
        <f>IFERROR(IF(Z72="",0,Z72),"0")+IFERROR(IF(Z73="",0,Z73),"0")+IFERROR(IF(Z74="",0,Z74),"0")+IFERROR(IF(Z75="",0,Z75),"0")</f>
        <v>5.0980000000000004E-2</v>
      </c>
      <c r="AA76" s="558"/>
      <c r="AB76" s="558"/>
      <c r="AC76" s="558"/>
    </row>
    <row r="77" spans="1:68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21.12</v>
      </c>
      <c r="Y77" s="557">
        <f>IFERROR(SUM(Y72:Y75),"0")</f>
        <v>21.12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7.8</v>
      </c>
      <c r="Y79" s="556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8.2100000000000009</v>
      </c>
      <c r="BN79" s="64">
        <f>IFERROR(Y79*I79/H79,"0")</f>
        <v>8.2100000000000009</v>
      </c>
      <c r="BO79" s="64">
        <f>IFERROR(1/J79*(X79/H79),"0")</f>
        <v>1.5625E-2</v>
      </c>
      <c r="BP79" s="64">
        <f>IFERROR(1/J79*(Y79/H79),"0")</f>
        <v>1.5625E-2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1</v>
      </c>
      <c r="Y81" s="557">
        <f>IFERROR(Y79/H79,"0")+IFERROR(Y80/H80,"0")</f>
        <v>1</v>
      </c>
      <c r="Z81" s="557">
        <f>IFERROR(IF(Z79="",0,Z79),"0")+IFERROR(IF(Z80="",0,Z80),"0")</f>
        <v>1.898E-2</v>
      </c>
      <c r="AA81" s="558"/>
      <c r="AB81" s="558"/>
      <c r="AC81" s="558"/>
    </row>
    <row r="82" spans="1:68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7.8</v>
      </c>
      <c r="Y82" s="557">
        <f>IFERROR(SUM(Y79:Y80),"0")</f>
        <v>7.8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75.599999999999994</v>
      </c>
      <c r="Y85" s="556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78.47</v>
      </c>
      <c r="BN85" s="64">
        <f>IFERROR(Y85*I85/H85,"0")</f>
        <v>78.47</v>
      </c>
      <c r="BO85" s="64">
        <f>IFERROR(1/J85*(X85/H85),"0")</f>
        <v>0.10937499999999999</v>
      </c>
      <c r="BP85" s="64">
        <f>IFERROR(1/J85*(Y85/H85),"0")</f>
        <v>0.109375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18</v>
      </c>
      <c r="Y88" s="556">
        <f>IFERROR(IF(X88="",0,CEILING((X88/$H88),1)*$H88),"")</f>
        <v>18</v>
      </c>
      <c r="Z88" s="36">
        <f>IFERROR(IF(Y88=0,"",ROUNDUP(Y88/H88,0)*0.00902),"")</f>
        <v>3.6080000000000001E-2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18.760000000000002</v>
      </c>
      <c r="BN88" s="64">
        <f>IFERROR(Y88*I88/H88,"0")</f>
        <v>18.760000000000002</v>
      </c>
      <c r="BO88" s="64">
        <f>IFERROR(1/J88*(X88/H88),"0")</f>
        <v>3.0303030303030304E-2</v>
      </c>
      <c r="BP88" s="64">
        <f>IFERROR(1/J88*(Y88/H88),"0")</f>
        <v>3.0303030303030304E-2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11</v>
      </c>
      <c r="Y89" s="557">
        <f>IFERROR(Y85/H85,"0")+IFERROR(Y86/H86,"0")+IFERROR(Y87/H87,"0")+IFERROR(Y88/H88,"0")</f>
        <v>11</v>
      </c>
      <c r="Z89" s="557">
        <f>IFERROR(IF(Z85="",0,Z85),"0")+IFERROR(IF(Z86="",0,Z86),"0")+IFERROR(IF(Z87="",0,Z87),"0")+IFERROR(IF(Z88="",0,Z88),"0")</f>
        <v>0.16894000000000001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93.6</v>
      </c>
      <c r="Y90" s="557">
        <f>IFERROR(SUM(Y85:Y88),"0")</f>
        <v>93.600000000000009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40.5</v>
      </c>
      <c r="Y92" s="556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42.97</v>
      </c>
      <c r="BN92" s="64">
        <f>IFERROR(Y92*I92/H92,"0")</f>
        <v>42.97</v>
      </c>
      <c r="BO92" s="64">
        <f>IFERROR(1/J92*(X92/H92),"0")</f>
        <v>7.8125E-2</v>
      </c>
      <c r="BP92" s="64">
        <f>IFERROR(1/J92*(Y92/H92),"0")</f>
        <v>7.8125E-2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2.7</v>
      </c>
      <c r="Y94" s="556">
        <f>IFERROR(IF(X94="",0,CEILING((X94/$H94),1)*$H94),"")</f>
        <v>2.7</v>
      </c>
      <c r="Z94" s="36">
        <f>IFERROR(IF(Y94=0,"",ROUNDUP(Y94/H94,0)*0.00651),"")</f>
        <v>6.5100000000000002E-3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2.952</v>
      </c>
      <c r="BN94" s="64">
        <f>IFERROR(Y94*I94/H94,"0")</f>
        <v>2.952</v>
      </c>
      <c r="BO94" s="64">
        <f>IFERROR(1/J94*(X94/H94),"0")</f>
        <v>5.4945054945054949E-3</v>
      </c>
      <c r="BP94" s="64">
        <f>IFERROR(1/J94*(Y94/H94),"0")</f>
        <v>5.4945054945054949E-3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1.98</v>
      </c>
      <c r="Y95" s="556">
        <f>IFERROR(IF(X95="",0,CEILING((X95/$H95),1)*$H95),"")</f>
        <v>1.98</v>
      </c>
      <c r="Z95" s="36">
        <f>IFERROR(IF(Y95=0,"",ROUNDUP(Y95/H95,0)*0.00651),"")</f>
        <v>6.5100000000000002E-3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2.238</v>
      </c>
      <c r="BN95" s="64">
        <f>IFERROR(Y95*I95/H95,"0")</f>
        <v>2.238</v>
      </c>
      <c r="BO95" s="64">
        <f>IFERROR(1/J95*(X95/H95),"0")</f>
        <v>5.4945054945054949E-3</v>
      </c>
      <c r="BP95" s="64">
        <f>IFERROR(1/J95*(Y95/H95),"0")</f>
        <v>5.4945054945054949E-3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7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0.10792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45.18</v>
      </c>
      <c r="Y97" s="557">
        <f>IFERROR(SUM(Y92:Y95),"0")</f>
        <v>45.18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32.4</v>
      </c>
      <c r="Y100" s="556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33.629999999999995</v>
      </c>
      <c r="BN100" s="64">
        <f>IFERROR(Y100*I100/H100,"0")</f>
        <v>33.630000000000003</v>
      </c>
      <c r="BO100" s="64">
        <f>IFERROR(1/J100*(X100/H100),"0")</f>
        <v>4.6874999999999993E-2</v>
      </c>
      <c r="BP100" s="64">
        <f>IFERROR(1/J100*(Y100/H100),"0")</f>
        <v>4.6875000000000007E-2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18</v>
      </c>
      <c r="Y103" s="556">
        <f>IFERROR(IF(X103="",0,CEILING((X103/$H103),1)*$H103),"")</f>
        <v>18</v>
      </c>
      <c r="Z103" s="36">
        <f>IFERROR(IF(Y103=0,"",ROUNDUP(Y103/H103,0)*0.00902),"")</f>
        <v>3.6080000000000001E-2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18.760000000000002</v>
      </c>
      <c r="BN103" s="64">
        <f>IFERROR(Y103*I103/H103,"0")</f>
        <v>18.760000000000002</v>
      </c>
      <c r="BO103" s="64">
        <f>IFERROR(1/J103*(X103/H103),"0")</f>
        <v>3.0303030303030304E-2</v>
      </c>
      <c r="BP103" s="64">
        <f>IFERROR(1/J103*(Y103/H103),"0")</f>
        <v>3.0303030303030304E-2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9</v>
      </c>
      <c r="Y104" s="556">
        <f>IFERROR(IF(X104="",0,CEILING((X104/$H104),1)*$H104),"")</f>
        <v>9</v>
      </c>
      <c r="Z104" s="36">
        <f>IFERROR(IF(Y104=0,"",ROUNDUP(Y104/H104,0)*0.00902),"")</f>
        <v>1.804E-2</v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9.3800000000000008</v>
      </c>
      <c r="BN104" s="64">
        <f>IFERROR(Y104*I104/H104,"0")</f>
        <v>9.3800000000000008</v>
      </c>
      <c r="BO104" s="64">
        <f>IFERROR(1/J104*(X104/H104),"0")</f>
        <v>1.5151515151515152E-2</v>
      </c>
      <c r="BP104" s="64">
        <f>IFERROR(1/J104*(Y104/H104),"0")</f>
        <v>1.5151515151515152E-2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9</v>
      </c>
      <c r="Y105" s="557">
        <f>IFERROR(Y100/H100,"0")+IFERROR(Y101/H101,"0")+IFERROR(Y102/H102,"0")+IFERROR(Y103/H103,"0")+IFERROR(Y104/H104,"0")</f>
        <v>9</v>
      </c>
      <c r="Z105" s="557">
        <f>IFERROR(IF(Z100="",0,Z100),"0")+IFERROR(IF(Z101="",0,Z101),"0")+IFERROR(IF(Z102="",0,Z102),"0")+IFERROR(IF(Z103="",0,Z103),"0")+IFERROR(IF(Z104="",0,Z104),"0")</f>
        <v>0.11106000000000001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59.4</v>
      </c>
      <c r="Y106" s="557">
        <f>IFERROR(SUM(Y100:Y104),"0")</f>
        <v>59.400000000000006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21.6</v>
      </c>
      <c r="Y108" s="556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22.42</v>
      </c>
      <c r="BN108" s="64">
        <f>IFERROR(Y108*I108/H108,"0")</f>
        <v>22.42</v>
      </c>
      <c r="BO108" s="64">
        <f>IFERROR(1/J108*(X108/H108),"0")</f>
        <v>3.125E-2</v>
      </c>
      <c r="BP108" s="64">
        <f>IFERROR(1/J108*(Y108/H108),"0")</f>
        <v>3.125E-2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4.8</v>
      </c>
      <c r="Y111" s="556">
        <f>IFERROR(IF(X111="",0,CEILING((X111/$H111),1)*$H111),"")</f>
        <v>4.8</v>
      </c>
      <c r="Z111" s="36">
        <f>IFERROR(IF(Y111=0,"",ROUNDUP(Y111/H111,0)*0.00651),"")</f>
        <v>1.302E-2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5.16</v>
      </c>
      <c r="BN111" s="64">
        <f>IFERROR(Y111*I111/H111,"0")</f>
        <v>5.16</v>
      </c>
      <c r="BO111" s="64">
        <f>IFERROR(1/J111*(X111/H111),"0")</f>
        <v>1.098901098901099E-2</v>
      </c>
      <c r="BP111" s="64">
        <f>IFERROR(1/J111*(Y111/H111),"0")</f>
        <v>1.098901098901099E-2</v>
      </c>
    </row>
    <row r="112" spans="1:68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4</v>
      </c>
      <c r="Y112" s="557">
        <f>IFERROR(Y108/H108,"0")+IFERROR(Y109/H109,"0")+IFERROR(Y110/H110,"0")+IFERROR(Y111/H111,"0")</f>
        <v>4</v>
      </c>
      <c r="Z112" s="557">
        <f>IFERROR(IF(Z108="",0,Z108),"0")+IFERROR(IF(Z109="",0,Z109),"0")+IFERROR(IF(Z110="",0,Z110),"0")+IFERROR(IF(Z111="",0,Z111),"0")</f>
        <v>5.0979999999999998E-2</v>
      </c>
      <c r="AA112" s="558"/>
      <c r="AB112" s="558"/>
      <c r="AC112" s="558"/>
    </row>
    <row r="113" spans="1:68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26.400000000000002</v>
      </c>
      <c r="Y113" s="557">
        <f>IFERROR(SUM(Y108:Y111),"0")</f>
        <v>26.400000000000002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40.5</v>
      </c>
      <c r="Y115" s="556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42.94</v>
      </c>
      <c r="BN115" s="64">
        <f>IFERROR(Y115*I115/H115,"0")</f>
        <v>42.94</v>
      </c>
      <c r="BO115" s="64">
        <f>IFERROR(1/J115*(X115/H115),"0")</f>
        <v>7.8125E-2</v>
      </c>
      <c r="BP115" s="64">
        <f>IFERROR(1/J115*(Y115/H115),"0")</f>
        <v>7.8125E-2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2.7</v>
      </c>
      <c r="Y117" s="556">
        <f>IFERROR(IF(X117="",0,CEILING((X117/$H117),1)*$H117),"")</f>
        <v>2.7</v>
      </c>
      <c r="Z117" s="36">
        <f>IFERROR(IF(Y117=0,"",ROUNDUP(Y117/H117,0)*0.00651),"")</f>
        <v>6.5100000000000002E-3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2.952</v>
      </c>
      <c r="BN117" s="64">
        <f>IFERROR(Y117*I117/H117,"0")</f>
        <v>2.952</v>
      </c>
      <c r="BO117" s="64">
        <f>IFERROR(1/J117*(X117/H117),"0")</f>
        <v>5.4945054945054949E-3</v>
      </c>
      <c r="BP117" s="64">
        <f>IFERROR(1/J117*(Y117/H117),"0")</f>
        <v>5.4945054945054949E-3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6</v>
      </c>
      <c r="Y119" s="557">
        <f>IFERROR(Y115/H115,"0")+IFERROR(Y116/H116,"0")+IFERROR(Y117/H117,"0")+IFERROR(Y118/H118,"0")</f>
        <v>6</v>
      </c>
      <c r="Z119" s="557">
        <f>IFERROR(IF(Z115="",0,Z115),"0")+IFERROR(IF(Z116="",0,Z116),"0")+IFERROR(IF(Z117="",0,Z117),"0")+IFERROR(IF(Z118="",0,Z118),"0")</f>
        <v>0.10141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43.2</v>
      </c>
      <c r="Y120" s="557">
        <f>IFERROR(SUM(Y115:Y118),"0")</f>
        <v>43.2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12</v>
      </c>
      <c r="Y144" s="556">
        <f>IFERROR(IF(X144="",0,CEILING((X144/$H144),1)*$H144),"")</f>
        <v>12</v>
      </c>
      <c r="Z144" s="36">
        <f>IFERROR(IF(Y144=0,"",ROUNDUP(Y144/H144,0)*0.00902),"")</f>
        <v>2.7060000000000001E-2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12.57</v>
      </c>
      <c r="BN144" s="64">
        <f>IFERROR(Y144*I144/H144,"0")</f>
        <v>12.57</v>
      </c>
      <c r="BO144" s="64">
        <f>IFERROR(1/J144*(X144/H144),"0")</f>
        <v>2.2727272727272728E-2</v>
      </c>
      <c r="BP144" s="64">
        <f>IFERROR(1/J144*(Y144/H144),"0")</f>
        <v>2.2727272727272728E-2</v>
      </c>
    </row>
    <row r="145" spans="1:68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3</v>
      </c>
      <c r="Y145" s="557">
        <f>IFERROR(Y143/H143,"0")+IFERROR(Y144/H144,"0")</f>
        <v>3</v>
      </c>
      <c r="Z145" s="557">
        <f>IFERROR(IF(Z143="",0,Z143),"0")+IFERROR(IF(Z144="",0,Z144),"0")</f>
        <v>2.7060000000000001E-2</v>
      </c>
      <c r="AA145" s="558"/>
      <c r="AB145" s="558"/>
      <c r="AC145" s="558"/>
    </row>
    <row r="146" spans="1:68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12</v>
      </c>
      <c r="Y146" s="557">
        <f>IFERROR(SUM(Y143:Y144),"0")</f>
        <v>12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18</v>
      </c>
      <c r="Y148" s="556">
        <f t="shared" ref="Y148:Y153" si="5"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19.12</v>
      </c>
      <c r="BN148" s="64">
        <f t="shared" ref="BN148:BN153" si="7">IFERROR(Y148*I148/H148,"0")</f>
        <v>19.12</v>
      </c>
      <c r="BO148" s="64">
        <f t="shared" ref="BO148:BO153" si="8">IFERROR(1/J148*(X148/H148),"0")</f>
        <v>3.125E-2</v>
      </c>
      <c r="BP148" s="64">
        <f t="shared" ref="BP148:BP153" si="9">IFERROR(1/J148*(Y148/H148),"0")</f>
        <v>3.125E-2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12.6</v>
      </c>
      <c r="Y150" s="556">
        <f t="shared" si="5"/>
        <v>12.600000000000001</v>
      </c>
      <c r="Z150" s="36">
        <f>IFERROR(IF(Y150=0,"",ROUNDUP(Y150/H150,0)*0.00651),"")</f>
        <v>1.9529999999999999E-2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13.409999999999998</v>
      </c>
      <c r="BN150" s="64">
        <f t="shared" si="7"/>
        <v>13.41</v>
      </c>
      <c r="BO150" s="64">
        <f t="shared" si="8"/>
        <v>1.6483516483516484E-2</v>
      </c>
      <c r="BP150" s="64">
        <f t="shared" si="9"/>
        <v>1.6483516483516484E-2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12.6</v>
      </c>
      <c r="Y151" s="556">
        <f t="shared" si="5"/>
        <v>12.600000000000001</v>
      </c>
      <c r="Z151" s="36">
        <f>IFERROR(IF(Y151=0,"",ROUNDUP(Y151/H151,0)*0.00902),"")</f>
        <v>2.7060000000000001E-2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13.169999999999998</v>
      </c>
      <c r="BN151" s="64">
        <f t="shared" si="7"/>
        <v>13.17</v>
      </c>
      <c r="BO151" s="64">
        <f t="shared" si="8"/>
        <v>2.2727272727272728E-2</v>
      </c>
      <c r="BP151" s="64">
        <f t="shared" si="9"/>
        <v>2.2727272727272728E-2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9</v>
      </c>
      <c r="Y152" s="556">
        <f t="shared" si="5"/>
        <v>9</v>
      </c>
      <c r="Z152" s="36">
        <f>IFERROR(IF(Y152=0,"",ROUNDUP(Y152/H152,0)*0.01898),"")</f>
        <v>1.898E-2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9.56</v>
      </c>
      <c r="BN152" s="64">
        <f t="shared" si="7"/>
        <v>9.56</v>
      </c>
      <c r="BO152" s="64">
        <f t="shared" si="8"/>
        <v>1.5625E-2</v>
      </c>
      <c r="BP152" s="64">
        <f t="shared" si="9"/>
        <v>1.5625E-2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12.6</v>
      </c>
      <c r="Y153" s="556">
        <f t="shared" si="5"/>
        <v>12.600000000000001</v>
      </c>
      <c r="Z153" s="36">
        <f>IFERROR(IF(Y153=0,"",ROUNDUP(Y153/H153,0)*0.00902),"")</f>
        <v>2.7060000000000001E-2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13.169999999999998</v>
      </c>
      <c r="BN153" s="64">
        <f t="shared" si="7"/>
        <v>13.17</v>
      </c>
      <c r="BO153" s="64">
        <f t="shared" si="8"/>
        <v>2.2727272727272728E-2</v>
      </c>
      <c r="BP153" s="64">
        <f t="shared" si="9"/>
        <v>2.2727272727272728E-2</v>
      </c>
    </row>
    <row r="154" spans="1:68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12</v>
      </c>
      <c r="Y154" s="557">
        <f>IFERROR(Y148/H148,"0")+IFERROR(Y149/H149,"0")+IFERROR(Y150/H150,"0")+IFERROR(Y151/H151,"0")+IFERROR(Y152/H152,"0")+IFERROR(Y153/H153,"0")</f>
        <v>12</v>
      </c>
      <c r="Z154" s="557">
        <f>IFERROR(IF(Z148="",0,Z148),"0")+IFERROR(IF(Z149="",0,Z149),"0")+IFERROR(IF(Z150="",0,Z150),"0")+IFERROR(IF(Z151="",0,Z151),"0")+IFERROR(IF(Z152="",0,Z152),"0")+IFERROR(IF(Z153="",0,Z153),"0")</f>
        <v>0.13058999999999998</v>
      </c>
      <c r="AA154" s="558"/>
      <c r="AB154" s="558"/>
      <c r="AC154" s="558"/>
    </row>
    <row r="155" spans="1:68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64.8</v>
      </c>
      <c r="Y155" s="557">
        <f>IFERROR(SUM(Y148:Y153),"0")</f>
        <v>64.800000000000011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16.8</v>
      </c>
      <c r="Y169" s="556">
        <f t="shared" si="10"/>
        <v>16.8</v>
      </c>
      <c r="Z169" s="36">
        <f>IFERROR(IF(Y169=0,"",ROUNDUP(Y169/H169,0)*0.00902),"")</f>
        <v>3.6080000000000001E-2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17.8</v>
      </c>
      <c r="BN169" s="64">
        <f t="shared" si="12"/>
        <v>17.8</v>
      </c>
      <c r="BO169" s="64">
        <f t="shared" si="13"/>
        <v>3.0303030303030304E-2</v>
      </c>
      <c r="BP169" s="64">
        <f t="shared" si="14"/>
        <v>3.0303030303030304E-2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12.6</v>
      </c>
      <c r="Y170" s="556">
        <f t="shared" si="10"/>
        <v>12.600000000000001</v>
      </c>
      <c r="Z170" s="36">
        <f>IFERROR(IF(Y170=0,"",ROUNDUP(Y170/H170,0)*0.00902),"")</f>
        <v>2.7060000000000001E-2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13.35</v>
      </c>
      <c r="BN170" s="64">
        <f t="shared" si="12"/>
        <v>13.350000000000001</v>
      </c>
      <c r="BO170" s="64">
        <f t="shared" si="13"/>
        <v>2.2727272727272728E-2</v>
      </c>
      <c r="BP170" s="64">
        <f t="shared" si="14"/>
        <v>2.2727272727272728E-2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16.8</v>
      </c>
      <c r="Y171" s="556">
        <f t="shared" si="10"/>
        <v>16.8</v>
      </c>
      <c r="Z171" s="36">
        <f>IFERROR(IF(Y171=0,"",ROUNDUP(Y171/H171,0)*0.00902),"")</f>
        <v>3.6080000000000001E-2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17.559999999999999</v>
      </c>
      <c r="BN171" s="64">
        <f t="shared" si="12"/>
        <v>17.559999999999999</v>
      </c>
      <c r="BO171" s="64">
        <f t="shared" si="13"/>
        <v>3.0303030303030304E-2</v>
      </c>
      <c r="BP171" s="64">
        <f t="shared" si="14"/>
        <v>3.0303030303030304E-2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6.3</v>
      </c>
      <c r="Y173" s="556">
        <f t="shared" si="10"/>
        <v>6.3000000000000007</v>
      </c>
      <c r="Z173" s="36">
        <f>IFERROR(IF(Y173=0,"",ROUNDUP(Y173/H173,0)*0.00502),"")</f>
        <v>1.506E-2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6.6899999999999995</v>
      </c>
      <c r="BN173" s="64">
        <f t="shared" si="12"/>
        <v>6.69</v>
      </c>
      <c r="BO173" s="64">
        <f t="shared" si="13"/>
        <v>1.2820512820512822E-2</v>
      </c>
      <c r="BP173" s="64">
        <f t="shared" si="14"/>
        <v>1.2820512820512822E-2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5.4</v>
      </c>
      <c r="Y174" s="556">
        <f t="shared" si="10"/>
        <v>5.4</v>
      </c>
      <c r="Z174" s="36">
        <f>IFERROR(IF(Y174=0,"",ROUNDUP(Y174/H174,0)*0.00502),"")</f>
        <v>1.506E-2</v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5.7</v>
      </c>
      <c r="BN174" s="64">
        <f t="shared" si="12"/>
        <v>5.7</v>
      </c>
      <c r="BO174" s="64">
        <f t="shared" si="13"/>
        <v>1.2820512820512822E-2</v>
      </c>
      <c r="BP174" s="64">
        <f t="shared" si="14"/>
        <v>1.2820512820512822E-2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6.3</v>
      </c>
      <c r="Y175" s="556">
        <f t="shared" si="10"/>
        <v>6.3000000000000007</v>
      </c>
      <c r="Z175" s="36">
        <f>IFERROR(IF(Y175=0,"",ROUNDUP(Y175/H175,0)*0.00502),"")</f>
        <v>1.506E-2</v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6.6899999999999995</v>
      </c>
      <c r="BN175" s="64">
        <f t="shared" si="12"/>
        <v>6.69</v>
      </c>
      <c r="BO175" s="64">
        <f t="shared" si="13"/>
        <v>1.2820512820512822E-2</v>
      </c>
      <c r="BP175" s="64">
        <f t="shared" si="14"/>
        <v>1.2820512820512822E-2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5.4</v>
      </c>
      <c r="Y176" s="556">
        <f t="shared" si="10"/>
        <v>5.4</v>
      </c>
      <c r="Z176" s="36">
        <f>IFERROR(IF(Y176=0,"",ROUNDUP(Y176/H176,0)*0.00502),"")</f>
        <v>1.506E-2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5.79</v>
      </c>
      <c r="BN176" s="64">
        <f t="shared" si="12"/>
        <v>5.79</v>
      </c>
      <c r="BO176" s="64">
        <f t="shared" si="13"/>
        <v>1.2820512820512822E-2</v>
      </c>
      <c r="BP176" s="64">
        <f t="shared" si="14"/>
        <v>1.2820512820512822E-2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6.3</v>
      </c>
      <c r="Y178" s="556">
        <f t="shared" si="10"/>
        <v>6.3000000000000007</v>
      </c>
      <c r="Z178" s="36">
        <f>IFERROR(IF(Y178=0,"",ROUNDUP(Y178/H178,0)*0.00502),"")</f>
        <v>1.506E-2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6.6000000000000005</v>
      </c>
      <c r="BN178" s="64">
        <f t="shared" si="12"/>
        <v>6.6000000000000014</v>
      </c>
      <c r="BO178" s="64">
        <f t="shared" si="13"/>
        <v>1.2820512820512822E-2</v>
      </c>
      <c r="BP178" s="64">
        <f t="shared" si="14"/>
        <v>1.2820512820512822E-2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26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26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0.17451999999999998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75.900000000000006</v>
      </c>
      <c r="Y182" s="557">
        <f>IFERROR(SUM(Y167:Y180),"0")</f>
        <v>75.900000000000006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16.2</v>
      </c>
      <c r="Y205" s="556">
        <f t="shared" ref="Y205:Y212" si="15">IFERROR(IF(X205="",0,CEILING((X205/$H205),1)*$H205),"")</f>
        <v>16.200000000000003</v>
      </c>
      <c r="Z205" s="36">
        <f>IFERROR(IF(Y205=0,"",ROUNDUP(Y205/H205,0)*0.00902),"")</f>
        <v>2.7060000000000001E-2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16.769999999999996</v>
      </c>
      <c r="BN205" s="64">
        <f t="shared" ref="BN205:BN212" si="17">IFERROR(Y205*I205/H205,"0")</f>
        <v>16.77</v>
      </c>
      <c r="BO205" s="64">
        <f t="shared" ref="BO205:BO212" si="18">IFERROR(1/J205*(X205/H205),"0")</f>
        <v>2.2727272727272724E-2</v>
      </c>
      <c r="BP205" s="64">
        <f t="shared" ref="BP205:BP212" si="19">IFERROR(1/J205*(Y205/H205),"0")</f>
        <v>2.2727272727272731E-2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21.6</v>
      </c>
      <c r="Y206" s="556">
        <f t="shared" si="15"/>
        <v>21.6</v>
      </c>
      <c r="Z206" s="36">
        <f>IFERROR(IF(Y206=0,"",ROUNDUP(Y206/H206,0)*0.00902),"")</f>
        <v>3.6080000000000001E-2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22.36</v>
      </c>
      <c r="BN206" s="64">
        <f t="shared" si="17"/>
        <v>22.36</v>
      </c>
      <c r="BO206" s="64">
        <f t="shared" si="18"/>
        <v>3.0303030303030304E-2</v>
      </c>
      <c r="BP206" s="64">
        <f t="shared" si="19"/>
        <v>3.0303030303030304E-2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21.6</v>
      </c>
      <c r="Y207" s="556">
        <f t="shared" si="15"/>
        <v>21.6</v>
      </c>
      <c r="Z207" s="36">
        <f>IFERROR(IF(Y207=0,"",ROUNDUP(Y207/H207,0)*0.00902),"")</f>
        <v>3.6080000000000001E-2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22.36</v>
      </c>
      <c r="BN207" s="64">
        <f t="shared" si="17"/>
        <v>22.36</v>
      </c>
      <c r="BO207" s="64">
        <f t="shared" si="18"/>
        <v>3.0303030303030304E-2</v>
      </c>
      <c r="BP207" s="64">
        <f t="shared" si="19"/>
        <v>3.0303030303030304E-2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21.6</v>
      </c>
      <c r="Y208" s="556">
        <f t="shared" si="15"/>
        <v>21.6</v>
      </c>
      <c r="Z208" s="36">
        <f>IFERROR(IF(Y208=0,"",ROUNDUP(Y208/H208,0)*0.00902),"")</f>
        <v>3.6080000000000001E-2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22.36</v>
      </c>
      <c r="BN208" s="64">
        <f t="shared" si="17"/>
        <v>22.36</v>
      </c>
      <c r="BO208" s="64">
        <f t="shared" si="18"/>
        <v>3.0303030303030304E-2</v>
      </c>
      <c r="BP208" s="64">
        <f t="shared" si="19"/>
        <v>3.0303030303030304E-2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3.6</v>
      </c>
      <c r="Y209" s="556">
        <f t="shared" si="15"/>
        <v>3.6</v>
      </c>
      <c r="Z209" s="36">
        <f>IFERROR(IF(Y209=0,"",ROUNDUP(Y209/H209,0)*0.00502),"")</f>
        <v>1.004E-2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3.8599999999999994</v>
      </c>
      <c r="BN209" s="64">
        <f t="shared" si="17"/>
        <v>3.8599999999999994</v>
      </c>
      <c r="BO209" s="64">
        <f t="shared" si="18"/>
        <v>8.5470085470085479E-3</v>
      </c>
      <c r="BP209" s="64">
        <f t="shared" si="19"/>
        <v>8.5470085470085479E-3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3.6</v>
      </c>
      <c r="Y210" s="556">
        <f t="shared" si="15"/>
        <v>3.6</v>
      </c>
      <c r="Z210" s="36">
        <f>IFERROR(IF(Y210=0,"",ROUNDUP(Y210/H210,0)*0.00502),"")</f>
        <v>1.004E-2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3.8</v>
      </c>
      <c r="BN210" s="64">
        <f t="shared" si="17"/>
        <v>3.8</v>
      </c>
      <c r="BO210" s="64">
        <f t="shared" si="18"/>
        <v>8.5470085470085479E-3</v>
      </c>
      <c r="BP210" s="64">
        <f t="shared" si="19"/>
        <v>8.5470085470085479E-3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3.6</v>
      </c>
      <c r="Y211" s="556">
        <f t="shared" si="15"/>
        <v>3.6</v>
      </c>
      <c r="Z211" s="36">
        <f>IFERROR(IF(Y211=0,"",ROUNDUP(Y211/H211,0)*0.00502),"")</f>
        <v>1.004E-2</v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3.8</v>
      </c>
      <c r="BN211" s="64">
        <f t="shared" si="17"/>
        <v>3.8</v>
      </c>
      <c r="BO211" s="64">
        <f t="shared" si="18"/>
        <v>8.5470085470085479E-3</v>
      </c>
      <c r="BP211" s="64">
        <f t="shared" si="19"/>
        <v>8.5470085470085479E-3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3.6</v>
      </c>
      <c r="Y212" s="556">
        <f t="shared" si="15"/>
        <v>3.6</v>
      </c>
      <c r="Z212" s="36">
        <f>IFERROR(IF(Y212=0,"",ROUNDUP(Y212/H212,0)*0.00502),"")</f>
        <v>1.004E-2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3.8</v>
      </c>
      <c r="BN212" s="64">
        <f t="shared" si="17"/>
        <v>3.8</v>
      </c>
      <c r="BO212" s="64">
        <f t="shared" si="18"/>
        <v>8.5470085470085479E-3</v>
      </c>
      <c r="BP212" s="64">
        <f t="shared" si="19"/>
        <v>8.5470085470085479E-3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23</v>
      </c>
      <c r="Y213" s="557">
        <f>IFERROR(Y205/H205,"0")+IFERROR(Y206/H206,"0")+IFERROR(Y207/H207,"0")+IFERROR(Y208/H208,"0")+IFERROR(Y209/H209,"0")+IFERROR(Y210/H210,"0")+IFERROR(Y211/H211,"0")+IFERROR(Y212/H212,"0")</f>
        <v>23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0.17545999999999998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95.399999999999977</v>
      </c>
      <c r="Y214" s="557">
        <f>IFERROR(SUM(Y205:Y212),"0")</f>
        <v>95.399999999999977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8.1</v>
      </c>
      <c r="Y216" s="556">
        <f t="shared" ref="Y216:Y224" si="20">IFERROR(IF(X216="",0,CEILING((X216/$H216),1)*$H216),"")</f>
        <v>8.1</v>
      </c>
      <c r="Z216" s="36">
        <f>IFERROR(IF(Y216=0,"",ROUNDUP(Y216/H216,0)*0.01898),"")</f>
        <v>1.898E-2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8.5939999999999994</v>
      </c>
      <c r="BN216" s="64">
        <f t="shared" ref="BN216:BN224" si="22">IFERROR(Y216*I216/H216,"0")</f>
        <v>8.5939999999999994</v>
      </c>
      <c r="BO216" s="64">
        <f t="shared" ref="BO216:BO224" si="23">IFERROR(1/J216*(X216/H216),"0")</f>
        <v>1.5625E-2</v>
      </c>
      <c r="BP216" s="64">
        <f t="shared" ref="BP216:BP224" si="24">IFERROR(1/J216*(Y216/H216),"0")</f>
        <v>1.5625E-2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8.1</v>
      </c>
      <c r="Y217" s="556">
        <f t="shared" si="20"/>
        <v>8.1</v>
      </c>
      <c r="Z217" s="36">
        <f>IFERROR(IF(Y217=0,"",ROUNDUP(Y217/H217,0)*0.01898),"")</f>
        <v>1.898E-2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8.5760000000000005</v>
      </c>
      <c r="BN217" s="64">
        <f t="shared" si="22"/>
        <v>8.5760000000000005</v>
      </c>
      <c r="BO217" s="64">
        <f t="shared" si="23"/>
        <v>1.5625E-2</v>
      </c>
      <c r="BP217" s="64">
        <f t="shared" si="24"/>
        <v>1.5625E-2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8.6999999999999993</v>
      </c>
      <c r="Y218" s="556">
        <f t="shared" si="20"/>
        <v>8.6999999999999993</v>
      </c>
      <c r="Z218" s="36">
        <f>IFERROR(IF(Y218=0,"",ROUNDUP(Y218/H218,0)*0.01898),"")</f>
        <v>1.898E-2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9.1940000000000008</v>
      </c>
      <c r="BN218" s="64">
        <f t="shared" si="22"/>
        <v>9.1940000000000008</v>
      </c>
      <c r="BO218" s="64">
        <f t="shared" si="23"/>
        <v>1.5625E-2</v>
      </c>
      <c r="BP218" s="64">
        <f t="shared" si="24"/>
        <v>1.5625E-2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2.4</v>
      </c>
      <c r="Y221" s="556">
        <f t="shared" si="20"/>
        <v>2.4</v>
      </c>
      <c r="Z221" s="36">
        <f t="shared" si="25"/>
        <v>6.5100000000000002E-3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2.6520000000000001</v>
      </c>
      <c r="BN221" s="64">
        <f t="shared" si="22"/>
        <v>2.6520000000000001</v>
      </c>
      <c r="BO221" s="64">
        <f t="shared" si="23"/>
        <v>5.4945054945054949E-3</v>
      </c>
      <c r="BP221" s="64">
        <f t="shared" si="24"/>
        <v>5.4945054945054949E-3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2.4</v>
      </c>
      <c r="Y222" s="556">
        <f t="shared" si="20"/>
        <v>2.4</v>
      </c>
      <c r="Z222" s="36">
        <f t="shared" si="25"/>
        <v>6.5100000000000002E-3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2.6520000000000001</v>
      </c>
      <c r="BN222" s="64">
        <f t="shared" si="22"/>
        <v>2.6520000000000001</v>
      </c>
      <c r="BO222" s="64">
        <f t="shared" si="23"/>
        <v>5.4945054945054949E-3</v>
      </c>
      <c r="BP222" s="64">
        <f t="shared" si="24"/>
        <v>5.4945054945054949E-3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5</v>
      </c>
      <c r="Y225" s="557">
        <f>IFERROR(Y216/H216,"0")+IFERROR(Y217/H217,"0")+IFERROR(Y218/H218,"0")+IFERROR(Y219/H219,"0")+IFERROR(Y220/H220,"0")+IFERROR(Y221/H221,"0")+IFERROR(Y222/H222,"0")+IFERROR(Y223/H223,"0")+IFERROR(Y224/H224,"0")</f>
        <v>5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6.9960000000000008E-2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29.699999999999996</v>
      </c>
      <c r="Y226" s="557">
        <f>IFERROR(SUM(Y216:Y224),"0")</f>
        <v>29.699999999999996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4.8</v>
      </c>
      <c r="Y228" s="556">
        <f>IFERROR(IF(X228="",0,CEILING((X228/$H228),1)*$H228),"")</f>
        <v>4.8</v>
      </c>
      <c r="Z228" s="36">
        <f>IFERROR(IF(Y228=0,"",ROUNDUP(Y228/H228,0)*0.00651),"")</f>
        <v>1.302E-2</v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5.3040000000000003</v>
      </c>
      <c r="BN228" s="64">
        <f>IFERROR(Y228*I228/H228,"0")</f>
        <v>5.3040000000000003</v>
      </c>
      <c r="BO228" s="64">
        <f>IFERROR(1/J228*(X228/H228),"0")</f>
        <v>1.098901098901099E-2</v>
      </c>
      <c r="BP228" s="64">
        <f>IFERROR(1/J228*(Y228/H228),"0")</f>
        <v>1.098901098901099E-2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4.8</v>
      </c>
      <c r="Y229" s="556">
        <f>IFERROR(IF(X229="",0,CEILING((X229/$H229),1)*$H229),"")</f>
        <v>4.8</v>
      </c>
      <c r="Z229" s="36">
        <f>IFERROR(IF(Y229=0,"",ROUNDUP(Y229/H229,0)*0.00651),"")</f>
        <v>1.302E-2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5.3040000000000003</v>
      </c>
      <c r="BN229" s="64">
        <f>IFERROR(Y229*I229/H229,"0")</f>
        <v>5.3040000000000003</v>
      </c>
      <c r="BO229" s="64">
        <f>IFERROR(1/J229*(X229/H229),"0")</f>
        <v>1.098901098901099E-2</v>
      </c>
      <c r="BP229" s="64">
        <f>IFERROR(1/J229*(Y229/H229),"0")</f>
        <v>1.098901098901099E-2</v>
      </c>
    </row>
    <row r="230" spans="1:68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4</v>
      </c>
      <c r="Y230" s="557">
        <f>IFERROR(Y228/H228,"0")+IFERROR(Y229/H229,"0")</f>
        <v>4</v>
      </c>
      <c r="Z230" s="557">
        <f>IFERROR(IF(Z228="",0,Z228),"0")+IFERROR(IF(Z229="",0,Z229),"0")</f>
        <v>2.6040000000000001E-2</v>
      </c>
      <c r="AA230" s="558"/>
      <c r="AB230" s="558"/>
      <c r="AC230" s="558"/>
    </row>
    <row r="231" spans="1:68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9.6</v>
      </c>
      <c r="Y231" s="557">
        <f>IFERROR(SUM(Y228:Y229),"0")</f>
        <v>9.6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108</v>
      </c>
      <c r="Y263" s="556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112.1</v>
      </c>
      <c r="BN263" s="64">
        <f>IFERROR(Y263*I263/H263,"0")</f>
        <v>112.1</v>
      </c>
      <c r="BO263" s="64">
        <f>IFERROR(1/J263*(X263/H263),"0")</f>
        <v>0.15625</v>
      </c>
      <c r="BP263" s="64">
        <f>IFERROR(1/J263*(Y263/H263),"0")</f>
        <v>0.15625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54</v>
      </c>
      <c r="Y264" s="556">
        <f>IFERROR(IF(X264="",0,CEILING((X264/$H264),1)*$H264),"")</f>
        <v>54</v>
      </c>
      <c r="Z264" s="36">
        <f>IFERROR(IF(Y264=0,"",ROUNDUP(Y264/H264,0)*0.01898),"")</f>
        <v>9.4899999999999998E-2</v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56.05</v>
      </c>
      <c r="BN264" s="64">
        <f>IFERROR(Y264*I264/H264,"0")</f>
        <v>56.05</v>
      </c>
      <c r="BO264" s="64">
        <f>IFERROR(1/J264*(X264/H264),"0")</f>
        <v>7.8125E-2</v>
      </c>
      <c r="BP264" s="64">
        <f>IFERROR(1/J264*(Y264/H264),"0")</f>
        <v>7.8125E-2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108</v>
      </c>
      <c r="Y265" s="556">
        <f>IFERROR(IF(X265="",0,CEILING((X265/$H265),1)*$H265),"")</f>
        <v>108</v>
      </c>
      <c r="Z265" s="36">
        <f>IFERROR(IF(Y265=0,"",ROUNDUP(Y265/H265,0)*0.01898),"")</f>
        <v>0.1898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112.1</v>
      </c>
      <c r="BN265" s="64">
        <f>IFERROR(Y265*I265/H265,"0")</f>
        <v>112.1</v>
      </c>
      <c r="BO265" s="64">
        <f>IFERROR(1/J265*(X265/H265),"0")</f>
        <v>0.15625</v>
      </c>
      <c r="BP265" s="64">
        <f>IFERROR(1/J265*(Y265/H265),"0")</f>
        <v>0.15625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25</v>
      </c>
      <c r="Y268" s="557">
        <f>IFERROR(Y263/H263,"0")+IFERROR(Y264/H264,"0")+IFERROR(Y265/H265,"0")+IFERROR(Y266/H266,"0")+IFERROR(Y267/H267,"0")</f>
        <v>25</v>
      </c>
      <c r="Z268" s="557">
        <f>IFERROR(IF(Z263="",0,Z263),"0")+IFERROR(IF(Z264="",0,Z264),"0")+IFERROR(IF(Z265="",0,Z265),"0")+IFERROR(IF(Z266="",0,Z266),"0")+IFERROR(IF(Z267="",0,Z267),"0")</f>
        <v>0.47450000000000003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270</v>
      </c>
      <c r="Y269" s="557">
        <f>IFERROR(SUM(Y263:Y267),"0")</f>
        <v>270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4.8</v>
      </c>
      <c r="Y281" s="556">
        <f>IFERROR(IF(X281="",0,CEILING((X281/$H281),1)*$H281),"")</f>
        <v>4.8</v>
      </c>
      <c r="Z281" s="36">
        <f>IFERROR(IF(Y281=0,"",ROUNDUP(Y281/H281,0)*0.00651),"")</f>
        <v>1.302E-2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5.3040000000000003</v>
      </c>
      <c r="BN281" s="64">
        <f>IFERROR(Y281*I281/H281,"0")</f>
        <v>5.3040000000000003</v>
      </c>
      <c r="BO281" s="64">
        <f>IFERROR(1/J281*(X281/H281),"0")</f>
        <v>1.098901098901099E-2</v>
      </c>
      <c r="BP281" s="64">
        <f>IFERROR(1/J281*(Y281/H281),"0")</f>
        <v>1.098901098901099E-2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4.8</v>
      </c>
      <c r="Y282" s="556">
        <f>IFERROR(IF(X282="",0,CEILING((X282/$H282),1)*$H282),"")</f>
        <v>4.8</v>
      </c>
      <c r="Z282" s="36">
        <f>IFERROR(IF(Y282=0,"",ROUNDUP(Y282/H282,0)*0.00651),"")</f>
        <v>1.302E-2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5.16</v>
      </c>
      <c r="BN282" s="64">
        <f>IFERROR(Y282*I282/H282,"0")</f>
        <v>5.16</v>
      </c>
      <c r="BO282" s="64">
        <f>IFERROR(1/J282*(X282/H282),"0")</f>
        <v>1.098901098901099E-2</v>
      </c>
      <c r="BP282" s="64">
        <f>IFERROR(1/J282*(Y282/H282),"0")</f>
        <v>1.098901098901099E-2</v>
      </c>
    </row>
    <row r="283" spans="1:68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4</v>
      </c>
      <c r="Y283" s="557">
        <f>IFERROR(Y280/H280,"0")+IFERROR(Y281/H281,"0")+IFERROR(Y282/H282,"0")</f>
        <v>4</v>
      </c>
      <c r="Z283" s="557">
        <f>IFERROR(IF(Z280="",0,Z280),"0")+IFERROR(IF(Z281="",0,Z281),"0")+IFERROR(IF(Z282="",0,Z282),"0")</f>
        <v>2.6040000000000001E-2</v>
      </c>
      <c r="AA283" s="558"/>
      <c r="AB283" s="558"/>
      <c r="AC283" s="558"/>
    </row>
    <row r="284" spans="1:68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9.6</v>
      </c>
      <c r="Y284" s="557">
        <f>IFERROR(SUM(Y280:Y282),"0")</f>
        <v>9.6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5.04</v>
      </c>
      <c r="Y287" s="556">
        <f>IFERROR(IF(X287="",0,CEILING((X287/$H287),1)*$H287),"")</f>
        <v>5.04</v>
      </c>
      <c r="Z287" s="36">
        <f>IFERROR(IF(Y287=0,"",ROUNDUP(Y287/H287,0)*0.00502),"")</f>
        <v>1.506E-2</v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5.34</v>
      </c>
      <c r="BN287" s="64">
        <f>IFERROR(Y287*I287/H287,"0")</f>
        <v>5.34</v>
      </c>
      <c r="BO287" s="64">
        <f>IFERROR(1/J287*(X287/H287),"0")</f>
        <v>1.2820512820512822E-2</v>
      </c>
      <c r="BP287" s="64">
        <f>IFERROR(1/J287*(Y287/H287),"0")</f>
        <v>1.2820512820512822E-2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3</v>
      </c>
      <c r="Y289" s="557">
        <f>IFERROR(Y287/H287,"0")+IFERROR(Y288/H288,"0")</f>
        <v>3</v>
      </c>
      <c r="Z289" s="557">
        <f>IFERROR(IF(Z287="",0,Z287),"0")+IFERROR(IF(Z288="",0,Z288),"0")</f>
        <v>1.506E-2</v>
      </c>
      <c r="AA289" s="558"/>
      <c r="AB289" s="558"/>
      <c r="AC289" s="558"/>
    </row>
    <row r="290" spans="1:68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5.04</v>
      </c>
      <c r="Y290" s="557">
        <f>IFERROR(SUM(Y287:Y288),"0")</f>
        <v>5.04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270</v>
      </c>
      <c r="Y298" s="556">
        <f t="shared" ref="Y298:Y303" si="31">IFERROR(IF(X298="",0,CEILING((X298/$H298),1)*$H298),"")</f>
        <v>270</v>
      </c>
      <c r="Z298" s="36">
        <f>IFERROR(IF(Y298=0,"",ROUNDUP(Y298/H298,0)*0.01898),"")</f>
        <v>0.47450000000000003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280.25</v>
      </c>
      <c r="BN298" s="64">
        <f t="shared" ref="BN298:BN303" si="33">IFERROR(Y298*I298/H298,"0")</f>
        <v>280.25</v>
      </c>
      <c r="BO298" s="64">
        <f t="shared" ref="BO298:BO303" si="34">IFERROR(1/J298*(X298/H298),"0")</f>
        <v>0.390625</v>
      </c>
      <c r="BP298" s="64">
        <f t="shared" ref="BP298:BP303" si="35">IFERROR(1/J298*(Y298/H298),"0")</f>
        <v>0.390625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108</v>
      </c>
      <c r="Y299" s="556">
        <f t="shared" si="31"/>
        <v>108</v>
      </c>
      <c r="Z299" s="36">
        <f>IFERROR(IF(Y299=0,"",ROUNDUP(Y299/H299,0)*0.01898),"")</f>
        <v>0.1898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112.1</v>
      </c>
      <c r="BN299" s="64">
        <f t="shared" si="33"/>
        <v>112.1</v>
      </c>
      <c r="BO299" s="64">
        <f t="shared" si="34"/>
        <v>0.15625</v>
      </c>
      <c r="BP299" s="64">
        <f t="shared" si="35"/>
        <v>0.15625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54</v>
      </c>
      <c r="Y300" s="556">
        <f t="shared" si="31"/>
        <v>54</v>
      </c>
      <c r="Z300" s="36">
        <f>IFERROR(IF(Y300=0,"",ROUNDUP(Y300/H300,0)*0.01898),"")</f>
        <v>9.4899999999999998E-2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56.05</v>
      </c>
      <c r="BN300" s="64">
        <f t="shared" si="33"/>
        <v>56.05</v>
      </c>
      <c r="BO300" s="64">
        <f t="shared" si="34"/>
        <v>7.8125E-2</v>
      </c>
      <c r="BP300" s="64">
        <f t="shared" si="35"/>
        <v>7.8125E-2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8</v>
      </c>
      <c r="Y302" s="556">
        <f t="shared" si="31"/>
        <v>8</v>
      </c>
      <c r="Z302" s="36">
        <f>IFERROR(IF(Y302=0,"",ROUNDUP(Y302/H302,0)*0.00902),"")</f>
        <v>1.804E-2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8.3800000000000008</v>
      </c>
      <c r="BN302" s="64">
        <f t="shared" si="33"/>
        <v>8.3800000000000008</v>
      </c>
      <c r="BO302" s="64">
        <f t="shared" si="34"/>
        <v>1.5151515151515152E-2</v>
      </c>
      <c r="BP302" s="64">
        <f t="shared" si="35"/>
        <v>1.5151515151515152E-2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8</v>
      </c>
      <c r="Y303" s="556">
        <f t="shared" si="31"/>
        <v>8</v>
      </c>
      <c r="Z303" s="36">
        <f>IFERROR(IF(Y303=0,"",ROUNDUP(Y303/H303,0)*0.00902),"")</f>
        <v>1.804E-2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8.3800000000000008</v>
      </c>
      <c r="BN303" s="64">
        <f t="shared" si="33"/>
        <v>8.3800000000000008</v>
      </c>
      <c r="BO303" s="64">
        <f t="shared" si="34"/>
        <v>1.5151515151515152E-2</v>
      </c>
      <c r="BP303" s="64">
        <f t="shared" si="35"/>
        <v>1.5151515151515152E-2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44</v>
      </c>
      <c r="Y304" s="557">
        <f>IFERROR(Y298/H298,"0")+IFERROR(Y299/H299,"0")+IFERROR(Y300/H300,"0")+IFERROR(Y301/H301,"0")+IFERROR(Y302/H302,"0")+IFERROR(Y303/H303,"0")</f>
        <v>44</v>
      </c>
      <c r="Z304" s="557">
        <f>IFERROR(IF(Z298="",0,Z298),"0")+IFERROR(IF(Z299="",0,Z299),"0")+IFERROR(IF(Z300="",0,Z300),"0")+IFERROR(IF(Z301="",0,Z301),"0")+IFERROR(IF(Z302="",0,Z302),"0")+IFERROR(IF(Z303="",0,Z303),"0")</f>
        <v>0.79527999999999999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448</v>
      </c>
      <c r="Y305" s="557">
        <f>IFERROR(SUM(Y298:Y303),"0")</f>
        <v>448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42</v>
      </c>
      <c r="Y307" s="556">
        <f t="shared" ref="Y307:Y312" si="36">IFERROR(IF(X307="",0,CEILING((X307/$H307),1)*$H307),"")</f>
        <v>42</v>
      </c>
      <c r="Z307" s="36">
        <f>IFERROR(IF(Y307=0,"",ROUNDUP(Y307/H307,0)*0.00902),"")</f>
        <v>9.0200000000000002E-2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44.5</v>
      </c>
      <c r="BN307" s="64">
        <f t="shared" ref="BN307:BN312" si="38">IFERROR(Y307*I307/H307,"0")</f>
        <v>44.5</v>
      </c>
      <c r="BO307" s="64">
        <f t="shared" ref="BO307:BO312" si="39">IFERROR(1/J307*(X307/H307),"0")</f>
        <v>7.575757575757576E-2</v>
      </c>
      <c r="BP307" s="64">
        <f t="shared" ref="BP307:BP312" si="40">IFERROR(1/J307*(Y307/H307),"0")</f>
        <v>7.575757575757576E-2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42</v>
      </c>
      <c r="Y308" s="556">
        <f t="shared" si="36"/>
        <v>42</v>
      </c>
      <c r="Z308" s="36">
        <f>IFERROR(IF(Y308=0,"",ROUNDUP(Y308/H308,0)*0.00902),"")</f>
        <v>9.0200000000000002E-2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44.5</v>
      </c>
      <c r="BN308" s="64">
        <f t="shared" si="38"/>
        <v>44.5</v>
      </c>
      <c r="BO308" s="64">
        <f t="shared" si="39"/>
        <v>7.575757575757576E-2</v>
      </c>
      <c r="BP308" s="64">
        <f t="shared" si="40"/>
        <v>7.575757575757576E-2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17.52</v>
      </c>
      <c r="Y309" s="556">
        <f t="shared" si="36"/>
        <v>17.52</v>
      </c>
      <c r="Z309" s="36">
        <f>IFERROR(IF(Y309=0,"",ROUNDUP(Y309/H309,0)*0.00902),"")</f>
        <v>3.6080000000000001E-2</v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18.52</v>
      </c>
      <c r="BN309" s="64">
        <f t="shared" si="38"/>
        <v>18.52</v>
      </c>
      <c r="BO309" s="64">
        <f t="shared" si="39"/>
        <v>3.0303030303030304E-2</v>
      </c>
      <c r="BP309" s="64">
        <f t="shared" si="40"/>
        <v>3.0303030303030304E-2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6.3</v>
      </c>
      <c r="Y310" s="556">
        <f t="shared" si="36"/>
        <v>6.3000000000000007</v>
      </c>
      <c r="Z310" s="36">
        <f>IFERROR(IF(Y310=0,"",ROUNDUP(Y310/H310,0)*0.00502),"")</f>
        <v>1.506E-2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6.6899999999999995</v>
      </c>
      <c r="BN310" s="64">
        <f t="shared" si="38"/>
        <v>6.69</v>
      </c>
      <c r="BO310" s="64">
        <f t="shared" si="39"/>
        <v>1.2820512820512822E-2</v>
      </c>
      <c r="BP310" s="64">
        <f t="shared" si="40"/>
        <v>1.2820512820512822E-2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6.3</v>
      </c>
      <c r="Y311" s="556">
        <f t="shared" si="36"/>
        <v>6.3000000000000007</v>
      </c>
      <c r="Z311" s="36">
        <f>IFERROR(IF(Y311=0,"",ROUNDUP(Y311/H311,0)*0.00502),"")</f>
        <v>1.506E-2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6.6000000000000005</v>
      </c>
      <c r="BN311" s="64">
        <f t="shared" si="38"/>
        <v>6.6000000000000014</v>
      </c>
      <c r="BO311" s="64">
        <f t="shared" si="39"/>
        <v>1.2820512820512822E-2</v>
      </c>
      <c r="BP311" s="64">
        <f t="shared" si="40"/>
        <v>1.2820512820512822E-2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30</v>
      </c>
      <c r="Y313" s="557">
        <f>IFERROR(Y307/H307,"0")+IFERROR(Y308/H308,"0")+IFERROR(Y309/H309,"0")+IFERROR(Y310/H310,"0")+IFERROR(Y311/H311,"0")+IFERROR(Y312/H312,"0")</f>
        <v>30</v>
      </c>
      <c r="Z313" s="557">
        <f>IFERROR(IF(Z307="",0,Z307),"0")+IFERROR(IF(Z308="",0,Z308),"0")+IFERROR(IF(Z309="",0,Z309),"0")+IFERROR(IF(Z310="",0,Z310),"0")+IFERROR(IF(Z311="",0,Z311),"0")+IFERROR(IF(Z312="",0,Z312),"0")</f>
        <v>0.24659999999999999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114.11999999999999</v>
      </c>
      <c r="Y314" s="557">
        <f>IFERROR(SUM(Y307:Y312),"0")</f>
        <v>114.11999999999999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998.4</v>
      </c>
      <c r="Y316" s="556">
        <f>IFERROR(IF(X316="",0,CEILING((X316/$H316),1)*$H316),"")</f>
        <v>998.4</v>
      </c>
      <c r="Z316" s="36">
        <f>IFERROR(IF(Y316=0,"",ROUNDUP(Y316/H316,0)*0.01898),"")</f>
        <v>2.42944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1060.864</v>
      </c>
      <c r="BN316" s="64">
        <f>IFERROR(Y316*I316/H316,"0")</f>
        <v>1060.864</v>
      </c>
      <c r="BO316" s="64">
        <f>IFERROR(1/J316*(X316/H316),"0")</f>
        <v>2</v>
      </c>
      <c r="BP316" s="64">
        <f>IFERROR(1/J316*(Y316/H316),"0")</f>
        <v>2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23.4</v>
      </c>
      <c r="Y317" s="556">
        <f>IFERROR(IF(X317="",0,CEILING((X317/$H317),1)*$H317),"")</f>
        <v>23.4</v>
      </c>
      <c r="Z317" s="36">
        <f>IFERROR(IF(Y317=0,"",ROUNDUP(Y317/H317,0)*0.01898),"")</f>
        <v>5.6940000000000004E-2</v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24.882000000000001</v>
      </c>
      <c r="BN317" s="64">
        <f>IFERROR(Y317*I317/H317,"0")</f>
        <v>24.882000000000001</v>
      </c>
      <c r="BO317" s="64">
        <f>IFERROR(1/J317*(X317/H317),"0")</f>
        <v>4.6875E-2</v>
      </c>
      <c r="BP317" s="64">
        <f>IFERROR(1/J317*(Y317/H317),"0")</f>
        <v>4.6875E-2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24.3</v>
      </c>
      <c r="Y318" s="556">
        <f>IFERROR(IF(X318="",0,CEILING((X318/$H318),1)*$H318),"")</f>
        <v>24.299999999999997</v>
      </c>
      <c r="Z318" s="36">
        <f>IFERROR(IF(Y318=0,"",ROUNDUP(Y318/H318,0)*0.01898),"")</f>
        <v>5.6940000000000004E-2</v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25.728000000000002</v>
      </c>
      <c r="BN318" s="64">
        <f>IFERROR(Y318*I318/H318,"0")</f>
        <v>25.727999999999998</v>
      </c>
      <c r="BO318" s="64">
        <f>IFERROR(1/J318*(X318/H318),"0")</f>
        <v>4.6875E-2</v>
      </c>
      <c r="BP318" s="64">
        <f>IFERROR(1/J318*(Y318/H318),"0")</f>
        <v>4.6875E-2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6</v>
      </c>
      <c r="Y319" s="556">
        <f>IFERROR(IF(X319="",0,CEILING((X319/$H319),1)*$H319),"")</f>
        <v>6</v>
      </c>
      <c r="Z319" s="36">
        <f>IFERROR(IF(Y319=0,"",ROUNDUP(Y319/H319,0)*0.00651),"")</f>
        <v>1.302E-2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6.492</v>
      </c>
      <c r="BN319" s="64">
        <f>IFERROR(Y319*I319/H319,"0")</f>
        <v>6.492</v>
      </c>
      <c r="BO319" s="64">
        <f>IFERROR(1/J319*(X319/H319),"0")</f>
        <v>1.098901098901099E-2</v>
      </c>
      <c r="BP319" s="64">
        <f>IFERROR(1/J319*(Y319/H319),"0")</f>
        <v>1.098901098901099E-2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136</v>
      </c>
      <c r="Y320" s="557">
        <f>IFERROR(Y316/H316,"0")+IFERROR(Y317/H317,"0")+IFERROR(Y318/H318,"0")+IFERROR(Y319/H319,"0")</f>
        <v>136</v>
      </c>
      <c r="Z320" s="557">
        <f>IFERROR(IF(Z316="",0,Z316),"0")+IFERROR(IF(Z317="",0,Z317),"0")+IFERROR(IF(Z318="",0,Z318),"0")+IFERROR(IF(Z319="",0,Z319),"0")</f>
        <v>2.5563400000000001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1052.0999999999999</v>
      </c>
      <c r="Y321" s="557">
        <f>IFERROR(SUM(Y316:Y319),"0")</f>
        <v>1052.0999999999999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16.8</v>
      </c>
      <c r="Y323" s="556">
        <f>IFERROR(IF(X323="",0,CEILING((X323/$H323),1)*$H323),"")</f>
        <v>16.8</v>
      </c>
      <c r="Z323" s="36">
        <f>IFERROR(IF(Y323=0,"",ROUNDUP(Y323/H323,0)*0.01898),"")</f>
        <v>3.7960000000000001E-2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17.788</v>
      </c>
      <c r="BN323" s="64">
        <f>IFERROR(Y323*I323/H323,"0")</f>
        <v>17.788</v>
      </c>
      <c r="BO323" s="64">
        <f>IFERROR(1/J323*(X323/H323),"0")</f>
        <v>3.125E-2</v>
      </c>
      <c r="BP323" s="64">
        <f>IFERROR(1/J323*(Y323/H323),"0")</f>
        <v>3.125E-2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23.4</v>
      </c>
      <c r="Y324" s="556">
        <f>IFERROR(IF(X324="",0,CEILING((X324/$H324),1)*$H324),"")</f>
        <v>23.4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24.882000000000001</v>
      </c>
      <c r="BN324" s="64">
        <f>IFERROR(Y324*I324/H324,"0")</f>
        <v>24.882000000000001</v>
      </c>
      <c r="BO324" s="64">
        <f>IFERROR(1/J324*(X324/H324),"0")</f>
        <v>4.6875E-2</v>
      </c>
      <c r="BP324" s="64">
        <f>IFERROR(1/J324*(Y324/H324),"0")</f>
        <v>4.6875E-2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42</v>
      </c>
      <c r="Y325" s="556">
        <f>IFERROR(IF(X325="",0,CEILING((X325/$H325),1)*$H325),"")</f>
        <v>42</v>
      </c>
      <c r="Z325" s="36">
        <f>IFERROR(IF(Y325=0,"",ROUNDUP(Y325/H325,0)*0.01898),"")</f>
        <v>9.4899999999999998E-2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44.47</v>
      </c>
      <c r="BN325" s="64">
        <f>IFERROR(Y325*I325/H325,"0")</f>
        <v>44.47</v>
      </c>
      <c r="BO325" s="64">
        <f>IFERROR(1/J325*(X325/H325),"0")</f>
        <v>7.8125E-2</v>
      </c>
      <c r="BP325" s="64">
        <f>IFERROR(1/J325*(Y325/H325),"0")</f>
        <v>7.8125E-2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10</v>
      </c>
      <c r="Y326" s="557">
        <f>IFERROR(Y323/H323,"0")+IFERROR(Y324/H324,"0")+IFERROR(Y325/H325,"0")</f>
        <v>10</v>
      </c>
      <c r="Z326" s="557">
        <f>IFERROR(IF(Z323="",0,Z323),"0")+IFERROR(IF(Z324="",0,Z324),"0")+IFERROR(IF(Z325="",0,Z325),"0")</f>
        <v>0.18980000000000002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82.2</v>
      </c>
      <c r="Y327" s="557">
        <f>IFERROR(SUM(Y323:Y325),"0")</f>
        <v>82.2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3.04</v>
      </c>
      <c r="Y329" s="556">
        <f>IFERROR(IF(X329="",0,CEILING((X329/$H329),1)*$H329),"")</f>
        <v>3.04</v>
      </c>
      <c r="Z329" s="36">
        <f>IFERROR(IF(Y329=0,"",ROUNDUP(Y329/H329,0)*0.00902),"")</f>
        <v>9.0200000000000002E-3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3.31</v>
      </c>
      <c r="BN329" s="64">
        <f>IFERROR(Y329*I329/H329,"0")</f>
        <v>3.31</v>
      </c>
      <c r="BO329" s="64">
        <f>IFERROR(1/J329*(X329/H329),"0")</f>
        <v>7.575757575757576E-3</v>
      </c>
      <c r="BP329" s="64">
        <f>IFERROR(1/J329*(Y329/H329),"0")</f>
        <v>7.575757575757576E-3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3.04</v>
      </c>
      <c r="Y330" s="556">
        <f>IFERROR(IF(X330="",0,CEILING((X330/$H330),1)*$H330),"")</f>
        <v>3.04</v>
      </c>
      <c r="Z330" s="36">
        <f>IFERROR(IF(Y330=0,"",ROUNDUP(Y330/H330,0)*0.00902),"")</f>
        <v>9.0200000000000002E-3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3.2699999999999996</v>
      </c>
      <c r="BN330" s="64">
        <f>IFERROR(Y330*I330/H330,"0")</f>
        <v>3.2699999999999996</v>
      </c>
      <c r="BO330" s="64">
        <f>IFERROR(1/J330*(X330/H330),"0")</f>
        <v>7.575757575757576E-3</v>
      </c>
      <c r="BP330" s="64">
        <f>IFERROR(1/J330*(Y330/H330),"0")</f>
        <v>7.575757575757576E-3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2.5499999999999998</v>
      </c>
      <c r="Y331" s="556">
        <f>IFERROR(IF(X331="",0,CEILING((X331/$H331),1)*$H331),"")</f>
        <v>2.5499999999999998</v>
      </c>
      <c r="Z331" s="36">
        <f>IFERROR(IF(Y331=0,"",ROUNDUP(Y331/H331,0)*0.00651),"")</f>
        <v>6.5100000000000002E-3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2.9550000000000001</v>
      </c>
      <c r="BN331" s="64">
        <f>IFERROR(Y331*I331/H331,"0")</f>
        <v>2.9550000000000001</v>
      </c>
      <c r="BO331" s="64">
        <f>IFERROR(1/J331*(X331/H331),"0")</f>
        <v>5.4945054945054949E-3</v>
      </c>
      <c r="BP331" s="64">
        <f>IFERROR(1/J331*(Y331/H331),"0")</f>
        <v>5.4945054945054949E-3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2.5499999999999998</v>
      </c>
      <c r="Y332" s="556">
        <f>IFERROR(IF(X332="",0,CEILING((X332/$H332),1)*$H332),"")</f>
        <v>2.5499999999999998</v>
      </c>
      <c r="Z332" s="36">
        <f>IFERROR(IF(Y332=0,"",ROUNDUP(Y332/H332,0)*0.00651),"")</f>
        <v>6.5100000000000002E-3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2.88</v>
      </c>
      <c r="BN332" s="64">
        <f>IFERROR(Y332*I332/H332,"0")</f>
        <v>2.88</v>
      </c>
      <c r="BO332" s="64">
        <f>IFERROR(1/J332*(X332/H332),"0")</f>
        <v>5.4945054945054949E-3</v>
      </c>
      <c r="BP332" s="64">
        <f>IFERROR(1/J332*(Y332/H332),"0")</f>
        <v>5.4945054945054949E-3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4</v>
      </c>
      <c r="Y333" s="557">
        <f>IFERROR(Y329/H329,"0")+IFERROR(Y330/H330,"0")+IFERROR(Y331/H331,"0")+IFERROR(Y332/H332,"0")</f>
        <v>4</v>
      </c>
      <c r="Z333" s="557">
        <f>IFERROR(IF(Z329="",0,Z329),"0")+IFERROR(IF(Z330="",0,Z330),"0")+IFERROR(IF(Z331="",0,Z331),"0")+IFERROR(IF(Z332="",0,Z332),"0")</f>
        <v>3.1060000000000004E-2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11.18</v>
      </c>
      <c r="Y334" s="557">
        <f>IFERROR(SUM(Y329:Y332),"0")</f>
        <v>11.18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2</v>
      </c>
      <c r="Y336" s="556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2</v>
      </c>
      <c r="Y337" s="556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2</v>
      </c>
      <c r="Y338" s="556">
        <f>IFERROR(IF(X338="",0,CEILING((X338/$H338),1)*$H338),"")</f>
        <v>2</v>
      </c>
      <c r="Z338" s="36">
        <f>IFERROR(IF(Y338=0,"",ROUNDUP(Y338/H338,0)*0.00474),"")</f>
        <v>4.7400000000000003E-3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2.2400000000000002</v>
      </c>
      <c r="BN338" s="64">
        <f>IFERROR(Y338*I338/H338,"0")</f>
        <v>2.2400000000000002</v>
      </c>
      <c r="BO338" s="64">
        <f>IFERROR(1/J338*(X338/H338),"0")</f>
        <v>4.2016806722689074E-3</v>
      </c>
      <c r="BP338" s="64">
        <f>IFERROR(1/J338*(Y338/H338),"0")</f>
        <v>4.2016806722689074E-3</v>
      </c>
    </row>
    <row r="339" spans="1:68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3</v>
      </c>
      <c r="Y339" s="557">
        <f>IFERROR(Y336/H336,"0")+IFERROR(Y337/H337,"0")+IFERROR(Y338/H338,"0")</f>
        <v>3</v>
      </c>
      <c r="Z339" s="557">
        <f>IFERROR(IF(Z336="",0,Z336),"0")+IFERROR(IF(Z337="",0,Z337),"0")+IFERROR(IF(Z338="",0,Z338),"0")</f>
        <v>1.422E-2</v>
      </c>
      <c r="AA339" s="558"/>
      <c r="AB339" s="558"/>
      <c r="AC339" s="558"/>
    </row>
    <row r="340" spans="1:68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6</v>
      </c>
      <c r="Y340" s="557">
        <f>IFERROR(SUM(Y336:Y338),"0")</f>
        <v>6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24.3</v>
      </c>
      <c r="Y343" s="556">
        <f>IFERROR(IF(X343="",0,CEILING((X343/$H343),1)*$H343),"")</f>
        <v>24.299999999999997</v>
      </c>
      <c r="Z343" s="36">
        <f>IFERROR(IF(Y343=0,"",ROUNDUP(Y343/H343,0)*0.01898),"")</f>
        <v>5.6940000000000004E-2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25.782</v>
      </c>
      <c r="BN343" s="64">
        <f>IFERROR(Y343*I343/H343,"0")</f>
        <v>25.781999999999996</v>
      </c>
      <c r="BO343" s="64">
        <f>IFERROR(1/J343*(X343/H343),"0")</f>
        <v>4.6875E-2</v>
      </c>
      <c r="BP343" s="64">
        <f>IFERROR(1/J343*(Y343/H343),"0")</f>
        <v>4.6875E-2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6.3</v>
      </c>
      <c r="Y344" s="556">
        <f>IFERROR(IF(X344="",0,CEILING((X344/$H344),1)*$H344),"")</f>
        <v>6.3000000000000007</v>
      </c>
      <c r="Z344" s="36">
        <f>IFERROR(IF(Y344=0,"",ROUNDUP(Y344/H344,0)*0.00651),"")</f>
        <v>1.9529999999999999E-2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7.0559999999999992</v>
      </c>
      <c r="BN344" s="64">
        <f>IFERROR(Y344*I344/H344,"0")</f>
        <v>7.056</v>
      </c>
      <c r="BO344" s="64">
        <f>IFERROR(1/J344*(X344/H344),"0")</f>
        <v>1.6483516483516484E-2</v>
      </c>
      <c r="BP344" s="64">
        <f>IFERROR(1/J344*(Y344/H344),"0")</f>
        <v>1.6483516483516484E-2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6.3</v>
      </c>
      <c r="Y345" s="556">
        <f>IFERROR(IF(X345="",0,CEILING((X345/$H345),1)*$H345),"")</f>
        <v>6.3000000000000007</v>
      </c>
      <c r="Z345" s="36">
        <f>IFERROR(IF(Y345=0,"",ROUNDUP(Y345/H345,0)*0.00651),"")</f>
        <v>1.9529999999999999E-2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7.02</v>
      </c>
      <c r="BN345" s="64">
        <f>IFERROR(Y345*I345/H345,"0")</f>
        <v>7.0200000000000005</v>
      </c>
      <c r="BO345" s="64">
        <f>IFERROR(1/J345*(X345/H345),"0")</f>
        <v>1.6483516483516484E-2</v>
      </c>
      <c r="BP345" s="64">
        <f>IFERROR(1/J345*(Y345/H345),"0")</f>
        <v>1.6483516483516484E-2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9</v>
      </c>
      <c r="Y346" s="557">
        <f>IFERROR(Y343/H343,"0")+IFERROR(Y344/H344,"0")+IFERROR(Y345/H345,"0")</f>
        <v>9</v>
      </c>
      <c r="Z346" s="557">
        <f>IFERROR(IF(Z343="",0,Z343),"0")+IFERROR(IF(Z344="",0,Z344),"0")+IFERROR(IF(Z345="",0,Z345),"0")</f>
        <v>9.6000000000000002E-2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36.9</v>
      </c>
      <c r="Y347" s="557">
        <f>IFERROR(SUM(Y343:Y345),"0")</f>
        <v>36.9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150</v>
      </c>
      <c r="Y351" s="556">
        <f t="shared" ref="Y351:Y357" si="41">IFERROR(IF(X351="",0,CEILING((X351/$H351),1)*$H351),"")</f>
        <v>150</v>
      </c>
      <c r="Z351" s="36">
        <f>IFERROR(IF(Y351=0,"",ROUNDUP(Y351/H351,0)*0.02175),"")</f>
        <v>0.21749999999999997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154.69999999999999</v>
      </c>
      <c r="BN351" s="64">
        <f t="shared" ref="BN351:BN357" si="43">IFERROR(Y351*I351/H351,"0")</f>
        <v>154.69999999999999</v>
      </c>
      <c r="BO351" s="64">
        <f t="shared" ref="BO351:BO357" si="44">IFERROR(1/J351*(X351/H351),"0")</f>
        <v>0.20833333333333331</v>
      </c>
      <c r="BP351" s="64">
        <f t="shared" ref="BP351:BP357" si="45">IFERROR(1/J351*(Y351/H351),"0")</f>
        <v>0.20833333333333331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720</v>
      </c>
      <c r="Y354" s="556">
        <f t="shared" si="41"/>
        <v>720</v>
      </c>
      <c r="Z354" s="36">
        <f>IFERROR(IF(Y354=0,"",ROUNDUP(Y354/H354,0)*0.02175),"")</f>
        <v>1.044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742.56</v>
      </c>
      <c r="BN354" s="64">
        <f t="shared" si="43"/>
        <v>742.56</v>
      </c>
      <c r="BO354" s="64">
        <f t="shared" si="44"/>
        <v>1</v>
      </c>
      <c r="BP354" s="64">
        <f t="shared" si="45"/>
        <v>1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8</v>
      </c>
      <c r="Y355" s="556">
        <f t="shared" si="41"/>
        <v>8</v>
      </c>
      <c r="Z355" s="36">
        <f>IFERROR(IF(Y355=0,"",ROUNDUP(Y355/H355,0)*0.00902),"")</f>
        <v>1.804E-2</v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8.3800000000000008</v>
      </c>
      <c r="BN355" s="64">
        <f t="shared" si="43"/>
        <v>8.3800000000000008</v>
      </c>
      <c r="BO355" s="64">
        <f t="shared" si="44"/>
        <v>1.5151515151515152E-2</v>
      </c>
      <c r="BP355" s="64">
        <f t="shared" si="45"/>
        <v>1.5151515151515152E-2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10</v>
      </c>
      <c r="Y356" s="556">
        <f t="shared" si="41"/>
        <v>10</v>
      </c>
      <c r="Z356" s="36">
        <f>IFERROR(IF(Y356=0,"",ROUNDUP(Y356/H356,0)*0.00902),"")</f>
        <v>1.804E-2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10.38</v>
      </c>
      <c r="BN356" s="64">
        <f t="shared" si="43"/>
        <v>10.38</v>
      </c>
      <c r="BO356" s="64">
        <f t="shared" si="44"/>
        <v>1.5151515151515152E-2</v>
      </c>
      <c r="BP356" s="64">
        <f t="shared" si="45"/>
        <v>1.5151515151515152E-2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10</v>
      </c>
      <c r="Y357" s="556">
        <f t="shared" si="41"/>
        <v>10</v>
      </c>
      <c r="Z357" s="36">
        <f>IFERROR(IF(Y357=0,"",ROUNDUP(Y357/H357,0)*0.00902),"")</f>
        <v>1.804E-2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10.38</v>
      </c>
      <c r="BN357" s="64">
        <f t="shared" si="43"/>
        <v>10.38</v>
      </c>
      <c r="BO357" s="64">
        <f t="shared" si="44"/>
        <v>1.5151515151515152E-2</v>
      </c>
      <c r="BP357" s="64">
        <f t="shared" si="45"/>
        <v>1.5151515151515152E-2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64</v>
      </c>
      <c r="Y358" s="557">
        <f>IFERROR(Y351/H351,"0")+IFERROR(Y352/H352,"0")+IFERROR(Y353/H353,"0")+IFERROR(Y354/H354,"0")+IFERROR(Y355/H355,"0")+IFERROR(Y356/H356,"0")+IFERROR(Y357/H357,"0")</f>
        <v>64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1.3156200000000002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898</v>
      </c>
      <c r="Y359" s="557">
        <f>IFERROR(SUM(Y351:Y357),"0")</f>
        <v>898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hidden="1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0</v>
      </c>
      <c r="Y361" s="556">
        <f>IFERROR(IF(X361="",0,CEILING((X361/$H361),1)*$H361),"")</f>
        <v>0</v>
      </c>
      <c r="Z361" s="36" t="str">
        <f>IFERROR(IF(Y361=0,"",ROUNDUP(Y361/H361,0)*0.02175),"")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8</v>
      </c>
      <c r="Y362" s="556">
        <f>IFERROR(IF(X362="",0,CEILING((X362/$H362),1)*$H362),"")</f>
        <v>8</v>
      </c>
      <c r="Z362" s="36">
        <f>IFERROR(IF(Y362=0,"",ROUNDUP(Y362/H362,0)*0.00902),"")</f>
        <v>1.804E-2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8.3800000000000008</v>
      </c>
      <c r="BN362" s="64">
        <f>IFERROR(Y362*I362/H362,"0")</f>
        <v>8.3800000000000008</v>
      </c>
      <c r="BO362" s="64">
        <f>IFERROR(1/J362*(X362/H362),"0")</f>
        <v>1.5151515151515152E-2</v>
      </c>
      <c r="BP362" s="64">
        <f>IFERROR(1/J362*(Y362/H362),"0")</f>
        <v>1.5151515151515152E-2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2</v>
      </c>
      <c r="Y363" s="557">
        <f>IFERROR(Y361/H361,"0")+IFERROR(Y362/H362,"0")</f>
        <v>2</v>
      </c>
      <c r="Z363" s="557">
        <f>IFERROR(IF(Z361="",0,Z361),"0")+IFERROR(IF(Z362="",0,Z362),"0")</f>
        <v>1.804E-2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8</v>
      </c>
      <c r="Y364" s="557">
        <f>IFERROR(SUM(Y361:Y362),"0")</f>
        <v>8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18</v>
      </c>
      <c r="Y366" s="556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19</v>
      </c>
      <c r="BN366" s="64">
        <f>IFERROR(Y366*I366/H366,"0")</f>
        <v>19</v>
      </c>
      <c r="BO366" s="64">
        <f>IFERROR(1/J366*(X366/H366),"0")</f>
        <v>3.125E-2</v>
      </c>
      <c r="BP366" s="64">
        <f>IFERROR(1/J366*(Y366/H366),"0")</f>
        <v>3.125E-2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2</v>
      </c>
      <c r="Y368" s="557">
        <f>IFERROR(Y366/H366,"0")+IFERROR(Y367/H367,"0")</f>
        <v>2</v>
      </c>
      <c r="Z368" s="557">
        <f>IFERROR(IF(Z366="",0,Z366),"0")+IFERROR(IF(Z367="",0,Z367),"0")</f>
        <v>3.7960000000000001E-2</v>
      </c>
      <c r="AA368" s="558"/>
      <c r="AB368" s="558"/>
      <c r="AC368" s="558"/>
    </row>
    <row r="369" spans="1:68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18</v>
      </c>
      <c r="Y369" s="557">
        <f>IFERROR(SUM(Y366:Y367),"0")</f>
        <v>18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9</v>
      </c>
      <c r="Y386" s="556">
        <f>IFERROR(IF(X386="",0,CEILING((X386/$H386),1)*$H386),"")</f>
        <v>9</v>
      </c>
      <c r="Z386" s="36">
        <f>IFERROR(IF(Y386=0,"",ROUNDUP(Y386/H386,0)*0.01898),"")</f>
        <v>1.898E-2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9.4939999999999998</v>
      </c>
      <c r="BN386" s="64">
        <f>IFERROR(Y386*I386/H386,"0")</f>
        <v>9.4939999999999998</v>
      </c>
      <c r="BO386" s="64">
        <f>IFERROR(1/J386*(X386/H386),"0")</f>
        <v>1.5625E-2</v>
      </c>
      <c r="BP386" s="64">
        <f>IFERROR(1/J386*(Y386/H386),"0")</f>
        <v>1.5625E-2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2.4</v>
      </c>
      <c r="Y387" s="556">
        <f>IFERROR(IF(X387="",0,CEILING((X387/$H387),1)*$H387),"")</f>
        <v>2.4</v>
      </c>
      <c r="Z387" s="36">
        <f>IFERROR(IF(Y387=0,"",ROUNDUP(Y387/H387,0)*0.00651),"")</f>
        <v>6.5100000000000002E-3</v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2.6640000000000001</v>
      </c>
      <c r="BN387" s="64">
        <f>IFERROR(Y387*I387/H387,"0")</f>
        <v>2.6640000000000001</v>
      </c>
      <c r="BO387" s="64">
        <f>IFERROR(1/J387*(X387/H387),"0")</f>
        <v>5.4945054945054949E-3</v>
      </c>
      <c r="BP387" s="64">
        <f>IFERROR(1/J387*(Y387/H387),"0")</f>
        <v>5.4945054945054949E-3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2</v>
      </c>
      <c r="Y389" s="557">
        <f>IFERROR(Y386/H386,"0")+IFERROR(Y387/H387,"0")+IFERROR(Y388/H388,"0")</f>
        <v>2</v>
      </c>
      <c r="Z389" s="557">
        <f>IFERROR(IF(Z386="",0,Z386),"0")+IFERROR(IF(Z387="",0,Z387),"0")+IFERROR(IF(Z388="",0,Z388),"0")</f>
        <v>2.5489999999999999E-2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11.4</v>
      </c>
      <c r="Y390" s="557">
        <f>IFERROR(SUM(Y386:Y388),"0")</f>
        <v>11.4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16.2</v>
      </c>
      <c r="Y394" s="556">
        <f t="shared" ref="Y394:Y402" si="46">IFERROR(IF(X394="",0,CEILING((X394/$H394),1)*$H394),"")</f>
        <v>16.200000000000003</v>
      </c>
      <c r="Z394" s="36">
        <f>IFERROR(IF(Y394=0,"",ROUNDUP(Y394/H394,0)*0.00902),"")</f>
        <v>2.7060000000000001E-2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16.769999999999996</v>
      </c>
      <c r="BN394" s="64">
        <f t="shared" ref="BN394:BN402" si="48">IFERROR(Y394*I394/H394,"0")</f>
        <v>16.77</v>
      </c>
      <c r="BO394" s="64">
        <f t="shared" ref="BO394:BO402" si="49">IFERROR(1/J394*(X394/H394),"0")</f>
        <v>2.2727272727272724E-2</v>
      </c>
      <c r="BP394" s="64">
        <f t="shared" ref="BP394:BP402" si="50">IFERROR(1/J394*(Y394/H394),"0")</f>
        <v>2.2727272727272731E-2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16.2</v>
      </c>
      <c r="Y395" s="556">
        <f t="shared" si="46"/>
        <v>16.200000000000003</v>
      </c>
      <c r="Z395" s="36">
        <f>IFERROR(IF(Y395=0,"",ROUNDUP(Y395/H395,0)*0.00902),"")</f>
        <v>2.7060000000000001E-2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16.769999999999996</v>
      </c>
      <c r="BN395" s="64">
        <f t="shared" si="48"/>
        <v>16.77</v>
      </c>
      <c r="BO395" s="64">
        <f t="shared" si="49"/>
        <v>2.2727272727272724E-2</v>
      </c>
      <c r="BP395" s="64">
        <f t="shared" si="50"/>
        <v>2.2727272727272731E-2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16.2</v>
      </c>
      <c r="Y396" s="556">
        <f t="shared" si="46"/>
        <v>16.200000000000003</v>
      </c>
      <c r="Z396" s="36">
        <f>IFERROR(IF(Y396=0,"",ROUNDUP(Y396/H396,0)*0.00902),"")</f>
        <v>2.7060000000000001E-2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16.769999999999996</v>
      </c>
      <c r="BN396" s="64">
        <f t="shared" si="48"/>
        <v>16.77</v>
      </c>
      <c r="BO396" s="64">
        <f t="shared" si="49"/>
        <v>2.2727272727272724E-2</v>
      </c>
      <c r="BP396" s="64">
        <f t="shared" si="50"/>
        <v>2.2727272727272731E-2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4.2</v>
      </c>
      <c r="Y398" s="556">
        <f t="shared" si="46"/>
        <v>4.2</v>
      </c>
      <c r="Z398" s="36">
        <f t="shared" si="51"/>
        <v>1.004E-2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4.46</v>
      </c>
      <c r="BN398" s="64">
        <f t="shared" si="48"/>
        <v>4.46</v>
      </c>
      <c r="BO398" s="64">
        <f t="shared" si="49"/>
        <v>8.5470085470085479E-3</v>
      </c>
      <c r="BP398" s="64">
        <f t="shared" si="50"/>
        <v>8.5470085470085479E-3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4.2</v>
      </c>
      <c r="Y399" s="556">
        <f t="shared" si="46"/>
        <v>4.2</v>
      </c>
      <c r="Z399" s="36">
        <f t="shared" si="51"/>
        <v>1.004E-2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4.46</v>
      </c>
      <c r="BN399" s="64">
        <f t="shared" si="48"/>
        <v>4.46</v>
      </c>
      <c r="BO399" s="64">
        <f t="shared" si="49"/>
        <v>8.5470085470085479E-3</v>
      </c>
      <c r="BP399" s="64">
        <f t="shared" si="50"/>
        <v>8.5470085470085479E-3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4.2</v>
      </c>
      <c r="Y401" s="556">
        <f t="shared" si="46"/>
        <v>4.2</v>
      </c>
      <c r="Z401" s="36">
        <f t="shared" si="51"/>
        <v>1.004E-2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4.46</v>
      </c>
      <c r="BN401" s="64">
        <f t="shared" si="48"/>
        <v>4.46</v>
      </c>
      <c r="BO401" s="64">
        <f t="shared" si="49"/>
        <v>8.5470085470085479E-3</v>
      </c>
      <c r="BP401" s="64">
        <f t="shared" si="50"/>
        <v>8.5470085470085479E-3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4.2</v>
      </c>
      <c r="Y402" s="556">
        <f t="shared" si="46"/>
        <v>4.2</v>
      </c>
      <c r="Z402" s="36">
        <f t="shared" si="51"/>
        <v>1.004E-2</v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4.46</v>
      </c>
      <c r="BN402" s="64">
        <f t="shared" si="48"/>
        <v>4.46</v>
      </c>
      <c r="BO402" s="64">
        <f t="shared" si="49"/>
        <v>8.5470085470085479E-3</v>
      </c>
      <c r="BP402" s="64">
        <f t="shared" si="50"/>
        <v>8.5470085470085479E-3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17</v>
      </c>
      <c r="Y403" s="557">
        <f>IFERROR(Y394/H394,"0")+IFERROR(Y395/H395,"0")+IFERROR(Y396/H396,"0")+IFERROR(Y397/H397,"0")+IFERROR(Y398/H398,"0")+IFERROR(Y399/H399,"0")+IFERROR(Y400/H400,"0")+IFERROR(Y401/H401,"0")+IFERROR(Y402/H402,"0")</f>
        <v>17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0.12133999999999998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65.400000000000006</v>
      </c>
      <c r="Y404" s="557">
        <f>IFERROR(SUM(Y394:Y402),"0")</f>
        <v>65.40000000000002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16.2</v>
      </c>
      <c r="Y416" s="556">
        <f>IFERROR(IF(X416="",0,CEILING((X416/$H416),1)*$H416),"")</f>
        <v>16.200000000000003</v>
      </c>
      <c r="Z416" s="36">
        <f>IFERROR(IF(Y416=0,"",ROUNDUP(Y416/H416,0)*0.00902),"")</f>
        <v>2.7060000000000001E-2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16.769999999999996</v>
      </c>
      <c r="BN416" s="64">
        <f>IFERROR(Y416*I416/H416,"0")</f>
        <v>16.77</v>
      </c>
      <c r="BO416" s="64">
        <f>IFERROR(1/J416*(X416/H416),"0")</f>
        <v>2.2727272727272724E-2</v>
      </c>
      <c r="BP416" s="64">
        <f>IFERROR(1/J416*(Y416/H416),"0")</f>
        <v>2.2727272727272731E-2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6.3</v>
      </c>
      <c r="Y417" s="556">
        <f>IFERROR(IF(X417="",0,CEILING((X417/$H417),1)*$H417),"")</f>
        <v>6.3000000000000007</v>
      </c>
      <c r="Z417" s="36">
        <f>IFERROR(IF(Y417=0,"",ROUNDUP(Y417/H417,0)*0.00502),"")</f>
        <v>1.506E-2</v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6.6899999999999995</v>
      </c>
      <c r="BN417" s="64">
        <f>IFERROR(Y417*I417/H417,"0")</f>
        <v>6.69</v>
      </c>
      <c r="BO417" s="64">
        <f>IFERROR(1/J417*(X417/H417),"0")</f>
        <v>1.2820512820512822E-2</v>
      </c>
      <c r="BP417" s="64">
        <f>IFERROR(1/J417*(Y417/H417),"0")</f>
        <v>1.2820512820512822E-2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6.3</v>
      </c>
      <c r="Y419" s="556">
        <f>IFERROR(IF(X419="",0,CEILING((X419/$H419),1)*$H419),"")</f>
        <v>6.3000000000000007</v>
      </c>
      <c r="Z419" s="36">
        <f>IFERROR(IF(Y419=0,"",ROUNDUP(Y419/H419,0)*0.00502),"")</f>
        <v>1.506E-2</v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6.6899999999999995</v>
      </c>
      <c r="BN419" s="64">
        <f>IFERROR(Y419*I419/H419,"0")</f>
        <v>6.69</v>
      </c>
      <c r="BO419" s="64">
        <f>IFERROR(1/J419*(X419/H419),"0")</f>
        <v>1.2820512820512822E-2</v>
      </c>
      <c r="BP419" s="64">
        <f>IFERROR(1/J419*(Y419/H419),"0")</f>
        <v>1.2820512820512822E-2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9</v>
      </c>
      <c r="Y420" s="557">
        <f>IFERROR(Y416/H416,"0")+IFERROR(Y417/H417,"0")+IFERROR(Y418/H418,"0")+IFERROR(Y419/H419,"0")</f>
        <v>9</v>
      </c>
      <c r="Z420" s="557">
        <f>IFERROR(IF(Z416="",0,Z416),"0")+IFERROR(IF(Z417="",0,Z417),"0")+IFERROR(IF(Z418="",0,Z418),"0")+IFERROR(IF(Z419="",0,Z419),"0")</f>
        <v>5.7180000000000009E-2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28.8</v>
      </c>
      <c r="Y421" s="557">
        <f>IFERROR(SUM(Y416:Y419),"0")</f>
        <v>28.800000000000004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10.56</v>
      </c>
      <c r="Y431" s="556">
        <f t="shared" si="52"/>
        <v>10.56</v>
      </c>
      <c r="Z431" s="36">
        <f t="shared" si="53"/>
        <v>2.392E-2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11.26</v>
      </c>
      <c r="BN431" s="64">
        <f t="shared" si="55"/>
        <v>11.26</v>
      </c>
      <c r="BO431" s="64">
        <f t="shared" si="56"/>
        <v>1.9230769230769232E-2</v>
      </c>
      <c r="BP431" s="64">
        <f t="shared" si="57"/>
        <v>1.9230769230769232E-2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10.56</v>
      </c>
      <c r="Y434" s="556">
        <f t="shared" si="52"/>
        <v>10.56</v>
      </c>
      <c r="Z434" s="36">
        <f t="shared" si="53"/>
        <v>2.392E-2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11.26</v>
      </c>
      <c r="BN434" s="64">
        <f t="shared" si="55"/>
        <v>11.26</v>
      </c>
      <c r="BO434" s="64">
        <f t="shared" si="56"/>
        <v>1.9230769230769232E-2</v>
      </c>
      <c r="BP434" s="64">
        <f t="shared" si="57"/>
        <v>1.9230769230769232E-2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10.56</v>
      </c>
      <c r="Y436" s="556">
        <f t="shared" si="52"/>
        <v>10.56</v>
      </c>
      <c r="Z436" s="36">
        <f t="shared" si="53"/>
        <v>2.392E-2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11.26</v>
      </c>
      <c r="BN436" s="64">
        <f t="shared" si="55"/>
        <v>11.26</v>
      </c>
      <c r="BO436" s="64">
        <f t="shared" si="56"/>
        <v>1.9230769230769232E-2</v>
      </c>
      <c r="BP436" s="64">
        <f t="shared" si="57"/>
        <v>1.9230769230769232E-2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6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7.1760000000000004E-2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31.68</v>
      </c>
      <c r="Y443" s="557">
        <f>IFERROR(SUM(Y430:Y441),"0")</f>
        <v>31.68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10.56</v>
      </c>
      <c r="Y445" s="556">
        <f>IFERROR(IF(X445="",0,CEILING((X445/$H445),1)*$H445),"")</f>
        <v>10.56</v>
      </c>
      <c r="Z445" s="36">
        <f>IFERROR(IF(Y445=0,"",ROUNDUP(Y445/H445,0)*0.01196),"")</f>
        <v>2.392E-2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11.26</v>
      </c>
      <c r="BN445" s="64">
        <f>IFERROR(Y445*I445/H445,"0")</f>
        <v>11.26</v>
      </c>
      <c r="BO445" s="64">
        <f>IFERROR(1/J445*(X445/H445),"0")</f>
        <v>1.9230769230769232E-2</v>
      </c>
      <c r="BP445" s="64">
        <f>IFERROR(1/J445*(Y445/H445),"0")</f>
        <v>1.9230769230769232E-2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2</v>
      </c>
      <c r="Y448" s="557">
        <f>IFERROR(Y445/H445,"0")+IFERROR(Y446/H446,"0")+IFERROR(Y447/H447,"0")</f>
        <v>2</v>
      </c>
      <c r="Z448" s="557">
        <f>IFERROR(IF(Z445="",0,Z445),"0")+IFERROR(IF(Z446="",0,Z446),"0")+IFERROR(IF(Z447="",0,Z447),"0")</f>
        <v>2.392E-2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10.56</v>
      </c>
      <c r="Y449" s="557">
        <f>IFERROR(SUM(Y445:Y447),"0")</f>
        <v>10.56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10.56</v>
      </c>
      <c r="Y451" s="556">
        <f t="shared" ref="Y451:Y456" si="58">IFERROR(IF(X451="",0,CEILING((X451/$H451),1)*$H451),"")</f>
        <v>10.56</v>
      </c>
      <c r="Z451" s="36">
        <f>IFERROR(IF(Y451=0,"",ROUNDUP(Y451/H451,0)*0.01196),"")</f>
        <v>2.392E-2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11.26</v>
      </c>
      <c r="BN451" s="64">
        <f t="shared" ref="BN451:BN456" si="60">IFERROR(Y451*I451/H451,"0")</f>
        <v>11.26</v>
      </c>
      <c r="BO451" s="64">
        <f t="shared" ref="BO451:BO456" si="61">IFERROR(1/J451*(X451/H451),"0")</f>
        <v>1.9230769230769232E-2</v>
      </c>
      <c r="BP451" s="64">
        <f t="shared" ref="BP451:BP456" si="62">IFERROR(1/J451*(Y451/H451),"0")</f>
        <v>1.9230769230769232E-2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10.56</v>
      </c>
      <c r="Y452" s="556">
        <f t="shared" si="58"/>
        <v>10.56</v>
      </c>
      <c r="Z452" s="36">
        <f>IFERROR(IF(Y452=0,"",ROUNDUP(Y452/H452,0)*0.01196),"")</f>
        <v>2.392E-2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11.26</v>
      </c>
      <c r="BN452" s="64">
        <f t="shared" si="60"/>
        <v>11.26</v>
      </c>
      <c r="BO452" s="64">
        <f t="shared" si="61"/>
        <v>1.9230769230769232E-2</v>
      </c>
      <c r="BP452" s="64">
        <f t="shared" si="62"/>
        <v>1.9230769230769232E-2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10.56</v>
      </c>
      <c r="Y453" s="556">
        <f t="shared" si="58"/>
        <v>10.56</v>
      </c>
      <c r="Z453" s="36">
        <f>IFERROR(IF(Y453=0,"",ROUNDUP(Y453/H453,0)*0.01196),"")</f>
        <v>2.392E-2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11.26</v>
      </c>
      <c r="BN453" s="64">
        <f t="shared" si="60"/>
        <v>11.26</v>
      </c>
      <c r="BO453" s="64">
        <f t="shared" si="61"/>
        <v>1.9230769230769232E-2</v>
      </c>
      <c r="BP453" s="64">
        <f t="shared" si="62"/>
        <v>1.9230769230769232E-2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6</v>
      </c>
      <c r="Y457" s="557">
        <f>IFERROR(Y451/H451,"0")+IFERROR(Y452/H452,"0")+IFERROR(Y453/H453,"0")+IFERROR(Y454/H454,"0")+IFERROR(Y455/H455,"0")+IFERROR(Y456/H456,"0")</f>
        <v>6</v>
      </c>
      <c r="Z457" s="557">
        <f>IFERROR(IF(Z451="",0,Z451),"0")+IFERROR(IF(Z452="",0,Z452),"0")+IFERROR(IF(Z453="",0,Z453),"0")+IFERROR(IF(Z454="",0,Z454),"0")+IFERROR(IF(Z455="",0,Z455),"0")+IFERROR(IF(Z456="",0,Z456),"0")</f>
        <v>7.1760000000000004E-2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31.68</v>
      </c>
      <c r="Y458" s="557">
        <f>IFERROR(SUM(Y451:Y456),"0")</f>
        <v>31.68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12.6</v>
      </c>
      <c r="Y478" s="556">
        <f>IFERROR(IF(X478="",0,CEILING((X478/$H478),1)*$H478),"")</f>
        <v>12.600000000000001</v>
      </c>
      <c r="Z478" s="36">
        <f>IFERROR(IF(Y478=0,"",ROUNDUP(Y478/H478,0)*0.00902),"")</f>
        <v>2.7060000000000001E-2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13.35</v>
      </c>
      <c r="BN478" s="64">
        <f>IFERROR(Y478*I478/H478,"0")</f>
        <v>13.350000000000001</v>
      </c>
      <c r="BO478" s="64">
        <f>IFERROR(1/J478*(X478/H478),"0")</f>
        <v>2.2727272727272728E-2</v>
      </c>
      <c r="BP478" s="64">
        <f>IFERROR(1/J478*(Y478/H478),"0")</f>
        <v>2.2727272727272728E-2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12.6</v>
      </c>
      <c r="Y479" s="556">
        <f>IFERROR(IF(X479="",0,CEILING((X479/$H479),1)*$H479),"")</f>
        <v>14.399999999999999</v>
      </c>
      <c r="Z479" s="36">
        <f>IFERROR(IF(Y479=0,"",ROUNDUP(Y479/H479,0)*0.00902),"")</f>
        <v>2.7060000000000001E-2</v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13.25625</v>
      </c>
      <c r="BN479" s="64">
        <f>IFERROR(Y479*I479/H479,"0")</f>
        <v>15.149999999999997</v>
      </c>
      <c r="BO479" s="64">
        <f>IFERROR(1/J479*(X479/H479),"0")</f>
        <v>1.9886363636363636E-2</v>
      </c>
      <c r="BP479" s="64">
        <f>IFERROR(1/J479*(Y479/H479),"0")</f>
        <v>2.2727272727272728E-2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5.625</v>
      </c>
      <c r="Y480" s="557">
        <f>IFERROR(Y478/H478,"0")+IFERROR(Y479/H479,"0")</f>
        <v>6</v>
      </c>
      <c r="Z480" s="557">
        <f>IFERROR(IF(Z478="",0,Z478),"0")+IFERROR(IF(Z479="",0,Z479),"0")</f>
        <v>5.4120000000000001E-2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25.2</v>
      </c>
      <c r="Y481" s="557">
        <f>IFERROR(SUM(Y478:Y479),"0")</f>
        <v>27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18.988</v>
      </c>
      <c r="Y483" s="556">
        <f>IFERROR(IF(X483="",0,CEILING((X483/$H483),1)*$H483),"")</f>
        <v>27</v>
      </c>
      <c r="Z483" s="36">
        <f>IFERROR(IF(Y483=0,"",ROUNDUP(Y483/H483,0)*0.01898),"")</f>
        <v>5.6940000000000004E-2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20.030230222222219</v>
      </c>
      <c r="BN483" s="64">
        <f>IFERROR(Y483*I483/H483,"0")</f>
        <v>28.481999999999996</v>
      </c>
      <c r="BO483" s="64">
        <f>IFERROR(1/J483*(X483/H483),"0")</f>
        <v>3.2965277777777774E-2</v>
      </c>
      <c r="BP483" s="64">
        <f>IFERROR(1/J483*(Y483/H483),"0")</f>
        <v>4.6875E-2</v>
      </c>
    </row>
    <row r="484" spans="1:68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2.1097777777777775</v>
      </c>
      <c r="Y484" s="557">
        <f>IFERROR(Y483/H483,"0")</f>
        <v>3</v>
      </c>
      <c r="Z484" s="557">
        <f>IFERROR(IF(Z483="",0,Z483),"0")</f>
        <v>5.6940000000000004E-2</v>
      </c>
      <c r="AA484" s="558"/>
      <c r="AB484" s="558"/>
      <c r="AC484" s="558"/>
    </row>
    <row r="485" spans="1:68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18.988</v>
      </c>
      <c r="Y485" s="557">
        <f>IFERROR(SUM(Y483:Y483),"0")</f>
        <v>27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9</v>
      </c>
      <c r="Y487" s="556">
        <f>IFERROR(IF(X487="",0,CEILING((X487/$H487),1)*$H487),"")</f>
        <v>9</v>
      </c>
      <c r="Z487" s="36">
        <f>IFERROR(IF(Y487=0,"",ROUNDUP(Y487/H487,0)*0.01898),"")</f>
        <v>1.898E-2</v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9.41</v>
      </c>
      <c r="BN487" s="64">
        <f>IFERROR(Y487*I487/H487,"0")</f>
        <v>9.41</v>
      </c>
      <c r="BO487" s="64">
        <f>IFERROR(1/J487*(X487/H487),"0")</f>
        <v>1.5625E-2</v>
      </c>
      <c r="BP487" s="64">
        <f>IFERROR(1/J487*(Y487/H487),"0")</f>
        <v>1.5625E-2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9</v>
      </c>
      <c r="Y488" s="556">
        <f>IFERROR(IF(X488="",0,CEILING((X488/$H488),1)*$H488),"")</f>
        <v>9</v>
      </c>
      <c r="Z488" s="36">
        <f>IFERROR(IF(Y488=0,"",ROUNDUP(Y488/H488,0)*0.01898),"")</f>
        <v>1.898E-2</v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9.41</v>
      </c>
      <c r="BN488" s="64">
        <f>IFERROR(Y488*I488/H488,"0")</f>
        <v>9.41</v>
      </c>
      <c r="BO488" s="64">
        <f>IFERROR(1/J488*(X488/H488),"0")</f>
        <v>1.5625E-2</v>
      </c>
      <c r="BP488" s="64">
        <f>IFERROR(1/J488*(Y488/H488),"0")</f>
        <v>1.5625E-2</v>
      </c>
    </row>
    <row r="489" spans="1:68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2</v>
      </c>
      <c r="Y489" s="557">
        <f>IFERROR(Y487/H487,"0")+IFERROR(Y488/H488,"0")</f>
        <v>2</v>
      </c>
      <c r="Z489" s="557">
        <f>IFERROR(IF(Z487="",0,Z487),"0")+IFERROR(IF(Z488="",0,Z488),"0")</f>
        <v>3.7960000000000001E-2</v>
      </c>
      <c r="AA489" s="558"/>
      <c r="AB489" s="558"/>
      <c r="AC489" s="558"/>
    </row>
    <row r="490" spans="1:68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18</v>
      </c>
      <c r="Y490" s="557">
        <f>IFERROR(SUM(Y487:Y488),"0")</f>
        <v>18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4128.7479999999996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4138.5599999999995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4326.0454802222257</v>
      </c>
      <c r="Y497" s="557">
        <f>IFERROR(SUM(BN22:BN493),"0")</f>
        <v>4336.3910000000024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7</v>
      </c>
      <c r="Y498" s="38">
        <f>ROUNDUP(SUM(BP22:BP493),0)</f>
        <v>7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4501.0454802222257</v>
      </c>
      <c r="Y499" s="557">
        <f>GrossWeightTotalR+PalletQtyTotalR*25</f>
        <v>4511.3910000000024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546.73477777777782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548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8.1825700000000001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108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264.72000000000003</v>
      </c>
      <c r="E506" s="46">
        <f>IFERROR(Y85*1,"0")+IFERROR(Y86*1,"0")+IFERROR(Y87*1,"0")+IFERROR(Y88*1,"0")+IFERROR(Y92*1,"0")+IFERROR(Y93*1,"0")+IFERROR(Y94*1,"0")+IFERROR(Y95*1,"0")</f>
        <v>138.78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129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76.800000000000011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75.900000000000006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134.69999999999999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270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9.6</v>
      </c>
      <c r="P506" s="46">
        <f>IFERROR(Y287*1,"0")+IFERROR(Y288*1,"0")+IFERROR(Y292*1,"0")+IFERROR(Y293*1,"0")</f>
        <v>5.04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1713.6</v>
      </c>
      <c r="R506" s="46">
        <f>IFERROR(Y343*1,"0")+IFERROR(Y344*1,"0")+IFERROR(Y345*1,"0")</f>
        <v>36.9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924</v>
      </c>
      <c r="T506" s="46">
        <f>IFERROR(Y376*1,"0")+IFERROR(Y377*1,"0")+IFERROR(Y381*1,"0")+IFERROR(Y382*1,"0")+IFERROR(Y386*1,"0")+IFERROR(Y387*1,"0")+IFERROR(Y388*1,"0")</f>
        <v>11.4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65.40000000000002</v>
      </c>
      <c r="V506" s="46">
        <f>IFERROR(Y412*1,"0")+IFERROR(Y416*1,"0")+IFERROR(Y417*1,"0")+IFERROR(Y418*1,"0")+IFERROR(Y419*1,"0")</f>
        <v>28.800000000000004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73.92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72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2,10"/>
        <filter val="1,00"/>
        <filter val="1,80"/>
        <filter val="1,98"/>
        <filter val="10,00"/>
        <filter val="10,56"/>
        <filter val="10,80"/>
        <filter val="103,50"/>
        <filter val="108,00"/>
        <filter val="11,00"/>
        <filter val="11,18"/>
        <filter val="11,40"/>
        <filter val="114,12"/>
        <filter val="12,00"/>
        <filter val="12,60"/>
        <filter val="121,50"/>
        <filter val="13,00"/>
        <filter val="13,50"/>
        <filter val="136,00"/>
        <filter val="15,00"/>
        <filter val="150,00"/>
        <filter val="16,20"/>
        <filter val="16,80"/>
        <filter val="17,00"/>
        <filter val="17,52"/>
        <filter val="18,00"/>
        <filter val="18,99"/>
        <filter val="2,00"/>
        <filter val="2,11"/>
        <filter val="2,40"/>
        <filter val="2,52"/>
        <filter val="2,55"/>
        <filter val="2,70"/>
        <filter val="21,12"/>
        <filter val="21,60"/>
        <filter val="23,00"/>
        <filter val="23,40"/>
        <filter val="24,30"/>
        <filter val="25,00"/>
        <filter val="25,20"/>
        <filter val="26,00"/>
        <filter val="26,40"/>
        <filter val="270,00"/>
        <filter val="28,80"/>
        <filter val="29,70"/>
        <filter val="3,00"/>
        <filter val="3,04"/>
        <filter val="3,60"/>
        <filter val="30,00"/>
        <filter val="31,68"/>
        <filter val="32,40"/>
        <filter val="33,60"/>
        <filter val="36,90"/>
        <filter val="4 128,75"/>
        <filter val="4 326,05"/>
        <filter val="4 501,05"/>
        <filter val="4,00"/>
        <filter val="4,20"/>
        <filter val="4,80"/>
        <filter val="40,50"/>
        <filter val="42,00"/>
        <filter val="43,20"/>
        <filter val="44,00"/>
        <filter val="448,00"/>
        <filter val="45,18"/>
        <filter val="5,00"/>
        <filter val="5,04"/>
        <filter val="5,40"/>
        <filter val="5,63"/>
        <filter val="54,00"/>
        <filter val="546,73"/>
        <filter val="59,40"/>
        <filter val="6,00"/>
        <filter val="6,30"/>
        <filter val="64,00"/>
        <filter val="64,80"/>
        <filter val="65,40"/>
        <filter val="7"/>
        <filter val="7,00"/>
        <filter val="7,80"/>
        <filter val="720,00"/>
        <filter val="75,60"/>
        <filter val="75,90"/>
        <filter val="8,00"/>
        <filter val="8,10"/>
        <filter val="8,70"/>
        <filter val="82,20"/>
        <filter val="898,00"/>
        <filter val="9,00"/>
        <filter val="9,60"/>
        <filter val="93,60"/>
        <filter val="95,40"/>
        <filter val="998,4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2026-01-14T11:51:32Z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