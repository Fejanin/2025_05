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9EA481-73FF-4F10-9F2D-3F4FEA5883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N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110" i="1" l="1"/>
  <c r="BN110" i="1"/>
  <c r="Z110" i="1"/>
  <c r="BP152" i="1"/>
  <c r="BN152" i="1"/>
  <c r="Z152" i="1"/>
  <c r="BP168" i="1"/>
  <c r="BN168" i="1"/>
  <c r="Z168" i="1"/>
  <c r="BP186" i="1"/>
  <c r="BN186" i="1"/>
  <c r="Z186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Y58" i="1"/>
  <c r="Z62" i="1"/>
  <c r="BN62" i="1"/>
  <c r="BP74" i="1"/>
  <c r="BN74" i="1"/>
  <c r="BP100" i="1"/>
  <c r="BN100" i="1"/>
  <c r="Z100" i="1"/>
  <c r="BP133" i="1"/>
  <c r="BN133" i="1"/>
  <c r="Z133" i="1"/>
  <c r="BP167" i="1"/>
  <c r="BN167" i="1"/>
  <c r="Z167" i="1"/>
  <c r="BP176" i="1"/>
  <c r="BN176" i="1"/>
  <c r="Z176" i="1"/>
  <c r="BP209" i="1"/>
  <c r="BN209" i="1"/>
  <c r="Z209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0" i="1"/>
  <c r="BN150" i="1"/>
  <c r="Z150" i="1"/>
  <c r="BP174" i="1"/>
  <c r="BN174" i="1"/>
  <c r="Z174" i="1"/>
  <c r="BP184" i="1"/>
  <c r="BN184" i="1"/>
  <c r="Z184" i="1"/>
  <c r="BP207" i="1"/>
  <c r="BN207" i="1"/>
  <c r="Z207" i="1"/>
  <c r="BP218" i="1"/>
  <c r="BN218" i="1"/>
  <c r="Z218" i="1"/>
  <c r="BP228" i="1"/>
  <c r="BN228" i="1"/>
  <c r="Z228" i="1"/>
  <c r="BP241" i="1"/>
  <c r="BN241" i="1"/>
  <c r="Z241" i="1"/>
  <c r="BP266" i="1"/>
  <c r="BN266" i="1"/>
  <c r="Z266" i="1"/>
  <c r="BP282" i="1"/>
  <c r="BN282" i="1"/>
  <c r="Z282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BP102" i="1"/>
  <c r="BN102" i="1"/>
  <c r="Z102" i="1"/>
  <c r="BP116" i="1"/>
  <c r="BN116" i="1"/>
  <c r="Z116" i="1"/>
  <c r="Y139" i="1"/>
  <c r="BP137" i="1"/>
  <c r="BN137" i="1"/>
  <c r="Z137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BP195" i="1"/>
  <c r="BN195" i="1"/>
  <c r="Z195" i="1"/>
  <c r="BP212" i="1"/>
  <c r="BN212" i="1"/>
  <c r="Z212" i="1"/>
  <c r="BP222" i="1"/>
  <c r="BN222" i="1"/>
  <c r="Z222" i="1"/>
  <c r="BP237" i="1"/>
  <c r="BN237" i="1"/>
  <c r="Z237" i="1"/>
  <c r="BP257" i="1"/>
  <c r="BN257" i="1"/>
  <c r="Z257" i="1"/>
  <c r="BP275" i="1"/>
  <c r="BN275" i="1"/>
  <c r="Z275" i="1"/>
  <c r="BP293" i="1"/>
  <c r="BN293" i="1"/>
  <c r="Z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U50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8" i="1" l="1"/>
  <c r="Z383" i="1"/>
  <c r="Z363" i="1"/>
  <c r="Z408" i="1"/>
  <c r="Z294" i="1"/>
  <c r="Z480" i="1"/>
  <c r="Z230" i="1"/>
  <c r="Z139" i="1"/>
  <c r="Z304" i="1"/>
  <c r="Z457" i="1"/>
  <c r="Z225" i="1"/>
  <c r="Z213" i="1"/>
  <c r="Z76" i="1"/>
  <c r="Z420" i="1"/>
  <c r="Z358" i="1"/>
  <c r="Z320" i="1"/>
  <c r="Z368" i="1"/>
  <c r="Z96" i="1"/>
  <c r="Z81" i="1"/>
  <c r="Z64" i="1"/>
  <c r="Z58" i="1"/>
  <c r="Z32" i="1"/>
  <c r="Z346" i="1"/>
  <c r="Z187" i="1"/>
  <c r="Z181" i="1"/>
  <c r="Z154" i="1"/>
  <c r="Z89" i="1"/>
  <c r="Z442" i="1"/>
  <c r="Z276" i="1"/>
  <c r="Z268" i="1"/>
  <c r="Z259" i="1"/>
  <c r="Y497" i="1"/>
  <c r="Z313" i="1"/>
  <c r="Z119" i="1"/>
  <c r="Z403" i="1"/>
  <c r="Z470" i="1"/>
  <c r="Z326" i="1"/>
  <c r="Z243" i="1"/>
  <c r="Y496" i="1"/>
  <c r="Y498" i="1"/>
  <c r="Y500" i="1"/>
  <c r="Z501" i="1" l="1"/>
  <c r="Y499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<sst xmlns="http://schemas.openxmlformats.org/spreadsheetml/2006/main" count="2386" uniqueCount="785">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</sst>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9" t="s">
        <v>8</v>
      </c>
      <c r="B5" s="690"/>
      <c r="C5" s="691"/>
      <c r="D5" s="629"/>
      <c r="E5" s="630"/>
      <c r="F5" s="852" t="s">
        <v>9</v>
      </c>
      <c r="G5" s="691"/>
      <c r="H5" s="629" t="s">
        <v>784</v>
      </c>
      <c r="I5" s="810"/>
      <c r="J5" s="810"/>
      <c r="K5" s="810"/>
      <c r="L5" s="810"/>
      <c r="M5" s="630"/>
      <c r="N5" s="58"/>
      <c r="P5" s="24" t="s">
        <v>10</v>
      </c>
      <c r="Q5" s="864">
        <v>46038</v>
      </c>
      <c r="R5" s="677"/>
      <c r="T5" s="740" t="s">
        <v>11</v>
      </c>
      <c r="U5" s="741"/>
      <c r="V5" s="742" t="s">
        <v>12</v>
      </c>
      <c r="W5" s="677"/>
      <c r="AB5" s="51"/>
      <c r="AC5" s="51"/>
      <c r="AD5" s="51"/>
      <c r="AE5" s="51"/>
    </row>
    <row r="6" spans="1:32" s="549" customFormat="1" ht="24" customHeight="1" x14ac:dyDescent="0.2">
      <c r="A6" s="689" t="s">
        <v>13</v>
      </c>
      <c r="B6" s="690"/>
      <c r="C6" s="691"/>
      <c r="D6" s="812" t="s">
        <v>14</v>
      </c>
      <c r="E6" s="813"/>
      <c r="F6" s="813"/>
      <c r="G6" s="813"/>
      <c r="H6" s="813"/>
      <c r="I6" s="813"/>
      <c r="J6" s="813"/>
      <c r="K6" s="813"/>
      <c r="L6" s="813"/>
      <c r="M6" s="677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Пятница</v>
      </c>
      <c r="R6" s="565"/>
      <c r="T6" s="743" t="s">
        <v>16</v>
      </c>
      <c r="U6" s="741"/>
      <c r="V6" s="795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41"/>
      <c r="V7" s="796"/>
      <c r="W7" s="797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700">
        <v>0.41666666666666669</v>
      </c>
      <c r="R8" s="608"/>
      <c r="T8" s="570"/>
      <c r="U8" s="741"/>
      <c r="V8" s="796"/>
      <c r="W8" s="797"/>
      <c r="AB8" s="51"/>
      <c r="AC8" s="51"/>
      <c r="AD8" s="51"/>
      <c r="AE8" s="51"/>
    </row>
    <row r="9" spans="1:32" s="549" customFormat="1" ht="39.950000000000003" customHeight="1" x14ac:dyDescent="0.2">
      <c r="A9" s="7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5"/>
      <c r="E9" s="563"/>
      <c r="F9" s="7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73"/>
      <c r="R9" s="674"/>
      <c r="T9" s="570"/>
      <c r="U9" s="741"/>
      <c r="V9" s="798"/>
      <c r="W9" s="799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5"/>
      <c r="E10" s="563"/>
      <c r="F10" s="7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6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4"/>
      <c r="R10" s="745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6"/>
      <c r="R11" s="677"/>
      <c r="U11" s="24" t="s">
        <v>27</v>
      </c>
      <c r="V11" s="820" t="s">
        <v>28</v>
      </c>
      <c r="W11" s="674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6" t="s">
        <v>29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30</v>
      </c>
      <c r="Q12" s="700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6" t="s">
        <v>31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32</v>
      </c>
      <c r="Q13" s="820"/>
      <c r="R13" s="67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6" t="s">
        <v>33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62" t="s">
        <v>34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684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707" t="s">
        <v>38</v>
      </c>
      <c r="D17" s="588" t="s">
        <v>39</v>
      </c>
      <c r="E17" s="659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8"/>
      <c r="R17" s="658"/>
      <c r="S17" s="658"/>
      <c r="T17" s="659"/>
      <c r="U17" s="830" t="s">
        <v>51</v>
      </c>
      <c r="V17" s="691"/>
      <c r="W17" s="588" t="s">
        <v>52</v>
      </c>
      <c r="X17" s="588" t="s">
        <v>53</v>
      </c>
      <c r="Y17" s="828" t="s">
        <v>54</v>
      </c>
      <c r="Z17" s="793" t="s">
        <v>55</v>
      </c>
      <c r="AA17" s="784" t="s">
        <v>56</v>
      </c>
      <c r="AB17" s="784" t="s">
        <v>57</v>
      </c>
      <c r="AC17" s="784" t="s">
        <v>58</v>
      </c>
      <c r="AD17" s="784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60"/>
      <c r="E18" s="662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89"/>
      <c r="X18" s="589"/>
      <c r="Y18" s="829"/>
      <c r="Z18" s="794"/>
      <c r="AA18" s="785"/>
      <c r="AB18" s="785"/>
      <c r="AC18" s="785"/>
      <c r="AD18" s="849"/>
      <c r="AE18" s="850"/>
      <c r="AF18" s="851"/>
      <c r="AG18" s="66"/>
      <c r="BD18" s="65"/>
    </row>
    <row r="19" spans="1:68" ht="27.75" hidden="1" customHeight="1" x14ac:dyDescent="0.2">
      <c r="A19" s="748" t="s">
        <v>63</v>
      </c>
      <c r="B19" s="749"/>
      <c r="C19" s="749"/>
      <c r="D19" s="749"/>
      <c r="E19" s="749"/>
      <c r="F19" s="749"/>
      <c r="G19" s="749"/>
      <c r="H19" s="749"/>
      <c r="I19" s="749"/>
      <c r="J19" s="749"/>
      <c r="K19" s="749"/>
      <c r="L19" s="749"/>
      <c r="M19" s="749"/>
      <c r="N19" s="749"/>
      <c r="O19" s="749"/>
      <c r="P19" s="749"/>
      <c r="Q19" s="749"/>
      <c r="R19" s="749"/>
      <c r="S19" s="749"/>
      <c r="T19" s="749"/>
      <c r="U19" s="749"/>
      <c r="V19" s="749"/>
      <c r="W19" s="749"/>
      <c r="X19" s="749"/>
      <c r="Y19" s="749"/>
      <c r="Z19" s="749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0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8" t="s">
        <v>101</v>
      </c>
      <c r="B38" s="749"/>
      <c r="C38" s="749"/>
      <c r="D38" s="749"/>
      <c r="E38" s="749"/>
      <c r="F38" s="749"/>
      <c r="G38" s="749"/>
      <c r="H38" s="749"/>
      <c r="I38" s="749"/>
      <c r="J38" s="749"/>
      <c r="K38" s="749"/>
      <c r="L38" s="749"/>
      <c r="M38" s="749"/>
      <c r="N38" s="749"/>
      <c r="O38" s="749"/>
      <c r="P38" s="749"/>
      <c r="Q38" s="749"/>
      <c r="R38" s="749"/>
      <c r="S38" s="749"/>
      <c r="T38" s="749"/>
      <c r="U38" s="749"/>
      <c r="V38" s="749"/>
      <c r="W38" s="749"/>
      <c r="X38" s="749"/>
      <c r="Y38" s="749"/>
      <c r="Z38" s="749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120</v>
      </c>
      <c r="Y41" s="556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124.55555555555556</v>
      </c>
      <c r="BN41" s="64">
        <f>IFERROR(Y41*I41/H41,"0")</f>
        <v>134.52000000000001</v>
      </c>
      <c r="BO41" s="64">
        <f>IFERROR(1/J41*(X41/H41),"0")</f>
        <v>0.1736111111111111</v>
      </c>
      <c r="BP41" s="64">
        <f>IFERROR(1/J41*(Y41/H41),"0")</f>
        <v>0.18750000000000003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200</v>
      </c>
      <c r="Y43" s="556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61.111111111111114</v>
      </c>
      <c r="Y44" s="557">
        <f>IFERROR(Y41/H41,"0")+IFERROR(Y42/H42,"0")+IFERROR(Y43/H43,"0")</f>
        <v>62</v>
      </c>
      <c r="Z44" s="557">
        <f>IFERROR(IF(Z41="",0,Z41),"0")+IFERROR(IF(Z42="",0,Z42),"0")+IFERROR(IF(Z43="",0,Z43),"0")</f>
        <v>0.67876000000000003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320</v>
      </c>
      <c r="Y45" s="557">
        <f>IFERROR(SUM(Y41:Y43),"0")</f>
        <v>329.6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200</v>
      </c>
      <c r="Y53" s="55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135</v>
      </c>
      <c r="Y57" s="556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48.518518518518519</v>
      </c>
      <c r="Y58" s="557">
        <f>IFERROR(Y52/H52,"0")+IFERROR(Y53/H53,"0")+IFERROR(Y54/H54,"0")+IFERROR(Y55/H55,"0")+IFERROR(Y56/H56,"0")+IFERROR(Y57/H57,"0")</f>
        <v>49</v>
      </c>
      <c r="Z58" s="557">
        <f>IFERROR(IF(Z52="",0,Z52),"0")+IFERROR(IF(Z53="",0,Z53),"0")+IFERROR(IF(Z54="",0,Z54),"0")+IFERROR(IF(Z55="",0,Z55),"0")+IFERROR(IF(Z56="",0,Z56),"0")+IFERROR(IF(Z57="",0,Z57),"0")</f>
        <v>0.63122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335</v>
      </c>
      <c r="Y59" s="557">
        <f>IFERROR(SUM(Y52:Y57),"0")</f>
        <v>340.20000000000005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200</v>
      </c>
      <c r="Y61" s="55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108</v>
      </c>
      <c r="Y63" s="556">
        <f>IFERROR(IF(X63="",0,CEILING((X63/$H63),1)*$H63),"")</f>
        <v>108</v>
      </c>
      <c r="Z63" s="36">
        <f>IFERROR(IF(Y63=0,"",ROUNDUP(Y63/H63,0)*0.00651),"")</f>
        <v>0.26040000000000002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115.19999999999997</v>
      </c>
      <c r="BN63" s="64">
        <f>IFERROR(Y63*I63/H63,"0")</f>
        <v>115.19999999999997</v>
      </c>
      <c r="BO63" s="64">
        <f>IFERROR(1/J63*(X63/H63),"0")</f>
        <v>0.2197802197802198</v>
      </c>
      <c r="BP63" s="64">
        <f>IFERROR(1/J63*(Y63/H63),"0")</f>
        <v>0.2197802197802198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58.518518518518519</v>
      </c>
      <c r="Y64" s="557">
        <f>IFERROR(Y61/H61,"0")+IFERROR(Y62/H62,"0")+IFERROR(Y63/H63,"0")</f>
        <v>59</v>
      </c>
      <c r="Z64" s="557">
        <f>IFERROR(IF(Z61="",0,Z61),"0")+IFERROR(IF(Z62="",0,Z62),"0")+IFERROR(IF(Z63="",0,Z63),"0")</f>
        <v>0.62102000000000002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308</v>
      </c>
      <c r="Y65" s="557">
        <f>IFERROR(SUM(Y61:Y63),"0")</f>
        <v>313.20000000000005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216</v>
      </c>
      <c r="Y88" s="556">
        <f>IFERROR(IF(X88="",0,CEILING((X88/$H88),1)*$H88),"")</f>
        <v>216</v>
      </c>
      <c r="Z88" s="36">
        <f>IFERROR(IF(Y88=0,"",ROUNDUP(Y88/H88,0)*0.00902),"")</f>
        <v>0.43296000000000001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225.12</v>
      </c>
      <c r="BN88" s="64">
        <f>IFERROR(Y88*I88/H88,"0")</f>
        <v>225.12</v>
      </c>
      <c r="BO88" s="64">
        <f>IFERROR(1/J88*(X88/H88),"0")</f>
        <v>0.36363636363636365</v>
      </c>
      <c r="BP88" s="64">
        <f>IFERROR(1/J88*(Y88/H88),"0")</f>
        <v>0.36363636363636365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75.777777777777771</v>
      </c>
      <c r="Y89" s="557">
        <f>IFERROR(Y85/H85,"0")+IFERROR(Y86/H86,"0")+IFERROR(Y87/H87,"0")+IFERROR(Y88/H88,"0")</f>
        <v>76</v>
      </c>
      <c r="Z89" s="557">
        <f>IFERROR(IF(Z85="",0,Z85),"0")+IFERROR(IF(Z86="",0,Z86),"0")+IFERROR(IF(Z87="",0,Z87),"0")+IFERROR(IF(Z88="",0,Z88),"0")</f>
        <v>0.96440000000000003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516</v>
      </c>
      <c r="Y90" s="557">
        <f>IFERROR(SUM(Y85:Y88),"0")</f>
        <v>518.40000000000009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80</v>
      </c>
      <c r="Y92" s="556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40.5</v>
      </c>
      <c r="Y94" s="556">
        <f>IFERROR(IF(X94="",0,CEILING((X94/$H94),1)*$H94),"")</f>
        <v>40.5</v>
      </c>
      <c r="Z94" s="36">
        <f>IFERROR(IF(Y94=0,"",ROUNDUP(Y94/H94,0)*0.00651),"")</f>
        <v>9.7650000000000001E-2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44.279999999999994</v>
      </c>
      <c r="BN94" s="64">
        <f>IFERROR(Y94*I94/H94,"0")</f>
        <v>44.279999999999994</v>
      </c>
      <c r="BO94" s="64">
        <f>IFERROR(1/J94*(X94/H94),"0")</f>
        <v>8.2417582417582416E-2</v>
      </c>
      <c r="BP94" s="64">
        <f>IFERROR(1/J94*(Y94/H94),"0")</f>
        <v>8.2417582417582416E-2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8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59.400000000000013</v>
      </c>
      <c r="Y95" s="556">
        <f>IFERROR(IF(X95="",0,CEILING((X95/$H95),1)*$H95),"")</f>
        <v>59.4</v>
      </c>
      <c r="Z95" s="36">
        <f>IFERROR(IF(Y95=0,"",ROUNDUP(Y95/H95,0)*0.00651),"")</f>
        <v>0.1953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67.140000000000015</v>
      </c>
      <c r="BN95" s="64">
        <f>IFERROR(Y95*I95/H95,"0")</f>
        <v>67.14</v>
      </c>
      <c r="BO95" s="64">
        <f>IFERROR(1/J95*(X95/H95),"0")</f>
        <v>0.16483516483516489</v>
      </c>
      <c r="BP95" s="64">
        <f>IFERROR(1/J95*(Y95/H95),"0")</f>
        <v>0.16483516483516486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54.876543209876552</v>
      </c>
      <c r="Y96" s="557">
        <f>IFERROR(Y92/H92,"0")+IFERROR(Y93/H93,"0")+IFERROR(Y94/H94,"0")+IFERROR(Y95/H95,"0")</f>
        <v>55</v>
      </c>
      <c r="Z96" s="557">
        <f>IFERROR(IF(Z92="",0,Z92),"0")+IFERROR(IF(Z93="",0,Z93),"0")+IFERROR(IF(Z94="",0,Z94),"0")+IFERROR(IF(Z95="",0,Z95),"0")</f>
        <v>0.48275000000000001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179.9</v>
      </c>
      <c r="Y97" s="557">
        <f>IFERROR(SUM(Y92:Y95),"0")</f>
        <v>180.9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200</v>
      </c>
      <c r="Y100" s="556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78.75</v>
      </c>
      <c r="Y102" s="556">
        <f>IFERROR(IF(X102="",0,CEILING((X102/$H102),1)*$H102),"")</f>
        <v>78.75</v>
      </c>
      <c r="Z102" s="36">
        <f>IFERROR(IF(Y102=0,"",ROUNDUP(Y102/H102,0)*0.00902),"")</f>
        <v>0.18942000000000001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82.74</v>
      </c>
      <c r="BN102" s="64">
        <f>IFERROR(Y102*I102/H102,"0")</f>
        <v>82.74</v>
      </c>
      <c r="BO102" s="64">
        <f>IFERROR(1/J102*(X102/H102),"0")</f>
        <v>0.15909090909090909</v>
      </c>
      <c r="BP102" s="64">
        <f>IFERROR(1/J102*(Y102/H102),"0")</f>
        <v>0.15909090909090909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108</v>
      </c>
      <c r="Y103" s="556">
        <f>IFERROR(IF(X103="",0,CEILING((X103/$H103),1)*$H103),"")</f>
        <v>108</v>
      </c>
      <c r="Z103" s="36">
        <f>IFERROR(IF(Y103=0,"",ROUNDUP(Y103/H103,0)*0.00902),"")</f>
        <v>0.21648000000000001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112.56</v>
      </c>
      <c r="BN103" s="64">
        <f>IFERROR(Y103*I103/H103,"0")</f>
        <v>112.56</v>
      </c>
      <c r="BO103" s="64">
        <f>IFERROR(1/J103*(X103/H103),"0")</f>
        <v>0.18181818181818182</v>
      </c>
      <c r="BP103" s="64">
        <f>IFERROR(1/J103*(Y103/H103),"0")</f>
        <v>0.18181818181818182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63.518518518518519</v>
      </c>
      <c r="Y105" s="557">
        <f>IFERROR(Y100/H100,"0")+IFERROR(Y101/H101,"0")+IFERROR(Y102/H102,"0")+IFERROR(Y103/H103,"0")+IFERROR(Y104/H104,"0")</f>
        <v>64</v>
      </c>
      <c r="Z105" s="557">
        <f>IFERROR(IF(Z100="",0,Z100),"0")+IFERROR(IF(Z101="",0,Z101),"0")+IFERROR(IF(Z102="",0,Z102),"0")+IFERROR(IF(Z103="",0,Z103),"0")+IFERROR(IF(Z104="",0,Z104),"0")</f>
        <v>0.76651999999999998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386.75</v>
      </c>
      <c r="Y106" s="557">
        <f>IFERROR(SUM(Y100:Y104),"0")</f>
        <v>391.95000000000005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24</v>
      </c>
      <c r="Y110" s="556">
        <f>IFERROR(IF(X110="",0,CEILING((X110/$H110),1)*$H110),"")</f>
        <v>24</v>
      </c>
      <c r="Z110" s="36">
        <f>IFERROR(IF(Y110=0,"",ROUNDUP(Y110/H110,0)*0.00502),"")</f>
        <v>5.0200000000000002E-2</v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25</v>
      </c>
      <c r="BN110" s="64">
        <f>IFERROR(Y110*I110/H110,"0")</f>
        <v>25</v>
      </c>
      <c r="BO110" s="64">
        <f>IFERROR(1/J110*(X110/H110),"0")</f>
        <v>4.2735042735042736E-2</v>
      </c>
      <c r="BP110" s="64">
        <f>IFERROR(1/J110*(Y110/H110),"0")</f>
        <v>4.2735042735042736E-2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5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10</v>
      </c>
      <c r="Y112" s="557">
        <f>IFERROR(Y108/H108,"0")+IFERROR(Y109/H109,"0")+IFERROR(Y110/H110,"0")+IFERROR(Y111/H111,"0")</f>
        <v>10</v>
      </c>
      <c r="Z112" s="557">
        <f>IFERROR(IF(Z108="",0,Z108),"0")+IFERROR(IF(Z109="",0,Z109),"0")+IFERROR(IF(Z110="",0,Z110),"0")+IFERROR(IF(Z111="",0,Z111),"0")</f>
        <v>5.0200000000000002E-2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24</v>
      </c>
      <c r="Y113" s="557">
        <f>IFERROR(SUM(Y108:Y111),"0")</f>
        <v>24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100</v>
      </c>
      <c r="Y115" s="556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29.7</v>
      </c>
      <c r="Y116" s="556">
        <f>IFERROR(IF(X116="",0,CEILING((X116/$H116),1)*$H116),"")</f>
        <v>29.7</v>
      </c>
      <c r="Z116" s="36">
        <f>IFERROR(IF(Y116=0,"",ROUNDUP(Y116/H116,0)*0.00651),"")</f>
        <v>9.7650000000000001E-2</v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33.39</v>
      </c>
      <c r="BN116" s="64">
        <f>IFERROR(Y116*I116/H116,"0")</f>
        <v>33.39</v>
      </c>
      <c r="BO116" s="64">
        <f>IFERROR(1/J116*(X116/H116),"0")</f>
        <v>8.241758241758243E-2</v>
      </c>
      <c r="BP116" s="64">
        <f>IFERROR(1/J116*(Y116/H116),"0")</f>
        <v>8.241758241758243E-2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40.5</v>
      </c>
      <c r="Y117" s="556">
        <f>IFERROR(IF(X117="",0,CEILING((X117/$H117),1)*$H117),"")</f>
        <v>40.5</v>
      </c>
      <c r="Z117" s="36">
        <f>IFERROR(IF(Y117=0,"",ROUNDUP(Y117/H117,0)*0.00651),"")</f>
        <v>9.7650000000000001E-2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44.279999999999994</v>
      </c>
      <c r="BN117" s="64">
        <f>IFERROR(Y117*I117/H117,"0")</f>
        <v>44.279999999999994</v>
      </c>
      <c r="BO117" s="64">
        <f>IFERROR(1/J117*(X117/H117),"0")</f>
        <v>8.2417582417582416E-2</v>
      </c>
      <c r="BP117" s="64">
        <f>IFERROR(1/J117*(Y117/H117),"0")</f>
        <v>8.2417582417582416E-2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42.345679012345677</v>
      </c>
      <c r="Y119" s="557">
        <f>IFERROR(Y115/H115,"0")+IFERROR(Y116/H116,"0")+IFERROR(Y117/H117,"0")+IFERROR(Y118/H118,"0")</f>
        <v>43</v>
      </c>
      <c r="Z119" s="557">
        <f>IFERROR(IF(Z115="",0,Z115),"0")+IFERROR(IF(Z116="",0,Z116),"0")+IFERROR(IF(Z117="",0,Z117),"0")+IFERROR(IF(Z118="",0,Z118),"0")</f>
        <v>0.44204000000000004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170.2</v>
      </c>
      <c r="Y120" s="557">
        <f>IFERROR(SUM(Y115:Y118),"0")</f>
        <v>175.5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48</v>
      </c>
      <c r="Y127" s="556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15</v>
      </c>
      <c r="Y129" s="557">
        <f>IFERROR(Y127/H127,"0")+IFERROR(Y128/H128,"0")</f>
        <v>15</v>
      </c>
      <c r="Z129" s="557">
        <f>IFERROR(IF(Z127="",0,Z127),"0")+IFERROR(IF(Z128="",0,Z128),"0")</f>
        <v>9.7650000000000001E-2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48</v>
      </c>
      <c r="Y130" s="557">
        <f>IFERROR(SUM(Y127:Y128),"0")</f>
        <v>48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28</v>
      </c>
      <c r="Y132" s="556">
        <f>IFERROR(IF(X132="",0,CEILING((X132/$H132),1)*$H132),"")</f>
        <v>28</v>
      </c>
      <c r="Z132" s="36">
        <f>IFERROR(IF(Y132=0,"",ROUNDUP(Y132/H132,0)*0.00651),"")</f>
        <v>6.5100000000000005E-2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30.68</v>
      </c>
      <c r="BN132" s="64">
        <f>IFERROR(Y132*I132/H132,"0")</f>
        <v>30.68</v>
      </c>
      <c r="BO132" s="64">
        <f>IFERROR(1/J132*(X132/H132),"0")</f>
        <v>5.4945054945054951E-2</v>
      </c>
      <c r="BP132" s="64">
        <f>IFERROR(1/J132*(Y132/H132),"0")</f>
        <v>5.4945054945054951E-2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10</v>
      </c>
      <c r="Y134" s="557">
        <f>IFERROR(Y132/H132,"0")+IFERROR(Y133/H133,"0")</f>
        <v>10</v>
      </c>
      <c r="Z134" s="557">
        <f>IFERROR(IF(Z132="",0,Z132),"0")+IFERROR(IF(Z133="",0,Z133),"0")</f>
        <v>6.5100000000000005E-2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28</v>
      </c>
      <c r="Y135" s="557">
        <f>IFERROR(SUM(Y132:Y133),"0")</f>
        <v>28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18.48</v>
      </c>
      <c r="Y137" s="556">
        <f>IFERROR(IF(X137="",0,CEILING((X137/$H137),1)*$H137),"")</f>
        <v>18.48</v>
      </c>
      <c r="Z137" s="36">
        <f>IFERROR(IF(Y137=0,"",ROUNDUP(Y137/H137,0)*0.00651),"")</f>
        <v>4.5569999999999999E-2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20.355999999999998</v>
      </c>
      <c r="BN137" s="64">
        <f>IFERROR(Y137*I137/H137,"0")</f>
        <v>20.355999999999998</v>
      </c>
      <c r="BO137" s="64">
        <f>IFERROR(1/J137*(X137/H137),"0")</f>
        <v>3.8461538461538464E-2</v>
      </c>
      <c r="BP137" s="64">
        <f>IFERROR(1/J137*(Y137/H137),"0")</f>
        <v>3.8461538461538464E-2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7</v>
      </c>
      <c r="Y139" s="557">
        <f>IFERROR(Y137/H137,"0")+IFERROR(Y138/H138,"0")</f>
        <v>7</v>
      </c>
      <c r="Z139" s="557">
        <f>IFERROR(IF(Z137="",0,Z137),"0")+IFERROR(IF(Z138="",0,Z138),"0")</f>
        <v>4.5569999999999999E-2</v>
      </c>
      <c r="AA139" s="558"/>
      <c r="AB139" s="558"/>
      <c r="AC139" s="558"/>
    </row>
    <row r="140" spans="1:68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18.48</v>
      </c>
      <c r="Y140" s="557">
        <f>IFERROR(SUM(Y137:Y138),"0")</f>
        <v>18.48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160</v>
      </c>
      <c r="Y144" s="556">
        <f>IFERROR(IF(X144="",0,CEILING((X144/$H144),1)*$H144),"")</f>
        <v>160</v>
      </c>
      <c r="Z144" s="36">
        <f>IFERROR(IF(Y144=0,"",ROUNDUP(Y144/H144,0)*0.00902),"")</f>
        <v>0.36080000000000001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167.60000000000002</v>
      </c>
      <c r="BN144" s="64">
        <f>IFERROR(Y144*I144/H144,"0")</f>
        <v>167.60000000000002</v>
      </c>
      <c r="BO144" s="64">
        <f>IFERROR(1/J144*(X144/H144),"0")</f>
        <v>0.30303030303030304</v>
      </c>
      <c r="BP144" s="64">
        <f>IFERROR(1/J144*(Y144/H144),"0")</f>
        <v>0.30303030303030304</v>
      </c>
    </row>
    <row r="145" spans="1:68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40</v>
      </c>
      <c r="Y145" s="557">
        <f>IFERROR(Y143/H143,"0")+IFERROR(Y144/H144,"0")</f>
        <v>40</v>
      </c>
      <c r="Z145" s="557">
        <f>IFERROR(IF(Z143="",0,Z143),"0")+IFERROR(IF(Z144="",0,Z144),"0")</f>
        <v>0.36080000000000001</v>
      </c>
      <c r="AA145" s="558"/>
      <c r="AB145" s="558"/>
      <c r="AC145" s="558"/>
    </row>
    <row r="146" spans="1:68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160</v>
      </c>
      <c r="Y146" s="557">
        <f>IFERROR(SUM(Y143:Y144),"0")</f>
        <v>160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8" t="s">
        <v>268</v>
      </c>
      <c r="B160" s="749"/>
      <c r="C160" s="749"/>
      <c r="D160" s="749"/>
      <c r="E160" s="749"/>
      <c r="F160" s="749"/>
      <c r="G160" s="749"/>
      <c r="H160" s="749"/>
      <c r="I160" s="749"/>
      <c r="J160" s="749"/>
      <c r="K160" s="749"/>
      <c r="L160" s="749"/>
      <c r="M160" s="749"/>
      <c r="N160" s="749"/>
      <c r="O160" s="749"/>
      <c r="P160" s="749"/>
      <c r="Q160" s="749"/>
      <c r="R160" s="749"/>
      <c r="S160" s="749"/>
      <c r="T160" s="749"/>
      <c r="U160" s="749"/>
      <c r="V160" s="749"/>
      <c r="W160" s="749"/>
      <c r="X160" s="749"/>
      <c r="Y160" s="749"/>
      <c r="Z160" s="749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95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0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40</v>
      </c>
      <c r="Y171" s="556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87.5</v>
      </c>
      <c r="Y173" s="556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1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42</v>
      </c>
      <c r="Y175" s="556">
        <f t="shared" si="10"/>
        <v>42</v>
      </c>
      <c r="Z175" s="36">
        <f>IFERROR(IF(Y175=0,"",ROUNDUP(Y175/H175,0)*0.00502),"")</f>
        <v>0.1004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44.599999999999994</v>
      </c>
      <c r="BN175" s="64">
        <f t="shared" si="12"/>
        <v>44.599999999999994</v>
      </c>
      <c r="BO175" s="64">
        <f t="shared" si="13"/>
        <v>8.5470085470085472E-2</v>
      </c>
      <c r="BP175" s="64">
        <f t="shared" si="14"/>
        <v>8.5470085470085472E-2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42</v>
      </c>
      <c r="Y178" s="556">
        <f t="shared" si="10"/>
        <v>42</v>
      </c>
      <c r="Z178" s="36">
        <f>IFERROR(IF(Y178=0,"",ROUNDUP(Y178/H178,0)*0.00502),"")</f>
        <v>0.1004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44</v>
      </c>
      <c r="BN178" s="64">
        <f t="shared" si="12"/>
        <v>44</v>
      </c>
      <c r="BO178" s="64">
        <f t="shared" si="13"/>
        <v>8.5470085470085472E-2</v>
      </c>
      <c r="BP178" s="64">
        <f t="shared" si="14"/>
        <v>8.5470085470085472E-2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9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91.19047619047619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92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0.50183999999999995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211.5</v>
      </c>
      <c r="Y182" s="557">
        <f>IFERROR(SUM(Y167:Y180),"0")</f>
        <v>214.2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8.82</v>
      </c>
      <c r="Y184" s="556">
        <f>IFERROR(IF(X184="",0,CEILING((X184/$H184),1)*$H184),"")</f>
        <v>8.82</v>
      </c>
      <c r="Z184" s="36">
        <f>IFERROR(IF(Y184=0,"",ROUNDUP(Y184/H184,0)*0.0059),"")</f>
        <v>4.1299999999999996E-2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10.15</v>
      </c>
      <c r="BN184" s="64">
        <f>IFERROR(Y184*I184/H184,"0")</f>
        <v>10.15</v>
      </c>
      <c r="BO184" s="64">
        <f>IFERROR(1/J184*(X184/H184),"0")</f>
        <v>3.2407407407407406E-2</v>
      </c>
      <c r="BP184" s="64">
        <f>IFERROR(1/J184*(Y184/H184),"0")</f>
        <v>3.2407407407407406E-2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6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6.3000000000000007</v>
      </c>
      <c r="Y185" s="556">
        <f>IFERROR(IF(X185="",0,CEILING((X185/$H185),1)*$H185),"")</f>
        <v>6.3</v>
      </c>
      <c r="Z185" s="36">
        <f>IFERROR(IF(Y185=0,"",ROUNDUP(Y185/H185,0)*0.0059),"")</f>
        <v>2.9499999999999998E-2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7.2500000000000009</v>
      </c>
      <c r="BN185" s="64">
        <f>IFERROR(Y185*I185/H185,"0")</f>
        <v>7.25</v>
      </c>
      <c r="BO185" s="64">
        <f>IFERROR(1/J185*(X185/H185),"0")</f>
        <v>2.314814814814815E-2</v>
      </c>
      <c r="BP185" s="64">
        <f>IFERROR(1/J185*(Y185/H185),"0")</f>
        <v>2.3148148148148147E-2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3.78</v>
      </c>
      <c r="Y186" s="55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4.3499999999999996</v>
      </c>
      <c r="BN186" s="64">
        <f>IFERROR(Y186*I186/H186,"0")</f>
        <v>4.3499999999999996</v>
      </c>
      <c r="BO186" s="64">
        <f>IFERROR(1/J186*(X186/H186),"0")</f>
        <v>1.3888888888888888E-2</v>
      </c>
      <c r="BP186" s="64">
        <f>IFERROR(1/J186*(Y186/H186),"0")</f>
        <v>1.3888888888888888E-2</v>
      </c>
    </row>
    <row r="187" spans="1:68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15</v>
      </c>
      <c r="Y187" s="557">
        <f>IFERROR(Y184/H184,"0")+IFERROR(Y185/H185,"0")+IFERROR(Y186/H186,"0")</f>
        <v>15</v>
      </c>
      <c r="Z187" s="557">
        <f>IFERROR(IF(Z184="",0,Z184),"0")+IFERROR(IF(Z185="",0,Z185),"0")+IFERROR(IF(Z186="",0,Z186),"0")</f>
        <v>8.8499999999999995E-2</v>
      </c>
      <c r="AA187" s="558"/>
      <c r="AB187" s="558"/>
      <c r="AC187" s="558"/>
    </row>
    <row r="188" spans="1:68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18.900000000000002</v>
      </c>
      <c r="Y188" s="557">
        <f>IFERROR(SUM(Y184:Y186),"0")</f>
        <v>18.900000000000002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2.52</v>
      </c>
      <c r="Y190" s="556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2.9</v>
      </c>
      <c r="BN190" s="64">
        <f>IFERROR(Y190*I190/H190,"0")</f>
        <v>2.9</v>
      </c>
      <c r="BO190" s="64">
        <f>IFERROR(1/J190*(X190/H190),"0")</f>
        <v>9.2592592592592587E-3</v>
      </c>
      <c r="BP190" s="64">
        <f>IFERROR(1/J190*(Y190/H190),"0")</f>
        <v>9.2592592592592587E-3</v>
      </c>
    </row>
    <row r="191" spans="1:68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2</v>
      </c>
      <c r="Y191" s="557">
        <f>IFERROR(Y190/H190,"0")</f>
        <v>2</v>
      </c>
      <c r="Z191" s="557">
        <f>IFERROR(IF(Z190="",0,Z190),"0")</f>
        <v>1.18E-2</v>
      </c>
      <c r="AA191" s="558"/>
      <c r="AB191" s="558"/>
      <c r="AC191" s="558"/>
    </row>
    <row r="192" spans="1:68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2.52</v>
      </c>
      <c r="Y192" s="557">
        <f>IFERROR(SUM(Y190:Y190),"0")</f>
        <v>2.52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20</v>
      </c>
      <c r="Y205" s="556">
        <f t="shared" ref="Y205:Y212" si="15">IFERROR(IF(X205="",0,CEILING((X205/$H205),1)*$H205),"")</f>
        <v>21.6</v>
      </c>
      <c r="Z205" s="36">
        <f>IFERROR(IF(Y205=0,"",ROUNDUP(Y205/H205,0)*0.00902),"")</f>
        <v>3.6080000000000001E-2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20.703703703703702</v>
      </c>
      <c r="BN205" s="64">
        <f t="shared" ref="BN205:BN212" si="17">IFERROR(Y205*I205/H205,"0")</f>
        <v>22.36</v>
      </c>
      <c r="BO205" s="64">
        <f t="shared" ref="BO205:BO212" si="18">IFERROR(1/J205*(X205/H205),"0")</f>
        <v>2.8058361391694722E-2</v>
      </c>
      <c r="BP205" s="64">
        <f t="shared" ref="BP205:BP212" si="19">IFERROR(1/J205*(Y205/H205),"0")</f>
        <v>3.0303030303030304E-2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100</v>
      </c>
      <c r="Y207" s="556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63</v>
      </c>
      <c r="Y209" s="556">
        <f t="shared" si="15"/>
        <v>63</v>
      </c>
      <c r="Z209" s="36">
        <f>IFERROR(IF(Y209=0,"",ROUNDUP(Y209/H209,0)*0.00502),"")</f>
        <v>0.1757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67.55</v>
      </c>
      <c r="BN209" s="64">
        <f t="shared" si="17"/>
        <v>67.55</v>
      </c>
      <c r="BO209" s="64">
        <f t="shared" si="18"/>
        <v>0.1495726495726496</v>
      </c>
      <c r="BP209" s="64">
        <f t="shared" si="19"/>
        <v>0.1495726495726496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6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45</v>
      </c>
      <c r="Y210" s="556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54</v>
      </c>
      <c r="Y212" s="556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112.22222222222223</v>
      </c>
      <c r="Y213" s="557">
        <f>IFERROR(Y205/H205,"0")+IFERROR(Y206/H206,"0")+IFERROR(Y207/H207,"0")+IFERROR(Y208/H208,"0")+IFERROR(Y209/H209,"0")+IFERROR(Y210/H210,"0")+IFERROR(Y211/H211,"0")+IFERROR(Y212/H212,"0")</f>
        <v>113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0.65925999999999996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282</v>
      </c>
      <c r="Y214" s="557">
        <f>IFERROR(SUM(Y205:Y212),"0")</f>
        <v>286.20000000000005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68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72</v>
      </c>
      <c r="Y219" s="556">
        <f t="shared" si="20"/>
        <v>72</v>
      </c>
      <c r="Z219" s="36">
        <f t="shared" ref="Z219:Z224" si="25">IFERROR(IF(Y219=0,"",ROUNDUP(Y219/H219,0)*0.00651),"")</f>
        <v>0.1953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80.100000000000009</v>
      </c>
      <c r="BN219" s="64">
        <f t="shared" si="22"/>
        <v>80.100000000000009</v>
      </c>
      <c r="BO219" s="64">
        <f t="shared" si="23"/>
        <v>0.16483516483516486</v>
      </c>
      <c r="BP219" s="64">
        <f t="shared" si="24"/>
        <v>0.16483516483516486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21.6</v>
      </c>
      <c r="Y221" s="556">
        <f t="shared" si="20"/>
        <v>21.599999999999998</v>
      </c>
      <c r="Z221" s="36">
        <f t="shared" si="25"/>
        <v>5.8590000000000003E-2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23.868000000000006</v>
      </c>
      <c r="BN221" s="64">
        <f t="shared" si="22"/>
        <v>23.868000000000002</v>
      </c>
      <c r="BO221" s="64">
        <f t="shared" si="23"/>
        <v>4.9450549450549462E-2</v>
      </c>
      <c r="BP221" s="64">
        <f t="shared" si="24"/>
        <v>4.9450549450549455E-2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14.4</v>
      </c>
      <c r="Y222" s="556">
        <f t="shared" si="20"/>
        <v>14.399999999999999</v>
      </c>
      <c r="Z222" s="36">
        <f t="shared" si="25"/>
        <v>3.9059999999999997E-2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15.912000000000001</v>
      </c>
      <c r="BN222" s="64">
        <f t="shared" si="22"/>
        <v>15.912000000000001</v>
      </c>
      <c r="BO222" s="64">
        <f t="shared" si="23"/>
        <v>3.2967032967032968E-2</v>
      </c>
      <c r="BP222" s="64">
        <f t="shared" si="24"/>
        <v>3.2967032967032968E-2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48</v>
      </c>
      <c r="Y224" s="556">
        <f t="shared" si="20"/>
        <v>48</v>
      </c>
      <c r="Z224" s="36">
        <f t="shared" si="25"/>
        <v>0.13020000000000001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53.160000000000004</v>
      </c>
      <c r="BN224" s="64">
        <f t="shared" si="22"/>
        <v>53.160000000000004</v>
      </c>
      <c r="BO224" s="64">
        <f t="shared" si="23"/>
        <v>0.1098901098901099</v>
      </c>
      <c r="BP224" s="64">
        <f t="shared" si="24"/>
        <v>0.1098901098901099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65</v>
      </c>
      <c r="Y225" s="557">
        <f>IFERROR(Y216/H216,"0")+IFERROR(Y217/H217,"0")+IFERROR(Y218/H218,"0")+IFERROR(Y219/H219,"0")+IFERROR(Y220/H220,"0")+IFERROR(Y221/H221,"0")+IFERROR(Y222/H222,"0")+IFERROR(Y223/H223,"0")+IFERROR(Y224/H224,"0")</f>
        <v>65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0.42315000000000003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156</v>
      </c>
      <c r="Y226" s="557">
        <f>IFERROR(SUM(Y216:Y224),"0")</f>
        <v>156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28</v>
      </c>
      <c r="Y229" s="556">
        <f>IFERROR(IF(X229="",0,CEILING((X229/$H229),1)*$H229),"")</f>
        <v>28.799999999999997</v>
      </c>
      <c r="Z229" s="36">
        <f>IFERROR(IF(Y229=0,"",ROUNDUP(Y229/H229,0)*0.00651),"")</f>
        <v>7.8119999999999995E-2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30.94</v>
      </c>
      <c r="BN229" s="64">
        <f>IFERROR(Y229*I229/H229,"0")</f>
        <v>31.824000000000002</v>
      </c>
      <c r="BO229" s="64">
        <f>IFERROR(1/J229*(X229/H229),"0")</f>
        <v>6.4102564102564111E-2</v>
      </c>
      <c r="BP229" s="64">
        <f>IFERROR(1/J229*(Y229/H229),"0")</f>
        <v>6.5934065934065936E-2</v>
      </c>
    </row>
    <row r="230" spans="1:68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11.666666666666668</v>
      </c>
      <c r="Y230" s="557">
        <f>IFERROR(Y228/H228,"0")+IFERROR(Y229/H229,"0")</f>
        <v>12</v>
      </c>
      <c r="Z230" s="557">
        <f>IFERROR(IF(Z228="",0,Z228),"0")+IFERROR(IF(Z229="",0,Z229),"0")</f>
        <v>7.8119999999999995E-2</v>
      </c>
      <c r="AA230" s="558"/>
      <c r="AB230" s="558"/>
      <c r="AC230" s="558"/>
    </row>
    <row r="231" spans="1:68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28</v>
      </c>
      <c r="Y231" s="557">
        <f>IFERROR(SUM(Y228:Y229),"0")</f>
        <v>28.799999999999997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6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1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5.3999999999999986</v>
      </c>
      <c r="Y250" s="556">
        <f>IFERROR(IF(X250="",0,CEILING((X250/$H250),1)*$H250),"")</f>
        <v>5.4</v>
      </c>
      <c r="Z250" s="36">
        <f>IFERROR(IF(Y250=0,"",ROUNDUP(Y250/H250,0)*0.0059),"")</f>
        <v>1.77E-2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5.924999999999998</v>
      </c>
      <c r="BN250" s="64">
        <f>IFERROR(Y250*I250/H250,"0")</f>
        <v>5.9250000000000007</v>
      </c>
      <c r="BO250" s="64">
        <f>IFERROR(1/J250*(X250/H250),"0")</f>
        <v>1.3888888888888885E-2</v>
      </c>
      <c r="BP250" s="64">
        <f>IFERROR(1/J250*(Y250/H250),"0")</f>
        <v>1.3888888888888888E-2</v>
      </c>
    </row>
    <row r="251" spans="1:68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2.9999999999999991</v>
      </c>
      <c r="Y251" s="557">
        <f>IFERROR(Y250/H250,"0")</f>
        <v>3</v>
      </c>
      <c r="Z251" s="557">
        <f>IFERROR(IF(Z250="",0,Z250),"0")</f>
        <v>1.77E-2</v>
      </c>
      <c r="AA251" s="558"/>
      <c r="AB251" s="558"/>
      <c r="AC251" s="558"/>
    </row>
    <row r="252" spans="1:68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5.3999999999999986</v>
      </c>
      <c r="Y252" s="557">
        <f>IFERROR(SUM(Y250:Y250),"0")</f>
        <v>5.4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2.97</v>
      </c>
      <c r="Y254" s="556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3.54</v>
      </c>
      <c r="BN254" s="64">
        <f>IFERROR(Y254*I254/H254,"0")</f>
        <v>3.5399999999999996</v>
      </c>
      <c r="BO254" s="64">
        <f>IFERROR(1/J254*(X254/H254),"0")</f>
        <v>1.388888888888889E-2</v>
      </c>
      <c r="BP254" s="64">
        <f>IFERROR(1/J254*(Y254/H254),"0")</f>
        <v>1.3888888888888886E-2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5.3999999999999986</v>
      </c>
      <c r="Y255" s="556">
        <f>IFERROR(IF(X255="",0,CEILING((X255/$H255),1)*$H255),"")</f>
        <v>5.4</v>
      </c>
      <c r="Z255" s="36">
        <f>IFERROR(IF(Y255=0,"",ROUNDUP(Y255/H255,0)*0.0059),"")</f>
        <v>1.77E-2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5.924999999999998</v>
      </c>
      <c r="BN255" s="64">
        <f>IFERROR(Y255*I255/H255,"0")</f>
        <v>5.9250000000000007</v>
      </c>
      <c r="BO255" s="64">
        <f>IFERROR(1/J255*(X255/H255),"0")</f>
        <v>1.3888888888888885E-2</v>
      </c>
      <c r="BP255" s="64">
        <f>IFERROR(1/J255*(Y255/H255),"0")</f>
        <v>1.3888888888888888E-2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1.8</v>
      </c>
      <c r="Y256" s="556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2.1800000000000002</v>
      </c>
      <c r="BN256" s="64">
        <f>IFERROR(Y256*I256/H256,"0")</f>
        <v>2.1800000000000002</v>
      </c>
      <c r="BO256" s="64">
        <f>IFERROR(1/J256*(X256/H256),"0")</f>
        <v>9.2592592592592587E-3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4.95</v>
      </c>
      <c r="Y257" s="556">
        <f>IFERROR(IF(X257="",0,CEILING((X257/$H257),1)*$H257),"")</f>
        <v>4.95</v>
      </c>
      <c r="Z257" s="36">
        <f>IFERROR(IF(Y257=0,"",ROUNDUP(Y257/H257,0)*0.0059),"")</f>
        <v>2.9499999999999998E-2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5.9</v>
      </c>
      <c r="BN257" s="64">
        <f>IFERROR(Y257*I257/H257,"0")</f>
        <v>5.9</v>
      </c>
      <c r="BO257" s="64">
        <f>IFERROR(1/J257*(X257/H257),"0")</f>
        <v>2.3148148148148147E-2</v>
      </c>
      <c r="BP257" s="64">
        <f>IFERROR(1/J257*(Y257/H257),"0")</f>
        <v>2.3148148148148147E-2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1.98</v>
      </c>
      <c r="Y258" s="556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2.36</v>
      </c>
      <c r="BN258" s="64">
        <f>IFERROR(Y258*I258/H258,"0")</f>
        <v>2.36</v>
      </c>
      <c r="BO258" s="64">
        <f>IFERROR(1/J258*(X258/H258),"0")</f>
        <v>9.2592592592592587E-3</v>
      </c>
      <c r="BP258" s="64">
        <f>IFERROR(1/J258*(Y258/H258),"0")</f>
        <v>9.2592592592592587E-3</v>
      </c>
    </row>
    <row r="259" spans="1:68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15</v>
      </c>
      <c r="Y259" s="557">
        <f>IFERROR(Y254/H254,"0")+IFERROR(Y255/H255,"0")+IFERROR(Y256/H256,"0")+IFERROR(Y257/H257,"0")+IFERROR(Y258/H258,"0")</f>
        <v>15</v>
      </c>
      <c r="Z259" s="557">
        <f>IFERROR(IF(Z254="",0,Z254),"0")+IFERROR(IF(Z255="",0,Z255),"0")+IFERROR(IF(Z256="",0,Z256),"0")+IFERROR(IF(Z257="",0,Z257),"0")+IFERROR(IF(Z258="",0,Z258),"0")</f>
        <v>8.8499999999999995E-2</v>
      </c>
      <c r="AA259" s="558"/>
      <c r="AB259" s="558"/>
      <c r="AC259" s="558"/>
    </row>
    <row r="260" spans="1:68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17.100000000000001</v>
      </c>
      <c r="Y260" s="557">
        <f>IFERROR(SUM(Y254:Y258),"0")</f>
        <v>17.100000000000001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180</v>
      </c>
      <c r="Y263" s="556">
        <f>IFERROR(IF(X263="",0,CEILING((X263/$H263),1)*$H263),"")</f>
        <v>183.60000000000002</v>
      </c>
      <c r="Z263" s="36">
        <f>IFERROR(IF(Y263=0,"",ROUNDUP(Y263/H263,0)*0.01898),"")</f>
        <v>0.32266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186.83333333333334</v>
      </c>
      <c r="BN263" s="64">
        <f>IFERROR(Y263*I263/H263,"0")</f>
        <v>190.57000000000002</v>
      </c>
      <c r="BO263" s="64">
        <f>IFERROR(1/J263*(X263/H263),"0")</f>
        <v>0.26041666666666663</v>
      </c>
      <c r="BP263" s="64">
        <f>IFERROR(1/J263*(Y263/H263),"0")</f>
        <v>0.265625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21.296296296296294</v>
      </c>
      <c r="Y268" s="557">
        <f>IFERROR(Y263/H263,"0")+IFERROR(Y264/H264,"0")+IFERROR(Y265/H265,"0")+IFERROR(Y266/H266,"0")+IFERROR(Y267/H267,"0")</f>
        <v>22</v>
      </c>
      <c r="Z268" s="557">
        <f>IFERROR(IF(Z263="",0,Z263),"0")+IFERROR(IF(Z264="",0,Z264),"0")+IFERROR(IF(Z265="",0,Z265),"0")+IFERROR(IF(Z266="",0,Z266),"0")+IFERROR(IF(Z267="",0,Z267),"0")</f>
        <v>0.41755999999999999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230</v>
      </c>
      <c r="Y269" s="557">
        <f>IFERROR(SUM(Y263:Y267),"0")</f>
        <v>237.60000000000002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65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8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7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12</v>
      </c>
      <c r="Y281" s="556">
        <f>IFERROR(IF(X281="",0,CEILING((X281/$H281),1)*$H281),"")</f>
        <v>12</v>
      </c>
      <c r="Z281" s="36">
        <f>IFERROR(IF(Y281=0,"",ROUNDUP(Y281/H281,0)*0.00651),"")</f>
        <v>3.2550000000000003E-2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13.260000000000002</v>
      </c>
      <c r="BN281" s="64">
        <f>IFERROR(Y281*I281/H281,"0")</f>
        <v>13.260000000000002</v>
      </c>
      <c r="BO281" s="64">
        <f>IFERROR(1/J281*(X281/H281),"0")</f>
        <v>2.7472527472527476E-2</v>
      </c>
      <c r="BP281" s="64">
        <f>IFERROR(1/J281*(Y281/H281),"0")</f>
        <v>2.7472527472527476E-2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9.6000000000000014</v>
      </c>
      <c r="Y282" s="556">
        <f>IFERROR(IF(X282="",0,CEILING((X282/$H282),1)*$H282),"")</f>
        <v>9.6</v>
      </c>
      <c r="Z282" s="36">
        <f>IFERROR(IF(Y282=0,"",ROUNDUP(Y282/H282,0)*0.00651),"")</f>
        <v>2.6040000000000001E-2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10.320000000000002</v>
      </c>
      <c r="BN282" s="64">
        <f>IFERROR(Y282*I282/H282,"0")</f>
        <v>10.32</v>
      </c>
      <c r="BO282" s="64">
        <f>IFERROR(1/J282*(X282/H282),"0")</f>
        <v>2.1978021978021983E-2</v>
      </c>
      <c r="BP282" s="64">
        <f>IFERROR(1/J282*(Y282/H282),"0")</f>
        <v>2.197802197802198E-2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9</v>
      </c>
      <c r="Y283" s="557">
        <f>IFERROR(Y280/H280,"0")+IFERROR(Y281/H281,"0")+IFERROR(Y282/H282,"0")</f>
        <v>9</v>
      </c>
      <c r="Z283" s="557">
        <f>IFERROR(IF(Z280="",0,Z280),"0")+IFERROR(IF(Z281="",0,Z281),"0")+IFERROR(IF(Z282="",0,Z282),"0")</f>
        <v>5.8590000000000003E-2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21.6</v>
      </c>
      <c r="Y284" s="557">
        <f>IFERROR(SUM(Y280:Y282),"0")</f>
        <v>21.6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150</v>
      </c>
      <c r="Y299" s="556">
        <f t="shared" si="31"/>
        <v>151.20000000000002</v>
      </c>
      <c r="Z299" s="36">
        <f>IFERROR(IF(Y299=0,"",ROUNDUP(Y299/H299,0)*0.01898),"")</f>
        <v>0.26572000000000001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155.69444444444446</v>
      </c>
      <c r="BN299" s="64">
        <f t="shared" si="33"/>
        <v>156.94</v>
      </c>
      <c r="BO299" s="64">
        <f t="shared" si="34"/>
        <v>0.21701388888888887</v>
      </c>
      <c r="BP299" s="64">
        <f t="shared" si="35"/>
        <v>0.21875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70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150</v>
      </c>
      <c r="Y300" s="556">
        <f t="shared" si="31"/>
        <v>151.20000000000002</v>
      </c>
      <c r="Z300" s="36">
        <f>IFERROR(IF(Y300=0,"",ROUNDUP(Y300/H300,0)*0.01898),"")</f>
        <v>0.26572000000000001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155.69444444444446</v>
      </c>
      <c r="BN300" s="64">
        <f t="shared" si="33"/>
        <v>156.94</v>
      </c>
      <c r="BO300" s="64">
        <f t="shared" si="34"/>
        <v>0.21701388888888887</v>
      </c>
      <c r="BP300" s="64">
        <f t="shared" si="35"/>
        <v>0.21875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150</v>
      </c>
      <c r="Y301" s="556">
        <f t="shared" si="31"/>
        <v>151.20000000000002</v>
      </c>
      <c r="Z301" s="36">
        <f>IFERROR(IF(Y301=0,"",ROUNDUP(Y301/H301,0)*0.01898),"")</f>
        <v>0.26572000000000001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155.69444444444446</v>
      </c>
      <c r="BN301" s="64">
        <f t="shared" si="33"/>
        <v>156.94</v>
      </c>
      <c r="BO301" s="64">
        <f t="shared" si="34"/>
        <v>0.21701388888888887</v>
      </c>
      <c r="BP301" s="64">
        <f t="shared" si="35"/>
        <v>0.21875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72</v>
      </c>
      <c r="Y302" s="556">
        <f t="shared" si="31"/>
        <v>72</v>
      </c>
      <c r="Z302" s="36">
        <f>IFERROR(IF(Y302=0,"",ROUNDUP(Y302/H302,0)*0.00902),"")</f>
        <v>0.16236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75.42</v>
      </c>
      <c r="BN302" s="64">
        <f t="shared" si="33"/>
        <v>75.42</v>
      </c>
      <c r="BO302" s="64">
        <f t="shared" si="34"/>
        <v>0.13636363636363635</v>
      </c>
      <c r="BP302" s="64">
        <f t="shared" si="35"/>
        <v>0.13636363636363635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72</v>
      </c>
      <c r="Y303" s="556">
        <f t="shared" si="31"/>
        <v>72</v>
      </c>
      <c r="Z303" s="36">
        <f>IFERROR(IF(Y303=0,"",ROUNDUP(Y303/H303,0)*0.00902),"")</f>
        <v>0.16236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75.42</v>
      </c>
      <c r="BN303" s="64">
        <f t="shared" si="33"/>
        <v>75.42</v>
      </c>
      <c r="BO303" s="64">
        <f t="shared" si="34"/>
        <v>0.13636363636363635</v>
      </c>
      <c r="BP303" s="64">
        <f t="shared" si="35"/>
        <v>0.13636363636363635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77.666666666666657</v>
      </c>
      <c r="Y304" s="557">
        <f>IFERROR(Y298/H298,"0")+IFERROR(Y299/H299,"0")+IFERROR(Y300/H300,"0")+IFERROR(Y301/H301,"0")+IFERROR(Y302/H302,"0")+IFERROR(Y303/H303,"0")</f>
        <v>78</v>
      </c>
      <c r="Z304" s="557">
        <f>IFERROR(IF(Z298="",0,Z298),"0")+IFERROR(IF(Z299="",0,Z299),"0")+IFERROR(IF(Z300="",0,Z300),"0")+IFERROR(IF(Z301="",0,Z301),"0")+IFERROR(IF(Z302="",0,Z302),"0")+IFERROR(IF(Z303="",0,Z303),"0")</f>
        <v>1.1218800000000002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594</v>
      </c>
      <c r="Y305" s="557">
        <f>IFERROR(SUM(Y298:Y303),"0")</f>
        <v>597.6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120</v>
      </c>
      <c r="Y307" s="556">
        <f t="shared" ref="Y307:Y312" si="36">IFERROR(IF(X307="",0,CEILING((X307/$H307),1)*$H307),"")</f>
        <v>121.80000000000001</v>
      </c>
      <c r="Z307" s="36">
        <f>IFERROR(IF(Y307=0,"",ROUNDUP(Y307/H307,0)*0.00902),"")</f>
        <v>0.26158000000000003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127.14285714285714</v>
      </c>
      <c r="BN307" s="64">
        <f t="shared" ref="BN307:BN312" si="38">IFERROR(Y307*I307/H307,"0")</f>
        <v>129.05000000000001</v>
      </c>
      <c r="BO307" s="64">
        <f t="shared" ref="BO307:BO312" si="39">IFERROR(1/J307*(X307/H307),"0")</f>
        <v>0.21645021645021645</v>
      </c>
      <c r="BP307" s="64">
        <f t="shared" ref="BP307:BP312" si="40">IFERROR(1/J307*(Y307/H307),"0")</f>
        <v>0.2196969696969697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6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250</v>
      </c>
      <c r="Y308" s="556">
        <f t="shared" si="36"/>
        <v>252</v>
      </c>
      <c r="Z308" s="36">
        <f>IFERROR(IF(Y308=0,"",ROUNDUP(Y308/H308,0)*0.00902),"")</f>
        <v>0.54120000000000001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264.88095238095235</v>
      </c>
      <c r="BN308" s="64">
        <f t="shared" si="38"/>
        <v>267</v>
      </c>
      <c r="BO308" s="64">
        <f t="shared" si="39"/>
        <v>0.45093795093795092</v>
      </c>
      <c r="BP308" s="64">
        <f t="shared" si="40"/>
        <v>0.45454545454545459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21</v>
      </c>
      <c r="Y311" s="556">
        <f t="shared" si="36"/>
        <v>21</v>
      </c>
      <c r="Z311" s="36">
        <f>IFERROR(IF(Y311=0,"",ROUNDUP(Y311/H311,0)*0.00502),"")</f>
        <v>5.0200000000000002E-2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22</v>
      </c>
      <c r="BN311" s="64">
        <f t="shared" si="38"/>
        <v>22</v>
      </c>
      <c r="BO311" s="64">
        <f t="shared" si="39"/>
        <v>4.2735042735042736E-2</v>
      </c>
      <c r="BP311" s="64">
        <f t="shared" si="40"/>
        <v>4.2735042735042736E-2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54</v>
      </c>
      <c r="Y312" s="556">
        <f t="shared" si="36"/>
        <v>54</v>
      </c>
      <c r="Z312" s="36">
        <f>IFERROR(IF(Y312=0,"",ROUNDUP(Y312/H312,0)*0.00651),"")</f>
        <v>0.1953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60.839999999999996</v>
      </c>
      <c r="BN312" s="64">
        <f t="shared" si="38"/>
        <v>60.839999999999996</v>
      </c>
      <c r="BO312" s="64">
        <f t="shared" si="39"/>
        <v>0.16483516483516486</v>
      </c>
      <c r="BP312" s="64">
        <f t="shared" si="40"/>
        <v>0.16483516483516486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142.09523809523807</v>
      </c>
      <c r="Y313" s="557">
        <f>IFERROR(Y307/H307,"0")+IFERROR(Y308/H308,"0")+IFERROR(Y309/H309,"0")+IFERROR(Y310/H310,"0")+IFERROR(Y311/H311,"0")+IFERROR(Y312/H312,"0")</f>
        <v>143</v>
      </c>
      <c r="Z313" s="557">
        <f>IFERROR(IF(Z307="",0,Z307),"0")+IFERROR(IF(Z308="",0,Z308),"0")+IFERROR(IF(Z309="",0,Z309),"0")+IFERROR(IF(Z310="",0,Z310),"0")+IFERROR(IF(Z311="",0,Z311),"0")+IFERROR(IF(Z312="",0,Z312),"0")</f>
        <v>1.11856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474.4</v>
      </c>
      <c r="Y314" s="557">
        <f>IFERROR(SUM(Y307:Y312),"0")</f>
        <v>478.2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2200</v>
      </c>
      <c r="Y316" s="556">
        <f>IFERROR(IF(X316="",0,CEILING((X316/$H316),1)*$H316),"")</f>
        <v>2207.4</v>
      </c>
      <c r="Z316" s="36">
        <f>IFERROR(IF(Y316=0,"",ROUNDUP(Y316/H316,0)*0.01898),"")</f>
        <v>5.37134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2337.6410256410259</v>
      </c>
      <c r="BN316" s="64">
        <f>IFERROR(Y316*I316/H316,"0")</f>
        <v>2345.5040000000004</v>
      </c>
      <c r="BO316" s="64">
        <f>IFERROR(1/J316*(X316/H316),"0")</f>
        <v>4.4070512820512819</v>
      </c>
      <c r="BP316" s="64">
        <f>IFERROR(1/J316*(Y316/H316),"0")</f>
        <v>4.421875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30</v>
      </c>
      <c r="Y319" s="556">
        <f>IFERROR(IF(X319="",0,CEILING((X319/$H319),1)*$H319),"")</f>
        <v>30</v>
      </c>
      <c r="Z319" s="36">
        <f>IFERROR(IF(Y319=0,"",ROUNDUP(Y319/H319,0)*0.00651),"")</f>
        <v>6.5100000000000005E-2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32.46</v>
      </c>
      <c r="BN319" s="64">
        <f>IFERROR(Y319*I319/H319,"0")</f>
        <v>32.46</v>
      </c>
      <c r="BO319" s="64">
        <f>IFERROR(1/J319*(X319/H319),"0")</f>
        <v>5.4945054945054951E-2</v>
      </c>
      <c r="BP319" s="64">
        <f>IFERROR(1/J319*(Y319/H319),"0")</f>
        <v>5.4945054945054951E-2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292.05128205128204</v>
      </c>
      <c r="Y320" s="557">
        <f>IFERROR(Y316/H316,"0")+IFERROR(Y317/H317,"0")+IFERROR(Y318/H318,"0")+IFERROR(Y319/H319,"0")</f>
        <v>293</v>
      </c>
      <c r="Z320" s="557">
        <f>IFERROR(IF(Z316="",0,Z316),"0")+IFERROR(IF(Z317="",0,Z317),"0")+IFERROR(IF(Z318="",0,Z318),"0")+IFERROR(IF(Z319="",0,Z319),"0")</f>
        <v>5.4364400000000002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2230</v>
      </c>
      <c r="Y321" s="557">
        <f>IFERROR(SUM(Y316:Y319),"0")</f>
        <v>2237.4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100</v>
      </c>
      <c r="Y323" s="556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105.88095238095238</v>
      </c>
      <c r="BN323" s="64">
        <f>IFERROR(Y323*I323/H323,"0")</f>
        <v>106.72800000000001</v>
      </c>
      <c r="BO323" s="64">
        <f>IFERROR(1/J323*(X323/H323),"0")</f>
        <v>0.18601190476190477</v>
      </c>
      <c r="BP323" s="64">
        <f>IFERROR(1/J323*(Y323/H323),"0")</f>
        <v>0.1875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100</v>
      </c>
      <c r="Y325" s="556">
        <f>IFERROR(IF(X325="",0,CEILING((X325/$H325),1)*$H325),"")</f>
        <v>100.80000000000001</v>
      </c>
      <c r="Z325" s="36">
        <f>IFERROR(IF(Y325=0,"",ROUNDUP(Y325/H325,0)*0.01898),"")</f>
        <v>0.22776000000000002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105.88095238095238</v>
      </c>
      <c r="BN325" s="64">
        <f>IFERROR(Y325*I325/H325,"0")</f>
        <v>106.72800000000001</v>
      </c>
      <c r="BO325" s="64">
        <f>IFERROR(1/J325*(X325/H325),"0")</f>
        <v>0.18601190476190477</v>
      </c>
      <c r="BP325" s="64">
        <f>IFERROR(1/J325*(Y325/H325),"0")</f>
        <v>0.1875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31.501831501831504</v>
      </c>
      <c r="Y326" s="557">
        <f>IFERROR(Y323/H323,"0")+IFERROR(Y324/H324,"0")+IFERROR(Y325/H325,"0")</f>
        <v>32</v>
      </c>
      <c r="Z326" s="557">
        <f>IFERROR(IF(Z323="",0,Z323),"0")+IFERROR(IF(Z324="",0,Z324),"0")+IFERROR(IF(Z325="",0,Z325),"0")</f>
        <v>0.60736000000000012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260</v>
      </c>
      <c r="Y327" s="557">
        <f>IFERROR(SUM(Y323:Y325),"0")</f>
        <v>264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7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6</v>
      </c>
      <c r="Y329" s="556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6.5328947368421053</v>
      </c>
      <c r="BN329" s="64">
        <f>IFERROR(Y329*I329/H329,"0")</f>
        <v>6.62</v>
      </c>
      <c r="BO329" s="64">
        <f>IFERROR(1/J329*(X329/H329),"0")</f>
        <v>1.4952153110047847E-2</v>
      </c>
      <c r="BP329" s="64">
        <f>IFERROR(1/J329*(Y329/H329),"0")</f>
        <v>1.5151515151515152E-2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3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3.2269736842105265</v>
      </c>
      <c r="BN330" s="64">
        <f>IFERROR(Y330*I330/H330,"0")</f>
        <v>3.2699999999999996</v>
      </c>
      <c r="BO330" s="64">
        <f>IFERROR(1/J330*(X330/H330),"0")</f>
        <v>7.4760765550239234E-3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25.5</v>
      </c>
      <c r="Y331" s="556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29.550000000000004</v>
      </c>
      <c r="BN331" s="64">
        <f>IFERROR(Y331*I331/H331,"0")</f>
        <v>29.550000000000004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7.65</v>
      </c>
      <c r="Y332" s="556">
        <f>IFERROR(IF(X332="",0,CEILING((X332/$H332),1)*$H332),"")</f>
        <v>7.6499999999999995</v>
      </c>
      <c r="Z332" s="36">
        <f>IFERROR(IF(Y332=0,"",ROUNDUP(Y332/H332,0)*0.00651),"")</f>
        <v>1.9529999999999999E-2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8.64</v>
      </c>
      <c r="BN332" s="64">
        <f>IFERROR(Y332*I332/H332,"0")</f>
        <v>8.6399999999999988</v>
      </c>
      <c r="BO332" s="64">
        <f>IFERROR(1/J332*(X332/H332),"0")</f>
        <v>1.6483516483516487E-2</v>
      </c>
      <c r="BP332" s="64">
        <f>IFERROR(1/J332*(Y332/H332),"0")</f>
        <v>1.6483516483516484E-2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15.960526315789473</v>
      </c>
      <c r="Y333" s="557">
        <f>IFERROR(Y329/H329,"0")+IFERROR(Y330/H330,"0")+IFERROR(Y331/H331,"0")+IFERROR(Y332/H332,"0")</f>
        <v>16</v>
      </c>
      <c r="Z333" s="557">
        <f>IFERROR(IF(Z329="",0,Z329),"0")+IFERROR(IF(Z330="",0,Z330),"0")+IFERROR(IF(Z331="",0,Z331),"0")+IFERROR(IF(Z332="",0,Z332),"0")</f>
        <v>0.11169000000000001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42.15</v>
      </c>
      <c r="Y334" s="557">
        <f>IFERROR(SUM(Y329:Y332),"0")</f>
        <v>42.27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8</v>
      </c>
      <c r="Y336" s="556">
        <f>IFERROR(IF(X336="",0,CEILING((X336/$H336),1)*$H336),"")</f>
        <v>8</v>
      </c>
      <c r="Z336" s="36">
        <f>IFERROR(IF(Y336=0,"",ROUNDUP(Y336/H336,0)*0.00474),"")</f>
        <v>1.8960000000000001E-2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8.9600000000000009</v>
      </c>
      <c r="BN336" s="64">
        <f>IFERROR(Y336*I336/H336,"0")</f>
        <v>8.9600000000000009</v>
      </c>
      <c r="BO336" s="64">
        <f>IFERROR(1/J336*(X336/H336),"0")</f>
        <v>1.680672268907563E-2</v>
      </c>
      <c r="BP336" s="64">
        <f>IFERROR(1/J336*(Y336/H336),"0")</f>
        <v>1.680672268907563E-2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8</v>
      </c>
      <c r="Y337" s="556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8.9600000000000009</v>
      </c>
      <c r="BN337" s="64">
        <f>IFERROR(Y337*I337/H337,"0")</f>
        <v>8.9600000000000009</v>
      </c>
      <c r="BO337" s="64">
        <f>IFERROR(1/J337*(X337/H337),"0")</f>
        <v>1.680672268907563E-2</v>
      </c>
      <c r="BP337" s="64">
        <f>IFERROR(1/J337*(Y337/H337),"0")</f>
        <v>1.680672268907563E-2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10</v>
      </c>
      <c r="Y338" s="556">
        <f>IFERROR(IF(X338="",0,CEILING((X338/$H338),1)*$H338),"")</f>
        <v>10</v>
      </c>
      <c r="Z338" s="36">
        <f>IFERROR(IF(Y338=0,"",ROUNDUP(Y338/H338,0)*0.00474),"")</f>
        <v>2.3700000000000002E-2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11.200000000000001</v>
      </c>
      <c r="BN338" s="64">
        <f>IFERROR(Y338*I338/H338,"0")</f>
        <v>11.200000000000001</v>
      </c>
      <c r="BO338" s="64">
        <f>IFERROR(1/J338*(X338/H338),"0")</f>
        <v>2.1008403361344536E-2</v>
      </c>
      <c r="BP338" s="64">
        <f>IFERROR(1/J338*(Y338/H338),"0")</f>
        <v>2.1008403361344536E-2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13</v>
      </c>
      <c r="Y339" s="557">
        <f>IFERROR(Y336/H336,"0")+IFERROR(Y337/H337,"0")+IFERROR(Y338/H338,"0")</f>
        <v>13</v>
      </c>
      <c r="Z339" s="557">
        <f>IFERROR(IF(Z336="",0,Z336),"0")+IFERROR(IF(Z337="",0,Z337),"0")+IFERROR(IF(Z338="",0,Z338),"0")</f>
        <v>6.1620000000000008E-2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26</v>
      </c>
      <c r="Y340" s="557">
        <f>IFERROR(SUM(Y336:Y338),"0")</f>
        <v>26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50</v>
      </c>
      <c r="Y343" s="556">
        <f>IFERROR(IF(X343="",0,CEILING((X343/$H343),1)*$H343),"")</f>
        <v>56.699999999999996</v>
      </c>
      <c r="Z343" s="36">
        <f>IFERROR(IF(Y343=0,"",ROUNDUP(Y343/H343,0)*0.01898),"")</f>
        <v>0.13286000000000001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53.049382716049386</v>
      </c>
      <c r="BN343" s="64">
        <f>IFERROR(Y343*I343/H343,"0")</f>
        <v>60.157999999999994</v>
      </c>
      <c r="BO343" s="64">
        <f>IFERROR(1/J343*(X343/H343),"0")</f>
        <v>9.6450617283950615E-2</v>
      </c>
      <c r="BP343" s="64">
        <f>IFERROR(1/J343*(Y343/H343),"0")</f>
        <v>0.109375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42</v>
      </c>
      <c r="Y344" s="556">
        <f>IFERROR(IF(X344="",0,CEILING((X344/$H344),1)*$H344),"")</f>
        <v>42</v>
      </c>
      <c r="Z344" s="36">
        <f>IFERROR(IF(Y344=0,"",ROUNDUP(Y344/H344,0)*0.00651),"")</f>
        <v>0.13020000000000001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47.039999999999992</v>
      </c>
      <c r="BN344" s="64">
        <f>IFERROR(Y344*I344/H344,"0")</f>
        <v>47.039999999999992</v>
      </c>
      <c r="BO344" s="64">
        <f>IFERROR(1/J344*(X344/H344),"0")</f>
        <v>0.1098901098901099</v>
      </c>
      <c r="BP344" s="64">
        <f>IFERROR(1/J344*(Y344/H344),"0")</f>
        <v>0.1098901098901099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42</v>
      </c>
      <c r="Y345" s="556">
        <f>IFERROR(IF(X345="",0,CEILING((X345/$H345),1)*$H345),"")</f>
        <v>42</v>
      </c>
      <c r="Z345" s="36">
        <f>IFERROR(IF(Y345=0,"",ROUNDUP(Y345/H345,0)*0.00651),"")</f>
        <v>0.13020000000000001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46.8</v>
      </c>
      <c r="BN345" s="64">
        <f>IFERROR(Y345*I345/H345,"0")</f>
        <v>46.8</v>
      </c>
      <c r="BO345" s="64">
        <f>IFERROR(1/J345*(X345/H345),"0")</f>
        <v>0.1098901098901099</v>
      </c>
      <c r="BP345" s="64">
        <f>IFERROR(1/J345*(Y345/H345),"0")</f>
        <v>0.1098901098901099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46.172839506172835</v>
      </c>
      <c r="Y346" s="557">
        <f>IFERROR(Y343/H343,"0")+IFERROR(Y344/H344,"0")+IFERROR(Y345/H345,"0")</f>
        <v>47</v>
      </c>
      <c r="Z346" s="557">
        <f>IFERROR(IF(Z343="",0,Z343),"0")+IFERROR(IF(Z344="",0,Z344),"0")+IFERROR(IF(Z345="",0,Z345),"0")</f>
        <v>0.39326000000000005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134</v>
      </c>
      <c r="Y347" s="557">
        <f>IFERROR(SUM(Y343:Y345),"0")</f>
        <v>140.69999999999999</v>
      </c>
      <c r="Z347" s="37"/>
      <c r="AA347" s="558"/>
      <c r="AB347" s="558"/>
      <c r="AC347" s="558"/>
    </row>
    <row r="348" spans="1:68" ht="27.75" hidden="1" customHeight="1" x14ac:dyDescent="0.2">
      <c r="A348" s="748" t="s">
        <v>562</v>
      </c>
      <c r="B348" s="749"/>
      <c r="C348" s="749"/>
      <c r="D348" s="749"/>
      <c r="E348" s="749"/>
      <c r="F348" s="749"/>
      <c r="G348" s="749"/>
      <c r="H348" s="749"/>
      <c r="I348" s="749"/>
      <c r="J348" s="749"/>
      <c r="K348" s="749"/>
      <c r="L348" s="749"/>
      <c r="M348" s="749"/>
      <c r="N348" s="749"/>
      <c r="O348" s="749"/>
      <c r="P348" s="749"/>
      <c r="Q348" s="749"/>
      <c r="R348" s="749"/>
      <c r="S348" s="749"/>
      <c r="T348" s="749"/>
      <c r="U348" s="749"/>
      <c r="V348" s="749"/>
      <c r="W348" s="749"/>
      <c r="X348" s="749"/>
      <c r="Y348" s="749"/>
      <c r="Z348" s="749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8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360</v>
      </c>
      <c r="Y351" s="556">
        <f t="shared" ref="Y351:Y357" si="41">IFERROR(IF(X351="",0,CEILING((X351/$H351),1)*$H351),"")</f>
        <v>360</v>
      </c>
      <c r="Z351" s="36">
        <f>IFERROR(IF(Y351=0,"",ROUNDUP(Y351/H351,0)*0.02175),"")</f>
        <v>0.52200000000000002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371.28</v>
      </c>
      <c r="BN351" s="64">
        <f t="shared" ref="BN351:BN357" si="43">IFERROR(Y351*I351/H351,"0")</f>
        <v>371.28</v>
      </c>
      <c r="BO351" s="64">
        <f t="shared" ref="BO351:BO357" si="44">IFERROR(1/J351*(X351/H351),"0")</f>
        <v>0.5</v>
      </c>
      <c r="BP351" s="64">
        <f t="shared" ref="BP351:BP357" si="45">IFERROR(1/J351*(Y351/H351),"0")</f>
        <v>0.5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450</v>
      </c>
      <c r="Y352" s="556">
        <f t="shared" si="41"/>
        <v>450</v>
      </c>
      <c r="Z352" s="36">
        <f>IFERROR(IF(Y352=0,"",ROUNDUP(Y352/H352,0)*0.02175),"")</f>
        <v>0.65249999999999997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464.1</v>
      </c>
      <c r="BN352" s="64">
        <f t="shared" si="43"/>
        <v>464.1</v>
      </c>
      <c r="BO352" s="64">
        <f t="shared" si="44"/>
        <v>0.625</v>
      </c>
      <c r="BP352" s="64">
        <f t="shared" si="45"/>
        <v>0.625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2000</v>
      </c>
      <c r="Y354" s="556">
        <f t="shared" si="41"/>
        <v>2010</v>
      </c>
      <c r="Z354" s="36">
        <f>IFERROR(IF(Y354=0,"",ROUNDUP(Y354/H354,0)*0.02175),"")</f>
        <v>2.9144999999999999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2062.6666666666665</v>
      </c>
      <c r="BN354" s="64">
        <f t="shared" si="43"/>
        <v>2072.98</v>
      </c>
      <c r="BO354" s="64">
        <f t="shared" si="44"/>
        <v>2.7777777777777777</v>
      </c>
      <c r="BP354" s="64">
        <f t="shared" si="45"/>
        <v>2.7916666666666665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90</v>
      </c>
      <c r="Y356" s="556">
        <f t="shared" si="41"/>
        <v>90</v>
      </c>
      <c r="Z356" s="36">
        <f>IFERROR(IF(Y356=0,"",ROUNDUP(Y356/H356,0)*0.00902),"")</f>
        <v>0.16236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93.42</v>
      </c>
      <c r="BN356" s="64">
        <f t="shared" si="43"/>
        <v>93.42</v>
      </c>
      <c r="BO356" s="64">
        <f t="shared" si="44"/>
        <v>0.13636363636363635</v>
      </c>
      <c r="BP356" s="64">
        <f t="shared" si="45"/>
        <v>0.13636363636363635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55</v>
      </c>
      <c r="Y357" s="556">
        <f t="shared" si="41"/>
        <v>55</v>
      </c>
      <c r="Z357" s="36">
        <f>IFERROR(IF(Y357=0,"",ROUNDUP(Y357/H357,0)*0.00902),"")</f>
        <v>9.9220000000000003E-2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57.090000000000011</v>
      </c>
      <c r="BN357" s="64">
        <f t="shared" si="43"/>
        <v>57.090000000000011</v>
      </c>
      <c r="BO357" s="64">
        <f t="shared" si="44"/>
        <v>8.3333333333333343E-2</v>
      </c>
      <c r="BP357" s="64">
        <f t="shared" si="45"/>
        <v>8.3333333333333343E-2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216.33333333333334</v>
      </c>
      <c r="Y358" s="557">
        <f>IFERROR(Y351/H351,"0")+IFERROR(Y352/H352,"0")+IFERROR(Y353/H353,"0")+IFERROR(Y354/H354,"0")+IFERROR(Y355/H355,"0")+IFERROR(Y356/H356,"0")+IFERROR(Y357/H357,"0")</f>
        <v>217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4.3505799999999999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2955</v>
      </c>
      <c r="Y359" s="557">
        <f>IFERROR(SUM(Y351:Y357),"0")</f>
        <v>2965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2000</v>
      </c>
      <c r="Y361" s="556">
        <f>IFERROR(IF(X361="",0,CEILING((X361/$H361),1)*$H361),"")</f>
        <v>2010</v>
      </c>
      <c r="Z361" s="36">
        <f>IFERROR(IF(Y361=0,"",ROUNDUP(Y361/H361,0)*0.02175),"")</f>
        <v>2.9144999999999999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2062.6666666666665</v>
      </c>
      <c r="BN361" s="64">
        <f>IFERROR(Y361*I361/H361,"0")</f>
        <v>2072.98</v>
      </c>
      <c r="BO361" s="64">
        <f>IFERROR(1/J361*(X361/H361),"0")</f>
        <v>2.7777777777777777</v>
      </c>
      <c r="BP361" s="64">
        <f>IFERROR(1/J361*(Y361/H361),"0")</f>
        <v>2.7916666666666665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20</v>
      </c>
      <c r="Y362" s="556">
        <f>IFERROR(IF(X362="",0,CEILING((X362/$H362),1)*$H362),"")</f>
        <v>20</v>
      </c>
      <c r="Z362" s="36">
        <f>IFERROR(IF(Y362=0,"",ROUNDUP(Y362/H362,0)*0.00902),"")</f>
        <v>4.5100000000000001E-2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20.950000000000003</v>
      </c>
      <c r="BN362" s="64">
        <f>IFERROR(Y362*I362/H362,"0")</f>
        <v>20.950000000000003</v>
      </c>
      <c r="BO362" s="64">
        <f>IFERROR(1/J362*(X362/H362),"0")</f>
        <v>3.787878787878788E-2</v>
      </c>
      <c r="BP362" s="64">
        <f>IFERROR(1/J362*(Y362/H362),"0")</f>
        <v>3.787878787878788E-2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138.33333333333334</v>
      </c>
      <c r="Y363" s="557">
        <f>IFERROR(Y361/H361,"0")+IFERROR(Y362/H362,"0")</f>
        <v>139</v>
      </c>
      <c r="Z363" s="557">
        <f>IFERROR(IF(Z361="",0,Z361),"0")+IFERROR(IF(Z362="",0,Z362),"0")</f>
        <v>2.9596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2020</v>
      </c>
      <c r="Y364" s="557">
        <f>IFERROR(SUM(Y361:Y362),"0")</f>
        <v>2030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7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50</v>
      </c>
      <c r="Y386" s="556">
        <f>IFERROR(IF(X386="",0,CEILING((X386/$H386),1)*$H386),"")</f>
        <v>54</v>
      </c>
      <c r="Z386" s="36">
        <f>IFERROR(IF(Y386=0,"",ROUNDUP(Y386/H386,0)*0.01898),"")</f>
        <v>0.11388000000000001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52.74444444444444</v>
      </c>
      <c r="BN386" s="64">
        <f>IFERROR(Y386*I386/H386,"0")</f>
        <v>56.963999999999992</v>
      </c>
      <c r="BO386" s="64">
        <f>IFERROR(1/J386*(X386/H386),"0")</f>
        <v>8.6805555555555552E-2</v>
      </c>
      <c r="BP386" s="64">
        <f>IFERROR(1/J386*(Y386/H386),"0")</f>
        <v>9.375E-2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32</v>
      </c>
      <c r="Y388" s="556">
        <f>IFERROR(IF(X388="",0,CEILING((X388/$H388),1)*$H388),"")</f>
        <v>33.6</v>
      </c>
      <c r="Z388" s="36">
        <f>IFERROR(IF(Y388=0,"",ROUNDUP(Y388/H388,0)*0.00651),"")</f>
        <v>9.1139999999999999E-2</v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35.520000000000003</v>
      </c>
      <c r="BN388" s="64">
        <f>IFERROR(Y388*I388/H388,"0")</f>
        <v>37.296000000000006</v>
      </c>
      <c r="BO388" s="64">
        <f>IFERROR(1/J388*(X388/H388),"0")</f>
        <v>7.3260073260073263E-2</v>
      </c>
      <c r="BP388" s="64">
        <f>IFERROR(1/J388*(Y388/H388),"0")</f>
        <v>7.6923076923076941E-2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18.888888888888889</v>
      </c>
      <c r="Y389" s="557">
        <f>IFERROR(Y386/H386,"0")+IFERROR(Y387/H387,"0")+IFERROR(Y388/H388,"0")</f>
        <v>20</v>
      </c>
      <c r="Z389" s="557">
        <f>IFERROR(IF(Z386="",0,Z386),"0")+IFERROR(IF(Z387="",0,Z387),"0")+IFERROR(IF(Z388="",0,Z388),"0")</f>
        <v>0.20502000000000001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82</v>
      </c>
      <c r="Y390" s="557">
        <f>IFERROR(SUM(Y386:Y388),"0")</f>
        <v>87.6</v>
      </c>
      <c r="Z390" s="37"/>
      <c r="AA390" s="558"/>
      <c r="AB390" s="558"/>
      <c r="AC390" s="558"/>
    </row>
    <row r="391" spans="1:68" ht="27.75" hidden="1" customHeight="1" x14ac:dyDescent="0.2">
      <c r="A391" s="748" t="s">
        <v>616</v>
      </c>
      <c r="B391" s="749"/>
      <c r="C391" s="749"/>
      <c r="D391" s="749"/>
      <c r="E391" s="749"/>
      <c r="F391" s="749"/>
      <c r="G391" s="749"/>
      <c r="H391" s="749"/>
      <c r="I391" s="749"/>
      <c r="J391" s="749"/>
      <c r="K391" s="749"/>
      <c r="L391" s="749"/>
      <c r="M391" s="749"/>
      <c r="N391" s="749"/>
      <c r="O391" s="749"/>
      <c r="P391" s="749"/>
      <c r="Q391" s="749"/>
      <c r="R391" s="749"/>
      <c r="S391" s="749"/>
      <c r="T391" s="749"/>
      <c r="U391" s="749"/>
      <c r="V391" s="749"/>
      <c r="W391" s="749"/>
      <c r="X391" s="749"/>
      <c r="Y391" s="749"/>
      <c r="Z391" s="749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10</v>
      </c>
      <c r="Y396" s="556">
        <f t="shared" si="46"/>
        <v>10.8</v>
      </c>
      <c r="Z396" s="36">
        <f>IFERROR(IF(Y396=0,"",ROUNDUP(Y396/H396,0)*0.00902),"")</f>
        <v>1.804E-2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10.351851851851851</v>
      </c>
      <c r="BN396" s="64">
        <f t="shared" si="48"/>
        <v>11.18</v>
      </c>
      <c r="BO396" s="64">
        <f t="shared" si="49"/>
        <v>1.4029180695847361E-2</v>
      </c>
      <c r="BP396" s="64">
        <f t="shared" si="50"/>
        <v>1.5151515151515152E-2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4.1999999999999993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4.4599999999999991</v>
      </c>
      <c r="BN398" s="64">
        <f t="shared" si="48"/>
        <v>4.46</v>
      </c>
      <c r="BO398" s="64">
        <f t="shared" si="49"/>
        <v>8.5470085470085461E-3</v>
      </c>
      <c r="BP398" s="64">
        <f t="shared" si="50"/>
        <v>8.5470085470085479E-3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3.8518518518518512</v>
      </c>
      <c r="Y403" s="557">
        <f>IFERROR(Y394/H394,"0")+IFERROR(Y395/H395,"0")+IFERROR(Y396/H396,"0")+IFERROR(Y397/H397,"0")+IFERROR(Y398/H398,"0")+IFERROR(Y399/H399,"0")+IFERROR(Y400/H400,"0")+IFERROR(Y401/H401,"0")+IFERROR(Y402/H402,"0")</f>
        <v>4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2.8080000000000001E-2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14.2</v>
      </c>
      <c r="Y404" s="557">
        <f>IFERROR(SUM(Y394:Y402),"0")</f>
        <v>15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15</v>
      </c>
      <c r="Y416" s="556">
        <f>IFERROR(IF(X416="",0,CEILING((X416/$H416),1)*$H416),"")</f>
        <v>16.200000000000003</v>
      </c>
      <c r="Z416" s="36">
        <f>IFERROR(IF(Y416=0,"",ROUNDUP(Y416/H416,0)*0.00902),"")</f>
        <v>2.7060000000000001E-2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15.527777777777775</v>
      </c>
      <c r="BN416" s="64">
        <f>IFERROR(Y416*I416/H416,"0")</f>
        <v>16.77</v>
      </c>
      <c r="BO416" s="64">
        <f>IFERROR(1/J416*(X416/H416),"0")</f>
        <v>2.1043771043771045E-2</v>
      </c>
      <c r="BP416" s="64">
        <f>IFERROR(1/J416*(Y416/H416),"0")</f>
        <v>2.2727272727272731E-2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2.7777777777777777</v>
      </c>
      <c r="Y420" s="557">
        <f>IFERROR(Y416/H416,"0")+IFERROR(Y417/H417,"0")+IFERROR(Y418/H418,"0")+IFERROR(Y419/H419,"0")</f>
        <v>3.0000000000000004</v>
      </c>
      <c r="Z420" s="557">
        <f>IFERROR(IF(Z416="",0,Z416),"0")+IFERROR(IF(Z417="",0,Z417),"0")+IFERROR(IF(Z418="",0,Z418),"0")+IFERROR(IF(Z419="",0,Z419),"0")</f>
        <v>2.7060000000000001E-2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15</v>
      </c>
      <c r="Y421" s="557">
        <f>IFERROR(SUM(Y416:Y419),"0")</f>
        <v>16.200000000000003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8" t="s">
        <v>667</v>
      </c>
      <c r="B427" s="749"/>
      <c r="C427" s="749"/>
      <c r="D427" s="749"/>
      <c r="E427" s="749"/>
      <c r="F427" s="749"/>
      <c r="G427" s="749"/>
      <c r="H427" s="749"/>
      <c r="I427" s="749"/>
      <c r="J427" s="749"/>
      <c r="K427" s="749"/>
      <c r="L427" s="749"/>
      <c r="M427" s="749"/>
      <c r="N427" s="749"/>
      <c r="O427" s="749"/>
      <c r="P427" s="749"/>
      <c r="Q427" s="749"/>
      <c r="R427" s="749"/>
      <c r="S427" s="749"/>
      <c r="T427" s="749"/>
      <c r="U427" s="749"/>
      <c r="V427" s="749"/>
      <c r="W427" s="749"/>
      <c r="X427" s="749"/>
      <c r="Y427" s="749"/>
      <c r="Z427" s="749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0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300</v>
      </c>
      <c r="Y436" s="556">
        <f t="shared" si="52"/>
        <v>300.96000000000004</v>
      </c>
      <c r="Z436" s="36">
        <f t="shared" si="53"/>
        <v>0.68171999999999999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319.88636363636363</v>
      </c>
      <c r="BN436" s="64">
        <f t="shared" si="55"/>
        <v>320.91000000000003</v>
      </c>
      <c r="BO436" s="64">
        <f t="shared" si="56"/>
        <v>0.54632867132867136</v>
      </c>
      <c r="BP436" s="64">
        <f t="shared" si="57"/>
        <v>0.54807692307692313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9.6</v>
      </c>
      <c r="Y438" s="556">
        <f t="shared" si="52"/>
        <v>9.6</v>
      </c>
      <c r="Z438" s="36">
        <f>IFERROR(IF(Y438=0,"",ROUNDUP(Y438/H438,0)*0.00902),"")</f>
        <v>1.804E-2</v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13.82</v>
      </c>
      <c r="BN438" s="64">
        <f t="shared" si="55"/>
        <v>13.82</v>
      </c>
      <c r="BO438" s="64">
        <f t="shared" si="56"/>
        <v>1.5151515151515152E-2</v>
      </c>
      <c r="BP438" s="64">
        <f t="shared" si="57"/>
        <v>1.5151515151515152E-2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9.6000000000000014</v>
      </c>
      <c r="Y440" s="556">
        <f t="shared" si="52"/>
        <v>9.6</v>
      </c>
      <c r="Z440" s="36">
        <f>IFERROR(IF(Y440=0,"",ROUNDUP(Y440/H440,0)*0.00651),"")</f>
        <v>2.6040000000000001E-2</v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10.320000000000002</v>
      </c>
      <c r="BN440" s="64">
        <f t="shared" si="55"/>
        <v>10.32</v>
      </c>
      <c r="BO440" s="64">
        <f t="shared" si="56"/>
        <v>2.1978021978021983E-2</v>
      </c>
      <c r="BP440" s="64">
        <f t="shared" si="57"/>
        <v>2.197802197802198E-2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62.818181818181813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63.000000000000007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0.72579999999999989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319.20000000000005</v>
      </c>
      <c r="Y443" s="557">
        <f>IFERROR(SUM(Y430:Y441),"0")</f>
        <v>320.16000000000008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100</v>
      </c>
      <c r="Y445" s="556">
        <f>IFERROR(IF(X445="",0,CEILING((X445/$H445),1)*$H445),"")</f>
        <v>100.32000000000001</v>
      </c>
      <c r="Z445" s="36">
        <f>IFERROR(IF(Y445=0,"",ROUNDUP(Y445/H445,0)*0.01196),"")</f>
        <v>0.22724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106.62878787878788</v>
      </c>
      <c r="BN445" s="64">
        <f>IFERROR(Y445*I445/H445,"0")</f>
        <v>106.97</v>
      </c>
      <c r="BO445" s="64">
        <f>IFERROR(1/J445*(X445/H445),"0")</f>
        <v>0.18210955710955709</v>
      </c>
      <c r="BP445" s="64">
        <f>IFERROR(1/J445*(Y445/H445),"0")</f>
        <v>0.18269230769230771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18.939393939393938</v>
      </c>
      <c r="Y448" s="557">
        <f>IFERROR(Y445/H445,"0")+IFERROR(Y446/H446,"0")+IFERROR(Y447/H447,"0")</f>
        <v>19</v>
      </c>
      <c r="Z448" s="557">
        <f>IFERROR(IF(Z445="",0,Z445),"0")+IFERROR(IF(Z446="",0,Z446),"0")+IFERROR(IF(Z447="",0,Z447),"0")</f>
        <v>0.22724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</v>
      </c>
      <c r="Y449" s="557">
        <f>IFERROR(SUM(Y445:Y447),"0")</f>
        <v>100.32000000000001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20</v>
      </c>
      <c r="Y452" s="556">
        <f t="shared" si="58"/>
        <v>21.12</v>
      </c>
      <c r="Z452" s="36">
        <f>IFERROR(IF(Y452=0,"",ROUNDUP(Y452/H452,0)*0.01196),"")</f>
        <v>4.7840000000000001E-2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21.325757575757574</v>
      </c>
      <c r="BN452" s="64">
        <f t="shared" si="60"/>
        <v>22.52</v>
      </c>
      <c r="BO452" s="64">
        <f t="shared" si="61"/>
        <v>3.6421911421911424E-2</v>
      </c>
      <c r="BP452" s="64">
        <f t="shared" si="62"/>
        <v>3.8461538461538464E-2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50</v>
      </c>
      <c r="Y453" s="556">
        <f t="shared" si="58"/>
        <v>52.800000000000004</v>
      </c>
      <c r="Z453" s="36">
        <f>IFERROR(IF(Y453=0,"",ROUNDUP(Y453/H453,0)*0.01196),"")</f>
        <v>0.1196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53.314393939393938</v>
      </c>
      <c r="BN453" s="64">
        <f t="shared" si="60"/>
        <v>56.3</v>
      </c>
      <c r="BO453" s="64">
        <f t="shared" si="61"/>
        <v>9.1054778554778545E-2</v>
      </c>
      <c r="BP453" s="64">
        <f t="shared" si="62"/>
        <v>9.6153846153846159E-2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9.6</v>
      </c>
      <c r="Y454" s="556">
        <f t="shared" si="58"/>
        <v>9.6</v>
      </c>
      <c r="Z454" s="36">
        <f>IFERROR(IF(Y454=0,"",ROUNDUP(Y454/H454,0)*0.00902),"")</f>
        <v>1.804E-2</v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13.82</v>
      </c>
      <c r="BN454" s="64">
        <f t="shared" si="60"/>
        <v>13.82</v>
      </c>
      <c r="BO454" s="64">
        <f t="shared" si="61"/>
        <v>1.5151515151515152E-2</v>
      </c>
      <c r="BP454" s="64">
        <f t="shared" si="62"/>
        <v>1.5151515151515152E-2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14.4</v>
      </c>
      <c r="Y455" s="556">
        <f t="shared" si="58"/>
        <v>14.399999999999999</v>
      </c>
      <c r="Z455" s="36">
        <f>IFERROR(IF(Y455=0,"",ROUNDUP(Y455/H455,0)*0.00902),"")</f>
        <v>2.7060000000000001E-2</v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20.010000000000002</v>
      </c>
      <c r="BN455" s="64">
        <f t="shared" si="60"/>
        <v>20.009999999999998</v>
      </c>
      <c r="BO455" s="64">
        <f t="shared" si="61"/>
        <v>2.2727272727272728E-2</v>
      </c>
      <c r="BP455" s="64">
        <f t="shared" si="62"/>
        <v>2.2727272727272728E-2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9.6</v>
      </c>
      <c r="Y456" s="556">
        <f t="shared" si="58"/>
        <v>9.6</v>
      </c>
      <c r="Z456" s="36">
        <f>IFERROR(IF(Y456=0,"",ROUNDUP(Y456/H456,0)*0.00902),"")</f>
        <v>1.804E-2</v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13.34</v>
      </c>
      <c r="BN456" s="64">
        <f t="shared" si="60"/>
        <v>13.34</v>
      </c>
      <c r="BO456" s="64">
        <f t="shared" si="61"/>
        <v>1.5151515151515152E-2</v>
      </c>
      <c r="BP456" s="64">
        <f t="shared" si="62"/>
        <v>1.5151515151515152E-2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20.257575757575758</v>
      </c>
      <c r="Y457" s="557">
        <f>IFERROR(Y451/H451,"0")+IFERROR(Y452/H452,"0")+IFERROR(Y453/H453,"0")+IFERROR(Y454/H454,"0")+IFERROR(Y455/H455,"0")+IFERROR(Y456/H456,"0")</f>
        <v>21</v>
      </c>
      <c r="Z457" s="557">
        <f>IFERROR(IF(Z451="",0,Z451),"0")+IFERROR(IF(Z452="",0,Z452),"0")+IFERROR(IF(Z453="",0,Z453),"0")+IFERROR(IF(Z454="",0,Z454),"0")+IFERROR(IF(Z455="",0,Z455),"0")+IFERROR(IF(Z456="",0,Z456),"0")</f>
        <v>0.23058000000000001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103.6</v>
      </c>
      <c r="Y458" s="557">
        <f>IFERROR(SUM(Y451:Y456),"0")</f>
        <v>107.51999999999998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8" t="s">
        <v>722</v>
      </c>
      <c r="B463" s="749"/>
      <c r="C463" s="749"/>
      <c r="D463" s="749"/>
      <c r="E463" s="749"/>
      <c r="F463" s="749"/>
      <c r="G463" s="749"/>
      <c r="H463" s="749"/>
      <c r="I463" s="749"/>
      <c r="J463" s="749"/>
      <c r="K463" s="749"/>
      <c r="L463" s="749"/>
      <c r="M463" s="749"/>
      <c r="N463" s="749"/>
      <c r="O463" s="749"/>
      <c r="P463" s="749"/>
      <c r="Q463" s="749"/>
      <c r="R463" s="749"/>
      <c r="S463" s="749"/>
      <c r="T463" s="749"/>
      <c r="U463" s="749"/>
      <c r="V463" s="749"/>
      <c r="W463" s="749"/>
      <c r="X463" s="749"/>
      <c r="Y463" s="749"/>
      <c r="Z463" s="749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250</v>
      </c>
      <c r="Y468" s="556">
        <f>IFERROR(IF(X468="",0,CEILING((X468/$H468),1)*$H468),"")</f>
        <v>252</v>
      </c>
      <c r="Z468" s="36">
        <f>IFERROR(IF(Y468=0,"",ROUNDUP(Y468/H468,0)*0.01898),"")</f>
        <v>0.39857999999999999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258.54166666666669</v>
      </c>
      <c r="BN468" s="64">
        <f>IFERROR(Y468*I468/H468,"0")</f>
        <v>260.61</v>
      </c>
      <c r="BO468" s="64">
        <f>IFERROR(1/J468*(X468/H468),"0")</f>
        <v>0.32552083333333331</v>
      </c>
      <c r="BP468" s="64">
        <f>IFERROR(1/J468*(Y468/H468),"0")</f>
        <v>0.328125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20.833333333333332</v>
      </c>
      <c r="Y470" s="557">
        <f>IFERROR(Y466/H466,"0")+IFERROR(Y467/H467,"0")+IFERROR(Y468/H468,"0")+IFERROR(Y469/H469,"0")</f>
        <v>21</v>
      </c>
      <c r="Z470" s="557">
        <f>IFERROR(IF(Z466="",0,Z466),"0")+IFERROR(IF(Z467="",0,Z467),"0")+IFERROR(IF(Z468="",0,Z468),"0")+IFERROR(IF(Z469="",0,Z469),"0")</f>
        <v>0.39857999999999999</v>
      </c>
      <c r="AA470" s="558"/>
      <c r="AB470" s="558"/>
      <c r="AC470" s="558"/>
    </row>
    <row r="471" spans="1:68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250</v>
      </c>
      <c r="Y471" s="557">
        <f>IFERROR(SUM(Y466:Y469),"0")</f>
        <v>252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7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80</v>
      </c>
      <c r="Y478" s="556">
        <f>IFERROR(IF(X478="",0,CEILING((X478/$H478),1)*$H478),"")</f>
        <v>84</v>
      </c>
      <c r="Z478" s="36">
        <f>IFERROR(IF(Y478=0,"",ROUNDUP(Y478/H478,0)*0.00902),"")</f>
        <v>0.1804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84.761904761904759</v>
      </c>
      <c r="BN478" s="64">
        <f>IFERROR(Y478*I478/H478,"0")</f>
        <v>89</v>
      </c>
      <c r="BO478" s="64">
        <f>IFERROR(1/J478*(X478/H478),"0")</f>
        <v>0.14430014430014429</v>
      </c>
      <c r="BP478" s="64">
        <f>IFERROR(1/J478*(Y478/H478),"0")</f>
        <v>0.15151515151515152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19.047619047619047</v>
      </c>
      <c r="Y480" s="557">
        <f>IFERROR(Y478/H478,"0")+IFERROR(Y479/H479,"0")</f>
        <v>20</v>
      </c>
      <c r="Z480" s="557">
        <f>IFERROR(IF(Z478="",0,Z478),"0")+IFERROR(IF(Z479="",0,Z479),"0")</f>
        <v>0.1804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80</v>
      </c>
      <c r="Y481" s="557">
        <f>IFERROR(SUM(Y478:Y479),"0")</f>
        <v>84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4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41"/>
      <c r="P496" s="715" t="s">
        <v>758</v>
      </c>
      <c r="Q496" s="690"/>
      <c r="R496" s="690"/>
      <c r="S496" s="690"/>
      <c r="T496" s="690"/>
      <c r="U496" s="690"/>
      <c r="V496" s="691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13166.900000000001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13280.520000000002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41"/>
      <c r="P497" s="715" t="s">
        <v>759</v>
      </c>
      <c r="Q497" s="690"/>
      <c r="R497" s="690"/>
      <c r="S497" s="690"/>
      <c r="T497" s="690"/>
      <c r="U497" s="690"/>
      <c r="V497" s="691"/>
      <c r="W497" s="37" t="s">
        <v>69</v>
      </c>
      <c r="X497" s="557">
        <f>IFERROR(SUM(BM22:BM493),"0")</f>
        <v>13815.417426369277</v>
      </c>
      <c r="Y497" s="557">
        <f>IFERROR(SUM(BN22:BN493),"0")</f>
        <v>13934.354000000003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41"/>
      <c r="P498" s="715" t="s">
        <v>760</v>
      </c>
      <c r="Q498" s="690"/>
      <c r="R498" s="690"/>
      <c r="S498" s="690"/>
      <c r="T498" s="690"/>
      <c r="U498" s="690"/>
      <c r="V498" s="691"/>
      <c r="W498" s="37" t="s">
        <v>761</v>
      </c>
      <c r="X498" s="38">
        <f>ROUNDUP(SUM(BO22:BO493),0)</f>
        <v>23</v>
      </c>
      <c r="Y498" s="38">
        <f>ROUNDUP(SUM(BP22:BP493),0)</f>
        <v>23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41"/>
      <c r="P499" s="715" t="s">
        <v>762</v>
      </c>
      <c r="Q499" s="690"/>
      <c r="R499" s="690"/>
      <c r="S499" s="690"/>
      <c r="T499" s="690"/>
      <c r="U499" s="690"/>
      <c r="V499" s="691"/>
      <c r="W499" s="37" t="s">
        <v>69</v>
      </c>
      <c r="X499" s="557">
        <f>GrossWeightTotal+PalletQtyTotal*25</f>
        <v>14390.417426369277</v>
      </c>
      <c r="Y499" s="557">
        <f>GrossWeightTotalR+PalletQtyTotalR*25</f>
        <v>14509.354000000003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41"/>
      <c r="P500" s="715" t="s">
        <v>763</v>
      </c>
      <c r="Q500" s="690"/>
      <c r="R500" s="690"/>
      <c r="S500" s="690"/>
      <c r="T500" s="690"/>
      <c r="U500" s="690"/>
      <c r="V500" s="691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1972.5720012605973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1987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41"/>
      <c r="P501" s="715" t="s">
        <v>764</v>
      </c>
      <c r="Q501" s="690"/>
      <c r="R501" s="690"/>
      <c r="S501" s="690"/>
      <c r="T501" s="690"/>
      <c r="U501" s="690"/>
      <c r="V501" s="691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25.734799999999996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81"/>
      <c r="E503" s="781"/>
      <c r="F503" s="781"/>
      <c r="G503" s="781"/>
      <c r="H503" s="782"/>
      <c r="I503" s="594" t="s">
        <v>268</v>
      </c>
      <c r="J503" s="781"/>
      <c r="K503" s="781"/>
      <c r="L503" s="781"/>
      <c r="M503" s="781"/>
      <c r="N503" s="781"/>
      <c r="O503" s="781"/>
      <c r="P503" s="781"/>
      <c r="Q503" s="781"/>
      <c r="R503" s="782"/>
      <c r="S503" s="594" t="s">
        <v>562</v>
      </c>
      <c r="T503" s="782"/>
      <c r="U503" s="594" t="s">
        <v>616</v>
      </c>
      <c r="V503" s="781"/>
      <c r="W503" s="782"/>
      <c r="X503" s="552" t="s">
        <v>667</v>
      </c>
      <c r="Y503" s="594" t="s">
        <v>722</v>
      </c>
      <c r="Z503" s="782"/>
      <c r="AB503" s="52"/>
      <c r="AC503" s="52"/>
      <c r="AF503" s="553"/>
    </row>
    <row r="504" spans="1:32" ht="14.25" customHeight="1" thickTop="1" x14ac:dyDescent="0.2">
      <c r="A504" s="769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70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329.6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653.40000000000009</v>
      </c>
      <c r="E506" s="46">
        <f>IFERROR(Y85*1,"0")+IFERROR(Y86*1,"0")+IFERROR(Y87*1,"0")+IFERROR(Y88*1,"0")+IFERROR(Y92*1,"0")+IFERROR(Y93*1,"0")+IFERROR(Y94*1,"0")+IFERROR(Y95*1,"0")</f>
        <v>699.30000000000007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591.45000000000005</v>
      </c>
      <c r="G506" s="46">
        <f>IFERROR(Y127*1,"0")+IFERROR(Y128*1,"0")+IFERROR(Y132*1,"0")+IFERROR(Y133*1,"0")+IFERROR(Y137*1,"0")+IFERROR(Y138*1,"0")</f>
        <v>94.48</v>
      </c>
      <c r="H506" s="46">
        <f>IFERROR(Y143*1,"0")+IFERROR(Y144*1,"0")+IFERROR(Y148*1,"0")+IFERROR(Y149*1,"0")+IFERROR(Y150*1,"0")+IFERROR(Y151*1,"0")+IFERROR(Y152*1,"0")+IFERROR(Y153*1,"0")+IFERROR(Y157*1,"0")</f>
        <v>160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235.62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471.00000000000006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22.500000000000004</v>
      </c>
      <c r="L506" s="46">
        <f>IFERROR(Y263*1,"0")+IFERROR(Y264*1,"0")+IFERROR(Y265*1,"0")+IFERROR(Y266*1,"0")+IFERROR(Y267*1,"0")</f>
        <v>237.60000000000002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21.6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3645.4700000000007</v>
      </c>
      <c r="R506" s="46">
        <f>IFERROR(Y343*1,"0")+IFERROR(Y344*1,"0")+IFERROR(Y345*1,"0")</f>
        <v>140.69999999999999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4995</v>
      </c>
      <c r="T506" s="46">
        <f>IFERROR(Y376*1,"0")+IFERROR(Y377*1,"0")+IFERROR(Y381*1,"0")+IFERROR(Y382*1,"0")+IFERROR(Y386*1,"0")+IFERROR(Y387*1,"0")+IFERROR(Y388*1,"0")</f>
        <v>87.6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15</v>
      </c>
      <c r="V506" s="46">
        <f>IFERROR(Y412*1,"0")+IFERROR(Y416*1,"0")+IFERROR(Y417*1,"0")+IFERROR(Y418*1,"0")+IFERROR(Y419*1,"0")</f>
        <v>16.200000000000003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528.00000000000011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336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72,57"/>
        <filter val="1,80"/>
        <filter val="1,98"/>
        <filter val="10,00"/>
        <filter val="100,00"/>
        <filter val="103,60"/>
        <filter val="108,00"/>
        <filter val="11,67"/>
        <filter val="112,22"/>
        <filter val="12,00"/>
        <filter val="120,00"/>
        <filter val="13 166,90"/>
        <filter val="13 815,42"/>
        <filter val="13,00"/>
        <filter val="134,00"/>
        <filter val="135,00"/>
        <filter val="138,33"/>
        <filter val="14 390,42"/>
        <filter val="14,20"/>
        <filter val="14,40"/>
        <filter val="142,10"/>
        <filter val="15,00"/>
        <filter val="15,96"/>
        <filter val="150,00"/>
        <filter val="156,00"/>
        <filter val="160,00"/>
        <filter val="17,10"/>
        <filter val="170,20"/>
        <filter val="179,90"/>
        <filter val="18,48"/>
        <filter val="18,89"/>
        <filter val="18,90"/>
        <filter val="18,94"/>
        <filter val="180,00"/>
        <filter val="19,05"/>
        <filter val="2 000,00"/>
        <filter val="2 020,00"/>
        <filter val="2 200,00"/>
        <filter val="2 230,00"/>
        <filter val="2 955,00"/>
        <filter val="2,00"/>
        <filter val="2,52"/>
        <filter val="2,78"/>
        <filter val="2,97"/>
        <filter val="20,00"/>
        <filter val="20,26"/>
        <filter val="20,83"/>
        <filter val="200,00"/>
        <filter val="21,00"/>
        <filter val="21,30"/>
        <filter val="21,60"/>
        <filter val="211,50"/>
        <filter val="216,00"/>
        <filter val="216,33"/>
        <filter val="23"/>
        <filter val="230,00"/>
        <filter val="24,00"/>
        <filter val="25,50"/>
        <filter val="250,00"/>
        <filter val="26,00"/>
        <filter val="260,00"/>
        <filter val="28,00"/>
        <filter val="282,00"/>
        <filter val="29,40"/>
        <filter val="29,70"/>
        <filter val="292,05"/>
        <filter val="3,00"/>
        <filter val="3,78"/>
        <filter val="3,85"/>
        <filter val="30,00"/>
        <filter val="300,00"/>
        <filter val="308,00"/>
        <filter val="31,50"/>
        <filter val="319,20"/>
        <filter val="32,00"/>
        <filter val="320,00"/>
        <filter val="335,00"/>
        <filter val="360,00"/>
        <filter val="386,75"/>
        <filter val="4,20"/>
        <filter val="4,95"/>
        <filter val="40,00"/>
        <filter val="40,50"/>
        <filter val="42,00"/>
        <filter val="42,15"/>
        <filter val="42,35"/>
        <filter val="45,00"/>
        <filter val="450,00"/>
        <filter val="46,17"/>
        <filter val="474,40"/>
        <filter val="48,00"/>
        <filter val="48,52"/>
        <filter val="5,40"/>
        <filter val="50,00"/>
        <filter val="516,00"/>
        <filter val="54,00"/>
        <filter val="54,88"/>
        <filter val="55,00"/>
        <filter val="58,52"/>
        <filter val="59,40"/>
        <filter val="594,00"/>
        <filter val="6,00"/>
        <filter val="6,30"/>
        <filter val="60,00"/>
        <filter val="61,11"/>
        <filter val="62,82"/>
        <filter val="63,00"/>
        <filter val="63,52"/>
        <filter val="65,00"/>
        <filter val="7,00"/>
        <filter val="7,65"/>
        <filter val="72,00"/>
        <filter val="75,78"/>
        <filter val="77,67"/>
        <filter val="78,75"/>
        <filter val="8,00"/>
        <filter val="8,82"/>
        <filter val="80,00"/>
        <filter val="82,00"/>
        <filter val="87,50"/>
        <filter val="9,00"/>
        <filter val="9,60"/>
        <filter val="90,00"/>
        <filter val="91,19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