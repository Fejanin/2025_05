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2849ED7-A0A9-452C-B6EC-7161BD0402D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Y480" i="1" s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4" i="1"/>
  <c r="Y383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Z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Y259" i="1" s="1"/>
  <c r="P254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Y247" i="1" s="1"/>
  <c r="P246" i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K506" i="1" s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X90" i="1"/>
  <c r="X89" i="1"/>
  <c r="BO88" i="1"/>
  <c r="BM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P22" i="1"/>
  <c r="BO22" i="1"/>
  <c r="BN22" i="1"/>
  <c r="BM22" i="1"/>
  <c r="Z22" i="1"/>
  <c r="Y22" i="1"/>
  <c r="P22" i="1"/>
  <c r="H10" i="1"/>
  <c r="F10" i="1"/>
  <c r="F9" i="1"/>
  <c r="A9" i="1"/>
  <c r="A10" i="1" s="1"/>
  <c r="D7" i="1"/>
  <c r="Q6" i="1"/>
  <c r="P2" i="1"/>
  <c r="BP143" i="1" l="1"/>
  <c r="BN143" i="1"/>
  <c r="Z143" i="1"/>
  <c r="BP177" i="1"/>
  <c r="BN177" i="1"/>
  <c r="Z177" i="1"/>
  <c r="BP212" i="1"/>
  <c r="BN212" i="1"/>
  <c r="Z212" i="1"/>
  <c r="BP237" i="1"/>
  <c r="BN237" i="1"/>
  <c r="Z237" i="1"/>
  <c r="BP275" i="1"/>
  <c r="BN275" i="1"/>
  <c r="Z275" i="1"/>
  <c r="BP308" i="1"/>
  <c r="BN308" i="1"/>
  <c r="Z308" i="1"/>
  <c r="BP336" i="1"/>
  <c r="BN336" i="1"/>
  <c r="Z336" i="1"/>
  <c r="BP367" i="1"/>
  <c r="BN367" i="1"/>
  <c r="Z367" i="1"/>
  <c r="BP402" i="1"/>
  <c r="BN402" i="1"/>
  <c r="Z402" i="1"/>
  <c r="BP435" i="1"/>
  <c r="BN435" i="1"/>
  <c r="Z435" i="1"/>
  <c r="BP455" i="1"/>
  <c r="BN455" i="1"/>
  <c r="Z455" i="1"/>
  <c r="Z30" i="1"/>
  <c r="BN30" i="1"/>
  <c r="Z57" i="1"/>
  <c r="BN57" i="1"/>
  <c r="Z75" i="1"/>
  <c r="BN75" i="1"/>
  <c r="Z92" i="1"/>
  <c r="BN92" i="1"/>
  <c r="BP101" i="1"/>
  <c r="BN101" i="1"/>
  <c r="BP115" i="1"/>
  <c r="BN115" i="1"/>
  <c r="Z115" i="1"/>
  <c r="Y159" i="1"/>
  <c r="Y158" i="1"/>
  <c r="BP157" i="1"/>
  <c r="BN157" i="1"/>
  <c r="Z157" i="1"/>
  <c r="Z158" i="1" s="1"/>
  <c r="Y164" i="1"/>
  <c r="BP163" i="1"/>
  <c r="BN163" i="1"/>
  <c r="Z163" i="1"/>
  <c r="Z164" i="1" s="1"/>
  <c r="BP169" i="1"/>
  <c r="BN169" i="1"/>
  <c r="Z169" i="1"/>
  <c r="BP200" i="1"/>
  <c r="BN200" i="1"/>
  <c r="Z200" i="1"/>
  <c r="BP222" i="1"/>
  <c r="BN222" i="1"/>
  <c r="Z222" i="1"/>
  <c r="BP257" i="1"/>
  <c r="BN257" i="1"/>
  <c r="Z257" i="1"/>
  <c r="BP318" i="1"/>
  <c r="BN318" i="1"/>
  <c r="Z318" i="1"/>
  <c r="BP353" i="1"/>
  <c r="BN353" i="1"/>
  <c r="Z353" i="1"/>
  <c r="BP394" i="1"/>
  <c r="BN394" i="1"/>
  <c r="Z394" i="1"/>
  <c r="Y425" i="1"/>
  <c r="BP424" i="1"/>
  <c r="BN424" i="1"/>
  <c r="Z424" i="1"/>
  <c r="Z425" i="1" s="1"/>
  <c r="BP445" i="1"/>
  <c r="BN445" i="1"/>
  <c r="Z445" i="1"/>
  <c r="BP479" i="1"/>
  <c r="BN479" i="1"/>
  <c r="Z479" i="1"/>
  <c r="Y485" i="1"/>
  <c r="Y484" i="1"/>
  <c r="BP483" i="1"/>
  <c r="BN483" i="1"/>
  <c r="Z483" i="1"/>
  <c r="Z484" i="1" s="1"/>
  <c r="BP487" i="1"/>
  <c r="BN487" i="1"/>
  <c r="Z487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0" i="1"/>
  <c r="BN210" i="1"/>
  <c r="Z210" i="1"/>
  <c r="BP220" i="1"/>
  <c r="BN220" i="1"/>
  <c r="Z220" i="1"/>
  <c r="BP235" i="1"/>
  <c r="BN235" i="1"/>
  <c r="Z235" i="1"/>
  <c r="BP255" i="1"/>
  <c r="BN255" i="1"/>
  <c r="Z255" i="1"/>
  <c r="BP273" i="1"/>
  <c r="BN273" i="1"/>
  <c r="Z273" i="1"/>
  <c r="BP287" i="1"/>
  <c r="BN287" i="1"/>
  <c r="Z287" i="1"/>
  <c r="J9" i="1"/>
  <c r="Z28" i="1"/>
  <c r="BN28" i="1"/>
  <c r="Z42" i="1"/>
  <c r="BN42" i="1"/>
  <c r="Z55" i="1"/>
  <c r="BN55" i="1"/>
  <c r="Z61" i="1"/>
  <c r="BN61" i="1"/>
  <c r="Z67" i="1"/>
  <c r="BN67" i="1"/>
  <c r="BP67" i="1"/>
  <c r="BP73" i="1"/>
  <c r="BN73" i="1"/>
  <c r="Z73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Y226" i="1"/>
  <c r="BP216" i="1"/>
  <c r="BN216" i="1"/>
  <c r="Z216" i="1"/>
  <c r="BP224" i="1"/>
  <c r="BN224" i="1"/>
  <c r="Z224" i="1"/>
  <c r="BP239" i="1"/>
  <c r="BN239" i="1"/>
  <c r="Z239" i="1"/>
  <c r="BP264" i="1"/>
  <c r="BN264" i="1"/>
  <c r="Z264" i="1"/>
  <c r="BP280" i="1"/>
  <c r="BN280" i="1"/>
  <c r="Z280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73" i="1"/>
  <c r="Y372" i="1"/>
  <c r="BP371" i="1"/>
  <c r="BN371" i="1"/>
  <c r="Z371" i="1"/>
  <c r="Z372" i="1" s="1"/>
  <c r="BP376" i="1"/>
  <c r="BN376" i="1"/>
  <c r="Z376" i="1"/>
  <c r="BP396" i="1"/>
  <c r="BN396" i="1"/>
  <c r="Z396" i="1"/>
  <c r="Y408" i="1"/>
  <c r="BP406" i="1"/>
  <c r="BN406" i="1"/>
  <c r="Z406" i="1"/>
  <c r="BP437" i="1"/>
  <c r="BN437" i="1"/>
  <c r="Z437" i="1"/>
  <c r="BP447" i="1"/>
  <c r="BN447" i="1"/>
  <c r="Z447" i="1"/>
  <c r="BP467" i="1"/>
  <c r="BN467" i="1"/>
  <c r="Z467" i="1"/>
  <c r="Y96" i="1"/>
  <c r="Y202" i="1"/>
  <c r="Y230" i="1"/>
  <c r="BP293" i="1"/>
  <c r="BN293" i="1"/>
  <c r="BP302" i="1"/>
  <c r="BN302" i="1"/>
  <c r="Z302" i="1"/>
  <c r="Y320" i="1"/>
  <c r="BP316" i="1"/>
  <c r="BN316" i="1"/>
  <c r="Z316" i="1"/>
  <c r="BP332" i="1"/>
  <c r="BN332" i="1"/>
  <c r="Z332" i="1"/>
  <c r="Y359" i="1"/>
  <c r="BP351" i="1"/>
  <c r="BN351" i="1"/>
  <c r="Z351" i="1"/>
  <c r="BP361" i="1"/>
  <c r="BN361" i="1"/>
  <c r="Z361" i="1"/>
  <c r="BP388" i="1"/>
  <c r="BN388" i="1"/>
  <c r="Z388" i="1"/>
  <c r="BP400" i="1"/>
  <c r="BN400" i="1"/>
  <c r="Z400" i="1"/>
  <c r="BP419" i="1"/>
  <c r="BN419" i="1"/>
  <c r="Z419" i="1"/>
  <c r="BP433" i="1"/>
  <c r="BN433" i="1"/>
  <c r="Z433" i="1"/>
  <c r="BP441" i="1"/>
  <c r="BN441" i="1"/>
  <c r="Z441" i="1"/>
  <c r="BP453" i="1"/>
  <c r="BN453" i="1"/>
  <c r="Z453" i="1"/>
  <c r="Y475" i="1"/>
  <c r="BP473" i="1"/>
  <c r="BN473" i="1"/>
  <c r="Z473" i="1"/>
  <c r="Y340" i="1"/>
  <c r="Y339" i="1"/>
  <c r="U506" i="1"/>
  <c r="Y426" i="1"/>
  <c r="Y457" i="1"/>
  <c r="W506" i="1"/>
  <c r="Y36" i="1"/>
  <c r="BP35" i="1"/>
  <c r="BN35" i="1"/>
  <c r="Z35" i="1"/>
  <c r="Z36" i="1" s="1"/>
  <c r="BP23" i="1"/>
  <c r="BN23" i="1"/>
  <c r="Z23" i="1"/>
  <c r="Z24" i="1" s="1"/>
  <c r="B506" i="1"/>
  <c r="Y25" i="1"/>
  <c r="Y32" i="1"/>
  <c r="BP27" i="1"/>
  <c r="BN27" i="1"/>
  <c r="Z27" i="1"/>
  <c r="BP31" i="1"/>
  <c r="BN31" i="1"/>
  <c r="Z31" i="1"/>
  <c r="Y33" i="1"/>
  <c r="Y37" i="1"/>
  <c r="C506" i="1"/>
  <c r="Y44" i="1"/>
  <c r="BP41" i="1"/>
  <c r="BN41" i="1"/>
  <c r="Z41" i="1"/>
  <c r="BP54" i="1"/>
  <c r="BN54" i="1"/>
  <c r="Z54" i="1"/>
  <c r="Y58" i="1"/>
  <c r="BP62" i="1"/>
  <c r="BN62" i="1"/>
  <c r="Z62" i="1"/>
  <c r="Z64" i="1" s="1"/>
  <c r="BP74" i="1"/>
  <c r="BN74" i="1"/>
  <c r="Z74" i="1"/>
  <c r="BP87" i="1"/>
  <c r="BN87" i="1"/>
  <c r="Z87" i="1"/>
  <c r="BP95" i="1"/>
  <c r="BN95" i="1"/>
  <c r="Z95" i="1"/>
  <c r="Y97" i="1"/>
  <c r="F506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Y198" i="1"/>
  <c r="BP195" i="1"/>
  <c r="BN195" i="1"/>
  <c r="Z195" i="1"/>
  <c r="J506" i="1"/>
  <c r="BP207" i="1"/>
  <c r="BN207" i="1"/>
  <c r="Z207" i="1"/>
  <c r="BP211" i="1"/>
  <c r="BN211" i="1"/>
  <c r="Z211" i="1"/>
  <c r="BP219" i="1"/>
  <c r="BN219" i="1"/>
  <c r="Z219" i="1"/>
  <c r="BP223" i="1"/>
  <c r="BN223" i="1"/>
  <c r="Z223" i="1"/>
  <c r="Y24" i="1"/>
  <c r="X500" i="1"/>
  <c r="BP29" i="1"/>
  <c r="BN29" i="1"/>
  <c r="Z29" i="1"/>
  <c r="BP43" i="1"/>
  <c r="BN43" i="1"/>
  <c r="Z43" i="1"/>
  <c r="Y45" i="1"/>
  <c r="Y48" i="1"/>
  <c r="BP47" i="1"/>
  <c r="BN47" i="1"/>
  <c r="Z47" i="1"/>
  <c r="Z48" i="1" s="1"/>
  <c r="Y49" i="1"/>
  <c r="D506" i="1"/>
  <c r="Y59" i="1"/>
  <c r="BP52" i="1"/>
  <c r="BN52" i="1"/>
  <c r="Z52" i="1"/>
  <c r="BP56" i="1"/>
  <c r="BN56" i="1"/>
  <c r="Z56" i="1"/>
  <c r="Y65" i="1"/>
  <c r="Y64" i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6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6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4" i="1"/>
  <c r="BP205" i="1"/>
  <c r="BN205" i="1"/>
  <c r="Z205" i="1"/>
  <c r="Z213" i="1" s="1"/>
  <c r="BP209" i="1"/>
  <c r="BN209" i="1"/>
  <c r="Z209" i="1"/>
  <c r="Y213" i="1"/>
  <c r="BP217" i="1"/>
  <c r="BN217" i="1"/>
  <c r="Z217" i="1"/>
  <c r="BP221" i="1"/>
  <c r="BN221" i="1"/>
  <c r="Z221" i="1"/>
  <c r="Y225" i="1"/>
  <c r="BP229" i="1"/>
  <c r="BN229" i="1"/>
  <c r="Z229" i="1"/>
  <c r="Z230" i="1" s="1"/>
  <c r="Y231" i="1"/>
  <c r="Y244" i="1"/>
  <c r="Y248" i="1"/>
  <c r="Y252" i="1"/>
  <c r="Y260" i="1"/>
  <c r="L506" i="1"/>
  <c r="Y268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BP311" i="1"/>
  <c r="BN311" i="1"/>
  <c r="Z311" i="1"/>
  <c r="BP319" i="1"/>
  <c r="BN319" i="1"/>
  <c r="Z319" i="1"/>
  <c r="Y321" i="1"/>
  <c r="Y326" i="1"/>
  <c r="BP323" i="1"/>
  <c r="BN323" i="1"/>
  <c r="Z323" i="1"/>
  <c r="BP331" i="1"/>
  <c r="BN331" i="1"/>
  <c r="Z331" i="1"/>
  <c r="BP344" i="1"/>
  <c r="BN344" i="1"/>
  <c r="Z344" i="1"/>
  <c r="Z346" i="1" s="1"/>
  <c r="BP354" i="1"/>
  <c r="BN354" i="1"/>
  <c r="Z354" i="1"/>
  <c r="Y358" i="1"/>
  <c r="BP362" i="1"/>
  <c r="BN362" i="1"/>
  <c r="Z362" i="1"/>
  <c r="Z363" i="1" s="1"/>
  <c r="Y364" i="1"/>
  <c r="Y369" i="1"/>
  <c r="BP366" i="1"/>
  <c r="BN366" i="1"/>
  <c r="Z366" i="1"/>
  <c r="BP387" i="1"/>
  <c r="BN387" i="1"/>
  <c r="Z387" i="1"/>
  <c r="Z389" i="1" s="1"/>
  <c r="BP397" i="1"/>
  <c r="BN397" i="1"/>
  <c r="Z397" i="1"/>
  <c r="BP401" i="1"/>
  <c r="BN401" i="1"/>
  <c r="Z401" i="1"/>
  <c r="BP418" i="1"/>
  <c r="BN418" i="1"/>
  <c r="Z418" i="1"/>
  <c r="BP454" i="1"/>
  <c r="BN454" i="1"/>
  <c r="Z454" i="1"/>
  <c r="BP468" i="1"/>
  <c r="BN468" i="1"/>
  <c r="Z468" i="1"/>
  <c r="S506" i="1"/>
  <c r="H9" i="1"/>
  <c r="X497" i="1"/>
  <c r="X498" i="1"/>
  <c r="X496" i="1"/>
  <c r="H506" i="1"/>
  <c r="Y145" i="1"/>
  <c r="I506" i="1"/>
  <c r="Y165" i="1"/>
  <c r="Z234" i="1"/>
  <c r="BN234" i="1"/>
  <c r="BP234" i="1"/>
  <c r="Z236" i="1"/>
  <c r="BN236" i="1"/>
  <c r="Z238" i="1"/>
  <c r="BN238" i="1"/>
  <c r="Z240" i="1"/>
  <c r="BN240" i="1"/>
  <c r="Z242" i="1"/>
  <c r="BN242" i="1"/>
  <c r="Y243" i="1"/>
  <c r="Z246" i="1"/>
  <c r="Z247" i="1" s="1"/>
  <c r="BN246" i="1"/>
  <c r="BP246" i="1"/>
  <c r="Z250" i="1"/>
  <c r="Z251" i="1" s="1"/>
  <c r="BN250" i="1"/>
  <c r="BP250" i="1"/>
  <c r="Z254" i="1"/>
  <c r="BN254" i="1"/>
  <c r="BP254" i="1"/>
  <c r="Z256" i="1"/>
  <c r="BN256" i="1"/>
  <c r="Z258" i="1"/>
  <c r="BN258" i="1"/>
  <c r="Z263" i="1"/>
  <c r="BN263" i="1"/>
  <c r="BP263" i="1"/>
  <c r="Z265" i="1"/>
  <c r="BN265" i="1"/>
  <c r="BP274" i="1"/>
  <c r="BN274" i="1"/>
  <c r="Z274" i="1"/>
  <c r="Y284" i="1"/>
  <c r="Y283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Y313" i="1"/>
  <c r="BP317" i="1"/>
  <c r="BN317" i="1"/>
  <c r="Z317" i="1"/>
  <c r="Z320" i="1" s="1"/>
  <c r="BP325" i="1"/>
  <c r="BN325" i="1"/>
  <c r="Z325" i="1"/>
  <c r="Y327" i="1"/>
  <c r="Y334" i="1"/>
  <c r="BP329" i="1"/>
  <c r="BN329" i="1"/>
  <c r="Z329" i="1"/>
  <c r="Z333" i="1" s="1"/>
  <c r="Y333" i="1"/>
  <c r="BP337" i="1"/>
  <c r="BN337" i="1"/>
  <c r="Z337" i="1"/>
  <c r="Z339" i="1" s="1"/>
  <c r="Y346" i="1"/>
  <c r="BP352" i="1"/>
  <c r="BN352" i="1"/>
  <c r="Z352" i="1"/>
  <c r="BP356" i="1"/>
  <c r="BN356" i="1"/>
  <c r="Z356" i="1"/>
  <c r="Y363" i="1"/>
  <c r="Y368" i="1"/>
  <c r="BP377" i="1"/>
  <c r="BN377" i="1"/>
  <c r="Z377" i="1"/>
  <c r="Z378" i="1" s="1"/>
  <c r="Y379" i="1"/>
  <c r="Y384" i="1"/>
  <c r="BP381" i="1"/>
  <c r="BN381" i="1"/>
  <c r="Z381" i="1"/>
  <c r="Z383" i="1" s="1"/>
  <c r="Y390" i="1"/>
  <c r="Y389" i="1"/>
  <c r="BP395" i="1"/>
  <c r="BN395" i="1"/>
  <c r="Z395" i="1"/>
  <c r="Z403" i="1" s="1"/>
  <c r="BP399" i="1"/>
  <c r="BN399" i="1"/>
  <c r="Z399" i="1"/>
  <c r="Y403" i="1"/>
  <c r="BP407" i="1"/>
  <c r="BN407" i="1"/>
  <c r="Z407" i="1"/>
  <c r="Z408" i="1" s="1"/>
  <c r="Y409" i="1"/>
  <c r="V506" i="1"/>
  <c r="Y413" i="1"/>
  <c r="BP412" i="1"/>
  <c r="BN412" i="1"/>
  <c r="Z412" i="1"/>
  <c r="Z413" i="1" s="1"/>
  <c r="Y414" i="1"/>
  <c r="Y421" i="1"/>
  <c r="BP416" i="1"/>
  <c r="BN416" i="1"/>
  <c r="Z416" i="1"/>
  <c r="Z420" i="1" s="1"/>
  <c r="Y420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48" i="1"/>
  <c r="BP488" i="1"/>
  <c r="BN488" i="1"/>
  <c r="Z488" i="1"/>
  <c r="Y490" i="1"/>
  <c r="Z506" i="1"/>
  <c r="Y494" i="1"/>
  <c r="BP493" i="1"/>
  <c r="BN493" i="1"/>
  <c r="Z493" i="1"/>
  <c r="Z494" i="1" s="1"/>
  <c r="Y495" i="1"/>
  <c r="O506" i="1"/>
  <c r="P506" i="1"/>
  <c r="Y289" i="1"/>
  <c r="Y304" i="1"/>
  <c r="R506" i="1"/>
  <c r="Y347" i="1"/>
  <c r="T506" i="1"/>
  <c r="Y378" i="1"/>
  <c r="Y404" i="1"/>
  <c r="BP432" i="1"/>
  <c r="BN432" i="1"/>
  <c r="Z432" i="1"/>
  <c r="BP436" i="1"/>
  <c r="BN436" i="1"/>
  <c r="Z436" i="1"/>
  <c r="BP440" i="1"/>
  <c r="BN440" i="1"/>
  <c r="Z440" i="1"/>
  <c r="Y449" i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470" i="1"/>
  <c r="BP474" i="1"/>
  <c r="BN474" i="1"/>
  <c r="Z474" i="1"/>
  <c r="Y476" i="1"/>
  <c r="Y481" i="1"/>
  <c r="BP478" i="1"/>
  <c r="BN478" i="1"/>
  <c r="Z478" i="1"/>
  <c r="Z480" i="1" s="1"/>
  <c r="Y489" i="1"/>
  <c r="Y506" i="1"/>
  <c r="Z475" i="1" l="1"/>
  <c r="Z470" i="1"/>
  <c r="Z489" i="1"/>
  <c r="Z368" i="1"/>
  <c r="Z69" i="1"/>
  <c r="Y497" i="1"/>
  <c r="Z358" i="1"/>
  <c r="Z259" i="1"/>
  <c r="Z243" i="1"/>
  <c r="Z225" i="1"/>
  <c r="Z197" i="1"/>
  <c r="Z119" i="1"/>
  <c r="Y498" i="1"/>
  <c r="Z442" i="1"/>
  <c r="Z313" i="1"/>
  <c r="Z276" i="1"/>
  <c r="Z44" i="1"/>
  <c r="Z32" i="1"/>
  <c r="Y496" i="1"/>
  <c r="Z268" i="1"/>
  <c r="X499" i="1"/>
  <c r="Z326" i="1"/>
  <c r="Z154" i="1"/>
  <c r="Z58" i="1"/>
  <c r="Y500" i="1"/>
  <c r="Z181" i="1"/>
  <c r="Z112" i="1"/>
  <c r="Z105" i="1"/>
  <c r="Y499" i="1" l="1"/>
  <c r="Z501" i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<sst xmlns="http://schemas.openxmlformats.org/spreadsheetml/2006/main" count="2386" uniqueCount="785">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</sst>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111" sqref="AA11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46038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Пятница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0.45833333333333331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0</v>
      </c>
      <c r="Y44" s="557">
        <f>IFERROR(Y41/H41,"0")+IFERROR(Y42/H42,"0")+IFERROR(Y43/H43,"0")</f>
        <v>0</v>
      </c>
      <c r="Z44" s="557">
        <f>IFERROR(IF(Z41="",0,Z41),"0")+IFERROR(IF(Z42="",0,Z42),"0")+IFERROR(IF(Z43="",0,Z43),"0")</f>
        <v>0</v>
      </c>
      <c r="AA44" s="558"/>
      <c r="AB44" s="558"/>
      <c r="AC44" s="558"/>
    </row>
    <row r="45" spans="1:68" hidden="1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0</v>
      </c>
      <c r="Y45" s="557">
        <f>IFERROR(SUM(Y41:Y43),"0")</f>
        <v>0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0</v>
      </c>
      <c r="Y53" s="55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0</v>
      </c>
      <c r="Y57" s="55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0</v>
      </c>
      <c r="Y58" s="557">
        <f>IFERROR(Y52/H52,"0")+IFERROR(Y53/H53,"0")+IFERROR(Y54/H54,"0")+IFERROR(Y55/H55,"0")+IFERROR(Y56/H56,"0")+IFERROR(Y57/H57,"0")</f>
        <v>0</v>
      </c>
      <c r="Z58" s="557">
        <f>IFERROR(IF(Z52="",0,Z52),"0")+IFERROR(IF(Z53="",0,Z53),"0")+IFERROR(IF(Z54="",0,Z54),"0")+IFERROR(IF(Z55="",0,Z55),"0")+IFERROR(IF(Z56="",0,Z56),"0")+IFERROR(IF(Z57="",0,Z57),"0")</f>
        <v>0</v>
      </c>
      <c r="AA58" s="558"/>
      <c r="AB58" s="558"/>
      <c r="AC58" s="558"/>
    </row>
    <row r="59" spans="1:68" hidden="1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0</v>
      </c>
      <c r="Y59" s="557">
        <f>IFERROR(SUM(Y52:Y57),"0")</f>
        <v>0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hidden="1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hidden="1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hidden="1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hidden="1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40.799999999999997</v>
      </c>
      <c r="Y111" s="556">
        <f>IFERROR(IF(X111="",0,CEILING((X111/$H111),1)*$H111),"")</f>
        <v>40.799999999999997</v>
      </c>
      <c r="Z111" s="36">
        <f>IFERROR(IF(Y111=0,"",ROUNDUP(Y111/H111,0)*0.00651),"")</f>
        <v>0.11067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43.86</v>
      </c>
      <c r="BN111" s="64">
        <f>IFERROR(Y111*I111/H111,"0")</f>
        <v>43.86</v>
      </c>
      <c r="BO111" s="64">
        <f>IFERROR(1/J111*(X111/H111),"0")</f>
        <v>9.3406593406593408E-2</v>
      </c>
      <c r="BP111" s="64">
        <f>IFERROR(1/J111*(Y111/H111),"0")</f>
        <v>9.3406593406593408E-2</v>
      </c>
    </row>
    <row r="112" spans="1:68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17</v>
      </c>
      <c r="Y112" s="557">
        <f>IFERROR(Y108/H108,"0")+IFERROR(Y109/H109,"0")+IFERROR(Y110/H110,"0")+IFERROR(Y111/H111,"0")</f>
        <v>17</v>
      </c>
      <c r="Z112" s="557">
        <f>IFERROR(IF(Z108="",0,Z108),"0")+IFERROR(IF(Z109="",0,Z109),"0")+IFERROR(IF(Z110="",0,Z110),"0")+IFERROR(IF(Z111="",0,Z111),"0")</f>
        <v>0.11067</v>
      </c>
      <c r="AA112" s="558"/>
      <c r="AB112" s="558"/>
      <c r="AC112" s="558"/>
    </row>
    <row r="113" spans="1:68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40.799999999999997</v>
      </c>
      <c r="Y113" s="557">
        <f>IFERROR(SUM(Y108:Y111),"0")</f>
        <v>40.799999999999997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0</v>
      </c>
      <c r="Y115" s="556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0</v>
      </c>
      <c r="Y119" s="557">
        <f>IFERROR(Y115/H115,"0")+IFERROR(Y116/H116,"0")+IFERROR(Y117/H117,"0")+IFERROR(Y118/H118,"0")</f>
        <v>0</v>
      </c>
      <c r="Z119" s="557">
        <f>IFERROR(IF(Z115="",0,Z115),"0")+IFERROR(IF(Z116="",0,Z116),"0")+IFERROR(IF(Z117="",0,Z117),"0")+IFERROR(IF(Z118="",0,Z118),"0")</f>
        <v>0</v>
      </c>
      <c r="AA119" s="558"/>
      <c r="AB119" s="558"/>
      <c r="AC119" s="558"/>
    </row>
    <row r="120" spans="1:68" hidden="1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0</v>
      </c>
      <c r="Y120" s="557">
        <f>IFERROR(SUM(Y115:Y118),"0")</f>
        <v>0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53.2</v>
      </c>
      <c r="Y133" s="556">
        <f>IFERROR(IF(X133="",0,CEILING((X133/$H133),1)*$H133),"")</f>
        <v>53.199999999999996</v>
      </c>
      <c r="Z133" s="36">
        <f>IFERROR(IF(Y133=0,"",ROUNDUP(Y133/H133,0)*0.00651),"")</f>
        <v>0.12369000000000001</v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58.292000000000009</v>
      </c>
      <c r="BN133" s="64">
        <f>IFERROR(Y133*I133/H133,"0")</f>
        <v>58.291999999999994</v>
      </c>
      <c r="BO133" s="64">
        <f>IFERROR(1/J133*(X133/H133),"0")</f>
        <v>0.10439560439560443</v>
      </c>
      <c r="BP133" s="64">
        <f>IFERROR(1/J133*(Y133/H133),"0")</f>
        <v>0.1043956043956044</v>
      </c>
    </row>
    <row r="134" spans="1:68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19.000000000000004</v>
      </c>
      <c r="Y134" s="557">
        <f>IFERROR(Y132/H132,"0")+IFERROR(Y133/H133,"0")</f>
        <v>19</v>
      </c>
      <c r="Z134" s="557">
        <f>IFERROR(IF(Z132="",0,Z132),"0")+IFERROR(IF(Z133="",0,Z133),"0")</f>
        <v>0.12369000000000001</v>
      </c>
      <c r="AA134" s="558"/>
      <c r="AB134" s="558"/>
      <c r="AC134" s="558"/>
    </row>
    <row r="135" spans="1:68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53.2</v>
      </c>
      <c r="Y135" s="557">
        <f>IFERROR(SUM(Y132:Y133),"0")</f>
        <v>53.199999999999996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hidden="1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hidden="1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hidden="1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40.799999999999997</v>
      </c>
      <c r="Y223" s="556">
        <f t="shared" si="20"/>
        <v>40.799999999999997</v>
      </c>
      <c r="Z223" s="36">
        <f t="shared" si="25"/>
        <v>0.11067</v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45.084000000000003</v>
      </c>
      <c r="BN223" s="64">
        <f t="shared" si="22"/>
        <v>45.084000000000003</v>
      </c>
      <c r="BO223" s="64">
        <f t="shared" si="23"/>
        <v>9.3406593406593408E-2</v>
      </c>
      <c r="BP223" s="64">
        <f t="shared" si="24"/>
        <v>9.3406593406593408E-2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17</v>
      </c>
      <c r="Y225" s="557">
        <f>IFERROR(Y216/H216,"0")+IFERROR(Y217/H217,"0")+IFERROR(Y218/H218,"0")+IFERROR(Y219/H219,"0")+IFERROR(Y220/H220,"0")+IFERROR(Y221/H221,"0")+IFERROR(Y222/H222,"0")+IFERROR(Y223/H223,"0")+IFERROR(Y224/H224,"0")</f>
        <v>17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0.11067</v>
      </c>
      <c r="AA225" s="558"/>
      <c r="AB225" s="558"/>
      <c r="AC225" s="558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40.799999999999997</v>
      </c>
      <c r="Y226" s="557">
        <f>IFERROR(SUM(Y216:Y224),"0")</f>
        <v>40.799999999999997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hidden="1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hidden="1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idden="1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hidden="1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hidden="1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hidden="1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hidden="1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hidden="1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hidden="1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0</v>
      </c>
      <c r="Y324" s="556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16.5" hidden="1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0</v>
      </c>
      <c r="Y326" s="557">
        <f>IFERROR(Y323/H323,"0")+IFERROR(Y324/H324,"0")+IFERROR(Y325/H325,"0")</f>
        <v>0</v>
      </c>
      <c r="Z326" s="557">
        <f>IFERROR(IF(Z323="",0,Z323),"0")+IFERROR(IF(Z324="",0,Z324),"0")+IFERROR(IF(Z325="",0,Z325),"0")</f>
        <v>0</v>
      </c>
      <c r="AA326" s="558"/>
      <c r="AB326" s="558"/>
      <c r="AC326" s="558"/>
    </row>
    <row r="327" spans="1:68" hidden="1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0</v>
      </c>
      <c r="Y327" s="557">
        <f>IFERROR(SUM(Y323:Y325),"0")</f>
        <v>0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hidden="1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hidden="1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hidden="1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1200</v>
      </c>
      <c r="Y351" s="556">
        <f t="shared" ref="Y351:Y357" si="41">IFERROR(IF(X351="",0,CEILING((X351/$H351),1)*$H351),"")</f>
        <v>1200</v>
      </c>
      <c r="Z351" s="36">
        <f>IFERROR(IF(Y351=0,"",ROUNDUP(Y351/H351,0)*0.02175),"")</f>
        <v>1.7399999999999998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1237.5999999999999</v>
      </c>
      <c r="BN351" s="64">
        <f t="shared" ref="BN351:BN357" si="43">IFERROR(Y351*I351/H351,"0")</f>
        <v>1237.5999999999999</v>
      </c>
      <c r="BO351" s="64">
        <f t="shared" ref="BO351:BO357" si="44">IFERROR(1/J351*(X351/H351),"0")</f>
        <v>1.6666666666666665</v>
      </c>
      <c r="BP351" s="64">
        <f t="shared" ref="BP351:BP357" si="45">IFERROR(1/J351*(Y351/H351),"0")</f>
        <v>1.6666666666666665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1000</v>
      </c>
      <c r="Y352" s="556">
        <f t="shared" si="41"/>
        <v>1005</v>
      </c>
      <c r="Z352" s="36">
        <f>IFERROR(IF(Y352=0,"",ROUNDUP(Y352/H352,0)*0.02175),"")</f>
        <v>1.4572499999999999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1031.3333333333333</v>
      </c>
      <c r="BN352" s="64">
        <f t="shared" si="43"/>
        <v>1036.49</v>
      </c>
      <c r="BO352" s="64">
        <f t="shared" si="44"/>
        <v>1.3888888888888888</v>
      </c>
      <c r="BP352" s="64">
        <f t="shared" si="45"/>
        <v>1.3958333333333333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25</v>
      </c>
      <c r="Y356" s="556">
        <f t="shared" si="41"/>
        <v>25</v>
      </c>
      <c r="Z356" s="36">
        <f>IFERROR(IF(Y356=0,"",ROUNDUP(Y356/H356,0)*0.00902),"")</f>
        <v>4.5100000000000001E-2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25.95</v>
      </c>
      <c r="BN356" s="64">
        <f t="shared" si="43"/>
        <v>25.95</v>
      </c>
      <c r="BO356" s="64">
        <f t="shared" si="44"/>
        <v>3.787878787878788E-2</v>
      </c>
      <c r="BP356" s="64">
        <f t="shared" si="45"/>
        <v>3.787878787878788E-2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151.66666666666669</v>
      </c>
      <c r="Y358" s="557">
        <f>IFERROR(Y351/H351,"0")+IFERROR(Y352/H352,"0")+IFERROR(Y353/H353,"0")+IFERROR(Y354/H354,"0")+IFERROR(Y355/H355,"0")+IFERROR(Y356/H356,"0")+IFERROR(Y357/H357,"0")</f>
        <v>152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3.2423499999999996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2225</v>
      </c>
      <c r="Y359" s="557">
        <f>IFERROR(SUM(Y351:Y357),"0")</f>
        <v>2230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1200</v>
      </c>
      <c r="Y361" s="556">
        <f>IFERROR(IF(X361="",0,CEILING((X361/$H361),1)*$H361),"")</f>
        <v>1200</v>
      </c>
      <c r="Z361" s="36">
        <f>IFERROR(IF(Y361=0,"",ROUNDUP(Y361/H361,0)*0.02175),"")</f>
        <v>1.7399999999999998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1237.5999999999999</v>
      </c>
      <c r="BN361" s="64">
        <f>IFERROR(Y361*I361/H361,"0")</f>
        <v>1237.5999999999999</v>
      </c>
      <c r="BO361" s="64">
        <f>IFERROR(1/J361*(X361/H361),"0")</f>
        <v>1.6666666666666665</v>
      </c>
      <c r="BP361" s="64">
        <f>IFERROR(1/J361*(Y361/H361),"0")</f>
        <v>1.6666666666666665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80</v>
      </c>
      <c r="Y363" s="557">
        <f>IFERROR(Y361/H361,"0")+IFERROR(Y362/H362,"0")</f>
        <v>80</v>
      </c>
      <c r="Z363" s="557">
        <f>IFERROR(IF(Z361="",0,Z361),"0")+IFERROR(IF(Z362="",0,Z362),"0")</f>
        <v>1.7399999999999998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1200</v>
      </c>
      <c r="Y364" s="557">
        <f>IFERROR(SUM(Y361:Y362),"0")</f>
        <v>1200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hidden="1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hidden="1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hidden="1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hidden="1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hidden="1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hidden="1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0</v>
      </c>
      <c r="Y436" s="556">
        <f t="shared" si="52"/>
        <v>0</v>
      </c>
      <c r="Z436" s="36" t="str">
        <f t="shared" si="53"/>
        <v/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hidden="1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558"/>
      <c r="AB442" s="558"/>
      <c r="AC442" s="558"/>
    </row>
    <row r="443" spans="1:68" hidden="1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0</v>
      </c>
      <c r="Y443" s="557">
        <f>IFERROR(SUM(Y430:Y441),"0")</f>
        <v>0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hidden="1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hidden="1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hidden="1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0</v>
      </c>
      <c r="Y451" s="556">
        <f t="shared" ref="Y451:Y456" si="58"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0</v>
      </c>
      <c r="BN451" s="64">
        <f t="shared" ref="BN451:BN456" si="60">IFERROR(Y451*I451/H451,"0")</f>
        <v>0</v>
      </c>
      <c r="BO451" s="64">
        <f t="shared" ref="BO451:BO456" si="61">IFERROR(1/J451*(X451/H451),"0")</f>
        <v>0</v>
      </c>
      <c r="BP451" s="64">
        <f t="shared" ref="BP451:BP456" si="62">IFERROR(1/J451*(Y451/H451),"0")</f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0</v>
      </c>
      <c r="Y453" s="556">
        <f t="shared" si="58"/>
        <v>0</v>
      </c>
      <c r="Z453" s="36" t="str">
        <f>IFERROR(IF(Y453=0,"",ROUNDUP(Y453/H453,0)*0.01196),"")</f>
        <v/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hidden="1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0</v>
      </c>
      <c r="Y457" s="557">
        <f>IFERROR(Y451/H451,"0")+IFERROR(Y452/H452,"0")+IFERROR(Y453/H453,"0")+IFERROR(Y454/H454,"0")+IFERROR(Y455/H455,"0")+IFERROR(Y456/H456,"0")</f>
        <v>0</v>
      </c>
      <c r="Z457" s="557">
        <f>IFERROR(IF(Z451="",0,Z451),"0")+IFERROR(IF(Z452="",0,Z452),"0")+IFERROR(IF(Z453="",0,Z453),"0")+IFERROR(IF(Z454="",0,Z454),"0")+IFERROR(IF(Z455="",0,Z455),"0")+IFERROR(IF(Z456="",0,Z456),"0")</f>
        <v>0</v>
      </c>
      <c r="AA457" s="558"/>
      <c r="AB457" s="558"/>
      <c r="AC457" s="558"/>
    </row>
    <row r="458" spans="1:68" hidden="1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0</v>
      </c>
      <c r="Y458" s="557">
        <f>IFERROR(SUM(Y451:Y456),"0")</f>
        <v>0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hidden="1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3559.8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3564.8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3679.719333333333</v>
      </c>
      <c r="Y497" s="557">
        <f>IFERROR(SUM(BN22:BN493),"0")</f>
        <v>3684.8759999999997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6</v>
      </c>
      <c r="Y498" s="38">
        <f>ROUNDUP(SUM(BP22:BP493),0)</f>
        <v>6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3829.719333333333</v>
      </c>
      <c r="Y499" s="557">
        <f>GrossWeightTotalR+PalletQtyTotalR*25</f>
        <v>3834.8759999999997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284.66666666666669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285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5.3273799999999998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40.799999999999997</v>
      </c>
      <c r="G506" s="46">
        <f>IFERROR(Y127*1,"0")+IFERROR(Y128*1,"0")+IFERROR(Y132*1,"0")+IFERROR(Y133*1,"0")+IFERROR(Y137*1,"0")+IFERROR(Y138*1,"0")</f>
        <v>53.199999999999996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40.799999999999997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0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3430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0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51,67"/>
        <filter val="17,00"/>
        <filter val="19,00"/>
        <filter val="2 225,00"/>
        <filter val="25,00"/>
        <filter val="284,67"/>
        <filter val="3 559,80"/>
        <filter val="3 679,72"/>
        <filter val="3 829,72"/>
        <filter val="40,80"/>
        <filter val="53,20"/>
        <filter val="6"/>
        <filter val="80,00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2026-01-14T11:53:34Z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