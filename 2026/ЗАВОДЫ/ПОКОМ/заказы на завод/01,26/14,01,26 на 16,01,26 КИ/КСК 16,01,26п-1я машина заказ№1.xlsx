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0C7D71-721D-4609-8FAC-A5C78EBA5B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289" i="1"/>
  <c r="Z276" i="1"/>
  <c r="Z377" i="1"/>
  <c r="Z129" i="1"/>
  <c r="Z64" i="1"/>
  <c r="Z388" i="1"/>
  <c r="Z357" i="1"/>
  <c r="Z243" i="1"/>
  <c r="Z456" i="1"/>
  <c r="Z119" i="1"/>
  <c r="Z105" i="1"/>
  <c r="Y497" i="1"/>
  <c r="Y496" i="1"/>
  <c r="Y498" i="1" s="1"/>
  <c r="Z402" i="1"/>
  <c r="Z213" i="1"/>
  <c r="Z312" i="1"/>
  <c r="Z303" i="1"/>
  <c r="Z283" i="1"/>
  <c r="Z225" i="1"/>
  <c r="Z181" i="1"/>
  <c r="Z112" i="1"/>
  <c r="Z441" i="1"/>
  <c r="Z419" i="1"/>
  <c r="Z319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<sst xmlns="http://schemas.openxmlformats.org/spreadsheetml/2006/main" count="2191" uniqueCount="781">
  <si>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</si>
  <si>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</si>
  <si>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</si>
  <si>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</si>
  <si>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</si>
  <si>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</si>
  <si>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</si>
  <si>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</si>
  <si>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</si>
  <si>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</si>
  <si>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</si>
  <si>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</si>
  <si>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</si>
  <si>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</si>
  <si>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</si>
  <si>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</si>
  <si>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</si>
  <si>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</si>
  <si>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</si>
  <si>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</si>
  <si>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</si>
  <si>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</si>
  <si>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</si>
  <si>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</si>
  <si>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</si>
  <si>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</si>
  <si>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</si>
  <si>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</si>
  <si>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</si>
  <si>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</si>
  <si>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</si>
  <si>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</si>
  <si>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</si>
  <si>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</si>
  <si>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</si>
  <si>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</si>
  <si>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</si>
  <si>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</si>
  <si>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</si>
  <si>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</si>
  <si>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</si>
  <si>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</si>
  <si>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</si>
  <si>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</si>
  <si>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</si>
  <si>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</si>
  <si>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</si>
  <si>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</si>
  <si>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</si>
  <si>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</si>
  <si>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</si>
  <si>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</si>
  <si>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</si>
  <si>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</si>
  <si>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</si>
  <si>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</si>
  <si>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</si>
  <si>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</si>
  <si>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</si>
  <si>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</si>
  <si>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</si>
  <si>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</si>
  <si>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</si>
  <si>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</si>
  <si>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</si>
  <si>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</si>
  <si>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</si>
  <si>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</si>
  <si>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</si>
  <si>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</si>
  <si>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</si>
  <si>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</si>
  <si>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</si>
  <si>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</si>
  <si>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</si>
  <si>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</si>
  <si>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</si>
  <si>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</si>
  <si>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</si>
  <si>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</si>
  <si>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</si>
  <si>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</si>
  <si>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</si>
  <si>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</si>
  <si>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</si>
  <si>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</si>
  <si>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</si>
  <si>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</si>
  <si>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</si>
  <si>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</si>
  <si>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</si>
  <si>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</si>
  <si>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</si>
  <si>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</si>
  <si>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</si>
  <si>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</si>
  <si>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</si>
  <si>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</si>
  <si>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</si>
  <si>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</si>
  <si>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</si>
  <si>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</si>
  <si>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</si>
  <si>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</si>
  <si>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</si>
  <si>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</si>
  <si>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</si>
  <si>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</si>
  <si>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</si>
  <si>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</si>
  <si>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</si>
  <si>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</si>
  <si>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</si>
  <si>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</si>
  <si>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</si>
  <si>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</si>
  <si>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</si>
  <si>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</si>
  <si>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</si>
  <si>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</si>
  <si>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</si>
  <si>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</si>
  <si>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</si>
  <si>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</si>
  <si>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</si>
  <si>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</si>
  <si>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</si>
  <si>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</si>
  <si>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</si>
  <si>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</si>
  <si>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</si>
  <si>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</si>
  <si>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</si>
  <si>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</si>
  <si>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</si>
  <si>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</si>
  <si>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</si>
  <si>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</si>
  <si>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</si>
  <si>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</si>
  <si>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</si>
  <si>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</si>
  <si>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</si>
  <si>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</si>
  <si>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</si>
  <si>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</si>
  <si>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</si>
  <si>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</si>
  <si>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</si>
  <si>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</si>
  <si>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</si>
  <si>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</si>
  <si>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</si>
  <si>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</si>
  <si>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</si>
  <si>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</si>
  <si>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</si>
  <si>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</si>
  <si>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</si>
  <si>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</si>
  <si>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</si>
  <si>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</si>
  <si>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</si>
  <si>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</si>
  <si>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</si>
  <si>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</si>
  <si>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</si>
  <si>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</si>
  <si>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</si>
  <si>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</si>
  <si>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</si>
  <si>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</si>
  <si>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</si>
  <si>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</si>
  <si>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</si>
  <si>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</si>
  <si>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</si>
  <si>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</si>
  <si>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</si>
  <si>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</si>
  <si>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</si>
  <si>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</si>
  <si>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</si>
  <si>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</si>
  <si>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</si>
  <si>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</si>
  <si>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</si>
  <si>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</si>
  <si>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</si>
  <si>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</si>
  <si>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</si>
  <si>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</si>
  <si>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</si>
  <si>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</si>
  <si>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</si>
  <si>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</si>
  <si>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</si>
  <si>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</si>
  <si>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</si>
  <si>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</si>
  <si>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</si>
  <si>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</si>
  <si>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</si>
  <si>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</si>
  <si>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</si>
  <si>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</si>
  <si>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</si>
  <si>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</si>
  <si>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</si>
  <si>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</si>
  <si>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</si>
  <si>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</si>
  <si>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</si>
  <si>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</si>
  <si>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</si>
  <si>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</si>
  <si>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</si>
  <si>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</si>
  <si>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</si>
  <si>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</si>
  <si>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</si>
  <si>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</si>
  <si>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</si>
  <si>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</si>
  <si>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</si>
  <si>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</si>
  <si>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</si>
  <si>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</si>
  <si>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</si>
  <si>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</si>
  <si>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</si>
  <si>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</si>
  <si>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</si>
  <si>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</si>
  <si>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</si>
  <si>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</si>
  <si>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</si>
  <si>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</si>
  <si>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</si>
  <si>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</si>
  <si>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</si>
  <si>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</si>
  <si>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</si>
  <si>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</si>
  <si>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</si>
  <si>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</si>
  <si>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</si>
  <si>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</si>
  <si>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</si>
  <si>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</si>
  <si>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</si>
  <si>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</si>
  <si>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</si>
  <si>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</si>
  <si>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</si>
  <si>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</si>
  <si>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</si>
  <si>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</si>
  <si>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</si>
  <si>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</si>
  <si>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</si>
  <si>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</si>
  <si>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</si>
  <si>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</si>
  <si>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</si>
  <si>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</si>
  <si>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</si>
  <si>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</si>
  <si>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</si>
  <si>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</si>
  <si>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</si>
  <si>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</si>
  <si>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</si>
  <si>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</si>
  <si>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</si>
  <si>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</si>
  <si>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</si>
  <si>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</si>
  <si>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</si>
  <si>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</si>
  <si>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</si>
  <si>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</si>
  <si>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</si>
  <si>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</si>
  <si>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</si>
  <si>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</si>
  <si>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</si>
  <si>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</si>
  <si>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</si>
  <si>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</si>
  <si>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</si>
  <si>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</si>
  <si>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</si>
  <si>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</si>
  <si>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</si>
  <si>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</si>
  <si>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</si>
  <si>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</si>
  <si>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</si>
  <si>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</si>
  <si>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</si>
  <si>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</si>
  <si>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</si>
  <si>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</si>
  <si>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</si>
  <si>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</si>
  <si>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</si>
  <si>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</si>
  <si>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</si>
  <si>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</si>
  <si>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</si>
  <si>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</si>
  <si>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</si>
  <si>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</si>
  <si>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</si>
  <si>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</si>
  <si>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</si>
  <si>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</si>
  <si>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</si>
  <si>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</si>
  <si>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</si>
  <si>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</si>
  <si>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</si>
  <si>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</si>
  <si>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</si>
  <si>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</si>
  <si>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</si>
  <si>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</si>
  <si>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</si>
  <si>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</si>
  <si>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</si>
  <si>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</si>
  <si>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</si>
  <si>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</si>
  <si>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</si>
  <si>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</si>
  <si>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</si>
  <si>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</si>
  <si>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</si>
  <si>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</si>
  <si>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</si>
  <si>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</si>
  <si>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</si>
  <si>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</si>
  <si>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</si>
  <si>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</si>
  <si>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</si>
  <si>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</si>
  <si>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</si>
  <si>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</si>
  <si>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</si>
  <si>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</si>
  <si>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</si>
  <si>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</si>
  <si>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</si>
  <si>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</si>
  <si>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</si>
  <si>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</si>
  <si>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</si>
  <si>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</si>
  <si>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</si>
  <si>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</si>
  <si>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</si>
  <si>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</si>
  <si>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</si>
  <si>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</si>
  <si>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</si>
  <si>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</si>
  <si>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</si>
  <si>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</si>
  <si>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</si>
  <si>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</si>
  <si>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</si>
  <si>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</si>
  <si>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</si>
  <si>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</si>
  <si>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</si>
  <si>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</si>
  <si>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</si>
  <si>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</si>
  <si>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</si>
  <si>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</si>
  <si>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</si>
  <si>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</si>
  <si>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</si>
  <si>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</si>
  <si>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</si>
  <si>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</si>
  <si>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</si>
  <si>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</si>
  <si>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</si>
  <si>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</si>
  <si>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</si>
  <si>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</si>
  <si>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</si>
  <si>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</si>
  <si>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</si>
  <si>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</si>
  <si>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</si>
  <si>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</si>
  <si>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</si>
  <si>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</si>
  <si>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</si>
  <si>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</si>
  <si>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</si>
  <si>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</si>
  <si>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</si>
  <si>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</si>
  <si>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</si>
  <si>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</si>
  <si>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</si>
  <si>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</si>
  <si>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</si>
  <si>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</si>
  <si>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</si>
  <si>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</si>
  <si>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</si>
  <si>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</si>
  <si>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</si>
  <si>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</si>
  <si>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</si>
  <si>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</si>
  <si>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</si>
  <si>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</si>
  <si>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</si>
  <si>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</si>
  <si>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</si>
  <si>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</si>
  <si>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</si>
  <si>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</si>
  <si>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</si>
  <si>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</si>
  <si>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</si>
  <si>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</si>
  <si>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</si>
  <si>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</si>
  <si>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</si>
  <si>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</si>
  <si>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</si>
  <si>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</si>
  <si>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</si>
  <si>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</si>
  <si>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</si>
  <si>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</si>
  <si>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</si>
  <si>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</si>
  <si>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</si>
  <si>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</si>
  <si>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</si>
  <si>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</si>
  <si>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</si>
  <si>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</si>
  <si>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</si>
  <si>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</si>
  <si>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</si>
  <si>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</si>
  <si>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</si>
  <si>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</si>
  <si>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</si>
  <si>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</si>
  <si>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</si>
  <si>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</si>
  <si>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</si>
  <si>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</si>
  <si>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</si>
  <si>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</si>
  <si>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</si>
  <si>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</si>
  <si>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</si>
  <si>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</si>
  <si>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</si>
  <si>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</si>
  <si>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</si>
  <si>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</si>
  <si>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</si>
  <si>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</si>
  <si>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</si>
  <si>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</si>
  <si>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</si>
  <si>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</si>
  <si>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</si>
  <si>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</si>
  <si>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</si>
  <si>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</si>
  <si>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</si>
  <si>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</si>
  <si>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</si>
  <si>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</si>
  <si>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</si>
  <si>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</si>
  <si>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</si>
  <si>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</si>
  <si>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</si>
  <si>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</si>
  <si>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</si>
  <si>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</si>
  <si>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</si>
  <si>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</si>
  <si>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</si>
  <si>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</si>
  <si>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</si>
  <si>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</si>
  <si>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</si>
  <si>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</si>
  <si>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</si>
  <si>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</si>
  <si>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</si>
  <si>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</si>
  <si>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</si>
  <si>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</si>
  <si>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</si>
  <si>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</si>
  <si>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</si>
  <si>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</si>
  <si>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</si>
  <si>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</si>
  <si>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</si>
  <si>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</si>
  <si>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</si>
  <si>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</si>
  <si>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</si>
  <si>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</si>
  <si>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</si>
  <si>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</si>
  <si>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</si>
  <si>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</si>
  <si>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</si>
  <si>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</si>
  <si>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</si>
  <si>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</si>
  <si>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</si>
  <si>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</si>
  <si>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</si>
  <si>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</si>
  <si>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</si>
  <si>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</si>
  <si>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</si>
  <si>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</si>
  <si>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</si>
  <si>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</si>
  <si>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</si>
  <si>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</si>
  <si>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</si>
  <si>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</si>
  <si>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</si>
  <si>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</si>
  <si>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</si>
  <si>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</si>
  <si>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</si>
  <si>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</si>
  <si>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</si>
  <si>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</si>
  <si>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</si>
  <si>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</si>
  <si>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</si>
  <si>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</si>
  <si>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</si>
  <si>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</si>
  <si>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</si>
  <si>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</si>
  <si>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</si>
  <si>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</si>
  <si>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</si>
  <si>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</si>
  <si>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</si>
  <si>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</si>
  <si>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</si>
  <si>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</si>
  <si>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</si>
  <si>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</si>
  <si>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</si>
  <si>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</si>
  <si>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</si>
  <si>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</si>
  <si>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</si>
  <si>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</si>
  <si>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</si>
  <si>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</si>
  <si>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</si>
  <si>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</si>
  <si>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</si>
  <si>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</si>
  <si>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</si>
  <si>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</si>
  <si>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</si>
  <si>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</si>
  <si>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</si>
  <si>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</si>
  <si>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</si>
  <si>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</si>
  <si>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</si>
  <si>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</si>
  <si>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</si>
  <si>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</si>
  <si>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</si>
  <si>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</si>
  <si>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</si>
  <si>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</si>
  <si>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</si>
  <si>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</si>
  <si>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</si>
  <si>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</si>
  <si>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</si>
  <si>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</si>
  <si>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</si>
  <si>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</si>
  <si>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</si>
  <si>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</si>
  <si>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</si>
  <si>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</si>
  <si>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</si>
  <si>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</si>
  <si>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</si>
  <si>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</si>
  <si>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</si>
  <si>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</si>
  <si>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</si>
  <si>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</si>
  <si>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</si>
  <si>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</si>
  <si>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</si>
  <si>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</si>
  <si>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</si>
  <si>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</si>
  <si>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</si>
  <si>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</si>
  <si>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</si>
  <si>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</si>
  <si>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</si>
  <si>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</si>
  <si>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</si>
  <si>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</si>
  <si>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</si>
  <si>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</si>
  <si>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</si>
  <si>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</si>
  <si>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</si>
  <si>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</si>
  <si>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</si>
  <si>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</si>
  <si>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</si>
  <si>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</si>
  <si>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</si>
  <si>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</si>
  <si>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</si>
  <si>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</si>
  <si>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</si>
  <si>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</si>
  <si>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</si>
  <si>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</si>
  <si>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</si>
  <si>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</si>
  <si>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</si>
  <si>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</si>
  <si>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</si>
  <si>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</si>
  <si>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</si>
  <si>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</si>
  <si>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</si>
  <si>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</si>
  <si>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</si>
  <si>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</si>
  <si>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</si>
  <si>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</si>
  <si>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</si>
  <si>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</si>
  <si>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</si>
  <si>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</si>
  <si>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</si>
  <si>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</si>
  <si>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</si>
  <si>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</si>
  <si>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</si>
  <si>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</si>
  <si>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</si>
  <si>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</si>
  <si>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</si>
  <si>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</si>
  <si>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</si>
  <si>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</si>
  <si>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</si>
  <si>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</si>
  <si>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</si>
  <si>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</si>
  <si>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</si>
  <si>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</si>
  <si>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</si>
  <si>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</si>
  <si>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</si>
  <si>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</si>
  <si>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</si>
  <si>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</si>
  <si>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</si>
  <si>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</si>
  <si>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</si>
  <si>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</si>
  <si>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</si>
  <si>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</si>
  <si>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</si>
  <si>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</si>
  <si>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</si>
  <si>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</si>
  <si>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</si>
  <si>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</si>
  <si>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</si>
  <si>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</si>
  <si>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</si>
  <si>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</si>
  <si>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</si>
  <si>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</si>
  <si>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</si>
  <si>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</si>
  <si>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</si>
  <si>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</si>
  <si>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</si>
  <si>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</si>
  <si>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</si>
  <si>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</si>
  <si>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</si>
  <si>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</si>
  <si>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</si>
  <si>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</si>
  <si>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</si>
  <si>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</si>
  <si>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</si>
  <si>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</si>
  <si>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</si>
  <si>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</si>
  <si>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</si>
  <si>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</si>
  <si>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</si>
  <si>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</si>
  <si>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</si>
  <si>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</si>
  <si>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</si>
  <si>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</si>
  <si>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</si>
  <si>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</si>
  <si>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</si>
  <si>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</si>
  <si>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</si>
  <si>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</si>
  <si>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</si>
  <si>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</si>
  <si>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</si>
  <si>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</si>
  <si>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</si>
  <si>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</si>
  <si>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</si>
  <si>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</si>
  <si>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</si>
  <si>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</si>
  <si>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</si>
  <si>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</si>
  <si>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</si>
  <si>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</si>
  <si>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</si>
  <si>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</si>
  <si>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</si>
  <si>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</si>
  <si>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</si>
  <si>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</si>
  <si>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</si>
  <si>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</si>
  <si>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</si>
  <si>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</si>
  <si>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</si>
  <si>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</si>
  <si>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</si>
  <si>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</si>
  <si>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</si>
  <si>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</si>
  <si>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</si>
  <si>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</si>
  <si>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</si>
  <si>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</si>
  <si>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</si>
  <si>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</si>
  <si>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</si>
  <si>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</si>
  <si>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 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</si>
</sst>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6" t="s">
        <v>0</v>
      </c>
      <c r="E1" s="591"/>
      <c r="F1" s="591"/>
      <c r="G1" s="12" t="s">
        <v>1</v>
      </c>
      <c r="H1" s="786" t="s">
        <v>2</v>
      </c>
      <c r="I1" s="591"/>
      <c r="J1" s="591"/>
      <c r="K1" s="591"/>
      <c r="L1" s="591"/>
      <c r="M1" s="591"/>
      <c r="N1" s="591"/>
      <c r="O1" s="591"/>
      <c r="P1" s="591"/>
      <c r="Q1" s="591"/>
      <c r="R1" s="863" t="s">
        <v>3</v>
      </c>
      <c r="S1" s="591"/>
      <c r="T1" s="59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6" t="s">
        <v>8</v>
      </c>
      <c r="B5" s="580"/>
      <c r="C5" s="581"/>
      <c r="D5" s="663"/>
      <c r="E5" s="665"/>
      <c r="F5" s="628" t="s">
        <v>9</v>
      </c>
      <c r="G5" s="581"/>
      <c r="H5" s="663" t="s">
        <v>780</v>
      </c>
      <c r="I5" s="664"/>
      <c r="J5" s="664"/>
      <c r="K5" s="664"/>
      <c r="L5" s="664"/>
      <c r="M5" s="665"/>
      <c r="N5" s="58"/>
      <c r="P5" s="24" t="s">
        <v>10</v>
      </c>
      <c r="Q5" s="600">
        <v>46038</v>
      </c>
      <c r="R5" s="601"/>
      <c r="T5" s="724" t="s">
        <v>11</v>
      </c>
      <c r="U5" s="648"/>
      <c r="V5" s="725" t="s">
        <v>12</v>
      </c>
      <c r="W5" s="601"/>
      <c r="AB5" s="51"/>
      <c r="AC5" s="51"/>
      <c r="AD5" s="51"/>
      <c r="AE5" s="51"/>
    </row>
    <row r="6" spans="1:32" s="547" customFormat="1" ht="24" customHeight="1" x14ac:dyDescent="0.2">
      <c r="A6" s="756" t="s">
        <v>13</v>
      </c>
      <c r="B6" s="580"/>
      <c r="C6" s="581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01"/>
      <c r="N6" s="59"/>
      <c r="P6" s="24" t="s">
        <v>15</v>
      </c>
      <c r="Q6" s="609" t="str">
        <f>IF(Q5=0," ",CHOOSE(WEEKDAY(Q5,2),"Понедельник","Вторник","Среда","Четверг","Пятница","Суббота","Воскресенье"))</f>
        <v>Пятница</v>
      </c>
      <c r="R6" s="562"/>
      <c r="T6" s="732" t="s">
        <v>16</v>
      </c>
      <c r="U6" s="648"/>
      <c r="V6" s="674" t="s">
        <v>17</v>
      </c>
      <c r="W6" s="675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8" t="str">
        <f>IFERROR(VLOOKUP(DeliveryAddress,Table,3,0),1)</f>
        <v>1</v>
      </c>
      <c r="E7" s="839"/>
      <c r="F7" s="839"/>
      <c r="G7" s="839"/>
      <c r="H7" s="839"/>
      <c r="I7" s="839"/>
      <c r="J7" s="839"/>
      <c r="K7" s="839"/>
      <c r="L7" s="839"/>
      <c r="M7" s="728"/>
      <c r="N7" s="60"/>
      <c r="P7" s="24"/>
      <c r="Q7" s="42"/>
      <c r="R7" s="42"/>
      <c r="T7" s="560"/>
      <c r="U7" s="648"/>
      <c r="V7" s="676"/>
      <c r="W7" s="677"/>
      <c r="AB7" s="51"/>
      <c r="AC7" s="51"/>
      <c r="AD7" s="51"/>
      <c r="AE7" s="51"/>
    </row>
    <row r="8" spans="1:32" s="547" customFormat="1" ht="25.5" customHeight="1" x14ac:dyDescent="0.2">
      <c r="A8" s="576" t="s">
        <v>18</v>
      </c>
      <c r="B8" s="564"/>
      <c r="C8" s="565"/>
      <c r="D8" s="848" t="s">
        <v>19</v>
      </c>
      <c r="E8" s="849"/>
      <c r="F8" s="849"/>
      <c r="G8" s="849"/>
      <c r="H8" s="849"/>
      <c r="I8" s="849"/>
      <c r="J8" s="849"/>
      <c r="K8" s="849"/>
      <c r="L8" s="849"/>
      <c r="M8" s="850"/>
      <c r="N8" s="61"/>
      <c r="P8" s="24" t="s">
        <v>20</v>
      </c>
      <c r="Q8" s="727">
        <v>0.375</v>
      </c>
      <c r="R8" s="728"/>
      <c r="T8" s="560"/>
      <c r="U8" s="648"/>
      <c r="V8" s="676"/>
      <c r="W8" s="677"/>
      <c r="AB8" s="51"/>
      <c r="AC8" s="51"/>
      <c r="AD8" s="51"/>
      <c r="AE8" s="51"/>
    </row>
    <row r="9" spans="1:32" s="54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4"/>
      <c r="E9" s="645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545"/>
      <c r="P9" s="26" t="s">
        <v>21</v>
      </c>
      <c r="Q9" s="771"/>
      <c r="R9" s="632"/>
      <c r="T9" s="560"/>
      <c r="U9" s="648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4"/>
      <c r="E10" s="645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1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5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01"/>
      <c r="U11" s="24" t="s">
        <v>27</v>
      </c>
      <c r="V11" s="631" t="s">
        <v>28</v>
      </c>
      <c r="W11" s="632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2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27"/>
      <c r="R12" s="728"/>
      <c r="S12" s="23"/>
      <c r="U12" s="24"/>
      <c r="V12" s="591"/>
      <c r="W12" s="560"/>
      <c r="AB12" s="51"/>
      <c r="AC12" s="51"/>
      <c r="AD12" s="51"/>
      <c r="AE12" s="51"/>
    </row>
    <row r="13" spans="1:32" s="547" customFormat="1" ht="23.25" customHeight="1" x14ac:dyDescent="0.2">
      <c r="A13" s="712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31"/>
      <c r="R13" s="6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2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5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722" t="s">
        <v>35</v>
      </c>
      <c r="Q15" s="591"/>
      <c r="R15" s="591"/>
      <c r="S15" s="591"/>
      <c r="T15" s="59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3"/>
      <c r="Q16" s="723"/>
      <c r="R16" s="723"/>
      <c r="S16" s="723"/>
      <c r="T16" s="72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770" t="s">
        <v>38</v>
      </c>
      <c r="D17" s="586" t="s">
        <v>39</v>
      </c>
      <c r="E17" s="587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788"/>
      <c r="R17" s="788"/>
      <c r="S17" s="788"/>
      <c r="T17" s="587"/>
      <c r="U17" s="593" t="s">
        <v>51</v>
      </c>
      <c r="V17" s="581"/>
      <c r="W17" s="586" t="s">
        <v>52</v>
      </c>
      <c r="X17" s="586" t="s">
        <v>53</v>
      </c>
      <c r="Y17" s="595" t="s">
        <v>54</v>
      </c>
      <c r="Z17" s="686" t="s">
        <v>55</v>
      </c>
      <c r="AA17" s="622" t="s">
        <v>56</v>
      </c>
      <c r="AB17" s="622" t="s">
        <v>57</v>
      </c>
      <c r="AC17" s="622" t="s">
        <v>58</v>
      </c>
      <c r="AD17" s="622" t="s">
        <v>59</v>
      </c>
      <c r="AE17" s="623"/>
      <c r="AF17" s="624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588"/>
      <c r="E18" s="589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88"/>
      <c r="Q18" s="789"/>
      <c r="R18" s="789"/>
      <c r="S18" s="789"/>
      <c r="T18" s="589"/>
      <c r="U18" s="67" t="s">
        <v>61</v>
      </c>
      <c r="V18" s="67" t="s">
        <v>62</v>
      </c>
      <c r="W18" s="590"/>
      <c r="X18" s="590"/>
      <c r="Y18" s="596"/>
      <c r="Z18" s="687"/>
      <c r="AA18" s="690"/>
      <c r="AB18" s="690"/>
      <c r="AC18" s="690"/>
      <c r="AD18" s="625"/>
      <c r="AE18" s="626"/>
      <c r="AF18" s="627"/>
      <c r="AG18" s="66"/>
      <c r="BD18" s="65"/>
    </row>
    <row r="19" spans="1:68" ht="27.75" hidden="1" customHeight="1" x14ac:dyDescent="0.2">
      <c r="A19" s="582" t="s">
        <v>63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48"/>
      <c r="AB19" s="48"/>
      <c r="AC19" s="48"/>
    </row>
    <row r="20" spans="1:68" ht="16.5" hidden="1" customHeight="1" x14ac:dyDescent="0.25">
      <c r="A20" s="592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82" t="s">
        <v>99</v>
      </c>
      <c r="B38" s="583"/>
      <c r="C38" s="583"/>
      <c r="D38" s="583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48"/>
      <c r="AB38" s="48"/>
      <c r="AC38" s="48"/>
    </row>
    <row r="39" spans="1:68" ht="16.5" hidden="1" customHeight="1" x14ac:dyDescent="0.25">
      <c r="A39" s="592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hidden="1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1">
        <v>4607091385687</v>
      </c>
      <c r="E42" s="562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9"/>
      <c r="R42" s="569"/>
      <c r="S42" s="569"/>
      <c r="T42" s="570"/>
      <c r="U42" s="34"/>
      <c r="V42" s="34"/>
      <c r="W42" s="35" t="s">
        <v>69</v>
      </c>
      <c r="X42" s="553">
        <v>440</v>
      </c>
      <c r="Y42" s="554">
        <f>IFERROR(IF(X42="",0,CEILING((X42/$H42),1)*$H42),"")</f>
        <v>440</v>
      </c>
      <c r="Z42" s="36">
        <f>IFERROR(IF(Y42=0,"",ROUNDUP(Y42/H42,0)*0.00902),"")</f>
        <v>0.99219999999999997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460.90000000000003</v>
      </c>
      <c r="BN42" s="64">
        <f>IFERROR(Y42*I42/H42,"0")</f>
        <v>460.90000000000003</v>
      </c>
      <c r="BO42" s="64">
        <f>IFERROR(1/J42*(X42/H42),"0")</f>
        <v>0.83333333333333337</v>
      </c>
      <c r="BP42" s="64">
        <f>IFERROR(1/J42*(Y42/H42),"0")</f>
        <v>0.83333333333333337</v>
      </c>
    </row>
    <row r="43" spans="1:68" ht="27" hidden="1" customHeight="1" x14ac:dyDescent="0.25">
      <c r="A43" s="54" t="s">
        <v>110</v>
      </c>
      <c r="B43" s="54" t="s">
        <v>111</v>
      </c>
      <c r="C43" s="31">
        <v>4301011565</v>
      </c>
      <c r="D43" s="561">
        <v>4680115882539</v>
      </c>
      <c r="E43" s="562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9"/>
      <c r="R43" s="569"/>
      <c r="S43" s="569"/>
      <c r="T43" s="570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110</v>
      </c>
      <c r="Y44" s="555">
        <f>IFERROR(Y41/H41,"0")+IFERROR(Y42/H42,"0")+IFERROR(Y43/H43,"0")</f>
        <v>110</v>
      </c>
      <c r="Z44" s="555">
        <f>IFERROR(IF(Z41="",0,Z41),"0")+IFERROR(IF(Z42="",0,Z42),"0")+IFERROR(IF(Z43="",0,Z43),"0")</f>
        <v>0.99219999999999997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440</v>
      </c>
      <c r="Y45" s="555">
        <f>IFERROR(SUM(Y41:Y43),"0")</f>
        <v>440</v>
      </c>
      <c r="Z45" s="37"/>
      <c r="AA45" s="556"/>
      <c r="AB45" s="556"/>
      <c r="AC45" s="556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hidden="1" customHeight="1" x14ac:dyDescent="0.25">
      <c r="A47" s="54" t="s">
        <v>112</v>
      </c>
      <c r="B47" s="54" t="s">
        <v>113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92" t="s">
        <v>115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hidden="1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hidden="1" customHeight="1" x14ac:dyDescent="0.25">
      <c r="A52" s="54" t="s">
        <v>116</v>
      </c>
      <c r="B52" s="54" t="s">
        <v>117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122</v>
      </c>
      <c r="B54" s="54" t="s">
        <v>123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125</v>
      </c>
      <c r="B55" s="54" t="s">
        <v>126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128</v>
      </c>
      <c r="B56" s="54" t="s">
        <v>129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150</v>
      </c>
      <c r="Y58" s="555">
        <f>IFERROR(Y52/H52,"0")+IFERROR(Y53/H53,"0")+IFERROR(Y54/H54,"0")+IFERROR(Y55/H55,"0")+IFERROR(Y56/H56,"0")+IFERROR(Y57/H57,"0")</f>
        <v>150</v>
      </c>
      <c r="Z58" s="555">
        <f>IFERROR(IF(Z52="",0,Z52),"0")+IFERROR(IF(Z53="",0,Z53),"0")+IFERROR(IF(Z54="",0,Z54),"0")+IFERROR(IF(Z55="",0,Z55),"0")+IFERROR(IF(Z56="",0,Z56),"0")+IFERROR(IF(Z57="",0,Z57),"0")</f>
        <v>1.353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675</v>
      </c>
      <c r="Y59" s="555">
        <f>IFERROR(SUM(Y52:Y57),"0")</f>
        <v>675</v>
      </c>
      <c r="Z59" s="37"/>
      <c r="AA59" s="556"/>
      <c r="AB59" s="556"/>
      <c r="AC59" s="556"/>
    </row>
    <row r="60" spans="1:68" ht="14.25" hidden="1" customHeight="1" x14ac:dyDescent="0.25">
      <c r="A60" s="559" t="s">
        <v>134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hidden="1" customHeight="1" x14ac:dyDescent="0.25">
      <c r="A61" s="54" t="s">
        <v>135</v>
      </c>
      <c r="B61" s="54" t="s">
        <v>136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138</v>
      </c>
      <c r="B62" s="54" t="s">
        <v>139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140</v>
      </c>
      <c r="B63" s="54" t="s">
        <v>141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hidden="1" customHeight="1" x14ac:dyDescent="0.25">
      <c r="A67" s="54" t="s">
        <v>142</v>
      </c>
      <c r="B67" s="54" t="s">
        <v>143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145</v>
      </c>
      <c r="B68" s="54" t="s">
        <v>146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hidden="1" customHeight="1" x14ac:dyDescent="0.25">
      <c r="A72" s="54" t="s">
        <v>148</v>
      </c>
      <c r="B72" s="54" t="s">
        <v>149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151</v>
      </c>
      <c r="B73" s="54" t="s">
        <v>152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156</v>
      </c>
      <c r="B75" s="54" t="s">
        <v>157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59" t="s">
        <v>159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hidden="1" customHeight="1" x14ac:dyDescent="0.25">
      <c r="A79" s="54" t="s">
        <v>160</v>
      </c>
      <c r="B79" s="54" t="s">
        <v>161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7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163</v>
      </c>
      <c r="B80" s="54" t="s">
        <v>164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68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92" t="s">
        <v>166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hidden="1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hidden="1" customHeight="1" x14ac:dyDescent="0.25">
      <c r="A85" s="54" t="s">
        <v>167</v>
      </c>
      <c r="B85" s="54" t="s">
        <v>168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170</v>
      </c>
      <c r="B86" s="54" t="s">
        <v>171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360</v>
      </c>
      <c r="Y88" s="554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375.20000000000005</v>
      </c>
      <c r="BN88" s="64">
        <f>IFERROR(Y88*I88/H88,"0")</f>
        <v>375.20000000000005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80</v>
      </c>
      <c r="Y89" s="555">
        <f>IFERROR(Y85/H85,"0")+IFERROR(Y86/H86,"0")+IFERROR(Y87/H87,"0")+IFERROR(Y88/H88,"0")</f>
        <v>80</v>
      </c>
      <c r="Z89" s="555">
        <f>IFERROR(IF(Z85="",0,Z85),"0")+IFERROR(IF(Z86="",0,Z86),"0")+IFERROR(IF(Z87="",0,Z87),"0")+IFERROR(IF(Z88="",0,Z88),"0")</f>
        <v>0.72160000000000002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360</v>
      </c>
      <c r="Y90" s="555">
        <f>IFERROR(SUM(Y85:Y88),"0")</f>
        <v>360</v>
      </c>
      <c r="Z90" s="37"/>
      <c r="AA90" s="556"/>
      <c r="AB90" s="556"/>
      <c r="AC90" s="556"/>
    </row>
    <row r="91" spans="1:68" ht="14.25" hidden="1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hidden="1" customHeight="1" x14ac:dyDescent="0.25">
      <c r="A92" s="54" t="s">
        <v>178</v>
      </c>
      <c r="B92" s="54" t="s">
        <v>179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181</v>
      </c>
      <c r="B93" s="54" t="s">
        <v>182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324</v>
      </c>
      <c r="Y94" s="554">
        <f>IFERROR(IF(X94="",0,CEILING((X94/$H94),1)*$H94),"")</f>
        <v>324</v>
      </c>
      <c r="Z94" s="36">
        <f>IFERROR(IF(Y94=0,"",ROUNDUP(Y94/H94,0)*0.00651),"")</f>
        <v>0.78120000000000001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354.23999999999995</v>
      </c>
      <c r="BN94" s="64">
        <f>IFERROR(Y94*I94/H94,"0")</f>
        <v>354.23999999999995</v>
      </c>
      <c r="BO94" s="64">
        <f>IFERROR(1/J94*(X94/H94),"0")</f>
        <v>0.65934065934065933</v>
      </c>
      <c r="BP94" s="64">
        <f>IFERROR(1/J94*(Y94/H94),"0")</f>
        <v>0.65934065934065933</v>
      </c>
    </row>
    <row r="95" spans="1:68" ht="16.5" hidden="1" customHeight="1" x14ac:dyDescent="0.25">
      <c r="A95" s="54" t="s">
        <v>185</v>
      </c>
      <c r="B95" s="54" t="s">
        <v>186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119.99999999999999</v>
      </c>
      <c r="Y96" s="555">
        <f>IFERROR(Y92/H92,"0")+IFERROR(Y93/H93,"0")+IFERROR(Y94/H94,"0")+IFERROR(Y95/H95,"0")</f>
        <v>119.99999999999999</v>
      </c>
      <c r="Z96" s="555">
        <f>IFERROR(IF(Z92="",0,Z92),"0")+IFERROR(IF(Z93="",0,Z93),"0")+IFERROR(IF(Z94="",0,Z94),"0")+IFERROR(IF(Z95="",0,Z95),"0")</f>
        <v>0.78120000000000001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324</v>
      </c>
      <c r="Y97" s="555">
        <f>IFERROR(SUM(Y92:Y95),"0")</f>
        <v>324</v>
      </c>
      <c r="Z97" s="37"/>
      <c r="AA97" s="556"/>
      <c r="AB97" s="556"/>
      <c r="AC97" s="556"/>
    </row>
    <row r="98" spans="1:68" ht="16.5" hidden="1" customHeight="1" x14ac:dyDescent="0.25">
      <c r="A98" s="592" t="s">
        <v>188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hidden="1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hidden="1" customHeight="1" x14ac:dyDescent="0.25">
      <c r="A100" s="54" t="s">
        <v>189</v>
      </c>
      <c r="B100" s="54" t="s">
        <v>190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8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192</v>
      </c>
      <c r="B101" s="54" t="s">
        <v>193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6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195</v>
      </c>
      <c r="B102" s="54" t="s">
        <v>196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108</v>
      </c>
      <c r="Y103" s="554">
        <f>IFERROR(IF(X103="",0,CEILING((X103/$H103),1)*$H103),"")</f>
        <v>108</v>
      </c>
      <c r="Z103" s="36">
        <f>IFERROR(IF(Y103=0,"",ROUNDUP(Y103/H103,0)*0.00902),"")</f>
        <v>0.21648000000000001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112.56</v>
      </c>
      <c r="BN103" s="64">
        <f>IFERROR(Y103*I103/H103,"0")</f>
        <v>112.56</v>
      </c>
      <c r="BO103" s="64">
        <f>IFERROR(1/J103*(X103/H103),"0")</f>
        <v>0.18181818181818182</v>
      </c>
      <c r="BP103" s="64">
        <f>IFERROR(1/J103*(Y103/H103),"0")</f>
        <v>0.18181818181818182</v>
      </c>
    </row>
    <row r="104" spans="1:68" ht="37.5" hidden="1" customHeight="1" x14ac:dyDescent="0.25">
      <c r="A104" s="54" t="s">
        <v>201</v>
      </c>
      <c r="B104" s="54" t="s">
        <v>202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8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24</v>
      </c>
      <c r="Y105" s="555">
        <f>IFERROR(Y100/H100,"0")+IFERROR(Y101/H101,"0")+IFERROR(Y102/H102,"0")+IFERROR(Y103/H103,"0")+IFERROR(Y104/H104,"0")</f>
        <v>24</v>
      </c>
      <c r="Z105" s="555">
        <f>IFERROR(IF(Z100="",0,Z100),"0")+IFERROR(IF(Z101="",0,Z101),"0")+IFERROR(IF(Z102="",0,Z102),"0")+IFERROR(IF(Z103="",0,Z103),"0")+IFERROR(IF(Z104="",0,Z104),"0")</f>
        <v>0.21648000000000001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108</v>
      </c>
      <c r="Y106" s="555">
        <f>IFERROR(SUM(Y100:Y104),"0")</f>
        <v>108</v>
      </c>
      <c r="Z106" s="37"/>
      <c r="AA106" s="556"/>
      <c r="AB106" s="556"/>
      <c r="AC106" s="556"/>
    </row>
    <row r="107" spans="1:68" ht="14.25" hidden="1" customHeight="1" x14ac:dyDescent="0.25">
      <c r="A107" s="559" t="s">
        <v>134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hidden="1" customHeight="1" x14ac:dyDescent="0.25">
      <c r="A108" s="54" t="s">
        <v>203</v>
      </c>
      <c r="B108" s="54" t="s">
        <v>204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206</v>
      </c>
      <c r="B109" s="54" t="s">
        <v>207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212</v>
      </c>
      <c r="B111" s="54" t="s">
        <v>213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5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hidden="1" customHeight="1" x14ac:dyDescent="0.25">
      <c r="A115" s="54" t="s">
        <v>214</v>
      </c>
      <c r="B115" s="54" t="s">
        <v>215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217</v>
      </c>
      <c r="B116" s="54" t="s">
        <v>218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1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1125.9000000000001</v>
      </c>
      <c r="Y117" s="554">
        <f>IFERROR(IF(X117="",0,CEILING((X117/$H117),1)*$H117),"")</f>
        <v>1125.9000000000001</v>
      </c>
      <c r="Z117" s="36">
        <f>IFERROR(IF(Y117=0,"",ROUNDUP(Y117/H117,0)*0.00651),"")</f>
        <v>2.7146699999999999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1230.9839999999999</v>
      </c>
      <c r="BN117" s="64">
        <f>IFERROR(Y117*I117/H117,"0")</f>
        <v>1230.9839999999999</v>
      </c>
      <c r="BO117" s="64">
        <f>IFERROR(1/J117*(X117/H117),"0")</f>
        <v>2.2912087912087915</v>
      </c>
      <c r="BP117" s="64">
        <f>IFERROR(1/J117*(Y117/H117),"0")</f>
        <v>2.2912087912087915</v>
      </c>
    </row>
    <row r="118" spans="1:68" ht="16.5" hidden="1" customHeight="1" x14ac:dyDescent="0.25">
      <c r="A118" s="54" t="s">
        <v>222</v>
      </c>
      <c r="B118" s="54" t="s">
        <v>223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417</v>
      </c>
      <c r="Y119" s="555">
        <f>IFERROR(Y115/H115,"0")+IFERROR(Y116/H116,"0")+IFERROR(Y117/H117,"0")+IFERROR(Y118/H118,"0")</f>
        <v>417</v>
      </c>
      <c r="Z119" s="555">
        <f>IFERROR(IF(Z115="",0,Z115),"0")+IFERROR(IF(Z116="",0,Z116),"0")+IFERROR(IF(Z117="",0,Z117),"0")+IFERROR(IF(Z118="",0,Z118),"0")</f>
        <v>2.7146699999999999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1125.9000000000001</v>
      </c>
      <c r="Y120" s="555">
        <f>IFERROR(SUM(Y115:Y118),"0")</f>
        <v>1125.9000000000001</v>
      </c>
      <c r="Z120" s="37"/>
      <c r="AA120" s="556"/>
      <c r="AB120" s="556"/>
      <c r="AC120" s="556"/>
    </row>
    <row r="121" spans="1:68" ht="14.25" hidden="1" customHeight="1" x14ac:dyDescent="0.25">
      <c r="A121" s="559" t="s">
        <v>159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hidden="1" customHeight="1" x14ac:dyDescent="0.25">
      <c r="A122" s="54" t="s">
        <v>225</v>
      </c>
      <c r="B122" s="54" t="s">
        <v>226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92" t="s">
        <v>228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hidden="1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hidden="1" customHeight="1" x14ac:dyDescent="0.25">
      <c r="A127" s="54" t="s">
        <v>229</v>
      </c>
      <c r="B127" s="54" t="s">
        <v>230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229</v>
      </c>
      <c r="B128" s="54" t="s">
        <v>232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hidden="1" customHeight="1" x14ac:dyDescent="0.25">
      <c r="A132" s="54" t="s">
        <v>233</v>
      </c>
      <c r="B132" s="54" t="s">
        <v>234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233</v>
      </c>
      <c r="B133" s="54" t="s">
        <v>236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hidden="1" customHeight="1" x14ac:dyDescent="0.25">
      <c r="A137" s="54" t="s">
        <v>237</v>
      </c>
      <c r="B137" s="54" t="s">
        <v>238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237</v>
      </c>
      <c r="B138" s="54" t="s">
        <v>239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92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hidden="1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hidden="1" customHeight="1" x14ac:dyDescent="0.25">
      <c r="A143" s="54" t="s">
        <v>240</v>
      </c>
      <c r="B143" s="54" t="s">
        <v>241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243</v>
      </c>
      <c r="B144" s="54" t="s">
        <v>244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hidden="1" customHeight="1" x14ac:dyDescent="0.25">
      <c r="A148" s="54" t="s">
        <v>246</v>
      </c>
      <c r="B148" s="54" t="s">
        <v>247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82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249</v>
      </c>
      <c r="B149" s="54" t="s">
        <v>250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5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252</v>
      </c>
      <c r="B150" s="54" t="s">
        <v>253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57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258</v>
      </c>
      <c r="B152" s="54" t="s">
        <v>259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261</v>
      </c>
      <c r="B153" s="54" t="s">
        <v>262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hidden="1" customHeight="1" x14ac:dyDescent="0.25">
      <c r="A157" s="54" t="s">
        <v>264</v>
      </c>
      <c r="B157" s="54" t="s">
        <v>265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0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82" t="s">
        <v>267</v>
      </c>
      <c r="B160" s="583"/>
      <c r="C160" s="583"/>
      <c r="D160" s="583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  <c r="P160" s="583"/>
      <c r="Q160" s="583"/>
      <c r="R160" s="583"/>
      <c r="S160" s="583"/>
      <c r="T160" s="583"/>
      <c r="U160" s="583"/>
      <c r="V160" s="583"/>
      <c r="W160" s="583"/>
      <c r="X160" s="583"/>
      <c r="Y160" s="583"/>
      <c r="Z160" s="583"/>
      <c r="AA160" s="48"/>
      <c r="AB160" s="48"/>
      <c r="AC160" s="48"/>
    </row>
    <row r="161" spans="1:68" ht="16.5" hidden="1" customHeight="1" x14ac:dyDescent="0.25">
      <c r="A161" s="592" t="s">
        <v>268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hidden="1" customHeight="1" x14ac:dyDescent="0.25">
      <c r="A162" s="559" t="s">
        <v>134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hidden="1" customHeight="1" x14ac:dyDescent="0.25">
      <c r="A163" s="54" t="s">
        <v>269</v>
      </c>
      <c r="B163" s="54" t="s">
        <v>270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hidden="1" customHeight="1" x14ac:dyDescent="0.25">
      <c r="A167" s="54" t="s">
        <v>272</v>
      </c>
      <c r="B167" s="54" t="s">
        <v>273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764" t="s">
        <v>275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880" t="s">
        <v>280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86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287</v>
      </c>
      <c r="B171" s="54" t="s">
        <v>288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290</v>
      </c>
      <c r="B172" s="54" t="s">
        <v>291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6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306</v>
      </c>
      <c r="B178" s="54" t="s">
        <v>307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310</v>
      </c>
      <c r="B180" s="54" t="s">
        <v>311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hidden="1" customHeight="1" x14ac:dyDescent="0.25">
      <c r="A184" s="54" t="s">
        <v>313</v>
      </c>
      <c r="B184" s="54" t="s">
        <v>314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320</v>
      </c>
      <c r="B186" s="54" t="s">
        <v>321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59" t="s">
        <v>322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hidden="1" customHeight="1" x14ac:dyDescent="0.25">
      <c r="A190" s="54" t="s">
        <v>323</v>
      </c>
      <c r="B190" s="54" t="s">
        <v>324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92" t="s">
        <v>325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hidden="1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hidden="1" customHeight="1" x14ac:dyDescent="0.25">
      <c r="A195" s="54" t="s">
        <v>326</v>
      </c>
      <c r="B195" s="54" t="s">
        <v>327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329</v>
      </c>
      <c r="B196" s="54" t="s">
        <v>330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59" t="s">
        <v>134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hidden="1" customHeight="1" x14ac:dyDescent="0.25">
      <c r="A200" s="54" t="s">
        <v>331</v>
      </c>
      <c r="B200" s="54" t="s">
        <v>332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6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334</v>
      </c>
      <c r="B201" s="54" t="s">
        <v>335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6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hidden="1" customHeight="1" x14ac:dyDescent="0.25">
      <c r="A205" s="54" t="s">
        <v>336</v>
      </c>
      <c r="B205" s="54" t="s">
        <v>337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133.19999999999999</v>
      </c>
      <c r="Y209" s="554">
        <f t="shared" si="15"/>
        <v>133.20000000000002</v>
      </c>
      <c r="Z209" s="36">
        <f>IFERROR(IF(Y209=0,"",ROUNDUP(Y209/H209,0)*0.00502),"")</f>
        <v>0.37148000000000003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142.81999999999996</v>
      </c>
      <c r="BN209" s="64">
        <f t="shared" si="17"/>
        <v>142.82000000000002</v>
      </c>
      <c r="BO209" s="64">
        <f t="shared" si="18"/>
        <v>0.31623931623931623</v>
      </c>
      <c r="BP209" s="64">
        <f t="shared" si="19"/>
        <v>0.31623931623931634</v>
      </c>
    </row>
    <row r="210" spans="1:68" ht="27" hidden="1" customHeight="1" x14ac:dyDescent="0.25">
      <c r="A210" s="54" t="s">
        <v>351</v>
      </c>
      <c r="B210" s="54" t="s">
        <v>352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111.6</v>
      </c>
      <c r="Y211" s="554">
        <f t="shared" si="15"/>
        <v>111.60000000000001</v>
      </c>
      <c r="Z211" s="36">
        <f>IFERROR(IF(Y211=0,"",ROUNDUP(Y211/H211,0)*0.00502),"")</f>
        <v>0.31124000000000002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117.8</v>
      </c>
      <c r="BN211" s="64">
        <f t="shared" si="17"/>
        <v>117.80000000000001</v>
      </c>
      <c r="BO211" s="64">
        <f t="shared" si="18"/>
        <v>0.26495726495726496</v>
      </c>
      <c r="BP211" s="64">
        <f t="shared" si="19"/>
        <v>0.26495726495726496</v>
      </c>
    </row>
    <row r="212" spans="1:68" ht="27" hidden="1" customHeight="1" x14ac:dyDescent="0.25">
      <c r="A212" s="54" t="s">
        <v>355</v>
      </c>
      <c r="B212" s="54" t="s">
        <v>356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6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135.99999999999997</v>
      </c>
      <c r="Y213" s="555">
        <f>IFERROR(Y205/H205,"0")+IFERROR(Y206/H206,"0")+IFERROR(Y207/H207,"0")+IFERROR(Y208/H208,"0")+IFERROR(Y209/H209,"0")+IFERROR(Y210/H210,"0")+IFERROR(Y211/H211,"0")+IFERROR(Y212/H212,"0")</f>
        <v>136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0.68271999999999999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244.79999999999998</v>
      </c>
      <c r="Y214" s="555">
        <f>IFERROR(SUM(Y205:Y212),"0")</f>
        <v>244.8</v>
      </c>
      <c r="Z214" s="37"/>
      <c r="AA214" s="556"/>
      <c r="AB214" s="556"/>
      <c r="AC214" s="556"/>
    </row>
    <row r="215" spans="1:68" ht="14.25" hidden="1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hidden="1" customHeight="1" x14ac:dyDescent="0.25">
      <c r="A216" s="54" t="s">
        <v>357</v>
      </c>
      <c r="B216" s="54" t="s">
        <v>358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5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321.60000000000002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357.78000000000003</v>
      </c>
      <c r="BN219" s="64">
        <f t="shared" si="22"/>
        <v>357.78</v>
      </c>
      <c r="BO219" s="64">
        <f t="shared" si="23"/>
        <v>0.73626373626373642</v>
      </c>
      <c r="BP219" s="64">
        <f t="shared" si="24"/>
        <v>0.73626373626373631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220.8</v>
      </c>
      <c r="Y221" s="554">
        <f t="shared" si="20"/>
        <v>220.79999999999998</v>
      </c>
      <c r="Z221" s="36">
        <f t="shared" si="25"/>
        <v>0.59892000000000001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243.98400000000007</v>
      </c>
      <c r="BN221" s="64">
        <f t="shared" si="22"/>
        <v>243.98400000000001</v>
      </c>
      <c r="BO221" s="64">
        <f t="shared" si="23"/>
        <v>0.50549450549450559</v>
      </c>
      <c r="BP221" s="64">
        <f t="shared" si="24"/>
        <v>0.50549450549450559</v>
      </c>
    </row>
    <row r="222" spans="1:68" ht="27" hidden="1" customHeight="1" x14ac:dyDescent="0.25">
      <c r="A222" s="54" t="s">
        <v>373</v>
      </c>
      <c r="B222" s="54" t="s">
        <v>374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81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226.00000000000006</v>
      </c>
      <c r="Y225" s="555">
        <f>IFERROR(Y216/H216,"0")+IFERROR(Y217/H217,"0")+IFERROR(Y218/H218,"0")+IFERROR(Y219/H219,"0")+IFERROR(Y220/H220,"0")+IFERROR(Y221/H221,"0")+IFERROR(Y222/H222,"0")+IFERROR(Y223/H223,"0")+IFERROR(Y224/H224,"0")</f>
        <v>226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1.47126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542.40000000000009</v>
      </c>
      <c r="Y226" s="555">
        <f>IFERROR(SUM(Y216:Y224),"0")</f>
        <v>542.4</v>
      </c>
      <c r="Z226" s="37"/>
      <c r="AA226" s="556"/>
      <c r="AB226" s="556"/>
      <c r="AC226" s="556"/>
    </row>
    <row r="227" spans="1:68" ht="14.25" hidden="1" customHeight="1" x14ac:dyDescent="0.25">
      <c r="A227" s="559" t="s">
        <v>159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hidden="1" customHeight="1" x14ac:dyDescent="0.25">
      <c r="A228" s="54" t="s">
        <v>380</v>
      </c>
      <c r="B228" s="54" t="s">
        <v>381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6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383</v>
      </c>
      <c r="B229" s="54" t="s">
        <v>384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92" t="s">
        <v>386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hidden="1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hidden="1" customHeight="1" x14ac:dyDescent="0.25">
      <c r="A234" s="54" t="s">
        <v>387</v>
      </c>
      <c r="B234" s="54" t="s">
        <v>388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390</v>
      </c>
      <c r="B235" s="54" t="s">
        <v>391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394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396</v>
      </c>
      <c r="B238" s="54" t="s">
        <v>398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399</v>
      </c>
      <c r="B239" s="54" t="s">
        <v>400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402</v>
      </c>
      <c r="B240" s="54" t="s">
        <v>403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6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405</v>
      </c>
      <c r="B242" s="54" t="s">
        <v>407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59" t="s">
        <v>134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customHeight="1" x14ac:dyDescent="0.25">
      <c r="A246" s="54" t="s">
        <v>408</v>
      </c>
      <c r="B246" s="54" t="s">
        <v>409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29.7</v>
      </c>
      <c r="Y246" s="554">
        <f>IFERROR(IF(X246="",0,CEILING((X246/$H246),1)*$H246),"")</f>
        <v>29.7</v>
      </c>
      <c r="Z246" s="36">
        <f>IFERROR(IF(Y246=0,"",ROUNDUP(Y246/H246,0)*0.00502),"")</f>
        <v>7.5300000000000006E-2</v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31.200000000000003</v>
      </c>
      <c r="BN246" s="64">
        <f>IFERROR(Y246*I246/H246,"0")</f>
        <v>31.200000000000003</v>
      </c>
      <c r="BO246" s="64">
        <f>IFERROR(1/J246*(X246/H246),"0")</f>
        <v>6.4102564102564111E-2</v>
      </c>
      <c r="BP246" s="64">
        <f>IFERROR(1/J246*(Y246/H246),"0")</f>
        <v>6.4102564102564111E-2</v>
      </c>
    </row>
    <row r="247" spans="1:68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15</v>
      </c>
      <c r="Y247" s="555">
        <f>IFERROR(Y246/H246,"0")</f>
        <v>15</v>
      </c>
      <c r="Z247" s="555">
        <f>IFERROR(IF(Z246="",0,Z246),"0")</f>
        <v>7.5300000000000006E-2</v>
      </c>
      <c r="AA247" s="556"/>
      <c r="AB247" s="556"/>
      <c r="AC247" s="556"/>
    </row>
    <row r="248" spans="1:68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29.7</v>
      </c>
      <c r="Y248" s="555">
        <f>IFERROR(SUM(Y246:Y246),"0")</f>
        <v>29.7</v>
      </c>
      <c r="Z248" s="37"/>
      <c r="AA248" s="556"/>
      <c r="AB248" s="556"/>
      <c r="AC248" s="556"/>
    </row>
    <row r="249" spans="1:68" ht="14.25" hidden="1" customHeight="1" x14ac:dyDescent="0.25">
      <c r="A249" s="559" t="s">
        <v>411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hidden="1" customHeight="1" x14ac:dyDescent="0.25">
      <c r="A250" s="54" t="s">
        <v>412</v>
      </c>
      <c r="B250" s="54" t="s">
        <v>413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59" t="s">
        <v>415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hidden="1" customHeight="1" x14ac:dyDescent="0.25">
      <c r="A254" s="54" t="s">
        <v>416</v>
      </c>
      <c r="B254" s="54" t="s">
        <v>417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423</v>
      </c>
      <c r="B257" s="54" t="s">
        <v>424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68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425</v>
      </c>
      <c r="B258" s="54" t="s">
        <v>426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7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92" t="s">
        <v>427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hidden="1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hidden="1" customHeight="1" x14ac:dyDescent="0.25">
      <c r="A263" s="54" t="s">
        <v>428</v>
      </c>
      <c r="B263" s="54" t="s">
        <v>429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431</v>
      </c>
      <c r="B264" s="54" t="s">
        <v>432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434</v>
      </c>
      <c r="B265" s="54" t="s">
        <v>435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437</v>
      </c>
      <c r="B266" s="54" t="s">
        <v>438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8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440</v>
      </c>
      <c r="B267" s="54" t="s">
        <v>441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92" t="s">
        <v>443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hidden="1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hidden="1" customHeight="1" x14ac:dyDescent="0.25">
      <c r="A272" s="54" t="s">
        <v>444</v>
      </c>
      <c r="B272" s="54" t="s">
        <v>445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446</v>
      </c>
      <c r="B273" s="54" t="s">
        <v>447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449</v>
      </c>
      <c r="B274" s="54" t="s">
        <v>450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8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451</v>
      </c>
      <c r="B275" s="54" t="s">
        <v>452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8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92" t="s">
        <v>454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hidden="1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hidden="1" customHeight="1" x14ac:dyDescent="0.25">
      <c r="A280" s="54" t="s">
        <v>455</v>
      </c>
      <c r="B280" s="54" t="s">
        <v>456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461</v>
      </c>
      <c r="B282" s="54" t="s">
        <v>462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92" t="s">
        <v>463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hidden="1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hidden="1" customHeight="1" x14ac:dyDescent="0.25">
      <c r="A287" s="54" t="s">
        <v>464</v>
      </c>
      <c r="B287" s="54" t="s">
        <v>465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467</v>
      </c>
      <c r="B288" s="54" t="s">
        <v>468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hidden="1" customHeight="1" x14ac:dyDescent="0.25">
      <c r="A292" s="54" t="s">
        <v>470</v>
      </c>
      <c r="B292" s="54" t="s">
        <v>471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473</v>
      </c>
      <c r="B293" s="54" t="s">
        <v>474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6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92" t="s">
        <v>476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hidden="1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hidden="1" customHeight="1" x14ac:dyDescent="0.25">
      <c r="A298" s="54" t="s">
        <v>477</v>
      </c>
      <c r="B298" s="54" t="s">
        <v>478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480</v>
      </c>
      <c r="B299" s="54" t="s">
        <v>481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1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483</v>
      </c>
      <c r="B300" s="54" t="s">
        <v>484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486</v>
      </c>
      <c r="B301" s="54" t="s">
        <v>487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7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488</v>
      </c>
      <c r="B302" s="54" t="s">
        <v>489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hidden="1" customHeight="1" x14ac:dyDescent="0.25">
      <c r="A306" s="54" t="s">
        <v>491</v>
      </c>
      <c r="B306" s="54" t="s">
        <v>492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494</v>
      </c>
      <c r="B307" s="54" t="s">
        <v>495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497</v>
      </c>
      <c r="B308" s="54" t="s">
        <v>498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500</v>
      </c>
      <c r="B309" s="54" t="s">
        <v>501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502</v>
      </c>
      <c r="B310" s="54" t="s">
        <v>503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491.4</v>
      </c>
      <c r="Y310" s="554">
        <f t="shared" si="31"/>
        <v>491.40000000000003</v>
      </c>
      <c r="Z310" s="36">
        <f>IFERROR(IF(Y310=0,"",ROUNDUP(Y310/H310,0)*0.00502),"")</f>
        <v>1.1746799999999999</v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514.79999999999995</v>
      </c>
      <c r="BN310" s="64">
        <f t="shared" si="33"/>
        <v>514.80000000000007</v>
      </c>
      <c r="BO310" s="64">
        <f t="shared" si="34"/>
        <v>1</v>
      </c>
      <c r="BP310" s="64">
        <f t="shared" si="35"/>
        <v>1</v>
      </c>
    </row>
    <row r="311" spans="1:68" ht="27" hidden="1" customHeight="1" x14ac:dyDescent="0.25">
      <c r="A311" s="54" t="s">
        <v>505</v>
      </c>
      <c r="B311" s="54" t="s">
        <v>506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233.99999999999997</v>
      </c>
      <c r="Y312" s="555">
        <f>IFERROR(Y306/H306,"0")+IFERROR(Y307/H307,"0")+IFERROR(Y308/H308,"0")+IFERROR(Y309/H309,"0")+IFERROR(Y310/H310,"0")+IFERROR(Y311/H311,"0")</f>
        <v>234</v>
      </c>
      <c r="Z312" s="555">
        <f>IFERROR(IF(Z306="",0,Z306),"0")+IFERROR(IF(Z307="",0,Z307),"0")+IFERROR(IF(Z308="",0,Z308),"0")+IFERROR(IF(Z309="",0,Z309),"0")+IFERROR(IF(Z310="",0,Z310),"0")+IFERROR(IF(Z311="",0,Z311),"0")</f>
        <v>1.1746799999999999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491.4</v>
      </c>
      <c r="Y313" s="555">
        <f>IFERROR(SUM(Y306:Y311),"0")</f>
        <v>491.40000000000003</v>
      </c>
      <c r="Z313" s="37"/>
      <c r="AA313" s="556"/>
      <c r="AB313" s="556"/>
      <c r="AC313" s="556"/>
    </row>
    <row r="314" spans="1:68" ht="14.25" hidden="1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hidden="1" customHeight="1" x14ac:dyDescent="0.25">
      <c r="A315" s="54" t="s">
        <v>508</v>
      </c>
      <c r="B315" s="54" t="s">
        <v>509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511</v>
      </c>
      <c r="B316" s="54" t="s">
        <v>512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514</v>
      </c>
      <c r="B317" s="54" t="s">
        <v>515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517</v>
      </c>
      <c r="B318" s="54" t="s">
        <v>518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59" t="s">
        <v>159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hidden="1" customHeight="1" x14ac:dyDescent="0.25">
      <c r="A322" s="54" t="s">
        <v>520</v>
      </c>
      <c r="B322" s="54" t="s">
        <v>521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523</v>
      </c>
      <c r="B323" s="54" t="s">
        <v>524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526</v>
      </c>
      <c r="B324" s="54" t="s">
        <v>527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hidden="1" customHeight="1" x14ac:dyDescent="0.25">
      <c r="A328" s="54" t="s">
        <v>529</v>
      </c>
      <c r="B328" s="54" t="s">
        <v>530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8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532</v>
      </c>
      <c r="B329" s="54" t="s">
        <v>533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534</v>
      </c>
      <c r="B330" s="54" t="s">
        <v>535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537</v>
      </c>
      <c r="B331" s="54" t="s">
        <v>538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59" t="s">
        <v>539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hidden="1" customHeight="1" x14ac:dyDescent="0.25">
      <c r="A335" s="54" t="s">
        <v>540</v>
      </c>
      <c r="B335" s="54" t="s">
        <v>541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544</v>
      </c>
      <c r="B336" s="54" t="s">
        <v>545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546</v>
      </c>
      <c r="B337" s="54" t="s">
        <v>547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92" t="s">
        <v>548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hidden="1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hidden="1" customHeight="1" x14ac:dyDescent="0.25">
      <c r="A342" s="54" t="s">
        <v>549</v>
      </c>
      <c r="B342" s="54" t="s">
        <v>550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552</v>
      </c>
      <c r="B343" s="54" t="s">
        <v>553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157.5</v>
      </c>
      <c r="Y343" s="554">
        <f>IFERROR(IF(X343="",0,CEILING((X343/$H343),1)*$H343),"")</f>
        <v>157.5</v>
      </c>
      <c r="Z343" s="36">
        <f>IFERROR(IF(Y343=0,"",ROUNDUP(Y343/H343,0)*0.00651),"")</f>
        <v>0.48825000000000002</v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176.39999999999998</v>
      </c>
      <c r="BN343" s="64">
        <f>IFERROR(Y343*I343/H343,"0")</f>
        <v>176.39999999999998</v>
      </c>
      <c r="BO343" s="64">
        <f>IFERROR(1/J343*(X343/H343),"0")</f>
        <v>0.41208791208791212</v>
      </c>
      <c r="BP343" s="64">
        <f>IFERROR(1/J343*(Y343/H343),"0")</f>
        <v>0.41208791208791212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6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840</v>
      </c>
      <c r="Y344" s="554">
        <f>IFERROR(IF(X344="",0,CEILING((X344/$H344),1)*$H344),"")</f>
        <v>840</v>
      </c>
      <c r="Z344" s="36">
        <f>IFERROR(IF(Y344=0,"",ROUNDUP(Y344/H344,0)*0.00651),"")</f>
        <v>2.6040000000000001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935.99999999999989</v>
      </c>
      <c r="BN344" s="64">
        <f>IFERROR(Y344*I344/H344,"0")</f>
        <v>935.99999999999989</v>
      </c>
      <c r="BO344" s="64">
        <f>IFERROR(1/J344*(X344/H344),"0")</f>
        <v>2.197802197802198</v>
      </c>
      <c r="BP344" s="64">
        <f>IFERROR(1/J344*(Y344/H344),"0")</f>
        <v>2.197802197802198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475</v>
      </c>
      <c r="Y345" s="555">
        <f>IFERROR(Y342/H342,"0")+IFERROR(Y343/H343,"0")+IFERROR(Y344/H344,"0")</f>
        <v>475</v>
      </c>
      <c r="Z345" s="555">
        <f>IFERROR(IF(Z342="",0,Z342),"0")+IFERROR(IF(Z343="",0,Z343),"0")+IFERROR(IF(Z344="",0,Z344),"0")</f>
        <v>3.0922499999999999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997.5</v>
      </c>
      <c r="Y346" s="555">
        <f>IFERROR(SUM(Y342:Y344),"0")</f>
        <v>997.5</v>
      </c>
      <c r="Z346" s="37"/>
      <c r="AA346" s="556"/>
      <c r="AB346" s="556"/>
      <c r="AC346" s="556"/>
    </row>
    <row r="347" spans="1:68" ht="27.75" hidden="1" customHeight="1" x14ac:dyDescent="0.2">
      <c r="A347" s="582" t="s">
        <v>558</v>
      </c>
      <c r="B347" s="583"/>
      <c r="C347" s="583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  <c r="P347" s="583"/>
      <c r="Q347" s="583"/>
      <c r="R347" s="583"/>
      <c r="S347" s="583"/>
      <c r="T347" s="583"/>
      <c r="U347" s="583"/>
      <c r="V347" s="583"/>
      <c r="W347" s="583"/>
      <c r="X347" s="583"/>
      <c r="Y347" s="583"/>
      <c r="Z347" s="583"/>
      <c r="AA347" s="48"/>
      <c r="AB347" s="48"/>
      <c r="AC347" s="48"/>
    </row>
    <row r="348" spans="1:68" ht="16.5" hidden="1" customHeight="1" x14ac:dyDescent="0.25">
      <c r="A348" s="592" t="s">
        <v>559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hidden="1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560</v>
      </c>
      <c r="B350" s="54" t="s">
        <v>561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45</v>
      </c>
      <c r="Y350" s="554">
        <f t="shared" ref="Y350:Y356" si="36">IFERROR(IF(X350="",0,CEILING((X350/$H350),1)*$H350),"")</f>
        <v>45</v>
      </c>
      <c r="Z350" s="36">
        <f>IFERROR(IF(Y350=0,"",ROUNDUP(Y350/H350,0)*0.02175),"")</f>
        <v>6.5250000000000002E-2</v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46.41</v>
      </c>
      <c r="BN350" s="64">
        <f t="shared" ref="BN350:BN356" si="38">IFERROR(Y350*I350/H350,"0")</f>
        <v>46.41</v>
      </c>
      <c r="BO350" s="64">
        <f t="shared" ref="BO350:BO356" si="39">IFERROR(1/J350*(X350/H350),"0")</f>
        <v>6.25E-2</v>
      </c>
      <c r="BP350" s="64">
        <f t="shared" ref="BP350:BP356" si="40">IFERROR(1/J350*(Y350/H350),"0")</f>
        <v>6.25E-2</v>
      </c>
    </row>
    <row r="351" spans="1:68" ht="27" hidden="1" customHeight="1" x14ac:dyDescent="0.25">
      <c r="A351" s="54" t="s">
        <v>563</v>
      </c>
      <c r="B351" s="54" t="s">
        <v>564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566</v>
      </c>
      <c r="B352" s="54" t="s">
        <v>567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30</v>
      </c>
      <c r="Y352" s="554">
        <f t="shared" si="36"/>
        <v>30</v>
      </c>
      <c r="Z352" s="36">
        <f>IFERROR(IF(Y352=0,"",ROUNDUP(Y352/H352,0)*0.02175),"")</f>
        <v>4.3499999999999997E-2</v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30.94</v>
      </c>
      <c r="BN352" s="64">
        <f t="shared" si="38"/>
        <v>30.94</v>
      </c>
      <c r="BO352" s="64">
        <f t="shared" si="39"/>
        <v>4.1666666666666664E-2</v>
      </c>
      <c r="BP352" s="64">
        <f t="shared" si="40"/>
        <v>4.1666666666666664E-2</v>
      </c>
    </row>
    <row r="353" spans="1:68" ht="27" hidden="1" customHeight="1" x14ac:dyDescent="0.25">
      <c r="A353" s="54" t="s">
        <v>569</v>
      </c>
      <c r="B353" s="54" t="s">
        <v>570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572</v>
      </c>
      <c r="B354" s="54" t="s">
        <v>573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5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575</v>
      </c>
      <c r="B355" s="54" t="s">
        <v>576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6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577</v>
      </c>
      <c r="B356" s="54" t="s">
        <v>578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</v>
      </c>
      <c r="Y357" s="555">
        <f>IFERROR(Y350/H350,"0")+IFERROR(Y351/H351,"0")+IFERROR(Y352/H352,"0")+IFERROR(Y353/H353,"0")+IFERROR(Y354/H354,"0")+IFERROR(Y355/H355,"0")+IFERROR(Y356/H356,"0")</f>
        <v>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0.10875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75</v>
      </c>
      <c r="Y358" s="555">
        <f>IFERROR(SUM(Y350:Y356),"0")</f>
        <v>75</v>
      </c>
      <c r="Z358" s="37"/>
      <c r="AA358" s="556"/>
      <c r="AB358" s="556"/>
      <c r="AC358" s="556"/>
    </row>
    <row r="359" spans="1:68" ht="14.25" hidden="1" customHeight="1" x14ac:dyDescent="0.25">
      <c r="A359" s="559" t="s">
        <v>134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579</v>
      </c>
      <c r="B360" s="54" t="s">
        <v>580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5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30</v>
      </c>
      <c r="Y360" s="554">
        <f>IFERROR(IF(X360="",0,CEILING((X360/$H360),1)*$H360),"")</f>
        <v>30</v>
      </c>
      <c r="Z360" s="36">
        <f>IFERROR(IF(Y360=0,"",ROUNDUP(Y360/H360,0)*0.02175),"")</f>
        <v>4.3499999999999997E-2</v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30.94</v>
      </c>
      <c r="BN360" s="64">
        <f>IFERROR(Y360*I360/H360,"0")</f>
        <v>30.94</v>
      </c>
      <c r="BO360" s="64">
        <f>IFERROR(1/J360*(X360/H360),"0")</f>
        <v>4.1666666666666664E-2</v>
      </c>
      <c r="BP360" s="64">
        <f>IFERROR(1/J360*(Y360/H360),"0")</f>
        <v>4.1666666666666664E-2</v>
      </c>
    </row>
    <row r="361" spans="1:68" ht="27" hidden="1" customHeight="1" x14ac:dyDescent="0.25">
      <c r="A361" s="54" t="s">
        <v>582</v>
      </c>
      <c r="B361" s="54" t="s">
        <v>583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2</v>
      </c>
      <c r="Y362" s="555">
        <f>IFERROR(Y360/H360,"0")+IFERROR(Y361/H361,"0")</f>
        <v>2</v>
      </c>
      <c r="Z362" s="555">
        <f>IFERROR(IF(Z360="",0,Z360),"0")+IFERROR(IF(Z361="",0,Z361),"0")</f>
        <v>4.3499999999999997E-2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30</v>
      </c>
      <c r="Y363" s="555">
        <f>IFERROR(SUM(Y360:Y361),"0")</f>
        <v>30</v>
      </c>
      <c r="Z363" s="37"/>
      <c r="AA363" s="556"/>
      <c r="AB363" s="556"/>
      <c r="AC363" s="556"/>
    </row>
    <row r="364" spans="1:68" ht="14.25" hidden="1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hidden="1" customHeight="1" x14ac:dyDescent="0.25">
      <c r="A365" s="54" t="s">
        <v>585</v>
      </c>
      <c r="B365" s="54" t="s">
        <v>586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588</v>
      </c>
      <c r="B366" s="54" t="s">
        <v>589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8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59" t="s">
        <v>159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hidden="1" customHeight="1" x14ac:dyDescent="0.25">
      <c r="A370" s="54" t="s">
        <v>591</v>
      </c>
      <c r="B370" s="54" t="s">
        <v>592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92" t="s">
        <v>594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hidden="1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hidden="1" customHeight="1" x14ac:dyDescent="0.25">
      <c r="A375" s="54" t="s">
        <v>595</v>
      </c>
      <c r="B375" s="54" t="s">
        <v>596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598</v>
      </c>
      <c r="B376" s="54" t="s">
        <v>599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hidden="1" customHeight="1" x14ac:dyDescent="0.25">
      <c r="A380" s="54" t="s">
        <v>600</v>
      </c>
      <c r="B380" s="54" t="s">
        <v>601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600</v>
      </c>
      <c r="B381" s="54" t="s">
        <v>603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hidden="1" customHeight="1" x14ac:dyDescent="0.25">
      <c r="A385" s="54" t="s">
        <v>605</v>
      </c>
      <c r="B385" s="54" t="s">
        <v>606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608</v>
      </c>
      <c r="B386" s="54" t="s">
        <v>609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608</v>
      </c>
      <c r="B387" s="54" t="s">
        <v>610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82" t="s">
        <v>612</v>
      </c>
      <c r="B390" s="583"/>
      <c r="C390" s="583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48"/>
      <c r="AB390" s="48"/>
      <c r="AC390" s="48"/>
    </row>
    <row r="391" spans="1:68" ht="16.5" hidden="1" customHeight="1" x14ac:dyDescent="0.25">
      <c r="A391" s="592" t="s">
        <v>613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hidden="1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hidden="1" customHeight="1" x14ac:dyDescent="0.25">
      <c r="A393" s="54" t="s">
        <v>614</v>
      </c>
      <c r="B393" s="54" t="s">
        <v>615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617</v>
      </c>
      <c r="B394" s="54" t="s">
        <v>618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620</v>
      </c>
      <c r="B395" s="54" t="s">
        <v>621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623</v>
      </c>
      <c r="B396" s="54" t="s">
        <v>624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625</v>
      </c>
      <c r="B397" s="54" t="s">
        <v>626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627</v>
      </c>
      <c r="B398" s="54" t="s">
        <v>628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630</v>
      </c>
      <c r="B399" s="54" t="s">
        <v>631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633</v>
      </c>
      <c r="B400" s="54" t="s">
        <v>634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636</v>
      </c>
      <c r="B401" s="54" t="s">
        <v>637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hidden="1" customHeight="1" x14ac:dyDescent="0.25">
      <c r="A405" s="54" t="s">
        <v>638</v>
      </c>
      <c r="B405" s="54" t="s">
        <v>639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641</v>
      </c>
      <c r="B406" s="54" t="s">
        <v>642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92" t="s">
        <v>644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hidden="1" customHeight="1" x14ac:dyDescent="0.25">
      <c r="A410" s="559" t="s">
        <v>134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hidden="1" customHeight="1" x14ac:dyDescent="0.25">
      <c r="A411" s="54" t="s">
        <v>645</v>
      </c>
      <c r="B411" s="54" t="s">
        <v>646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hidden="1" customHeight="1" x14ac:dyDescent="0.25">
      <c r="A415" s="54" t="s">
        <v>648</v>
      </c>
      <c r="B415" s="54" t="s">
        <v>649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6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651</v>
      </c>
      <c r="B416" s="54" t="s">
        <v>652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654</v>
      </c>
      <c r="B417" s="54" t="s">
        <v>655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657</v>
      </c>
      <c r="B418" s="54" t="s">
        <v>658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6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92" t="s">
        <v>659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hidden="1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hidden="1" customHeight="1" x14ac:dyDescent="0.25">
      <c r="A423" s="54" t="s">
        <v>660</v>
      </c>
      <c r="B423" s="54" t="s">
        <v>661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79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82" t="s">
        <v>663</v>
      </c>
      <c r="B426" s="583"/>
      <c r="C426" s="583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48"/>
      <c r="AB426" s="48"/>
      <c r="AC426" s="48"/>
    </row>
    <row r="427" spans="1:68" ht="16.5" hidden="1" customHeight="1" x14ac:dyDescent="0.25">
      <c r="A427" s="592" t="s">
        <v>663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hidden="1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hidden="1" customHeight="1" x14ac:dyDescent="0.25">
      <c r="A429" s="54" t="s">
        <v>664</v>
      </c>
      <c r="B429" s="54" t="s">
        <v>665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7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62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669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670</v>
      </c>
      <c r="B432" s="54" t="s">
        <v>671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8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673</v>
      </c>
      <c r="B433" s="54" t="s">
        <v>674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676</v>
      </c>
      <c r="B434" s="54" t="s">
        <v>677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679</v>
      </c>
      <c r="B435" s="54" t="s">
        <v>680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6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686</v>
      </c>
      <c r="B438" s="54" t="s">
        <v>687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688</v>
      </c>
      <c r="B439" s="54" t="s">
        <v>689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691</v>
      </c>
      <c r="B440" s="54" t="s">
        <v>692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hidden="1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hidden="1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hidden="1" customHeight="1" x14ac:dyDescent="0.25">
      <c r="A443" s="559" t="s">
        <v>134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hidden="1" customHeight="1" x14ac:dyDescent="0.25">
      <c r="A444" s="54" t="s">
        <v>693</v>
      </c>
      <c r="B444" s="54" t="s">
        <v>694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696</v>
      </c>
      <c r="B445" s="54" t="s">
        <v>697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698</v>
      </c>
      <c r="B446" s="54" t="s">
        <v>699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hidden="1" customHeight="1" x14ac:dyDescent="0.25">
      <c r="A450" s="54" t="s">
        <v>700</v>
      </c>
      <c r="B450" s="54" t="s">
        <v>701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703</v>
      </c>
      <c r="B451" s="54" t="s">
        <v>704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81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711</v>
      </c>
      <c r="B454" s="54" t="s">
        <v>712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713</v>
      </c>
      <c r="B455" s="54" t="s">
        <v>714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hidden="1" customHeight="1" x14ac:dyDescent="0.25">
      <c r="A459" s="54" t="s">
        <v>715</v>
      </c>
      <c r="B459" s="54" t="s">
        <v>716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82" t="s">
        <v>718</v>
      </c>
      <c r="B462" s="583"/>
      <c r="C462" s="583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  <c r="P462" s="583"/>
      <c r="Q462" s="583"/>
      <c r="R462" s="583"/>
      <c r="S462" s="583"/>
      <c r="T462" s="583"/>
      <c r="U462" s="583"/>
      <c r="V462" s="583"/>
      <c r="W462" s="583"/>
      <c r="X462" s="583"/>
      <c r="Y462" s="583"/>
      <c r="Z462" s="583"/>
      <c r="AA462" s="48"/>
      <c r="AB462" s="48"/>
      <c r="AC462" s="48"/>
    </row>
    <row r="463" spans="1:68" ht="16.5" hidden="1" customHeight="1" x14ac:dyDescent="0.25">
      <c r="A463" s="592" t="s">
        <v>718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hidden="1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hidden="1" customHeight="1" x14ac:dyDescent="0.25">
      <c r="A465" s="54" t="s">
        <v>719</v>
      </c>
      <c r="B465" s="54" t="s">
        <v>720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8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725</v>
      </c>
      <c r="B467" s="54" t="s">
        <v>726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7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8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400</v>
      </c>
      <c r="Y468" s="554">
        <f>IFERROR(IF(X468="",0,CEILING((X468/$H468),1)*$H468),"")</f>
        <v>400</v>
      </c>
      <c r="Z468" s="36">
        <f>IFERROR(IF(Y468=0,"",ROUNDUP(Y468/H468,0)*0.00902),"")</f>
        <v>0.90200000000000002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419.00000000000006</v>
      </c>
      <c r="BN468" s="64">
        <f>IFERROR(Y468*I468/H468,"0")</f>
        <v>419.00000000000006</v>
      </c>
      <c r="BO468" s="64">
        <f>IFERROR(1/J468*(X468/H468),"0")</f>
        <v>0.75757575757575757</v>
      </c>
      <c r="BP468" s="64">
        <f>IFERROR(1/J468*(Y468/H468),"0")</f>
        <v>0.75757575757575757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100</v>
      </c>
      <c r="Y469" s="555">
        <f>IFERROR(Y465/H465,"0")+IFERROR(Y466/H466,"0")+IFERROR(Y467/H467,"0")+IFERROR(Y468/H468,"0")</f>
        <v>100</v>
      </c>
      <c r="Z469" s="555">
        <f>IFERROR(IF(Z465="",0,Z465),"0")+IFERROR(IF(Z466="",0,Z466),"0")+IFERROR(IF(Z467="",0,Z467),"0")+IFERROR(IF(Z468="",0,Z468),"0")</f>
        <v>0.90200000000000002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400</v>
      </c>
      <c r="Y470" s="555">
        <f>IFERROR(SUM(Y465:Y468),"0")</f>
        <v>400</v>
      </c>
      <c r="Z470" s="37"/>
      <c r="AA470" s="556"/>
      <c r="AB470" s="556"/>
      <c r="AC470" s="556"/>
    </row>
    <row r="471" spans="1:68" ht="14.25" hidden="1" customHeight="1" x14ac:dyDescent="0.25">
      <c r="A471" s="559" t="s">
        <v>134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hidden="1" customHeight="1" x14ac:dyDescent="0.25">
      <c r="A472" s="54" t="s">
        <v>730</v>
      </c>
      <c r="B472" s="54" t="s">
        <v>731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6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733</v>
      </c>
      <c r="B473" s="54" t="s">
        <v>734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8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hidden="1" customHeight="1" x14ac:dyDescent="0.25">
      <c r="A477" s="54" t="s">
        <v>736</v>
      </c>
      <c r="B477" s="54" t="s">
        <v>737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2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736</v>
      </c>
      <c r="B478" s="54" t="s">
        <v>739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6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hidden="1" customHeight="1" x14ac:dyDescent="0.25">
      <c r="A482" s="54" t="s">
        <v>741</v>
      </c>
      <c r="B482" s="54" t="s">
        <v>742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8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59" t="s">
        <v>159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hidden="1" customHeight="1" x14ac:dyDescent="0.25">
      <c r="A486" s="54" t="s">
        <v>744</v>
      </c>
      <c r="B486" s="54" t="s">
        <v>745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747</v>
      </c>
      <c r="B487" s="54" t="s">
        <v>748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92" t="s">
        <v>750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hidden="1" customHeight="1" x14ac:dyDescent="0.25">
      <c r="A491" s="559" t="s">
        <v>134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hidden="1" customHeight="1" x14ac:dyDescent="0.25">
      <c r="A492" s="54" t="s">
        <v>751</v>
      </c>
      <c r="B492" s="54" t="s">
        <v>752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79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7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8"/>
      <c r="P495" s="579" t="s">
        <v>754</v>
      </c>
      <c r="Q495" s="580"/>
      <c r="R495" s="580"/>
      <c r="S495" s="580"/>
      <c r="T495" s="580"/>
      <c r="U495" s="580"/>
      <c r="V495" s="581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5843.7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5843.7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8"/>
      <c r="P496" s="579" t="s">
        <v>755</v>
      </c>
      <c r="Q496" s="580"/>
      <c r="R496" s="580"/>
      <c r="S496" s="580"/>
      <c r="T496" s="580"/>
      <c r="U496" s="580"/>
      <c r="V496" s="581"/>
      <c r="W496" s="37" t="s">
        <v>69</v>
      </c>
      <c r="X496" s="555">
        <f>IFERROR(SUM(BM22:BM492),"0")</f>
        <v>6285.4579999999996</v>
      </c>
      <c r="Y496" s="555">
        <f>IFERROR(SUM(BN22:BN492),"0")</f>
        <v>6285.4579999999996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8"/>
      <c r="P497" s="579" t="s">
        <v>756</v>
      </c>
      <c r="Q497" s="580"/>
      <c r="R497" s="580"/>
      <c r="S497" s="580"/>
      <c r="T497" s="580"/>
      <c r="U497" s="580"/>
      <c r="V497" s="581"/>
      <c r="W497" s="37" t="s">
        <v>757</v>
      </c>
      <c r="X497" s="38">
        <f>ROUNDUP(SUM(BO22:BO492),0)</f>
        <v>13</v>
      </c>
      <c r="Y497" s="38">
        <f>ROUNDUP(SUM(BP22:BP492),0)</f>
        <v>13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8"/>
      <c r="P498" s="579" t="s">
        <v>758</v>
      </c>
      <c r="Q498" s="580"/>
      <c r="R498" s="580"/>
      <c r="S498" s="580"/>
      <c r="T498" s="580"/>
      <c r="U498" s="580"/>
      <c r="V498" s="581"/>
      <c r="W498" s="37" t="s">
        <v>69</v>
      </c>
      <c r="X498" s="555">
        <f>GrossWeightTotal+PalletQtyTotal*25</f>
        <v>6610.4579999999996</v>
      </c>
      <c r="Y498" s="555">
        <f>GrossWeightTotalR+PalletQtyTotalR*25</f>
        <v>6610.4579999999996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8"/>
      <c r="P499" s="579" t="s">
        <v>759</v>
      </c>
      <c r="Q499" s="580"/>
      <c r="R499" s="580"/>
      <c r="S499" s="580"/>
      <c r="T499" s="580"/>
      <c r="U499" s="580"/>
      <c r="V499" s="581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2094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2094</v>
      </c>
      <c r="Z499" s="37"/>
      <c r="AA499" s="556"/>
      <c r="AB499" s="556"/>
      <c r="AC499" s="556"/>
    </row>
    <row r="500" spans="1:32" ht="14.25" hidden="1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8"/>
      <c r="P500" s="579" t="s">
        <v>760</v>
      </c>
      <c r="Q500" s="580"/>
      <c r="R500" s="580"/>
      <c r="S500" s="580"/>
      <c r="T500" s="580"/>
      <c r="U500" s="580"/>
      <c r="V500" s="581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14.329610000000001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57" t="s">
        <v>99</v>
      </c>
      <c r="D502" s="617"/>
      <c r="E502" s="617"/>
      <c r="F502" s="617"/>
      <c r="G502" s="617"/>
      <c r="H502" s="618"/>
      <c r="I502" s="557" t="s">
        <v>267</v>
      </c>
      <c r="J502" s="617"/>
      <c r="K502" s="617"/>
      <c r="L502" s="617"/>
      <c r="M502" s="617"/>
      <c r="N502" s="617"/>
      <c r="O502" s="617"/>
      <c r="P502" s="617"/>
      <c r="Q502" s="617"/>
      <c r="R502" s="618"/>
      <c r="S502" s="557" t="s">
        <v>558</v>
      </c>
      <c r="T502" s="618"/>
      <c r="U502" s="557" t="s">
        <v>612</v>
      </c>
      <c r="V502" s="617"/>
      <c r="W502" s="618"/>
      <c r="X502" s="550" t="s">
        <v>663</v>
      </c>
      <c r="Y502" s="557" t="s">
        <v>718</v>
      </c>
      <c r="Z502" s="618"/>
      <c r="AB502" s="52"/>
      <c r="AC502" s="52"/>
      <c r="AF502" s="551"/>
    </row>
    <row r="503" spans="1:32" ht="14.25" customHeight="1" thickTop="1" x14ac:dyDescent="0.2">
      <c r="A503" s="856" t="s">
        <v>763</v>
      </c>
      <c r="B503" s="557" t="s">
        <v>63</v>
      </c>
      <c r="C503" s="557" t="s">
        <v>100</v>
      </c>
      <c r="D503" s="557" t="s">
        <v>115</v>
      </c>
      <c r="E503" s="557" t="s">
        <v>166</v>
      </c>
      <c r="F503" s="557" t="s">
        <v>188</v>
      </c>
      <c r="G503" s="557" t="s">
        <v>228</v>
      </c>
      <c r="H503" s="557" t="s">
        <v>99</v>
      </c>
      <c r="I503" s="557" t="s">
        <v>268</v>
      </c>
      <c r="J503" s="557" t="s">
        <v>325</v>
      </c>
      <c r="K503" s="557" t="s">
        <v>386</v>
      </c>
      <c r="L503" s="557" t="s">
        <v>427</v>
      </c>
      <c r="M503" s="557" t="s">
        <v>443</v>
      </c>
      <c r="N503" s="551"/>
      <c r="O503" s="557" t="s">
        <v>454</v>
      </c>
      <c r="P503" s="557" t="s">
        <v>463</v>
      </c>
      <c r="Q503" s="557" t="s">
        <v>476</v>
      </c>
      <c r="R503" s="557" t="s">
        <v>548</v>
      </c>
      <c r="S503" s="557" t="s">
        <v>559</v>
      </c>
      <c r="T503" s="557" t="s">
        <v>594</v>
      </c>
      <c r="U503" s="557" t="s">
        <v>613</v>
      </c>
      <c r="V503" s="557" t="s">
        <v>644</v>
      </c>
      <c r="W503" s="557" t="s">
        <v>659</v>
      </c>
      <c r="X503" s="557" t="s">
        <v>663</v>
      </c>
      <c r="Y503" s="557" t="s">
        <v>718</v>
      </c>
      <c r="Z503" s="557" t="s">
        <v>750</v>
      </c>
      <c r="AB503" s="52"/>
      <c r="AC503" s="52"/>
      <c r="AF503" s="551"/>
    </row>
    <row r="504" spans="1:32" ht="13.5" customHeight="1" thickBot="1" x14ac:dyDescent="0.25">
      <c r="A504" s="857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440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675</v>
      </c>
      <c r="E505" s="46">
        <f>IFERROR(Y85*1,"0")+IFERROR(Y86*1,"0")+IFERROR(Y87*1,"0")+IFERROR(Y88*1,"0")+IFERROR(Y92*1,"0")+IFERROR(Y93*1,"0")+IFERROR(Y94*1,"0")+IFERROR(Y95*1,"0")</f>
        <v>684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1233.9000000000001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787.19999999999993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29.7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491.40000000000003</v>
      </c>
      <c r="R505" s="46">
        <f>IFERROR(Y342*1,"0")+IFERROR(Y343*1,"0")+IFERROR(Y344*1,"0")</f>
        <v>997.5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400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5,90"/>
        <filter val="100,00"/>
        <filter val="108,00"/>
        <filter val="110,00"/>
        <filter val="111,60"/>
        <filter val="120,00"/>
        <filter val="13"/>
        <filter val="133,20"/>
        <filter val="136,00"/>
        <filter val="15,00"/>
        <filter val="150,00"/>
        <filter val="157,50"/>
        <filter val="2 094,00"/>
        <filter val="2,00"/>
        <filter val="220,80"/>
        <filter val="226,00"/>
        <filter val="234,00"/>
        <filter val="24,00"/>
        <filter val="244,80"/>
        <filter val="29,70"/>
        <filter val="30,00"/>
        <filter val="321,60"/>
        <filter val="324,00"/>
        <filter val="360,00"/>
        <filter val="400,00"/>
        <filter val="417,00"/>
        <filter val="440,00"/>
        <filter val="45,00"/>
        <filter val="475,00"/>
        <filter val="491,40"/>
        <filter val="5 843,70"/>
        <filter val="5,00"/>
        <filter val="542,40"/>
        <filter val="6 285,46"/>
        <filter val="6 610,46"/>
        <filter val="675,00"/>
        <filter val="75,00"/>
        <filter val="80,00"/>
        <filter val="840,00"/>
        <filter val="997,50"/>
      </filters>
    </filterColumn>
    <filterColumn colId="29" showButton="0"/>
    <filterColumn colId="30" showButton="0"/>
  </autoFilter>
  <mergeCells count="886"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D172:E172"/>
    <mergeCell ref="P202:V202"/>
    <mergeCell ref="P395:T395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315:T315"/>
    <mergeCell ref="P144:T144"/>
    <mergeCell ref="D423:E423"/>
    <mergeCell ref="P302:T302"/>
    <mergeCell ref="D174:E174"/>
    <mergeCell ref="A83:Z83"/>
    <mergeCell ref="P88:T88"/>
    <mergeCell ref="P401:T401"/>
    <mergeCell ref="D211:E211"/>
    <mergeCell ref="P168:T168"/>
    <mergeCell ref="P130:V130"/>
    <mergeCell ref="A123:O124"/>
    <mergeCell ref="P153:T153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A34:Z34"/>
    <mergeCell ref="A270:Z270"/>
    <mergeCell ref="P24:V24"/>
    <mergeCell ref="D281:E281"/>
    <mergeCell ref="P260:V260"/>
    <mergeCell ref="P89:V89"/>
    <mergeCell ref="A334:Z334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P454:T454"/>
    <mergeCell ref="P259:V259"/>
    <mergeCell ref="A78:Z78"/>
    <mergeCell ref="D263:E263"/>
    <mergeCell ref="P220:T220"/>
    <mergeCell ref="D238:E238"/>
    <mergeCell ref="A50:Z50"/>
    <mergeCell ref="P437:T437"/>
    <mergeCell ref="D472:E472"/>
    <mergeCell ref="A469:O470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H9:I9"/>
    <mergeCell ref="P28:T28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D473:E473"/>
    <mergeCell ref="D352:E352"/>
    <mergeCell ref="P219:T219"/>
    <mergeCell ref="D328:E328"/>
    <mergeCell ref="D436:E436"/>
    <mergeCell ref="A340:Z340"/>
    <mergeCell ref="A373:Z373"/>
    <mergeCell ref="D365:E365"/>
    <mergeCell ref="P236:T236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D221:E221"/>
    <mergeCell ref="P469:V469"/>
    <mergeCell ref="P486:T486"/>
    <mergeCell ref="P75:T75"/>
    <mergeCell ref="P342:T342"/>
    <mergeCell ref="P317:T317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A36:O37"/>
    <mergeCell ref="V11:W11"/>
    <mergeCell ref="P57:T57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01:T10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A262:Z262"/>
    <mergeCell ref="P283:V283"/>
    <mergeCell ref="P252:V252"/>
    <mergeCell ref="P105:V105"/>
    <mergeCell ref="A464:Z464"/>
    <mergeCell ref="A160:Z160"/>
    <mergeCell ref="A71:Z71"/>
    <mergeCell ref="P79:T79"/>
    <mergeCell ref="D116:E116"/>
    <mergeCell ref="D67:E67"/>
    <mergeCell ref="D79:E79"/>
    <mergeCell ref="P92:T92"/>
    <mergeCell ref="P394:T394"/>
    <mergeCell ref="D315:E315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51:Z5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