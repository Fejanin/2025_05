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6F6EB4B-F596-48E8-BE5B-0AA9643840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Y265" i="1" s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BP248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Y235" i="1" s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Z212" i="1" s="1"/>
  <c r="Y211" i="1"/>
  <c r="P211" i="1"/>
  <c r="BO210" i="1"/>
  <c r="BM210" i="1"/>
  <c r="Z210" i="1"/>
  <c r="Y210" i="1"/>
  <c r="Y212" i="1" s="1"/>
  <c r="P210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Y184" i="1" s="1"/>
  <c r="P180" i="1"/>
  <c r="BP179" i="1"/>
  <c r="BO179" i="1"/>
  <c r="BN179" i="1"/>
  <c r="BM179" i="1"/>
  <c r="Z179" i="1"/>
  <c r="Z183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Z141" i="1" s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Z135" i="1" s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Z123" i="1"/>
  <c r="Y123" i="1"/>
  <c r="Y126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Z120" i="1" s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Z70" i="1" s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Z56" i="1" s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Y35" i="1" s="1"/>
  <c r="P32" i="1"/>
  <c r="X29" i="1"/>
  <c r="X266" i="1" s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A9" i="1"/>
  <c r="A10" i="1" s="1"/>
  <c r="D7" i="1"/>
  <c r="Q6" i="1"/>
  <c r="P2" i="1"/>
  <c r="X268" i="1" l="1"/>
  <c r="BN186" i="1"/>
  <c r="BP186" i="1"/>
  <c r="Y187" i="1"/>
  <c r="BN192" i="1"/>
  <c r="BP192" i="1"/>
  <c r="Y193" i="1"/>
  <c r="Z201" i="1"/>
  <c r="BN196" i="1"/>
  <c r="BN198" i="1"/>
  <c r="BN200" i="1"/>
  <c r="BN240" i="1"/>
  <c r="Y213" i="1"/>
  <c r="X267" i="1"/>
  <c r="X269" i="1" s="1"/>
  <c r="BN23" i="1"/>
  <c r="X270" i="1"/>
  <c r="Z34" i="1"/>
  <c r="Z41" i="1"/>
  <c r="Z48" i="1"/>
  <c r="Y57" i="1"/>
  <c r="BN53" i="1"/>
  <c r="BN55" i="1"/>
  <c r="Y70" i="1"/>
  <c r="Y76" i="1"/>
  <c r="Z82" i="1"/>
  <c r="Y93" i="1"/>
  <c r="Y104" i="1"/>
  <c r="Y109" i="1"/>
  <c r="Y120" i="1"/>
  <c r="Z125" i="1"/>
  <c r="Y135" i="1"/>
  <c r="BN140" i="1"/>
  <c r="Y147" i="1"/>
  <c r="Y148" i="1"/>
  <c r="BN173" i="1"/>
  <c r="Y183" i="1"/>
  <c r="Y202" i="1"/>
  <c r="BN205" i="1"/>
  <c r="BP205" i="1"/>
  <c r="Y206" i="1"/>
  <c r="BN210" i="1"/>
  <c r="BP210" i="1"/>
  <c r="BN244" i="1"/>
  <c r="BP244" i="1"/>
  <c r="Y245" i="1"/>
  <c r="Z251" i="1"/>
  <c r="BN248" i="1"/>
  <c r="BN250" i="1"/>
  <c r="Y264" i="1"/>
  <c r="F9" i="1"/>
  <c r="J9" i="1"/>
  <c r="F10" i="1"/>
  <c r="Z28" i="1"/>
  <c r="BN22" i="1"/>
  <c r="H9" i="1"/>
  <c r="Y28" i="1"/>
  <c r="Y29" i="1"/>
  <c r="BN24" i="1"/>
  <c r="BN26" i="1"/>
  <c r="BN33" i="1"/>
  <c r="Y34" i="1"/>
  <c r="BN39" i="1"/>
  <c r="BP39" i="1"/>
  <c r="Y42" i="1"/>
  <c r="BN46" i="1"/>
  <c r="Y49" i="1"/>
  <c r="Y56" i="1"/>
  <c r="BN60" i="1"/>
  <c r="BP60" i="1"/>
  <c r="Y61" i="1"/>
  <c r="BN64" i="1"/>
  <c r="BP64" i="1"/>
  <c r="Y65" i="1"/>
  <c r="BN68" i="1"/>
  <c r="BP68" i="1"/>
  <c r="Y71" i="1"/>
  <c r="BN74" i="1"/>
  <c r="Y77" i="1"/>
  <c r="BN81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Y121" i="1"/>
  <c r="Y125" i="1"/>
  <c r="BN128" i="1"/>
  <c r="BP128" i="1"/>
  <c r="Y129" i="1"/>
  <c r="BN133" i="1"/>
  <c r="BP133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Z241" i="1"/>
  <c r="Y252" i="1"/>
  <c r="BN25" i="1"/>
  <c r="BN27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BN134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68" i="1" l="1"/>
  <c r="Y270" i="1"/>
  <c r="Y267" i="1"/>
  <c r="Y269" i="1" s="1"/>
  <c r="Y266" i="1"/>
  <c r="B279" i="1" s="1"/>
  <c r="Z271" i="1"/>
  <c r="C279" i="1" l="1"/>
  <c r="A279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<sst xmlns="http://schemas.openxmlformats.org/spreadsheetml/2006/main" count="1208" uniqueCount="393">
  <si>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</si>
  <si>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</si>
  <si>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</si>
  <si>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</si>
  <si>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</si>
  <si>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</si>
  <si>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</si>
  <si>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</si>
  <si>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</si>
  <si>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</si>
  <si>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</si>
  <si>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</si>
  <si>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</si>
  <si>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</si>
  <si>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</si>
  <si>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</si>
  <si>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</si>
  <si>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</si>
  <si>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</si>
  <si>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</si>
  <si>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</si>
  <si>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</si>
  <si>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</si>
  <si>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</si>
  <si>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</si>
  <si>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</si>
  <si>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</si>
  <si>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</si>
  <si>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</si>
  <si>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</si>
  <si>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</si>
  <si>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</si>
  <si>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</si>
  <si>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</si>
  <si>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</si>
  <si>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</si>
  <si>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</si>
  <si>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</si>
  <si>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</si>
  <si>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</si>
  <si>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</si>
  <si>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</si>
  <si>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</si>
  <si>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</si>
  <si>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</si>
  <si>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</si>
  <si>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</si>
  <si>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</si>
  <si>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</si>
  <si>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</si>
  <si>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</si>
  <si>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</si>
  <si>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</si>
  <si>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</si>
  <si>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</si>
  <si>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</si>
  <si>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</si>
  <si>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</si>
  <si>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</si>
  <si>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</si>
  <si>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</si>
  <si>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</si>
  <si>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</si>
  <si>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</si>
  <si>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</si>
  <si>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</si>
  <si>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</si>
  <si>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</si>
  <si>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</si>
  <si>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</si>
  <si>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</si>
  <si>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</si>
  <si>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</si>
  <si>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</si>
  <si>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</si>
  <si>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</si>
  <si>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</si>
  <si>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</si>
  <si>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</si>
  <si>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</si>
  <si>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</si>
  <si>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</si>
  <si>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</si>
  <si>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</si>
  <si>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</si>
  <si>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</si>
  <si>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</si>
  <si>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</si>
  <si>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</si>
  <si>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</si>
  <si>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</si>
  <si>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</si>
  <si>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</si>
  <si>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</si>
  <si>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</si>
  <si>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</si>
  <si>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</si>
  <si>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</si>
  <si>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</si>
  <si>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</si>
  <si>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</si>
  <si>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</si>
  <si>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</si>
  <si>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</si>
  <si>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</si>
  <si>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</si>
  <si>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</si>
  <si>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</si>
  <si>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</si>
  <si>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</si>
  <si>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</si>
  <si>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</si>
  <si>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</si>
  <si>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</si>
  <si>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</si>
  <si>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</si>
  <si>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</si>
  <si>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</si>
  <si>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</si>
  <si>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</si>
  <si>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</si>
  <si>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</si>
  <si>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</si>
  <si>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</si>
  <si>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</si>
  <si>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</si>
  <si>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</si>
  <si>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</si>
  <si>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</si>
  <si>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</si>
  <si>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</si>
  <si>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</si>
  <si>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</si>
  <si>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</si>
  <si>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</si>
  <si>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</si>
  <si>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</si>
  <si>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</si>
  <si>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</si>
  <si>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</si>
  <si>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</si>
  <si>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</si>
  <si>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</si>
  <si>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</si>
  <si>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</si>
  <si>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</si>
  <si>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</si>
  <si>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</si>
  <si>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</si>
  <si>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</si>
  <si>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</si>
  <si>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</si>
  <si>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</si>
  <si>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</si>
  <si>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</si>
  <si>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</si>
  <si>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</si>
  <si>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</si>
  <si>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</si>
  <si>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</si>
  <si>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</si>
  <si>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</si>
  <si>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</si>
  <si>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</si>
  <si>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</si>
  <si>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</si>
  <si>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</si>
  <si>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</si>
  <si>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</si>
  <si>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</si>
  <si>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</si>
  <si>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</si>
  <si>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</si>
  <si>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</si>
  <si>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</si>
  <si>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</si>
  <si>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</si>
  <si>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</si>
  <si>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</si>
  <si>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</si>
  <si>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</si>
  <si>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</si>
  <si>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</si>
  <si>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</si>
  <si>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</si>
  <si>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</si>
  <si>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</si>
  <si>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</si>
  <si>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</si>
  <si>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</si>
  <si>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</si>
  <si>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</si>
  <si>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</si>
  <si>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</si>
  <si>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</si>
  <si>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</si>
  <si>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</si>
  <si>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</si>
  <si>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</si>
  <si>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</si>
  <si>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</si>
  <si>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</si>
  <si>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</si>
  <si>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</si>
  <si>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</si>
  <si>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</si>
  <si>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</si>
  <si>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</si>
  <si>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</si>
  <si>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</si>
  <si>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</si>
  <si>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</si>
  <si>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</si>
  <si>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</si>
  <si>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</si>
  <si>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</si>
  <si>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</si>
  <si>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</si>
  <si>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</si>
  <si>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</si>
  <si>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</si>
  <si>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</si>
  <si>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</si>
  <si>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</si>
  <si>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</si>
  <si>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</si>
  <si>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</si>
  <si>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</si>
  <si>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</si>
  <si>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</si>
  <si>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</si>
  <si>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</si>
  <si>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</si>
  <si>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</si>
  <si>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</si>
  <si>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</si>
  <si>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</si>
  <si>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</si>
  <si>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</si>
  <si>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</si>
  <si>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</si>
  <si>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</si>
  <si>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</si>
  <si>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</si>
  <si>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</si>
  <si>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</si>
  <si>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</si>
  <si>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</si>
  <si>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</si>
  <si>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</si>
  <si>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</si>
  <si>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</si>
  <si>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</si>
  <si>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</si>
  <si>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</si>
  <si>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</si>
  <si>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</si>
  <si>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</si>
  <si>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</si>
  <si>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</si>
  <si>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</si>
  <si>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</si>
  <si>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</si>
  <si>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</si>
  <si>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</si>
  <si>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</si>
  <si>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</si>
  <si>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</si>
  <si>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</si>
  <si>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</si>
  <si>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</si>
  <si>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</si>
  <si>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</si>
  <si>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</si>
  <si>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</si>
  <si>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</si>
  <si>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</si>
  <si>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</si>
  <si>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</si>
  <si>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</si>
  <si>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</si>
  <si>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</si>
  <si>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</si>
  <si>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</si>
  <si>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</si>
  <si>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</si>
  <si>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</si>
  <si>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</si>
  <si>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</si>
  <si>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</si>
  <si>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</si>
  <si>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</si>
  <si>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</si>
  <si>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</si>
  <si>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</si>
  <si>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</si>
  <si>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</si>
  <si>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</si>
  <si>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</si>
  <si>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</si>
  <si>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</si>
  <si>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</si>
  <si>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</si>
  <si>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</si>
  <si>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</si>
  <si>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</si>
  <si>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</si>
  <si>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</si>
  <si>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</si>
  <si>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</si>
  <si>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</si>
  <si>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</si>
  <si>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</si>
  <si>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</si>
  <si>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</si>
  <si>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</si>
  <si>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</si>
  <si>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</si>
  <si>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</si>
  <si>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</si>
  <si>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</si>
  <si>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</si>
  <si>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</si>
  <si>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</si>
  <si>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</si>
  <si>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</si>
  <si>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</si>
  <si>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</si>
  <si>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</si>
  <si>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</si>
  <si>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</si>
  <si>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</si>
  <si>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</si>
  <si>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</si>
  <si>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</si>
  <si>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</si>
  <si>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</si>
  <si>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</si>
  <si>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</si>
  <si>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</si>
  <si>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</si>
  <si>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</si>
  <si>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</si>
  <si>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</si>
  <si>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</si>
  <si>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</si>
  <si>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</si>
  <si>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</si>
  <si>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</si>
  <si>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</si>
  <si>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</si>
  <si>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</si>
  <si>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</si>
  <si>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</si>
  <si>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</si>
  <si>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</si>
  <si>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</si>
  <si>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</si>
  <si>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</si>
  <si>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</si>
  <si>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</si>
  <si>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</si>
  <si>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</si>
  <si>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</si>
  <si>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</si>
  <si>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</si>
  <si>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</si>
  <si>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</si>
  <si>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</si>
  <si>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</si>
  <si>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</si>
  <si>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</si>
  <si>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</si>
  <si>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</si>
  <si>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</si>
  <si>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</si>
  <si>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</si>
  <si>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</si>
  <si>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</si>
  <si>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</si>
  <si>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</si>
  <si>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</si>
  <si>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</si>
  <si>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</si>
  <si>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</si>
  <si>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</si>
  <si>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</si>
  <si>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</si>
  <si>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</si>
  <si>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</si>
  <si>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</si>
  <si>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</si>
  <si>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маш9ина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</si>
</sst>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300"/>
      <c r="F1" s="300"/>
      <c r="G1" s="12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61"/>
      <c r="P5" s="24" t="s">
        <v>10</v>
      </c>
      <c r="Q5" s="420">
        <v>46041</v>
      </c>
      <c r="R5" s="346"/>
      <c r="T5" s="293" t="s">
        <v>11</v>
      </c>
      <c r="U5" s="294"/>
      <c r="V5" s="372" t="s">
        <v>12</v>
      </c>
      <c r="W5" s="346"/>
      <c r="AB5" s="51"/>
      <c r="AC5" s="51"/>
      <c r="AD5" s="51"/>
      <c r="AE5" s="51"/>
    </row>
    <row r="6" spans="1:32" s="260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62"/>
      <c r="P6" s="24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2"/>
      <c r="U7" s="294"/>
      <c r="V7" s="436"/>
      <c r="W7" s="437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29">
        <v>0.5</v>
      </c>
      <c r="R8" s="305"/>
      <c r="T8" s="282"/>
      <c r="U8" s="294"/>
      <c r="V8" s="436"/>
      <c r="W8" s="437"/>
      <c r="AB8" s="51"/>
      <c r="AC8" s="51"/>
      <c r="AD8" s="51"/>
      <c r="AE8" s="51"/>
    </row>
    <row r="9" spans="1:32" s="260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258"/>
      <c r="P9" s="26" t="s">
        <v>21</v>
      </c>
      <c r="Q9" s="343"/>
      <c r="R9" s="344"/>
      <c r="T9" s="282"/>
      <c r="U9" s="294"/>
      <c r="V9" s="438"/>
      <c r="W9" s="439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259"/>
      <c r="P10" s="26" t="s">
        <v>22</v>
      </c>
      <c r="Q10" s="376"/>
      <c r="R10" s="377"/>
      <c r="U10" s="24" t="s">
        <v>23</v>
      </c>
      <c r="V10" s="319" t="s">
        <v>24</v>
      </c>
      <c r="W10" s="320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386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65"/>
      <c r="P12" s="24" t="s">
        <v>30</v>
      </c>
      <c r="Q12" s="329"/>
      <c r="R12" s="305"/>
      <c r="S12" s="23"/>
      <c r="U12" s="24"/>
      <c r="V12" s="300"/>
      <c r="W12" s="282"/>
      <c r="AB12" s="51"/>
      <c r="AC12" s="51"/>
      <c r="AD12" s="51"/>
      <c r="AE12" s="51"/>
    </row>
    <row r="13" spans="1:32" s="260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65"/>
      <c r="O13" s="26"/>
      <c r="P13" s="26" t="s">
        <v>32</v>
      </c>
      <c r="Q13" s="38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66"/>
      <c r="P15" s="362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1"/>
      <c r="AB20" s="261"/>
      <c r="AC20" s="261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6">
        <v>0</v>
      </c>
      <c r="Y26" s="267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0</v>
      </c>
      <c r="Y28" s="268">
        <f>IFERROR(SUM(Y22:Y27),"0")</f>
        <v>0</v>
      </c>
      <c r="Z28" s="268">
        <f>IFERROR(IF(Z22="",0,Z22),"0")+IFERROR(IF(Z23="",0,Z23),"0")+IFERROR(IF(Z24="",0,Z24),"0")+IFERROR(IF(Z25="",0,Z25),"0")+IFERROR(IF(Z26="",0,Z26),"0")+IFERROR(IF(Z27="",0,Z27),"0")</f>
        <v>0</v>
      </c>
      <c r="AA28" s="269"/>
      <c r="AB28" s="269"/>
      <c r="AC28" s="269"/>
    </row>
    <row r="29" spans="1:68" hidden="1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0</v>
      </c>
      <c r="Y29" s="268">
        <f>IFERROR(SUMPRODUCT(Y22:Y27*H22:H27),"0")</f>
        <v>0</v>
      </c>
      <c r="Z29" s="37"/>
      <c r="AA29" s="269"/>
      <c r="AB29" s="269"/>
      <c r="AC29" s="269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61"/>
      <c r="AB30" s="261"/>
      <c r="AC30" s="261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61"/>
      <c r="AB37" s="261"/>
      <c r="AC37" s="261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62"/>
      <c r="AB38" s="262"/>
      <c r="AC38" s="262"/>
    </row>
    <row r="39" spans="1:68" ht="27" hidden="1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6">
        <v>0</v>
      </c>
      <c r="Y39" s="26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6">
        <v>42</v>
      </c>
      <c r="Y40" s="267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42</v>
      </c>
      <c r="Y41" s="268">
        <f>IFERROR(SUM(Y39:Y40),"0")</f>
        <v>42</v>
      </c>
      <c r="Z41" s="268">
        <f>IFERROR(IF(Z39="",0,Z39),"0")+IFERROR(IF(Z40="",0,Z40),"0")</f>
        <v>0.39522000000000002</v>
      </c>
      <c r="AA41" s="269"/>
      <c r="AB41" s="269"/>
      <c r="AC41" s="269"/>
    </row>
    <row r="42" spans="1:68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63</v>
      </c>
      <c r="Y42" s="268">
        <f>IFERROR(SUMPRODUCT(Y39:Y40*H39:H40),"0")</f>
        <v>63</v>
      </c>
      <c r="Z42" s="37"/>
      <c r="AA42" s="269"/>
      <c r="AB42" s="269"/>
      <c r="AC42" s="269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61"/>
      <c r="AB43" s="261"/>
      <c r="AC43" s="261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62"/>
      <c r="AB44" s="262"/>
      <c r="AC44" s="262"/>
    </row>
    <row r="45" spans="1:68" ht="27" hidden="1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6">
        <v>0</v>
      </c>
      <c r="Y45" s="26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6">
        <v>0</v>
      </c>
      <c r="Y46" s="26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110</v>
      </c>
      <c r="B47" s="54" t="s">
        <v>111</v>
      </c>
      <c r="C47" s="31">
        <v>4301071091</v>
      </c>
      <c r="D47" s="274">
        <v>4620207490044</v>
      </c>
      <c r="E47" s="275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0</v>
      </c>
      <c r="Y48" s="268">
        <f>IFERROR(SUM(Y45:Y47),"0")</f>
        <v>0</v>
      </c>
      <c r="Z48" s="268">
        <f>IFERROR(IF(Z45="",0,Z45),"0")+IFERROR(IF(Z46="",0,Z46),"0")+IFERROR(IF(Z47="",0,Z47),"0")</f>
        <v>0</v>
      </c>
      <c r="AA48" s="269"/>
      <c r="AB48" s="269"/>
      <c r="AC48" s="269"/>
    </row>
    <row r="49" spans="1:68" hidden="1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0</v>
      </c>
      <c r="Y49" s="268">
        <f>IFERROR(SUMPRODUCT(Y45:Y47*H45:H47),"0")</f>
        <v>0</v>
      </c>
      <c r="Z49" s="37"/>
      <c r="AA49" s="269"/>
      <c r="AB49" s="269"/>
      <c r="AC49" s="269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61"/>
      <c r="AB50" s="261"/>
      <c r="AC50" s="261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62"/>
      <c r="AB51" s="262"/>
      <c r="AC51" s="262"/>
    </row>
    <row r="52" spans="1:68" ht="27" hidden="1" customHeight="1" x14ac:dyDescent="0.25">
      <c r="A52" s="54" t="s">
        <v>114</v>
      </c>
      <c r="B52" s="54" t="s">
        <v>115</v>
      </c>
      <c r="C52" s="31">
        <v>4301071044</v>
      </c>
      <c r="D52" s="274">
        <v>4607111039385</v>
      </c>
      <c r="E52" s="275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6">
        <v>0</v>
      </c>
      <c r="Y52" s="26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117</v>
      </c>
      <c r="B53" s="54" t="s">
        <v>118</v>
      </c>
      <c r="C53" s="31">
        <v>4301071031</v>
      </c>
      <c r="D53" s="274">
        <v>4607111038982</v>
      </c>
      <c r="E53" s="275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6">
        <v>0</v>
      </c>
      <c r="Y53" s="26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4">
        <v>4607111039354</v>
      </c>
      <c r="E54" s="275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97</v>
      </c>
      <c r="M54" s="33" t="s">
        <v>69</v>
      </c>
      <c r="N54" s="33"/>
      <c r="O54" s="32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122</v>
      </c>
      <c r="B55" s="54" t="s">
        <v>123</v>
      </c>
      <c r="C55" s="31">
        <v>4301071047</v>
      </c>
      <c r="D55" s="274">
        <v>4607111039330</v>
      </c>
      <c r="E55" s="275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6">
        <v>0</v>
      </c>
      <c r="Y55" s="26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0</v>
      </c>
      <c r="Y56" s="268">
        <f>IFERROR(SUM(Y52:Y55),"0")</f>
        <v>0</v>
      </c>
      <c r="Z56" s="268">
        <f>IFERROR(IF(Z52="",0,Z52),"0")+IFERROR(IF(Z53="",0,Z53),"0")+IFERROR(IF(Z54="",0,Z54),"0")+IFERROR(IF(Z55="",0,Z55),"0")</f>
        <v>0</v>
      </c>
      <c r="AA56" s="269"/>
      <c r="AB56" s="269"/>
      <c r="AC56" s="269"/>
    </row>
    <row r="57" spans="1:68" hidden="1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0</v>
      </c>
      <c r="Y57" s="268">
        <f>IFERROR(SUMPRODUCT(Y52:Y55*H52:H55),"0")</f>
        <v>0</v>
      </c>
      <c r="Z57" s="37"/>
      <c r="AA57" s="269"/>
      <c r="AB57" s="269"/>
      <c r="AC57" s="269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61"/>
      <c r="AB58" s="261"/>
      <c r="AC58" s="261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62"/>
      <c r="AB59" s="262"/>
      <c r="AC59" s="262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4">
        <v>4620207490822</v>
      </c>
      <c r="E60" s="275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62"/>
      <c r="AB63" s="262"/>
      <c r="AC63" s="262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4">
        <v>4607111039712</v>
      </c>
      <c r="E64" s="275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97</v>
      </c>
      <c r="M64" s="33" t="s">
        <v>69</v>
      </c>
      <c r="N64" s="33"/>
      <c r="O64" s="32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99</v>
      </c>
      <c r="AK64" s="71">
        <v>14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hidden="1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2"/>
      <c r="AB67" s="262"/>
      <c r="AC67" s="262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4">
        <v>4607111037008</v>
      </c>
      <c r="E68" s="275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4">
        <v>4607111037398</v>
      </c>
      <c r="E69" s="275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62"/>
      <c r="AB72" s="262"/>
      <c r="AC72" s="262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4">
        <v>4607111039705</v>
      </c>
      <c r="E73" s="27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140</v>
      </c>
      <c r="M73" s="33" t="s">
        <v>69</v>
      </c>
      <c r="N73" s="33"/>
      <c r="O73" s="32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141</v>
      </c>
      <c r="AK73" s="71">
        <v>140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142</v>
      </c>
      <c r="B74" s="54" t="s">
        <v>143</v>
      </c>
      <c r="C74" s="31">
        <v>4301135665</v>
      </c>
      <c r="D74" s="274">
        <v>4607111039729</v>
      </c>
      <c r="E74" s="275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140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144</v>
      </c>
      <c r="AG74" s="67"/>
      <c r="AJ74" s="71" t="s">
        <v>141</v>
      </c>
      <c r="AK74" s="71">
        <v>140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145</v>
      </c>
      <c r="B75" s="54" t="s">
        <v>146</v>
      </c>
      <c r="C75" s="31">
        <v>4301135702</v>
      </c>
      <c r="D75" s="274">
        <v>4620207490228</v>
      </c>
      <c r="E75" s="275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140</v>
      </c>
      <c r="M75" s="33" t="s">
        <v>69</v>
      </c>
      <c r="N75" s="33"/>
      <c r="O75" s="32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144</v>
      </c>
      <c r="AG75" s="67"/>
      <c r="AJ75" s="71" t="s">
        <v>141</v>
      </c>
      <c r="AK75" s="71">
        <v>140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hidden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hidden="1" customHeight="1" x14ac:dyDescent="0.25">
      <c r="A78" s="281" t="s">
        <v>147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1"/>
      <c r="AB78" s="261"/>
      <c r="AC78" s="261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hidden="1" customHeight="1" x14ac:dyDescent="0.25">
      <c r="A80" s="54" t="s">
        <v>148</v>
      </c>
      <c r="B80" s="54" t="s">
        <v>149</v>
      </c>
      <c r="C80" s="31">
        <v>4301070977</v>
      </c>
      <c r="D80" s="274">
        <v>4607111037411</v>
      </c>
      <c r="E80" s="275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150</v>
      </c>
      <c r="L80" s="32" t="s">
        <v>97</v>
      </c>
      <c r="M80" s="33" t="s">
        <v>69</v>
      </c>
      <c r="N80" s="33"/>
      <c r="O80" s="32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151</v>
      </c>
      <c r="AG80" s="67"/>
      <c r="AJ80" s="71" t="s">
        <v>99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152</v>
      </c>
      <c r="B81" s="54" t="s">
        <v>153</v>
      </c>
      <c r="C81" s="31">
        <v>4301070981</v>
      </c>
      <c r="D81" s="274">
        <v>4607111036728</v>
      </c>
      <c r="E81" s="275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6">
        <v>192</v>
      </c>
      <c r="Y81" s="267">
        <f>IFERROR(IF(X81="","",X81),"")</f>
        <v>192</v>
      </c>
      <c r="Z81" s="36">
        <f>IFERROR(IF(X81="","",X81*0.00866),"")</f>
        <v>1.6627199999999998</v>
      </c>
      <c r="AA81" s="56"/>
      <c r="AB81" s="57"/>
      <c r="AC81" s="122" t="s">
        <v>151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1000.9343999999999</v>
      </c>
      <c r="BN81" s="67">
        <f>IFERROR(Y81*I81,"0")</f>
        <v>1000.9343999999999</v>
      </c>
      <c r="BO81" s="67">
        <f>IFERROR(X81/J81,"0")</f>
        <v>1.3333333333333333</v>
      </c>
      <c r="BP81" s="67">
        <f>IFERROR(Y81/J81,"0")</f>
        <v>1.3333333333333333</v>
      </c>
    </row>
    <row r="82" spans="1:68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192</v>
      </c>
      <c r="Y82" s="268">
        <f>IFERROR(SUM(Y80:Y81),"0")</f>
        <v>192</v>
      </c>
      <c r="Z82" s="268">
        <f>IFERROR(IF(Z80="",0,Z80),"0")+IFERROR(IF(Z81="",0,Z81),"0")</f>
        <v>1.6627199999999998</v>
      </c>
      <c r="AA82" s="269"/>
      <c r="AB82" s="269"/>
      <c r="AC82" s="269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960</v>
      </c>
      <c r="Y83" s="268">
        <f>IFERROR(SUMPRODUCT(Y80:Y81*H80:H81),"0")</f>
        <v>960</v>
      </c>
      <c r="Z83" s="37"/>
      <c r="AA83" s="269"/>
      <c r="AB83" s="269"/>
      <c r="AC83" s="269"/>
    </row>
    <row r="84" spans="1:68" ht="16.5" hidden="1" customHeight="1" x14ac:dyDescent="0.25">
      <c r="A84" s="281" t="s">
        <v>154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1"/>
      <c r="AB84" s="261"/>
      <c r="AC84" s="261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hidden="1" customHeight="1" x14ac:dyDescent="0.25">
      <c r="A86" s="54" t="s">
        <v>155</v>
      </c>
      <c r="B86" s="54" t="s">
        <v>156</v>
      </c>
      <c r="C86" s="31">
        <v>4301135574</v>
      </c>
      <c r="D86" s="274">
        <v>4607111033659</v>
      </c>
      <c r="E86" s="275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6">
        <v>0</v>
      </c>
      <c r="Y86" s="267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157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0</v>
      </c>
      <c r="Y87" s="268">
        <f>IFERROR(SUM(Y86:Y86),"0")</f>
        <v>0</v>
      </c>
      <c r="Z87" s="268">
        <f>IFERROR(IF(Z86="",0,Z86),"0")</f>
        <v>0</v>
      </c>
      <c r="AA87" s="269"/>
      <c r="AB87" s="269"/>
      <c r="AC87" s="269"/>
    </row>
    <row r="88" spans="1:68" hidden="1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0</v>
      </c>
      <c r="Y88" s="268">
        <f>IFERROR(SUMPRODUCT(Y86:Y86*H86:H86),"0")</f>
        <v>0</v>
      </c>
      <c r="Z88" s="37"/>
      <c r="AA88" s="269"/>
      <c r="AB88" s="269"/>
      <c r="AC88" s="269"/>
    </row>
    <row r="89" spans="1:68" ht="16.5" hidden="1" customHeight="1" x14ac:dyDescent="0.25">
      <c r="A89" s="281" t="s">
        <v>158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61"/>
      <c r="AB89" s="261"/>
      <c r="AC89" s="261"/>
    </row>
    <row r="90" spans="1:68" ht="14.25" hidden="1" customHeight="1" x14ac:dyDescent="0.25">
      <c r="A90" s="297" t="s">
        <v>159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62"/>
      <c r="AB90" s="262"/>
      <c r="AC90" s="262"/>
    </row>
    <row r="91" spans="1:68" ht="27" hidden="1" customHeight="1" x14ac:dyDescent="0.25">
      <c r="A91" s="54" t="s">
        <v>160</v>
      </c>
      <c r="B91" s="54" t="s">
        <v>161</v>
      </c>
      <c r="C91" s="31">
        <v>4301131047</v>
      </c>
      <c r="D91" s="274">
        <v>4607111034120</v>
      </c>
      <c r="E91" s="275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6">
        <v>0</v>
      </c>
      <c r="Y91" s="267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162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163</v>
      </c>
      <c r="B92" s="54" t="s">
        <v>164</v>
      </c>
      <c r="C92" s="31">
        <v>4301131046</v>
      </c>
      <c r="D92" s="274">
        <v>4607111034137</v>
      </c>
      <c r="E92" s="275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6">
        <v>0</v>
      </c>
      <c r="Y92" s="267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165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0</v>
      </c>
      <c r="Y93" s="268">
        <f>IFERROR(SUM(Y91:Y92),"0")</f>
        <v>0</v>
      </c>
      <c r="Z93" s="268">
        <f>IFERROR(IF(Z91="",0,Z91),"0")+IFERROR(IF(Z92="",0,Z92),"0")</f>
        <v>0</v>
      </c>
      <c r="AA93" s="269"/>
      <c r="AB93" s="269"/>
      <c r="AC93" s="269"/>
    </row>
    <row r="94" spans="1:68" hidden="1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0</v>
      </c>
      <c r="Y94" s="268">
        <f>IFERROR(SUMPRODUCT(Y91:Y92*H91:H92),"0")</f>
        <v>0</v>
      </c>
      <c r="Z94" s="37"/>
      <c r="AA94" s="269"/>
      <c r="AB94" s="269"/>
      <c r="AC94" s="269"/>
    </row>
    <row r="95" spans="1:68" ht="16.5" hidden="1" customHeight="1" x14ac:dyDescent="0.25">
      <c r="A95" s="281" t="s">
        <v>166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1"/>
      <c r="AB95" s="261"/>
      <c r="AC95" s="261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62"/>
      <c r="AB96" s="262"/>
      <c r="AC96" s="262"/>
    </row>
    <row r="97" spans="1:68" ht="27" hidden="1" customHeight="1" x14ac:dyDescent="0.25">
      <c r="A97" s="54" t="s">
        <v>167</v>
      </c>
      <c r="B97" s="54" t="s">
        <v>168</v>
      </c>
      <c r="C97" s="31">
        <v>4301135763</v>
      </c>
      <c r="D97" s="274">
        <v>4620207491027</v>
      </c>
      <c r="E97" s="27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6">
        <v>0</v>
      </c>
      <c r="Y97" s="267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157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169</v>
      </c>
      <c r="B98" s="54" t="s">
        <v>170</v>
      </c>
      <c r="C98" s="31">
        <v>4301135793</v>
      </c>
      <c r="D98" s="274">
        <v>4620207491003</v>
      </c>
      <c r="E98" s="27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6">
        <v>0</v>
      </c>
      <c r="Y98" s="267">
        <f t="shared" si="6"/>
        <v>0</v>
      </c>
      <c r="Z98" s="36">
        <f t="shared" si="7"/>
        <v>0</v>
      </c>
      <c r="AA98" s="56"/>
      <c r="AB98" s="57"/>
      <c r="AC98" s="132" t="s">
        <v>157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171</v>
      </c>
      <c r="B99" s="54" t="s">
        <v>172</v>
      </c>
      <c r="C99" s="31">
        <v>4301135768</v>
      </c>
      <c r="D99" s="274">
        <v>4620207491034</v>
      </c>
      <c r="E99" s="275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6">
        <v>0</v>
      </c>
      <c r="Y99" s="267">
        <f t="shared" si="6"/>
        <v>0</v>
      </c>
      <c r="Z99" s="36">
        <f t="shared" si="7"/>
        <v>0</v>
      </c>
      <c r="AA99" s="56"/>
      <c r="AB99" s="57"/>
      <c r="AC99" s="134" t="s">
        <v>173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174</v>
      </c>
      <c r="B100" s="54" t="s">
        <v>175</v>
      </c>
      <c r="C100" s="31">
        <v>4301135760</v>
      </c>
      <c r="D100" s="274">
        <v>4620207491010</v>
      </c>
      <c r="E100" s="275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157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176</v>
      </c>
      <c r="B101" s="54" t="s">
        <v>177</v>
      </c>
      <c r="C101" s="31">
        <v>4301135571</v>
      </c>
      <c r="D101" s="274">
        <v>4607111035028</v>
      </c>
      <c r="E101" s="275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6">
        <v>42</v>
      </c>
      <c r="Y101" s="267">
        <f t="shared" si="6"/>
        <v>42</v>
      </c>
      <c r="Z101" s="36">
        <f t="shared" si="7"/>
        <v>0.75095999999999996</v>
      </c>
      <c r="AA101" s="56"/>
      <c r="AB101" s="57"/>
      <c r="AC101" s="138" t="s">
        <v>157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186.84960000000001</v>
      </c>
      <c r="BN101" s="67">
        <f t="shared" si="9"/>
        <v>186.84960000000001</v>
      </c>
      <c r="BO101" s="67">
        <f t="shared" si="10"/>
        <v>0.6</v>
      </c>
      <c r="BP101" s="67">
        <f t="shared" si="11"/>
        <v>0.6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4301135285</v>
      </c>
      <c r="D102" s="274">
        <v>4607111036407</v>
      </c>
      <c r="E102" s="275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97</v>
      </c>
      <c r="M102" s="33" t="s">
        <v>69</v>
      </c>
      <c r="N102" s="33"/>
      <c r="O102" s="32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180</v>
      </c>
      <c r="AG102" s="67"/>
      <c r="AJ102" s="71" t="s">
        <v>99</v>
      </c>
      <c r="AK102" s="71">
        <v>14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42</v>
      </c>
      <c r="Y103" s="268">
        <f>IFERROR(SUM(Y97:Y102),"0")</f>
        <v>42</v>
      </c>
      <c r="Z103" s="268">
        <f>IFERROR(IF(Z97="",0,Z97),"0")+IFERROR(IF(Z98="",0,Z98),"0")+IFERROR(IF(Z99="",0,Z99),"0")+IFERROR(IF(Z100="",0,Z100),"0")+IFERROR(IF(Z101="",0,Z101),"0")+IFERROR(IF(Z102="",0,Z102),"0")</f>
        <v>0.75095999999999996</v>
      </c>
      <c r="AA103" s="269"/>
      <c r="AB103" s="269"/>
      <c r="AC103" s="269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161.28</v>
      </c>
      <c r="Y104" s="268">
        <f>IFERROR(SUMPRODUCT(Y97:Y102*H97:H102),"0")</f>
        <v>161.28</v>
      </c>
      <c r="Z104" s="37"/>
      <c r="AA104" s="269"/>
      <c r="AB104" s="269"/>
      <c r="AC104" s="269"/>
    </row>
    <row r="105" spans="1:68" ht="16.5" hidden="1" customHeight="1" x14ac:dyDescent="0.25">
      <c r="A105" s="281" t="s">
        <v>181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61"/>
      <c r="AB105" s="261"/>
      <c r="AC105" s="261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62"/>
      <c r="AB106" s="262"/>
      <c r="AC106" s="262"/>
    </row>
    <row r="107" spans="1:68" ht="27" hidden="1" customHeight="1" x14ac:dyDescent="0.25">
      <c r="A107" s="54" t="s">
        <v>182</v>
      </c>
      <c r="B107" s="54" t="s">
        <v>183</v>
      </c>
      <c r="C107" s="31">
        <v>4301136070</v>
      </c>
      <c r="D107" s="274">
        <v>4607025784012</v>
      </c>
      <c r="E107" s="275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6">
        <v>0</v>
      </c>
      <c r="Y107" s="26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184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4301136079</v>
      </c>
      <c r="D108" s="274">
        <v>4607025784319</v>
      </c>
      <c r="E108" s="275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6">
        <v>0</v>
      </c>
      <c r="Y108" s="267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157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0</v>
      </c>
      <c r="Y109" s="268">
        <f>IFERROR(SUM(Y107:Y108),"0")</f>
        <v>0</v>
      </c>
      <c r="Z109" s="268">
        <f>IFERROR(IF(Z107="",0,Z107),"0")+IFERROR(IF(Z108="",0,Z108),"0")</f>
        <v>0</v>
      </c>
      <c r="AA109" s="269"/>
      <c r="AB109" s="269"/>
      <c r="AC109" s="269"/>
    </row>
    <row r="110" spans="1:68" hidden="1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0</v>
      </c>
      <c r="Y110" s="268">
        <f>IFERROR(SUMPRODUCT(Y107:Y108*H107:H108),"0")</f>
        <v>0</v>
      </c>
      <c r="Z110" s="37"/>
      <c r="AA110" s="269"/>
      <c r="AB110" s="269"/>
      <c r="AC110" s="269"/>
    </row>
    <row r="111" spans="1:68" ht="16.5" hidden="1" customHeight="1" x14ac:dyDescent="0.25">
      <c r="A111" s="281" t="s">
        <v>187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1"/>
      <c r="AB111" s="261"/>
      <c r="AC111" s="261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hidden="1" customHeight="1" x14ac:dyDescent="0.25">
      <c r="A113" s="54" t="s">
        <v>188</v>
      </c>
      <c r="B113" s="54" t="s">
        <v>189</v>
      </c>
      <c r="C113" s="31">
        <v>4301071074</v>
      </c>
      <c r="D113" s="274">
        <v>4620207491157</v>
      </c>
      <c r="E113" s="275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6">
        <v>0</v>
      </c>
      <c r="Y113" s="267">
        <f t="shared" ref="Y113:Y119" si="12">IFERROR(IF(X113="","",X113),"")</f>
        <v>0</v>
      </c>
      <c r="Z113" s="36">
        <f t="shared" ref="Z113:Z119" si="13">IFERROR(IF(X113="","",X113*0.0155),"")</f>
        <v>0</v>
      </c>
      <c r="AA113" s="56"/>
      <c r="AB113" s="57"/>
      <c r="AC113" s="146" t="s">
        <v>190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0</v>
      </c>
      <c r="BN113" s="67">
        <f t="shared" ref="BN113:BN119" si="15">IFERROR(Y113*I113,"0")</f>
        <v>0</v>
      </c>
      <c r="BO113" s="67">
        <f t="shared" ref="BO113:BO119" si="16">IFERROR(X113/J113,"0")</f>
        <v>0</v>
      </c>
      <c r="BP113" s="67">
        <f t="shared" ref="BP113:BP119" si="17">IFERROR(Y113/J113,"0")</f>
        <v>0</v>
      </c>
    </row>
    <row r="114" spans="1:68" ht="27" hidden="1" customHeight="1" x14ac:dyDescent="0.25">
      <c r="A114" s="54" t="s">
        <v>191</v>
      </c>
      <c r="B114" s="54" t="s">
        <v>192</v>
      </c>
      <c r="C114" s="31">
        <v>4301071121</v>
      </c>
      <c r="D114" s="274">
        <v>4620207491393</v>
      </c>
      <c r="E114" s="275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193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194</v>
      </c>
      <c r="B115" s="54" t="s">
        <v>195</v>
      </c>
      <c r="C115" s="31">
        <v>4301071051</v>
      </c>
      <c r="D115" s="274">
        <v>4607111039262</v>
      </c>
      <c r="E115" s="275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151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196</v>
      </c>
      <c r="B116" s="54" t="s">
        <v>197</v>
      </c>
      <c r="C116" s="31">
        <v>4301071038</v>
      </c>
      <c r="D116" s="274">
        <v>4607111039248</v>
      </c>
      <c r="E116" s="275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6">
        <v>0</v>
      </c>
      <c r="Y116" s="267">
        <f t="shared" si="12"/>
        <v>0</v>
      </c>
      <c r="Z116" s="36">
        <f t="shared" si="13"/>
        <v>0</v>
      </c>
      <c r="AA116" s="56"/>
      <c r="AB116" s="57"/>
      <c r="AC116" s="152" t="s">
        <v>151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198</v>
      </c>
      <c r="B117" s="54" t="s">
        <v>199</v>
      </c>
      <c r="C117" s="31">
        <v>4301070979</v>
      </c>
      <c r="D117" s="274">
        <v>4607111037145</v>
      </c>
      <c r="E117" s="275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200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201</v>
      </c>
      <c r="B118" s="54" t="s">
        <v>202</v>
      </c>
      <c r="C118" s="31">
        <v>4301071049</v>
      </c>
      <c r="D118" s="274">
        <v>4607111039293</v>
      </c>
      <c r="E118" s="275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151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203</v>
      </c>
      <c r="B119" s="54" t="s">
        <v>204</v>
      </c>
      <c r="C119" s="31">
        <v>4301071039</v>
      </c>
      <c r="D119" s="274">
        <v>4607111039279</v>
      </c>
      <c r="E119" s="275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6">
        <v>72</v>
      </c>
      <c r="Y119" s="267">
        <f t="shared" si="12"/>
        <v>72</v>
      </c>
      <c r="Z119" s="36">
        <f t="shared" si="13"/>
        <v>1.1160000000000001</v>
      </c>
      <c r="AA119" s="56"/>
      <c r="AB119" s="57"/>
      <c r="AC119" s="158" t="s">
        <v>151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72</v>
      </c>
      <c r="Y120" s="268">
        <f>IFERROR(SUM(Y113:Y119),"0")</f>
        <v>72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1.1160000000000001</v>
      </c>
      <c r="AA120" s="269"/>
      <c r="AB120" s="269"/>
      <c r="AC120" s="269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504</v>
      </c>
      <c r="Y121" s="268">
        <f>IFERROR(SUMPRODUCT(Y113:Y119*H113:H119),"0")</f>
        <v>504</v>
      </c>
      <c r="Z121" s="37"/>
      <c r="AA121" s="269"/>
      <c r="AB121" s="269"/>
      <c r="AC121" s="269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62"/>
      <c r="AB122" s="262"/>
      <c r="AC122" s="262"/>
    </row>
    <row r="123" spans="1:68" ht="27" hidden="1" customHeight="1" x14ac:dyDescent="0.25">
      <c r="A123" s="54" t="s">
        <v>205</v>
      </c>
      <c r="B123" s="54" t="s">
        <v>206</v>
      </c>
      <c r="C123" s="31">
        <v>4301135670</v>
      </c>
      <c r="D123" s="274">
        <v>4620207490983</v>
      </c>
      <c r="E123" s="27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97</v>
      </c>
      <c r="M123" s="33" t="s">
        <v>69</v>
      </c>
      <c r="N123" s="33"/>
      <c r="O123" s="32">
        <v>180</v>
      </c>
      <c r="P123" s="430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207</v>
      </c>
      <c r="AG123" s="67"/>
      <c r="AJ123" s="71" t="s">
        <v>99</v>
      </c>
      <c r="AK123" s="71">
        <v>14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208</v>
      </c>
      <c r="B124" s="54" t="s">
        <v>209</v>
      </c>
      <c r="C124" s="31">
        <v>4301135826</v>
      </c>
      <c r="D124" s="274">
        <v>4620207490983</v>
      </c>
      <c r="E124" s="275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68</v>
      </c>
      <c r="M124" s="33" t="s">
        <v>69</v>
      </c>
      <c r="N124" s="33"/>
      <c r="O124" s="32">
        <v>180</v>
      </c>
      <c r="P124" s="4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210</v>
      </c>
      <c r="AG124" s="67"/>
      <c r="AJ124" s="71" t="s">
        <v>72</v>
      </c>
      <c r="AK124" s="71">
        <v>1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hidden="1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hidden="1" customHeight="1" x14ac:dyDescent="0.25">
      <c r="A127" s="297" t="s">
        <v>211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hidden="1" customHeight="1" x14ac:dyDescent="0.25">
      <c r="A128" s="54" t="s">
        <v>212</v>
      </c>
      <c r="B128" s="54" t="s">
        <v>213</v>
      </c>
      <c r="C128" s="31">
        <v>4301071094</v>
      </c>
      <c r="D128" s="274">
        <v>4620207491140</v>
      </c>
      <c r="E128" s="275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214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1" t="s">
        <v>215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61"/>
      <c r="AB131" s="261"/>
      <c r="AC131" s="261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2"/>
      <c r="AB132" s="262"/>
      <c r="AC132" s="262"/>
    </row>
    <row r="133" spans="1:68" ht="27" hidden="1" customHeight="1" x14ac:dyDescent="0.25">
      <c r="A133" s="54" t="s">
        <v>216</v>
      </c>
      <c r="B133" s="54" t="s">
        <v>217</v>
      </c>
      <c r="C133" s="31">
        <v>4301135555</v>
      </c>
      <c r="D133" s="274">
        <v>4607111034014</v>
      </c>
      <c r="E133" s="27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6">
        <v>0</v>
      </c>
      <c r="Y133" s="267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218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219</v>
      </c>
      <c r="B134" s="54" t="s">
        <v>220</v>
      </c>
      <c r="C134" s="31">
        <v>4301135532</v>
      </c>
      <c r="D134" s="274">
        <v>4607111033994</v>
      </c>
      <c r="E134" s="275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140</v>
      </c>
      <c r="M134" s="33" t="s">
        <v>69</v>
      </c>
      <c r="N134" s="33"/>
      <c r="O134" s="32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6">
        <v>0</v>
      </c>
      <c r="Y134" s="267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157</v>
      </c>
      <c r="AG134" s="67"/>
      <c r="AJ134" s="71" t="s">
        <v>141</v>
      </c>
      <c r="AK134" s="71">
        <v>70</v>
      </c>
      <c r="BB134" s="169" t="s">
        <v>100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0</v>
      </c>
      <c r="Y135" s="268">
        <f>IFERROR(SUM(Y133:Y134),"0")</f>
        <v>0</v>
      </c>
      <c r="Z135" s="268">
        <f>IFERROR(IF(Z133="",0,Z133),"0")+IFERROR(IF(Z134="",0,Z134),"0")</f>
        <v>0</v>
      </c>
      <c r="AA135" s="269"/>
      <c r="AB135" s="269"/>
      <c r="AC135" s="269"/>
    </row>
    <row r="136" spans="1:68" hidden="1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0</v>
      </c>
      <c r="Y136" s="268">
        <f>IFERROR(SUMPRODUCT(Y133:Y134*H133:H134),"0")</f>
        <v>0</v>
      </c>
      <c r="Z136" s="37"/>
      <c r="AA136" s="269"/>
      <c r="AB136" s="269"/>
      <c r="AC136" s="269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61"/>
      <c r="AB137" s="261"/>
      <c r="AC137" s="261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2"/>
      <c r="AB138" s="262"/>
      <c r="AC138" s="262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74">
        <v>4607111039095</v>
      </c>
      <c r="E139" s="275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6">
        <v>0</v>
      </c>
      <c r="Y139" s="267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74">
        <v>4607111034199</v>
      </c>
      <c r="E140" s="275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66">
        <v>0</v>
      </c>
      <c r="Y140" s="267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0</v>
      </c>
      <c r="Y141" s="268">
        <f>IFERROR(SUM(Y139:Y140),"0")</f>
        <v>0</v>
      </c>
      <c r="Z141" s="268">
        <f>IFERROR(IF(Z139="",0,Z139),"0")+IFERROR(IF(Z140="",0,Z140),"0")</f>
        <v>0</v>
      </c>
      <c r="AA141" s="269"/>
      <c r="AB141" s="269"/>
      <c r="AC141" s="269"/>
    </row>
    <row r="142" spans="1:68" hidden="1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0</v>
      </c>
      <c r="Y142" s="268">
        <f>IFERROR(SUMPRODUCT(Y139:Y140*H139:H140),"0")</f>
        <v>0</v>
      </c>
      <c r="Z142" s="37"/>
      <c r="AA142" s="269"/>
      <c r="AB142" s="269"/>
      <c r="AC142" s="269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1"/>
      <c r="AB143" s="261"/>
      <c r="AC143" s="261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74">
        <v>4620207490914</v>
      </c>
      <c r="E145" s="27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6">
        <v>0</v>
      </c>
      <c r="Y145" s="267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218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74">
        <v>4620207490853</v>
      </c>
      <c r="E146" s="275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97</v>
      </c>
      <c r="M146" s="33" t="s">
        <v>69</v>
      </c>
      <c r="N146" s="33"/>
      <c r="O146" s="32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218</v>
      </c>
      <c r="AG146" s="67"/>
      <c r="AJ146" s="71" t="s">
        <v>99</v>
      </c>
      <c r="AK146" s="71">
        <v>14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0</v>
      </c>
      <c r="Y147" s="268">
        <f>IFERROR(SUM(Y145:Y146),"0")</f>
        <v>0</v>
      </c>
      <c r="Z147" s="268">
        <f>IFERROR(IF(Z145="",0,Z145),"0")+IFERROR(IF(Z146="",0,Z146),"0")</f>
        <v>0</v>
      </c>
      <c r="AA147" s="269"/>
      <c r="AB147" s="269"/>
      <c r="AC147" s="269"/>
    </row>
    <row r="148" spans="1:68" hidden="1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0</v>
      </c>
      <c r="Y148" s="268">
        <f>IFERROR(SUMPRODUCT(Y145:Y146*H145:H146),"0")</f>
        <v>0</v>
      </c>
      <c r="Z148" s="37"/>
      <c r="AA148" s="269"/>
      <c r="AB148" s="269"/>
      <c r="AC148" s="269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1"/>
      <c r="AB149" s="261"/>
      <c r="AC149" s="261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62"/>
      <c r="AB150" s="262"/>
      <c r="AC150" s="262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74">
        <v>4607111035806</v>
      </c>
      <c r="E151" s="275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4"/>
      <c r="V151" s="34"/>
      <c r="W151" s="35" t="s">
        <v>70</v>
      </c>
      <c r="X151" s="266">
        <v>0</v>
      </c>
      <c r="Y151" s="267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0</v>
      </c>
      <c r="Y152" s="268">
        <f>IFERROR(SUM(Y151:Y151),"0")</f>
        <v>0</v>
      </c>
      <c r="Z152" s="268">
        <f>IFERROR(IF(Z151="",0,Z151),"0")</f>
        <v>0</v>
      </c>
      <c r="AA152" s="269"/>
      <c r="AB152" s="269"/>
      <c r="AC152" s="269"/>
    </row>
    <row r="153" spans="1:68" hidden="1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0</v>
      </c>
      <c r="Y153" s="268">
        <f>IFERROR(SUMPRODUCT(Y151:Y151*H151:H151),"0")</f>
        <v>0</v>
      </c>
      <c r="Z153" s="37"/>
      <c r="AA153" s="269"/>
      <c r="AB153" s="269"/>
      <c r="AC153" s="269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1"/>
      <c r="AB154" s="261"/>
      <c r="AC154" s="261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62"/>
      <c r="AB155" s="262"/>
      <c r="AC155" s="262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4">
        <v>4607111039613</v>
      </c>
      <c r="E156" s="275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97</v>
      </c>
      <c r="M156" s="33" t="s">
        <v>69</v>
      </c>
      <c r="N156" s="33"/>
      <c r="O156" s="32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99</v>
      </c>
      <c r="AK156" s="71">
        <v>14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1"/>
      <c r="AB159" s="261"/>
      <c r="AC159" s="261"/>
    </row>
    <row r="160" spans="1:68" ht="14.25" hidden="1" customHeight="1" x14ac:dyDescent="0.25">
      <c r="A160" s="297" t="s">
        <v>211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4">
        <v>4607111035646</v>
      </c>
      <c r="E161" s="275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97</v>
      </c>
      <c r="M161" s="33" t="s">
        <v>69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99</v>
      </c>
      <c r="AK161" s="71">
        <v>6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hidden="1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61"/>
      <c r="AB164" s="261"/>
      <c r="AC164" s="261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62"/>
      <c r="AB165" s="262"/>
      <c r="AC165" s="262"/>
    </row>
    <row r="166" spans="1:68" ht="27" hidden="1" customHeight="1" x14ac:dyDescent="0.25">
      <c r="A166" s="54" t="s">
        <v>246</v>
      </c>
      <c r="B166" s="54" t="s">
        <v>247</v>
      </c>
      <c r="C166" s="31">
        <v>4301135591</v>
      </c>
      <c r="D166" s="274">
        <v>4607111036568</v>
      </c>
      <c r="E166" s="275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4"/>
      <c r="V166" s="34"/>
      <c r="W166" s="35" t="s">
        <v>70</v>
      </c>
      <c r="X166" s="266">
        <v>0</v>
      </c>
      <c r="Y166" s="267">
        <f>IFERROR(IF(X166="","",X166),"")</f>
        <v>0</v>
      </c>
      <c r="Z166" s="36">
        <f>IFERROR(IF(X166="","",X166*0.00941),"")</f>
        <v>0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0</v>
      </c>
      <c r="Y167" s="268">
        <f>IFERROR(SUM(Y166:Y166),"0")</f>
        <v>0</v>
      </c>
      <c r="Z167" s="268">
        <f>IFERROR(IF(Z166="",0,Z166),"0")</f>
        <v>0</v>
      </c>
      <c r="AA167" s="269"/>
      <c r="AB167" s="269"/>
      <c r="AC167" s="269"/>
    </row>
    <row r="168" spans="1:68" hidden="1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0</v>
      </c>
      <c r="Y168" s="268">
        <f>IFERROR(SUMPRODUCT(Y166:Y166*H166:H166),"0")</f>
        <v>0</v>
      </c>
      <c r="Z168" s="37"/>
      <c r="AA168" s="269"/>
      <c r="AB168" s="269"/>
      <c r="AC168" s="269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48"/>
      <c r="AB169" s="48"/>
      <c r="AC169" s="48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61"/>
      <c r="AB170" s="261"/>
      <c r="AC170" s="261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62"/>
      <c r="AB171" s="262"/>
      <c r="AC171" s="262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4">
        <v>4607111036384</v>
      </c>
      <c r="E172" s="275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4">
        <v>4607111036216</v>
      </c>
      <c r="E173" s="275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4"/>
      <c r="V173" s="34"/>
      <c r="W173" s="35" t="s">
        <v>70</v>
      </c>
      <c r="X173" s="266">
        <v>168</v>
      </c>
      <c r="Y173" s="267">
        <f>IFERROR(IF(X173="","",X173),"")</f>
        <v>168</v>
      </c>
      <c r="Z173" s="36">
        <f>IFERROR(IF(X173="","",X173*0.00866),"")</f>
        <v>1.45488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875.81759999999997</v>
      </c>
      <c r="BN173" s="67">
        <f>IFERROR(Y173*I173,"0")</f>
        <v>875.81759999999997</v>
      </c>
      <c r="BO173" s="67">
        <f>IFERROR(X173/J173,"0")</f>
        <v>1.1666666666666667</v>
      </c>
      <c r="BP173" s="67">
        <f>IFERROR(Y173/J173,"0")</f>
        <v>1.1666666666666667</v>
      </c>
    </row>
    <row r="174" spans="1:68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168</v>
      </c>
      <c r="Y174" s="268">
        <f>IFERROR(SUM(Y172:Y173),"0")</f>
        <v>168</v>
      </c>
      <c r="Z174" s="268">
        <f>IFERROR(IF(Z172="",0,Z172),"0")+IFERROR(IF(Z173="",0,Z173),"0")</f>
        <v>1.45488</v>
      </c>
      <c r="AA174" s="269"/>
      <c r="AB174" s="269"/>
      <c r="AC174" s="269"/>
    </row>
    <row r="175" spans="1:68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840</v>
      </c>
      <c r="Y175" s="268">
        <f>IFERROR(SUMPRODUCT(Y172:Y173*H172:H173),"0")</f>
        <v>840</v>
      </c>
      <c r="Z175" s="37"/>
      <c r="AA175" s="269"/>
      <c r="AB175" s="269"/>
      <c r="AC175" s="269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48"/>
      <c r="AB176" s="48"/>
      <c r="AC176" s="48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61"/>
      <c r="AB177" s="261"/>
      <c r="AC177" s="261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2"/>
      <c r="AB178" s="262"/>
      <c r="AC178" s="262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74">
        <v>4607111035691</v>
      </c>
      <c r="E179" s="27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262</v>
      </c>
      <c r="B180" s="54" t="s">
        <v>263</v>
      </c>
      <c r="C180" s="31">
        <v>4301132182</v>
      </c>
      <c r="D180" s="274">
        <v>4607111035721</v>
      </c>
      <c r="E180" s="275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6">
        <v>0</v>
      </c>
      <c r="Y180" s="267">
        <f>IFERROR(IF(X180="","",X180),"")</f>
        <v>0</v>
      </c>
      <c r="Z180" s="36">
        <f>IFERROR(IF(X180="","",X180*0.01788),"")</f>
        <v>0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74">
        <v>4607111038487</v>
      </c>
      <c r="E181" s="275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6">
        <v>0</v>
      </c>
      <c r="Y181" s="267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4">
        <v>4620207491195</v>
      </c>
      <c r="E182" s="275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0</v>
      </c>
      <c r="Y183" s="268">
        <f>IFERROR(SUM(Y179:Y182),"0")</f>
        <v>0</v>
      </c>
      <c r="Z183" s="268">
        <f>IFERROR(IF(Z179="",0,Z179),"0")+IFERROR(IF(Z180="",0,Z180),"0")+IFERROR(IF(Z181="",0,Z181),"0")+IFERROR(IF(Z182="",0,Z182),"0")</f>
        <v>0</v>
      </c>
      <c r="AA183" s="269"/>
      <c r="AB183" s="269"/>
      <c r="AC183" s="269"/>
    </row>
    <row r="184" spans="1:68" hidden="1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0</v>
      </c>
      <c r="Y184" s="268">
        <f>IFERROR(SUMPRODUCT(Y179:Y182*H179:H182),"0")</f>
        <v>0</v>
      </c>
      <c r="Z184" s="37"/>
      <c r="AA184" s="269"/>
      <c r="AB184" s="269"/>
      <c r="AC184" s="269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62"/>
      <c r="AB185" s="262"/>
      <c r="AC185" s="262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26" t="s">
        <v>276</v>
      </c>
      <c r="Q186" s="286"/>
      <c r="R186" s="286"/>
      <c r="S186" s="286"/>
      <c r="T186" s="287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1"/>
      <c r="AB190" s="261"/>
      <c r="AC190" s="261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hidden="1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70</v>
      </c>
      <c r="X192" s="266">
        <v>0</v>
      </c>
      <c r="Y192" s="267">
        <f>IFERROR(IF(X192="","",X192),"")</f>
        <v>0</v>
      </c>
      <c r="Z192" s="36">
        <f>IFERROR(IF(X192="","",X192*0.01788),"")</f>
        <v>0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idden="1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0</v>
      </c>
      <c r="Y193" s="268">
        <f>IFERROR(SUM(Y192:Y192),"0")</f>
        <v>0</v>
      </c>
      <c r="Z193" s="268">
        <f>IFERROR(IF(Z192="",0,Z192),"0")</f>
        <v>0</v>
      </c>
      <c r="AA193" s="269"/>
      <c r="AB193" s="269"/>
      <c r="AC193" s="269"/>
    </row>
    <row r="194" spans="1:68" hidden="1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0</v>
      </c>
      <c r="Y194" s="268">
        <f>IFERROR(SUMPRODUCT(Y192:Y192*H192:H192),"0")</f>
        <v>0</v>
      </c>
      <c r="Z194" s="37"/>
      <c r="AA194" s="269"/>
      <c r="AB194" s="269"/>
      <c r="AC194" s="269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62"/>
      <c r="AB195" s="262"/>
      <c r="AC195" s="262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97</v>
      </c>
      <c r="M197" s="33" t="s">
        <v>69</v>
      </c>
      <c r="N197" s="33"/>
      <c r="O197" s="32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99</v>
      </c>
      <c r="AK197" s="71">
        <v>14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97</v>
      </c>
      <c r="M199" s="33" t="s">
        <v>69</v>
      </c>
      <c r="N199" s="33"/>
      <c r="O199" s="32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99</v>
      </c>
      <c r="AK199" s="71">
        <v>14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97</v>
      </c>
      <c r="M200" s="33" t="s">
        <v>69</v>
      </c>
      <c r="N200" s="33"/>
      <c r="O200" s="32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hidden="1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1"/>
      <c r="AB203" s="261"/>
      <c r="AC203" s="261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hidden="1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6">
        <v>0</v>
      </c>
      <c r="Y205" s="267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0</v>
      </c>
      <c r="Y206" s="268">
        <f>IFERROR(SUM(Y205:Y205),"0")</f>
        <v>0</v>
      </c>
      <c r="Z206" s="268">
        <f>IFERROR(IF(Z205="",0,Z205),"0")</f>
        <v>0</v>
      </c>
      <c r="AA206" s="269"/>
      <c r="AB206" s="269"/>
      <c r="AC206" s="269"/>
    </row>
    <row r="207" spans="1:68" hidden="1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0</v>
      </c>
      <c r="Y207" s="268">
        <f>IFERROR(SUMPRODUCT(Y205:Y205*H205:H205),"0")</f>
        <v>0</v>
      </c>
      <c r="Z207" s="37"/>
      <c r="AA207" s="269"/>
      <c r="AB207" s="269"/>
      <c r="AC207" s="269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1"/>
      <c r="AB208" s="261"/>
      <c r="AC208" s="261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62"/>
      <c r="AB209" s="262"/>
      <c r="AC209" s="262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4">
        <v>4620207490549</v>
      </c>
      <c r="E210" s="275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97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99</v>
      </c>
      <c r="AK210" s="71">
        <v>14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4">
        <v>4620207490501</v>
      </c>
      <c r="E211" s="27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97</v>
      </c>
      <c r="M211" s="33" t="s">
        <v>69</v>
      </c>
      <c r="N211" s="33"/>
      <c r="O211" s="32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99</v>
      </c>
      <c r="AK211" s="71">
        <v>14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48"/>
      <c r="AB214" s="48"/>
      <c r="AC214" s="48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1"/>
      <c r="AB215" s="261"/>
      <c r="AC215" s="261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62"/>
      <c r="AB216" s="262"/>
      <c r="AC216" s="262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4">
        <v>4607111036162</v>
      </c>
      <c r="E217" s="275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48"/>
      <c r="AB220" s="48"/>
      <c r="AC220" s="48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1"/>
      <c r="AB221" s="261"/>
      <c r="AC221" s="261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4">
        <v>4607111035899</v>
      </c>
      <c r="E223" s="275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4"/>
      <c r="V223" s="34"/>
      <c r="W223" s="35" t="s">
        <v>70</v>
      </c>
      <c r="X223" s="266">
        <v>216</v>
      </c>
      <c r="Y223" s="267">
        <f>IFERROR(IF(X223="","",X223),"")</f>
        <v>216</v>
      </c>
      <c r="Z223" s="36">
        <f>IFERROR(IF(X223="","",X223*0.0155),"")</f>
        <v>3.3479999999999999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1136.5919999999999</v>
      </c>
      <c r="BN223" s="67">
        <f>IFERROR(Y223*I223,"0")</f>
        <v>1136.5919999999999</v>
      </c>
      <c r="BO223" s="67">
        <f>IFERROR(X223/J223,"0")</f>
        <v>2.5714285714285716</v>
      </c>
      <c r="BP223" s="67">
        <f>IFERROR(Y223/J223,"0")</f>
        <v>2.5714285714285716</v>
      </c>
    </row>
    <row r="224" spans="1:68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216</v>
      </c>
      <c r="Y224" s="268">
        <f>IFERROR(SUM(Y223:Y223),"0")</f>
        <v>216</v>
      </c>
      <c r="Z224" s="268">
        <f>IFERROR(IF(Z223="",0,Z223),"0")</f>
        <v>3.3479999999999999</v>
      </c>
      <c r="AA224" s="269"/>
      <c r="AB224" s="269"/>
      <c r="AC224" s="269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1080</v>
      </c>
      <c r="Y225" s="268">
        <f>IFERROR(SUMPRODUCT(Y223:Y223*H223:H223),"0")</f>
        <v>1080</v>
      </c>
      <c r="Z225" s="37"/>
      <c r="AA225" s="269"/>
      <c r="AB225" s="269"/>
      <c r="AC225" s="269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48"/>
      <c r="AB226" s="48"/>
      <c r="AC226" s="48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1"/>
      <c r="AB227" s="261"/>
      <c r="AC227" s="261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4">
        <v>4607111039774</v>
      </c>
      <c r="E229" s="275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62"/>
      <c r="AB232" s="262"/>
      <c r="AC232" s="262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4">
        <v>4607111039361</v>
      </c>
      <c r="E233" s="275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97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99</v>
      </c>
      <c r="AK233" s="71">
        <v>14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48"/>
      <c r="AB236" s="48"/>
      <c r="AC236" s="48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61"/>
      <c r="AB237" s="261"/>
      <c r="AC237" s="261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4">
        <v>4640242181264</v>
      </c>
      <c r="E239" s="275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hidden="1" customHeight="1" x14ac:dyDescent="0.25">
      <c r="A240" s="54" t="s">
        <v>329</v>
      </c>
      <c r="B240" s="54" t="s">
        <v>330</v>
      </c>
      <c r="C240" s="31">
        <v>4301071021</v>
      </c>
      <c r="D240" s="274">
        <v>4640242181325</v>
      </c>
      <c r="E240" s="275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4"/>
      <c r="V240" s="34"/>
      <c r="W240" s="35" t="s">
        <v>70</v>
      </c>
      <c r="X240" s="266">
        <v>0</v>
      </c>
      <c r="Y240" s="267">
        <f>IFERROR(IF(X240="","",X240),"")</f>
        <v>0</v>
      </c>
      <c r="Z240" s="36">
        <f>IFERROR(IF(X240="","",X240*0.0155),"")</f>
        <v>0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0</v>
      </c>
      <c r="Y241" s="268">
        <f>IFERROR(SUM(Y239:Y240),"0")</f>
        <v>0</v>
      </c>
      <c r="Z241" s="268">
        <f>IFERROR(IF(Z239="",0,Z239),"0")+IFERROR(IF(Z240="",0,Z240),"0")</f>
        <v>0</v>
      </c>
      <c r="AA241" s="269"/>
      <c r="AB241" s="269"/>
      <c r="AC241" s="269"/>
    </row>
    <row r="242" spans="1:68" hidden="1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0</v>
      </c>
      <c r="Y242" s="268">
        <f>IFERROR(SUMPRODUCT(Y239:Y240*H239:H240),"0")</f>
        <v>0</v>
      </c>
      <c r="Z242" s="37"/>
      <c r="AA242" s="269"/>
      <c r="AB242" s="269"/>
      <c r="AC242" s="269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2"/>
      <c r="AB243" s="262"/>
      <c r="AC243" s="262"/>
    </row>
    <row r="244" spans="1:68" ht="27" hidden="1" customHeight="1" x14ac:dyDescent="0.25">
      <c r="A244" s="54" t="s">
        <v>331</v>
      </c>
      <c r="B244" s="54" t="s">
        <v>332</v>
      </c>
      <c r="C244" s="31">
        <v>4301132080</v>
      </c>
      <c r="D244" s="274">
        <v>4640242180397</v>
      </c>
      <c r="E244" s="275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4"/>
      <c r="V244" s="34"/>
      <c r="W244" s="35" t="s">
        <v>70</v>
      </c>
      <c r="X244" s="266">
        <v>0</v>
      </c>
      <c r="Y244" s="267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0</v>
      </c>
      <c r="Y245" s="268">
        <f>IFERROR(SUM(Y244:Y244),"0")</f>
        <v>0</v>
      </c>
      <c r="Z245" s="268">
        <f>IFERROR(IF(Z244="",0,Z244),"0")</f>
        <v>0</v>
      </c>
      <c r="AA245" s="269"/>
      <c r="AB245" s="269"/>
      <c r="AC245" s="269"/>
    </row>
    <row r="246" spans="1:68" hidden="1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0</v>
      </c>
      <c r="Y246" s="268">
        <f>IFERROR(SUMPRODUCT(Y244:Y244*H244:H244),"0")</f>
        <v>0</v>
      </c>
      <c r="Z246" s="37"/>
      <c r="AA246" s="269"/>
      <c r="AB246" s="269"/>
      <c r="AC246" s="269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62"/>
      <c r="AB247" s="262"/>
      <c r="AC247" s="262"/>
    </row>
    <row r="248" spans="1:68" ht="27" hidden="1" customHeight="1" x14ac:dyDescent="0.25">
      <c r="A248" s="54" t="s">
        <v>334</v>
      </c>
      <c r="B248" s="54" t="s">
        <v>335</v>
      </c>
      <c r="C248" s="31">
        <v>4301136051</v>
      </c>
      <c r="D248" s="274">
        <v>4640242180304</v>
      </c>
      <c r="E248" s="275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4">
        <v>4640242180236</v>
      </c>
      <c r="E249" s="275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4"/>
      <c r="V249" s="34"/>
      <c r="W249" s="35" t="s">
        <v>70</v>
      </c>
      <c r="X249" s="266">
        <v>156</v>
      </c>
      <c r="Y249" s="267">
        <f>IFERROR(IF(X249="","",X249),"")</f>
        <v>156</v>
      </c>
      <c r="Z249" s="36">
        <f>IFERROR(IF(X249="","",X249*0.0155),"")</f>
        <v>2.4180000000000001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816.66000000000008</v>
      </c>
      <c r="BN249" s="67">
        <f>IFERROR(Y249*I249,"0")</f>
        <v>816.66000000000008</v>
      </c>
      <c r="BO249" s="67">
        <f>IFERROR(X249/J249,"0")</f>
        <v>1.8571428571428572</v>
      </c>
      <c r="BP249" s="67">
        <f>IFERROR(Y249/J249,"0")</f>
        <v>1.8571428571428572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4">
        <v>4640242180410</v>
      </c>
      <c r="E250" s="275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156</v>
      </c>
      <c r="Y251" s="268">
        <f>IFERROR(SUM(Y248:Y250),"0")</f>
        <v>156</v>
      </c>
      <c r="Z251" s="268">
        <f>IFERROR(IF(Z248="",0,Z248),"0")+IFERROR(IF(Z249="",0,Z249),"0")+IFERROR(IF(Z250="",0,Z250),"0")</f>
        <v>2.4180000000000001</v>
      </c>
      <c r="AA251" s="269"/>
      <c r="AB251" s="269"/>
      <c r="AC251" s="269"/>
    </row>
    <row r="252" spans="1:68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780</v>
      </c>
      <c r="Y252" s="268">
        <f>IFERROR(SUMPRODUCT(Y248:Y250*H248:H250),"0")</f>
        <v>780</v>
      </c>
      <c r="Z252" s="37"/>
      <c r="AA252" s="269"/>
      <c r="AB252" s="269"/>
      <c r="AC252" s="269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62"/>
      <c r="AB253" s="262"/>
      <c r="AC253" s="262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4">
        <v>4640242181554</v>
      </c>
      <c r="E254" s="275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97</v>
      </c>
      <c r="M254" s="33" t="s">
        <v>69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99</v>
      </c>
      <c r="AK254" s="71">
        <v>14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4">
        <v>4640242181561</v>
      </c>
      <c r="E255" s="275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4"/>
      <c r="V255" s="34"/>
      <c r="W255" s="35" t="s">
        <v>70</v>
      </c>
      <c r="X255" s="266">
        <v>112</v>
      </c>
      <c r="Y255" s="267">
        <f t="shared" si="18"/>
        <v>112</v>
      </c>
      <c r="Z255" s="36">
        <f>IFERROR(IF(X255="","",X255*0.00936),"")</f>
        <v>1.0483199999999999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435.904</v>
      </c>
      <c r="BN255" s="67">
        <f t="shared" si="20"/>
        <v>435.904</v>
      </c>
      <c r="BO255" s="67">
        <f t="shared" si="21"/>
        <v>0.88888888888888884</v>
      </c>
      <c r="BP255" s="67">
        <f t="shared" si="22"/>
        <v>0.88888888888888884</v>
      </c>
    </row>
    <row r="256" spans="1:68" ht="27" hidden="1" customHeight="1" x14ac:dyDescent="0.25">
      <c r="A256" s="54" t="s">
        <v>347</v>
      </c>
      <c r="B256" s="54" t="s">
        <v>348</v>
      </c>
      <c r="C256" s="31">
        <v>4301135374</v>
      </c>
      <c r="D256" s="274">
        <v>4640242181424</v>
      </c>
      <c r="E256" s="275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4"/>
      <c r="V256" s="34"/>
      <c r="W256" s="35" t="s">
        <v>70</v>
      </c>
      <c r="X256" s="266">
        <v>0</v>
      </c>
      <c r="Y256" s="267">
        <f t="shared" si="18"/>
        <v>0</v>
      </c>
      <c r="Z256" s="36">
        <f>IFERROR(IF(X256="","",X256*0.0155),"")</f>
        <v>0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0</v>
      </c>
      <c r="BN256" s="67">
        <f t="shared" si="20"/>
        <v>0</v>
      </c>
      <c r="BO256" s="67">
        <f t="shared" si="21"/>
        <v>0</v>
      </c>
      <c r="BP256" s="67">
        <f t="shared" si="22"/>
        <v>0</v>
      </c>
    </row>
    <row r="257" spans="1:68" ht="27" hidden="1" customHeight="1" x14ac:dyDescent="0.25">
      <c r="A257" s="54" t="s">
        <v>349</v>
      </c>
      <c r="B257" s="54" t="s">
        <v>350</v>
      </c>
      <c r="C257" s="31">
        <v>4301135405</v>
      </c>
      <c r="D257" s="274">
        <v>4640242181523</v>
      </c>
      <c r="E257" s="27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97</v>
      </c>
      <c r="M257" s="33" t="s">
        <v>69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4"/>
      <c r="V257" s="34"/>
      <c r="W257" s="35" t="s">
        <v>70</v>
      </c>
      <c r="X257" s="266">
        <v>0</v>
      </c>
      <c r="Y257" s="267">
        <f t="shared" si="18"/>
        <v>0</v>
      </c>
      <c r="Z257" s="36">
        <f t="shared" ref="Z257:Z262" si="23">IFERROR(IF(X257="","",X257*0.00936),"")</f>
        <v>0</v>
      </c>
      <c r="AA257" s="56"/>
      <c r="AB257" s="57"/>
      <c r="AC257" s="244" t="s">
        <v>346</v>
      </c>
      <c r="AG257" s="67"/>
      <c r="AJ257" s="71" t="s">
        <v>99</v>
      </c>
      <c r="AK257" s="71">
        <v>14</v>
      </c>
      <c r="BB257" s="245" t="s">
        <v>100</v>
      </c>
      <c r="BM257" s="67">
        <f t="shared" si="19"/>
        <v>0</v>
      </c>
      <c r="BN257" s="67">
        <f t="shared" si="20"/>
        <v>0</v>
      </c>
      <c r="BO257" s="67">
        <f t="shared" si="21"/>
        <v>0</v>
      </c>
      <c r="BP257" s="67">
        <f t="shared" si="22"/>
        <v>0</v>
      </c>
    </row>
    <row r="258" spans="1:68" ht="27" hidden="1" customHeight="1" x14ac:dyDescent="0.25">
      <c r="A258" s="54" t="s">
        <v>351</v>
      </c>
      <c r="B258" s="54" t="s">
        <v>352</v>
      </c>
      <c r="C258" s="31">
        <v>4301135375</v>
      </c>
      <c r="D258" s="274">
        <v>4640242181486</v>
      </c>
      <c r="E258" s="27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140</v>
      </c>
      <c r="M258" s="33" t="s">
        <v>69</v>
      </c>
      <c r="N258" s="33"/>
      <c r="O258" s="32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141</v>
      </c>
      <c r="AK258" s="71">
        <v>126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4">
        <v>4640242181493</v>
      </c>
      <c r="E259" s="275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97</v>
      </c>
      <c r="M259" s="33" t="s">
        <v>69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99</v>
      </c>
      <c r="AK259" s="71">
        <v>14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4">
        <v>4640242181509</v>
      </c>
      <c r="E260" s="275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97</v>
      </c>
      <c r="M260" s="33" t="s">
        <v>69</v>
      </c>
      <c r="N260" s="33"/>
      <c r="O260" s="32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99</v>
      </c>
      <c r="AK260" s="71">
        <v>14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4">
        <v>4640242181240</v>
      </c>
      <c r="E261" s="275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97</v>
      </c>
      <c r="M261" s="33" t="s">
        <v>69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99</v>
      </c>
      <c r="AK261" s="71">
        <v>14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4">
        <v>4640242181318</v>
      </c>
      <c r="E262" s="275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97</v>
      </c>
      <c r="M262" s="33" t="s">
        <v>69</v>
      </c>
      <c r="N262" s="33"/>
      <c r="O262" s="32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99</v>
      </c>
      <c r="AK262" s="71">
        <v>14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4">
        <v>4640242181387</v>
      </c>
      <c r="E263" s="275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150</v>
      </c>
      <c r="L263" s="32" t="s">
        <v>97</v>
      </c>
      <c r="M263" s="33" t="s">
        <v>69</v>
      </c>
      <c r="N263" s="33"/>
      <c r="O263" s="32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99</v>
      </c>
      <c r="AK263" s="71">
        <v>18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112</v>
      </c>
      <c r="Y264" s="268">
        <f>IFERROR(SUM(Y254:Y263),"0")</f>
        <v>112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1.0483199999999999</v>
      </c>
      <c r="AA264" s="269"/>
      <c r="AB264" s="269"/>
      <c r="AC264" s="269"/>
    </row>
    <row r="265" spans="1:68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414.40000000000003</v>
      </c>
      <c r="Y265" s="268">
        <f>IFERROR(SUMPRODUCT(Y254:Y263*H254:H263),"0")</f>
        <v>414.40000000000003</v>
      </c>
      <c r="Z265" s="37"/>
      <c r="AA265" s="269"/>
      <c r="AB265" s="269"/>
      <c r="AC265" s="269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4802.6799999999994</v>
      </c>
      <c r="Y266" s="268">
        <f>IFERROR(Y29+Y35+Y42+Y49+Y57+Y62+Y66+Y71+Y77+Y83+Y88+Y94+Y104+Y110+Y121+Y126+Y130+Y136+Y142+Y148+Y153+Y158+Y163+Y168+Y175+Y184+Y188+Y194+Y202+Y207+Y213+Y219+Y225+Y231+Y235+Y242+Y246+Y252+Y265,"0")</f>
        <v>4802.6799999999994</v>
      </c>
      <c r="Z266" s="37"/>
      <c r="AA266" s="269"/>
      <c r="AB266" s="269"/>
      <c r="AC266" s="269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37" t="s">
        <v>84</v>
      </c>
      <c r="X267" s="268">
        <f>IFERROR(SUM(BM22:BM263),"0")</f>
        <v>5059.0731999999989</v>
      </c>
      <c r="Y267" s="268">
        <f>IFERROR(SUM(BN22:BN263),"0")</f>
        <v>5059.0731999999989</v>
      </c>
      <c r="Z267" s="37"/>
      <c r="AA267" s="269"/>
      <c r="AB267" s="269"/>
      <c r="AC267" s="269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37" t="s">
        <v>366</v>
      </c>
      <c r="X268" s="38">
        <f>ROUNDUP(SUM(BO22:BO263),0)</f>
        <v>10</v>
      </c>
      <c r="Y268" s="38">
        <f>ROUNDUP(SUM(BP22:BP263),0)</f>
        <v>10</v>
      </c>
      <c r="Z268" s="37"/>
      <c r="AA268" s="269"/>
      <c r="AB268" s="269"/>
      <c r="AC268" s="269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37" t="s">
        <v>84</v>
      </c>
      <c r="X269" s="268">
        <f>GrossWeightTotal+PalletQtyTotal*25</f>
        <v>5309.0731999999989</v>
      </c>
      <c r="Y269" s="268">
        <f>GrossWeightTotalR+PalletQtyTotalR*25</f>
        <v>5309.0731999999989</v>
      </c>
      <c r="Z269" s="37"/>
      <c r="AA269" s="269"/>
      <c r="AB269" s="269"/>
      <c r="AC269" s="269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1000</v>
      </c>
      <c r="Y270" s="268">
        <f>IFERROR(Y28+Y34+Y41+Y48+Y56+Y61+Y65+Y70+Y76+Y82+Y87+Y93+Y103+Y109+Y120+Y125+Y129+Y135+Y141+Y147+Y152+Y157+Y162+Y167+Y174+Y183+Y187+Y193+Y201+Y206+Y212+Y218+Y224+Y230+Y234+Y241+Y245+Y251+Y264,"0")</f>
        <v>1000</v>
      </c>
      <c r="Z270" s="37"/>
      <c r="AA270" s="269"/>
      <c r="AB270" s="269"/>
      <c r="AC270" s="269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12.194099999999999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263" t="s">
        <v>249</v>
      </c>
      <c r="W273" s="263" t="s">
        <v>257</v>
      </c>
      <c r="X273" s="270" t="s">
        <v>279</v>
      </c>
      <c r="Y273" s="364"/>
      <c r="Z273" s="365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147</v>
      </c>
      <c r="I274" s="270" t="s">
        <v>154</v>
      </c>
      <c r="J274" s="270" t="s">
        <v>158</v>
      </c>
      <c r="K274" s="270" t="s">
        <v>166</v>
      </c>
      <c r="L274" s="270" t="s">
        <v>181</v>
      </c>
      <c r="M274" s="270" t="s">
        <v>187</v>
      </c>
      <c r="N274" s="264"/>
      <c r="O274" s="270" t="s">
        <v>215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264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64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0</v>
      </c>
      <c r="C276" s="46">
        <f>IFERROR(X32*H32,"0")+IFERROR(X33*H33,"0")</f>
        <v>0</v>
      </c>
      <c r="D276" s="46">
        <f>IFERROR(X39*H39,"0")+IFERROR(X40*H40,"0")</f>
        <v>63</v>
      </c>
      <c r="E276" s="46">
        <f>IFERROR(X45*H45,"0")+IFERROR(X46*H46,"0")+IFERROR(X47*H47,"0")</f>
        <v>0</v>
      </c>
      <c r="F276" s="46">
        <f>IFERROR(X52*H52,"0")+IFERROR(X53*H53,"0")+IFERROR(X54*H54,"0")+IFERROR(X55*H55,"0")</f>
        <v>0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960</v>
      </c>
      <c r="I276" s="46">
        <f>IFERROR(X86*H86,"0")</f>
        <v>0</v>
      </c>
      <c r="J276" s="46">
        <f>IFERROR(X91*H91,"0")+IFERROR(X92*H92,"0")</f>
        <v>0</v>
      </c>
      <c r="K276" s="46">
        <f>IFERROR(X97*H97,"0")+IFERROR(X98*H98,"0")+IFERROR(X99*H99,"0")+IFERROR(X100*H100,"0")+IFERROR(X101*H101,"0")+IFERROR(X102*H102,"0")</f>
        <v>161.28</v>
      </c>
      <c r="L276" s="46">
        <f>IFERROR(X107*H107,"0")+IFERROR(X108*H108,"0")</f>
        <v>0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504</v>
      </c>
      <c r="N276" s="264"/>
      <c r="O276" s="46">
        <f>IFERROR(X133*H133,"0")+IFERROR(X134*H134,"0")</f>
        <v>0</v>
      </c>
      <c r="P276" s="46">
        <f>IFERROR(X139*H139,"0")+IFERROR(X140*H140,"0")</f>
        <v>0</v>
      </c>
      <c r="Q276" s="46">
        <f>IFERROR(X145*H145,"0")+IFERROR(X146*H146,"0")</f>
        <v>0</v>
      </c>
      <c r="R276" s="46">
        <f>IFERROR(X151*H151,"0")</f>
        <v>0</v>
      </c>
      <c r="S276" s="46">
        <f>IFERROR(X156*H156,"0")</f>
        <v>0</v>
      </c>
      <c r="T276" s="46">
        <f>IFERROR(X161*H161,"0")</f>
        <v>0</v>
      </c>
      <c r="U276" s="46">
        <f>IFERROR(X166*H166,"0")</f>
        <v>0</v>
      </c>
      <c r="V276" s="46">
        <f>IFERROR(X172*H172,"0")+IFERROR(X173*H173,"0")</f>
        <v>840</v>
      </c>
      <c r="W276" s="46">
        <f>IFERROR(X179*H179,"0")+IFERROR(X180*H180,"0")+IFERROR(X181*H181,"0")+IFERROR(X182*H182,"0")+IFERROR(X186*H186,"0")</f>
        <v>0</v>
      </c>
      <c r="X276" s="46">
        <f>IFERROR(X192*H192,"0")+IFERROR(X196*H196,"0")+IFERROR(X197*H197,"0")+IFERROR(X198*H198,"0")+IFERROR(X199*H199,"0")+IFERROR(X200*H200,"0")</f>
        <v>0</v>
      </c>
      <c r="Y276" s="46">
        <f>IFERROR(X205*H205,"0")</f>
        <v>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1080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1194.4000000000001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3384</v>
      </c>
      <c r="B279" s="60">
        <f>SUMPRODUCT(--(BB:BB="ПГП"),--(W:W="кор"),H:H,Y:Y)+SUMPRODUCT(--(BB:BB="ПГП"),--(W:W="кг"),Y:Y)</f>
        <v>1418.68</v>
      </c>
      <c r="C279" s="60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80,00"/>
        <filter val="10"/>
        <filter val="112,00"/>
        <filter val="156,00"/>
        <filter val="161,28"/>
        <filter val="168,00"/>
        <filter val="192,00"/>
        <filter val="216,00"/>
        <filter val="4 802,68"/>
        <filter val="414,40"/>
        <filter val="42,00"/>
        <filter val="5 059,07"/>
        <filter val="5 309,07"/>
        <filter val="504,00"/>
        <filter val="63,00"/>
        <filter val="72,00"/>
        <filter val="780,00"/>
        <filter val="840,00"/>
        <filter val="960,00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8:X69 X114 X117 X124 X128 X139 X145 X172 X182 X186 X196 X198 X217 X229 X239 X25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64 X80:X81 X86 X91:X92 X97:X102 X107:X108 X113 X115:X116 X118:X119 X123 X133 X140 X146 X151 X156 X161 X166 X173 X179:X181 X192 X197 X199:X200 X205 X210:X211 X223 X233 X240 X244 X248:X249 X254:X257 X259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73:X75 X134 X258" xr:uid="{00000000-0002-0000-0000-000013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