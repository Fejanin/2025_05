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F3D115A-98F5-493D-BF4D-8A7AEE053A1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64" i="1" s="1"/>
  <c r="Y254" i="1"/>
  <c r="P254" i="1"/>
  <c r="X252" i="1"/>
  <c r="X251" i="1"/>
  <c r="BO250" i="1"/>
  <c r="BM250" i="1"/>
  <c r="Z250" i="1"/>
  <c r="Y250" i="1"/>
  <c r="BP250" i="1" s="1"/>
  <c r="P250" i="1"/>
  <c r="BO249" i="1"/>
  <c r="BM249" i="1"/>
  <c r="Z249" i="1"/>
  <c r="Y249" i="1"/>
  <c r="P249" i="1"/>
  <c r="BO248" i="1"/>
  <c r="BM248" i="1"/>
  <c r="Z248" i="1"/>
  <c r="Y248" i="1"/>
  <c r="Y252" i="1" s="1"/>
  <c r="P248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Y240" i="1"/>
  <c r="BP240" i="1" s="1"/>
  <c r="P240" i="1"/>
  <c r="BO239" i="1"/>
  <c r="BM239" i="1"/>
  <c r="Z239" i="1"/>
  <c r="Y239" i="1"/>
  <c r="P239" i="1"/>
  <c r="X235" i="1"/>
  <c r="X234" i="1"/>
  <c r="BO233" i="1"/>
  <c r="BM233" i="1"/>
  <c r="Z233" i="1"/>
  <c r="Z234" i="1" s="1"/>
  <c r="Y233" i="1"/>
  <c r="P233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P223" i="1"/>
  <c r="X219" i="1"/>
  <c r="X218" i="1"/>
  <c r="BO217" i="1"/>
  <c r="BM217" i="1"/>
  <c r="Z217" i="1"/>
  <c r="Z218" i="1" s="1"/>
  <c r="Y217" i="1"/>
  <c r="Y219" i="1" s="1"/>
  <c r="P217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4" i="1"/>
  <c r="X193" i="1"/>
  <c r="BO192" i="1"/>
  <c r="BM192" i="1"/>
  <c r="Z192" i="1"/>
  <c r="Z193" i="1" s="1"/>
  <c r="Y192" i="1"/>
  <c r="Y194" i="1" s="1"/>
  <c r="P192" i="1"/>
  <c r="X188" i="1"/>
  <c r="X187" i="1"/>
  <c r="BO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P128" i="1"/>
  <c r="X126" i="1"/>
  <c r="X125" i="1"/>
  <c r="BO124" i="1"/>
  <c r="BM124" i="1"/>
  <c r="Z124" i="1"/>
  <c r="Y124" i="1"/>
  <c r="BP124" i="1" s="1"/>
  <c r="P124" i="1"/>
  <c r="BO123" i="1"/>
  <c r="BM123" i="1"/>
  <c r="Z123" i="1"/>
  <c r="Y123" i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P118" i="1"/>
  <c r="BO117" i="1"/>
  <c r="BM117" i="1"/>
  <c r="Z117" i="1"/>
  <c r="Y117" i="1"/>
  <c r="BP117" i="1" s="1"/>
  <c r="P117" i="1"/>
  <c r="BO116" i="1"/>
  <c r="BM116" i="1"/>
  <c r="Z116" i="1"/>
  <c r="Y116" i="1"/>
  <c r="P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BO99" i="1"/>
  <c r="BM99" i="1"/>
  <c r="Z99" i="1"/>
  <c r="Y99" i="1"/>
  <c r="BP99" i="1" s="1"/>
  <c r="P99" i="1"/>
  <c r="BO98" i="1"/>
  <c r="BM98" i="1"/>
  <c r="Z98" i="1"/>
  <c r="Y98" i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P64" i="1"/>
  <c r="X62" i="1"/>
  <c r="X61" i="1"/>
  <c r="BO60" i="1"/>
  <c r="BM60" i="1"/>
  <c r="Z60" i="1"/>
  <c r="Z61" i="1" s="1"/>
  <c r="Y60" i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F10" i="1"/>
  <c r="F9" i="1"/>
  <c r="A9" i="1"/>
  <c r="A10" i="1" s="1"/>
  <c r="D7" i="1"/>
  <c r="Q6" i="1"/>
  <c r="P2" i="1"/>
  <c r="Z28" i="1" l="1"/>
  <c r="BN22" i="1"/>
  <c r="BN24" i="1"/>
  <c r="BN26" i="1"/>
  <c r="Z34" i="1"/>
  <c r="Z41" i="1"/>
  <c r="BN39" i="1"/>
  <c r="Y57" i="1"/>
  <c r="BN53" i="1"/>
  <c r="BN55" i="1"/>
  <c r="Y76" i="1"/>
  <c r="Z76" i="1"/>
  <c r="BN74" i="1"/>
  <c r="Z82" i="1"/>
  <c r="BN86" i="1"/>
  <c r="BP86" i="1"/>
  <c r="Y87" i="1"/>
  <c r="Z93" i="1"/>
  <c r="BN91" i="1"/>
  <c r="Z103" i="1"/>
  <c r="Z109" i="1"/>
  <c r="BN107" i="1"/>
  <c r="Y126" i="1"/>
  <c r="BN124" i="1"/>
  <c r="BN173" i="1"/>
  <c r="Y183" i="1"/>
  <c r="Z183" i="1"/>
  <c r="BN186" i="1"/>
  <c r="BP186" i="1"/>
  <c r="Y187" i="1"/>
  <c r="BN192" i="1"/>
  <c r="BP192" i="1"/>
  <c r="Y193" i="1"/>
  <c r="Z201" i="1"/>
  <c r="BN196" i="1"/>
  <c r="BN198" i="1"/>
  <c r="BN200" i="1"/>
  <c r="BN240" i="1"/>
  <c r="BP145" i="1"/>
  <c r="BN145" i="1"/>
  <c r="Y66" i="1"/>
  <c r="Y65" i="1"/>
  <c r="BP64" i="1"/>
  <c r="BN64" i="1"/>
  <c r="BP133" i="1"/>
  <c r="BN133" i="1"/>
  <c r="X270" i="1"/>
  <c r="BP33" i="1"/>
  <c r="BN33" i="1"/>
  <c r="BP46" i="1"/>
  <c r="BN46" i="1"/>
  <c r="Y62" i="1"/>
  <c r="Y61" i="1"/>
  <c r="BP60" i="1"/>
  <c r="BN60" i="1"/>
  <c r="Y70" i="1"/>
  <c r="BP68" i="1"/>
  <c r="BN68" i="1"/>
  <c r="BP81" i="1"/>
  <c r="BN81" i="1"/>
  <c r="BP98" i="1"/>
  <c r="BN98" i="1"/>
  <c r="BP100" i="1"/>
  <c r="BN100" i="1"/>
  <c r="BP102" i="1"/>
  <c r="BN102" i="1"/>
  <c r="BP114" i="1"/>
  <c r="BN114" i="1"/>
  <c r="BP116" i="1"/>
  <c r="BN116" i="1"/>
  <c r="BP118" i="1"/>
  <c r="BN118" i="1"/>
  <c r="Y130" i="1"/>
  <c r="Y129" i="1"/>
  <c r="BP128" i="1"/>
  <c r="BN128" i="1"/>
  <c r="Y184" i="1"/>
  <c r="J9" i="1"/>
  <c r="Y28" i="1"/>
  <c r="Y35" i="1"/>
  <c r="Y41" i="1"/>
  <c r="Y48" i="1"/>
  <c r="Z48" i="1"/>
  <c r="Z56" i="1"/>
  <c r="Z70" i="1"/>
  <c r="Y83" i="1"/>
  <c r="Y93" i="1"/>
  <c r="Y104" i="1"/>
  <c r="Y109" i="1"/>
  <c r="Y120" i="1"/>
  <c r="Z120" i="1"/>
  <c r="Z125" i="1"/>
  <c r="Z135" i="1"/>
  <c r="Z147" i="1"/>
  <c r="Z174" i="1"/>
  <c r="BN179" i="1"/>
  <c r="BP179" i="1"/>
  <c r="BN181" i="1"/>
  <c r="BN205" i="1"/>
  <c r="BP205" i="1"/>
  <c r="Y206" i="1"/>
  <c r="Z212" i="1"/>
  <c r="BN210" i="1"/>
  <c r="Z241" i="1"/>
  <c r="BN244" i="1"/>
  <c r="BP244" i="1"/>
  <c r="Y245" i="1"/>
  <c r="Z251" i="1"/>
  <c r="BN248" i="1"/>
  <c r="BP248" i="1"/>
  <c r="BN250" i="1"/>
  <c r="Y264" i="1"/>
  <c r="Y265" i="1"/>
  <c r="Y29" i="1"/>
  <c r="Y34" i="1"/>
  <c r="Y42" i="1"/>
  <c r="Y49" i="1"/>
  <c r="Y56" i="1"/>
  <c r="Y71" i="1"/>
  <c r="Y77" i="1"/>
  <c r="Y82" i="1"/>
  <c r="Y94" i="1"/>
  <c r="Y103" i="1"/>
  <c r="Y110" i="1"/>
  <c r="Y121" i="1"/>
  <c r="Y125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H9" i="1"/>
  <c r="X267" i="1"/>
  <c r="X268" i="1"/>
  <c r="BN23" i="1"/>
  <c r="BN25" i="1"/>
  <c r="BN27" i="1"/>
  <c r="X266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Y135" i="1"/>
  <c r="BN134" i="1"/>
  <c r="Z141" i="1"/>
  <c r="Z271" i="1" s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02" i="1"/>
  <c r="Y212" i="1"/>
  <c r="Y213" i="1"/>
  <c r="Y218" i="1"/>
  <c r="BP217" i="1"/>
  <c r="BN217" i="1"/>
  <c r="Y225" i="1"/>
  <c r="Y230" i="1"/>
  <c r="BP229" i="1"/>
  <c r="BN229" i="1"/>
  <c r="Y235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Y267" i="1" l="1"/>
  <c r="Y268" i="1"/>
  <c r="Y269" i="1" s="1"/>
  <c r="Y270" i="1"/>
  <c r="X269" i="1"/>
  <c r="Y266" i="1"/>
  <c r="C279" i="1" l="1"/>
  <c r="A279" i="1"/>
  <c r="B279" i="1"/>
</calcChain>
</file>

<file path=xl/sharedStrings.xml><?xml version="1.0" encoding="utf-8"?>
<sst xmlns="http://schemas.openxmlformats.org/spreadsheetml/2006/main" count="1208" uniqueCount="393">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</sst>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9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300"/>
      <c r="F1" s="300"/>
      <c r="G1" s="12" t="s">
        <v>1</v>
      </c>
      <c r="H1" s="311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290" t="s">
        <v>8</v>
      </c>
      <c r="B5" s="291"/>
      <c r="C5" s="292"/>
      <c r="D5" s="321"/>
      <c r="E5" s="322"/>
      <c r="F5" s="425" t="s">
        <v>9</v>
      </c>
      <c r="G5" s="292"/>
      <c r="H5" s="321" t="s">
        <v>392</v>
      </c>
      <c r="I5" s="431"/>
      <c r="J5" s="431"/>
      <c r="K5" s="431"/>
      <c r="L5" s="431"/>
      <c r="M5" s="322"/>
      <c r="N5" s="61"/>
      <c r="P5" s="24" t="s">
        <v>10</v>
      </c>
      <c r="Q5" s="420">
        <v>46041</v>
      </c>
      <c r="R5" s="346"/>
      <c r="T5" s="293" t="s">
        <v>11</v>
      </c>
      <c r="U5" s="294"/>
      <c r="V5" s="372" t="s">
        <v>12</v>
      </c>
      <c r="W5" s="346"/>
      <c r="AB5" s="51"/>
      <c r="AC5" s="51"/>
      <c r="AD5" s="51"/>
      <c r="AE5" s="51"/>
    </row>
    <row r="6" spans="1:32" s="260" customFormat="1" ht="24" customHeight="1" x14ac:dyDescent="0.2">
      <c r="A6" s="290" t="s">
        <v>13</v>
      </c>
      <c r="B6" s="291"/>
      <c r="C6" s="292"/>
      <c r="D6" s="432" t="s">
        <v>14</v>
      </c>
      <c r="E6" s="433"/>
      <c r="F6" s="433"/>
      <c r="G6" s="433"/>
      <c r="H6" s="433"/>
      <c r="I6" s="433"/>
      <c r="J6" s="433"/>
      <c r="K6" s="433"/>
      <c r="L6" s="433"/>
      <c r="M6" s="346"/>
      <c r="N6" s="62"/>
      <c r="P6" s="24" t="s">
        <v>15</v>
      </c>
      <c r="Q6" s="422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75" t="s">
        <v>16</v>
      </c>
      <c r="U6" s="294"/>
      <c r="V6" s="435" t="s">
        <v>17</v>
      </c>
      <c r="W6" s="320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2"/>
      <c r="U7" s="294"/>
      <c r="V7" s="436"/>
      <c r="W7" s="437"/>
      <c r="AB7" s="51"/>
      <c r="AC7" s="51"/>
      <c r="AD7" s="51"/>
      <c r="AE7" s="51"/>
    </row>
    <row r="8" spans="1:32" s="260" customFormat="1" ht="25.5" customHeight="1" x14ac:dyDescent="0.2">
      <c r="A8" s="451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29">
        <v>0.5</v>
      </c>
      <c r="R8" s="305"/>
      <c r="T8" s="282"/>
      <c r="U8" s="294"/>
      <c r="V8" s="436"/>
      <c r="W8" s="437"/>
      <c r="AB8" s="51"/>
      <c r="AC8" s="51"/>
      <c r="AD8" s="51"/>
      <c r="AE8" s="51"/>
    </row>
    <row r="9" spans="1:32" s="260" customFormat="1" ht="39.950000000000003" customHeight="1" x14ac:dyDescent="0.2">
      <c r="A9" s="3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4"/>
      <c r="E9" s="273"/>
      <c r="F9" s="3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2" t="str">
        <f>IF(AND($A$9="Тип доверенности/получателя при получении в адресе перегруза:",$D$9="Разовая доверенность"),"Введите ФИО","")</f>
        <v/>
      </c>
      <c r="I9" s="273"/>
      <c r="J9" s="2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3"/>
      <c r="L9" s="273"/>
      <c r="M9" s="273"/>
      <c r="N9" s="258"/>
      <c r="P9" s="26" t="s">
        <v>21</v>
      </c>
      <c r="Q9" s="343"/>
      <c r="R9" s="344"/>
      <c r="T9" s="282"/>
      <c r="U9" s="294"/>
      <c r="V9" s="438"/>
      <c r="W9" s="439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4"/>
      <c r="E10" s="273"/>
      <c r="F10" s="3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3" t="str">
        <f>IFERROR(VLOOKUP($D$10,Proxy,2,FALSE),"")</f>
        <v/>
      </c>
      <c r="I10" s="282"/>
      <c r="J10" s="282"/>
      <c r="K10" s="282"/>
      <c r="L10" s="282"/>
      <c r="M10" s="282"/>
      <c r="N10" s="259"/>
      <c r="P10" s="26" t="s">
        <v>22</v>
      </c>
      <c r="Q10" s="376"/>
      <c r="R10" s="377"/>
      <c r="U10" s="24" t="s">
        <v>23</v>
      </c>
      <c r="V10" s="319" t="s">
        <v>24</v>
      </c>
      <c r="W10" s="320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386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0" t="s">
        <v>29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2"/>
      <c r="N12" s="65"/>
      <c r="P12" s="24" t="s">
        <v>30</v>
      </c>
      <c r="Q12" s="329"/>
      <c r="R12" s="305"/>
      <c r="S12" s="23"/>
      <c r="U12" s="24"/>
      <c r="V12" s="300"/>
      <c r="W12" s="282"/>
      <c r="AB12" s="51"/>
      <c r="AC12" s="51"/>
      <c r="AD12" s="51"/>
      <c r="AE12" s="51"/>
    </row>
    <row r="13" spans="1:32" s="260" customFormat="1" ht="23.25" customHeight="1" x14ac:dyDescent="0.2">
      <c r="A13" s="360" t="s">
        <v>31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2"/>
      <c r="N13" s="65"/>
      <c r="O13" s="26"/>
      <c r="P13" s="26" t="s">
        <v>32</v>
      </c>
      <c r="Q13" s="38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0" t="s">
        <v>33</v>
      </c>
      <c r="B14" s="291"/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79" t="s">
        <v>34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2"/>
      <c r="N15" s="66"/>
      <c r="P15" s="362" t="s">
        <v>35</v>
      </c>
      <c r="Q15" s="300"/>
      <c r="R15" s="300"/>
      <c r="S15" s="300"/>
      <c r="T15" s="3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3"/>
      <c r="Q16" s="363"/>
      <c r="R16" s="363"/>
      <c r="S16" s="363"/>
      <c r="T16" s="3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36</v>
      </c>
      <c r="B17" s="301" t="s">
        <v>37</v>
      </c>
      <c r="C17" s="450" t="s">
        <v>38</v>
      </c>
      <c r="D17" s="301" t="s">
        <v>39</v>
      </c>
      <c r="E17" s="335"/>
      <c r="F17" s="301" t="s">
        <v>40</v>
      </c>
      <c r="G17" s="301" t="s">
        <v>41</v>
      </c>
      <c r="H17" s="301" t="s">
        <v>42</v>
      </c>
      <c r="I17" s="301" t="s">
        <v>43</v>
      </c>
      <c r="J17" s="301" t="s">
        <v>44</v>
      </c>
      <c r="K17" s="301" t="s">
        <v>45</v>
      </c>
      <c r="L17" s="301" t="s">
        <v>46</v>
      </c>
      <c r="M17" s="301" t="s">
        <v>47</v>
      </c>
      <c r="N17" s="301" t="s">
        <v>48</v>
      </c>
      <c r="O17" s="301" t="s">
        <v>49</v>
      </c>
      <c r="P17" s="301" t="s">
        <v>50</v>
      </c>
      <c r="Q17" s="334"/>
      <c r="R17" s="334"/>
      <c r="S17" s="334"/>
      <c r="T17" s="335"/>
      <c r="U17" s="441" t="s">
        <v>51</v>
      </c>
      <c r="V17" s="292"/>
      <c r="W17" s="301" t="s">
        <v>52</v>
      </c>
      <c r="X17" s="301" t="s">
        <v>53</v>
      </c>
      <c r="Y17" s="442" t="s">
        <v>54</v>
      </c>
      <c r="Z17" s="406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44"/>
      <c r="AF17" s="445"/>
      <c r="AG17" s="69"/>
      <c r="BD17" s="68" t="s">
        <v>60</v>
      </c>
    </row>
    <row r="18" spans="1:68" ht="14.25" customHeight="1" x14ac:dyDescent="0.2">
      <c r="A18" s="302"/>
      <c r="B18" s="302"/>
      <c r="C18" s="302"/>
      <c r="D18" s="336"/>
      <c r="E18" s="338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36"/>
      <c r="Q18" s="337"/>
      <c r="R18" s="337"/>
      <c r="S18" s="337"/>
      <c r="T18" s="338"/>
      <c r="U18" s="70" t="s">
        <v>61</v>
      </c>
      <c r="V18" s="70" t="s">
        <v>62</v>
      </c>
      <c r="W18" s="302"/>
      <c r="X18" s="302"/>
      <c r="Y18" s="443"/>
      <c r="Z18" s="407"/>
      <c r="AA18" s="392"/>
      <c r="AB18" s="392"/>
      <c r="AC18" s="392"/>
      <c r="AD18" s="446"/>
      <c r="AE18" s="447"/>
      <c r="AF18" s="448"/>
      <c r="AG18" s="69"/>
      <c r="BD18" s="68"/>
    </row>
    <row r="19" spans="1:68" ht="27.75" hidden="1" customHeight="1" x14ac:dyDescent="0.2">
      <c r="A19" s="279" t="s">
        <v>63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48"/>
      <c r="AB19" s="48"/>
      <c r="AC19" s="48"/>
    </row>
    <row r="20" spans="1:68" ht="16.5" hidden="1" customHeight="1" x14ac:dyDescent="0.25">
      <c r="A20" s="281" t="s">
        <v>63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1"/>
      <c r="AB20" s="261"/>
      <c r="AC20" s="261"/>
    </row>
    <row r="21" spans="1:68" ht="14.25" hidden="1" customHeight="1" x14ac:dyDescent="0.25">
      <c r="A21" s="297" t="s">
        <v>64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4">
        <v>4607111035912</v>
      </c>
      <c r="E22" s="275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4">
        <v>4607111035103</v>
      </c>
      <c r="E23" s="275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4301071109</v>
      </c>
      <c r="D24" s="274">
        <v>4607111035929</v>
      </c>
      <c r="E24" s="275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44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70</v>
      </c>
      <c r="X24" s="266">
        <v>0</v>
      </c>
      <c r="Y24" s="267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4">
        <v>4607111035882</v>
      </c>
      <c r="E25" s="275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4">
        <v>4607111035110</v>
      </c>
      <c r="E26" s="275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40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70</v>
      </c>
      <c r="X26" s="266">
        <v>0</v>
      </c>
      <c r="Y26" s="267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4">
        <v>4607111035905</v>
      </c>
      <c r="E27" s="275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40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83"/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4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0</v>
      </c>
      <c r="Y28" s="268">
        <f>IFERROR(SUM(Y22:Y27),"0")</f>
        <v>0</v>
      </c>
      <c r="Z28" s="268">
        <f>IFERROR(IF(Z22="",0,Z22),"0")+IFERROR(IF(Z23="",0,Z23),"0")+IFERROR(IF(Z24="",0,Z24),"0")+IFERROR(IF(Z25="",0,Z25),"0")+IFERROR(IF(Z26="",0,Z26),"0")+IFERROR(IF(Z27="",0,Z27),"0")</f>
        <v>0</v>
      </c>
      <c r="AA28" s="269"/>
      <c r="AB28" s="269"/>
      <c r="AC28" s="269"/>
    </row>
    <row r="29" spans="1:68" hidden="1" x14ac:dyDescent="0.2">
      <c r="A29" s="282"/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4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0</v>
      </c>
      <c r="Y29" s="268">
        <f>IFERROR(SUMPRODUCT(Y22:Y27*H22:H27),"0")</f>
        <v>0</v>
      </c>
      <c r="Z29" s="37"/>
      <c r="AA29" s="269"/>
      <c r="AB29" s="269"/>
      <c r="AC29" s="269"/>
    </row>
    <row r="30" spans="1:68" ht="16.5" hidden="1" customHeight="1" x14ac:dyDescent="0.25">
      <c r="A30" s="281" t="s">
        <v>85</v>
      </c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61"/>
      <c r="AB30" s="261"/>
      <c r="AC30" s="261"/>
    </row>
    <row r="31" spans="1:68" ht="14.25" hidden="1" customHeight="1" x14ac:dyDescent="0.25">
      <c r="A31" s="297" t="s">
        <v>64</v>
      </c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62"/>
      <c r="AB31" s="262"/>
      <c r="AC31" s="262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4">
        <v>4607111039019</v>
      </c>
      <c r="E32" s="275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4">
        <v>4607111038708</v>
      </c>
      <c r="E33" s="275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3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3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4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hidden="1" x14ac:dyDescent="0.2">
      <c r="A35" s="282"/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4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hidden="1" customHeight="1" x14ac:dyDescent="0.2">
      <c r="A36" s="279" t="s">
        <v>91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48"/>
      <c r="AB36" s="48"/>
      <c r="AC36" s="48"/>
    </row>
    <row r="37" spans="1:68" ht="16.5" hidden="1" customHeight="1" x14ac:dyDescent="0.25">
      <c r="A37" s="281" t="s">
        <v>92</v>
      </c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61"/>
      <c r="AB37" s="261"/>
      <c r="AC37" s="261"/>
    </row>
    <row r="38" spans="1:68" ht="14.25" hidden="1" customHeight="1" x14ac:dyDescent="0.25">
      <c r="A38" s="297" t="s">
        <v>93</v>
      </c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62"/>
      <c r="AB38" s="262"/>
      <c r="AC38" s="262"/>
    </row>
    <row r="39" spans="1:68" ht="27" hidden="1" customHeight="1" x14ac:dyDescent="0.25">
      <c r="A39" s="54" t="s">
        <v>94</v>
      </c>
      <c r="B39" s="54" t="s">
        <v>95</v>
      </c>
      <c r="C39" s="31">
        <v>4301132190</v>
      </c>
      <c r="D39" s="274">
        <v>4607111036537</v>
      </c>
      <c r="E39" s="275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70</v>
      </c>
      <c r="X39" s="266">
        <v>0</v>
      </c>
      <c r="Y39" s="267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101</v>
      </c>
      <c r="B40" s="54" t="s">
        <v>102</v>
      </c>
      <c r="C40" s="31">
        <v>4301132188</v>
      </c>
      <c r="D40" s="274">
        <v>4607111036605</v>
      </c>
      <c r="E40" s="275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39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70</v>
      </c>
      <c r="X40" s="266">
        <v>0</v>
      </c>
      <c r="Y40" s="26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83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4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0</v>
      </c>
      <c r="Y41" s="268">
        <f>IFERROR(SUM(Y39:Y40),"0")</f>
        <v>0</v>
      </c>
      <c r="Z41" s="268">
        <f>IFERROR(IF(Z39="",0,Z39),"0")+IFERROR(IF(Z40="",0,Z40),"0")</f>
        <v>0</v>
      </c>
      <c r="AA41" s="269"/>
      <c r="AB41" s="269"/>
      <c r="AC41" s="269"/>
    </row>
    <row r="42" spans="1:68" hidden="1" x14ac:dyDescent="0.2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4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0</v>
      </c>
      <c r="Y42" s="268">
        <f>IFERROR(SUMPRODUCT(Y39:Y40*H39:H40),"0")</f>
        <v>0</v>
      </c>
      <c r="Z42" s="37"/>
      <c r="AA42" s="269"/>
      <c r="AB42" s="269"/>
      <c r="AC42" s="269"/>
    </row>
    <row r="43" spans="1:68" ht="16.5" hidden="1" customHeight="1" x14ac:dyDescent="0.25">
      <c r="A43" s="281" t="s">
        <v>103</v>
      </c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261"/>
      <c r="AB43" s="261"/>
      <c r="AC43" s="261"/>
    </row>
    <row r="44" spans="1:68" ht="14.25" hidden="1" customHeight="1" x14ac:dyDescent="0.25">
      <c r="A44" s="297" t="s">
        <v>64</v>
      </c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62"/>
      <c r="AB44" s="262"/>
      <c r="AC44" s="262"/>
    </row>
    <row r="45" spans="1:68" ht="27" hidden="1" customHeight="1" x14ac:dyDescent="0.25">
      <c r="A45" s="54" t="s">
        <v>104</v>
      </c>
      <c r="B45" s="54" t="s">
        <v>105</v>
      </c>
      <c r="C45" s="31">
        <v>4301071090</v>
      </c>
      <c r="D45" s="274">
        <v>4620207490075</v>
      </c>
      <c r="E45" s="275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66">
        <v>0</v>
      </c>
      <c r="Y45" s="26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107</v>
      </c>
      <c r="B46" s="54" t="s">
        <v>108</v>
      </c>
      <c r="C46" s="31">
        <v>4301071092</v>
      </c>
      <c r="D46" s="274">
        <v>4620207490174</v>
      </c>
      <c r="E46" s="275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0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70</v>
      </c>
      <c r="X46" s="266">
        <v>0</v>
      </c>
      <c r="Y46" s="26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110</v>
      </c>
      <c r="B47" s="54" t="s">
        <v>111</v>
      </c>
      <c r="C47" s="31">
        <v>4301071091</v>
      </c>
      <c r="D47" s="274">
        <v>4620207490044</v>
      </c>
      <c r="E47" s="275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70</v>
      </c>
      <c r="X47" s="266">
        <v>0</v>
      </c>
      <c r="Y47" s="26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83"/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4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0</v>
      </c>
      <c r="Y48" s="268">
        <f>IFERROR(SUM(Y45:Y47),"0")</f>
        <v>0</v>
      </c>
      <c r="Z48" s="268">
        <f>IFERROR(IF(Z45="",0,Z45),"0")+IFERROR(IF(Z46="",0,Z46),"0")+IFERROR(IF(Z47="",0,Z47),"0")</f>
        <v>0</v>
      </c>
      <c r="AA48" s="269"/>
      <c r="AB48" s="269"/>
      <c r="AC48" s="269"/>
    </row>
    <row r="49" spans="1:68" hidden="1" x14ac:dyDescent="0.2">
      <c r="A49" s="28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4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0</v>
      </c>
      <c r="Y49" s="268">
        <f>IFERROR(SUMPRODUCT(Y45:Y47*H45:H47),"0")</f>
        <v>0</v>
      </c>
      <c r="Z49" s="37"/>
      <c r="AA49" s="269"/>
      <c r="AB49" s="269"/>
      <c r="AC49" s="269"/>
    </row>
    <row r="50" spans="1:68" ht="16.5" hidden="1" customHeight="1" x14ac:dyDescent="0.25">
      <c r="A50" s="281" t="s">
        <v>113</v>
      </c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61"/>
      <c r="AB50" s="261"/>
      <c r="AC50" s="261"/>
    </row>
    <row r="51" spans="1:68" ht="14.25" hidden="1" customHeight="1" x14ac:dyDescent="0.25">
      <c r="A51" s="297" t="s">
        <v>64</v>
      </c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  <c r="AA51" s="262"/>
      <c r="AB51" s="262"/>
      <c r="AC51" s="26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4">
        <v>4607111039385</v>
      </c>
      <c r="E52" s="275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70</v>
      </c>
      <c r="X52" s="266">
        <v>36</v>
      </c>
      <c r="Y52" s="267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4">
        <v>4607111038982</v>
      </c>
      <c r="E53" s="275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6">
        <v>24</v>
      </c>
      <c r="Y53" s="267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174.86399999999998</v>
      </c>
      <c r="BN53" s="67">
        <f>IFERROR(Y53*I53,"0")</f>
        <v>174.86399999999998</v>
      </c>
      <c r="BO53" s="67">
        <f>IFERROR(X53/J53,"0")</f>
        <v>0.2857142857142857</v>
      </c>
      <c r="BP53" s="67">
        <f>IFERROR(Y53/J53,"0")</f>
        <v>0.2857142857142857</v>
      </c>
    </row>
    <row r="54" spans="1:68" ht="27" hidden="1" customHeight="1" x14ac:dyDescent="0.25">
      <c r="A54" s="54" t="s">
        <v>120</v>
      </c>
      <c r="B54" s="54" t="s">
        <v>121</v>
      </c>
      <c r="C54" s="31">
        <v>4301071046</v>
      </c>
      <c r="D54" s="274">
        <v>4607111039354</v>
      </c>
      <c r="E54" s="275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1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122</v>
      </c>
      <c r="B55" s="54" t="s">
        <v>123</v>
      </c>
      <c r="C55" s="31">
        <v>4301071047</v>
      </c>
      <c r="D55" s="274">
        <v>4607111039330</v>
      </c>
      <c r="E55" s="275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70</v>
      </c>
      <c r="X55" s="266">
        <v>0</v>
      </c>
      <c r="Y55" s="26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3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4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60</v>
      </c>
      <c r="Y56" s="268">
        <f>IFERROR(SUM(Y52:Y55),"0")</f>
        <v>60</v>
      </c>
      <c r="Z56" s="268">
        <f>IFERROR(IF(Z52="",0,Z52),"0")+IFERROR(IF(Z53="",0,Z53),"0")+IFERROR(IF(Z54="",0,Z54),"0")+IFERROR(IF(Z55="",0,Z55),"0")</f>
        <v>0.93</v>
      </c>
      <c r="AA56" s="269"/>
      <c r="AB56" s="269"/>
      <c r="AC56" s="269"/>
    </row>
    <row r="57" spans="1:68" x14ac:dyDescent="0.2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4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420</v>
      </c>
      <c r="Y57" s="268">
        <f>IFERROR(SUMPRODUCT(Y52:Y55*H52:H55),"0")</f>
        <v>420</v>
      </c>
      <c r="Z57" s="37"/>
      <c r="AA57" s="269"/>
      <c r="AB57" s="269"/>
      <c r="AC57" s="269"/>
    </row>
    <row r="58" spans="1:68" ht="16.5" hidden="1" customHeight="1" x14ac:dyDescent="0.25">
      <c r="A58" s="281" t="s">
        <v>124</v>
      </c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61"/>
      <c r="AB58" s="261"/>
      <c r="AC58" s="261"/>
    </row>
    <row r="59" spans="1:68" ht="14.25" hidden="1" customHeight="1" x14ac:dyDescent="0.25">
      <c r="A59" s="297" t="s">
        <v>64</v>
      </c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  <c r="AA59" s="262"/>
      <c r="AB59" s="262"/>
      <c r="AC59" s="262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4">
        <v>4620207490822</v>
      </c>
      <c r="E60" s="275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3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4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hidden="1" x14ac:dyDescent="0.2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4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hidden="1" customHeight="1" x14ac:dyDescent="0.25">
      <c r="A63" s="297" t="s">
        <v>93</v>
      </c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  <c r="AA63" s="262"/>
      <c r="AB63" s="262"/>
      <c r="AC63" s="26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74">
        <v>4607111039712</v>
      </c>
      <c r="E64" s="275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97</v>
      </c>
      <c r="M64" s="33" t="s">
        <v>69</v>
      </c>
      <c r="N64" s="33"/>
      <c r="O64" s="32">
        <v>365</v>
      </c>
      <c r="P64" s="41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6">
        <v>28</v>
      </c>
      <c r="Y64" s="267">
        <f>IFERROR(IF(X64="","",X64),"")</f>
        <v>28</v>
      </c>
      <c r="Z64" s="36">
        <f>IFERROR(IF(X64="","",X64*0.00941),"")</f>
        <v>0.26347999999999999</v>
      </c>
      <c r="AA64" s="56"/>
      <c r="AB64" s="57"/>
      <c r="AC64" s="108" t="s">
        <v>130</v>
      </c>
      <c r="AG64" s="67"/>
      <c r="AJ64" s="71" t="s">
        <v>99</v>
      </c>
      <c r="AK64" s="71">
        <v>14</v>
      </c>
      <c r="BB64" s="109" t="s">
        <v>100</v>
      </c>
      <c r="BM64" s="67">
        <f>IFERROR(X64*I64,"0")</f>
        <v>43.68</v>
      </c>
      <c r="BN64" s="67">
        <f>IFERROR(Y64*I64,"0")</f>
        <v>43.68</v>
      </c>
      <c r="BO64" s="67">
        <f>IFERROR(X64/J64,"0")</f>
        <v>0.2</v>
      </c>
      <c r="BP64" s="67">
        <f>IFERROR(Y64/J64,"0")</f>
        <v>0.2</v>
      </c>
    </row>
    <row r="65" spans="1:68" x14ac:dyDescent="0.2">
      <c r="A65" s="283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4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28</v>
      </c>
      <c r="Y65" s="268">
        <f>IFERROR(SUM(Y64:Y64),"0")</f>
        <v>28</v>
      </c>
      <c r="Z65" s="268">
        <f>IFERROR(IF(Z64="",0,Z64),"0")</f>
        <v>0.26347999999999999</v>
      </c>
      <c r="AA65" s="269"/>
      <c r="AB65" s="269"/>
      <c r="AC65" s="269"/>
    </row>
    <row r="66" spans="1:68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4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33.6</v>
      </c>
      <c r="Y66" s="268">
        <f>IFERROR(SUMPRODUCT(Y64:Y64*H64:H64),"0")</f>
        <v>33.6</v>
      </c>
      <c r="Z66" s="37"/>
      <c r="AA66" s="269"/>
      <c r="AB66" s="269"/>
      <c r="AC66" s="269"/>
    </row>
    <row r="67" spans="1:68" ht="14.25" hidden="1" customHeight="1" x14ac:dyDescent="0.25">
      <c r="A67" s="297" t="s">
        <v>131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2"/>
      <c r="AB67" s="262"/>
      <c r="AC67" s="262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4">
        <v>4607111037008</v>
      </c>
      <c r="E68" s="275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4">
        <v>4607111037398</v>
      </c>
      <c r="E69" s="275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3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4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hidden="1" x14ac:dyDescent="0.2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4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hidden="1" customHeight="1" x14ac:dyDescent="0.25">
      <c r="A72" s="297" t="s">
        <v>137</v>
      </c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  <c r="AA72" s="262"/>
      <c r="AB72" s="262"/>
      <c r="AC72" s="262"/>
    </row>
    <row r="73" spans="1:68" ht="27" hidden="1" customHeight="1" x14ac:dyDescent="0.25">
      <c r="A73" s="54" t="s">
        <v>138</v>
      </c>
      <c r="B73" s="54" t="s">
        <v>139</v>
      </c>
      <c r="C73" s="31">
        <v>4301135664</v>
      </c>
      <c r="D73" s="274">
        <v>4607111039705</v>
      </c>
      <c r="E73" s="275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140</v>
      </c>
      <c r="M73" s="33" t="s">
        <v>69</v>
      </c>
      <c r="N73" s="33"/>
      <c r="O73" s="32">
        <v>365</v>
      </c>
      <c r="P73" s="29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141</v>
      </c>
      <c r="AK73" s="71">
        <v>140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4">
        <v>4607111039729</v>
      </c>
      <c r="E74" s="275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140</v>
      </c>
      <c r="M74" s="33" t="s">
        <v>69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70</v>
      </c>
      <c r="X74" s="266">
        <v>140</v>
      </c>
      <c r="Y74" s="267">
        <f>IFERROR(IF(X74="","",X74),"")</f>
        <v>140</v>
      </c>
      <c r="Z74" s="36">
        <f>IFERROR(IF(X74="","",X74*0.00941),"")</f>
        <v>1.3173999999999999</v>
      </c>
      <c r="AA74" s="56"/>
      <c r="AB74" s="57"/>
      <c r="AC74" s="116" t="s">
        <v>144</v>
      </c>
      <c r="AG74" s="67"/>
      <c r="AJ74" s="71" t="s">
        <v>141</v>
      </c>
      <c r="AK74" s="71">
        <v>140</v>
      </c>
      <c r="BB74" s="117" t="s">
        <v>100</v>
      </c>
      <c r="BM74" s="67">
        <f>IFERROR(X74*I74,"0")</f>
        <v>218.4</v>
      </c>
      <c r="BN74" s="67">
        <f>IFERROR(Y74*I74,"0")</f>
        <v>218.4</v>
      </c>
      <c r="BO74" s="67">
        <f>IFERROR(X74/J74,"0")</f>
        <v>1</v>
      </c>
      <c r="BP74" s="67">
        <f>IFERROR(Y74/J74,"0")</f>
        <v>1</v>
      </c>
    </row>
    <row r="75" spans="1:68" ht="27" hidden="1" customHeight="1" x14ac:dyDescent="0.25">
      <c r="A75" s="54" t="s">
        <v>145</v>
      </c>
      <c r="B75" s="54" t="s">
        <v>146</v>
      </c>
      <c r="C75" s="31">
        <v>4301135702</v>
      </c>
      <c r="D75" s="274">
        <v>4620207490228</v>
      </c>
      <c r="E75" s="275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140</v>
      </c>
      <c r="M75" s="33" t="s">
        <v>69</v>
      </c>
      <c r="N75" s="33"/>
      <c r="O75" s="32">
        <v>365</v>
      </c>
      <c r="P75" s="42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144</v>
      </c>
      <c r="AG75" s="67"/>
      <c r="AJ75" s="71" t="s">
        <v>141</v>
      </c>
      <c r="AK75" s="71">
        <v>140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3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4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140</v>
      </c>
      <c r="Y76" s="268">
        <f>IFERROR(SUM(Y73:Y75),"0")</f>
        <v>140</v>
      </c>
      <c r="Z76" s="268">
        <f>IFERROR(IF(Z73="",0,Z73),"0")+IFERROR(IF(Z74="",0,Z74),"0")+IFERROR(IF(Z75="",0,Z75),"0")</f>
        <v>1.3173999999999999</v>
      </c>
      <c r="AA76" s="269"/>
      <c r="AB76" s="269"/>
      <c r="AC76" s="269"/>
    </row>
    <row r="77" spans="1:68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4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168</v>
      </c>
      <c r="Y77" s="268">
        <f>IFERROR(SUMPRODUCT(Y73:Y75*H73:H75),"0")</f>
        <v>168</v>
      </c>
      <c r="Z77" s="37"/>
      <c r="AA77" s="269"/>
      <c r="AB77" s="269"/>
      <c r="AC77" s="269"/>
    </row>
    <row r="78" spans="1:68" ht="16.5" hidden="1" customHeight="1" x14ac:dyDescent="0.25">
      <c r="A78" s="281" t="s">
        <v>147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1"/>
      <c r="AB78" s="261"/>
      <c r="AC78" s="261"/>
    </row>
    <row r="79" spans="1:68" ht="14.25" hidden="1" customHeight="1" x14ac:dyDescent="0.25">
      <c r="A79" s="297" t="s">
        <v>64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hidden="1" customHeight="1" x14ac:dyDescent="0.25">
      <c r="A80" s="54" t="s">
        <v>148</v>
      </c>
      <c r="B80" s="54" t="s">
        <v>149</v>
      </c>
      <c r="C80" s="31">
        <v>4301070977</v>
      </c>
      <c r="D80" s="274">
        <v>4607111037411</v>
      </c>
      <c r="E80" s="275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150</v>
      </c>
      <c r="L80" s="32" t="s">
        <v>97</v>
      </c>
      <c r="M80" s="33" t="s">
        <v>69</v>
      </c>
      <c r="N80" s="33"/>
      <c r="O80" s="32">
        <v>180</v>
      </c>
      <c r="P80" s="40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152</v>
      </c>
      <c r="B81" s="54" t="s">
        <v>153</v>
      </c>
      <c r="C81" s="31">
        <v>4301070981</v>
      </c>
      <c r="D81" s="274">
        <v>4607111036728</v>
      </c>
      <c r="E81" s="275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1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70</v>
      </c>
      <c r="X81" s="266">
        <v>0</v>
      </c>
      <c r="Y81" s="267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151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83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4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0</v>
      </c>
      <c r="Y82" s="268">
        <f>IFERROR(SUM(Y80:Y81),"0")</f>
        <v>0</v>
      </c>
      <c r="Z82" s="268">
        <f>IFERROR(IF(Z80="",0,Z80),"0")+IFERROR(IF(Z81="",0,Z81),"0")</f>
        <v>0</v>
      </c>
      <c r="AA82" s="269"/>
      <c r="AB82" s="269"/>
      <c r="AC82" s="269"/>
    </row>
    <row r="83" spans="1:68" hidden="1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4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0</v>
      </c>
      <c r="Y83" s="268">
        <f>IFERROR(SUMPRODUCT(Y80:Y81*H80:H81),"0")</f>
        <v>0</v>
      </c>
      <c r="Z83" s="37"/>
      <c r="AA83" s="269"/>
      <c r="AB83" s="269"/>
      <c r="AC83" s="269"/>
    </row>
    <row r="84" spans="1:68" ht="16.5" hidden="1" customHeight="1" x14ac:dyDescent="0.25">
      <c r="A84" s="281" t="s">
        <v>154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1"/>
      <c r="AB84" s="261"/>
      <c r="AC84" s="261"/>
    </row>
    <row r="85" spans="1:68" ht="14.25" hidden="1" customHeight="1" x14ac:dyDescent="0.25">
      <c r="A85" s="297" t="s">
        <v>137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4">
        <v>4607111033659</v>
      </c>
      <c r="E86" s="275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6">
        <v>28</v>
      </c>
      <c r="Y86" s="267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157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3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4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28</v>
      </c>
      <c r="Y87" s="268">
        <f>IFERROR(SUM(Y86:Y86),"0")</f>
        <v>28</v>
      </c>
      <c r="Z87" s="268">
        <f>IFERROR(IF(Z86="",0,Z86),"0")</f>
        <v>0.50063999999999997</v>
      </c>
      <c r="AA87" s="269"/>
      <c r="AB87" s="269"/>
      <c r="AC87" s="269"/>
    </row>
    <row r="88" spans="1:68" x14ac:dyDescent="0.2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4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100.8</v>
      </c>
      <c r="Y88" s="268">
        <f>IFERROR(SUMPRODUCT(Y86:Y86*H86:H86),"0")</f>
        <v>100.8</v>
      </c>
      <c r="Z88" s="37"/>
      <c r="AA88" s="269"/>
      <c r="AB88" s="269"/>
      <c r="AC88" s="269"/>
    </row>
    <row r="89" spans="1:68" ht="16.5" hidden="1" customHeight="1" x14ac:dyDescent="0.25">
      <c r="A89" s="281" t="s">
        <v>158</v>
      </c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61"/>
      <c r="AB89" s="261"/>
      <c r="AC89" s="261"/>
    </row>
    <row r="90" spans="1:68" ht="14.25" hidden="1" customHeight="1" x14ac:dyDescent="0.25">
      <c r="A90" s="297" t="s">
        <v>159</v>
      </c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262"/>
      <c r="AB90" s="262"/>
      <c r="AC90" s="262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4">
        <v>4607111034120</v>
      </c>
      <c r="E91" s="275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66">
        <v>70</v>
      </c>
      <c r="Y91" s="267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162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4">
        <v>4607111034137</v>
      </c>
      <c r="E92" s="275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70</v>
      </c>
      <c r="X92" s="266">
        <v>70</v>
      </c>
      <c r="Y92" s="267">
        <f>IFERROR(IF(X92="","",X92),"")</f>
        <v>70</v>
      </c>
      <c r="Z92" s="36">
        <f>IFERROR(IF(X92="","",X92*0.01788),"")</f>
        <v>1.2516</v>
      </c>
      <c r="AA92" s="56"/>
      <c r="AB92" s="57"/>
      <c r="AC92" s="128" t="s">
        <v>165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301.25200000000001</v>
      </c>
      <c r="BN92" s="67">
        <f>IFERROR(Y92*I92,"0")</f>
        <v>301.25200000000001</v>
      </c>
      <c r="BO92" s="67">
        <f>IFERROR(X92/J92,"0")</f>
        <v>1</v>
      </c>
      <c r="BP92" s="67">
        <f>IFERROR(Y92/J92,"0")</f>
        <v>1</v>
      </c>
    </row>
    <row r="93" spans="1:68" x14ac:dyDescent="0.2">
      <c r="A93" s="283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4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140</v>
      </c>
      <c r="Y93" s="268">
        <f>IFERROR(SUM(Y91:Y92),"0")</f>
        <v>140</v>
      </c>
      <c r="Z93" s="268">
        <f>IFERROR(IF(Z91="",0,Z91),"0")+IFERROR(IF(Z92="",0,Z92),"0")</f>
        <v>2.5032000000000001</v>
      </c>
      <c r="AA93" s="269"/>
      <c r="AB93" s="269"/>
      <c r="AC93" s="269"/>
    </row>
    <row r="94" spans="1:68" x14ac:dyDescent="0.2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4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504</v>
      </c>
      <c r="Y94" s="268">
        <f>IFERROR(SUMPRODUCT(Y91:Y92*H91:H92),"0")</f>
        <v>504</v>
      </c>
      <c r="Z94" s="37"/>
      <c r="AA94" s="269"/>
      <c r="AB94" s="269"/>
      <c r="AC94" s="269"/>
    </row>
    <row r="95" spans="1:68" ht="16.5" hidden="1" customHeight="1" x14ac:dyDescent="0.25">
      <c r="A95" s="281" t="s">
        <v>166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1"/>
      <c r="AB95" s="261"/>
      <c r="AC95" s="261"/>
    </row>
    <row r="96" spans="1:68" ht="14.25" hidden="1" customHeight="1" x14ac:dyDescent="0.25">
      <c r="A96" s="297" t="s">
        <v>137</v>
      </c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62"/>
      <c r="AB96" s="262"/>
      <c r="AC96" s="262"/>
    </row>
    <row r="97" spans="1:68" ht="27" customHeight="1" x14ac:dyDescent="0.25">
      <c r="A97" s="54" t="s">
        <v>167</v>
      </c>
      <c r="B97" s="54" t="s">
        <v>168</v>
      </c>
      <c r="C97" s="31">
        <v>4301135763</v>
      </c>
      <c r="D97" s="274">
        <v>4620207491027</v>
      </c>
      <c r="E97" s="275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1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6">
        <v>70</v>
      </c>
      <c r="Y97" s="267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157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hidden="1" customHeight="1" x14ac:dyDescent="0.25">
      <c r="A98" s="54" t="s">
        <v>169</v>
      </c>
      <c r="B98" s="54" t="s">
        <v>170</v>
      </c>
      <c r="C98" s="31">
        <v>4301135793</v>
      </c>
      <c r="D98" s="274">
        <v>4620207491003</v>
      </c>
      <c r="E98" s="275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66">
        <v>0</v>
      </c>
      <c r="Y98" s="267">
        <f t="shared" si="6"/>
        <v>0</v>
      </c>
      <c r="Z98" s="36">
        <f t="shared" si="7"/>
        <v>0</v>
      </c>
      <c r="AA98" s="56"/>
      <c r="AB98" s="57"/>
      <c r="AC98" s="132" t="s">
        <v>157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171</v>
      </c>
      <c r="B99" s="54" t="s">
        <v>172</v>
      </c>
      <c r="C99" s="31">
        <v>4301135768</v>
      </c>
      <c r="D99" s="274">
        <v>4620207491034</v>
      </c>
      <c r="E99" s="275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2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70</v>
      </c>
      <c r="X99" s="266">
        <v>0</v>
      </c>
      <c r="Y99" s="267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hidden="1" customHeight="1" x14ac:dyDescent="0.25">
      <c r="A100" s="54" t="s">
        <v>174</v>
      </c>
      <c r="B100" s="54" t="s">
        <v>175</v>
      </c>
      <c r="C100" s="31">
        <v>4301135760</v>
      </c>
      <c r="D100" s="274">
        <v>4620207491010</v>
      </c>
      <c r="E100" s="275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70</v>
      </c>
      <c r="X100" s="266">
        <v>0</v>
      </c>
      <c r="Y100" s="267">
        <f t="shared" si="6"/>
        <v>0</v>
      </c>
      <c r="Z100" s="36">
        <f t="shared" si="7"/>
        <v>0</v>
      </c>
      <c r="AA100" s="56"/>
      <c r="AB100" s="57"/>
      <c r="AC100" s="136" t="s">
        <v>157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176</v>
      </c>
      <c r="B101" s="54" t="s">
        <v>177</v>
      </c>
      <c r="C101" s="31">
        <v>4301135571</v>
      </c>
      <c r="D101" s="274">
        <v>4607111035028</v>
      </c>
      <c r="E101" s="275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37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70</v>
      </c>
      <c r="X101" s="266">
        <v>0</v>
      </c>
      <c r="Y101" s="267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178</v>
      </c>
      <c r="B102" s="54" t="s">
        <v>179</v>
      </c>
      <c r="C102" s="31">
        <v>4301135285</v>
      </c>
      <c r="D102" s="274">
        <v>4607111036407</v>
      </c>
      <c r="E102" s="275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0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70</v>
      </c>
      <c r="X102" s="266">
        <v>42</v>
      </c>
      <c r="Y102" s="267">
        <f t="shared" si="6"/>
        <v>42</v>
      </c>
      <c r="Z102" s="36">
        <f t="shared" si="7"/>
        <v>0.75095999999999996</v>
      </c>
      <c r="AA102" s="56"/>
      <c r="AB102" s="57"/>
      <c r="AC102" s="140" t="s">
        <v>180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190.22640000000001</v>
      </c>
      <c r="BN102" s="67">
        <f t="shared" si="9"/>
        <v>190.22640000000001</v>
      </c>
      <c r="BO102" s="67">
        <f t="shared" si="10"/>
        <v>0.6</v>
      </c>
      <c r="BP102" s="67">
        <f t="shared" si="11"/>
        <v>0.6</v>
      </c>
    </row>
    <row r="103" spans="1:68" x14ac:dyDescent="0.2">
      <c r="A103" s="283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4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112</v>
      </c>
      <c r="Y103" s="268">
        <f>IFERROR(SUM(Y97:Y102),"0")</f>
        <v>112</v>
      </c>
      <c r="Z103" s="268">
        <f>IFERROR(IF(Z97="",0,Z97),"0")+IFERROR(IF(Z98="",0,Z98),"0")+IFERROR(IF(Z99="",0,Z99),"0")+IFERROR(IF(Z100="",0,Z100),"0")+IFERROR(IF(Z101="",0,Z101),"0")+IFERROR(IF(Z102="",0,Z102),"0")</f>
        <v>2.0025599999999999</v>
      </c>
      <c r="AA103" s="269"/>
      <c r="AB103" s="269"/>
      <c r="AC103" s="269"/>
    </row>
    <row r="104" spans="1:68" x14ac:dyDescent="0.2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4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378</v>
      </c>
      <c r="Y104" s="268">
        <f>IFERROR(SUMPRODUCT(Y97:Y102*H97:H102),"0")</f>
        <v>378</v>
      </c>
      <c r="Z104" s="37"/>
      <c r="AA104" s="269"/>
      <c r="AB104" s="269"/>
      <c r="AC104" s="269"/>
    </row>
    <row r="105" spans="1:68" ht="16.5" hidden="1" customHeight="1" x14ac:dyDescent="0.25">
      <c r="A105" s="281" t="s">
        <v>181</v>
      </c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61"/>
      <c r="AB105" s="261"/>
      <c r="AC105" s="261"/>
    </row>
    <row r="106" spans="1:68" ht="14.25" hidden="1" customHeight="1" x14ac:dyDescent="0.25">
      <c r="A106" s="297" t="s">
        <v>131</v>
      </c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62"/>
      <c r="AB106" s="262"/>
      <c r="AC106" s="262"/>
    </row>
    <row r="107" spans="1:68" ht="27" hidden="1" customHeight="1" x14ac:dyDescent="0.25">
      <c r="A107" s="54" t="s">
        <v>182</v>
      </c>
      <c r="B107" s="54" t="s">
        <v>183</v>
      </c>
      <c r="C107" s="31">
        <v>4301136070</v>
      </c>
      <c r="D107" s="274">
        <v>4607025784012</v>
      </c>
      <c r="E107" s="275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70</v>
      </c>
      <c r="X107" s="266">
        <v>0</v>
      </c>
      <c r="Y107" s="26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185</v>
      </c>
      <c r="B108" s="54" t="s">
        <v>186</v>
      </c>
      <c r="C108" s="31">
        <v>4301136079</v>
      </c>
      <c r="D108" s="274">
        <v>4607025784319</v>
      </c>
      <c r="E108" s="275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6">
        <v>0</v>
      </c>
      <c r="Y108" s="267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83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4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0</v>
      </c>
      <c r="Y109" s="268">
        <f>IFERROR(SUM(Y107:Y108),"0")</f>
        <v>0</v>
      </c>
      <c r="Z109" s="268">
        <f>IFERROR(IF(Z107="",0,Z107),"0")+IFERROR(IF(Z108="",0,Z108),"0")</f>
        <v>0</v>
      </c>
      <c r="AA109" s="269"/>
      <c r="AB109" s="269"/>
      <c r="AC109" s="269"/>
    </row>
    <row r="110" spans="1:68" hidden="1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4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0</v>
      </c>
      <c r="Y110" s="268">
        <f>IFERROR(SUMPRODUCT(Y107:Y108*H107:H108),"0")</f>
        <v>0</v>
      </c>
      <c r="Z110" s="37"/>
      <c r="AA110" s="269"/>
      <c r="AB110" s="269"/>
      <c r="AC110" s="269"/>
    </row>
    <row r="111" spans="1:68" ht="16.5" hidden="1" customHeight="1" x14ac:dyDescent="0.25">
      <c r="A111" s="281" t="s">
        <v>187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61"/>
      <c r="AB111" s="261"/>
      <c r="AC111" s="261"/>
    </row>
    <row r="112" spans="1:68" ht="14.25" hidden="1" customHeight="1" x14ac:dyDescent="0.25">
      <c r="A112" s="297" t="s">
        <v>64</v>
      </c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62"/>
      <c r="AB112" s="262"/>
      <c r="AC112" s="262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4">
        <v>4620207491157</v>
      </c>
      <c r="E113" s="275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3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66">
        <v>48</v>
      </c>
      <c r="Y113" s="267">
        <f t="shared" ref="Y113:Y119" si="12">IFERROR(IF(X113="","",X113),"")</f>
        <v>48</v>
      </c>
      <c r="Z113" s="36">
        <f t="shared" ref="Z113:Z119" si="13">IFERROR(IF(X113="","",X113*0.0155),"")</f>
        <v>0.74399999999999999</v>
      </c>
      <c r="AA113" s="56"/>
      <c r="AB113" s="57"/>
      <c r="AC113" s="146" t="s">
        <v>190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349.44</v>
      </c>
      <c r="BN113" s="67">
        <f t="shared" ref="BN113:BN119" si="15">IFERROR(Y113*I113,"0")</f>
        <v>349.44</v>
      </c>
      <c r="BO113" s="67">
        <f t="shared" ref="BO113:BO119" si="16">IFERROR(X113/J113,"0")</f>
        <v>0.5714285714285714</v>
      </c>
      <c r="BP113" s="67">
        <f t="shared" ref="BP113:BP119" si="17">IFERROR(Y113/J113,"0")</f>
        <v>0.5714285714285714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4301071121</v>
      </c>
      <c r="D114" s="274">
        <v>4620207491393</v>
      </c>
      <c r="E114" s="275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8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70</v>
      </c>
      <c r="X115" s="266">
        <v>0</v>
      </c>
      <c r="Y115" s="267">
        <f t="shared" si="12"/>
        <v>0</v>
      </c>
      <c r="Z115" s="36">
        <f t="shared" si="13"/>
        <v>0</v>
      </c>
      <c r="AA115" s="56"/>
      <c r="AB115" s="57"/>
      <c r="AC115" s="150" t="s">
        <v>151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6">
        <v>36</v>
      </c>
      <c r="Y116" s="267">
        <f t="shared" si="12"/>
        <v>36</v>
      </c>
      <c r="Z116" s="36">
        <f t="shared" si="13"/>
        <v>0.55800000000000005</v>
      </c>
      <c r="AA116" s="56"/>
      <c r="AB116" s="57"/>
      <c r="AC116" s="152" t="s">
        <v>151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70</v>
      </c>
      <c r="X118" s="266">
        <v>0</v>
      </c>
      <c r="Y118" s="267">
        <f t="shared" si="12"/>
        <v>0</v>
      </c>
      <c r="Z118" s="36">
        <f t="shared" si="13"/>
        <v>0</v>
      </c>
      <c r="AA118" s="56"/>
      <c r="AB118" s="57"/>
      <c r="AC118" s="156" t="s">
        <v>151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3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70</v>
      </c>
      <c r="X119" s="266">
        <v>48</v>
      </c>
      <c r="Y119" s="267">
        <f t="shared" si="12"/>
        <v>48</v>
      </c>
      <c r="Z119" s="36">
        <f t="shared" si="13"/>
        <v>0.74399999999999999</v>
      </c>
      <c r="AA119" s="56"/>
      <c r="AB119" s="57"/>
      <c r="AC119" s="158" t="s">
        <v>151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350.4</v>
      </c>
      <c r="BN119" s="67">
        <f t="shared" si="15"/>
        <v>350.4</v>
      </c>
      <c r="BO119" s="67">
        <f t="shared" si="16"/>
        <v>0.5714285714285714</v>
      </c>
      <c r="BP119" s="67">
        <f t="shared" si="17"/>
        <v>0.5714285714285714</v>
      </c>
    </row>
    <row r="120" spans="1:68" x14ac:dyDescent="0.2">
      <c r="A120" s="283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4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132</v>
      </c>
      <c r="Y120" s="268">
        <f>IFERROR(SUM(Y113:Y119),"0")</f>
        <v>132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2.0460000000000003</v>
      </c>
      <c r="AA120" s="269"/>
      <c r="AB120" s="269"/>
      <c r="AC120" s="269"/>
    </row>
    <row r="121" spans="1:68" x14ac:dyDescent="0.2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4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924</v>
      </c>
      <c r="Y121" s="268">
        <f>IFERROR(SUMPRODUCT(Y113:Y119*H113:H119),"0")</f>
        <v>924</v>
      </c>
      <c r="Z121" s="37"/>
      <c r="AA121" s="269"/>
      <c r="AB121" s="269"/>
      <c r="AC121" s="269"/>
    </row>
    <row r="122" spans="1:68" ht="14.25" hidden="1" customHeight="1" x14ac:dyDescent="0.25">
      <c r="A122" s="297" t="s">
        <v>137</v>
      </c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262"/>
      <c r="AB122" s="262"/>
      <c r="AC122" s="262"/>
    </row>
    <row r="123" spans="1:68" ht="27" hidden="1" customHeight="1" x14ac:dyDescent="0.25">
      <c r="A123" s="54" t="s">
        <v>205</v>
      </c>
      <c r="B123" s="54" t="s">
        <v>206</v>
      </c>
      <c r="C123" s="31">
        <v>4301135670</v>
      </c>
      <c r="D123" s="274">
        <v>4620207490983</v>
      </c>
      <c r="E123" s="275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97</v>
      </c>
      <c r="M123" s="33" t="s">
        <v>69</v>
      </c>
      <c r="N123" s="33"/>
      <c r="O123" s="32">
        <v>180</v>
      </c>
      <c r="P123" s="430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207</v>
      </c>
      <c r="AG123" s="67"/>
      <c r="AJ123" s="71" t="s">
        <v>99</v>
      </c>
      <c r="AK123" s="71">
        <v>14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hidden="1" customHeight="1" x14ac:dyDescent="0.25">
      <c r="A124" s="54" t="s">
        <v>208</v>
      </c>
      <c r="B124" s="54" t="s">
        <v>209</v>
      </c>
      <c r="C124" s="31">
        <v>4301135826</v>
      </c>
      <c r="D124" s="274">
        <v>4620207490983</v>
      </c>
      <c r="E124" s="275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68</v>
      </c>
      <c r="M124" s="33" t="s">
        <v>69</v>
      </c>
      <c r="N124" s="33"/>
      <c r="O124" s="32">
        <v>180</v>
      </c>
      <c r="P124" s="45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6"/>
      <c r="R124" s="286"/>
      <c r="S124" s="286"/>
      <c r="T124" s="287"/>
      <c r="U124" s="34"/>
      <c r="V124" s="34"/>
      <c r="W124" s="35" t="s">
        <v>70</v>
      </c>
      <c r="X124" s="266">
        <v>0</v>
      </c>
      <c r="Y124" s="267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72</v>
      </c>
      <c r="AK124" s="71">
        <v>1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83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4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0</v>
      </c>
      <c r="Y125" s="268">
        <f>IFERROR(SUM(Y123:Y124),"0")</f>
        <v>0</v>
      </c>
      <c r="Z125" s="268">
        <f>IFERROR(IF(Z123="",0,Z123),"0")+IFERROR(IF(Z124="",0,Z124),"0")</f>
        <v>0</v>
      </c>
      <c r="AA125" s="269"/>
      <c r="AB125" s="269"/>
      <c r="AC125" s="269"/>
    </row>
    <row r="126" spans="1:68" hidden="1" x14ac:dyDescent="0.2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4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0</v>
      </c>
      <c r="Y126" s="268">
        <f>IFERROR(SUMPRODUCT(Y123:Y124*H123:H124),"0")</f>
        <v>0</v>
      </c>
      <c r="Z126" s="37"/>
      <c r="AA126" s="269"/>
      <c r="AB126" s="269"/>
      <c r="AC126" s="269"/>
    </row>
    <row r="127" spans="1:68" ht="14.25" hidden="1" customHeight="1" x14ac:dyDescent="0.25">
      <c r="A127" s="297" t="s">
        <v>211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hidden="1" customHeight="1" x14ac:dyDescent="0.25">
      <c r="A128" s="54" t="s">
        <v>212</v>
      </c>
      <c r="B128" s="54" t="s">
        <v>213</v>
      </c>
      <c r="C128" s="31">
        <v>4301071094</v>
      </c>
      <c r="D128" s="274">
        <v>4620207491140</v>
      </c>
      <c r="E128" s="275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1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6"/>
      <c r="R128" s="286"/>
      <c r="S128" s="286"/>
      <c r="T128" s="287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3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4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hidden="1" x14ac:dyDescent="0.2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4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hidden="1" customHeight="1" x14ac:dyDescent="0.25">
      <c r="A131" s="281" t="s">
        <v>215</v>
      </c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261"/>
      <c r="AB131" s="261"/>
      <c r="AC131" s="261"/>
    </row>
    <row r="132" spans="1:68" ht="14.25" hidden="1" customHeight="1" x14ac:dyDescent="0.25">
      <c r="A132" s="297" t="s">
        <v>137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2"/>
      <c r="AB132" s="262"/>
      <c r="AC132" s="262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4">
        <v>4607111034014</v>
      </c>
      <c r="E133" s="275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6">
        <v>70</v>
      </c>
      <c r="Y133" s="267">
        <f>IFERROR(IF(X133="","",X133),"")</f>
        <v>70</v>
      </c>
      <c r="Z133" s="36">
        <f>IFERROR(IF(X133="","",X133*0.01788),"")</f>
        <v>1.2516</v>
      </c>
      <c r="AA133" s="56"/>
      <c r="AB133" s="57"/>
      <c r="AC133" s="166" t="s">
        <v>218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259.25200000000001</v>
      </c>
      <c r="BN133" s="67">
        <f>IFERROR(Y133*I133,"0")</f>
        <v>259.25200000000001</v>
      </c>
      <c r="BO133" s="67">
        <f>IFERROR(X133/J133,"0")</f>
        <v>1</v>
      </c>
      <c r="BP133" s="67">
        <f>IFERROR(Y133/J133,"0")</f>
        <v>1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4">
        <v>4607111033994</v>
      </c>
      <c r="E134" s="275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140</v>
      </c>
      <c r="M134" s="33" t="s">
        <v>69</v>
      </c>
      <c r="N134" s="33"/>
      <c r="O134" s="32">
        <v>180</v>
      </c>
      <c r="P134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6"/>
      <c r="R134" s="286"/>
      <c r="S134" s="286"/>
      <c r="T134" s="287"/>
      <c r="U134" s="34"/>
      <c r="V134" s="34"/>
      <c r="W134" s="35" t="s">
        <v>70</v>
      </c>
      <c r="X134" s="266">
        <v>70</v>
      </c>
      <c r="Y134" s="267">
        <f>IFERROR(IF(X134="","",X134),"")</f>
        <v>70</v>
      </c>
      <c r="Z134" s="36">
        <f>IFERROR(IF(X134="","",X134*0.01788),"")</f>
        <v>1.2516</v>
      </c>
      <c r="AA134" s="56"/>
      <c r="AB134" s="57"/>
      <c r="AC134" s="168" t="s">
        <v>157</v>
      </c>
      <c r="AG134" s="67"/>
      <c r="AJ134" s="71" t="s">
        <v>141</v>
      </c>
      <c r="AK134" s="71">
        <v>70</v>
      </c>
      <c r="BB134" s="169" t="s">
        <v>100</v>
      </c>
      <c r="BM134" s="67">
        <f>IFERROR(X134*I134,"0")</f>
        <v>259.25200000000001</v>
      </c>
      <c r="BN134" s="67">
        <f>IFERROR(Y134*I134,"0")</f>
        <v>259.25200000000001</v>
      </c>
      <c r="BO134" s="67">
        <f>IFERROR(X134/J134,"0")</f>
        <v>1</v>
      </c>
      <c r="BP134" s="67">
        <f>IFERROR(Y134/J134,"0")</f>
        <v>1</v>
      </c>
    </row>
    <row r="135" spans="1:68" x14ac:dyDescent="0.2">
      <c r="A135" s="283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4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140</v>
      </c>
      <c r="Y135" s="268">
        <f>IFERROR(SUM(Y133:Y134),"0")</f>
        <v>140</v>
      </c>
      <c r="Z135" s="268">
        <f>IFERROR(IF(Z133="",0,Z133),"0")+IFERROR(IF(Z134="",0,Z134),"0")</f>
        <v>2.5032000000000001</v>
      </c>
      <c r="AA135" s="269"/>
      <c r="AB135" s="269"/>
      <c r="AC135" s="269"/>
    </row>
    <row r="136" spans="1:68" x14ac:dyDescent="0.2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4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420</v>
      </c>
      <c r="Y136" s="268">
        <f>IFERROR(SUMPRODUCT(Y133:Y134*H133:H134),"0")</f>
        <v>420</v>
      </c>
      <c r="Z136" s="37"/>
      <c r="AA136" s="269"/>
      <c r="AB136" s="269"/>
      <c r="AC136" s="269"/>
    </row>
    <row r="137" spans="1:68" ht="16.5" hidden="1" customHeight="1" x14ac:dyDescent="0.25">
      <c r="A137" s="281" t="s">
        <v>221</v>
      </c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61"/>
      <c r="AB137" s="261"/>
      <c r="AC137" s="261"/>
    </row>
    <row r="138" spans="1:68" ht="14.25" hidden="1" customHeight="1" x14ac:dyDescent="0.25">
      <c r="A138" s="297" t="s">
        <v>137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2"/>
      <c r="AB138" s="262"/>
      <c r="AC138" s="262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4">
        <v>4607111039095</v>
      </c>
      <c r="E139" s="275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38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6">
        <v>28</v>
      </c>
      <c r="Y139" s="267">
        <f>IFERROR(IF(X139="","",X139),"")</f>
        <v>28</v>
      </c>
      <c r="Z139" s="36">
        <f>IFERROR(IF(X139="","",X139*0.01788),"")</f>
        <v>0.50063999999999997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104.944</v>
      </c>
      <c r="BN139" s="67">
        <f>IFERROR(Y139*I139,"0")</f>
        <v>104.944</v>
      </c>
      <c r="BO139" s="67">
        <f>IFERROR(X139/J139,"0")</f>
        <v>0.4</v>
      </c>
      <c r="BP139" s="67">
        <f>IFERROR(Y139/J139,"0")</f>
        <v>0.4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4">
        <v>4607111034199</v>
      </c>
      <c r="E140" s="275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6"/>
      <c r="R140" s="286"/>
      <c r="S140" s="286"/>
      <c r="T140" s="287"/>
      <c r="U140" s="34"/>
      <c r="V140" s="34"/>
      <c r="W140" s="35" t="s">
        <v>70</v>
      </c>
      <c r="X140" s="266">
        <v>42</v>
      </c>
      <c r="Y140" s="267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155.55119999999999</v>
      </c>
      <c r="BN140" s="67">
        <f>IFERROR(Y140*I140,"0")</f>
        <v>155.55119999999999</v>
      </c>
      <c r="BO140" s="67">
        <f>IFERROR(X140/J140,"0")</f>
        <v>0.6</v>
      </c>
      <c r="BP140" s="67">
        <f>IFERROR(Y140/J140,"0")</f>
        <v>0.6</v>
      </c>
    </row>
    <row r="141" spans="1:68" x14ac:dyDescent="0.2">
      <c r="A141" s="283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4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70</v>
      </c>
      <c r="Y141" s="268">
        <f>IFERROR(SUM(Y139:Y140),"0")</f>
        <v>70</v>
      </c>
      <c r="Z141" s="268">
        <f>IFERROR(IF(Z139="",0,Z139),"0")+IFERROR(IF(Z140="",0,Z140),"0")</f>
        <v>1.2515999999999998</v>
      </c>
      <c r="AA141" s="269"/>
      <c r="AB141" s="269"/>
      <c r="AC141" s="269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4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210</v>
      </c>
      <c r="Y142" s="268">
        <f>IFERROR(SUMPRODUCT(Y139:Y140*H139:H140),"0")</f>
        <v>210</v>
      </c>
      <c r="Z142" s="37"/>
      <c r="AA142" s="269"/>
      <c r="AB142" s="269"/>
      <c r="AC142" s="269"/>
    </row>
    <row r="143" spans="1:68" ht="16.5" hidden="1" customHeight="1" x14ac:dyDescent="0.25">
      <c r="A143" s="281" t="s">
        <v>228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1"/>
      <c r="AB143" s="261"/>
      <c r="AC143" s="261"/>
    </row>
    <row r="144" spans="1:68" ht="14.25" hidden="1" customHeight="1" x14ac:dyDescent="0.25">
      <c r="A144" s="297" t="s">
        <v>137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4">
        <v>4620207490914</v>
      </c>
      <c r="E145" s="275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66">
        <v>42</v>
      </c>
      <c r="Y145" s="267">
        <f>IFERROR(IF(X145="","",X145),"")</f>
        <v>42</v>
      </c>
      <c r="Z145" s="36">
        <f>IFERROR(IF(X145="","",X145*0.01788),"")</f>
        <v>0.75095999999999996</v>
      </c>
      <c r="AA145" s="56"/>
      <c r="AB145" s="57"/>
      <c r="AC145" s="174" t="s">
        <v>218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112.56</v>
      </c>
      <c r="BN145" s="67">
        <f>IFERROR(Y145*I145,"0")</f>
        <v>112.56</v>
      </c>
      <c r="BO145" s="67">
        <f>IFERROR(X145/J145,"0")</f>
        <v>0.6</v>
      </c>
      <c r="BP145" s="67">
        <f>IFERROR(Y145/J145,"0")</f>
        <v>0.6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4">
        <v>4620207490853</v>
      </c>
      <c r="E146" s="275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97</v>
      </c>
      <c r="M146" s="33" t="s">
        <v>69</v>
      </c>
      <c r="N146" s="33"/>
      <c r="O146" s="32">
        <v>180</v>
      </c>
      <c r="P146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6"/>
      <c r="R146" s="286"/>
      <c r="S146" s="286"/>
      <c r="T146" s="287"/>
      <c r="U146" s="34"/>
      <c r="V146" s="34"/>
      <c r="W146" s="35" t="s">
        <v>70</v>
      </c>
      <c r="X146" s="266">
        <v>42</v>
      </c>
      <c r="Y146" s="267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218</v>
      </c>
      <c r="AG146" s="67"/>
      <c r="AJ146" s="71" t="s">
        <v>99</v>
      </c>
      <c r="AK146" s="71">
        <v>14</v>
      </c>
      <c r="BB146" s="177" t="s">
        <v>100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x14ac:dyDescent="0.2">
      <c r="A147" s="283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4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84</v>
      </c>
      <c r="Y147" s="268">
        <f>IFERROR(SUM(Y145:Y146),"0")</f>
        <v>84</v>
      </c>
      <c r="Z147" s="268">
        <f>IFERROR(IF(Z145="",0,Z145),"0")+IFERROR(IF(Z146="",0,Z146),"0")</f>
        <v>1.5019199999999999</v>
      </c>
      <c r="AA147" s="269"/>
      <c r="AB147" s="269"/>
      <c r="AC147" s="269"/>
    </row>
    <row r="148" spans="1:68" x14ac:dyDescent="0.2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4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201.6</v>
      </c>
      <c r="Y148" s="268">
        <f>IFERROR(SUMPRODUCT(Y145:Y146*H145:H146),"0")</f>
        <v>201.6</v>
      </c>
      <c r="Z148" s="37"/>
      <c r="AA148" s="269"/>
      <c r="AB148" s="269"/>
      <c r="AC148" s="269"/>
    </row>
    <row r="149" spans="1:68" ht="16.5" hidden="1" customHeight="1" x14ac:dyDescent="0.25">
      <c r="A149" s="281" t="s">
        <v>233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1"/>
      <c r="AB149" s="261"/>
      <c r="AC149" s="261"/>
    </row>
    <row r="150" spans="1:68" ht="14.25" hidden="1" customHeight="1" x14ac:dyDescent="0.25">
      <c r="A150" s="297" t="s">
        <v>137</v>
      </c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  <c r="AA150" s="262"/>
      <c r="AB150" s="262"/>
      <c r="AC150" s="262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4">
        <v>4607111035806</v>
      </c>
      <c r="E151" s="275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6"/>
      <c r="R151" s="286"/>
      <c r="S151" s="286"/>
      <c r="T151" s="287"/>
      <c r="U151" s="34"/>
      <c r="V151" s="34"/>
      <c r="W151" s="35" t="s">
        <v>70</v>
      </c>
      <c r="X151" s="266">
        <v>28</v>
      </c>
      <c r="Y151" s="267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103.70079999999999</v>
      </c>
      <c r="BN151" s="67">
        <f>IFERROR(Y151*I151,"0")</f>
        <v>103.70079999999999</v>
      </c>
      <c r="BO151" s="67">
        <f>IFERROR(X151/J151,"0")</f>
        <v>0.4</v>
      </c>
      <c r="BP151" s="67">
        <f>IFERROR(Y151/J151,"0")</f>
        <v>0.4</v>
      </c>
    </row>
    <row r="152" spans="1:68" x14ac:dyDescent="0.2">
      <c r="A152" s="283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4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28</v>
      </c>
      <c r="Y152" s="268">
        <f>IFERROR(SUM(Y151:Y151),"0")</f>
        <v>28</v>
      </c>
      <c r="Z152" s="268">
        <f>IFERROR(IF(Z151="",0,Z151),"0")</f>
        <v>0.50063999999999997</v>
      </c>
      <c r="AA152" s="269"/>
      <c r="AB152" s="269"/>
      <c r="AC152" s="269"/>
    </row>
    <row r="153" spans="1:68" x14ac:dyDescent="0.2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4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84</v>
      </c>
      <c r="Y153" s="268">
        <f>IFERROR(SUMPRODUCT(Y151:Y151*H151:H151),"0")</f>
        <v>84</v>
      </c>
      <c r="Z153" s="37"/>
      <c r="AA153" s="269"/>
      <c r="AB153" s="269"/>
      <c r="AC153" s="269"/>
    </row>
    <row r="154" spans="1:68" ht="16.5" hidden="1" customHeight="1" x14ac:dyDescent="0.25">
      <c r="A154" s="281" t="s">
        <v>237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1"/>
      <c r="AB154" s="261"/>
      <c r="AC154" s="261"/>
    </row>
    <row r="155" spans="1:68" ht="14.25" hidden="1" customHeight="1" x14ac:dyDescent="0.25">
      <c r="A155" s="297" t="s">
        <v>137</v>
      </c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  <c r="AA155" s="262"/>
      <c r="AB155" s="262"/>
      <c r="AC155" s="262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74">
        <v>4607111039613</v>
      </c>
      <c r="E156" s="275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97</v>
      </c>
      <c r="M156" s="33" t="s">
        <v>69</v>
      </c>
      <c r="N156" s="33"/>
      <c r="O156" s="32">
        <v>180</v>
      </c>
      <c r="P156" s="38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6"/>
      <c r="R156" s="286"/>
      <c r="S156" s="286"/>
      <c r="T156" s="287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99</v>
      </c>
      <c r="AK156" s="71">
        <v>14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83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4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hidden="1" x14ac:dyDescent="0.2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4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hidden="1" customHeight="1" x14ac:dyDescent="0.25">
      <c r="A159" s="281" t="s">
        <v>240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1"/>
      <c r="AB159" s="261"/>
      <c r="AC159" s="261"/>
    </row>
    <row r="160" spans="1:68" ht="14.25" hidden="1" customHeight="1" x14ac:dyDescent="0.25">
      <c r="A160" s="297" t="s">
        <v>211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4">
        <v>4607111035646</v>
      </c>
      <c r="E161" s="275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97</v>
      </c>
      <c r="M161" s="33" t="s">
        <v>69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6"/>
      <c r="R161" s="286"/>
      <c r="S161" s="286"/>
      <c r="T161" s="287"/>
      <c r="U161" s="34"/>
      <c r="V161" s="34"/>
      <c r="W161" s="35" t="s">
        <v>70</v>
      </c>
      <c r="X161" s="266">
        <v>24</v>
      </c>
      <c r="Y161" s="267">
        <f>IFERROR(IF(X161="","",X161),"")</f>
        <v>24</v>
      </c>
      <c r="Z161" s="36">
        <f>IFERROR(IF(X161="","",X161*0.01157),"")</f>
        <v>0.27768000000000004</v>
      </c>
      <c r="AA161" s="56"/>
      <c r="AB161" s="57"/>
      <c r="AC161" s="182" t="s">
        <v>244</v>
      </c>
      <c r="AG161" s="67"/>
      <c r="AJ161" s="71" t="s">
        <v>99</v>
      </c>
      <c r="AK161" s="71">
        <v>6</v>
      </c>
      <c r="BB161" s="183" t="s">
        <v>100</v>
      </c>
      <c r="BM161" s="67">
        <f>IFERROR(X161*I161,"0")</f>
        <v>50.88</v>
      </c>
      <c r="BN161" s="67">
        <f>IFERROR(Y161*I161,"0")</f>
        <v>50.88</v>
      </c>
      <c r="BO161" s="67">
        <f>IFERROR(X161/J161,"0")</f>
        <v>0.33333333333333331</v>
      </c>
      <c r="BP161" s="67">
        <f>IFERROR(Y161/J161,"0")</f>
        <v>0.33333333333333331</v>
      </c>
    </row>
    <row r="162" spans="1:68" x14ac:dyDescent="0.2">
      <c r="A162" s="283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4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24</v>
      </c>
      <c r="Y162" s="268">
        <f>IFERROR(SUM(Y161:Y161),"0")</f>
        <v>24</v>
      </c>
      <c r="Z162" s="268">
        <f>IFERROR(IF(Z161="",0,Z161),"0")</f>
        <v>0.27768000000000004</v>
      </c>
      <c r="AA162" s="269"/>
      <c r="AB162" s="269"/>
      <c r="AC162" s="269"/>
    </row>
    <row r="163" spans="1:68" x14ac:dyDescent="0.2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4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38.400000000000006</v>
      </c>
      <c r="Y163" s="268">
        <f>IFERROR(SUMPRODUCT(Y161:Y161*H161:H161),"0")</f>
        <v>38.400000000000006</v>
      </c>
      <c r="Z163" s="37"/>
      <c r="AA163" s="269"/>
      <c r="AB163" s="269"/>
      <c r="AC163" s="269"/>
    </row>
    <row r="164" spans="1:68" ht="16.5" hidden="1" customHeight="1" x14ac:dyDescent="0.25">
      <c r="A164" s="281" t="s">
        <v>245</v>
      </c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  <c r="AA164" s="261"/>
      <c r="AB164" s="261"/>
      <c r="AC164" s="261"/>
    </row>
    <row r="165" spans="1:68" ht="14.25" hidden="1" customHeight="1" x14ac:dyDescent="0.25">
      <c r="A165" s="297" t="s">
        <v>137</v>
      </c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  <c r="AA165" s="262"/>
      <c r="AB165" s="262"/>
      <c r="AC165" s="262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4">
        <v>4607111036568</v>
      </c>
      <c r="E166" s="275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1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6"/>
      <c r="R166" s="286"/>
      <c r="S166" s="286"/>
      <c r="T166" s="287"/>
      <c r="U166" s="34"/>
      <c r="V166" s="34"/>
      <c r="W166" s="35" t="s">
        <v>70</v>
      </c>
      <c r="X166" s="266">
        <v>70</v>
      </c>
      <c r="Y166" s="267">
        <f>IFERROR(IF(X166="","",X166),"")</f>
        <v>70</v>
      </c>
      <c r="Z166" s="36">
        <f>IFERROR(IF(X166="","",X166*0.00941),"")</f>
        <v>0.65869999999999995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147.126</v>
      </c>
      <c r="BN166" s="67">
        <f>IFERROR(Y166*I166,"0")</f>
        <v>147.126</v>
      </c>
      <c r="BO166" s="67">
        <f>IFERROR(X166/J166,"0")</f>
        <v>0.5</v>
      </c>
      <c r="BP166" s="67">
        <f>IFERROR(Y166/J166,"0")</f>
        <v>0.5</v>
      </c>
    </row>
    <row r="167" spans="1:68" x14ac:dyDescent="0.2">
      <c r="A167" s="283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4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70</v>
      </c>
      <c r="Y167" s="268">
        <f>IFERROR(SUM(Y166:Y166),"0")</f>
        <v>70</v>
      </c>
      <c r="Z167" s="268">
        <f>IFERROR(IF(Z166="",0,Z166),"0")</f>
        <v>0.65869999999999995</v>
      </c>
      <c r="AA167" s="269"/>
      <c r="AB167" s="269"/>
      <c r="AC167" s="269"/>
    </row>
    <row r="168" spans="1:68" x14ac:dyDescent="0.2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4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117.6</v>
      </c>
      <c r="Y168" s="268">
        <f>IFERROR(SUMPRODUCT(Y166:Y166*H166:H166),"0")</f>
        <v>117.6</v>
      </c>
      <c r="Z168" s="37"/>
      <c r="AA168" s="269"/>
      <c r="AB168" s="269"/>
      <c r="AC168" s="269"/>
    </row>
    <row r="169" spans="1:68" ht="27.75" hidden="1" customHeight="1" x14ac:dyDescent="0.2">
      <c r="A169" s="279" t="s">
        <v>249</v>
      </c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  <c r="AA169" s="48"/>
      <c r="AB169" s="48"/>
      <c r="AC169" s="48"/>
    </row>
    <row r="170" spans="1:68" ht="16.5" hidden="1" customHeight="1" x14ac:dyDescent="0.25">
      <c r="A170" s="281" t="s">
        <v>250</v>
      </c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261"/>
      <c r="AB170" s="261"/>
      <c r="AC170" s="261"/>
    </row>
    <row r="171" spans="1:68" ht="14.25" hidden="1" customHeight="1" x14ac:dyDescent="0.25">
      <c r="A171" s="297" t="s">
        <v>64</v>
      </c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262"/>
      <c r="AB171" s="262"/>
      <c r="AC171" s="262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74">
        <v>4607111036384</v>
      </c>
      <c r="E172" s="275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8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6"/>
      <c r="R172" s="286"/>
      <c r="S172" s="286"/>
      <c r="T172" s="287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74">
        <v>4607111036216</v>
      </c>
      <c r="E173" s="275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6"/>
      <c r="R173" s="286"/>
      <c r="S173" s="286"/>
      <c r="T173" s="287"/>
      <c r="U173" s="34"/>
      <c r="V173" s="34"/>
      <c r="W173" s="35" t="s">
        <v>70</v>
      </c>
      <c r="X173" s="266">
        <v>0</v>
      </c>
      <c r="Y173" s="267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83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4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0</v>
      </c>
      <c r="Y174" s="268">
        <f>IFERROR(SUM(Y172:Y173),"0")</f>
        <v>0</v>
      </c>
      <c r="Z174" s="268">
        <f>IFERROR(IF(Z172="",0,Z172),"0")+IFERROR(IF(Z173="",0,Z173),"0")</f>
        <v>0</v>
      </c>
      <c r="AA174" s="269"/>
      <c r="AB174" s="269"/>
      <c r="AC174" s="269"/>
    </row>
    <row r="175" spans="1:68" hidden="1" x14ac:dyDescent="0.2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4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0</v>
      </c>
      <c r="Y175" s="268">
        <f>IFERROR(SUMPRODUCT(Y172:Y173*H172:H173),"0")</f>
        <v>0</v>
      </c>
      <c r="Z175" s="37"/>
      <c r="AA175" s="269"/>
      <c r="AB175" s="269"/>
      <c r="AC175" s="269"/>
    </row>
    <row r="176" spans="1:68" ht="27.75" hidden="1" customHeight="1" x14ac:dyDescent="0.2">
      <c r="A176" s="279" t="s">
        <v>257</v>
      </c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  <c r="AA176" s="48"/>
      <c r="AB176" s="48"/>
      <c r="AC176" s="48"/>
    </row>
    <row r="177" spans="1:68" ht="16.5" hidden="1" customHeight="1" x14ac:dyDescent="0.25">
      <c r="A177" s="281" t="s">
        <v>258</v>
      </c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61"/>
      <c r="AB177" s="261"/>
      <c r="AC177" s="261"/>
    </row>
    <row r="178" spans="1:68" ht="14.25" hidden="1" customHeight="1" x14ac:dyDescent="0.25">
      <c r="A178" s="297" t="s">
        <v>93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2"/>
      <c r="AB178" s="262"/>
      <c r="AC178" s="262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4">
        <v>4607111035691</v>
      </c>
      <c r="E179" s="275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6"/>
      <c r="R179" s="286"/>
      <c r="S179" s="286"/>
      <c r="T179" s="287"/>
      <c r="U179" s="34"/>
      <c r="V179" s="34"/>
      <c r="W179" s="35" t="s">
        <v>70</v>
      </c>
      <c r="X179" s="266">
        <v>42</v>
      </c>
      <c r="Y179" s="267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142.29599999999999</v>
      </c>
      <c r="BN179" s="67">
        <f>IFERROR(Y179*I179,"0")</f>
        <v>142.29599999999999</v>
      </c>
      <c r="BO179" s="67">
        <f>IFERROR(X179/J179,"0")</f>
        <v>0.6</v>
      </c>
      <c r="BP179" s="67">
        <f>IFERROR(Y179/J179,"0")</f>
        <v>0.6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4">
        <v>4607111035721</v>
      </c>
      <c r="E180" s="275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6"/>
      <c r="R180" s="286"/>
      <c r="S180" s="286"/>
      <c r="T180" s="287"/>
      <c r="U180" s="34"/>
      <c r="V180" s="34"/>
      <c r="W180" s="35" t="s">
        <v>70</v>
      </c>
      <c r="X180" s="266">
        <v>42</v>
      </c>
      <c r="Y180" s="267">
        <f>IFERROR(IF(X180="","",X180),"")</f>
        <v>42</v>
      </c>
      <c r="Z180" s="36">
        <f>IFERROR(IF(X180="","",X180*0.01788),"")</f>
        <v>0.75095999999999996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142.29599999999999</v>
      </c>
      <c r="BN180" s="67">
        <f>IFERROR(Y180*I180,"0")</f>
        <v>142.29599999999999</v>
      </c>
      <c r="BO180" s="67">
        <f>IFERROR(X180/J180,"0")</f>
        <v>0.6</v>
      </c>
      <c r="BP180" s="67">
        <f>IFERROR(Y180/J180,"0")</f>
        <v>0.6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4">
        <v>4607111038487</v>
      </c>
      <c r="E181" s="275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6"/>
      <c r="R181" s="286"/>
      <c r="S181" s="286"/>
      <c r="T181" s="287"/>
      <c r="U181" s="34"/>
      <c r="V181" s="34"/>
      <c r="W181" s="35" t="s">
        <v>70</v>
      </c>
      <c r="X181" s="266">
        <v>42</v>
      </c>
      <c r="Y181" s="267">
        <f>IFERROR(IF(X181="","",X181),"")</f>
        <v>42</v>
      </c>
      <c r="Z181" s="36">
        <f>IFERROR(IF(X181="","",X181*0.01788),"")</f>
        <v>0.75095999999999996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156.91200000000001</v>
      </c>
      <c r="BN181" s="67">
        <f>IFERROR(Y181*I181,"0")</f>
        <v>156.91200000000001</v>
      </c>
      <c r="BO181" s="67">
        <f>IFERROR(X181/J181,"0")</f>
        <v>0.6</v>
      </c>
      <c r="BP181" s="67">
        <f>IFERROR(Y181/J181,"0")</f>
        <v>0.6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4301132243</v>
      </c>
      <c r="D182" s="274">
        <v>4620207491195</v>
      </c>
      <c r="E182" s="275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86"/>
      <c r="R182" s="286"/>
      <c r="S182" s="286"/>
      <c r="T182" s="287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3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4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126</v>
      </c>
      <c r="Y183" s="268">
        <f>IFERROR(SUM(Y179:Y182),"0")</f>
        <v>126</v>
      </c>
      <c r="Z183" s="268">
        <f>IFERROR(IF(Z179="",0,Z179),"0")+IFERROR(IF(Z180="",0,Z180),"0")+IFERROR(IF(Z181="",0,Z181),"0")+IFERROR(IF(Z182="",0,Z182),"0")</f>
        <v>2.2528799999999998</v>
      </c>
      <c r="AA183" s="269"/>
      <c r="AB183" s="269"/>
      <c r="AC183" s="269"/>
    </row>
    <row r="184" spans="1:68" x14ac:dyDescent="0.2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4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378</v>
      </c>
      <c r="Y184" s="268">
        <f>IFERROR(SUMPRODUCT(Y179:Y182*H179:H182),"0")</f>
        <v>378</v>
      </c>
      <c r="Z184" s="37"/>
      <c r="AA184" s="269"/>
      <c r="AB184" s="269"/>
      <c r="AC184" s="269"/>
    </row>
    <row r="185" spans="1:68" ht="14.25" hidden="1" customHeight="1" x14ac:dyDescent="0.25">
      <c r="A185" s="297" t="s">
        <v>271</v>
      </c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262"/>
      <c r="AB185" s="262"/>
      <c r="AC185" s="262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26" t="s">
        <v>276</v>
      </c>
      <c r="Q186" s="286"/>
      <c r="R186" s="286"/>
      <c r="S186" s="286"/>
      <c r="T186" s="287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4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hidden="1" x14ac:dyDescent="0.2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4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hidden="1" customHeight="1" x14ac:dyDescent="0.2">
      <c r="A189" s="279" t="s">
        <v>279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48"/>
      <c r="AB189" s="48"/>
      <c r="AC189" s="48"/>
    </row>
    <row r="190" spans="1:68" ht="16.5" hidden="1" customHeight="1" x14ac:dyDescent="0.25">
      <c r="A190" s="281" t="s">
        <v>280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1"/>
      <c r="AB190" s="261"/>
      <c r="AC190" s="261"/>
    </row>
    <row r="191" spans="1:68" ht="14.25" hidden="1" customHeight="1" x14ac:dyDescent="0.25">
      <c r="A191" s="297" t="s">
        <v>93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hidden="1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6"/>
      <c r="R192" s="286"/>
      <c r="S192" s="286"/>
      <c r="T192" s="287"/>
      <c r="U192" s="34"/>
      <c r="V192" s="34"/>
      <c r="W192" s="35" t="s">
        <v>70</v>
      </c>
      <c r="X192" s="266">
        <v>0</v>
      </c>
      <c r="Y192" s="267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283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4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0</v>
      </c>
      <c r="Y193" s="268">
        <f>IFERROR(SUM(Y192:Y192),"0")</f>
        <v>0</v>
      </c>
      <c r="Z193" s="268">
        <f>IFERROR(IF(Z192="",0,Z192),"0")</f>
        <v>0</v>
      </c>
      <c r="AA193" s="269"/>
      <c r="AB193" s="269"/>
      <c r="AC193" s="269"/>
    </row>
    <row r="194" spans="1:68" hidden="1" x14ac:dyDescent="0.2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4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0</v>
      </c>
      <c r="Y194" s="268">
        <f>IFERROR(SUMPRODUCT(Y192:Y192*H192:H192),"0")</f>
        <v>0</v>
      </c>
      <c r="Z194" s="37"/>
      <c r="AA194" s="269"/>
      <c r="AB194" s="269"/>
      <c r="AC194" s="269"/>
    </row>
    <row r="195" spans="1:68" ht="14.25" hidden="1" customHeight="1" x14ac:dyDescent="0.25">
      <c r="A195" s="297" t="s">
        <v>137</v>
      </c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  <c r="AA195" s="262"/>
      <c r="AB195" s="262"/>
      <c r="AC195" s="262"/>
    </row>
    <row r="196" spans="1:68" ht="27" hidden="1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1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6"/>
      <c r="R196" s="286"/>
      <c r="S196" s="286"/>
      <c r="T196" s="287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97</v>
      </c>
      <c r="M197" s="33" t="s">
        <v>69</v>
      </c>
      <c r="N197" s="33"/>
      <c r="O197" s="32">
        <v>180</v>
      </c>
      <c r="P197" s="3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6"/>
      <c r="R197" s="286"/>
      <c r="S197" s="286"/>
      <c r="T197" s="287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99</v>
      </c>
      <c r="AK197" s="71">
        <v>14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1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6"/>
      <c r="R198" s="286"/>
      <c r="S198" s="286"/>
      <c r="T198" s="287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97</v>
      </c>
      <c r="M199" s="33" t="s">
        <v>69</v>
      </c>
      <c r="N199" s="33"/>
      <c r="O199" s="32">
        <v>180</v>
      </c>
      <c r="P199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6"/>
      <c r="R199" s="286"/>
      <c r="S199" s="286"/>
      <c r="T199" s="287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99</v>
      </c>
      <c r="AK199" s="71">
        <v>14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97</v>
      </c>
      <c r="M200" s="33" t="s">
        <v>69</v>
      </c>
      <c r="N200" s="33"/>
      <c r="O200" s="32">
        <v>180</v>
      </c>
      <c r="P200" s="42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6"/>
      <c r="R200" s="286"/>
      <c r="S200" s="286"/>
      <c r="T200" s="287"/>
      <c r="U200" s="34"/>
      <c r="V200" s="34"/>
      <c r="W200" s="35" t="s">
        <v>70</v>
      </c>
      <c r="X200" s="266">
        <v>14</v>
      </c>
      <c r="Y200" s="267">
        <f>IFERROR(IF(X200="","",X200),"")</f>
        <v>14</v>
      </c>
      <c r="Z200" s="36">
        <f>IFERROR(IF(X200="","",X200*0.01788),"")</f>
        <v>0.25031999999999999</v>
      </c>
      <c r="AA200" s="56"/>
      <c r="AB200" s="57"/>
      <c r="AC200" s="210" t="s">
        <v>297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46.810400000000001</v>
      </c>
      <c r="BN200" s="67">
        <f>IFERROR(Y200*I200,"0")</f>
        <v>46.810400000000001</v>
      </c>
      <c r="BO200" s="67">
        <f>IFERROR(X200/J200,"0")</f>
        <v>0.2</v>
      </c>
      <c r="BP200" s="67">
        <f>IFERROR(Y200/J200,"0")</f>
        <v>0.2</v>
      </c>
    </row>
    <row r="201" spans="1:68" x14ac:dyDescent="0.2">
      <c r="A201" s="283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4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14</v>
      </c>
      <c r="Y201" s="268">
        <f>IFERROR(SUM(Y196:Y200),"0")</f>
        <v>14</v>
      </c>
      <c r="Z201" s="268">
        <f>IFERROR(IF(Z196="",0,Z196),"0")+IFERROR(IF(Z197="",0,Z197),"0")+IFERROR(IF(Z198="",0,Z198),"0")+IFERROR(IF(Z199="",0,Z199),"0")+IFERROR(IF(Z200="",0,Z200),"0")</f>
        <v>0.25031999999999999</v>
      </c>
      <c r="AA201" s="269"/>
      <c r="AB201" s="269"/>
      <c r="AC201" s="269"/>
    </row>
    <row r="202" spans="1:68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4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36.96</v>
      </c>
      <c r="Y202" s="268">
        <f>IFERROR(SUMPRODUCT(Y196:Y200*H196:H200),"0")</f>
        <v>36.96</v>
      </c>
      <c r="Z202" s="37"/>
      <c r="AA202" s="269"/>
      <c r="AB202" s="269"/>
      <c r="AC202" s="269"/>
    </row>
    <row r="203" spans="1:68" ht="16.5" hidden="1" customHeight="1" x14ac:dyDescent="0.25">
      <c r="A203" s="281" t="s">
        <v>298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1"/>
      <c r="AB203" s="261"/>
      <c r="AC203" s="261"/>
    </row>
    <row r="204" spans="1:68" ht="14.25" hidden="1" customHeight="1" x14ac:dyDescent="0.25">
      <c r="A204" s="297" t="s">
        <v>64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hidden="1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6"/>
      <c r="R205" s="286"/>
      <c r="S205" s="286"/>
      <c r="T205" s="287"/>
      <c r="U205" s="34"/>
      <c r="V205" s="34"/>
      <c r="W205" s="35" t="s">
        <v>70</v>
      </c>
      <c r="X205" s="266">
        <v>0</v>
      </c>
      <c r="Y205" s="267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3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4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0</v>
      </c>
      <c r="Y206" s="268">
        <f>IFERROR(SUM(Y205:Y205),"0")</f>
        <v>0</v>
      </c>
      <c r="Z206" s="268">
        <f>IFERROR(IF(Z205="",0,Z205),"0")</f>
        <v>0</v>
      </c>
      <c r="AA206" s="269"/>
      <c r="AB206" s="269"/>
      <c r="AC206" s="269"/>
    </row>
    <row r="207" spans="1:68" hidden="1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4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0</v>
      </c>
      <c r="Y207" s="268">
        <f>IFERROR(SUMPRODUCT(Y205:Y205*H205:H205),"0")</f>
        <v>0</v>
      </c>
      <c r="Z207" s="37"/>
      <c r="AA207" s="269"/>
      <c r="AB207" s="269"/>
      <c r="AC207" s="269"/>
    </row>
    <row r="208" spans="1:68" ht="16.5" hidden="1" customHeight="1" x14ac:dyDescent="0.25">
      <c r="A208" s="281" t="s">
        <v>302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1"/>
      <c r="AB208" s="261"/>
      <c r="AC208" s="261"/>
    </row>
    <row r="209" spans="1:68" ht="14.25" hidden="1" customHeight="1" x14ac:dyDescent="0.25">
      <c r="A209" s="297" t="s">
        <v>137</v>
      </c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62"/>
      <c r="AB209" s="262"/>
      <c r="AC209" s="262"/>
    </row>
    <row r="210" spans="1:68" ht="27" hidden="1" customHeight="1" x14ac:dyDescent="0.25">
      <c r="A210" s="54" t="s">
        <v>303</v>
      </c>
      <c r="B210" s="54" t="s">
        <v>304</v>
      </c>
      <c r="C210" s="31">
        <v>4301135691</v>
      </c>
      <c r="D210" s="274">
        <v>4620207490549</v>
      </c>
      <c r="E210" s="275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97</v>
      </c>
      <c r="M210" s="33" t="s">
        <v>69</v>
      </c>
      <c r="N210" s="33"/>
      <c r="O210" s="32">
        <v>180</v>
      </c>
      <c r="P210" s="36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99</v>
      </c>
      <c r="AK210" s="71">
        <v>14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306</v>
      </c>
      <c r="B211" s="54" t="s">
        <v>307</v>
      </c>
      <c r="C211" s="31">
        <v>4301135694</v>
      </c>
      <c r="D211" s="274">
        <v>4620207490501</v>
      </c>
      <c r="E211" s="275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97</v>
      </c>
      <c r="M211" s="33" t="s">
        <v>69</v>
      </c>
      <c r="N211" s="33"/>
      <c r="O211" s="32">
        <v>180</v>
      </c>
      <c r="P211" s="3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99</v>
      </c>
      <c r="AK211" s="71">
        <v>14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3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4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hidden="1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4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hidden="1" customHeight="1" x14ac:dyDescent="0.2">
      <c r="A214" s="279" t="s">
        <v>308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48"/>
      <c r="AB214" s="48"/>
      <c r="AC214" s="48"/>
    </row>
    <row r="215" spans="1:68" ht="16.5" hidden="1" customHeight="1" x14ac:dyDescent="0.25">
      <c r="A215" s="281" t="s">
        <v>309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1"/>
      <c r="AB215" s="261"/>
      <c r="AC215" s="261"/>
    </row>
    <row r="216" spans="1:68" ht="14.25" hidden="1" customHeight="1" x14ac:dyDescent="0.25">
      <c r="A216" s="297" t="s">
        <v>64</v>
      </c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262"/>
      <c r="AB216" s="262"/>
      <c r="AC216" s="262"/>
    </row>
    <row r="217" spans="1:68" ht="27" hidden="1" customHeight="1" x14ac:dyDescent="0.25">
      <c r="A217" s="54" t="s">
        <v>310</v>
      </c>
      <c r="B217" s="54" t="s">
        <v>311</v>
      </c>
      <c r="C217" s="31">
        <v>4301071036</v>
      </c>
      <c r="D217" s="274">
        <v>4607111036162</v>
      </c>
      <c r="E217" s="275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9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86"/>
      <c r="R217" s="286"/>
      <c r="S217" s="286"/>
      <c r="T217" s="287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4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hidden="1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4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hidden="1" customHeight="1" x14ac:dyDescent="0.2">
      <c r="A220" s="279" t="s">
        <v>313</v>
      </c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48"/>
      <c r="AB220" s="48"/>
      <c r="AC220" s="48"/>
    </row>
    <row r="221" spans="1:68" ht="16.5" hidden="1" customHeight="1" x14ac:dyDescent="0.25">
      <c r="A221" s="281" t="s">
        <v>314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1"/>
      <c r="AB221" s="261"/>
      <c r="AC221" s="261"/>
    </row>
    <row r="222" spans="1:68" ht="14.25" hidden="1" customHeight="1" x14ac:dyDescent="0.25">
      <c r="A222" s="297" t="s">
        <v>64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hidden="1" customHeight="1" x14ac:dyDescent="0.25">
      <c r="A223" s="54" t="s">
        <v>315</v>
      </c>
      <c r="B223" s="54" t="s">
        <v>316</v>
      </c>
      <c r="C223" s="31">
        <v>4301071029</v>
      </c>
      <c r="D223" s="274">
        <v>4607111035899</v>
      </c>
      <c r="E223" s="275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97</v>
      </c>
      <c r="M223" s="33" t="s">
        <v>69</v>
      </c>
      <c r="N223" s="33"/>
      <c r="O223" s="32">
        <v>180</v>
      </c>
      <c r="P223" s="34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86"/>
      <c r="R223" s="286"/>
      <c r="S223" s="286"/>
      <c r="T223" s="287"/>
      <c r="U223" s="34"/>
      <c r="V223" s="34"/>
      <c r="W223" s="35" t="s">
        <v>70</v>
      </c>
      <c r="X223" s="266">
        <v>0</v>
      </c>
      <c r="Y223" s="267">
        <f>IFERROR(IF(X223="","",X223),"")</f>
        <v>0</v>
      </c>
      <c r="Z223" s="36">
        <f>IFERROR(IF(X223="","",X223*0.0155),"")</f>
        <v>0</v>
      </c>
      <c r="AA223" s="56"/>
      <c r="AB223" s="57"/>
      <c r="AC223" s="220" t="s">
        <v>256</v>
      </c>
      <c r="AG223" s="67"/>
      <c r="AJ223" s="71" t="s">
        <v>99</v>
      </c>
      <c r="AK223" s="71">
        <v>12</v>
      </c>
      <c r="BB223" s="221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3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4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0</v>
      </c>
      <c r="Y224" s="268">
        <f>IFERROR(SUM(Y223:Y223),"0")</f>
        <v>0</v>
      </c>
      <c r="Z224" s="268">
        <f>IFERROR(IF(Z223="",0,Z223),"0")</f>
        <v>0</v>
      </c>
      <c r="AA224" s="269"/>
      <c r="AB224" s="269"/>
      <c r="AC224" s="269"/>
    </row>
    <row r="225" spans="1:68" hidden="1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4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0</v>
      </c>
      <c r="Y225" s="268">
        <f>IFERROR(SUMPRODUCT(Y223:Y223*H223:H223),"0")</f>
        <v>0</v>
      </c>
      <c r="Z225" s="37"/>
      <c r="AA225" s="269"/>
      <c r="AB225" s="269"/>
      <c r="AC225" s="269"/>
    </row>
    <row r="226" spans="1:68" ht="27.75" hidden="1" customHeight="1" x14ac:dyDescent="0.2">
      <c r="A226" s="279" t="s">
        <v>317</v>
      </c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48"/>
      <c r="AB226" s="48"/>
      <c r="AC226" s="48"/>
    </row>
    <row r="227" spans="1:68" ht="16.5" hidden="1" customHeight="1" x14ac:dyDescent="0.25">
      <c r="A227" s="281" t="s">
        <v>318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1"/>
      <c r="AB227" s="261"/>
      <c r="AC227" s="261"/>
    </row>
    <row r="228" spans="1:68" ht="14.25" hidden="1" customHeight="1" x14ac:dyDescent="0.25">
      <c r="A228" s="297" t="s">
        <v>319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hidden="1" customHeight="1" x14ac:dyDescent="0.25">
      <c r="A229" s="54" t="s">
        <v>320</v>
      </c>
      <c r="B229" s="54" t="s">
        <v>321</v>
      </c>
      <c r="C229" s="31">
        <v>4301133004</v>
      </c>
      <c r="D229" s="274">
        <v>4607111039774</v>
      </c>
      <c r="E229" s="275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86"/>
      <c r="R229" s="286"/>
      <c r="S229" s="286"/>
      <c r="T229" s="287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4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hidden="1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4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hidden="1" customHeight="1" x14ac:dyDescent="0.25">
      <c r="A232" s="297" t="s">
        <v>137</v>
      </c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262"/>
      <c r="AB232" s="262"/>
      <c r="AC232" s="262"/>
    </row>
    <row r="233" spans="1:68" ht="37.5" hidden="1" customHeight="1" x14ac:dyDescent="0.25">
      <c r="A233" s="54" t="s">
        <v>323</v>
      </c>
      <c r="B233" s="54" t="s">
        <v>324</v>
      </c>
      <c r="C233" s="31">
        <v>4301135400</v>
      </c>
      <c r="D233" s="274">
        <v>4607111039361</v>
      </c>
      <c r="E233" s="275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97</v>
      </c>
      <c r="M233" s="33" t="s">
        <v>69</v>
      </c>
      <c r="N233" s="33"/>
      <c r="O233" s="32">
        <v>180</v>
      </c>
      <c r="P233" s="38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86"/>
      <c r="R233" s="286"/>
      <c r="S233" s="286"/>
      <c r="T233" s="287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99</v>
      </c>
      <c r="AK233" s="71">
        <v>14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3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4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hidden="1" x14ac:dyDescent="0.2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4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hidden="1" customHeight="1" x14ac:dyDescent="0.2">
      <c r="A236" s="279" t="s">
        <v>325</v>
      </c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48"/>
      <c r="AB236" s="48"/>
      <c r="AC236" s="48"/>
    </row>
    <row r="237" spans="1:68" ht="16.5" hidden="1" customHeight="1" x14ac:dyDescent="0.25">
      <c r="A237" s="281" t="s">
        <v>325</v>
      </c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261"/>
      <c r="AB237" s="261"/>
      <c r="AC237" s="261"/>
    </row>
    <row r="238" spans="1:68" ht="14.25" hidden="1" customHeight="1" x14ac:dyDescent="0.25">
      <c r="A238" s="297" t="s">
        <v>64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27" hidden="1" customHeight="1" x14ac:dyDescent="0.25">
      <c r="A239" s="54" t="s">
        <v>326</v>
      </c>
      <c r="B239" s="54" t="s">
        <v>327</v>
      </c>
      <c r="C239" s="31">
        <v>4301071014</v>
      </c>
      <c r="D239" s="274">
        <v>4640242181264</v>
      </c>
      <c r="E239" s="275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86"/>
      <c r="R239" s="286"/>
      <c r="S239" s="286"/>
      <c r="T239" s="287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hidden="1" customHeight="1" x14ac:dyDescent="0.25">
      <c r="A240" s="54" t="s">
        <v>329</v>
      </c>
      <c r="B240" s="54" t="s">
        <v>330</v>
      </c>
      <c r="C240" s="31">
        <v>4301071021</v>
      </c>
      <c r="D240" s="274">
        <v>4640242181325</v>
      </c>
      <c r="E240" s="275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86"/>
      <c r="R240" s="286"/>
      <c r="S240" s="286"/>
      <c r="T240" s="287"/>
      <c r="U240" s="34"/>
      <c r="V240" s="34"/>
      <c r="W240" s="35" t="s">
        <v>70</v>
      </c>
      <c r="X240" s="266">
        <v>0</v>
      </c>
      <c r="Y240" s="267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3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4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0</v>
      </c>
      <c r="Y241" s="268">
        <f>IFERROR(SUM(Y239:Y240),"0")</f>
        <v>0</v>
      </c>
      <c r="Z241" s="268">
        <f>IFERROR(IF(Z239="",0,Z239),"0")+IFERROR(IF(Z240="",0,Z240),"0")</f>
        <v>0</v>
      </c>
      <c r="AA241" s="269"/>
      <c r="AB241" s="269"/>
      <c r="AC241" s="269"/>
    </row>
    <row r="242" spans="1:68" hidden="1" x14ac:dyDescent="0.2">
      <c r="A242" s="282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282"/>
      <c r="O242" s="284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0</v>
      </c>
      <c r="Y242" s="268">
        <f>IFERROR(SUMPRODUCT(Y239:Y240*H239:H240),"0")</f>
        <v>0</v>
      </c>
      <c r="Z242" s="37"/>
      <c r="AA242" s="269"/>
      <c r="AB242" s="269"/>
      <c r="AC242" s="269"/>
    </row>
    <row r="243" spans="1:68" ht="14.25" hidden="1" customHeight="1" x14ac:dyDescent="0.25">
      <c r="A243" s="297" t="s">
        <v>93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2"/>
      <c r="AB243" s="262"/>
      <c r="AC243" s="262"/>
    </row>
    <row r="244" spans="1:68" ht="27" hidden="1" customHeight="1" x14ac:dyDescent="0.25">
      <c r="A244" s="54" t="s">
        <v>331</v>
      </c>
      <c r="B244" s="54" t="s">
        <v>332</v>
      </c>
      <c r="C244" s="31">
        <v>4301132080</v>
      </c>
      <c r="D244" s="274">
        <v>4640242180397</v>
      </c>
      <c r="E244" s="275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86"/>
      <c r="R244" s="286"/>
      <c r="S244" s="286"/>
      <c r="T244" s="287"/>
      <c r="U244" s="34"/>
      <c r="V244" s="34"/>
      <c r="W244" s="35" t="s">
        <v>70</v>
      </c>
      <c r="X244" s="266">
        <v>0</v>
      </c>
      <c r="Y244" s="267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3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282"/>
      <c r="O245" s="284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0</v>
      </c>
      <c r="Y245" s="268">
        <f>IFERROR(SUM(Y244:Y244),"0")</f>
        <v>0</v>
      </c>
      <c r="Z245" s="268">
        <f>IFERROR(IF(Z244="",0,Z244),"0")</f>
        <v>0</v>
      </c>
      <c r="AA245" s="269"/>
      <c r="AB245" s="269"/>
      <c r="AC245" s="269"/>
    </row>
    <row r="246" spans="1:68" hidden="1" x14ac:dyDescent="0.2">
      <c r="A246" s="282"/>
      <c r="B246" s="282"/>
      <c r="C246" s="282"/>
      <c r="D246" s="282"/>
      <c r="E246" s="282"/>
      <c r="F246" s="282"/>
      <c r="G246" s="282"/>
      <c r="H246" s="282"/>
      <c r="I246" s="282"/>
      <c r="J246" s="282"/>
      <c r="K246" s="282"/>
      <c r="L246" s="282"/>
      <c r="M246" s="282"/>
      <c r="N246" s="282"/>
      <c r="O246" s="284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0</v>
      </c>
      <c r="Y246" s="268">
        <f>IFERROR(SUMPRODUCT(Y244:Y244*H244:H244),"0")</f>
        <v>0</v>
      </c>
      <c r="Z246" s="37"/>
      <c r="AA246" s="269"/>
      <c r="AB246" s="269"/>
      <c r="AC246" s="269"/>
    </row>
    <row r="247" spans="1:68" ht="14.25" hidden="1" customHeight="1" x14ac:dyDescent="0.25">
      <c r="A247" s="297" t="s">
        <v>131</v>
      </c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  <c r="AA247" s="262"/>
      <c r="AB247" s="262"/>
      <c r="AC247" s="262"/>
    </row>
    <row r="248" spans="1:68" ht="27" hidden="1" customHeight="1" x14ac:dyDescent="0.25">
      <c r="A248" s="54" t="s">
        <v>334</v>
      </c>
      <c r="B248" s="54" t="s">
        <v>335</v>
      </c>
      <c r="C248" s="31">
        <v>4301136051</v>
      </c>
      <c r="D248" s="274">
        <v>4640242180304</v>
      </c>
      <c r="E248" s="275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40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86"/>
      <c r="R248" s="286"/>
      <c r="S248" s="286"/>
      <c r="T248" s="287"/>
      <c r="U248" s="34"/>
      <c r="V248" s="34"/>
      <c r="W248" s="35" t="s">
        <v>70</v>
      </c>
      <c r="X248" s="266">
        <v>0</v>
      </c>
      <c r="Y248" s="267">
        <f>IFERROR(IF(X248="","",X248),"")</f>
        <v>0</v>
      </c>
      <c r="Z248" s="36">
        <f>IFERROR(IF(X248="","",X248*0.00936),"")</f>
        <v>0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hidden="1" customHeight="1" x14ac:dyDescent="0.25">
      <c r="A249" s="54" t="s">
        <v>337</v>
      </c>
      <c r="B249" s="54" t="s">
        <v>338</v>
      </c>
      <c r="C249" s="31">
        <v>4301136053</v>
      </c>
      <c r="D249" s="274">
        <v>4640242180236</v>
      </c>
      <c r="E249" s="275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8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86"/>
      <c r="R249" s="286"/>
      <c r="S249" s="286"/>
      <c r="T249" s="287"/>
      <c r="U249" s="34"/>
      <c r="V249" s="34"/>
      <c r="W249" s="35" t="s">
        <v>70</v>
      </c>
      <c r="X249" s="266">
        <v>0</v>
      </c>
      <c r="Y249" s="267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hidden="1" customHeight="1" x14ac:dyDescent="0.25">
      <c r="A250" s="54" t="s">
        <v>339</v>
      </c>
      <c r="B250" s="54" t="s">
        <v>340</v>
      </c>
      <c r="C250" s="31">
        <v>4301136052</v>
      </c>
      <c r="D250" s="274">
        <v>4640242180410</v>
      </c>
      <c r="E250" s="275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86"/>
      <c r="R250" s="286"/>
      <c r="S250" s="286"/>
      <c r="T250" s="287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3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2"/>
      <c r="O251" s="284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0</v>
      </c>
      <c r="Y251" s="268">
        <f>IFERROR(SUM(Y248:Y250),"0")</f>
        <v>0</v>
      </c>
      <c r="Z251" s="268">
        <f>IFERROR(IF(Z248="",0,Z248),"0")+IFERROR(IF(Z249="",0,Z249),"0")+IFERROR(IF(Z250="",0,Z250),"0")</f>
        <v>0</v>
      </c>
      <c r="AA251" s="269"/>
      <c r="AB251" s="269"/>
      <c r="AC251" s="269"/>
    </row>
    <row r="252" spans="1:68" hidden="1" x14ac:dyDescent="0.2">
      <c r="A252" s="282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2"/>
      <c r="O252" s="284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0</v>
      </c>
      <c r="Y252" s="268">
        <f>IFERROR(SUMPRODUCT(Y248:Y250*H248:H250),"0")</f>
        <v>0</v>
      </c>
      <c r="Z252" s="37"/>
      <c r="AA252" s="269"/>
      <c r="AB252" s="269"/>
      <c r="AC252" s="269"/>
    </row>
    <row r="253" spans="1:68" ht="14.25" hidden="1" customHeight="1" x14ac:dyDescent="0.25">
      <c r="A253" s="297" t="s">
        <v>137</v>
      </c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  <c r="AA253" s="262"/>
      <c r="AB253" s="262"/>
      <c r="AC253" s="262"/>
    </row>
    <row r="254" spans="1:68" ht="37.5" hidden="1" customHeight="1" x14ac:dyDescent="0.25">
      <c r="A254" s="54" t="s">
        <v>341</v>
      </c>
      <c r="B254" s="54" t="s">
        <v>342</v>
      </c>
      <c r="C254" s="31">
        <v>4301135504</v>
      </c>
      <c r="D254" s="274">
        <v>4640242181554</v>
      </c>
      <c r="E254" s="275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86"/>
      <c r="R254" s="286"/>
      <c r="S254" s="286"/>
      <c r="T254" s="287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hidden="1" customHeight="1" x14ac:dyDescent="0.25">
      <c r="A255" s="54" t="s">
        <v>344</v>
      </c>
      <c r="B255" s="54" t="s">
        <v>345</v>
      </c>
      <c r="C255" s="31">
        <v>4301135518</v>
      </c>
      <c r="D255" s="274">
        <v>4640242181561</v>
      </c>
      <c r="E255" s="275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86"/>
      <c r="R255" s="286"/>
      <c r="S255" s="286"/>
      <c r="T255" s="287"/>
      <c r="U255" s="34"/>
      <c r="V255" s="34"/>
      <c r="W255" s="35" t="s">
        <v>70</v>
      </c>
      <c r="X255" s="266">
        <v>0</v>
      </c>
      <c r="Y255" s="267">
        <f t="shared" si="18"/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0</v>
      </c>
      <c r="BN255" s="67">
        <f t="shared" si="20"/>
        <v>0</v>
      </c>
      <c r="BO255" s="67">
        <f t="shared" si="21"/>
        <v>0</v>
      </c>
      <c r="BP255" s="67">
        <f t="shared" si="22"/>
        <v>0</v>
      </c>
    </row>
    <row r="256" spans="1:68" ht="27" hidden="1" customHeight="1" x14ac:dyDescent="0.25">
      <c r="A256" s="54" t="s">
        <v>347</v>
      </c>
      <c r="B256" s="54" t="s">
        <v>348</v>
      </c>
      <c r="C256" s="31">
        <v>4301135374</v>
      </c>
      <c r="D256" s="274">
        <v>4640242181424</v>
      </c>
      <c r="E256" s="275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86"/>
      <c r="R256" s="286"/>
      <c r="S256" s="286"/>
      <c r="T256" s="287"/>
      <c r="U256" s="34"/>
      <c r="V256" s="34"/>
      <c r="W256" s="35" t="s">
        <v>70</v>
      </c>
      <c r="X256" s="266">
        <v>0</v>
      </c>
      <c r="Y256" s="267">
        <f t="shared" si="18"/>
        <v>0</v>
      </c>
      <c r="Z256" s="36">
        <f>IFERROR(IF(X256="","",X256*0.0155),"")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hidden="1" customHeight="1" x14ac:dyDescent="0.25">
      <c r="A257" s="54" t="s">
        <v>349</v>
      </c>
      <c r="B257" s="54" t="s">
        <v>350</v>
      </c>
      <c r="C257" s="31">
        <v>4301135405</v>
      </c>
      <c r="D257" s="274">
        <v>4640242181523</v>
      </c>
      <c r="E257" s="275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97</v>
      </c>
      <c r="M257" s="33" t="s">
        <v>69</v>
      </c>
      <c r="N257" s="33"/>
      <c r="O257" s="32">
        <v>180</v>
      </c>
      <c r="P257" s="40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86"/>
      <c r="R257" s="286"/>
      <c r="S257" s="286"/>
      <c r="T257" s="287"/>
      <c r="U257" s="34"/>
      <c r="V257" s="34"/>
      <c r="W257" s="35" t="s">
        <v>70</v>
      </c>
      <c r="X257" s="266">
        <v>0</v>
      </c>
      <c r="Y257" s="267">
        <f t="shared" si="18"/>
        <v>0</v>
      </c>
      <c r="Z257" s="36">
        <f t="shared" ref="Z257:Z262" si="23">IFERROR(IF(X257="","",X257*0.00936),"")</f>
        <v>0</v>
      </c>
      <c r="AA257" s="56"/>
      <c r="AB257" s="57"/>
      <c r="AC257" s="244" t="s">
        <v>346</v>
      </c>
      <c r="AG257" s="67"/>
      <c r="AJ257" s="71" t="s">
        <v>99</v>
      </c>
      <c r="AK257" s="71">
        <v>14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27" hidden="1" customHeight="1" x14ac:dyDescent="0.25">
      <c r="A258" s="54" t="s">
        <v>351</v>
      </c>
      <c r="B258" s="54" t="s">
        <v>352</v>
      </c>
      <c r="C258" s="31">
        <v>4301135375</v>
      </c>
      <c r="D258" s="274">
        <v>4640242181486</v>
      </c>
      <c r="E258" s="275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140</v>
      </c>
      <c r="M258" s="33" t="s">
        <v>69</v>
      </c>
      <c r="N258" s="33"/>
      <c r="O258" s="32">
        <v>180</v>
      </c>
      <c r="P258" s="34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86"/>
      <c r="R258" s="286"/>
      <c r="S258" s="286"/>
      <c r="T258" s="287"/>
      <c r="U258" s="34"/>
      <c r="V258" s="34"/>
      <c r="W258" s="35" t="s">
        <v>70</v>
      </c>
      <c r="X258" s="266">
        <v>0</v>
      </c>
      <c r="Y258" s="267">
        <f t="shared" si="18"/>
        <v>0</v>
      </c>
      <c r="Z258" s="36">
        <f t="shared" si="23"/>
        <v>0</v>
      </c>
      <c r="AA258" s="56"/>
      <c r="AB258" s="57"/>
      <c r="AC258" s="246" t="s">
        <v>343</v>
      </c>
      <c r="AG258" s="67"/>
      <c r="AJ258" s="71" t="s">
        <v>141</v>
      </c>
      <c r="AK258" s="71">
        <v>126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hidden="1" customHeight="1" x14ac:dyDescent="0.25">
      <c r="A259" s="54" t="s">
        <v>353</v>
      </c>
      <c r="B259" s="54" t="s">
        <v>354</v>
      </c>
      <c r="C259" s="31">
        <v>4301135402</v>
      </c>
      <c r="D259" s="274">
        <v>4640242181493</v>
      </c>
      <c r="E259" s="275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97</v>
      </c>
      <c r="M259" s="33" t="s">
        <v>69</v>
      </c>
      <c r="N259" s="33"/>
      <c r="O259" s="32">
        <v>180</v>
      </c>
      <c r="P259" s="32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86"/>
      <c r="R259" s="286"/>
      <c r="S259" s="286"/>
      <c r="T259" s="287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99</v>
      </c>
      <c r="AK259" s="71">
        <v>14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hidden="1" customHeight="1" x14ac:dyDescent="0.25">
      <c r="A260" s="54" t="s">
        <v>355</v>
      </c>
      <c r="B260" s="54" t="s">
        <v>356</v>
      </c>
      <c r="C260" s="31">
        <v>4301135403</v>
      </c>
      <c r="D260" s="274">
        <v>4640242181509</v>
      </c>
      <c r="E260" s="275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97</v>
      </c>
      <c r="M260" s="33" t="s">
        <v>69</v>
      </c>
      <c r="N260" s="33"/>
      <c r="O260" s="32">
        <v>180</v>
      </c>
      <c r="P260" s="40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86"/>
      <c r="R260" s="286"/>
      <c r="S260" s="286"/>
      <c r="T260" s="287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99</v>
      </c>
      <c r="AK260" s="71">
        <v>14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357</v>
      </c>
      <c r="B261" s="54" t="s">
        <v>358</v>
      </c>
      <c r="C261" s="31">
        <v>4301135304</v>
      </c>
      <c r="D261" s="274">
        <v>4640242181240</v>
      </c>
      <c r="E261" s="275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97</v>
      </c>
      <c r="M261" s="33" t="s">
        <v>69</v>
      </c>
      <c r="N261" s="33"/>
      <c r="O261" s="32">
        <v>180</v>
      </c>
      <c r="P261" s="38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86"/>
      <c r="R261" s="286"/>
      <c r="S261" s="286"/>
      <c r="T261" s="287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99</v>
      </c>
      <c r="AK261" s="71">
        <v>14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359</v>
      </c>
      <c r="B262" s="54" t="s">
        <v>360</v>
      </c>
      <c r="C262" s="31">
        <v>4301135610</v>
      </c>
      <c r="D262" s="274">
        <v>4640242181318</v>
      </c>
      <c r="E262" s="275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97</v>
      </c>
      <c r="M262" s="33" t="s">
        <v>69</v>
      </c>
      <c r="N262" s="33"/>
      <c r="O262" s="32">
        <v>180</v>
      </c>
      <c r="P262" s="41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86"/>
      <c r="R262" s="286"/>
      <c r="S262" s="286"/>
      <c r="T262" s="287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99</v>
      </c>
      <c r="AK262" s="71">
        <v>14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361</v>
      </c>
      <c r="B263" s="54" t="s">
        <v>362</v>
      </c>
      <c r="C263" s="31">
        <v>4301135306</v>
      </c>
      <c r="D263" s="274">
        <v>4640242181387</v>
      </c>
      <c r="E263" s="275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150</v>
      </c>
      <c r="L263" s="32" t="s">
        <v>97</v>
      </c>
      <c r="M263" s="33" t="s">
        <v>69</v>
      </c>
      <c r="N263" s="33"/>
      <c r="O263" s="32">
        <v>180</v>
      </c>
      <c r="P263" s="4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86"/>
      <c r="R263" s="286"/>
      <c r="S263" s="286"/>
      <c r="T263" s="287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99</v>
      </c>
      <c r="AK263" s="71">
        <v>18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idden="1" x14ac:dyDescent="0.2">
      <c r="A264" s="283"/>
      <c r="B264" s="282"/>
      <c r="C264" s="282"/>
      <c r="D264" s="282"/>
      <c r="E264" s="282"/>
      <c r="F264" s="282"/>
      <c r="G264" s="282"/>
      <c r="H264" s="282"/>
      <c r="I264" s="282"/>
      <c r="J264" s="282"/>
      <c r="K264" s="282"/>
      <c r="L264" s="282"/>
      <c r="M264" s="282"/>
      <c r="N264" s="282"/>
      <c r="O264" s="284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0</v>
      </c>
      <c r="Y264" s="268">
        <f>IFERROR(SUM(Y254:Y263),"0")</f>
        <v>0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</v>
      </c>
      <c r="AA264" s="269"/>
      <c r="AB264" s="269"/>
      <c r="AC264" s="269"/>
    </row>
    <row r="265" spans="1:68" hidden="1" x14ac:dyDescent="0.2">
      <c r="A265" s="282"/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2"/>
      <c r="O265" s="284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0</v>
      </c>
      <c r="Y265" s="268">
        <f>IFERROR(SUMPRODUCT(Y254:Y263*H254:H263),"0")</f>
        <v>0</v>
      </c>
      <c r="Z265" s="37"/>
      <c r="AA265" s="269"/>
      <c r="AB265" s="269"/>
      <c r="AC265" s="269"/>
    </row>
    <row r="266" spans="1:68" ht="15" customHeight="1" x14ac:dyDescent="0.2">
      <c r="A266" s="368"/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2"/>
      <c r="O266" s="294"/>
      <c r="P266" s="325" t="s">
        <v>363</v>
      </c>
      <c r="Q266" s="291"/>
      <c r="R266" s="291"/>
      <c r="S266" s="291"/>
      <c r="T266" s="291"/>
      <c r="U266" s="291"/>
      <c r="V266" s="292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4014.96</v>
      </c>
      <c r="Y266" s="268">
        <f>IFERROR(Y29+Y35+Y42+Y49+Y57+Y62+Y66+Y71+Y77+Y83+Y88+Y94+Y104+Y110+Y121+Y126+Y130+Y136+Y142+Y148+Y153+Y158+Y163+Y168+Y175+Y184+Y188+Y194+Y202+Y207+Y213+Y219+Y225+Y231+Y235+Y242+Y246+Y252+Y265,"0")</f>
        <v>4014.96</v>
      </c>
      <c r="Z266" s="37"/>
      <c r="AA266" s="269"/>
      <c r="AB266" s="269"/>
      <c r="AC266" s="269"/>
    </row>
    <row r="267" spans="1:68" x14ac:dyDescent="0.2">
      <c r="A267" s="282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  <c r="O267" s="294"/>
      <c r="P267" s="325" t="s">
        <v>364</v>
      </c>
      <c r="Q267" s="291"/>
      <c r="R267" s="291"/>
      <c r="S267" s="291"/>
      <c r="T267" s="291"/>
      <c r="U267" s="291"/>
      <c r="V267" s="292"/>
      <c r="W267" s="37" t="s">
        <v>84</v>
      </c>
      <c r="X267" s="268">
        <f>IFERROR(SUM(BM22:BM263),"0")</f>
        <v>4620.6076000000012</v>
      </c>
      <c r="Y267" s="268">
        <f>IFERROR(SUM(BN22:BN263),"0")</f>
        <v>4620.6076000000012</v>
      </c>
      <c r="Z267" s="37"/>
      <c r="AA267" s="269"/>
      <c r="AB267" s="269"/>
      <c r="AC267" s="269"/>
    </row>
    <row r="268" spans="1:68" x14ac:dyDescent="0.2">
      <c r="A268" s="282"/>
      <c r="B268" s="282"/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2"/>
      <c r="O268" s="294"/>
      <c r="P268" s="325" t="s">
        <v>365</v>
      </c>
      <c r="Q268" s="291"/>
      <c r="R268" s="291"/>
      <c r="S268" s="291"/>
      <c r="T268" s="291"/>
      <c r="U268" s="291"/>
      <c r="V268" s="292"/>
      <c r="W268" s="37" t="s">
        <v>366</v>
      </c>
      <c r="X268" s="38">
        <f>ROUNDUP(SUM(BO22:BO263),0)</f>
        <v>15</v>
      </c>
      <c r="Y268" s="38">
        <f>ROUNDUP(SUM(BP22:BP263),0)</f>
        <v>15</v>
      </c>
      <c r="Z268" s="37"/>
      <c r="AA268" s="269"/>
      <c r="AB268" s="269"/>
      <c r="AC268" s="269"/>
    </row>
    <row r="269" spans="1:68" x14ac:dyDescent="0.2">
      <c r="A269" s="282"/>
      <c r="B269" s="282"/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2"/>
      <c r="O269" s="294"/>
      <c r="P269" s="325" t="s">
        <v>367</v>
      </c>
      <c r="Q269" s="291"/>
      <c r="R269" s="291"/>
      <c r="S269" s="291"/>
      <c r="T269" s="291"/>
      <c r="U269" s="291"/>
      <c r="V269" s="292"/>
      <c r="W269" s="37" t="s">
        <v>84</v>
      </c>
      <c r="X269" s="268">
        <f>GrossWeightTotal+PalletQtyTotal*25</f>
        <v>4995.6076000000012</v>
      </c>
      <c r="Y269" s="268">
        <f>GrossWeightTotalR+PalletQtyTotalR*25</f>
        <v>4995.6076000000012</v>
      </c>
      <c r="Z269" s="37"/>
      <c r="AA269" s="269"/>
      <c r="AB269" s="269"/>
      <c r="AC269" s="269"/>
    </row>
    <row r="270" spans="1:68" x14ac:dyDescent="0.2">
      <c r="A270" s="282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  <c r="O270" s="294"/>
      <c r="P270" s="325" t="s">
        <v>368</v>
      </c>
      <c r="Q270" s="291"/>
      <c r="R270" s="291"/>
      <c r="S270" s="291"/>
      <c r="T270" s="291"/>
      <c r="U270" s="291"/>
      <c r="V270" s="292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1196</v>
      </c>
      <c r="Y270" s="268">
        <f>IFERROR(Y28+Y34+Y41+Y48+Y56+Y61+Y65+Y70+Y76+Y82+Y87+Y93+Y103+Y109+Y120+Y125+Y129+Y135+Y141+Y147+Y152+Y157+Y162+Y167+Y174+Y183+Y187+Y193+Y201+Y206+Y212+Y218+Y224+Y230+Y234+Y241+Y245+Y251+Y264,"0")</f>
        <v>1196</v>
      </c>
      <c r="Z270" s="37"/>
      <c r="AA270" s="269"/>
      <c r="AB270" s="269"/>
      <c r="AC270" s="269"/>
    </row>
    <row r="271" spans="1:68" ht="14.25" hidden="1" customHeight="1" x14ac:dyDescent="0.2">
      <c r="A271" s="282"/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94"/>
      <c r="P271" s="325" t="s">
        <v>369</v>
      </c>
      <c r="Q271" s="291"/>
      <c r="R271" s="291"/>
      <c r="S271" s="291"/>
      <c r="T271" s="291"/>
      <c r="U271" s="291"/>
      <c r="V271" s="292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18.76022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0" t="s">
        <v>63</v>
      </c>
      <c r="C273" s="365"/>
      <c r="D273" s="270" t="s">
        <v>91</v>
      </c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364"/>
      <c r="P273" s="364"/>
      <c r="Q273" s="364"/>
      <c r="R273" s="364"/>
      <c r="S273" s="364"/>
      <c r="T273" s="364"/>
      <c r="U273" s="365"/>
      <c r="V273" s="263" t="s">
        <v>249</v>
      </c>
      <c r="W273" s="263" t="s">
        <v>257</v>
      </c>
      <c r="X273" s="270" t="s">
        <v>279</v>
      </c>
      <c r="Y273" s="364"/>
      <c r="Z273" s="365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2" t="s">
        <v>372</v>
      </c>
      <c r="B274" s="270" t="s">
        <v>63</v>
      </c>
      <c r="C274" s="270" t="s">
        <v>85</v>
      </c>
      <c r="D274" s="270" t="s">
        <v>92</v>
      </c>
      <c r="E274" s="270" t="s">
        <v>103</v>
      </c>
      <c r="F274" s="270" t="s">
        <v>113</v>
      </c>
      <c r="G274" s="270" t="s">
        <v>124</v>
      </c>
      <c r="H274" s="270" t="s">
        <v>147</v>
      </c>
      <c r="I274" s="270" t="s">
        <v>154</v>
      </c>
      <c r="J274" s="270" t="s">
        <v>158</v>
      </c>
      <c r="K274" s="270" t="s">
        <v>166</v>
      </c>
      <c r="L274" s="270" t="s">
        <v>181</v>
      </c>
      <c r="M274" s="270" t="s">
        <v>187</v>
      </c>
      <c r="N274" s="264"/>
      <c r="O274" s="270" t="s">
        <v>215</v>
      </c>
      <c r="P274" s="270" t="s">
        <v>221</v>
      </c>
      <c r="Q274" s="270" t="s">
        <v>228</v>
      </c>
      <c r="R274" s="270" t="s">
        <v>233</v>
      </c>
      <c r="S274" s="270" t="s">
        <v>237</v>
      </c>
      <c r="T274" s="270" t="s">
        <v>240</v>
      </c>
      <c r="U274" s="270" t="s">
        <v>245</v>
      </c>
      <c r="V274" s="270" t="s">
        <v>250</v>
      </c>
      <c r="W274" s="270" t="s">
        <v>258</v>
      </c>
      <c r="X274" s="270" t="s">
        <v>280</v>
      </c>
      <c r="Y274" s="270" t="s">
        <v>298</v>
      </c>
      <c r="Z274" s="270" t="s">
        <v>302</v>
      </c>
      <c r="AA274" s="270" t="s">
        <v>309</v>
      </c>
      <c r="AB274" s="270" t="s">
        <v>314</v>
      </c>
      <c r="AC274" s="270" t="s">
        <v>318</v>
      </c>
      <c r="AD274" s="270" t="s">
        <v>325</v>
      </c>
      <c r="AF274" s="264"/>
    </row>
    <row r="275" spans="1:32" ht="13.5" customHeight="1" thickBot="1" x14ac:dyDescent="0.25">
      <c r="A275" s="353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64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  <c r="AB275" s="271"/>
      <c r="AC275" s="271"/>
      <c r="AD275" s="271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0</v>
      </c>
      <c r="C276" s="46">
        <f>IFERROR(X32*H32,"0")+IFERROR(X33*H33,"0")</f>
        <v>0</v>
      </c>
      <c r="D276" s="46">
        <f>IFERROR(X39*H39,"0")+IFERROR(X40*H40,"0")</f>
        <v>0</v>
      </c>
      <c r="E276" s="46">
        <f>IFERROR(X45*H45,"0")+IFERROR(X46*H46,"0")+IFERROR(X47*H47,"0")</f>
        <v>0</v>
      </c>
      <c r="F276" s="46">
        <f>IFERROR(X52*H52,"0")+IFERROR(X53*H53,"0")+IFERROR(X54*H54,"0")+IFERROR(X55*H55,"0")</f>
        <v>420</v>
      </c>
      <c r="G276" s="46">
        <f>IFERROR(X60*H60,"0")+IFERROR(X64*H64,"0")+IFERROR(X68*H68,"0")+IFERROR(X69*H69,"0")+IFERROR(X73*H73,"0")+IFERROR(X74*H74,"0")+IFERROR(X75*H75,"0")</f>
        <v>201.6</v>
      </c>
      <c r="H276" s="46">
        <f>IFERROR(X80*H80,"0")+IFERROR(X81*H81,"0")</f>
        <v>0</v>
      </c>
      <c r="I276" s="46">
        <f>IFERROR(X86*H86,"0")</f>
        <v>100.8</v>
      </c>
      <c r="J276" s="46">
        <f>IFERROR(X91*H91,"0")+IFERROR(X92*H92,"0")</f>
        <v>504</v>
      </c>
      <c r="K276" s="46">
        <f>IFERROR(X97*H97,"0")+IFERROR(X98*H98,"0")+IFERROR(X99*H99,"0")+IFERROR(X100*H100,"0")+IFERROR(X101*H101,"0")+IFERROR(X102*H102,"0")</f>
        <v>378</v>
      </c>
      <c r="L276" s="46">
        <f>IFERROR(X107*H107,"0")+IFERROR(X108*H108,"0")</f>
        <v>0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924</v>
      </c>
      <c r="N276" s="264"/>
      <c r="O276" s="46">
        <f>IFERROR(X133*H133,"0")+IFERROR(X134*H134,"0")</f>
        <v>420</v>
      </c>
      <c r="P276" s="46">
        <f>IFERROR(X139*H139,"0")+IFERROR(X140*H140,"0")</f>
        <v>210</v>
      </c>
      <c r="Q276" s="46">
        <f>IFERROR(X145*H145,"0")+IFERROR(X146*H146,"0")</f>
        <v>201.6</v>
      </c>
      <c r="R276" s="46">
        <f>IFERROR(X151*H151,"0")</f>
        <v>84</v>
      </c>
      <c r="S276" s="46">
        <f>IFERROR(X156*H156,"0")</f>
        <v>0</v>
      </c>
      <c r="T276" s="46">
        <f>IFERROR(X161*H161,"0")</f>
        <v>38.400000000000006</v>
      </c>
      <c r="U276" s="46">
        <f>IFERROR(X166*H166,"0")</f>
        <v>117.6</v>
      </c>
      <c r="V276" s="46">
        <f>IFERROR(X172*H172,"0")+IFERROR(X173*H173,"0")</f>
        <v>0</v>
      </c>
      <c r="W276" s="46">
        <f>IFERROR(X179*H179,"0")+IFERROR(X180*H180,"0")+IFERROR(X181*H181,"0")+IFERROR(X182*H182,"0")+IFERROR(X186*H186,"0")</f>
        <v>378</v>
      </c>
      <c r="X276" s="46">
        <f>IFERROR(X192*H192,"0")+IFERROR(X196*H196,"0")+IFERROR(X197*H197,"0")+IFERROR(X198*H198,"0")+IFERROR(X199*H199,"0")+IFERROR(X200*H200,"0")</f>
        <v>36.96</v>
      </c>
      <c r="Y276" s="46">
        <f>IFERROR(X205*H205,"0")</f>
        <v>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0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1344</v>
      </c>
      <c r="B279" s="60">
        <f>SUMPRODUCT(--(BB:BB="ПГП"),--(W:W="кор"),H:H,Y:Y)+SUMPRODUCT(--(BB:BB="ПГП"),--(W:W="кг"),Y:Y)</f>
        <v>2670.96</v>
      </c>
      <c r="C279" s="60">
        <f>SUMPRODUCT(--(BB:BB="КИЗ"),--(W:W="кор"),H:H,Y:Y)+SUMPRODUCT(--(BB:BB="КИЗ"),--(W:W="кг"),Y:Y)</f>
        <v>0</v>
      </c>
    </row>
  </sheetData>
  <sheetProtection algorithmName="SHA-512" hashValue="/0/u7Pl9PuhoDsCosIbo8kfBysoG7IhtWJCAlw6b8TWbeEhBNrnbhAi+TYxnH1TD1UYDyE8/jMxaueNMvrohrA==" saltValue="pFZTbM9I+xm+M/5EUD+Iug==" spinCount="100000" sheet="1" objects="1" scenarios="1" sort="0" autoFilter="0" pivotTables="0"/>
  <autoFilter ref="A18:AF27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96,00"/>
        <filter val="100,80"/>
        <filter val="112,00"/>
        <filter val="117,60"/>
        <filter val="126,00"/>
        <filter val="132,00"/>
        <filter val="14,00"/>
        <filter val="140,00"/>
        <filter val="15"/>
        <filter val="168,00"/>
        <filter val="201,60"/>
        <filter val="210,00"/>
        <filter val="24,00"/>
        <filter val="28,00"/>
        <filter val="33,60"/>
        <filter val="36,00"/>
        <filter val="36,96"/>
        <filter val="378,00"/>
        <filter val="38,40"/>
        <filter val="4 014,96"/>
        <filter val="4 620,61"/>
        <filter val="4 995,61"/>
        <filter val="42,00"/>
        <filter val="420,00"/>
        <filter val="48,00"/>
        <filter val="504,00"/>
        <filter val="60,00"/>
        <filter val="70,00"/>
        <filter val="84,00"/>
        <filter val="924,00"/>
      </filters>
    </filterColumn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U17:V17"/>
    <mergeCell ref="Y17:Y18"/>
    <mergeCell ref="AD17:AF18"/>
    <mergeCell ref="P167:V167"/>
    <mergeCell ref="P142:V142"/>
    <mergeCell ref="D101:E101"/>
    <mergeCell ref="A132:Z132"/>
    <mergeCell ref="A208:Z208"/>
    <mergeCell ref="A37:Z37"/>
    <mergeCell ref="D74:E74"/>
    <mergeCell ref="A203:Z203"/>
    <mergeCell ref="D68:E68"/>
    <mergeCell ref="P126:V126"/>
    <mergeCell ref="P24:T24"/>
    <mergeCell ref="P135:V135"/>
    <mergeCell ref="D179:E179"/>
    <mergeCell ref="D166:E166"/>
    <mergeCell ref="A17:A18"/>
    <mergeCell ref="K17:K18"/>
    <mergeCell ref="A189:Z189"/>
    <mergeCell ref="C17:C18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H5:M5"/>
    <mergeCell ref="D6:M6"/>
    <mergeCell ref="A85:Z85"/>
    <mergeCell ref="P33:T33"/>
    <mergeCell ref="V6:W9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P158:V158"/>
    <mergeCell ref="A154:Z154"/>
    <mergeCell ref="P98:T98"/>
    <mergeCell ref="A214:Z214"/>
    <mergeCell ref="D146:E146"/>
    <mergeCell ref="P60:T60"/>
    <mergeCell ref="D239:E239"/>
    <mergeCell ref="A237:Z237"/>
    <mergeCell ref="A138:Z138"/>
    <mergeCell ref="P202:V202"/>
    <mergeCell ref="A222:Z222"/>
    <mergeCell ref="A137:Z137"/>
    <mergeCell ref="X273:Z273"/>
    <mergeCell ref="P187:V187"/>
    <mergeCell ref="P174:V174"/>
    <mergeCell ref="P102:T102"/>
    <mergeCell ref="A247:Z247"/>
    <mergeCell ref="A185:Z185"/>
    <mergeCell ref="P196:T196"/>
    <mergeCell ref="P266:V266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P248:T248"/>
    <mergeCell ref="D75:E75"/>
    <mergeCell ref="P260:T260"/>
    <mergeCell ref="A206:O207"/>
    <mergeCell ref="D256:E256"/>
    <mergeCell ref="P120:V120"/>
    <mergeCell ref="P57:V57"/>
    <mergeCell ref="P184:V184"/>
    <mergeCell ref="A152:O153"/>
    <mergeCell ref="A143:Z143"/>
    <mergeCell ref="P242:V242"/>
    <mergeCell ref="A232:Z232"/>
    <mergeCell ref="P121:V121"/>
    <mergeCell ref="D80:E80"/>
    <mergeCell ref="A169:Z169"/>
    <mergeCell ref="P148:V148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J274:J275"/>
    <mergeCell ref="J9:M9"/>
    <mergeCell ref="A65:O66"/>
    <mergeCell ref="P233:T233"/>
    <mergeCell ref="A56:O57"/>
    <mergeCell ref="D114:E114"/>
    <mergeCell ref="D64:E64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A9:C9"/>
    <mergeCell ref="A59:Z59"/>
    <mergeCell ref="D186:E186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A220:Z220"/>
    <mergeCell ref="P139:T139"/>
    <mergeCell ref="P234:V234"/>
    <mergeCell ref="D217:E217"/>
    <mergeCell ref="A93:O94"/>
    <mergeCell ref="P40:T40"/>
    <mergeCell ref="P257:T257"/>
    <mergeCell ref="P80:T80"/>
    <mergeCell ref="P42:V42"/>
    <mergeCell ref="A63:Z63"/>
    <mergeCell ref="P225:V225"/>
    <mergeCell ref="D172:E172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:M13"/>
    <mergeCell ref="A230:O231"/>
    <mergeCell ref="P115:T115"/>
    <mergeCell ref="P231:V231"/>
    <mergeCell ref="A15:M15"/>
    <mergeCell ref="A61:O62"/>
    <mergeCell ref="P229:T229"/>
    <mergeCell ref="P179:T179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D86:E86"/>
    <mergeCell ref="D151:E151"/>
    <mergeCell ref="P107:T107"/>
    <mergeCell ref="P129:V129"/>
    <mergeCell ref="P101:T101"/>
    <mergeCell ref="P194:V194"/>
    <mergeCell ref="A103:O104"/>
    <mergeCell ref="Q13:R13"/>
    <mergeCell ref="P22:T22"/>
    <mergeCell ref="P29:V29"/>
    <mergeCell ref="P27:T27"/>
    <mergeCell ref="G17:G18"/>
    <mergeCell ref="Z17:Z18"/>
    <mergeCell ref="P26:T26"/>
    <mergeCell ref="P71:V71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D180:E180"/>
    <mergeCell ref="D9:E9"/>
    <mergeCell ref="P197:T197"/>
    <mergeCell ref="A183:O184"/>
    <mergeCell ref="D118:E118"/>
    <mergeCell ref="P53:T53"/>
    <mergeCell ref="F9:G9"/>
    <mergeCell ref="P258:T258"/>
    <mergeCell ref="P223:T223"/>
    <mergeCell ref="P52:T52"/>
    <mergeCell ref="P201:V201"/>
    <mergeCell ref="A238:Z238"/>
    <mergeCell ref="D22:E22"/>
    <mergeCell ref="M17:M18"/>
    <mergeCell ref="O17:O18"/>
    <mergeCell ref="L274:L275"/>
    <mergeCell ref="P270:V270"/>
    <mergeCell ref="A95:Z95"/>
    <mergeCell ref="G274:G275"/>
    <mergeCell ref="A274:A275"/>
    <mergeCell ref="D161:E161"/>
    <mergeCell ref="P239:T239"/>
    <mergeCell ref="P68:T68"/>
    <mergeCell ref="P82:V82"/>
    <mergeCell ref="A44:Z44"/>
    <mergeCell ref="A31:Z31"/>
    <mergeCell ref="D257:E257"/>
    <mergeCell ref="Q274:Q275"/>
    <mergeCell ref="D254:E254"/>
    <mergeCell ref="P274:P275"/>
    <mergeCell ref="S274:S275"/>
    <mergeCell ref="A50:Z50"/>
    <mergeCell ref="A264:O265"/>
    <mergeCell ref="W17:W18"/>
    <mergeCell ref="A150:Z150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D139:E139"/>
    <mergeCell ref="P251:V251"/>
    <mergeCell ref="A228:Z228"/>
    <mergeCell ref="A212:O213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T274:T275"/>
    <mergeCell ref="V274:V275"/>
    <mergeCell ref="D258:E258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D1:F1"/>
    <mergeCell ref="P47:T47"/>
    <mergeCell ref="P235:V235"/>
    <mergeCell ref="P207:V207"/>
    <mergeCell ref="D124:E124"/>
    <mergeCell ref="P81:T81"/>
    <mergeCell ref="V10:W10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H1:Q1"/>
    <mergeCell ref="P109:V109"/>
    <mergeCell ref="P193:V193"/>
    <mergeCell ref="P39:T39"/>
    <mergeCell ref="A5:C5"/>
    <mergeCell ref="T5:U5"/>
    <mergeCell ref="D60:E60"/>
    <mergeCell ref="P244:T244"/>
    <mergeCell ref="P73:T73"/>
    <mergeCell ref="P87:V87"/>
    <mergeCell ref="P245:V245"/>
    <mergeCell ref="A144:Z144"/>
    <mergeCell ref="A215:Z215"/>
    <mergeCell ref="A120:O121"/>
    <mergeCell ref="P92:T92"/>
    <mergeCell ref="A243:Z243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45:E1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  <mergeCell ref="P183:V183"/>
    <mergeCell ref="P62:V62"/>
    <mergeCell ref="P246:V246"/>
    <mergeCell ref="D210:E210"/>
    <mergeCell ref="A226:Z2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4 X117 X124 X128 X139 X145 X172 X182 X186 X196 X198 X217 X229 X239 X25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3 X115:X116 X118:X119 X123 X133 X140 X146 X151 X156 X161 X166 X173 X179:X181 X192 X197 X199:X200 X205 X210:X211 X223 X233 X240 X244 X248:X249 X254:X257 X259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58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A2JEUI+qayC1YD/ObQHjPs/8J7Z/vYHc6rg5Cp1/qJk964IrmPe4UTGSTfa7SFWMbRoSIFAwSjyGfBUBmMkFJg==" saltValue="RJfL4bHGFdsM/Xl3CltUP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