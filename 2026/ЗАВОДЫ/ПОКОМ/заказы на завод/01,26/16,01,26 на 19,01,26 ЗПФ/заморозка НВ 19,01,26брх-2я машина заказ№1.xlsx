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828FDE3-7D64-4F0F-8CF9-FA33F414E27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заказа'!$X$267:$X$267</definedName>
    <definedName name="GrossWeightTotalR">'Бланк заказа'!$Y$267:$Y$267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заказа'!$X$268:$X$268</definedName>
    <definedName name="PalletQtyTotalR">'Бланк заказа'!$Y$268:$Y$268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заказа'!$B$211:$B$211</definedName>
    <definedName name="ProductId74">'Бланк заказа'!$B$217:$B$217</definedName>
    <definedName name="ProductId75">'Бланк заказа'!$B$223:$B$223</definedName>
    <definedName name="ProductId76">'Бланк заказа'!$B$229:$B$229</definedName>
    <definedName name="ProductId77">'Бланк заказа'!$B$233:$B$233</definedName>
    <definedName name="ProductId78">'Бланк заказа'!$B$239:$B$239</definedName>
    <definedName name="ProductId79">'Бланк заказа'!$B$240:$B$240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заказа'!$X$211:$X$211</definedName>
    <definedName name="SalesQty74">'Бланк заказа'!$X$217:$X$217</definedName>
    <definedName name="SalesQty75">'Бланк заказа'!$X$223:$X$223</definedName>
    <definedName name="SalesQty76">'Бланк заказа'!$X$229:$X$229</definedName>
    <definedName name="SalesQty77">'Бланк заказа'!$X$233:$X$233</definedName>
    <definedName name="SalesQty78">'Бланк заказа'!$X$239:$X$239</definedName>
    <definedName name="SalesQty79">'Бланк заказа'!$X$240:$X$240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заказа'!$Y$211:$Y$211</definedName>
    <definedName name="SalesRoundBox74">'Бланк заказа'!$Y$217:$Y$217</definedName>
    <definedName name="SalesRoundBox75">'Бланк заказа'!$Y$223:$Y$223</definedName>
    <definedName name="SalesRoundBox76">'Бланк заказа'!$Y$229:$Y$229</definedName>
    <definedName name="SalesRoundBox77">'Бланк заказа'!$Y$233:$Y$233</definedName>
    <definedName name="SalesRoundBox78">'Бланк заказа'!$Y$239:$Y$239</definedName>
    <definedName name="SalesRoundBox79">'Бланк заказа'!$Y$240:$Y$240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заказа'!$W$211:$W$211</definedName>
    <definedName name="UnitOfMeasure74">'Бланк заказа'!$W$217:$W$217</definedName>
    <definedName name="UnitOfMeasure75">'Бланк заказа'!$W$223:$W$223</definedName>
    <definedName name="UnitOfMeasure76">'Бланк заказа'!$W$229:$W$229</definedName>
    <definedName name="UnitOfMeasure77">'Бланк заказа'!$W$233:$W$233</definedName>
    <definedName name="UnitOfMeasure78">'Бланк заказа'!$W$239:$W$239</definedName>
    <definedName name="UnitOfMeasure79">'Бланк заказа'!$W$240:$W$240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76" i="1" l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65" i="1"/>
  <c r="X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BP256" i="1"/>
  <c r="BO256" i="1"/>
  <c r="BN256" i="1"/>
  <c r="BM256" i="1"/>
  <c r="Z256" i="1"/>
  <c r="Y256" i="1"/>
  <c r="P256" i="1"/>
  <c r="BO255" i="1"/>
  <c r="BM255" i="1"/>
  <c r="Z255" i="1"/>
  <c r="Y255" i="1"/>
  <c r="Y265" i="1" s="1"/>
  <c r="P255" i="1"/>
  <c r="BP254" i="1"/>
  <c r="BO254" i="1"/>
  <c r="BN254" i="1"/>
  <c r="BM254" i="1"/>
  <c r="Z254" i="1"/>
  <c r="Z264" i="1" s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BO248" i="1"/>
  <c r="BM248" i="1"/>
  <c r="Z248" i="1"/>
  <c r="Y248" i="1"/>
  <c r="BP248" i="1" s="1"/>
  <c r="P248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Y240" i="1"/>
  <c r="BP240" i="1" s="1"/>
  <c r="P240" i="1"/>
  <c r="BO239" i="1"/>
  <c r="BM239" i="1"/>
  <c r="Z239" i="1"/>
  <c r="Y239" i="1"/>
  <c r="P239" i="1"/>
  <c r="X235" i="1"/>
  <c r="X234" i="1"/>
  <c r="BO233" i="1"/>
  <c r="BM233" i="1"/>
  <c r="Z233" i="1"/>
  <c r="Z234" i="1" s="1"/>
  <c r="Y233" i="1"/>
  <c r="Y235" i="1" s="1"/>
  <c r="P233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O217" i="1"/>
  <c r="BM217" i="1"/>
  <c r="Z217" i="1"/>
  <c r="Z218" i="1" s="1"/>
  <c r="Y217" i="1"/>
  <c r="Y219" i="1" s="1"/>
  <c r="P217" i="1"/>
  <c r="X213" i="1"/>
  <c r="X212" i="1"/>
  <c r="BO211" i="1"/>
  <c r="BM211" i="1"/>
  <c r="Z211" i="1"/>
  <c r="Z212" i="1" s="1"/>
  <c r="Y211" i="1"/>
  <c r="P211" i="1"/>
  <c r="BO210" i="1"/>
  <c r="BM210" i="1"/>
  <c r="Z210" i="1"/>
  <c r="Y210" i="1"/>
  <c r="P210" i="1"/>
  <c r="X207" i="1"/>
  <c r="X206" i="1"/>
  <c r="BO205" i="1"/>
  <c r="BM205" i="1"/>
  <c r="Z205" i="1"/>
  <c r="Z206" i="1" s="1"/>
  <c r="Y205" i="1"/>
  <c r="P205" i="1"/>
  <c r="X202" i="1"/>
  <c r="X201" i="1"/>
  <c r="BO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Y196" i="1"/>
  <c r="BP196" i="1" s="1"/>
  <c r="P196" i="1"/>
  <c r="X194" i="1"/>
  <c r="X193" i="1"/>
  <c r="BO192" i="1"/>
  <c r="BM192" i="1"/>
  <c r="Z192" i="1"/>
  <c r="Z193" i="1" s="1"/>
  <c r="Y192" i="1"/>
  <c r="Y194" i="1" s="1"/>
  <c r="P192" i="1"/>
  <c r="X188" i="1"/>
  <c r="X187" i="1"/>
  <c r="BO186" i="1"/>
  <c r="BM186" i="1"/>
  <c r="Z186" i="1"/>
  <c r="Z187" i="1" s="1"/>
  <c r="Y186" i="1"/>
  <c r="Y188" i="1" s="1"/>
  <c r="X184" i="1"/>
  <c r="X183" i="1"/>
  <c r="BO182" i="1"/>
  <c r="BM182" i="1"/>
  <c r="Z182" i="1"/>
  <c r="Y182" i="1"/>
  <c r="P182" i="1"/>
  <c r="BO181" i="1"/>
  <c r="BM181" i="1"/>
  <c r="Z181" i="1"/>
  <c r="Y181" i="1"/>
  <c r="P181" i="1"/>
  <c r="BO180" i="1"/>
  <c r="BM180" i="1"/>
  <c r="Z180" i="1"/>
  <c r="Y180" i="1"/>
  <c r="P180" i="1"/>
  <c r="BO179" i="1"/>
  <c r="BM179" i="1"/>
  <c r="Z179" i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P128" i="1"/>
  <c r="X126" i="1"/>
  <c r="X125" i="1"/>
  <c r="BO124" i="1"/>
  <c r="BM124" i="1"/>
  <c r="Z124" i="1"/>
  <c r="Y124" i="1"/>
  <c r="BP124" i="1" s="1"/>
  <c r="P124" i="1"/>
  <c r="BO123" i="1"/>
  <c r="BM123" i="1"/>
  <c r="Z123" i="1"/>
  <c r="Y123" i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P118" i="1"/>
  <c r="BO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P64" i="1"/>
  <c r="X62" i="1"/>
  <c r="X61" i="1"/>
  <c r="BO60" i="1"/>
  <c r="BM60" i="1"/>
  <c r="Z60" i="1"/>
  <c r="Z61" i="1" s="1"/>
  <c r="Y60" i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P47" i="1"/>
  <c r="BO46" i="1"/>
  <c r="BM46" i="1"/>
  <c r="Z46" i="1"/>
  <c r="Y46" i="1"/>
  <c r="P46" i="1"/>
  <c r="BO45" i="1"/>
  <c r="BM45" i="1"/>
  <c r="Z45" i="1"/>
  <c r="Y45" i="1"/>
  <c r="P45" i="1"/>
  <c r="X42" i="1"/>
  <c r="X41" i="1"/>
  <c r="BO40" i="1"/>
  <c r="BM40" i="1"/>
  <c r="Z40" i="1"/>
  <c r="Y40" i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P33" i="1"/>
  <c r="BO32" i="1"/>
  <c r="BM32" i="1"/>
  <c r="Z32" i="1"/>
  <c r="Y32" i="1"/>
  <c r="P32" i="1"/>
  <c r="X29" i="1"/>
  <c r="X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P23" i="1"/>
  <c r="BO22" i="1"/>
  <c r="BM22" i="1"/>
  <c r="Z22" i="1"/>
  <c r="Y22" i="1"/>
  <c r="P22" i="1"/>
  <c r="H10" i="1"/>
  <c r="A9" i="1"/>
  <c r="A10" i="1" s="1"/>
  <c r="D7" i="1"/>
  <c r="Q6" i="1"/>
  <c r="P2" i="1"/>
  <c r="Z28" i="1" l="1"/>
  <c r="X268" i="1"/>
  <c r="X270" i="1"/>
  <c r="Z34" i="1"/>
  <c r="Z41" i="1"/>
  <c r="BN39" i="1"/>
  <c r="BN53" i="1"/>
  <c r="BN55" i="1"/>
  <c r="Y76" i="1"/>
  <c r="Z76" i="1"/>
  <c r="BN74" i="1"/>
  <c r="Z82" i="1"/>
  <c r="BN86" i="1"/>
  <c r="BP86" i="1"/>
  <c r="Y87" i="1"/>
  <c r="Z93" i="1"/>
  <c r="BN91" i="1"/>
  <c r="Z103" i="1"/>
  <c r="Z109" i="1"/>
  <c r="BN107" i="1"/>
  <c r="Y126" i="1"/>
  <c r="BN124" i="1"/>
  <c r="BN173" i="1"/>
  <c r="Z183" i="1"/>
  <c r="BN186" i="1"/>
  <c r="BP186" i="1"/>
  <c r="Y187" i="1"/>
  <c r="BN192" i="1"/>
  <c r="BP192" i="1"/>
  <c r="Y193" i="1"/>
  <c r="Z201" i="1"/>
  <c r="BN196" i="1"/>
  <c r="BN198" i="1"/>
  <c r="BN200" i="1"/>
  <c r="BN240" i="1"/>
  <c r="BP33" i="1"/>
  <c r="BN33" i="1"/>
  <c r="Y70" i="1"/>
  <c r="BP68" i="1"/>
  <c r="BN68" i="1"/>
  <c r="BP102" i="1"/>
  <c r="BN102" i="1"/>
  <c r="BP114" i="1"/>
  <c r="BN114" i="1"/>
  <c r="Y66" i="1"/>
  <c r="Y65" i="1"/>
  <c r="BP64" i="1"/>
  <c r="BN64" i="1"/>
  <c r="BP133" i="1"/>
  <c r="BN133" i="1"/>
  <c r="BP145" i="1"/>
  <c r="BN145" i="1"/>
  <c r="Y212" i="1"/>
  <c r="BP210" i="1"/>
  <c r="BN210" i="1"/>
  <c r="Y213" i="1"/>
  <c r="BP23" i="1"/>
  <c r="BN23" i="1"/>
  <c r="BP25" i="1"/>
  <c r="BN25" i="1"/>
  <c r="BP27" i="1"/>
  <c r="BN27" i="1"/>
  <c r="BP46" i="1"/>
  <c r="BN46" i="1"/>
  <c r="Y62" i="1"/>
  <c r="Y61" i="1"/>
  <c r="BP60" i="1"/>
  <c r="BN60" i="1"/>
  <c r="BP81" i="1"/>
  <c r="BN81" i="1"/>
  <c r="BP98" i="1"/>
  <c r="BN98" i="1"/>
  <c r="BP100" i="1"/>
  <c r="BN100" i="1"/>
  <c r="BP116" i="1"/>
  <c r="BN116" i="1"/>
  <c r="BP118" i="1"/>
  <c r="BN118" i="1"/>
  <c r="Y130" i="1"/>
  <c r="Y129" i="1"/>
  <c r="BP128" i="1"/>
  <c r="BN128" i="1"/>
  <c r="Y183" i="1"/>
  <c r="BP179" i="1"/>
  <c r="BN179" i="1"/>
  <c r="BP181" i="1"/>
  <c r="BN181" i="1"/>
  <c r="Y184" i="1"/>
  <c r="Y207" i="1"/>
  <c r="Y206" i="1"/>
  <c r="BP205" i="1"/>
  <c r="BN205" i="1"/>
  <c r="Y28" i="1"/>
  <c r="X267" i="1"/>
  <c r="X269" i="1" s="1"/>
  <c r="X266" i="1"/>
  <c r="Y41" i="1"/>
  <c r="Y42" i="1"/>
  <c r="Y49" i="1"/>
  <c r="Z48" i="1"/>
  <c r="Z56" i="1"/>
  <c r="Z70" i="1"/>
  <c r="Y83" i="1"/>
  <c r="Y93" i="1"/>
  <c r="Y104" i="1"/>
  <c r="Y109" i="1"/>
  <c r="Y120" i="1"/>
  <c r="Z120" i="1"/>
  <c r="Z125" i="1"/>
  <c r="Z135" i="1"/>
  <c r="Z147" i="1"/>
  <c r="Z174" i="1"/>
  <c r="BN244" i="1"/>
  <c r="BP244" i="1"/>
  <c r="Y245" i="1"/>
  <c r="Z251" i="1"/>
  <c r="BN248" i="1"/>
  <c r="BN250" i="1"/>
  <c r="Y264" i="1"/>
  <c r="F9" i="1"/>
  <c r="J9" i="1"/>
  <c r="F10" i="1"/>
  <c r="BN22" i="1"/>
  <c r="BP22" i="1"/>
  <c r="BN24" i="1"/>
  <c r="BN26" i="1"/>
  <c r="Y29" i="1"/>
  <c r="Y35" i="1"/>
  <c r="BP32" i="1"/>
  <c r="BN32" i="1"/>
  <c r="Y34" i="1"/>
  <c r="BP40" i="1"/>
  <c r="BN40" i="1"/>
  <c r="Y57" i="1"/>
  <c r="BP52" i="1"/>
  <c r="BN52" i="1"/>
  <c r="Y56" i="1"/>
  <c r="H9" i="1"/>
  <c r="Y48" i="1"/>
  <c r="BP45" i="1"/>
  <c r="BN45" i="1"/>
  <c r="BP47" i="1"/>
  <c r="BN47" i="1"/>
  <c r="Y71" i="1"/>
  <c r="Y77" i="1"/>
  <c r="Y82" i="1"/>
  <c r="Y94" i="1"/>
  <c r="Y103" i="1"/>
  <c r="Y110" i="1"/>
  <c r="Y121" i="1"/>
  <c r="Y125" i="1"/>
  <c r="Y136" i="1"/>
  <c r="Y142" i="1"/>
  <c r="BP139" i="1"/>
  <c r="BN139" i="1"/>
  <c r="Y141" i="1"/>
  <c r="BP146" i="1"/>
  <c r="BN146" i="1"/>
  <c r="Y157" i="1"/>
  <c r="BP156" i="1"/>
  <c r="BN156" i="1"/>
  <c r="Y167" i="1"/>
  <c r="BP166" i="1"/>
  <c r="BN166" i="1"/>
  <c r="BP197" i="1"/>
  <c r="BN197" i="1"/>
  <c r="BP199" i="1"/>
  <c r="BN199" i="1"/>
  <c r="Y201" i="1"/>
  <c r="BP211" i="1"/>
  <c r="BN211" i="1"/>
  <c r="Y224" i="1"/>
  <c r="BP223" i="1"/>
  <c r="BN223" i="1"/>
  <c r="Y234" i="1"/>
  <c r="BP233" i="1"/>
  <c r="BN233" i="1"/>
  <c r="Z241" i="1"/>
  <c r="Y2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3" i="1"/>
  <c r="BP123" i="1"/>
  <c r="Y135" i="1"/>
  <c r="BN134" i="1"/>
  <c r="Z141" i="1"/>
  <c r="Z271" i="1" s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BP182" i="1"/>
  <c r="BN182" i="1"/>
  <c r="Y202" i="1"/>
  <c r="Y218" i="1"/>
  <c r="BP217" i="1"/>
  <c r="BN217" i="1"/>
  <c r="Y230" i="1"/>
  <c r="BP229" i="1"/>
  <c r="BN229" i="1"/>
  <c r="Y242" i="1"/>
  <c r="BP239" i="1"/>
  <c r="BN239" i="1"/>
  <c r="Y241" i="1"/>
  <c r="BP249" i="1"/>
  <c r="BN249" i="1"/>
  <c r="Y251" i="1"/>
  <c r="BP255" i="1"/>
  <c r="BN255" i="1"/>
  <c r="BP257" i="1"/>
  <c r="BN257" i="1"/>
  <c r="BP259" i="1"/>
  <c r="BN259" i="1"/>
  <c r="BP261" i="1"/>
  <c r="BN261" i="1"/>
  <c r="BP263" i="1"/>
  <c r="BN263" i="1"/>
  <c r="Y270" i="1" l="1"/>
  <c r="Y266" i="1"/>
  <c r="Y267" i="1"/>
  <c r="Y268" i="1"/>
  <c r="C279" i="1" l="1"/>
  <c r="Y269" i="1"/>
  <c r="B279" i="1" s="1"/>
  <c r="A279" i="1"/>
</calcChain>
</file>

<file path=xl/sharedStrings.xml><?xml version="1.0" encoding="utf-8"?>
<sst xmlns="http://schemas.openxmlformats.org/spreadsheetml/2006/main" count="1208" uniqueCount="393">
  <si>
    <t xml:space="preserve">  БЛАНК ЗАКАЗА </t>
  </si>
  <si>
    <t>ЗПФ</t>
  </si>
  <si>
    <t>на отгрузку продукции с ООО Трейд-Сервис с</t>
  </si>
  <si>
    <t>15.01.2026</t>
  </si>
  <si>
    <t>бланк создан</t>
  </si>
  <si>
    <t>12.01.2026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</si>
  <si>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</si>
  <si>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</si>
  <si>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</si>
  <si>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</si>
  <si>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</si>
  <si>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</si>
  <si>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</si>
  <si>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</si>
  <si>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</si>
  <si>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</si>
  <si>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</si>
  <si>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</si>
  <si>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</si>
  <si>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</si>
  <si>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</si>
  <si>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</si>
  <si>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</si>
  <si>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</si>
  <si>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</si>
  <si>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</si>
  <si>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</si>
  <si>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</si>
  <si>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</si>
  <si>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</si>
  <si>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</si>
  <si>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</si>
  <si>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</si>
  <si>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</si>
  <si>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</si>
  <si>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</si>
  <si>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</si>
  <si>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</si>
  <si>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</si>
  <si>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</si>
  <si>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</si>
  <si>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</si>
  <si>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</si>
  <si>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</si>
  <si>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</si>
  <si>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</si>
  <si>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</si>
  <si>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</si>
  <si>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</si>
  <si>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</si>
  <si>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</si>
  <si>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</si>
  <si>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</si>
  <si>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</si>
  <si>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</si>
  <si>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</si>
  <si>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</si>
  <si>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</si>
  <si>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</si>
  <si>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</si>
  <si>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</si>
  <si>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</si>
  <si>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</si>
  <si>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</si>
  <si>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</si>
  <si>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</si>
  <si>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</si>
  <si>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</si>
  <si>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</si>
  <si>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</si>
  <si>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</si>
  <si>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</si>
  <si>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</si>
  <si>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</si>
  <si>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</si>
  <si>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</si>
  <si>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</si>
  <si>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</si>
  <si>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</si>
  <si>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</si>
  <si>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</si>
  <si>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</si>
  <si>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</si>
  <si>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</si>
  <si>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</si>
  <si>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</si>
  <si>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</si>
  <si>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</si>
  <si>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</si>
  <si>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</si>
  <si>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</si>
  <si>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</si>
  <si>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</si>
  <si>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</si>
  <si>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</si>
  <si>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</si>
  <si>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</si>
  <si>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</si>
  <si>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</si>
  <si>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</si>
  <si>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</si>
  <si>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</si>
  <si>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</si>
  <si>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</si>
  <si>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</si>
  <si>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</si>
  <si>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</si>
  <si>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</si>
  <si>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</si>
  <si>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</si>
  <si>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</si>
  <si>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</si>
  <si>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</si>
  <si>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</si>
  <si>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</si>
  <si>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</si>
  <si>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</si>
  <si>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</si>
  <si>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</si>
  <si>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</si>
  <si>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</si>
  <si>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</si>
  <si>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</si>
  <si>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</si>
  <si>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</si>
  <si>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</si>
  <si>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</si>
  <si>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</si>
  <si>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</si>
  <si>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</si>
  <si>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</si>
  <si>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</si>
  <si>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</si>
  <si>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</si>
  <si>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</si>
  <si>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</si>
  <si>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</si>
  <si>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</si>
  <si>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</si>
  <si>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</si>
  <si>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</si>
  <si>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</si>
  <si>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</si>
  <si>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</si>
  <si>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</si>
  <si>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</si>
  <si>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</si>
  <si>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</si>
  <si>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</si>
  <si>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</si>
  <si>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</si>
  <si>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</si>
  <si>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</si>
  <si>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</si>
  <si>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</si>
  <si>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</si>
  <si>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</si>
  <si>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</si>
  <si>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</si>
  <si>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</si>
  <si>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</si>
  <si>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</si>
  <si>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</si>
  <si>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</si>
  <si>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</si>
  <si>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</si>
  <si>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</si>
  <si>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</si>
  <si>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</si>
  <si>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</si>
  <si>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</si>
  <si>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</si>
  <si>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</si>
  <si>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</si>
  <si>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</si>
  <si>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</si>
  <si>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</si>
  <si>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</si>
  <si>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</si>
  <si>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</si>
  <si>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</si>
  <si>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</si>
  <si>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</si>
  <si>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</si>
  <si>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</si>
  <si>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</si>
  <si>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</si>
  <si>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</si>
  <si>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</si>
  <si>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</si>
  <si>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</si>
  <si>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</si>
  <si>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</si>
  <si>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</si>
  <si>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</si>
  <si>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</si>
  <si>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</si>
  <si>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</si>
  <si>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</si>
  <si>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</si>
  <si>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</si>
  <si>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</si>
  <si>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</si>
  <si>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</si>
  <si>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</si>
  <si>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</si>
  <si>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SU003727</t>
  </si>
  <si>
    <t>P004749</t>
  </si>
  <si>
    <t>ЕАЭС N RU Д-RU.РА01.В.73804/25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</si>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</sst>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4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2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92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6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79"/>
  <sheetViews>
    <sheetView showGridLines="0" tabSelected="1" zoomScaleNormal="100" zoomScaleSheetLayoutView="100" workbookViewId="0">
      <selection activeCell="AA26" sqref="AA26"/>
    </sheetView>
  </sheetViews>
  <sheetFormatPr defaultColWidth="9.140625" defaultRowHeight="12.75" x14ac:dyDescent="0.2"/>
  <cols>
    <col min="1" max="1" width="9.140625" style="26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4" customWidth="1"/>
    <col min="19" max="19" width="6.140625" style="26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4" customWidth="1"/>
    <col min="25" max="25" width="11" style="264" customWidth="1"/>
    <col min="26" max="26" width="10" style="264" customWidth="1"/>
    <col min="27" max="27" width="11.5703125" style="264" customWidth="1"/>
    <col min="28" max="28" width="10.42578125" style="264" customWidth="1"/>
    <col min="29" max="29" width="30" style="26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4" customWidth="1"/>
    <col min="34" max="34" width="9.140625" style="264" customWidth="1"/>
    <col min="35" max="16384" width="9.140625" style="264"/>
  </cols>
  <sheetData>
    <row r="1" spans="1:32" s="260" customFormat="1" ht="45" customHeight="1" x14ac:dyDescent="0.2">
      <c r="A1" s="41"/>
      <c r="B1" s="41"/>
      <c r="C1" s="41"/>
      <c r="D1" s="311" t="s">
        <v>0</v>
      </c>
      <c r="E1" s="300"/>
      <c r="F1" s="300"/>
      <c r="G1" s="12" t="s">
        <v>1</v>
      </c>
      <c r="H1" s="31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0" customFormat="1" ht="23.45" customHeight="1" x14ac:dyDescent="0.2">
      <c r="A5" s="290" t="s">
        <v>8</v>
      </c>
      <c r="B5" s="291"/>
      <c r="C5" s="292"/>
      <c r="D5" s="321"/>
      <c r="E5" s="322"/>
      <c r="F5" s="425" t="s">
        <v>9</v>
      </c>
      <c r="G5" s="292"/>
      <c r="H5" s="321" t="s">
        <v>392</v>
      </c>
      <c r="I5" s="431"/>
      <c r="J5" s="431"/>
      <c r="K5" s="431"/>
      <c r="L5" s="431"/>
      <c r="M5" s="322"/>
      <c r="N5" s="61"/>
      <c r="P5" s="24" t="s">
        <v>10</v>
      </c>
      <c r="Q5" s="420">
        <v>46041</v>
      </c>
      <c r="R5" s="346"/>
      <c r="T5" s="293" t="s">
        <v>11</v>
      </c>
      <c r="U5" s="294"/>
      <c r="V5" s="372" t="s">
        <v>12</v>
      </c>
      <c r="W5" s="346"/>
      <c r="AB5" s="51"/>
      <c r="AC5" s="51"/>
      <c r="AD5" s="51"/>
      <c r="AE5" s="51"/>
    </row>
    <row r="6" spans="1:32" s="260" customFormat="1" ht="24" customHeight="1" x14ac:dyDescent="0.2">
      <c r="A6" s="290" t="s">
        <v>13</v>
      </c>
      <c r="B6" s="291"/>
      <c r="C6" s="292"/>
      <c r="D6" s="432" t="s">
        <v>14</v>
      </c>
      <c r="E6" s="433"/>
      <c r="F6" s="433"/>
      <c r="G6" s="433"/>
      <c r="H6" s="433"/>
      <c r="I6" s="433"/>
      <c r="J6" s="433"/>
      <c r="K6" s="433"/>
      <c r="L6" s="433"/>
      <c r="M6" s="346"/>
      <c r="N6" s="62"/>
      <c r="P6" s="24" t="s">
        <v>15</v>
      </c>
      <c r="Q6" s="422" t="str">
        <f>IF(Q5=0," ",CHOOSE(WEEKDAY(Q5,2),"Понедельник","Вторник","Среда","Четверг","Пятница","Суббота","Воскресенье"))</f>
        <v>Понедельник</v>
      </c>
      <c r="R6" s="275"/>
      <c r="T6" s="375" t="s">
        <v>16</v>
      </c>
      <c r="U6" s="294"/>
      <c r="V6" s="435" t="s">
        <v>17</v>
      </c>
      <c r="W6" s="320"/>
      <c r="AB6" s="51"/>
      <c r="AC6" s="51"/>
      <c r="AD6" s="51"/>
      <c r="AE6" s="51"/>
    </row>
    <row r="7" spans="1:32" s="260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2"/>
      <c r="U7" s="294"/>
      <c r="V7" s="436"/>
      <c r="W7" s="437"/>
      <c r="AB7" s="51"/>
      <c r="AC7" s="51"/>
      <c r="AD7" s="51"/>
      <c r="AE7" s="51"/>
    </row>
    <row r="8" spans="1:32" s="260" customFormat="1" ht="25.5" customHeight="1" x14ac:dyDescent="0.2">
      <c r="A8" s="451" t="s">
        <v>18</v>
      </c>
      <c r="B8" s="277"/>
      <c r="C8" s="278"/>
      <c r="D8" s="308" t="s">
        <v>19</v>
      </c>
      <c r="E8" s="309"/>
      <c r="F8" s="309"/>
      <c r="G8" s="309"/>
      <c r="H8" s="309"/>
      <c r="I8" s="309"/>
      <c r="J8" s="309"/>
      <c r="K8" s="309"/>
      <c r="L8" s="309"/>
      <c r="M8" s="310"/>
      <c r="N8" s="64"/>
      <c r="P8" s="24" t="s">
        <v>20</v>
      </c>
      <c r="Q8" s="329">
        <v>0.45833333333333331</v>
      </c>
      <c r="R8" s="305"/>
      <c r="T8" s="282"/>
      <c r="U8" s="294"/>
      <c r="V8" s="436"/>
      <c r="W8" s="437"/>
      <c r="AB8" s="51"/>
      <c r="AC8" s="51"/>
      <c r="AD8" s="51"/>
      <c r="AE8" s="51"/>
    </row>
    <row r="9" spans="1:32" s="260" customFormat="1" ht="39.950000000000003" customHeight="1" x14ac:dyDescent="0.2">
      <c r="A9" s="3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4"/>
      <c r="E9" s="273"/>
      <c r="F9" s="3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2" t="str">
        <f>IF(AND($A$9="Тип доверенности/получателя при получении в адресе перегруза:",$D$9="Разовая доверенность"),"Введите ФИО","")</f>
        <v/>
      </c>
      <c r="I9" s="273"/>
      <c r="J9" s="27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3"/>
      <c r="L9" s="273"/>
      <c r="M9" s="273"/>
      <c r="N9" s="258"/>
      <c r="P9" s="26" t="s">
        <v>21</v>
      </c>
      <c r="Q9" s="343"/>
      <c r="R9" s="344"/>
      <c r="T9" s="282"/>
      <c r="U9" s="294"/>
      <c r="V9" s="438"/>
      <c r="W9" s="439"/>
      <c r="X9" s="43"/>
      <c r="Y9" s="43"/>
      <c r="Z9" s="43"/>
      <c r="AA9" s="43"/>
      <c r="AB9" s="51"/>
      <c r="AC9" s="51"/>
      <c r="AD9" s="51"/>
      <c r="AE9" s="51"/>
    </row>
    <row r="10" spans="1:32" s="260" customFormat="1" ht="26.45" customHeight="1" x14ac:dyDescent="0.2">
      <c r="A10" s="3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4"/>
      <c r="E10" s="273"/>
      <c r="F10" s="3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3" t="str">
        <f>IFERROR(VLOOKUP($D$10,Proxy,2,FALSE),"")</f>
        <v/>
      </c>
      <c r="I10" s="282"/>
      <c r="J10" s="282"/>
      <c r="K10" s="282"/>
      <c r="L10" s="282"/>
      <c r="M10" s="282"/>
      <c r="N10" s="259"/>
      <c r="P10" s="26" t="s">
        <v>22</v>
      </c>
      <c r="Q10" s="376"/>
      <c r="R10" s="377"/>
      <c r="U10" s="24" t="s">
        <v>23</v>
      </c>
      <c r="V10" s="319" t="s">
        <v>24</v>
      </c>
      <c r="W10" s="320"/>
      <c r="X10" s="44"/>
      <c r="Y10" s="44"/>
      <c r="Z10" s="44"/>
      <c r="AA10" s="44"/>
      <c r="AB10" s="51"/>
      <c r="AC10" s="51"/>
      <c r="AD10" s="51"/>
      <c r="AE10" s="51"/>
    </row>
    <row r="11" spans="1:32" s="260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5"/>
      <c r="R11" s="346"/>
      <c r="U11" s="24" t="s">
        <v>27</v>
      </c>
      <c r="V11" s="386" t="s">
        <v>28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0" customFormat="1" ht="18.600000000000001" customHeight="1" x14ac:dyDescent="0.2">
      <c r="A12" s="360" t="s">
        <v>29</v>
      </c>
      <c r="B12" s="291"/>
      <c r="C12" s="291"/>
      <c r="D12" s="291"/>
      <c r="E12" s="291"/>
      <c r="F12" s="291"/>
      <c r="G12" s="291"/>
      <c r="H12" s="291"/>
      <c r="I12" s="291"/>
      <c r="J12" s="291"/>
      <c r="K12" s="291"/>
      <c r="L12" s="291"/>
      <c r="M12" s="292"/>
      <c r="N12" s="65"/>
      <c r="P12" s="24" t="s">
        <v>30</v>
      </c>
      <c r="Q12" s="329"/>
      <c r="R12" s="305"/>
      <c r="S12" s="23"/>
      <c r="U12" s="24"/>
      <c r="V12" s="300"/>
      <c r="W12" s="282"/>
      <c r="AB12" s="51"/>
      <c r="AC12" s="51"/>
      <c r="AD12" s="51"/>
      <c r="AE12" s="51"/>
    </row>
    <row r="13" spans="1:32" s="260" customFormat="1" ht="23.25" customHeight="1" x14ac:dyDescent="0.2">
      <c r="A13" s="360" t="s">
        <v>31</v>
      </c>
      <c r="B13" s="291"/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2"/>
      <c r="N13" s="65"/>
      <c r="O13" s="26"/>
      <c r="P13" s="26" t="s">
        <v>32</v>
      </c>
      <c r="Q13" s="38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0" customFormat="1" ht="18.600000000000001" customHeight="1" x14ac:dyDescent="0.2">
      <c r="A14" s="360" t="s">
        <v>33</v>
      </c>
      <c r="B14" s="291"/>
      <c r="C14" s="291"/>
      <c r="D14" s="291"/>
      <c r="E14" s="291"/>
      <c r="F14" s="291"/>
      <c r="G14" s="291"/>
      <c r="H14" s="291"/>
      <c r="I14" s="291"/>
      <c r="J14" s="291"/>
      <c r="K14" s="291"/>
      <c r="L14" s="291"/>
      <c r="M14" s="29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0" customFormat="1" ht="22.5" customHeight="1" x14ac:dyDescent="0.2">
      <c r="A15" s="379" t="s">
        <v>34</v>
      </c>
      <c r="B15" s="291"/>
      <c r="C15" s="291"/>
      <c r="D15" s="291"/>
      <c r="E15" s="291"/>
      <c r="F15" s="291"/>
      <c r="G15" s="291"/>
      <c r="H15" s="291"/>
      <c r="I15" s="291"/>
      <c r="J15" s="291"/>
      <c r="K15" s="291"/>
      <c r="L15" s="291"/>
      <c r="M15" s="292"/>
      <c r="N15" s="66"/>
      <c r="P15" s="362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3"/>
      <c r="Q16" s="363"/>
      <c r="R16" s="363"/>
      <c r="S16" s="363"/>
      <c r="T16" s="3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36</v>
      </c>
      <c r="B17" s="301" t="s">
        <v>37</v>
      </c>
      <c r="C17" s="450" t="s">
        <v>38</v>
      </c>
      <c r="D17" s="301" t="s">
        <v>39</v>
      </c>
      <c r="E17" s="335"/>
      <c r="F17" s="301" t="s">
        <v>40</v>
      </c>
      <c r="G17" s="301" t="s">
        <v>41</v>
      </c>
      <c r="H17" s="301" t="s">
        <v>42</v>
      </c>
      <c r="I17" s="301" t="s">
        <v>43</v>
      </c>
      <c r="J17" s="301" t="s">
        <v>44</v>
      </c>
      <c r="K17" s="301" t="s">
        <v>45</v>
      </c>
      <c r="L17" s="301" t="s">
        <v>46</v>
      </c>
      <c r="M17" s="301" t="s">
        <v>47</v>
      </c>
      <c r="N17" s="301" t="s">
        <v>48</v>
      </c>
      <c r="O17" s="301" t="s">
        <v>49</v>
      </c>
      <c r="P17" s="301" t="s">
        <v>50</v>
      </c>
      <c r="Q17" s="334"/>
      <c r="R17" s="334"/>
      <c r="S17" s="334"/>
      <c r="T17" s="335"/>
      <c r="U17" s="441" t="s">
        <v>51</v>
      </c>
      <c r="V17" s="292"/>
      <c r="W17" s="301" t="s">
        <v>52</v>
      </c>
      <c r="X17" s="301" t="s">
        <v>53</v>
      </c>
      <c r="Y17" s="442" t="s">
        <v>54</v>
      </c>
      <c r="Z17" s="406" t="s">
        <v>55</v>
      </c>
      <c r="AA17" s="391" t="s">
        <v>56</v>
      </c>
      <c r="AB17" s="391" t="s">
        <v>57</v>
      </c>
      <c r="AC17" s="391" t="s">
        <v>58</v>
      </c>
      <c r="AD17" s="391" t="s">
        <v>59</v>
      </c>
      <c r="AE17" s="444"/>
      <c r="AF17" s="445"/>
      <c r="AG17" s="69"/>
      <c r="BD17" s="68" t="s">
        <v>60</v>
      </c>
    </row>
    <row r="18" spans="1:68" ht="14.25" customHeight="1" x14ac:dyDescent="0.2">
      <c r="A18" s="302"/>
      <c r="B18" s="302"/>
      <c r="C18" s="302"/>
      <c r="D18" s="336"/>
      <c r="E18" s="338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36"/>
      <c r="Q18" s="337"/>
      <c r="R18" s="337"/>
      <c r="S18" s="337"/>
      <c r="T18" s="338"/>
      <c r="U18" s="70" t="s">
        <v>61</v>
      </c>
      <c r="V18" s="70" t="s">
        <v>62</v>
      </c>
      <c r="W18" s="302"/>
      <c r="X18" s="302"/>
      <c r="Y18" s="443"/>
      <c r="Z18" s="407"/>
      <c r="AA18" s="392"/>
      <c r="AB18" s="392"/>
      <c r="AC18" s="392"/>
      <c r="AD18" s="446"/>
      <c r="AE18" s="447"/>
      <c r="AF18" s="448"/>
      <c r="AG18" s="69"/>
      <c r="BD18" s="68"/>
    </row>
    <row r="19" spans="1:68" ht="27.75" hidden="1" customHeight="1" x14ac:dyDescent="0.2">
      <c r="A19" s="279" t="s">
        <v>63</v>
      </c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80"/>
      <c r="S19" s="280"/>
      <c r="T19" s="280"/>
      <c r="U19" s="280"/>
      <c r="V19" s="280"/>
      <c r="W19" s="280"/>
      <c r="X19" s="280"/>
      <c r="Y19" s="280"/>
      <c r="Z19" s="280"/>
      <c r="AA19" s="48"/>
      <c r="AB19" s="48"/>
      <c r="AC19" s="48"/>
    </row>
    <row r="20" spans="1:68" ht="16.5" hidden="1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1"/>
      <c r="AB20" s="261"/>
      <c r="AC20" s="261"/>
    </row>
    <row r="21" spans="1:68" ht="14.25" hidden="1" customHeight="1" x14ac:dyDescent="0.25">
      <c r="A21" s="297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4">
        <v>4607111035912</v>
      </c>
      <c r="E22" s="275"/>
      <c r="F22" s="265">
        <v>0.43</v>
      </c>
      <c r="G22" s="32">
        <v>16</v>
      </c>
      <c r="H22" s="265">
        <v>6.88</v>
      </c>
      <c r="I22" s="265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6"/>
      <c r="R22" s="286"/>
      <c r="S22" s="286"/>
      <c r="T22" s="287"/>
      <c r="U22" s="34"/>
      <c r="V22" s="34"/>
      <c r="W22" s="35" t="s">
        <v>70</v>
      </c>
      <c r="X22" s="266">
        <v>0</v>
      </c>
      <c r="Y22" s="26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4">
        <v>4607111035103</v>
      </c>
      <c r="E23" s="275"/>
      <c r="F23" s="265">
        <v>0.43</v>
      </c>
      <c r="G23" s="32">
        <v>16</v>
      </c>
      <c r="H23" s="265">
        <v>6.88</v>
      </c>
      <c r="I23" s="265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6"/>
      <c r="R23" s="286"/>
      <c r="S23" s="286"/>
      <c r="T23" s="287"/>
      <c r="U23" s="34"/>
      <c r="V23" s="34"/>
      <c r="W23" s="35" t="s">
        <v>70</v>
      </c>
      <c r="X23" s="266">
        <v>0</v>
      </c>
      <c r="Y23" s="267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4301071109</v>
      </c>
      <c r="D24" s="274">
        <v>4607111035929</v>
      </c>
      <c r="E24" s="275"/>
      <c r="F24" s="265">
        <v>0.9</v>
      </c>
      <c r="G24" s="32">
        <v>8</v>
      </c>
      <c r="H24" s="265">
        <v>7.2</v>
      </c>
      <c r="I24" s="265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44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6"/>
      <c r="R24" s="286"/>
      <c r="S24" s="286"/>
      <c r="T24" s="287"/>
      <c r="U24" s="34"/>
      <c r="V24" s="34"/>
      <c r="W24" s="35" t="s">
        <v>70</v>
      </c>
      <c r="X24" s="266">
        <v>0</v>
      </c>
      <c r="Y24" s="267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77</v>
      </c>
      <c r="B25" s="54" t="s">
        <v>78</v>
      </c>
      <c r="C25" s="31">
        <v>4301071106</v>
      </c>
      <c r="D25" s="274">
        <v>4607111035882</v>
      </c>
      <c r="E25" s="275"/>
      <c r="F25" s="265">
        <v>0.43</v>
      </c>
      <c r="G25" s="32">
        <v>16</v>
      </c>
      <c r="H25" s="265">
        <v>6.88</v>
      </c>
      <c r="I25" s="265">
        <v>7.19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6"/>
      <c r="R25" s="286"/>
      <c r="S25" s="286"/>
      <c r="T25" s="287"/>
      <c r="U25" s="34"/>
      <c r="V25" s="34"/>
      <c r="W25" s="35" t="s">
        <v>70</v>
      </c>
      <c r="X25" s="266">
        <v>0</v>
      </c>
      <c r="Y25" s="267">
        <f t="shared" si="0"/>
        <v>0</v>
      </c>
      <c r="Z25" s="36">
        <f t="shared" si="1"/>
        <v>0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4301071105</v>
      </c>
      <c r="D26" s="274">
        <v>4607111035110</v>
      </c>
      <c r="E26" s="275"/>
      <c r="F26" s="265">
        <v>0.9</v>
      </c>
      <c r="G26" s="32">
        <v>8</v>
      </c>
      <c r="H26" s="265">
        <v>7.2</v>
      </c>
      <c r="I26" s="265">
        <v>7.47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40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6"/>
      <c r="R26" s="286"/>
      <c r="S26" s="286"/>
      <c r="T26" s="287"/>
      <c r="U26" s="34"/>
      <c r="V26" s="34"/>
      <c r="W26" s="35" t="s">
        <v>70</v>
      </c>
      <c r="X26" s="266">
        <v>12</v>
      </c>
      <c r="Y26" s="267">
        <f t="shared" si="0"/>
        <v>12</v>
      </c>
      <c r="Z26" s="36">
        <f t="shared" si="1"/>
        <v>0.186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4301071107</v>
      </c>
      <c r="D27" s="274">
        <v>4607111035905</v>
      </c>
      <c r="E27" s="275"/>
      <c r="F27" s="265">
        <v>0.9</v>
      </c>
      <c r="G27" s="32">
        <v>8</v>
      </c>
      <c r="H27" s="265">
        <v>7.2</v>
      </c>
      <c r="I27" s="265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40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70</v>
      </c>
      <c r="X27" s="266">
        <v>0</v>
      </c>
      <c r="Y27" s="267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3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4"/>
      <c r="P28" s="276" t="s">
        <v>83</v>
      </c>
      <c r="Q28" s="277"/>
      <c r="R28" s="277"/>
      <c r="S28" s="277"/>
      <c r="T28" s="277"/>
      <c r="U28" s="277"/>
      <c r="V28" s="278"/>
      <c r="W28" s="37" t="s">
        <v>70</v>
      </c>
      <c r="X28" s="268">
        <f>IFERROR(SUM(X22:X27),"0")</f>
        <v>12</v>
      </c>
      <c r="Y28" s="268">
        <f>IFERROR(SUM(Y22:Y27),"0")</f>
        <v>12</v>
      </c>
      <c r="Z28" s="268">
        <f>IFERROR(IF(Z22="",0,Z22),"0")+IFERROR(IF(Z23="",0,Z23),"0")+IFERROR(IF(Z24="",0,Z24),"0")+IFERROR(IF(Z25="",0,Z25),"0")+IFERROR(IF(Z26="",0,Z26),"0")+IFERROR(IF(Z27="",0,Z27),"0")</f>
        <v>0.186</v>
      </c>
      <c r="AA28" s="269"/>
      <c r="AB28" s="269"/>
      <c r="AC28" s="269"/>
    </row>
    <row r="29" spans="1:68" x14ac:dyDescent="0.2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4"/>
      <c r="P29" s="276" t="s">
        <v>83</v>
      </c>
      <c r="Q29" s="277"/>
      <c r="R29" s="277"/>
      <c r="S29" s="277"/>
      <c r="T29" s="277"/>
      <c r="U29" s="277"/>
      <c r="V29" s="278"/>
      <c r="W29" s="37" t="s">
        <v>84</v>
      </c>
      <c r="X29" s="268">
        <f>IFERROR(SUMPRODUCT(X22:X27*H22:H27),"0")</f>
        <v>86.4</v>
      </c>
      <c r="Y29" s="268">
        <f>IFERROR(SUMPRODUCT(Y22:Y27*H22:H27),"0")</f>
        <v>86.4</v>
      </c>
      <c r="Z29" s="37"/>
      <c r="AA29" s="269"/>
      <c r="AB29" s="269"/>
      <c r="AC29" s="269"/>
    </row>
    <row r="30" spans="1:68" ht="16.5" hidden="1" customHeight="1" x14ac:dyDescent="0.25">
      <c r="A30" s="281" t="s">
        <v>85</v>
      </c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  <c r="AA30" s="261"/>
      <c r="AB30" s="261"/>
      <c r="AC30" s="261"/>
    </row>
    <row r="31" spans="1:68" ht="14.25" hidden="1" customHeight="1" x14ac:dyDescent="0.25">
      <c r="A31" s="297" t="s">
        <v>64</v>
      </c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  <c r="AA31" s="262"/>
      <c r="AB31" s="262"/>
      <c r="AC31" s="262"/>
    </row>
    <row r="32" spans="1:68" ht="16.5" hidden="1" customHeight="1" x14ac:dyDescent="0.25">
      <c r="A32" s="54" t="s">
        <v>86</v>
      </c>
      <c r="B32" s="54" t="s">
        <v>87</v>
      </c>
      <c r="C32" s="31">
        <v>4301071099</v>
      </c>
      <c r="D32" s="274">
        <v>4607111039019</v>
      </c>
      <c r="E32" s="275"/>
      <c r="F32" s="265">
        <v>0.43</v>
      </c>
      <c r="G32" s="32">
        <v>16</v>
      </c>
      <c r="H32" s="265">
        <v>6.88</v>
      </c>
      <c r="I32" s="265">
        <v>7.2060000000000004</v>
      </c>
      <c r="J32" s="32">
        <v>84</v>
      </c>
      <c r="K32" s="32" t="s">
        <v>67</v>
      </c>
      <c r="L32" s="32" t="s">
        <v>68</v>
      </c>
      <c r="M32" s="33" t="s">
        <v>69</v>
      </c>
      <c r="N32" s="33"/>
      <c r="O32" s="32">
        <v>180</v>
      </c>
      <c r="P32" s="3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6"/>
      <c r="R32" s="286"/>
      <c r="S32" s="286"/>
      <c r="T32" s="287"/>
      <c r="U32" s="34"/>
      <c r="V32" s="34"/>
      <c r="W32" s="35" t="s">
        <v>70</v>
      </c>
      <c r="X32" s="266">
        <v>0</v>
      </c>
      <c r="Y32" s="26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88</v>
      </c>
      <c r="AG32" s="67"/>
      <c r="AJ32" s="71" t="s">
        <v>72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89</v>
      </c>
      <c r="B33" s="54" t="s">
        <v>90</v>
      </c>
      <c r="C33" s="31">
        <v>4301071100</v>
      </c>
      <c r="D33" s="274">
        <v>4607111038708</v>
      </c>
      <c r="E33" s="275"/>
      <c r="F33" s="265">
        <v>0.8</v>
      </c>
      <c r="G33" s="32">
        <v>8</v>
      </c>
      <c r="H33" s="265">
        <v>6.4</v>
      </c>
      <c r="I33" s="265">
        <v>6.67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3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6"/>
      <c r="R33" s="286"/>
      <c r="S33" s="286"/>
      <c r="T33" s="287"/>
      <c r="U33" s="34"/>
      <c r="V33" s="34"/>
      <c r="W33" s="35" t="s">
        <v>70</v>
      </c>
      <c r="X33" s="266">
        <v>0</v>
      </c>
      <c r="Y33" s="26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88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3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4"/>
      <c r="P34" s="276" t="s">
        <v>83</v>
      </c>
      <c r="Q34" s="277"/>
      <c r="R34" s="277"/>
      <c r="S34" s="277"/>
      <c r="T34" s="277"/>
      <c r="U34" s="277"/>
      <c r="V34" s="278"/>
      <c r="W34" s="37" t="s">
        <v>70</v>
      </c>
      <c r="X34" s="268">
        <f>IFERROR(SUM(X32:X33),"0")</f>
        <v>0</v>
      </c>
      <c r="Y34" s="268">
        <f>IFERROR(SUM(Y32:Y33),"0")</f>
        <v>0</v>
      </c>
      <c r="Z34" s="268">
        <f>IFERROR(IF(Z32="",0,Z32),"0")+IFERROR(IF(Z33="",0,Z33),"0")</f>
        <v>0</v>
      </c>
      <c r="AA34" s="269"/>
      <c r="AB34" s="269"/>
      <c r="AC34" s="269"/>
    </row>
    <row r="35" spans="1:68" hidden="1" x14ac:dyDescent="0.2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4"/>
      <c r="P35" s="276" t="s">
        <v>83</v>
      </c>
      <c r="Q35" s="277"/>
      <c r="R35" s="277"/>
      <c r="S35" s="277"/>
      <c r="T35" s="277"/>
      <c r="U35" s="277"/>
      <c r="V35" s="278"/>
      <c r="W35" s="37" t="s">
        <v>84</v>
      </c>
      <c r="X35" s="268">
        <f>IFERROR(SUMPRODUCT(X32:X33*H32:H33),"0")</f>
        <v>0</v>
      </c>
      <c r="Y35" s="268">
        <f>IFERROR(SUMPRODUCT(Y32:Y33*H32:H33),"0")</f>
        <v>0</v>
      </c>
      <c r="Z35" s="37"/>
      <c r="AA35" s="269"/>
      <c r="AB35" s="269"/>
      <c r="AC35" s="269"/>
    </row>
    <row r="36" spans="1:68" ht="27.75" hidden="1" customHeight="1" x14ac:dyDescent="0.2">
      <c r="A36" s="279" t="s">
        <v>91</v>
      </c>
      <c r="B36" s="280"/>
      <c r="C36" s="280"/>
      <c r="D36" s="280"/>
      <c r="E36" s="280"/>
      <c r="F36" s="280"/>
      <c r="G36" s="280"/>
      <c r="H36" s="280"/>
      <c r="I36" s="280"/>
      <c r="J36" s="280"/>
      <c r="K36" s="280"/>
      <c r="L36" s="280"/>
      <c r="M36" s="280"/>
      <c r="N36" s="280"/>
      <c r="O36" s="280"/>
      <c r="P36" s="280"/>
      <c r="Q36" s="280"/>
      <c r="R36" s="280"/>
      <c r="S36" s="280"/>
      <c r="T36" s="280"/>
      <c r="U36" s="280"/>
      <c r="V36" s="280"/>
      <c r="W36" s="280"/>
      <c r="X36" s="280"/>
      <c r="Y36" s="280"/>
      <c r="Z36" s="280"/>
      <c r="AA36" s="48"/>
      <c r="AB36" s="48"/>
      <c r="AC36" s="48"/>
    </row>
    <row r="37" spans="1:68" ht="16.5" hidden="1" customHeight="1" x14ac:dyDescent="0.25">
      <c r="A37" s="281" t="s">
        <v>92</v>
      </c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  <c r="AA37" s="261"/>
      <c r="AB37" s="261"/>
      <c r="AC37" s="261"/>
    </row>
    <row r="38" spans="1:68" ht="14.25" hidden="1" customHeight="1" x14ac:dyDescent="0.25">
      <c r="A38" s="297" t="s">
        <v>93</v>
      </c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  <c r="AA38" s="262"/>
      <c r="AB38" s="262"/>
      <c r="AC38" s="262"/>
    </row>
    <row r="39" spans="1:68" ht="27" customHeight="1" x14ac:dyDescent="0.25">
      <c r="A39" s="54" t="s">
        <v>94</v>
      </c>
      <c r="B39" s="54" t="s">
        <v>95</v>
      </c>
      <c r="C39" s="31">
        <v>4301132190</v>
      </c>
      <c r="D39" s="274">
        <v>4607111036537</v>
      </c>
      <c r="E39" s="275"/>
      <c r="F39" s="265">
        <v>0.25</v>
      </c>
      <c r="G39" s="32">
        <v>6</v>
      </c>
      <c r="H39" s="265">
        <v>1.5</v>
      </c>
      <c r="I39" s="265">
        <v>1.9218</v>
      </c>
      <c r="J39" s="32">
        <v>140</v>
      </c>
      <c r="K39" s="32" t="s">
        <v>96</v>
      </c>
      <c r="L39" s="32" t="s">
        <v>97</v>
      </c>
      <c r="M39" s="33" t="s">
        <v>69</v>
      </c>
      <c r="N39" s="33"/>
      <c r="O39" s="32">
        <v>365</v>
      </c>
      <c r="P39" s="31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6"/>
      <c r="R39" s="286"/>
      <c r="S39" s="286"/>
      <c r="T39" s="287"/>
      <c r="U39" s="34"/>
      <c r="V39" s="34"/>
      <c r="W39" s="35" t="s">
        <v>70</v>
      </c>
      <c r="X39" s="266">
        <v>84</v>
      </c>
      <c r="Y39" s="267">
        <f>IFERROR(IF(X39="","",X39),"")</f>
        <v>84</v>
      </c>
      <c r="Z39" s="36">
        <f>IFERROR(IF(X39="","",X39*0.00941),"")</f>
        <v>0.79044000000000003</v>
      </c>
      <c r="AA39" s="56"/>
      <c r="AB39" s="57"/>
      <c r="AC39" s="88" t="s">
        <v>98</v>
      </c>
      <c r="AG39" s="67"/>
      <c r="AJ39" s="71" t="s">
        <v>99</v>
      </c>
      <c r="AK39" s="71">
        <v>14</v>
      </c>
      <c r="BB39" s="89" t="s">
        <v>100</v>
      </c>
      <c r="BM39" s="67">
        <f>IFERROR(X39*I39,"0")</f>
        <v>161.43119999999999</v>
      </c>
      <c r="BN39" s="67">
        <f>IFERROR(Y39*I39,"0")</f>
        <v>161.43119999999999</v>
      </c>
      <c r="BO39" s="67">
        <f>IFERROR(X39/J39,"0")</f>
        <v>0.6</v>
      </c>
      <c r="BP39" s="67">
        <f>IFERROR(Y39/J39,"0")</f>
        <v>0.6</v>
      </c>
    </row>
    <row r="40" spans="1:68" ht="27" customHeight="1" x14ac:dyDescent="0.25">
      <c r="A40" s="54" t="s">
        <v>101</v>
      </c>
      <c r="B40" s="54" t="s">
        <v>102</v>
      </c>
      <c r="C40" s="31">
        <v>4301132188</v>
      </c>
      <c r="D40" s="274">
        <v>4607111036605</v>
      </c>
      <c r="E40" s="275"/>
      <c r="F40" s="265">
        <v>0.25</v>
      </c>
      <c r="G40" s="32">
        <v>6</v>
      </c>
      <c r="H40" s="265">
        <v>1.5</v>
      </c>
      <c r="I40" s="265">
        <v>1.9218</v>
      </c>
      <c r="J40" s="32">
        <v>140</v>
      </c>
      <c r="K40" s="32" t="s">
        <v>96</v>
      </c>
      <c r="L40" s="32" t="s">
        <v>97</v>
      </c>
      <c r="M40" s="33" t="s">
        <v>69</v>
      </c>
      <c r="N40" s="33"/>
      <c r="O40" s="32">
        <v>365</v>
      </c>
      <c r="P40" s="39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6"/>
      <c r="R40" s="286"/>
      <c r="S40" s="286"/>
      <c r="T40" s="287"/>
      <c r="U40" s="34"/>
      <c r="V40" s="34"/>
      <c r="W40" s="35" t="s">
        <v>70</v>
      </c>
      <c r="X40" s="266">
        <v>14</v>
      </c>
      <c r="Y40" s="267">
        <f>IFERROR(IF(X40="","",X40),"")</f>
        <v>14</v>
      </c>
      <c r="Z40" s="36">
        <f>IFERROR(IF(X40="","",X40*0.00941),"")</f>
        <v>0.13174</v>
      </c>
      <c r="AA40" s="56"/>
      <c r="AB40" s="57"/>
      <c r="AC40" s="90" t="s">
        <v>98</v>
      </c>
      <c r="AG40" s="67"/>
      <c r="AJ40" s="71" t="s">
        <v>99</v>
      </c>
      <c r="AK40" s="71">
        <v>14</v>
      </c>
      <c r="BB40" s="91" t="s">
        <v>100</v>
      </c>
      <c r="BM40" s="67">
        <f>IFERROR(X40*I40,"0")</f>
        <v>26.905200000000001</v>
      </c>
      <c r="BN40" s="67">
        <f>IFERROR(Y40*I40,"0")</f>
        <v>26.905200000000001</v>
      </c>
      <c r="BO40" s="67">
        <f>IFERROR(X40/J40,"0")</f>
        <v>0.1</v>
      </c>
      <c r="BP40" s="67">
        <f>IFERROR(Y40/J40,"0")</f>
        <v>0.1</v>
      </c>
    </row>
    <row r="41" spans="1:68" x14ac:dyDescent="0.2">
      <c r="A41" s="283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4"/>
      <c r="P41" s="276" t="s">
        <v>83</v>
      </c>
      <c r="Q41" s="277"/>
      <c r="R41" s="277"/>
      <c r="S41" s="277"/>
      <c r="T41" s="277"/>
      <c r="U41" s="277"/>
      <c r="V41" s="278"/>
      <c r="W41" s="37" t="s">
        <v>70</v>
      </c>
      <c r="X41" s="268">
        <f>IFERROR(SUM(X39:X40),"0")</f>
        <v>98</v>
      </c>
      <c r="Y41" s="268">
        <f>IFERROR(SUM(Y39:Y40),"0")</f>
        <v>98</v>
      </c>
      <c r="Z41" s="268">
        <f>IFERROR(IF(Z39="",0,Z39),"0")+IFERROR(IF(Z40="",0,Z40),"0")</f>
        <v>0.92218</v>
      </c>
      <c r="AA41" s="269"/>
      <c r="AB41" s="269"/>
      <c r="AC41" s="269"/>
    </row>
    <row r="42" spans="1:68" x14ac:dyDescent="0.2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4"/>
      <c r="P42" s="276" t="s">
        <v>83</v>
      </c>
      <c r="Q42" s="277"/>
      <c r="R42" s="277"/>
      <c r="S42" s="277"/>
      <c r="T42" s="277"/>
      <c r="U42" s="277"/>
      <c r="V42" s="278"/>
      <c r="W42" s="37" t="s">
        <v>84</v>
      </c>
      <c r="X42" s="268">
        <f>IFERROR(SUMPRODUCT(X39:X40*H39:H40),"0")</f>
        <v>147</v>
      </c>
      <c r="Y42" s="268">
        <f>IFERROR(SUMPRODUCT(Y39:Y40*H39:H40),"0")</f>
        <v>147</v>
      </c>
      <c r="Z42" s="37"/>
      <c r="AA42" s="269"/>
      <c r="AB42" s="269"/>
      <c r="AC42" s="269"/>
    </row>
    <row r="43" spans="1:68" ht="16.5" hidden="1" customHeight="1" x14ac:dyDescent="0.25">
      <c r="A43" s="281" t="s">
        <v>103</v>
      </c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  <c r="AA43" s="261"/>
      <c r="AB43" s="261"/>
      <c r="AC43" s="261"/>
    </row>
    <row r="44" spans="1:68" ht="14.25" hidden="1" customHeight="1" x14ac:dyDescent="0.25">
      <c r="A44" s="297" t="s">
        <v>64</v>
      </c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  <c r="AA44" s="262"/>
      <c r="AB44" s="262"/>
      <c r="AC44" s="262"/>
    </row>
    <row r="45" spans="1:68" ht="27" customHeight="1" x14ac:dyDescent="0.25">
      <c r="A45" s="54" t="s">
        <v>104</v>
      </c>
      <c r="B45" s="54" t="s">
        <v>105</v>
      </c>
      <c r="C45" s="31">
        <v>4301071090</v>
      </c>
      <c r="D45" s="274">
        <v>4620207490075</v>
      </c>
      <c r="E45" s="275"/>
      <c r="F45" s="265">
        <v>0.7</v>
      </c>
      <c r="G45" s="32">
        <v>8</v>
      </c>
      <c r="H45" s="265">
        <v>5.6</v>
      </c>
      <c r="I45" s="265">
        <v>5.87</v>
      </c>
      <c r="J45" s="32">
        <v>84</v>
      </c>
      <c r="K45" s="32" t="s">
        <v>67</v>
      </c>
      <c r="L45" s="32" t="s">
        <v>97</v>
      </c>
      <c r="M45" s="33" t="s">
        <v>69</v>
      </c>
      <c r="N45" s="33"/>
      <c r="O45" s="32">
        <v>180</v>
      </c>
      <c r="P45" s="39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6"/>
      <c r="R45" s="286"/>
      <c r="S45" s="286"/>
      <c r="T45" s="287"/>
      <c r="U45" s="34"/>
      <c r="V45" s="34"/>
      <c r="W45" s="35" t="s">
        <v>70</v>
      </c>
      <c r="X45" s="266">
        <v>36</v>
      </c>
      <c r="Y45" s="267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106</v>
      </c>
      <c r="AG45" s="67"/>
      <c r="AJ45" s="71" t="s">
        <v>99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107</v>
      </c>
      <c r="B46" s="54" t="s">
        <v>108</v>
      </c>
      <c r="C46" s="31">
        <v>4301071092</v>
      </c>
      <c r="D46" s="274">
        <v>4620207490174</v>
      </c>
      <c r="E46" s="275"/>
      <c r="F46" s="265">
        <v>0.7</v>
      </c>
      <c r="G46" s="32">
        <v>8</v>
      </c>
      <c r="H46" s="265">
        <v>5.6</v>
      </c>
      <c r="I46" s="265">
        <v>5.87</v>
      </c>
      <c r="J46" s="32">
        <v>84</v>
      </c>
      <c r="K46" s="32" t="s">
        <v>67</v>
      </c>
      <c r="L46" s="32" t="s">
        <v>97</v>
      </c>
      <c r="M46" s="33" t="s">
        <v>69</v>
      </c>
      <c r="N46" s="33"/>
      <c r="O46" s="32">
        <v>180</v>
      </c>
      <c r="P46" s="40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6"/>
      <c r="R46" s="286"/>
      <c r="S46" s="286"/>
      <c r="T46" s="287"/>
      <c r="U46" s="34"/>
      <c r="V46" s="34"/>
      <c r="W46" s="35" t="s">
        <v>70</v>
      </c>
      <c r="X46" s="266">
        <v>36</v>
      </c>
      <c r="Y46" s="267">
        <f>IFERROR(IF(X46="","",X46),"")</f>
        <v>36</v>
      </c>
      <c r="Z46" s="36">
        <f>IFERROR(IF(X46="","",X46*0.0155),"")</f>
        <v>0.55800000000000005</v>
      </c>
      <c r="AA46" s="56"/>
      <c r="AB46" s="57"/>
      <c r="AC46" s="94" t="s">
        <v>109</v>
      </c>
      <c r="AG46" s="67"/>
      <c r="AJ46" s="71" t="s">
        <v>99</v>
      </c>
      <c r="AK46" s="71">
        <v>12</v>
      </c>
      <c r="BB46" s="95" t="s">
        <v>1</v>
      </c>
      <c r="BM46" s="67">
        <f>IFERROR(X46*I46,"0")</f>
        <v>211.32</v>
      </c>
      <c r="BN46" s="67">
        <f>IFERROR(Y46*I46,"0")</f>
        <v>211.32</v>
      </c>
      <c r="BO46" s="67">
        <f>IFERROR(X46/J46,"0")</f>
        <v>0.42857142857142855</v>
      </c>
      <c r="BP46" s="67">
        <f>IFERROR(Y46/J46,"0")</f>
        <v>0.42857142857142855</v>
      </c>
    </row>
    <row r="47" spans="1:68" ht="27" hidden="1" customHeight="1" x14ac:dyDescent="0.25">
      <c r="A47" s="54" t="s">
        <v>110</v>
      </c>
      <c r="B47" s="54" t="s">
        <v>111</v>
      </c>
      <c r="C47" s="31">
        <v>4301071091</v>
      </c>
      <c r="D47" s="274">
        <v>4620207490044</v>
      </c>
      <c r="E47" s="275"/>
      <c r="F47" s="265">
        <v>0.7</v>
      </c>
      <c r="G47" s="32">
        <v>8</v>
      </c>
      <c r="H47" s="265">
        <v>5.6</v>
      </c>
      <c r="I47" s="265">
        <v>5.87</v>
      </c>
      <c r="J47" s="32">
        <v>84</v>
      </c>
      <c r="K47" s="32" t="s">
        <v>67</v>
      </c>
      <c r="L47" s="32" t="s">
        <v>97</v>
      </c>
      <c r="M47" s="33" t="s">
        <v>69</v>
      </c>
      <c r="N47" s="33"/>
      <c r="O47" s="32">
        <v>180</v>
      </c>
      <c r="P47" s="31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70</v>
      </c>
      <c r="X47" s="266">
        <v>0</v>
      </c>
      <c r="Y47" s="26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112</v>
      </c>
      <c r="AG47" s="67"/>
      <c r="AJ47" s="71" t="s">
        <v>99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3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4"/>
      <c r="P48" s="276" t="s">
        <v>83</v>
      </c>
      <c r="Q48" s="277"/>
      <c r="R48" s="277"/>
      <c r="S48" s="277"/>
      <c r="T48" s="277"/>
      <c r="U48" s="277"/>
      <c r="V48" s="278"/>
      <c r="W48" s="37" t="s">
        <v>70</v>
      </c>
      <c r="X48" s="268">
        <f>IFERROR(SUM(X45:X47),"0")</f>
        <v>72</v>
      </c>
      <c r="Y48" s="268">
        <f>IFERROR(SUM(Y45:Y47),"0")</f>
        <v>72</v>
      </c>
      <c r="Z48" s="268">
        <f>IFERROR(IF(Z45="",0,Z45),"0")+IFERROR(IF(Z46="",0,Z46),"0")+IFERROR(IF(Z47="",0,Z47),"0")</f>
        <v>1.1160000000000001</v>
      </c>
      <c r="AA48" s="269"/>
      <c r="AB48" s="269"/>
      <c r="AC48" s="269"/>
    </row>
    <row r="49" spans="1:68" x14ac:dyDescent="0.2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4"/>
      <c r="P49" s="276" t="s">
        <v>83</v>
      </c>
      <c r="Q49" s="277"/>
      <c r="R49" s="277"/>
      <c r="S49" s="277"/>
      <c r="T49" s="277"/>
      <c r="U49" s="277"/>
      <c r="V49" s="278"/>
      <c r="W49" s="37" t="s">
        <v>84</v>
      </c>
      <c r="X49" s="268">
        <f>IFERROR(SUMPRODUCT(X45:X47*H45:H47),"0")</f>
        <v>403.2</v>
      </c>
      <c r="Y49" s="268">
        <f>IFERROR(SUMPRODUCT(Y45:Y47*H45:H47),"0")</f>
        <v>403.2</v>
      </c>
      <c r="Z49" s="37"/>
      <c r="AA49" s="269"/>
      <c r="AB49" s="269"/>
      <c r="AC49" s="269"/>
    </row>
    <row r="50" spans="1:68" ht="16.5" hidden="1" customHeight="1" x14ac:dyDescent="0.25">
      <c r="A50" s="281" t="s">
        <v>113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61"/>
      <c r="AB50" s="261"/>
      <c r="AC50" s="261"/>
    </row>
    <row r="51" spans="1:68" ht="14.25" hidden="1" customHeight="1" x14ac:dyDescent="0.25">
      <c r="A51" s="297" t="s">
        <v>64</v>
      </c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  <c r="AA51" s="262"/>
      <c r="AB51" s="262"/>
      <c r="AC51" s="262"/>
    </row>
    <row r="52" spans="1:68" ht="27" customHeight="1" x14ac:dyDescent="0.25">
      <c r="A52" s="54" t="s">
        <v>114</v>
      </c>
      <c r="B52" s="54" t="s">
        <v>115</v>
      </c>
      <c r="C52" s="31">
        <v>4301071044</v>
      </c>
      <c r="D52" s="274">
        <v>4607111039385</v>
      </c>
      <c r="E52" s="275"/>
      <c r="F52" s="265">
        <v>0.7</v>
      </c>
      <c r="G52" s="32">
        <v>10</v>
      </c>
      <c r="H52" s="265">
        <v>7</v>
      </c>
      <c r="I52" s="265">
        <v>7.3</v>
      </c>
      <c r="J52" s="32">
        <v>84</v>
      </c>
      <c r="K52" s="32" t="s">
        <v>67</v>
      </c>
      <c r="L52" s="32" t="s">
        <v>97</v>
      </c>
      <c r="M52" s="33" t="s">
        <v>69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6"/>
      <c r="R52" s="286"/>
      <c r="S52" s="286"/>
      <c r="T52" s="287"/>
      <c r="U52" s="34"/>
      <c r="V52" s="34"/>
      <c r="W52" s="35" t="s">
        <v>70</v>
      </c>
      <c r="X52" s="266">
        <v>24</v>
      </c>
      <c r="Y52" s="267">
        <f>IFERROR(IF(X52="","",X52),"")</f>
        <v>24</v>
      </c>
      <c r="Z52" s="36">
        <f>IFERROR(IF(X52="","",X52*0.0155),"")</f>
        <v>0.372</v>
      </c>
      <c r="AA52" s="56"/>
      <c r="AB52" s="57"/>
      <c r="AC52" s="98" t="s">
        <v>116</v>
      </c>
      <c r="AG52" s="67"/>
      <c r="AJ52" s="71" t="s">
        <v>99</v>
      </c>
      <c r="AK52" s="71">
        <v>12</v>
      </c>
      <c r="BB52" s="99" t="s">
        <v>1</v>
      </c>
      <c r="BM52" s="67">
        <f>IFERROR(X52*I52,"0")</f>
        <v>175.2</v>
      </c>
      <c r="BN52" s="67">
        <f>IFERROR(Y52*I52,"0")</f>
        <v>175.2</v>
      </c>
      <c r="BO52" s="67">
        <f>IFERROR(X52/J52,"0")</f>
        <v>0.2857142857142857</v>
      </c>
      <c r="BP52" s="67">
        <f>IFERROR(Y52/J52,"0")</f>
        <v>0.2857142857142857</v>
      </c>
    </row>
    <row r="53" spans="1:68" ht="27" customHeight="1" x14ac:dyDescent="0.25">
      <c r="A53" s="54" t="s">
        <v>117</v>
      </c>
      <c r="B53" s="54" t="s">
        <v>118</v>
      </c>
      <c r="C53" s="31">
        <v>4301071031</v>
      </c>
      <c r="D53" s="274">
        <v>4607111038982</v>
      </c>
      <c r="E53" s="275"/>
      <c r="F53" s="265">
        <v>0.7</v>
      </c>
      <c r="G53" s="32">
        <v>10</v>
      </c>
      <c r="H53" s="265">
        <v>7</v>
      </c>
      <c r="I53" s="265">
        <v>7.2859999999999996</v>
      </c>
      <c r="J53" s="32">
        <v>84</v>
      </c>
      <c r="K53" s="32" t="s">
        <v>67</v>
      </c>
      <c r="L53" s="32" t="s">
        <v>97</v>
      </c>
      <c r="M53" s="33" t="s">
        <v>69</v>
      </c>
      <c r="N53" s="33"/>
      <c r="O53" s="32">
        <v>180</v>
      </c>
      <c r="P53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6"/>
      <c r="R53" s="286"/>
      <c r="S53" s="286"/>
      <c r="T53" s="287"/>
      <c r="U53" s="34"/>
      <c r="V53" s="34"/>
      <c r="W53" s="35" t="s">
        <v>70</v>
      </c>
      <c r="X53" s="266">
        <v>36</v>
      </c>
      <c r="Y53" s="26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119</v>
      </c>
      <c r="AG53" s="67"/>
      <c r="AJ53" s="71" t="s">
        <v>99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120</v>
      </c>
      <c r="B54" s="54" t="s">
        <v>121</v>
      </c>
      <c r="C54" s="31">
        <v>4301071046</v>
      </c>
      <c r="D54" s="274">
        <v>4607111039354</v>
      </c>
      <c r="E54" s="275"/>
      <c r="F54" s="265">
        <v>0.4</v>
      </c>
      <c r="G54" s="32">
        <v>16</v>
      </c>
      <c r="H54" s="265">
        <v>6.4</v>
      </c>
      <c r="I54" s="265">
        <v>6.7195999999999998</v>
      </c>
      <c r="J54" s="32">
        <v>84</v>
      </c>
      <c r="K54" s="32" t="s">
        <v>67</v>
      </c>
      <c r="L54" s="32" t="s">
        <v>68</v>
      </c>
      <c r="M54" s="33" t="s">
        <v>69</v>
      </c>
      <c r="N54" s="33"/>
      <c r="O54" s="32">
        <v>180</v>
      </c>
      <c r="P54" s="41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6"/>
      <c r="R54" s="286"/>
      <c r="S54" s="286"/>
      <c r="T54" s="287"/>
      <c r="U54" s="34"/>
      <c r="V54" s="34"/>
      <c r="W54" s="35" t="s">
        <v>70</v>
      </c>
      <c r="X54" s="266">
        <v>0</v>
      </c>
      <c r="Y54" s="26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72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122</v>
      </c>
      <c r="B55" s="54" t="s">
        <v>123</v>
      </c>
      <c r="C55" s="31">
        <v>4301071047</v>
      </c>
      <c r="D55" s="274">
        <v>4607111039330</v>
      </c>
      <c r="E55" s="275"/>
      <c r="F55" s="265">
        <v>0.7</v>
      </c>
      <c r="G55" s="32">
        <v>10</v>
      </c>
      <c r="H55" s="265">
        <v>7</v>
      </c>
      <c r="I55" s="265">
        <v>7.3</v>
      </c>
      <c r="J55" s="32">
        <v>84</v>
      </c>
      <c r="K55" s="32" t="s">
        <v>67</v>
      </c>
      <c r="L55" s="32" t="s">
        <v>97</v>
      </c>
      <c r="M55" s="33" t="s">
        <v>69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6"/>
      <c r="R55" s="286"/>
      <c r="S55" s="286"/>
      <c r="T55" s="287"/>
      <c r="U55" s="34"/>
      <c r="V55" s="34"/>
      <c r="W55" s="35" t="s">
        <v>70</v>
      </c>
      <c r="X55" s="266">
        <v>36</v>
      </c>
      <c r="Y55" s="267">
        <f>IFERROR(IF(X55="","",X55),"")</f>
        <v>36</v>
      </c>
      <c r="Z55" s="36">
        <f>IFERROR(IF(X55="","",X55*0.0155),"")</f>
        <v>0.55800000000000005</v>
      </c>
      <c r="AA55" s="56"/>
      <c r="AB55" s="57"/>
      <c r="AC55" s="104" t="s">
        <v>119</v>
      </c>
      <c r="AG55" s="67"/>
      <c r="AJ55" s="71" t="s">
        <v>99</v>
      </c>
      <c r="AK55" s="71">
        <v>12</v>
      </c>
      <c r="BB55" s="105" t="s">
        <v>1</v>
      </c>
      <c r="BM55" s="67">
        <f>IFERROR(X55*I55,"0")</f>
        <v>262.8</v>
      </c>
      <c r="BN55" s="67">
        <f>IFERROR(Y55*I55,"0")</f>
        <v>262.8</v>
      </c>
      <c r="BO55" s="67">
        <f>IFERROR(X55/J55,"0")</f>
        <v>0.42857142857142855</v>
      </c>
      <c r="BP55" s="67">
        <f>IFERROR(Y55/J55,"0")</f>
        <v>0.42857142857142855</v>
      </c>
    </row>
    <row r="56" spans="1:68" x14ac:dyDescent="0.2">
      <c r="A56" s="283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4"/>
      <c r="P56" s="276" t="s">
        <v>83</v>
      </c>
      <c r="Q56" s="277"/>
      <c r="R56" s="277"/>
      <c r="S56" s="277"/>
      <c r="T56" s="277"/>
      <c r="U56" s="277"/>
      <c r="V56" s="278"/>
      <c r="W56" s="37" t="s">
        <v>70</v>
      </c>
      <c r="X56" s="268">
        <f>IFERROR(SUM(X52:X55),"0")</f>
        <v>96</v>
      </c>
      <c r="Y56" s="268">
        <f>IFERROR(SUM(Y52:Y55),"0")</f>
        <v>96</v>
      </c>
      <c r="Z56" s="268">
        <f>IFERROR(IF(Z52="",0,Z52),"0")+IFERROR(IF(Z53="",0,Z53),"0")+IFERROR(IF(Z54="",0,Z54),"0")+IFERROR(IF(Z55="",0,Z55),"0")</f>
        <v>1.488</v>
      </c>
      <c r="AA56" s="269"/>
      <c r="AB56" s="269"/>
      <c r="AC56" s="269"/>
    </row>
    <row r="57" spans="1:68" x14ac:dyDescent="0.2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4"/>
      <c r="P57" s="276" t="s">
        <v>83</v>
      </c>
      <c r="Q57" s="277"/>
      <c r="R57" s="277"/>
      <c r="S57" s="277"/>
      <c r="T57" s="277"/>
      <c r="U57" s="277"/>
      <c r="V57" s="278"/>
      <c r="W57" s="37" t="s">
        <v>84</v>
      </c>
      <c r="X57" s="268">
        <f>IFERROR(SUMPRODUCT(X52:X55*H52:H55),"0")</f>
        <v>672</v>
      </c>
      <c r="Y57" s="268">
        <f>IFERROR(SUMPRODUCT(Y52:Y55*H52:H55),"0")</f>
        <v>672</v>
      </c>
      <c r="Z57" s="37"/>
      <c r="AA57" s="269"/>
      <c r="AB57" s="269"/>
      <c r="AC57" s="269"/>
    </row>
    <row r="58" spans="1:68" ht="16.5" hidden="1" customHeight="1" x14ac:dyDescent="0.25">
      <c r="A58" s="281" t="s">
        <v>124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61"/>
      <c r="AB58" s="261"/>
      <c r="AC58" s="261"/>
    </row>
    <row r="59" spans="1:68" ht="14.25" hidden="1" customHeight="1" x14ac:dyDescent="0.25">
      <c r="A59" s="297" t="s">
        <v>64</v>
      </c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  <c r="AA59" s="262"/>
      <c r="AB59" s="262"/>
      <c r="AC59" s="262"/>
    </row>
    <row r="60" spans="1:68" ht="16.5" hidden="1" customHeight="1" x14ac:dyDescent="0.25">
      <c r="A60" s="54" t="s">
        <v>125</v>
      </c>
      <c r="B60" s="54" t="s">
        <v>126</v>
      </c>
      <c r="C60" s="31">
        <v>4301071073</v>
      </c>
      <c r="D60" s="274">
        <v>4620207490822</v>
      </c>
      <c r="E60" s="275"/>
      <c r="F60" s="265">
        <v>0.43</v>
      </c>
      <c r="G60" s="32">
        <v>8</v>
      </c>
      <c r="H60" s="265">
        <v>3.44</v>
      </c>
      <c r="I60" s="265">
        <v>3.64</v>
      </c>
      <c r="J60" s="32">
        <v>144</v>
      </c>
      <c r="K60" s="32" t="s">
        <v>67</v>
      </c>
      <c r="L60" s="32" t="s">
        <v>68</v>
      </c>
      <c r="M60" s="33" t="s">
        <v>69</v>
      </c>
      <c r="N60" s="33"/>
      <c r="O60" s="32">
        <v>365</v>
      </c>
      <c r="P60" s="44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6"/>
      <c r="R60" s="286"/>
      <c r="S60" s="286"/>
      <c r="T60" s="287"/>
      <c r="U60" s="34"/>
      <c r="V60" s="34"/>
      <c r="W60" s="35" t="s">
        <v>70</v>
      </c>
      <c r="X60" s="266">
        <v>0</v>
      </c>
      <c r="Y60" s="26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127</v>
      </c>
      <c r="AG60" s="67"/>
      <c r="AJ60" s="71" t="s">
        <v>72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3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4"/>
      <c r="P61" s="276" t="s">
        <v>83</v>
      </c>
      <c r="Q61" s="277"/>
      <c r="R61" s="277"/>
      <c r="S61" s="277"/>
      <c r="T61" s="277"/>
      <c r="U61" s="277"/>
      <c r="V61" s="278"/>
      <c r="W61" s="37" t="s">
        <v>70</v>
      </c>
      <c r="X61" s="268">
        <f>IFERROR(SUM(X60:X60),"0")</f>
        <v>0</v>
      </c>
      <c r="Y61" s="268">
        <f>IFERROR(SUM(Y60:Y60),"0")</f>
        <v>0</v>
      </c>
      <c r="Z61" s="268">
        <f>IFERROR(IF(Z60="",0,Z60),"0")</f>
        <v>0</v>
      </c>
      <c r="AA61" s="269"/>
      <c r="AB61" s="269"/>
      <c r="AC61" s="269"/>
    </row>
    <row r="62" spans="1:68" hidden="1" x14ac:dyDescent="0.2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4"/>
      <c r="P62" s="276" t="s">
        <v>83</v>
      </c>
      <c r="Q62" s="277"/>
      <c r="R62" s="277"/>
      <c r="S62" s="277"/>
      <c r="T62" s="277"/>
      <c r="U62" s="277"/>
      <c r="V62" s="278"/>
      <c r="W62" s="37" t="s">
        <v>84</v>
      </c>
      <c r="X62" s="268">
        <f>IFERROR(SUMPRODUCT(X60:X60*H60:H60),"0")</f>
        <v>0</v>
      </c>
      <c r="Y62" s="268">
        <f>IFERROR(SUMPRODUCT(Y60:Y60*H60:H60),"0")</f>
        <v>0</v>
      </c>
      <c r="Z62" s="37"/>
      <c r="AA62" s="269"/>
      <c r="AB62" s="269"/>
      <c r="AC62" s="269"/>
    </row>
    <row r="63" spans="1:68" ht="14.25" hidden="1" customHeight="1" x14ac:dyDescent="0.25">
      <c r="A63" s="297" t="s">
        <v>93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62"/>
      <c r="AB63" s="262"/>
      <c r="AC63" s="262"/>
    </row>
    <row r="64" spans="1:68" ht="27" hidden="1" customHeight="1" x14ac:dyDescent="0.25">
      <c r="A64" s="54" t="s">
        <v>128</v>
      </c>
      <c r="B64" s="54" t="s">
        <v>129</v>
      </c>
      <c r="C64" s="31">
        <v>4301132194</v>
      </c>
      <c r="D64" s="274">
        <v>4607111039712</v>
      </c>
      <c r="E64" s="275"/>
      <c r="F64" s="265">
        <v>0.2</v>
      </c>
      <c r="G64" s="32">
        <v>6</v>
      </c>
      <c r="H64" s="265">
        <v>1.2</v>
      </c>
      <c r="I64" s="265">
        <v>1.56</v>
      </c>
      <c r="J64" s="32">
        <v>140</v>
      </c>
      <c r="K64" s="32" t="s">
        <v>96</v>
      </c>
      <c r="L64" s="32" t="s">
        <v>68</v>
      </c>
      <c r="M64" s="33" t="s">
        <v>69</v>
      </c>
      <c r="N64" s="33"/>
      <c r="O64" s="32">
        <v>365</v>
      </c>
      <c r="P64" s="41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70</v>
      </c>
      <c r="X64" s="266">
        <v>0</v>
      </c>
      <c r="Y64" s="26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130</v>
      </c>
      <c r="AG64" s="67"/>
      <c r="AJ64" s="71" t="s">
        <v>72</v>
      </c>
      <c r="AK64" s="71">
        <v>1</v>
      </c>
      <c r="BB64" s="109" t="s">
        <v>100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4"/>
      <c r="P65" s="276" t="s">
        <v>83</v>
      </c>
      <c r="Q65" s="277"/>
      <c r="R65" s="277"/>
      <c r="S65" s="277"/>
      <c r="T65" s="277"/>
      <c r="U65" s="277"/>
      <c r="V65" s="278"/>
      <c r="W65" s="37" t="s">
        <v>70</v>
      </c>
      <c r="X65" s="268">
        <f>IFERROR(SUM(X64:X64),"0")</f>
        <v>0</v>
      </c>
      <c r="Y65" s="268">
        <f>IFERROR(SUM(Y64:Y64),"0")</f>
        <v>0</v>
      </c>
      <c r="Z65" s="268">
        <f>IFERROR(IF(Z64="",0,Z64),"0")</f>
        <v>0</v>
      </c>
      <c r="AA65" s="269"/>
      <c r="AB65" s="269"/>
      <c r="AC65" s="269"/>
    </row>
    <row r="66" spans="1:68" hidden="1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4"/>
      <c r="P66" s="276" t="s">
        <v>83</v>
      </c>
      <c r="Q66" s="277"/>
      <c r="R66" s="277"/>
      <c r="S66" s="277"/>
      <c r="T66" s="277"/>
      <c r="U66" s="277"/>
      <c r="V66" s="278"/>
      <c r="W66" s="37" t="s">
        <v>84</v>
      </c>
      <c r="X66" s="268">
        <f>IFERROR(SUMPRODUCT(X64:X64*H64:H64),"0")</f>
        <v>0</v>
      </c>
      <c r="Y66" s="268">
        <f>IFERROR(SUMPRODUCT(Y64:Y64*H64:H64),"0")</f>
        <v>0</v>
      </c>
      <c r="Z66" s="37"/>
      <c r="AA66" s="269"/>
      <c r="AB66" s="269"/>
      <c r="AC66" s="269"/>
    </row>
    <row r="67" spans="1:68" ht="14.25" hidden="1" customHeight="1" x14ac:dyDescent="0.25">
      <c r="A67" s="297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2"/>
      <c r="AB67" s="262"/>
      <c r="AC67" s="262"/>
    </row>
    <row r="68" spans="1:68" ht="16.5" hidden="1" customHeight="1" x14ac:dyDescent="0.25">
      <c r="A68" s="54" t="s">
        <v>132</v>
      </c>
      <c r="B68" s="54" t="s">
        <v>133</v>
      </c>
      <c r="C68" s="31">
        <v>4301136018</v>
      </c>
      <c r="D68" s="274">
        <v>4607111037008</v>
      </c>
      <c r="E68" s="275"/>
      <c r="F68" s="265">
        <v>0.36</v>
      </c>
      <c r="G68" s="32">
        <v>4</v>
      </c>
      <c r="H68" s="265">
        <v>1.44</v>
      </c>
      <c r="I68" s="265">
        <v>1.74</v>
      </c>
      <c r="J68" s="32">
        <v>140</v>
      </c>
      <c r="K68" s="32" t="s">
        <v>96</v>
      </c>
      <c r="L68" s="32" t="s">
        <v>68</v>
      </c>
      <c r="M68" s="33" t="s">
        <v>69</v>
      </c>
      <c r="N68" s="33"/>
      <c r="O68" s="32">
        <v>365</v>
      </c>
      <c r="P68" s="3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6"/>
      <c r="R68" s="286"/>
      <c r="S68" s="286"/>
      <c r="T68" s="287"/>
      <c r="U68" s="34"/>
      <c r="V68" s="34"/>
      <c r="W68" s="35" t="s">
        <v>70</v>
      </c>
      <c r="X68" s="266">
        <v>0</v>
      </c>
      <c r="Y68" s="26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134</v>
      </c>
      <c r="AG68" s="67"/>
      <c r="AJ68" s="71" t="s">
        <v>72</v>
      </c>
      <c r="AK68" s="71">
        <v>1</v>
      </c>
      <c r="BB68" s="111" t="s">
        <v>100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135</v>
      </c>
      <c r="B69" s="54" t="s">
        <v>136</v>
      </c>
      <c r="C69" s="31">
        <v>4301136015</v>
      </c>
      <c r="D69" s="274">
        <v>4607111037398</v>
      </c>
      <c r="E69" s="275"/>
      <c r="F69" s="265">
        <v>0.09</v>
      </c>
      <c r="G69" s="32">
        <v>24</v>
      </c>
      <c r="H69" s="265">
        <v>2.16</v>
      </c>
      <c r="I69" s="265">
        <v>4.0199999999999996</v>
      </c>
      <c r="J69" s="32">
        <v>126</v>
      </c>
      <c r="K69" s="32" t="s">
        <v>96</v>
      </c>
      <c r="L69" s="32" t="s">
        <v>68</v>
      </c>
      <c r="M69" s="33" t="s">
        <v>69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6"/>
      <c r="R69" s="286"/>
      <c r="S69" s="286"/>
      <c r="T69" s="287"/>
      <c r="U69" s="34"/>
      <c r="V69" s="34"/>
      <c r="W69" s="35" t="s">
        <v>70</v>
      </c>
      <c r="X69" s="266">
        <v>0</v>
      </c>
      <c r="Y69" s="26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134</v>
      </c>
      <c r="AG69" s="67"/>
      <c r="AJ69" s="71" t="s">
        <v>72</v>
      </c>
      <c r="AK69" s="71">
        <v>1</v>
      </c>
      <c r="BB69" s="113" t="s">
        <v>100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3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4"/>
      <c r="P70" s="276" t="s">
        <v>83</v>
      </c>
      <c r="Q70" s="277"/>
      <c r="R70" s="277"/>
      <c r="S70" s="277"/>
      <c r="T70" s="277"/>
      <c r="U70" s="277"/>
      <c r="V70" s="278"/>
      <c r="W70" s="37" t="s">
        <v>70</v>
      </c>
      <c r="X70" s="268">
        <f>IFERROR(SUM(X68:X69),"0")</f>
        <v>0</v>
      </c>
      <c r="Y70" s="268">
        <f>IFERROR(SUM(Y68:Y69),"0")</f>
        <v>0</v>
      </c>
      <c r="Z70" s="268">
        <f>IFERROR(IF(Z68="",0,Z68),"0")+IFERROR(IF(Z69="",0,Z69),"0")</f>
        <v>0</v>
      </c>
      <c r="AA70" s="269"/>
      <c r="AB70" s="269"/>
      <c r="AC70" s="269"/>
    </row>
    <row r="71" spans="1:68" hidden="1" x14ac:dyDescent="0.2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4"/>
      <c r="P71" s="276" t="s">
        <v>83</v>
      </c>
      <c r="Q71" s="277"/>
      <c r="R71" s="277"/>
      <c r="S71" s="277"/>
      <c r="T71" s="277"/>
      <c r="U71" s="277"/>
      <c r="V71" s="278"/>
      <c r="W71" s="37" t="s">
        <v>84</v>
      </c>
      <c r="X71" s="268">
        <f>IFERROR(SUMPRODUCT(X68:X69*H68:H69),"0")</f>
        <v>0</v>
      </c>
      <c r="Y71" s="268">
        <f>IFERROR(SUMPRODUCT(Y68:Y69*H68:H69),"0")</f>
        <v>0</v>
      </c>
      <c r="Z71" s="37"/>
      <c r="AA71" s="269"/>
      <c r="AB71" s="269"/>
      <c r="AC71" s="269"/>
    </row>
    <row r="72" spans="1:68" ht="14.25" hidden="1" customHeight="1" x14ac:dyDescent="0.25">
      <c r="A72" s="297" t="s">
        <v>137</v>
      </c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  <c r="AA72" s="262"/>
      <c r="AB72" s="262"/>
      <c r="AC72" s="262"/>
    </row>
    <row r="73" spans="1:68" ht="27" hidden="1" customHeight="1" x14ac:dyDescent="0.25">
      <c r="A73" s="54" t="s">
        <v>138</v>
      </c>
      <c r="B73" s="54" t="s">
        <v>139</v>
      </c>
      <c r="C73" s="31">
        <v>4301135664</v>
      </c>
      <c r="D73" s="274">
        <v>4607111039705</v>
      </c>
      <c r="E73" s="275"/>
      <c r="F73" s="265">
        <v>0.2</v>
      </c>
      <c r="G73" s="32">
        <v>6</v>
      </c>
      <c r="H73" s="265">
        <v>1.2</v>
      </c>
      <c r="I73" s="265">
        <v>1.56</v>
      </c>
      <c r="J73" s="32">
        <v>140</v>
      </c>
      <c r="K73" s="32" t="s">
        <v>96</v>
      </c>
      <c r="L73" s="32" t="s">
        <v>68</v>
      </c>
      <c r="M73" s="33" t="s">
        <v>69</v>
      </c>
      <c r="N73" s="33"/>
      <c r="O73" s="32">
        <v>365</v>
      </c>
      <c r="P73" s="29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6"/>
      <c r="R73" s="286"/>
      <c r="S73" s="286"/>
      <c r="T73" s="287"/>
      <c r="U73" s="34"/>
      <c r="V73" s="34"/>
      <c r="W73" s="35" t="s">
        <v>70</v>
      </c>
      <c r="X73" s="266">
        <v>0</v>
      </c>
      <c r="Y73" s="26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134</v>
      </c>
      <c r="AG73" s="67"/>
      <c r="AJ73" s="71" t="s">
        <v>72</v>
      </c>
      <c r="AK73" s="71">
        <v>1</v>
      </c>
      <c r="BB73" s="115" t="s">
        <v>100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140</v>
      </c>
      <c r="B74" s="54" t="s">
        <v>141</v>
      </c>
      <c r="C74" s="31">
        <v>4301135665</v>
      </c>
      <c r="D74" s="274">
        <v>4607111039729</v>
      </c>
      <c r="E74" s="275"/>
      <c r="F74" s="265">
        <v>0.2</v>
      </c>
      <c r="G74" s="32">
        <v>6</v>
      </c>
      <c r="H74" s="265">
        <v>1.2</v>
      </c>
      <c r="I74" s="265">
        <v>1.56</v>
      </c>
      <c r="J74" s="32">
        <v>140</v>
      </c>
      <c r="K74" s="32" t="s">
        <v>96</v>
      </c>
      <c r="L74" s="32" t="s">
        <v>68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6"/>
      <c r="R74" s="286"/>
      <c r="S74" s="286"/>
      <c r="T74" s="287"/>
      <c r="U74" s="34"/>
      <c r="V74" s="34"/>
      <c r="W74" s="35" t="s">
        <v>70</v>
      </c>
      <c r="X74" s="266">
        <v>0</v>
      </c>
      <c r="Y74" s="26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142</v>
      </c>
      <c r="AG74" s="67"/>
      <c r="AJ74" s="71" t="s">
        <v>72</v>
      </c>
      <c r="AK74" s="71">
        <v>1</v>
      </c>
      <c r="BB74" s="117" t="s">
        <v>100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143</v>
      </c>
      <c r="B75" s="54" t="s">
        <v>144</v>
      </c>
      <c r="C75" s="31">
        <v>4301135702</v>
      </c>
      <c r="D75" s="274">
        <v>4620207490228</v>
      </c>
      <c r="E75" s="275"/>
      <c r="F75" s="265">
        <v>0.2</v>
      </c>
      <c r="G75" s="32">
        <v>6</v>
      </c>
      <c r="H75" s="265">
        <v>1.2</v>
      </c>
      <c r="I75" s="265">
        <v>1.56</v>
      </c>
      <c r="J75" s="32">
        <v>140</v>
      </c>
      <c r="K75" s="32" t="s">
        <v>96</v>
      </c>
      <c r="L75" s="32" t="s">
        <v>68</v>
      </c>
      <c r="M75" s="33" t="s">
        <v>69</v>
      </c>
      <c r="N75" s="33"/>
      <c r="O75" s="32">
        <v>365</v>
      </c>
      <c r="P75" s="42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6"/>
      <c r="R75" s="286"/>
      <c r="S75" s="286"/>
      <c r="T75" s="287"/>
      <c r="U75" s="34"/>
      <c r="V75" s="34"/>
      <c r="W75" s="35" t="s">
        <v>70</v>
      </c>
      <c r="X75" s="266">
        <v>0</v>
      </c>
      <c r="Y75" s="26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142</v>
      </c>
      <c r="AG75" s="67"/>
      <c r="AJ75" s="71" t="s">
        <v>72</v>
      </c>
      <c r="AK75" s="71">
        <v>1</v>
      </c>
      <c r="BB75" s="119" t="s">
        <v>100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3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4"/>
      <c r="P76" s="276" t="s">
        <v>83</v>
      </c>
      <c r="Q76" s="277"/>
      <c r="R76" s="277"/>
      <c r="S76" s="277"/>
      <c r="T76" s="277"/>
      <c r="U76" s="277"/>
      <c r="V76" s="278"/>
      <c r="W76" s="37" t="s">
        <v>70</v>
      </c>
      <c r="X76" s="268">
        <f>IFERROR(SUM(X73:X75),"0")</f>
        <v>0</v>
      </c>
      <c r="Y76" s="268">
        <f>IFERROR(SUM(Y73:Y75),"0")</f>
        <v>0</v>
      </c>
      <c r="Z76" s="268">
        <f>IFERROR(IF(Z73="",0,Z73),"0")+IFERROR(IF(Z74="",0,Z74),"0")+IFERROR(IF(Z75="",0,Z75),"0")</f>
        <v>0</v>
      </c>
      <c r="AA76" s="269"/>
      <c r="AB76" s="269"/>
      <c r="AC76" s="269"/>
    </row>
    <row r="77" spans="1:68" hidden="1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4"/>
      <c r="P77" s="276" t="s">
        <v>83</v>
      </c>
      <c r="Q77" s="277"/>
      <c r="R77" s="277"/>
      <c r="S77" s="277"/>
      <c r="T77" s="277"/>
      <c r="U77" s="277"/>
      <c r="V77" s="278"/>
      <c r="W77" s="37" t="s">
        <v>84</v>
      </c>
      <c r="X77" s="268">
        <f>IFERROR(SUMPRODUCT(X73:X75*H73:H75),"0")</f>
        <v>0</v>
      </c>
      <c r="Y77" s="268">
        <f>IFERROR(SUMPRODUCT(Y73:Y75*H73:H75),"0")</f>
        <v>0</v>
      </c>
      <c r="Z77" s="37"/>
      <c r="AA77" s="269"/>
      <c r="AB77" s="269"/>
      <c r="AC77" s="269"/>
    </row>
    <row r="78" spans="1:68" ht="16.5" hidden="1" customHeight="1" x14ac:dyDescent="0.25">
      <c r="A78" s="281" t="s">
        <v>145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1"/>
      <c r="AB78" s="261"/>
      <c r="AC78" s="261"/>
    </row>
    <row r="79" spans="1:68" ht="14.25" hidden="1" customHeight="1" x14ac:dyDescent="0.25">
      <c r="A79" s="297" t="s">
        <v>64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hidden="1" customHeight="1" x14ac:dyDescent="0.25">
      <c r="A80" s="54" t="s">
        <v>146</v>
      </c>
      <c r="B80" s="54" t="s">
        <v>147</v>
      </c>
      <c r="C80" s="31">
        <v>4301070977</v>
      </c>
      <c r="D80" s="274">
        <v>4607111037411</v>
      </c>
      <c r="E80" s="275"/>
      <c r="F80" s="265">
        <v>2.7</v>
      </c>
      <c r="G80" s="32">
        <v>1</v>
      </c>
      <c r="H80" s="265">
        <v>2.7</v>
      </c>
      <c r="I80" s="265">
        <v>2.8132000000000001</v>
      </c>
      <c r="J80" s="32">
        <v>234</v>
      </c>
      <c r="K80" s="32" t="s">
        <v>148</v>
      </c>
      <c r="L80" s="32" t="s">
        <v>68</v>
      </c>
      <c r="M80" s="33" t="s">
        <v>69</v>
      </c>
      <c r="N80" s="33"/>
      <c r="O80" s="32">
        <v>180</v>
      </c>
      <c r="P80" s="40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6"/>
      <c r="R80" s="286"/>
      <c r="S80" s="286"/>
      <c r="T80" s="287"/>
      <c r="U80" s="34"/>
      <c r="V80" s="34"/>
      <c r="W80" s="35" t="s">
        <v>70</v>
      </c>
      <c r="X80" s="266">
        <v>0</v>
      </c>
      <c r="Y80" s="26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149</v>
      </c>
      <c r="AG80" s="67"/>
      <c r="AJ80" s="71" t="s">
        <v>72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150</v>
      </c>
      <c r="B81" s="54" t="s">
        <v>151</v>
      </c>
      <c r="C81" s="31">
        <v>4301070981</v>
      </c>
      <c r="D81" s="274">
        <v>4607111036728</v>
      </c>
      <c r="E81" s="275"/>
      <c r="F81" s="265">
        <v>5</v>
      </c>
      <c r="G81" s="32">
        <v>1</v>
      </c>
      <c r="H81" s="265">
        <v>5</v>
      </c>
      <c r="I81" s="265">
        <v>5.2131999999999996</v>
      </c>
      <c r="J81" s="32">
        <v>144</v>
      </c>
      <c r="K81" s="32" t="s">
        <v>67</v>
      </c>
      <c r="L81" s="32" t="s">
        <v>97</v>
      </c>
      <c r="M81" s="33" t="s">
        <v>69</v>
      </c>
      <c r="N81" s="33"/>
      <c r="O81" s="32">
        <v>180</v>
      </c>
      <c r="P81" s="31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6"/>
      <c r="R81" s="286"/>
      <c r="S81" s="286"/>
      <c r="T81" s="287"/>
      <c r="U81" s="34"/>
      <c r="V81" s="34"/>
      <c r="W81" s="35" t="s">
        <v>70</v>
      </c>
      <c r="X81" s="266">
        <v>36</v>
      </c>
      <c r="Y81" s="267">
        <f>IFERROR(IF(X81="","",X81),"")</f>
        <v>36</v>
      </c>
      <c r="Z81" s="36">
        <f>IFERROR(IF(X81="","",X81*0.00866),"")</f>
        <v>0.31175999999999998</v>
      </c>
      <c r="AA81" s="56"/>
      <c r="AB81" s="57"/>
      <c r="AC81" s="122" t="s">
        <v>149</v>
      </c>
      <c r="AG81" s="67"/>
      <c r="AJ81" s="71" t="s">
        <v>99</v>
      </c>
      <c r="AK81" s="71">
        <v>12</v>
      </c>
      <c r="BB81" s="123" t="s">
        <v>1</v>
      </c>
      <c r="BM81" s="67">
        <f>IFERROR(X81*I81,"0")</f>
        <v>187.67519999999999</v>
      </c>
      <c r="BN81" s="67">
        <f>IFERROR(Y81*I81,"0")</f>
        <v>187.67519999999999</v>
      </c>
      <c r="BO81" s="67">
        <f>IFERROR(X81/J81,"0")</f>
        <v>0.25</v>
      </c>
      <c r="BP81" s="67">
        <f>IFERROR(Y81/J81,"0")</f>
        <v>0.25</v>
      </c>
    </row>
    <row r="82" spans="1:68" x14ac:dyDescent="0.2">
      <c r="A82" s="283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4"/>
      <c r="P82" s="276" t="s">
        <v>83</v>
      </c>
      <c r="Q82" s="277"/>
      <c r="R82" s="277"/>
      <c r="S82" s="277"/>
      <c r="T82" s="277"/>
      <c r="U82" s="277"/>
      <c r="V82" s="278"/>
      <c r="W82" s="37" t="s">
        <v>70</v>
      </c>
      <c r="X82" s="268">
        <f>IFERROR(SUM(X80:X81),"0")</f>
        <v>36</v>
      </c>
      <c r="Y82" s="268">
        <f>IFERROR(SUM(Y80:Y81),"0")</f>
        <v>36</v>
      </c>
      <c r="Z82" s="268">
        <f>IFERROR(IF(Z80="",0,Z80),"0")+IFERROR(IF(Z81="",0,Z81),"0")</f>
        <v>0.31175999999999998</v>
      </c>
      <c r="AA82" s="269"/>
      <c r="AB82" s="269"/>
      <c r="AC82" s="269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4"/>
      <c r="P83" s="276" t="s">
        <v>83</v>
      </c>
      <c r="Q83" s="277"/>
      <c r="R83" s="277"/>
      <c r="S83" s="277"/>
      <c r="T83" s="277"/>
      <c r="U83" s="277"/>
      <c r="V83" s="278"/>
      <c r="W83" s="37" t="s">
        <v>84</v>
      </c>
      <c r="X83" s="268">
        <f>IFERROR(SUMPRODUCT(X80:X81*H80:H81),"0")</f>
        <v>180</v>
      </c>
      <c r="Y83" s="268">
        <f>IFERROR(SUMPRODUCT(Y80:Y81*H80:H81),"0")</f>
        <v>180</v>
      </c>
      <c r="Z83" s="37"/>
      <c r="AA83" s="269"/>
      <c r="AB83" s="269"/>
      <c r="AC83" s="269"/>
    </row>
    <row r="84" spans="1:68" ht="16.5" hidden="1" customHeight="1" x14ac:dyDescent="0.25">
      <c r="A84" s="281" t="s">
        <v>152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1"/>
      <c r="AB84" s="261"/>
      <c r="AC84" s="261"/>
    </row>
    <row r="85" spans="1:68" ht="14.25" hidden="1" customHeight="1" x14ac:dyDescent="0.25">
      <c r="A85" s="297" t="s">
        <v>137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153</v>
      </c>
      <c r="B86" s="54" t="s">
        <v>154</v>
      </c>
      <c r="C86" s="31">
        <v>4301135574</v>
      </c>
      <c r="D86" s="274">
        <v>4607111033659</v>
      </c>
      <c r="E86" s="275"/>
      <c r="F86" s="265">
        <v>0.3</v>
      </c>
      <c r="G86" s="32">
        <v>12</v>
      </c>
      <c r="H86" s="265">
        <v>3.6</v>
      </c>
      <c r="I86" s="265">
        <v>4.3036000000000003</v>
      </c>
      <c r="J86" s="32">
        <v>70</v>
      </c>
      <c r="K86" s="32" t="s">
        <v>96</v>
      </c>
      <c r="L86" s="32" t="s">
        <v>97</v>
      </c>
      <c r="M86" s="33" t="s">
        <v>69</v>
      </c>
      <c r="N86" s="33"/>
      <c r="O86" s="32">
        <v>180</v>
      </c>
      <c r="P86" s="28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6"/>
      <c r="R86" s="286"/>
      <c r="S86" s="286"/>
      <c r="T86" s="287"/>
      <c r="U86" s="34"/>
      <c r="V86" s="34"/>
      <c r="W86" s="35" t="s">
        <v>70</v>
      </c>
      <c r="X86" s="266">
        <v>14</v>
      </c>
      <c r="Y86" s="26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155</v>
      </c>
      <c r="AG86" s="67"/>
      <c r="AJ86" s="71" t="s">
        <v>99</v>
      </c>
      <c r="AK86" s="71">
        <v>14</v>
      </c>
      <c r="BB86" s="125" t="s">
        <v>100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3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4"/>
      <c r="P87" s="276" t="s">
        <v>83</v>
      </c>
      <c r="Q87" s="277"/>
      <c r="R87" s="277"/>
      <c r="S87" s="277"/>
      <c r="T87" s="277"/>
      <c r="U87" s="277"/>
      <c r="V87" s="278"/>
      <c r="W87" s="37" t="s">
        <v>70</v>
      </c>
      <c r="X87" s="268">
        <f>IFERROR(SUM(X86:X86),"0")</f>
        <v>14</v>
      </c>
      <c r="Y87" s="268">
        <f>IFERROR(SUM(Y86:Y86),"0")</f>
        <v>14</v>
      </c>
      <c r="Z87" s="268">
        <f>IFERROR(IF(Z86="",0,Z86),"0")</f>
        <v>0.25031999999999999</v>
      </c>
      <c r="AA87" s="269"/>
      <c r="AB87" s="269"/>
      <c r="AC87" s="269"/>
    </row>
    <row r="88" spans="1:68" x14ac:dyDescent="0.2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4"/>
      <c r="P88" s="276" t="s">
        <v>83</v>
      </c>
      <c r="Q88" s="277"/>
      <c r="R88" s="277"/>
      <c r="S88" s="277"/>
      <c r="T88" s="277"/>
      <c r="U88" s="277"/>
      <c r="V88" s="278"/>
      <c r="W88" s="37" t="s">
        <v>84</v>
      </c>
      <c r="X88" s="268">
        <f>IFERROR(SUMPRODUCT(X86:X86*H86:H86),"0")</f>
        <v>50.4</v>
      </c>
      <c r="Y88" s="268">
        <f>IFERROR(SUMPRODUCT(Y86:Y86*H86:H86),"0")</f>
        <v>50.4</v>
      </c>
      <c r="Z88" s="37"/>
      <c r="AA88" s="269"/>
      <c r="AB88" s="269"/>
      <c r="AC88" s="269"/>
    </row>
    <row r="89" spans="1:68" ht="16.5" hidden="1" customHeight="1" x14ac:dyDescent="0.25">
      <c r="A89" s="281" t="s">
        <v>156</v>
      </c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  <c r="AA89" s="261"/>
      <c r="AB89" s="261"/>
      <c r="AC89" s="261"/>
    </row>
    <row r="90" spans="1:68" ht="14.25" hidden="1" customHeight="1" x14ac:dyDescent="0.25">
      <c r="A90" s="297" t="s">
        <v>157</v>
      </c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  <c r="AA90" s="262"/>
      <c r="AB90" s="262"/>
      <c r="AC90" s="262"/>
    </row>
    <row r="91" spans="1:68" ht="27" customHeight="1" x14ac:dyDescent="0.25">
      <c r="A91" s="54" t="s">
        <v>158</v>
      </c>
      <c r="B91" s="54" t="s">
        <v>159</v>
      </c>
      <c r="C91" s="31">
        <v>4301131047</v>
      </c>
      <c r="D91" s="274">
        <v>4607111034120</v>
      </c>
      <c r="E91" s="275"/>
      <c r="F91" s="265">
        <v>0.3</v>
      </c>
      <c r="G91" s="32">
        <v>12</v>
      </c>
      <c r="H91" s="265">
        <v>3.6</v>
      </c>
      <c r="I91" s="265">
        <v>4.3036000000000003</v>
      </c>
      <c r="J91" s="32">
        <v>70</v>
      </c>
      <c r="K91" s="32" t="s">
        <v>96</v>
      </c>
      <c r="L91" s="32" t="s">
        <v>97</v>
      </c>
      <c r="M91" s="33" t="s">
        <v>69</v>
      </c>
      <c r="N91" s="33"/>
      <c r="O91" s="32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6"/>
      <c r="R91" s="286"/>
      <c r="S91" s="286"/>
      <c r="T91" s="287"/>
      <c r="U91" s="34"/>
      <c r="V91" s="34"/>
      <c r="W91" s="35" t="s">
        <v>70</v>
      </c>
      <c r="X91" s="266">
        <v>42</v>
      </c>
      <c r="Y91" s="26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160</v>
      </c>
      <c r="AG91" s="67"/>
      <c r="AJ91" s="71" t="s">
        <v>99</v>
      </c>
      <c r="AK91" s="71">
        <v>14</v>
      </c>
      <c r="BB91" s="127" t="s">
        <v>100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161</v>
      </c>
      <c r="B92" s="54" t="s">
        <v>162</v>
      </c>
      <c r="C92" s="31">
        <v>4301131046</v>
      </c>
      <c r="D92" s="274">
        <v>4607111034137</v>
      </c>
      <c r="E92" s="275"/>
      <c r="F92" s="265">
        <v>0.3</v>
      </c>
      <c r="G92" s="32">
        <v>12</v>
      </c>
      <c r="H92" s="265">
        <v>3.6</v>
      </c>
      <c r="I92" s="265">
        <v>4.3036000000000003</v>
      </c>
      <c r="J92" s="32">
        <v>70</v>
      </c>
      <c r="K92" s="32" t="s">
        <v>96</v>
      </c>
      <c r="L92" s="32" t="s">
        <v>97</v>
      </c>
      <c r="M92" s="33" t="s">
        <v>69</v>
      </c>
      <c r="N92" s="33"/>
      <c r="O92" s="32">
        <v>180</v>
      </c>
      <c r="P92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6"/>
      <c r="R92" s="286"/>
      <c r="S92" s="286"/>
      <c r="T92" s="287"/>
      <c r="U92" s="34"/>
      <c r="V92" s="34"/>
      <c r="W92" s="35" t="s">
        <v>70</v>
      </c>
      <c r="X92" s="266">
        <v>84</v>
      </c>
      <c r="Y92" s="267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163</v>
      </c>
      <c r="AG92" s="67"/>
      <c r="AJ92" s="71" t="s">
        <v>99</v>
      </c>
      <c r="AK92" s="71">
        <v>14</v>
      </c>
      <c r="BB92" s="129" t="s">
        <v>100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83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4"/>
      <c r="P93" s="276" t="s">
        <v>83</v>
      </c>
      <c r="Q93" s="277"/>
      <c r="R93" s="277"/>
      <c r="S93" s="277"/>
      <c r="T93" s="277"/>
      <c r="U93" s="277"/>
      <c r="V93" s="278"/>
      <c r="W93" s="37" t="s">
        <v>70</v>
      </c>
      <c r="X93" s="268">
        <f>IFERROR(SUM(X91:X92),"0")</f>
        <v>126</v>
      </c>
      <c r="Y93" s="268">
        <f>IFERROR(SUM(Y91:Y92),"0")</f>
        <v>126</v>
      </c>
      <c r="Z93" s="268">
        <f>IFERROR(IF(Z91="",0,Z91),"0")+IFERROR(IF(Z92="",0,Z92),"0")</f>
        <v>2.2528799999999998</v>
      </c>
      <c r="AA93" s="269"/>
      <c r="AB93" s="269"/>
      <c r="AC93" s="269"/>
    </row>
    <row r="94" spans="1:68" x14ac:dyDescent="0.2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4"/>
      <c r="P94" s="276" t="s">
        <v>83</v>
      </c>
      <c r="Q94" s="277"/>
      <c r="R94" s="277"/>
      <c r="S94" s="277"/>
      <c r="T94" s="277"/>
      <c r="U94" s="277"/>
      <c r="V94" s="278"/>
      <c r="W94" s="37" t="s">
        <v>84</v>
      </c>
      <c r="X94" s="268">
        <f>IFERROR(SUMPRODUCT(X91:X92*H91:H92),"0")</f>
        <v>453.6</v>
      </c>
      <c r="Y94" s="268">
        <f>IFERROR(SUMPRODUCT(Y91:Y92*H91:H92),"0")</f>
        <v>453.6</v>
      </c>
      <c r="Z94" s="37"/>
      <c r="AA94" s="269"/>
      <c r="AB94" s="269"/>
      <c r="AC94" s="269"/>
    </row>
    <row r="95" spans="1:68" ht="16.5" hidden="1" customHeight="1" x14ac:dyDescent="0.25">
      <c r="A95" s="281" t="s">
        <v>164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1"/>
      <c r="AB95" s="261"/>
      <c r="AC95" s="261"/>
    </row>
    <row r="96" spans="1:68" ht="14.25" hidden="1" customHeight="1" x14ac:dyDescent="0.25">
      <c r="A96" s="297" t="s">
        <v>137</v>
      </c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  <c r="AA96" s="262"/>
      <c r="AB96" s="262"/>
      <c r="AC96" s="262"/>
    </row>
    <row r="97" spans="1:68" ht="27" customHeight="1" x14ac:dyDescent="0.25">
      <c r="A97" s="54" t="s">
        <v>165</v>
      </c>
      <c r="B97" s="54" t="s">
        <v>166</v>
      </c>
      <c r="C97" s="31">
        <v>4301135763</v>
      </c>
      <c r="D97" s="274">
        <v>4620207491027</v>
      </c>
      <c r="E97" s="275"/>
      <c r="F97" s="265">
        <v>0.24</v>
      </c>
      <c r="G97" s="32">
        <v>12</v>
      </c>
      <c r="H97" s="265">
        <v>2.88</v>
      </c>
      <c r="I97" s="265">
        <v>3.5836000000000001</v>
      </c>
      <c r="J97" s="32">
        <v>70</v>
      </c>
      <c r="K97" s="32" t="s">
        <v>96</v>
      </c>
      <c r="L97" s="32" t="s">
        <v>97</v>
      </c>
      <c r="M97" s="33" t="s">
        <v>69</v>
      </c>
      <c r="N97" s="33"/>
      <c r="O97" s="32">
        <v>180</v>
      </c>
      <c r="P97" s="31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6"/>
      <c r="R97" s="286"/>
      <c r="S97" s="286"/>
      <c r="T97" s="287"/>
      <c r="U97" s="34"/>
      <c r="V97" s="34"/>
      <c r="W97" s="35" t="s">
        <v>70</v>
      </c>
      <c r="X97" s="266">
        <v>28</v>
      </c>
      <c r="Y97" s="26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155</v>
      </c>
      <c r="AG97" s="67"/>
      <c r="AJ97" s="71" t="s">
        <v>99</v>
      </c>
      <c r="AK97" s="71">
        <v>14</v>
      </c>
      <c r="BB97" s="131" t="s">
        <v>100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167</v>
      </c>
      <c r="B98" s="54" t="s">
        <v>168</v>
      </c>
      <c r="C98" s="31">
        <v>4301135793</v>
      </c>
      <c r="D98" s="274">
        <v>4620207491003</v>
      </c>
      <c r="E98" s="275"/>
      <c r="F98" s="265">
        <v>0.24</v>
      </c>
      <c r="G98" s="32">
        <v>12</v>
      </c>
      <c r="H98" s="265">
        <v>2.88</v>
      </c>
      <c r="I98" s="265">
        <v>3.5836000000000001</v>
      </c>
      <c r="J98" s="32">
        <v>70</v>
      </c>
      <c r="K98" s="32" t="s">
        <v>96</v>
      </c>
      <c r="L98" s="32" t="s">
        <v>97</v>
      </c>
      <c r="M98" s="33" t="s">
        <v>69</v>
      </c>
      <c r="N98" s="33"/>
      <c r="O98" s="32">
        <v>180</v>
      </c>
      <c r="P98" s="41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6"/>
      <c r="R98" s="286"/>
      <c r="S98" s="286"/>
      <c r="T98" s="287"/>
      <c r="U98" s="34"/>
      <c r="V98" s="34"/>
      <c r="W98" s="35" t="s">
        <v>70</v>
      </c>
      <c r="X98" s="266">
        <v>42</v>
      </c>
      <c r="Y98" s="267">
        <f t="shared" si="6"/>
        <v>42</v>
      </c>
      <c r="Z98" s="36">
        <f t="shared" si="7"/>
        <v>0.75095999999999996</v>
      </c>
      <c r="AA98" s="56"/>
      <c r="AB98" s="57"/>
      <c r="AC98" s="132" t="s">
        <v>155</v>
      </c>
      <c r="AG98" s="67"/>
      <c r="AJ98" s="71" t="s">
        <v>99</v>
      </c>
      <c r="AK98" s="71">
        <v>14</v>
      </c>
      <c r="BB98" s="133" t="s">
        <v>100</v>
      </c>
      <c r="BM98" s="67">
        <f t="shared" si="8"/>
        <v>150.5112</v>
      </c>
      <c r="BN98" s="67">
        <f t="shared" si="9"/>
        <v>150.5112</v>
      </c>
      <c r="BO98" s="67">
        <f t="shared" si="10"/>
        <v>0.6</v>
      </c>
      <c r="BP98" s="67">
        <f t="shared" si="11"/>
        <v>0.6</v>
      </c>
    </row>
    <row r="99" spans="1:68" ht="27" customHeight="1" x14ac:dyDescent="0.25">
      <c r="A99" s="54" t="s">
        <v>169</v>
      </c>
      <c r="B99" s="54" t="s">
        <v>170</v>
      </c>
      <c r="C99" s="31">
        <v>4301135768</v>
      </c>
      <c r="D99" s="274">
        <v>4620207491034</v>
      </c>
      <c r="E99" s="275"/>
      <c r="F99" s="265">
        <v>0.24</v>
      </c>
      <c r="G99" s="32">
        <v>12</v>
      </c>
      <c r="H99" s="265">
        <v>2.88</v>
      </c>
      <c r="I99" s="265">
        <v>3.5836000000000001</v>
      </c>
      <c r="J99" s="32">
        <v>70</v>
      </c>
      <c r="K99" s="32" t="s">
        <v>96</v>
      </c>
      <c r="L99" s="32" t="s">
        <v>97</v>
      </c>
      <c r="M99" s="33" t="s">
        <v>69</v>
      </c>
      <c r="N99" s="33"/>
      <c r="O99" s="32">
        <v>180</v>
      </c>
      <c r="P99" s="32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6"/>
      <c r="R99" s="286"/>
      <c r="S99" s="286"/>
      <c r="T99" s="287"/>
      <c r="U99" s="34"/>
      <c r="V99" s="34"/>
      <c r="W99" s="35" t="s">
        <v>70</v>
      </c>
      <c r="X99" s="266">
        <v>28</v>
      </c>
      <c r="Y99" s="267">
        <f t="shared" si="6"/>
        <v>28</v>
      </c>
      <c r="Z99" s="36">
        <f t="shared" si="7"/>
        <v>0.50063999999999997</v>
      </c>
      <c r="AA99" s="56"/>
      <c r="AB99" s="57"/>
      <c r="AC99" s="134" t="s">
        <v>171</v>
      </c>
      <c r="AG99" s="67"/>
      <c r="AJ99" s="71" t="s">
        <v>99</v>
      </c>
      <c r="AK99" s="71">
        <v>14</v>
      </c>
      <c r="BB99" s="135" t="s">
        <v>100</v>
      </c>
      <c r="BM99" s="67">
        <f t="shared" si="8"/>
        <v>100.3408</v>
      </c>
      <c r="BN99" s="67">
        <f t="shared" si="9"/>
        <v>100.3408</v>
      </c>
      <c r="BO99" s="67">
        <f t="shared" si="10"/>
        <v>0.4</v>
      </c>
      <c r="BP99" s="67">
        <f t="shared" si="11"/>
        <v>0.4</v>
      </c>
    </row>
    <row r="100" spans="1:68" ht="27" hidden="1" customHeight="1" x14ac:dyDescent="0.25">
      <c r="A100" s="54" t="s">
        <v>172</v>
      </c>
      <c r="B100" s="54" t="s">
        <v>173</v>
      </c>
      <c r="C100" s="31">
        <v>4301135760</v>
      </c>
      <c r="D100" s="274">
        <v>4620207491010</v>
      </c>
      <c r="E100" s="275"/>
      <c r="F100" s="265">
        <v>0.24</v>
      </c>
      <c r="G100" s="32">
        <v>12</v>
      </c>
      <c r="H100" s="265">
        <v>2.88</v>
      </c>
      <c r="I100" s="265">
        <v>3.5836000000000001</v>
      </c>
      <c r="J100" s="32">
        <v>70</v>
      </c>
      <c r="K100" s="32" t="s">
        <v>96</v>
      </c>
      <c r="L100" s="32" t="s">
        <v>97</v>
      </c>
      <c r="M100" s="33" t="s">
        <v>69</v>
      </c>
      <c r="N100" s="33"/>
      <c r="O100" s="32">
        <v>180</v>
      </c>
      <c r="P100" s="30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6"/>
      <c r="R100" s="286"/>
      <c r="S100" s="286"/>
      <c r="T100" s="287"/>
      <c r="U100" s="34"/>
      <c r="V100" s="34"/>
      <c r="W100" s="35" t="s">
        <v>70</v>
      </c>
      <c r="X100" s="266">
        <v>0</v>
      </c>
      <c r="Y100" s="267">
        <f t="shared" si="6"/>
        <v>0</v>
      </c>
      <c r="Z100" s="36">
        <f t="shared" si="7"/>
        <v>0</v>
      </c>
      <c r="AA100" s="56"/>
      <c r="AB100" s="57"/>
      <c r="AC100" s="136" t="s">
        <v>155</v>
      </c>
      <c r="AG100" s="67"/>
      <c r="AJ100" s="71" t="s">
        <v>99</v>
      </c>
      <c r="AK100" s="71">
        <v>14</v>
      </c>
      <c r="BB100" s="137" t="s">
        <v>100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174</v>
      </c>
      <c r="B101" s="54" t="s">
        <v>175</v>
      </c>
      <c r="C101" s="31">
        <v>4301135571</v>
      </c>
      <c r="D101" s="274">
        <v>4607111035028</v>
      </c>
      <c r="E101" s="275"/>
      <c r="F101" s="265">
        <v>0.48</v>
      </c>
      <c r="G101" s="32">
        <v>8</v>
      </c>
      <c r="H101" s="265">
        <v>3.84</v>
      </c>
      <c r="I101" s="265">
        <v>4.4488000000000003</v>
      </c>
      <c r="J101" s="32">
        <v>70</v>
      </c>
      <c r="K101" s="32" t="s">
        <v>96</v>
      </c>
      <c r="L101" s="32" t="s">
        <v>97</v>
      </c>
      <c r="M101" s="33" t="s">
        <v>69</v>
      </c>
      <c r="N101" s="33"/>
      <c r="O101" s="32">
        <v>180</v>
      </c>
      <c r="P101" s="37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6"/>
      <c r="R101" s="286"/>
      <c r="S101" s="286"/>
      <c r="T101" s="287"/>
      <c r="U101" s="34"/>
      <c r="V101" s="34"/>
      <c r="W101" s="35" t="s">
        <v>70</v>
      </c>
      <c r="X101" s="266">
        <v>28</v>
      </c>
      <c r="Y101" s="267">
        <f t="shared" si="6"/>
        <v>28</v>
      </c>
      <c r="Z101" s="36">
        <f t="shared" si="7"/>
        <v>0.50063999999999997</v>
      </c>
      <c r="AA101" s="56"/>
      <c r="AB101" s="57"/>
      <c r="AC101" s="138" t="s">
        <v>155</v>
      </c>
      <c r="AG101" s="67"/>
      <c r="AJ101" s="71" t="s">
        <v>99</v>
      </c>
      <c r="AK101" s="71">
        <v>14</v>
      </c>
      <c r="BB101" s="139" t="s">
        <v>100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hidden="1" customHeight="1" x14ac:dyDescent="0.25">
      <c r="A102" s="54" t="s">
        <v>176</v>
      </c>
      <c r="B102" s="54" t="s">
        <v>177</v>
      </c>
      <c r="C102" s="31">
        <v>4301135285</v>
      </c>
      <c r="D102" s="274">
        <v>4607111036407</v>
      </c>
      <c r="E102" s="275"/>
      <c r="F102" s="265">
        <v>0.3</v>
      </c>
      <c r="G102" s="32">
        <v>14</v>
      </c>
      <c r="H102" s="265">
        <v>4.2</v>
      </c>
      <c r="I102" s="265">
        <v>4.5292000000000003</v>
      </c>
      <c r="J102" s="32">
        <v>70</v>
      </c>
      <c r="K102" s="32" t="s">
        <v>96</v>
      </c>
      <c r="L102" s="32" t="s">
        <v>68</v>
      </c>
      <c r="M102" s="33" t="s">
        <v>69</v>
      </c>
      <c r="N102" s="33"/>
      <c r="O102" s="32">
        <v>180</v>
      </c>
      <c r="P102" s="40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6"/>
      <c r="R102" s="286"/>
      <c r="S102" s="286"/>
      <c r="T102" s="287"/>
      <c r="U102" s="34"/>
      <c r="V102" s="34"/>
      <c r="W102" s="35" t="s">
        <v>70</v>
      </c>
      <c r="X102" s="266">
        <v>0</v>
      </c>
      <c r="Y102" s="267">
        <f t="shared" si="6"/>
        <v>0</v>
      </c>
      <c r="Z102" s="36">
        <f t="shared" si="7"/>
        <v>0</v>
      </c>
      <c r="AA102" s="56"/>
      <c r="AB102" s="57"/>
      <c r="AC102" s="140" t="s">
        <v>178</v>
      </c>
      <c r="AG102" s="67"/>
      <c r="AJ102" s="71" t="s">
        <v>72</v>
      </c>
      <c r="AK102" s="71">
        <v>1</v>
      </c>
      <c r="BB102" s="141" t="s">
        <v>100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3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4"/>
      <c r="P103" s="276" t="s">
        <v>83</v>
      </c>
      <c r="Q103" s="277"/>
      <c r="R103" s="277"/>
      <c r="S103" s="277"/>
      <c r="T103" s="277"/>
      <c r="U103" s="277"/>
      <c r="V103" s="278"/>
      <c r="W103" s="37" t="s">
        <v>70</v>
      </c>
      <c r="X103" s="268">
        <f>IFERROR(SUM(X97:X102),"0")</f>
        <v>126</v>
      </c>
      <c r="Y103" s="268">
        <f>IFERROR(SUM(Y97:Y102),"0")</f>
        <v>126</v>
      </c>
      <c r="Z103" s="268">
        <f>IFERROR(IF(Z97="",0,Z97),"0")+IFERROR(IF(Z98="",0,Z98),"0")+IFERROR(IF(Z99="",0,Z99),"0")+IFERROR(IF(Z100="",0,Z100),"0")+IFERROR(IF(Z101="",0,Z101),"0")+IFERROR(IF(Z102="",0,Z102),"0")</f>
        <v>2.2528799999999998</v>
      </c>
      <c r="AA103" s="269"/>
      <c r="AB103" s="269"/>
      <c r="AC103" s="269"/>
    </row>
    <row r="104" spans="1:68" x14ac:dyDescent="0.2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4"/>
      <c r="P104" s="276" t="s">
        <v>83</v>
      </c>
      <c r="Q104" s="277"/>
      <c r="R104" s="277"/>
      <c r="S104" s="277"/>
      <c r="T104" s="277"/>
      <c r="U104" s="277"/>
      <c r="V104" s="278"/>
      <c r="W104" s="37" t="s">
        <v>84</v>
      </c>
      <c r="X104" s="268">
        <f>IFERROR(SUMPRODUCT(X97:X102*H97:H102),"0")</f>
        <v>389.76</v>
      </c>
      <c r="Y104" s="268">
        <f>IFERROR(SUMPRODUCT(Y97:Y102*H97:H102),"0")</f>
        <v>389.76</v>
      </c>
      <c r="Z104" s="37"/>
      <c r="AA104" s="269"/>
      <c r="AB104" s="269"/>
      <c r="AC104" s="269"/>
    </row>
    <row r="105" spans="1:68" ht="16.5" hidden="1" customHeight="1" x14ac:dyDescent="0.25">
      <c r="A105" s="281" t="s">
        <v>179</v>
      </c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61"/>
      <c r="AB105" s="261"/>
      <c r="AC105" s="261"/>
    </row>
    <row r="106" spans="1:68" ht="14.25" hidden="1" customHeight="1" x14ac:dyDescent="0.25">
      <c r="A106" s="297" t="s">
        <v>131</v>
      </c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  <c r="AA106" s="262"/>
      <c r="AB106" s="262"/>
      <c r="AC106" s="262"/>
    </row>
    <row r="107" spans="1:68" ht="27" customHeight="1" x14ac:dyDescent="0.25">
      <c r="A107" s="54" t="s">
        <v>180</v>
      </c>
      <c r="B107" s="54" t="s">
        <v>181</v>
      </c>
      <c r="C107" s="31">
        <v>4301136070</v>
      </c>
      <c r="D107" s="274">
        <v>4607025784012</v>
      </c>
      <c r="E107" s="275"/>
      <c r="F107" s="265">
        <v>0.09</v>
      </c>
      <c r="G107" s="32">
        <v>24</v>
      </c>
      <c r="H107" s="265">
        <v>2.16</v>
      </c>
      <c r="I107" s="265">
        <v>2.4912000000000001</v>
      </c>
      <c r="J107" s="32">
        <v>126</v>
      </c>
      <c r="K107" s="32" t="s">
        <v>96</v>
      </c>
      <c r="L107" s="32" t="s">
        <v>97</v>
      </c>
      <c r="M107" s="33" t="s">
        <v>69</v>
      </c>
      <c r="N107" s="33"/>
      <c r="O107" s="32">
        <v>180</v>
      </c>
      <c r="P107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6"/>
      <c r="R107" s="286"/>
      <c r="S107" s="286"/>
      <c r="T107" s="287"/>
      <c r="U107" s="34"/>
      <c r="V107" s="34"/>
      <c r="W107" s="35" t="s">
        <v>70</v>
      </c>
      <c r="X107" s="266">
        <v>14</v>
      </c>
      <c r="Y107" s="267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182</v>
      </c>
      <c r="AG107" s="67"/>
      <c r="AJ107" s="71" t="s">
        <v>99</v>
      </c>
      <c r="AK107" s="71">
        <v>14</v>
      </c>
      <c r="BB107" s="143" t="s">
        <v>100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183</v>
      </c>
      <c r="B108" s="54" t="s">
        <v>184</v>
      </c>
      <c r="C108" s="31">
        <v>4301136079</v>
      </c>
      <c r="D108" s="274">
        <v>4607025784319</v>
      </c>
      <c r="E108" s="275"/>
      <c r="F108" s="265">
        <v>0.36</v>
      </c>
      <c r="G108" s="32">
        <v>10</v>
      </c>
      <c r="H108" s="265">
        <v>3.6</v>
      </c>
      <c r="I108" s="265">
        <v>4.2439999999999998</v>
      </c>
      <c r="J108" s="32">
        <v>70</v>
      </c>
      <c r="K108" s="32" t="s">
        <v>96</v>
      </c>
      <c r="L108" s="32" t="s">
        <v>97</v>
      </c>
      <c r="M108" s="33" t="s">
        <v>69</v>
      </c>
      <c r="N108" s="33"/>
      <c r="O108" s="32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6"/>
      <c r="R108" s="286"/>
      <c r="S108" s="286"/>
      <c r="T108" s="287"/>
      <c r="U108" s="34"/>
      <c r="V108" s="34"/>
      <c r="W108" s="35" t="s">
        <v>70</v>
      </c>
      <c r="X108" s="266">
        <v>14</v>
      </c>
      <c r="Y108" s="267">
        <f>IFERROR(IF(X108="","",X108),"")</f>
        <v>14</v>
      </c>
      <c r="Z108" s="36">
        <f>IFERROR(IF(X108="","",X108*0.01788),"")</f>
        <v>0.25031999999999999</v>
      </c>
      <c r="AA108" s="56"/>
      <c r="AB108" s="57"/>
      <c r="AC108" s="144" t="s">
        <v>155</v>
      </c>
      <c r="AG108" s="67"/>
      <c r="AJ108" s="71" t="s">
        <v>99</v>
      </c>
      <c r="AK108" s="71">
        <v>14</v>
      </c>
      <c r="BB108" s="145" t="s">
        <v>100</v>
      </c>
      <c r="BM108" s="67">
        <f>IFERROR(X108*I108,"0")</f>
        <v>59.415999999999997</v>
      </c>
      <c r="BN108" s="67">
        <f>IFERROR(Y108*I108,"0")</f>
        <v>59.415999999999997</v>
      </c>
      <c r="BO108" s="67">
        <f>IFERROR(X108/J108,"0")</f>
        <v>0.2</v>
      </c>
      <c r="BP108" s="67">
        <f>IFERROR(Y108/J108,"0")</f>
        <v>0.2</v>
      </c>
    </row>
    <row r="109" spans="1:68" x14ac:dyDescent="0.2">
      <c r="A109" s="283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4"/>
      <c r="P109" s="276" t="s">
        <v>83</v>
      </c>
      <c r="Q109" s="277"/>
      <c r="R109" s="277"/>
      <c r="S109" s="277"/>
      <c r="T109" s="277"/>
      <c r="U109" s="277"/>
      <c r="V109" s="278"/>
      <c r="W109" s="37" t="s">
        <v>70</v>
      </c>
      <c r="X109" s="268">
        <f>IFERROR(SUM(X107:X108),"0")</f>
        <v>28</v>
      </c>
      <c r="Y109" s="268">
        <f>IFERROR(SUM(Y107:Y108),"0")</f>
        <v>28</v>
      </c>
      <c r="Z109" s="268">
        <f>IFERROR(IF(Z107="",0,Z107),"0")+IFERROR(IF(Z108="",0,Z108),"0")</f>
        <v>0.38135999999999998</v>
      </c>
      <c r="AA109" s="269"/>
      <c r="AB109" s="269"/>
      <c r="AC109" s="269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4"/>
      <c r="P110" s="276" t="s">
        <v>83</v>
      </c>
      <c r="Q110" s="277"/>
      <c r="R110" s="277"/>
      <c r="S110" s="277"/>
      <c r="T110" s="277"/>
      <c r="U110" s="277"/>
      <c r="V110" s="278"/>
      <c r="W110" s="37" t="s">
        <v>84</v>
      </c>
      <c r="X110" s="268">
        <f>IFERROR(SUMPRODUCT(X107:X108*H107:H108),"0")</f>
        <v>80.64</v>
      </c>
      <c r="Y110" s="268">
        <f>IFERROR(SUMPRODUCT(Y107:Y108*H107:H108),"0")</f>
        <v>80.64</v>
      </c>
      <c r="Z110" s="37"/>
      <c r="AA110" s="269"/>
      <c r="AB110" s="269"/>
      <c r="AC110" s="269"/>
    </row>
    <row r="111" spans="1:68" ht="16.5" hidden="1" customHeight="1" x14ac:dyDescent="0.25">
      <c r="A111" s="281" t="s">
        <v>185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1"/>
      <c r="AB111" s="261"/>
      <c r="AC111" s="261"/>
    </row>
    <row r="112" spans="1:68" ht="14.25" hidden="1" customHeight="1" x14ac:dyDescent="0.25">
      <c r="A112" s="297" t="s">
        <v>64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customHeight="1" x14ac:dyDescent="0.25">
      <c r="A113" s="54" t="s">
        <v>186</v>
      </c>
      <c r="B113" s="54" t="s">
        <v>187</v>
      </c>
      <c r="C113" s="31">
        <v>4301071074</v>
      </c>
      <c r="D113" s="274">
        <v>4620207491157</v>
      </c>
      <c r="E113" s="275"/>
      <c r="F113" s="265">
        <v>0.7</v>
      </c>
      <c r="G113" s="32">
        <v>10</v>
      </c>
      <c r="H113" s="265">
        <v>7</v>
      </c>
      <c r="I113" s="265">
        <v>7.28</v>
      </c>
      <c r="J113" s="32">
        <v>84</v>
      </c>
      <c r="K113" s="32" t="s">
        <v>67</v>
      </c>
      <c r="L113" s="32" t="s">
        <v>97</v>
      </c>
      <c r="M113" s="33" t="s">
        <v>69</v>
      </c>
      <c r="N113" s="33"/>
      <c r="O113" s="32">
        <v>180</v>
      </c>
      <c r="P113" s="33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6"/>
      <c r="R113" s="286"/>
      <c r="S113" s="286"/>
      <c r="T113" s="287"/>
      <c r="U113" s="34"/>
      <c r="V113" s="34"/>
      <c r="W113" s="35" t="s">
        <v>70</v>
      </c>
      <c r="X113" s="266">
        <v>12</v>
      </c>
      <c r="Y113" s="26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188</v>
      </c>
      <c r="AG113" s="67"/>
      <c r="AJ113" s="71" t="s">
        <v>99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4301071121</v>
      </c>
      <c r="D114" s="274">
        <v>4620207491393</v>
      </c>
      <c r="E114" s="275"/>
      <c r="F114" s="265">
        <v>0.4</v>
      </c>
      <c r="G114" s="32">
        <v>16</v>
      </c>
      <c r="H114" s="265">
        <v>6.4</v>
      </c>
      <c r="I114" s="265">
        <v>6.71</v>
      </c>
      <c r="J114" s="32">
        <v>84</v>
      </c>
      <c r="K114" s="32" t="s">
        <v>67</v>
      </c>
      <c r="L114" s="32" t="s">
        <v>68</v>
      </c>
      <c r="M114" s="33" t="s">
        <v>69</v>
      </c>
      <c r="N114" s="33"/>
      <c r="O114" s="32">
        <v>180</v>
      </c>
      <c r="P114" s="38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6"/>
      <c r="R114" s="286"/>
      <c r="S114" s="286"/>
      <c r="T114" s="287"/>
      <c r="U114" s="34"/>
      <c r="V114" s="34"/>
      <c r="W114" s="35" t="s">
        <v>70</v>
      </c>
      <c r="X114" s="266">
        <v>0</v>
      </c>
      <c r="Y114" s="267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72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74">
        <v>4607111039262</v>
      </c>
      <c r="E115" s="275"/>
      <c r="F115" s="265">
        <v>0.4</v>
      </c>
      <c r="G115" s="32">
        <v>16</v>
      </c>
      <c r="H115" s="265">
        <v>6.4</v>
      </c>
      <c r="I115" s="265">
        <v>6.7195999999999998</v>
      </c>
      <c r="J115" s="32">
        <v>84</v>
      </c>
      <c r="K115" s="32" t="s">
        <v>67</v>
      </c>
      <c r="L115" s="32" t="s">
        <v>97</v>
      </c>
      <c r="M115" s="33" t="s">
        <v>69</v>
      </c>
      <c r="N115" s="33"/>
      <c r="O115" s="32">
        <v>180</v>
      </c>
      <c r="P115" s="37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6"/>
      <c r="R115" s="286"/>
      <c r="S115" s="286"/>
      <c r="T115" s="287"/>
      <c r="U115" s="34"/>
      <c r="V115" s="34"/>
      <c r="W115" s="35" t="s">
        <v>70</v>
      </c>
      <c r="X115" s="266">
        <v>0</v>
      </c>
      <c r="Y115" s="267">
        <f t="shared" si="12"/>
        <v>0</v>
      </c>
      <c r="Z115" s="36">
        <f t="shared" si="13"/>
        <v>0</v>
      </c>
      <c r="AA115" s="56"/>
      <c r="AB115" s="57"/>
      <c r="AC115" s="150" t="s">
        <v>149</v>
      </c>
      <c r="AG115" s="67"/>
      <c r="AJ115" s="71" t="s">
        <v>99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4">
        <v>4607111039248</v>
      </c>
      <c r="E116" s="275"/>
      <c r="F116" s="265">
        <v>0.7</v>
      </c>
      <c r="G116" s="32">
        <v>10</v>
      </c>
      <c r="H116" s="265">
        <v>7</v>
      </c>
      <c r="I116" s="265">
        <v>7.3</v>
      </c>
      <c r="J116" s="32">
        <v>84</v>
      </c>
      <c r="K116" s="32" t="s">
        <v>67</v>
      </c>
      <c r="L116" s="32" t="s">
        <v>97</v>
      </c>
      <c r="M116" s="33" t="s">
        <v>69</v>
      </c>
      <c r="N116" s="33"/>
      <c r="O116" s="32">
        <v>180</v>
      </c>
      <c r="P116" s="31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6"/>
      <c r="R116" s="286"/>
      <c r="S116" s="286"/>
      <c r="T116" s="287"/>
      <c r="U116" s="34"/>
      <c r="V116" s="34"/>
      <c r="W116" s="35" t="s">
        <v>70</v>
      </c>
      <c r="X116" s="266">
        <v>48</v>
      </c>
      <c r="Y116" s="267">
        <f t="shared" si="12"/>
        <v>48</v>
      </c>
      <c r="Z116" s="36">
        <f t="shared" si="13"/>
        <v>0.74399999999999999</v>
      </c>
      <c r="AA116" s="56"/>
      <c r="AB116" s="57"/>
      <c r="AC116" s="152" t="s">
        <v>149</v>
      </c>
      <c r="AG116" s="67"/>
      <c r="AJ116" s="71" t="s">
        <v>99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74">
        <v>4607111037145</v>
      </c>
      <c r="E117" s="275"/>
      <c r="F117" s="265">
        <v>0.8</v>
      </c>
      <c r="G117" s="32">
        <v>8</v>
      </c>
      <c r="H117" s="265">
        <v>6.4</v>
      </c>
      <c r="I117" s="265">
        <v>6.6748000000000003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6"/>
      <c r="R117" s="286"/>
      <c r="S117" s="286"/>
      <c r="T117" s="287"/>
      <c r="U117" s="34"/>
      <c r="V117" s="34"/>
      <c r="W117" s="35" t="s">
        <v>70</v>
      </c>
      <c r="X117" s="266">
        <v>0</v>
      </c>
      <c r="Y117" s="267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72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74">
        <v>4607111039293</v>
      </c>
      <c r="E118" s="275"/>
      <c r="F118" s="265">
        <v>0.4</v>
      </c>
      <c r="G118" s="32">
        <v>16</v>
      </c>
      <c r="H118" s="265">
        <v>6.4</v>
      </c>
      <c r="I118" s="265">
        <v>6.7195999999999998</v>
      </c>
      <c r="J118" s="32">
        <v>84</v>
      </c>
      <c r="K118" s="32" t="s">
        <v>67</v>
      </c>
      <c r="L118" s="32" t="s">
        <v>97</v>
      </c>
      <c r="M118" s="33" t="s">
        <v>69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6"/>
      <c r="R118" s="286"/>
      <c r="S118" s="286"/>
      <c r="T118" s="287"/>
      <c r="U118" s="34"/>
      <c r="V118" s="34"/>
      <c r="W118" s="35" t="s">
        <v>70</v>
      </c>
      <c r="X118" s="266">
        <v>0</v>
      </c>
      <c r="Y118" s="267">
        <f t="shared" si="12"/>
        <v>0</v>
      </c>
      <c r="Z118" s="36">
        <f t="shared" si="13"/>
        <v>0</v>
      </c>
      <c r="AA118" s="56"/>
      <c r="AB118" s="57"/>
      <c r="AC118" s="156" t="s">
        <v>149</v>
      </c>
      <c r="AG118" s="67"/>
      <c r="AJ118" s="71" t="s">
        <v>99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4">
        <v>4607111039279</v>
      </c>
      <c r="E119" s="275"/>
      <c r="F119" s="265">
        <v>0.7</v>
      </c>
      <c r="G119" s="32">
        <v>10</v>
      </c>
      <c r="H119" s="265">
        <v>7</v>
      </c>
      <c r="I119" s="265">
        <v>7.3</v>
      </c>
      <c r="J119" s="32">
        <v>84</v>
      </c>
      <c r="K119" s="32" t="s">
        <v>67</v>
      </c>
      <c r="L119" s="32" t="s">
        <v>97</v>
      </c>
      <c r="M119" s="33" t="s">
        <v>69</v>
      </c>
      <c r="N119" s="33"/>
      <c r="O119" s="32">
        <v>180</v>
      </c>
      <c r="P119" s="3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6"/>
      <c r="R119" s="286"/>
      <c r="S119" s="286"/>
      <c r="T119" s="287"/>
      <c r="U119" s="34"/>
      <c r="V119" s="34"/>
      <c r="W119" s="35" t="s">
        <v>70</v>
      </c>
      <c r="X119" s="266">
        <v>120</v>
      </c>
      <c r="Y119" s="267">
        <f t="shared" si="12"/>
        <v>120</v>
      </c>
      <c r="Z119" s="36">
        <f t="shared" si="13"/>
        <v>1.8599999999999999</v>
      </c>
      <c r="AA119" s="56"/>
      <c r="AB119" s="57"/>
      <c r="AC119" s="158" t="s">
        <v>149</v>
      </c>
      <c r="AG119" s="67"/>
      <c r="AJ119" s="71" t="s">
        <v>99</v>
      </c>
      <c r="AK119" s="71">
        <v>12</v>
      </c>
      <c r="BB119" s="159" t="s">
        <v>1</v>
      </c>
      <c r="BM119" s="67">
        <f t="shared" si="14"/>
        <v>876</v>
      </c>
      <c r="BN119" s="67">
        <f t="shared" si="15"/>
        <v>876</v>
      </c>
      <c r="BO119" s="67">
        <f t="shared" si="16"/>
        <v>1.4285714285714286</v>
      </c>
      <c r="BP119" s="67">
        <f t="shared" si="17"/>
        <v>1.4285714285714286</v>
      </c>
    </row>
    <row r="120" spans="1:68" x14ac:dyDescent="0.2">
      <c r="A120" s="283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4"/>
      <c r="P120" s="276" t="s">
        <v>83</v>
      </c>
      <c r="Q120" s="277"/>
      <c r="R120" s="277"/>
      <c r="S120" s="277"/>
      <c r="T120" s="277"/>
      <c r="U120" s="277"/>
      <c r="V120" s="278"/>
      <c r="W120" s="37" t="s">
        <v>70</v>
      </c>
      <c r="X120" s="268">
        <f>IFERROR(SUM(X113:X119),"0")</f>
        <v>180</v>
      </c>
      <c r="Y120" s="268">
        <f>IFERROR(SUM(Y113:Y119),"0")</f>
        <v>180</v>
      </c>
      <c r="Z120" s="268">
        <f>IFERROR(IF(Z113="",0,Z113),"0")+IFERROR(IF(Z114="",0,Z114),"0")+IFERROR(IF(Z115="",0,Z115),"0")+IFERROR(IF(Z116="",0,Z116),"0")+IFERROR(IF(Z117="",0,Z117),"0")+IFERROR(IF(Z118="",0,Z118),"0")+IFERROR(IF(Z119="",0,Z119),"0")</f>
        <v>2.79</v>
      </c>
      <c r="AA120" s="269"/>
      <c r="AB120" s="269"/>
      <c r="AC120" s="269"/>
    </row>
    <row r="121" spans="1:68" x14ac:dyDescent="0.2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4"/>
      <c r="P121" s="276" t="s">
        <v>83</v>
      </c>
      <c r="Q121" s="277"/>
      <c r="R121" s="277"/>
      <c r="S121" s="277"/>
      <c r="T121" s="277"/>
      <c r="U121" s="277"/>
      <c r="V121" s="278"/>
      <c r="W121" s="37" t="s">
        <v>84</v>
      </c>
      <c r="X121" s="268">
        <f>IFERROR(SUMPRODUCT(X113:X119*H113:H119),"0")</f>
        <v>1260</v>
      </c>
      <c r="Y121" s="268">
        <f>IFERROR(SUMPRODUCT(Y113:Y119*H113:H119),"0")</f>
        <v>1260</v>
      </c>
      <c r="Z121" s="37"/>
      <c r="AA121" s="269"/>
      <c r="AB121" s="269"/>
      <c r="AC121" s="269"/>
    </row>
    <row r="122" spans="1:68" ht="14.25" hidden="1" customHeight="1" x14ac:dyDescent="0.25">
      <c r="A122" s="297" t="s">
        <v>137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62"/>
      <c r="AB122" s="262"/>
      <c r="AC122" s="262"/>
    </row>
    <row r="123" spans="1:68" ht="27" hidden="1" customHeight="1" x14ac:dyDescent="0.25">
      <c r="A123" s="54" t="s">
        <v>203</v>
      </c>
      <c r="B123" s="54" t="s">
        <v>204</v>
      </c>
      <c r="C123" s="31">
        <v>4301135826</v>
      </c>
      <c r="D123" s="274">
        <v>4620207490983</v>
      </c>
      <c r="E123" s="275"/>
      <c r="F123" s="265">
        <v>0.22</v>
      </c>
      <c r="G123" s="32">
        <v>12</v>
      </c>
      <c r="H123" s="265">
        <v>2.64</v>
      </c>
      <c r="I123" s="265">
        <v>3.3435999999999999</v>
      </c>
      <c r="J123" s="32">
        <v>70</v>
      </c>
      <c r="K123" s="32" t="s">
        <v>96</v>
      </c>
      <c r="L123" s="32" t="s">
        <v>68</v>
      </c>
      <c r="M123" s="33" t="s">
        <v>69</v>
      </c>
      <c r="N123" s="33"/>
      <c r="O123" s="32">
        <v>180</v>
      </c>
      <c r="P123" s="43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6"/>
      <c r="R123" s="286"/>
      <c r="S123" s="286"/>
      <c r="T123" s="287"/>
      <c r="U123" s="34"/>
      <c r="V123" s="34"/>
      <c r="W123" s="35" t="s">
        <v>70</v>
      </c>
      <c r="X123" s="266">
        <v>0</v>
      </c>
      <c r="Y123" s="26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205</v>
      </c>
      <c r="AG123" s="67"/>
      <c r="AJ123" s="71" t="s">
        <v>72</v>
      </c>
      <c r="AK123" s="71">
        <v>1</v>
      </c>
      <c r="BB123" s="161" t="s">
        <v>100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t="27" hidden="1" customHeight="1" x14ac:dyDescent="0.25">
      <c r="A124" s="54" t="s">
        <v>206</v>
      </c>
      <c r="B124" s="54" t="s">
        <v>207</v>
      </c>
      <c r="C124" s="31">
        <v>4301135670</v>
      </c>
      <c r="D124" s="274">
        <v>4620207490983</v>
      </c>
      <c r="E124" s="275"/>
      <c r="F124" s="265">
        <v>0.22</v>
      </c>
      <c r="G124" s="32">
        <v>12</v>
      </c>
      <c r="H124" s="265">
        <v>2.64</v>
      </c>
      <c r="I124" s="265">
        <v>3.3435999999999999</v>
      </c>
      <c r="J124" s="32">
        <v>70</v>
      </c>
      <c r="K124" s="32" t="s">
        <v>96</v>
      </c>
      <c r="L124" s="32" t="s">
        <v>97</v>
      </c>
      <c r="M124" s="33" t="s">
        <v>69</v>
      </c>
      <c r="N124" s="33"/>
      <c r="O124" s="32">
        <v>180</v>
      </c>
      <c r="P124" s="452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6"/>
      <c r="R124" s="286"/>
      <c r="S124" s="286"/>
      <c r="T124" s="287"/>
      <c r="U124" s="34"/>
      <c r="V124" s="34"/>
      <c r="W124" s="35" t="s">
        <v>70</v>
      </c>
      <c r="X124" s="266">
        <v>0</v>
      </c>
      <c r="Y124" s="267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99</v>
      </c>
      <c r="AK124" s="71">
        <v>14</v>
      </c>
      <c r="BB124" s="163" t="s">
        <v>100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83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4"/>
      <c r="P125" s="276" t="s">
        <v>83</v>
      </c>
      <c r="Q125" s="277"/>
      <c r="R125" s="277"/>
      <c r="S125" s="277"/>
      <c r="T125" s="277"/>
      <c r="U125" s="277"/>
      <c r="V125" s="278"/>
      <c r="W125" s="37" t="s">
        <v>70</v>
      </c>
      <c r="X125" s="268">
        <f>IFERROR(SUM(X123:X124),"0")</f>
        <v>0</v>
      </c>
      <c r="Y125" s="268">
        <f>IFERROR(SUM(Y123:Y124),"0")</f>
        <v>0</v>
      </c>
      <c r="Z125" s="268">
        <f>IFERROR(IF(Z123="",0,Z123),"0")+IFERROR(IF(Z124="",0,Z124),"0")</f>
        <v>0</v>
      </c>
      <c r="AA125" s="269"/>
      <c r="AB125" s="269"/>
      <c r="AC125" s="269"/>
    </row>
    <row r="126" spans="1:68" hidden="1" x14ac:dyDescent="0.2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4"/>
      <c r="P126" s="276" t="s">
        <v>83</v>
      </c>
      <c r="Q126" s="277"/>
      <c r="R126" s="277"/>
      <c r="S126" s="277"/>
      <c r="T126" s="277"/>
      <c r="U126" s="277"/>
      <c r="V126" s="278"/>
      <c r="W126" s="37" t="s">
        <v>84</v>
      </c>
      <c r="X126" s="268">
        <f>IFERROR(SUMPRODUCT(X123:X124*H123:H124),"0")</f>
        <v>0</v>
      </c>
      <c r="Y126" s="268">
        <f>IFERROR(SUMPRODUCT(Y123:Y124*H123:H124),"0")</f>
        <v>0</v>
      </c>
      <c r="Z126" s="37"/>
      <c r="AA126" s="269"/>
      <c r="AB126" s="269"/>
      <c r="AC126" s="269"/>
    </row>
    <row r="127" spans="1:68" ht="14.25" hidden="1" customHeight="1" x14ac:dyDescent="0.25">
      <c r="A127" s="297" t="s">
        <v>209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74">
        <v>4620207491140</v>
      </c>
      <c r="E128" s="275"/>
      <c r="F128" s="265">
        <v>0.6</v>
      </c>
      <c r="G128" s="32">
        <v>10</v>
      </c>
      <c r="H128" s="265">
        <v>6</v>
      </c>
      <c r="I128" s="265">
        <v>6.28</v>
      </c>
      <c r="J128" s="32">
        <v>84</v>
      </c>
      <c r="K128" s="32" t="s">
        <v>67</v>
      </c>
      <c r="L128" s="32" t="s">
        <v>68</v>
      </c>
      <c r="M128" s="33" t="s">
        <v>69</v>
      </c>
      <c r="N128" s="33"/>
      <c r="O128" s="32">
        <v>180</v>
      </c>
      <c r="P128" s="41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6"/>
      <c r="R128" s="286"/>
      <c r="S128" s="286"/>
      <c r="T128" s="287"/>
      <c r="U128" s="34"/>
      <c r="V128" s="34"/>
      <c r="W128" s="35" t="s">
        <v>70</v>
      </c>
      <c r="X128" s="266">
        <v>0</v>
      </c>
      <c r="Y128" s="267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72</v>
      </c>
      <c r="AK128" s="71">
        <v>1</v>
      </c>
      <c r="BB128" s="165" t="s">
        <v>100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83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4"/>
      <c r="P129" s="276" t="s">
        <v>83</v>
      </c>
      <c r="Q129" s="277"/>
      <c r="R129" s="277"/>
      <c r="S129" s="277"/>
      <c r="T129" s="277"/>
      <c r="U129" s="277"/>
      <c r="V129" s="278"/>
      <c r="W129" s="37" t="s">
        <v>70</v>
      </c>
      <c r="X129" s="268">
        <f>IFERROR(SUM(X128:X128),"0")</f>
        <v>0</v>
      </c>
      <c r="Y129" s="268">
        <f>IFERROR(SUM(Y128:Y128),"0")</f>
        <v>0</v>
      </c>
      <c r="Z129" s="268">
        <f>IFERROR(IF(Z128="",0,Z128),"0")</f>
        <v>0</v>
      </c>
      <c r="AA129" s="269"/>
      <c r="AB129" s="269"/>
      <c r="AC129" s="269"/>
    </row>
    <row r="130" spans="1:68" hidden="1" x14ac:dyDescent="0.2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4"/>
      <c r="P130" s="276" t="s">
        <v>83</v>
      </c>
      <c r="Q130" s="277"/>
      <c r="R130" s="277"/>
      <c r="S130" s="277"/>
      <c r="T130" s="277"/>
      <c r="U130" s="277"/>
      <c r="V130" s="278"/>
      <c r="W130" s="37" t="s">
        <v>84</v>
      </c>
      <c r="X130" s="268">
        <f>IFERROR(SUMPRODUCT(X128:X128*H128:H128),"0")</f>
        <v>0</v>
      </c>
      <c r="Y130" s="268">
        <f>IFERROR(SUMPRODUCT(Y128:Y128*H128:H128),"0")</f>
        <v>0</v>
      </c>
      <c r="Z130" s="37"/>
      <c r="AA130" s="269"/>
      <c r="AB130" s="269"/>
      <c r="AC130" s="269"/>
    </row>
    <row r="131" spans="1:68" ht="16.5" hidden="1" customHeight="1" x14ac:dyDescent="0.25">
      <c r="A131" s="281" t="s">
        <v>213</v>
      </c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  <c r="AA131" s="261"/>
      <c r="AB131" s="261"/>
      <c r="AC131" s="261"/>
    </row>
    <row r="132" spans="1:68" ht="14.25" hidden="1" customHeight="1" x14ac:dyDescent="0.25">
      <c r="A132" s="297" t="s">
        <v>137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2"/>
      <c r="AB132" s="262"/>
      <c r="AC132" s="262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4">
        <v>4607111034014</v>
      </c>
      <c r="E133" s="275"/>
      <c r="F133" s="265">
        <v>0.25</v>
      </c>
      <c r="G133" s="32">
        <v>12</v>
      </c>
      <c r="H133" s="265">
        <v>3</v>
      </c>
      <c r="I133" s="265">
        <v>3.7035999999999998</v>
      </c>
      <c r="J133" s="32">
        <v>70</v>
      </c>
      <c r="K133" s="32" t="s">
        <v>96</v>
      </c>
      <c r="L133" s="32" t="s">
        <v>97</v>
      </c>
      <c r="M133" s="33" t="s">
        <v>69</v>
      </c>
      <c r="N133" s="33"/>
      <c r="O133" s="32">
        <v>180</v>
      </c>
      <c r="P133" s="4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6"/>
      <c r="R133" s="286"/>
      <c r="S133" s="286"/>
      <c r="T133" s="287"/>
      <c r="U133" s="34"/>
      <c r="V133" s="34"/>
      <c r="W133" s="35" t="s">
        <v>70</v>
      </c>
      <c r="X133" s="266">
        <v>70</v>
      </c>
      <c r="Y133" s="267">
        <f>IFERROR(IF(X133="","",X133),"")</f>
        <v>70</v>
      </c>
      <c r="Z133" s="36">
        <f>IFERROR(IF(X133="","",X133*0.01788),"")</f>
        <v>1.2516</v>
      </c>
      <c r="AA133" s="56"/>
      <c r="AB133" s="57"/>
      <c r="AC133" s="166" t="s">
        <v>216</v>
      </c>
      <c r="AG133" s="67"/>
      <c r="AJ133" s="71" t="s">
        <v>99</v>
      </c>
      <c r="AK133" s="71">
        <v>14</v>
      </c>
      <c r="BB133" s="167" t="s">
        <v>100</v>
      </c>
      <c r="BM133" s="67">
        <f>IFERROR(X133*I133,"0")</f>
        <v>259.25200000000001</v>
      </c>
      <c r="BN133" s="67">
        <f>IFERROR(Y133*I133,"0")</f>
        <v>259.25200000000001</v>
      </c>
      <c r="BO133" s="67">
        <f>IFERROR(X133/J133,"0")</f>
        <v>1</v>
      </c>
      <c r="BP133" s="67">
        <f>IFERROR(Y133/J133,"0")</f>
        <v>1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4">
        <v>4607111033994</v>
      </c>
      <c r="E134" s="275"/>
      <c r="F134" s="265">
        <v>0.25</v>
      </c>
      <c r="G134" s="32">
        <v>12</v>
      </c>
      <c r="H134" s="265">
        <v>3</v>
      </c>
      <c r="I134" s="265">
        <v>3.7035999999999998</v>
      </c>
      <c r="J134" s="32">
        <v>70</v>
      </c>
      <c r="K134" s="32" t="s">
        <v>96</v>
      </c>
      <c r="L134" s="32" t="s">
        <v>219</v>
      </c>
      <c r="M134" s="33" t="s">
        <v>69</v>
      </c>
      <c r="N134" s="33"/>
      <c r="O134" s="32">
        <v>180</v>
      </c>
      <c r="P134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6"/>
      <c r="R134" s="286"/>
      <c r="S134" s="286"/>
      <c r="T134" s="287"/>
      <c r="U134" s="34"/>
      <c r="V134" s="34"/>
      <c r="W134" s="35" t="s">
        <v>70</v>
      </c>
      <c r="X134" s="266">
        <v>70</v>
      </c>
      <c r="Y134" s="267">
        <f>IFERROR(IF(X134="","",X134),"")</f>
        <v>70</v>
      </c>
      <c r="Z134" s="36">
        <f>IFERROR(IF(X134="","",X134*0.01788),"")</f>
        <v>1.2516</v>
      </c>
      <c r="AA134" s="56"/>
      <c r="AB134" s="57"/>
      <c r="AC134" s="168" t="s">
        <v>155</v>
      </c>
      <c r="AG134" s="67"/>
      <c r="AJ134" s="71" t="s">
        <v>220</v>
      </c>
      <c r="AK134" s="71">
        <v>70</v>
      </c>
      <c r="BB134" s="169" t="s">
        <v>100</v>
      </c>
      <c r="BM134" s="67">
        <f>IFERROR(X134*I134,"0")</f>
        <v>259.25200000000001</v>
      </c>
      <c r="BN134" s="67">
        <f>IFERROR(Y134*I134,"0")</f>
        <v>259.25200000000001</v>
      </c>
      <c r="BO134" s="67">
        <f>IFERROR(X134/J134,"0")</f>
        <v>1</v>
      </c>
      <c r="BP134" s="67">
        <f>IFERROR(Y134/J134,"0")</f>
        <v>1</v>
      </c>
    </row>
    <row r="135" spans="1:68" x14ac:dyDescent="0.2">
      <c r="A135" s="283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4"/>
      <c r="P135" s="276" t="s">
        <v>83</v>
      </c>
      <c r="Q135" s="277"/>
      <c r="R135" s="277"/>
      <c r="S135" s="277"/>
      <c r="T135" s="277"/>
      <c r="U135" s="277"/>
      <c r="V135" s="278"/>
      <c r="W135" s="37" t="s">
        <v>70</v>
      </c>
      <c r="X135" s="268">
        <f>IFERROR(SUM(X133:X134),"0")</f>
        <v>140</v>
      </c>
      <c r="Y135" s="268">
        <f>IFERROR(SUM(Y133:Y134),"0")</f>
        <v>140</v>
      </c>
      <c r="Z135" s="268">
        <f>IFERROR(IF(Z133="",0,Z133),"0")+IFERROR(IF(Z134="",0,Z134),"0")</f>
        <v>2.5032000000000001</v>
      </c>
      <c r="AA135" s="269"/>
      <c r="AB135" s="269"/>
      <c r="AC135" s="269"/>
    </row>
    <row r="136" spans="1:68" x14ac:dyDescent="0.2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4"/>
      <c r="P136" s="276" t="s">
        <v>83</v>
      </c>
      <c r="Q136" s="277"/>
      <c r="R136" s="277"/>
      <c r="S136" s="277"/>
      <c r="T136" s="277"/>
      <c r="U136" s="277"/>
      <c r="V136" s="278"/>
      <c r="W136" s="37" t="s">
        <v>84</v>
      </c>
      <c r="X136" s="268">
        <f>IFERROR(SUMPRODUCT(X133:X134*H133:H134),"0")</f>
        <v>420</v>
      </c>
      <c r="Y136" s="268">
        <f>IFERROR(SUMPRODUCT(Y133:Y134*H133:H134),"0")</f>
        <v>420</v>
      </c>
      <c r="Z136" s="37"/>
      <c r="AA136" s="269"/>
      <c r="AB136" s="269"/>
      <c r="AC136" s="269"/>
    </row>
    <row r="137" spans="1:68" ht="16.5" hidden="1" customHeight="1" x14ac:dyDescent="0.25">
      <c r="A137" s="281" t="s">
        <v>221</v>
      </c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  <c r="AA137" s="261"/>
      <c r="AB137" s="261"/>
      <c r="AC137" s="261"/>
    </row>
    <row r="138" spans="1:68" ht="14.25" hidden="1" customHeight="1" x14ac:dyDescent="0.25">
      <c r="A138" s="297" t="s">
        <v>137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2"/>
      <c r="AB138" s="262"/>
      <c r="AC138" s="262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4">
        <v>4607111039095</v>
      </c>
      <c r="E139" s="275"/>
      <c r="F139" s="265">
        <v>0.25</v>
      </c>
      <c r="G139" s="32">
        <v>12</v>
      </c>
      <c r="H139" s="265">
        <v>3</v>
      </c>
      <c r="I139" s="265">
        <v>3.7480000000000002</v>
      </c>
      <c r="J139" s="32">
        <v>70</v>
      </c>
      <c r="K139" s="32" t="s">
        <v>96</v>
      </c>
      <c r="L139" s="32" t="s">
        <v>68</v>
      </c>
      <c r="M139" s="33" t="s">
        <v>69</v>
      </c>
      <c r="N139" s="33"/>
      <c r="O139" s="32">
        <v>180</v>
      </c>
      <c r="P139" s="38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6"/>
      <c r="R139" s="286"/>
      <c r="S139" s="286"/>
      <c r="T139" s="287"/>
      <c r="U139" s="34"/>
      <c r="V139" s="34"/>
      <c r="W139" s="35" t="s">
        <v>70</v>
      </c>
      <c r="X139" s="266">
        <v>14</v>
      </c>
      <c r="Y139" s="267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72</v>
      </c>
      <c r="AK139" s="71">
        <v>1</v>
      </c>
      <c r="BB139" s="171" t="s">
        <v>100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4">
        <v>4607111034199</v>
      </c>
      <c r="E140" s="275"/>
      <c r="F140" s="265">
        <v>0.25</v>
      </c>
      <c r="G140" s="32">
        <v>12</v>
      </c>
      <c r="H140" s="265">
        <v>3</v>
      </c>
      <c r="I140" s="265">
        <v>3.7035999999999998</v>
      </c>
      <c r="J140" s="32">
        <v>70</v>
      </c>
      <c r="K140" s="32" t="s">
        <v>96</v>
      </c>
      <c r="L140" s="32" t="s">
        <v>97</v>
      </c>
      <c r="M140" s="33" t="s">
        <v>69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6"/>
      <c r="R140" s="286"/>
      <c r="S140" s="286"/>
      <c r="T140" s="287"/>
      <c r="U140" s="34"/>
      <c r="V140" s="34"/>
      <c r="W140" s="35" t="s">
        <v>70</v>
      </c>
      <c r="X140" s="266">
        <v>28</v>
      </c>
      <c r="Y140" s="267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72" t="s">
        <v>227</v>
      </c>
      <c r="AG140" s="67"/>
      <c r="AJ140" s="71" t="s">
        <v>99</v>
      </c>
      <c r="AK140" s="71">
        <v>14</v>
      </c>
      <c r="BB140" s="173" t="s">
        <v>100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3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4"/>
      <c r="P141" s="276" t="s">
        <v>83</v>
      </c>
      <c r="Q141" s="277"/>
      <c r="R141" s="277"/>
      <c r="S141" s="277"/>
      <c r="T141" s="277"/>
      <c r="U141" s="277"/>
      <c r="V141" s="278"/>
      <c r="W141" s="37" t="s">
        <v>70</v>
      </c>
      <c r="X141" s="268">
        <f>IFERROR(SUM(X139:X140),"0")</f>
        <v>42</v>
      </c>
      <c r="Y141" s="268">
        <f>IFERROR(SUM(Y139:Y140),"0")</f>
        <v>42</v>
      </c>
      <c r="Z141" s="268">
        <f>IFERROR(IF(Z139="",0,Z139),"0")+IFERROR(IF(Z140="",0,Z140),"0")</f>
        <v>0.75095999999999996</v>
      </c>
      <c r="AA141" s="269"/>
      <c r="AB141" s="269"/>
      <c r="AC141" s="269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4"/>
      <c r="P142" s="276" t="s">
        <v>83</v>
      </c>
      <c r="Q142" s="277"/>
      <c r="R142" s="277"/>
      <c r="S142" s="277"/>
      <c r="T142" s="277"/>
      <c r="U142" s="277"/>
      <c r="V142" s="278"/>
      <c r="W142" s="37" t="s">
        <v>84</v>
      </c>
      <c r="X142" s="268">
        <f>IFERROR(SUMPRODUCT(X139:X140*H139:H140),"0")</f>
        <v>126</v>
      </c>
      <c r="Y142" s="268">
        <f>IFERROR(SUMPRODUCT(Y139:Y140*H139:H140),"0")</f>
        <v>126</v>
      </c>
      <c r="Z142" s="37"/>
      <c r="AA142" s="269"/>
      <c r="AB142" s="269"/>
      <c r="AC142" s="269"/>
    </row>
    <row r="143" spans="1:68" ht="16.5" hidden="1" customHeight="1" x14ac:dyDescent="0.25">
      <c r="A143" s="281" t="s">
        <v>228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1"/>
      <c r="AB143" s="261"/>
      <c r="AC143" s="261"/>
    </row>
    <row r="144" spans="1:68" ht="14.25" hidden="1" customHeight="1" x14ac:dyDescent="0.25">
      <c r="A144" s="297" t="s">
        <v>137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4">
        <v>4620207490914</v>
      </c>
      <c r="E145" s="275"/>
      <c r="F145" s="265">
        <v>0.2</v>
      </c>
      <c r="G145" s="32">
        <v>12</v>
      </c>
      <c r="H145" s="265">
        <v>2.4</v>
      </c>
      <c r="I145" s="265">
        <v>2.68</v>
      </c>
      <c r="J145" s="32">
        <v>70</v>
      </c>
      <c r="K145" s="32" t="s">
        <v>96</v>
      </c>
      <c r="L145" s="32" t="s">
        <v>68</v>
      </c>
      <c r="M145" s="33" t="s">
        <v>69</v>
      </c>
      <c r="N145" s="33"/>
      <c r="O145" s="32">
        <v>180</v>
      </c>
      <c r="P145" s="3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6"/>
      <c r="R145" s="286"/>
      <c r="S145" s="286"/>
      <c r="T145" s="287"/>
      <c r="U145" s="34"/>
      <c r="V145" s="34"/>
      <c r="W145" s="35" t="s">
        <v>70</v>
      </c>
      <c r="X145" s="266">
        <v>14</v>
      </c>
      <c r="Y145" s="267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72</v>
      </c>
      <c r="AK145" s="71">
        <v>1</v>
      </c>
      <c r="BB145" s="175" t="s">
        <v>100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74">
        <v>4620207490853</v>
      </c>
      <c r="E146" s="275"/>
      <c r="F146" s="265">
        <v>0.2</v>
      </c>
      <c r="G146" s="32">
        <v>12</v>
      </c>
      <c r="H146" s="265">
        <v>2.4</v>
      </c>
      <c r="I146" s="265">
        <v>2.68</v>
      </c>
      <c r="J146" s="32">
        <v>70</v>
      </c>
      <c r="K146" s="32" t="s">
        <v>96</v>
      </c>
      <c r="L146" s="32" t="s">
        <v>68</v>
      </c>
      <c r="M146" s="33" t="s">
        <v>69</v>
      </c>
      <c r="N146" s="33"/>
      <c r="O146" s="32">
        <v>180</v>
      </c>
      <c r="P146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6"/>
      <c r="R146" s="286"/>
      <c r="S146" s="286"/>
      <c r="T146" s="287"/>
      <c r="U146" s="34"/>
      <c r="V146" s="34"/>
      <c r="W146" s="35" t="s">
        <v>70</v>
      </c>
      <c r="X146" s="266">
        <v>0</v>
      </c>
      <c r="Y146" s="267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72</v>
      </c>
      <c r="AK146" s="71">
        <v>1</v>
      </c>
      <c r="BB146" s="177" t="s">
        <v>100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x14ac:dyDescent="0.2">
      <c r="A147" s="283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4"/>
      <c r="P147" s="276" t="s">
        <v>83</v>
      </c>
      <c r="Q147" s="277"/>
      <c r="R147" s="277"/>
      <c r="S147" s="277"/>
      <c r="T147" s="277"/>
      <c r="U147" s="277"/>
      <c r="V147" s="278"/>
      <c r="W147" s="37" t="s">
        <v>70</v>
      </c>
      <c r="X147" s="268">
        <f>IFERROR(SUM(X145:X146),"0")</f>
        <v>14</v>
      </c>
      <c r="Y147" s="268">
        <f>IFERROR(SUM(Y145:Y146),"0")</f>
        <v>14</v>
      </c>
      <c r="Z147" s="268">
        <f>IFERROR(IF(Z145="",0,Z145),"0")+IFERROR(IF(Z146="",0,Z146),"0")</f>
        <v>0.25031999999999999</v>
      </c>
      <c r="AA147" s="269"/>
      <c r="AB147" s="269"/>
      <c r="AC147" s="269"/>
    </row>
    <row r="148" spans="1:68" x14ac:dyDescent="0.2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4"/>
      <c r="P148" s="276" t="s">
        <v>83</v>
      </c>
      <c r="Q148" s="277"/>
      <c r="R148" s="277"/>
      <c r="S148" s="277"/>
      <c r="T148" s="277"/>
      <c r="U148" s="277"/>
      <c r="V148" s="278"/>
      <c r="W148" s="37" t="s">
        <v>84</v>
      </c>
      <c r="X148" s="268">
        <f>IFERROR(SUMPRODUCT(X145:X146*H145:H146),"0")</f>
        <v>33.6</v>
      </c>
      <c r="Y148" s="268">
        <f>IFERROR(SUMPRODUCT(Y145:Y146*H145:H146),"0")</f>
        <v>33.6</v>
      </c>
      <c r="Z148" s="37"/>
      <c r="AA148" s="269"/>
      <c r="AB148" s="269"/>
      <c r="AC148" s="269"/>
    </row>
    <row r="149" spans="1:68" ht="16.5" hidden="1" customHeight="1" x14ac:dyDescent="0.25">
      <c r="A149" s="281" t="s">
        <v>233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1"/>
      <c r="AB149" s="261"/>
      <c r="AC149" s="261"/>
    </row>
    <row r="150" spans="1:68" ht="14.25" hidden="1" customHeight="1" x14ac:dyDescent="0.25">
      <c r="A150" s="297" t="s">
        <v>137</v>
      </c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  <c r="AA150" s="262"/>
      <c r="AB150" s="262"/>
      <c r="AC150" s="262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4">
        <v>4607111035806</v>
      </c>
      <c r="E151" s="275"/>
      <c r="F151" s="265">
        <v>0.25</v>
      </c>
      <c r="G151" s="32">
        <v>12</v>
      </c>
      <c r="H151" s="265">
        <v>3</v>
      </c>
      <c r="I151" s="265">
        <v>3.7035999999999998</v>
      </c>
      <c r="J151" s="32">
        <v>70</v>
      </c>
      <c r="K151" s="32" t="s">
        <v>96</v>
      </c>
      <c r="L151" s="32" t="s">
        <v>97</v>
      </c>
      <c r="M151" s="33" t="s">
        <v>69</v>
      </c>
      <c r="N151" s="33"/>
      <c r="O151" s="32">
        <v>180</v>
      </c>
      <c r="P151" s="453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6"/>
      <c r="R151" s="286"/>
      <c r="S151" s="286"/>
      <c r="T151" s="287"/>
      <c r="U151" s="34"/>
      <c r="V151" s="34"/>
      <c r="W151" s="35" t="s">
        <v>70</v>
      </c>
      <c r="X151" s="266">
        <v>14</v>
      </c>
      <c r="Y151" s="267">
        <f>IFERROR(IF(X151="","",X151),"")</f>
        <v>14</v>
      </c>
      <c r="Z151" s="36">
        <f>IFERROR(IF(X151="","",X151*0.01788),"")</f>
        <v>0.25031999999999999</v>
      </c>
      <c r="AA151" s="56"/>
      <c r="AB151" s="57"/>
      <c r="AC151" s="178" t="s">
        <v>236</v>
      </c>
      <c r="AG151" s="67"/>
      <c r="AJ151" s="71" t="s">
        <v>99</v>
      </c>
      <c r="AK151" s="71">
        <v>14</v>
      </c>
      <c r="BB151" s="179" t="s">
        <v>100</v>
      </c>
      <c r="BM151" s="67">
        <f>IFERROR(X151*I151,"0")</f>
        <v>51.850399999999993</v>
      </c>
      <c r="BN151" s="67">
        <f>IFERROR(Y151*I151,"0")</f>
        <v>51.850399999999993</v>
      </c>
      <c r="BO151" s="67">
        <f>IFERROR(X151/J151,"0")</f>
        <v>0.2</v>
      </c>
      <c r="BP151" s="67">
        <f>IFERROR(Y151/J151,"0")</f>
        <v>0.2</v>
      </c>
    </row>
    <row r="152" spans="1:68" x14ac:dyDescent="0.2">
      <c r="A152" s="283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4"/>
      <c r="P152" s="276" t="s">
        <v>83</v>
      </c>
      <c r="Q152" s="277"/>
      <c r="R152" s="277"/>
      <c r="S152" s="277"/>
      <c r="T152" s="277"/>
      <c r="U152" s="277"/>
      <c r="V152" s="278"/>
      <c r="W152" s="37" t="s">
        <v>70</v>
      </c>
      <c r="X152" s="268">
        <f>IFERROR(SUM(X151:X151),"0")</f>
        <v>14</v>
      </c>
      <c r="Y152" s="268">
        <f>IFERROR(SUM(Y151:Y151),"0")</f>
        <v>14</v>
      </c>
      <c r="Z152" s="268">
        <f>IFERROR(IF(Z151="",0,Z151),"0")</f>
        <v>0.25031999999999999</v>
      </c>
      <c r="AA152" s="269"/>
      <c r="AB152" s="269"/>
      <c r="AC152" s="269"/>
    </row>
    <row r="153" spans="1:68" x14ac:dyDescent="0.2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4"/>
      <c r="P153" s="276" t="s">
        <v>83</v>
      </c>
      <c r="Q153" s="277"/>
      <c r="R153" s="277"/>
      <c r="S153" s="277"/>
      <c r="T153" s="277"/>
      <c r="U153" s="277"/>
      <c r="V153" s="278"/>
      <c r="W153" s="37" t="s">
        <v>84</v>
      </c>
      <c r="X153" s="268">
        <f>IFERROR(SUMPRODUCT(X151:X151*H151:H151),"0")</f>
        <v>42</v>
      </c>
      <c r="Y153" s="268">
        <f>IFERROR(SUMPRODUCT(Y151:Y151*H151:H151),"0")</f>
        <v>42</v>
      </c>
      <c r="Z153" s="37"/>
      <c r="AA153" s="269"/>
      <c r="AB153" s="269"/>
      <c r="AC153" s="269"/>
    </row>
    <row r="154" spans="1:68" ht="16.5" hidden="1" customHeight="1" x14ac:dyDescent="0.25">
      <c r="A154" s="281" t="s">
        <v>237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1"/>
      <c r="AB154" s="261"/>
      <c r="AC154" s="261"/>
    </row>
    <row r="155" spans="1:68" ht="14.25" hidden="1" customHeight="1" x14ac:dyDescent="0.25">
      <c r="A155" s="297" t="s">
        <v>137</v>
      </c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  <c r="AA155" s="262"/>
      <c r="AB155" s="262"/>
      <c r="AC155" s="262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74">
        <v>4607111039613</v>
      </c>
      <c r="E156" s="275"/>
      <c r="F156" s="265">
        <v>0.09</v>
      </c>
      <c r="G156" s="32">
        <v>30</v>
      </c>
      <c r="H156" s="265">
        <v>2.7</v>
      </c>
      <c r="I156" s="265">
        <v>3.09</v>
      </c>
      <c r="J156" s="32">
        <v>126</v>
      </c>
      <c r="K156" s="32" t="s">
        <v>96</v>
      </c>
      <c r="L156" s="32" t="s">
        <v>68</v>
      </c>
      <c r="M156" s="33" t="s">
        <v>69</v>
      </c>
      <c r="N156" s="33"/>
      <c r="O156" s="32">
        <v>180</v>
      </c>
      <c r="P156" s="38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6"/>
      <c r="R156" s="286"/>
      <c r="S156" s="286"/>
      <c r="T156" s="287"/>
      <c r="U156" s="34"/>
      <c r="V156" s="34"/>
      <c r="W156" s="35" t="s">
        <v>70</v>
      </c>
      <c r="X156" s="266">
        <v>0</v>
      </c>
      <c r="Y156" s="267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72</v>
      </c>
      <c r="AK156" s="71">
        <v>1</v>
      </c>
      <c r="BB156" s="181" t="s">
        <v>100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83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4"/>
      <c r="P157" s="276" t="s">
        <v>83</v>
      </c>
      <c r="Q157" s="277"/>
      <c r="R157" s="277"/>
      <c r="S157" s="277"/>
      <c r="T157" s="277"/>
      <c r="U157" s="277"/>
      <c r="V157" s="278"/>
      <c r="W157" s="37" t="s">
        <v>70</v>
      </c>
      <c r="X157" s="268">
        <f>IFERROR(SUM(X156:X156),"0")</f>
        <v>0</v>
      </c>
      <c r="Y157" s="268">
        <f>IFERROR(SUM(Y156:Y156),"0")</f>
        <v>0</v>
      </c>
      <c r="Z157" s="268">
        <f>IFERROR(IF(Z156="",0,Z156),"0")</f>
        <v>0</v>
      </c>
      <c r="AA157" s="269"/>
      <c r="AB157" s="269"/>
      <c r="AC157" s="269"/>
    </row>
    <row r="158" spans="1:68" hidden="1" x14ac:dyDescent="0.2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4"/>
      <c r="P158" s="276" t="s">
        <v>83</v>
      </c>
      <c r="Q158" s="277"/>
      <c r="R158" s="277"/>
      <c r="S158" s="277"/>
      <c r="T158" s="277"/>
      <c r="U158" s="277"/>
      <c r="V158" s="278"/>
      <c r="W158" s="37" t="s">
        <v>84</v>
      </c>
      <c r="X158" s="268">
        <f>IFERROR(SUMPRODUCT(X156:X156*H156:H156),"0")</f>
        <v>0</v>
      </c>
      <c r="Y158" s="268">
        <f>IFERROR(SUMPRODUCT(Y156:Y156*H156:H156),"0")</f>
        <v>0</v>
      </c>
      <c r="Z158" s="37"/>
      <c r="AA158" s="269"/>
      <c r="AB158" s="269"/>
      <c r="AC158" s="269"/>
    </row>
    <row r="159" spans="1:68" ht="16.5" hidden="1" customHeight="1" x14ac:dyDescent="0.25">
      <c r="A159" s="281" t="s">
        <v>240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1"/>
      <c r="AB159" s="261"/>
      <c r="AC159" s="261"/>
    </row>
    <row r="160" spans="1:68" ht="14.25" hidden="1" customHeight="1" x14ac:dyDescent="0.25">
      <c r="A160" s="297" t="s">
        <v>209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74">
        <v>4607111035646</v>
      </c>
      <c r="E161" s="275"/>
      <c r="F161" s="265">
        <v>0.2</v>
      </c>
      <c r="G161" s="32">
        <v>8</v>
      </c>
      <c r="H161" s="265">
        <v>1.6</v>
      </c>
      <c r="I161" s="265">
        <v>2.12</v>
      </c>
      <c r="J161" s="32">
        <v>72</v>
      </c>
      <c r="K161" s="32" t="s">
        <v>243</v>
      </c>
      <c r="L161" s="32" t="s">
        <v>68</v>
      </c>
      <c r="M161" s="33" t="s">
        <v>69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6"/>
      <c r="R161" s="286"/>
      <c r="S161" s="286"/>
      <c r="T161" s="287"/>
      <c r="U161" s="34"/>
      <c r="V161" s="34"/>
      <c r="W161" s="35" t="s">
        <v>70</v>
      </c>
      <c r="X161" s="266">
        <v>0</v>
      </c>
      <c r="Y161" s="267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72</v>
      </c>
      <c r="AK161" s="71">
        <v>1</v>
      </c>
      <c r="BB161" s="183" t="s">
        <v>100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83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4"/>
      <c r="P162" s="276" t="s">
        <v>83</v>
      </c>
      <c r="Q162" s="277"/>
      <c r="R162" s="277"/>
      <c r="S162" s="277"/>
      <c r="T162" s="277"/>
      <c r="U162" s="277"/>
      <c r="V162" s="278"/>
      <c r="W162" s="37" t="s">
        <v>70</v>
      </c>
      <c r="X162" s="268">
        <f>IFERROR(SUM(X161:X161),"0")</f>
        <v>0</v>
      </c>
      <c r="Y162" s="268">
        <f>IFERROR(SUM(Y161:Y161),"0")</f>
        <v>0</v>
      </c>
      <c r="Z162" s="268">
        <f>IFERROR(IF(Z161="",0,Z161),"0")</f>
        <v>0</v>
      </c>
      <c r="AA162" s="269"/>
      <c r="AB162" s="269"/>
      <c r="AC162" s="269"/>
    </row>
    <row r="163" spans="1:68" hidden="1" x14ac:dyDescent="0.2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4"/>
      <c r="P163" s="276" t="s">
        <v>83</v>
      </c>
      <c r="Q163" s="277"/>
      <c r="R163" s="277"/>
      <c r="S163" s="277"/>
      <c r="T163" s="277"/>
      <c r="U163" s="277"/>
      <c r="V163" s="278"/>
      <c r="W163" s="37" t="s">
        <v>84</v>
      </c>
      <c r="X163" s="268">
        <f>IFERROR(SUMPRODUCT(X161:X161*H161:H161),"0")</f>
        <v>0</v>
      </c>
      <c r="Y163" s="268">
        <f>IFERROR(SUMPRODUCT(Y161:Y161*H161:H161),"0")</f>
        <v>0</v>
      </c>
      <c r="Z163" s="37"/>
      <c r="AA163" s="269"/>
      <c r="AB163" s="269"/>
      <c r="AC163" s="269"/>
    </row>
    <row r="164" spans="1:68" ht="16.5" hidden="1" customHeight="1" x14ac:dyDescent="0.25">
      <c r="A164" s="281" t="s">
        <v>245</v>
      </c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  <c r="AA164" s="261"/>
      <c r="AB164" s="261"/>
      <c r="AC164" s="261"/>
    </row>
    <row r="165" spans="1:68" ht="14.25" hidden="1" customHeight="1" x14ac:dyDescent="0.25">
      <c r="A165" s="297" t="s">
        <v>137</v>
      </c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  <c r="AA165" s="262"/>
      <c r="AB165" s="262"/>
      <c r="AC165" s="262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4">
        <v>4607111036568</v>
      </c>
      <c r="E166" s="275"/>
      <c r="F166" s="265">
        <v>0.28000000000000003</v>
      </c>
      <c r="G166" s="32">
        <v>6</v>
      </c>
      <c r="H166" s="265">
        <v>1.68</v>
      </c>
      <c r="I166" s="265">
        <v>2.1017999999999999</v>
      </c>
      <c r="J166" s="32">
        <v>140</v>
      </c>
      <c r="K166" s="32" t="s">
        <v>96</v>
      </c>
      <c r="L166" s="32" t="s">
        <v>97</v>
      </c>
      <c r="M166" s="33" t="s">
        <v>69</v>
      </c>
      <c r="N166" s="33"/>
      <c r="O166" s="32">
        <v>180</v>
      </c>
      <c r="P166" s="31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6"/>
      <c r="R166" s="286"/>
      <c r="S166" s="286"/>
      <c r="T166" s="287"/>
      <c r="U166" s="34"/>
      <c r="V166" s="34"/>
      <c r="W166" s="35" t="s">
        <v>70</v>
      </c>
      <c r="X166" s="266">
        <v>70</v>
      </c>
      <c r="Y166" s="267">
        <f>IFERROR(IF(X166="","",X166),"")</f>
        <v>70</v>
      </c>
      <c r="Z166" s="36">
        <f>IFERROR(IF(X166="","",X166*0.00941),"")</f>
        <v>0.65869999999999995</v>
      </c>
      <c r="AA166" s="56"/>
      <c r="AB166" s="57"/>
      <c r="AC166" s="184" t="s">
        <v>248</v>
      </c>
      <c r="AG166" s="67"/>
      <c r="AJ166" s="71" t="s">
        <v>99</v>
      </c>
      <c r="AK166" s="71">
        <v>14</v>
      </c>
      <c r="BB166" s="185" t="s">
        <v>100</v>
      </c>
      <c r="BM166" s="67">
        <f>IFERROR(X166*I166,"0")</f>
        <v>147.126</v>
      </c>
      <c r="BN166" s="67">
        <f>IFERROR(Y166*I166,"0")</f>
        <v>147.126</v>
      </c>
      <c r="BO166" s="67">
        <f>IFERROR(X166/J166,"0")</f>
        <v>0.5</v>
      </c>
      <c r="BP166" s="67">
        <f>IFERROR(Y166/J166,"0")</f>
        <v>0.5</v>
      </c>
    </row>
    <row r="167" spans="1:68" x14ac:dyDescent="0.2">
      <c r="A167" s="283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4"/>
      <c r="P167" s="276" t="s">
        <v>83</v>
      </c>
      <c r="Q167" s="277"/>
      <c r="R167" s="277"/>
      <c r="S167" s="277"/>
      <c r="T167" s="277"/>
      <c r="U167" s="277"/>
      <c r="V167" s="278"/>
      <c r="W167" s="37" t="s">
        <v>70</v>
      </c>
      <c r="X167" s="268">
        <f>IFERROR(SUM(X166:X166),"0")</f>
        <v>70</v>
      </c>
      <c r="Y167" s="268">
        <f>IFERROR(SUM(Y166:Y166),"0")</f>
        <v>70</v>
      </c>
      <c r="Z167" s="268">
        <f>IFERROR(IF(Z166="",0,Z166),"0")</f>
        <v>0.65869999999999995</v>
      </c>
      <c r="AA167" s="269"/>
      <c r="AB167" s="269"/>
      <c r="AC167" s="269"/>
    </row>
    <row r="168" spans="1:68" x14ac:dyDescent="0.2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4"/>
      <c r="P168" s="276" t="s">
        <v>83</v>
      </c>
      <c r="Q168" s="277"/>
      <c r="R168" s="277"/>
      <c r="S168" s="277"/>
      <c r="T168" s="277"/>
      <c r="U168" s="277"/>
      <c r="V168" s="278"/>
      <c r="W168" s="37" t="s">
        <v>84</v>
      </c>
      <c r="X168" s="268">
        <f>IFERROR(SUMPRODUCT(X166:X166*H166:H166),"0")</f>
        <v>117.6</v>
      </c>
      <c r="Y168" s="268">
        <f>IFERROR(SUMPRODUCT(Y166:Y166*H166:H166),"0")</f>
        <v>117.6</v>
      </c>
      <c r="Z168" s="37"/>
      <c r="AA168" s="269"/>
      <c r="AB168" s="269"/>
      <c r="AC168" s="269"/>
    </row>
    <row r="169" spans="1:68" ht="27.75" hidden="1" customHeight="1" x14ac:dyDescent="0.2">
      <c r="A169" s="279" t="s">
        <v>249</v>
      </c>
      <c r="B169" s="280"/>
      <c r="C169" s="280"/>
      <c r="D169" s="280"/>
      <c r="E169" s="280"/>
      <c r="F169" s="280"/>
      <c r="G169" s="280"/>
      <c r="H169" s="280"/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  <c r="S169" s="280"/>
      <c r="T169" s="280"/>
      <c r="U169" s="280"/>
      <c r="V169" s="280"/>
      <c r="W169" s="280"/>
      <c r="X169" s="280"/>
      <c r="Y169" s="280"/>
      <c r="Z169" s="280"/>
      <c r="AA169" s="48"/>
      <c r="AB169" s="48"/>
      <c r="AC169" s="48"/>
    </row>
    <row r="170" spans="1:68" ht="16.5" hidden="1" customHeight="1" x14ac:dyDescent="0.25">
      <c r="A170" s="281" t="s">
        <v>250</v>
      </c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61"/>
      <c r="AB170" s="261"/>
      <c r="AC170" s="261"/>
    </row>
    <row r="171" spans="1:68" ht="14.25" hidden="1" customHeight="1" x14ac:dyDescent="0.25">
      <c r="A171" s="297" t="s">
        <v>64</v>
      </c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62"/>
      <c r="AB171" s="262"/>
      <c r="AC171" s="262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74">
        <v>4607111036384</v>
      </c>
      <c r="E172" s="275"/>
      <c r="F172" s="265">
        <v>5</v>
      </c>
      <c r="G172" s="32">
        <v>1</v>
      </c>
      <c r="H172" s="265">
        <v>5</v>
      </c>
      <c r="I172" s="265">
        <v>5.2106000000000003</v>
      </c>
      <c r="J172" s="32">
        <v>144</v>
      </c>
      <c r="K172" s="32" t="s">
        <v>67</v>
      </c>
      <c r="L172" s="32" t="s">
        <v>68</v>
      </c>
      <c r="M172" s="33" t="s">
        <v>69</v>
      </c>
      <c r="N172" s="33"/>
      <c r="O172" s="32">
        <v>180</v>
      </c>
      <c r="P172" s="28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6"/>
      <c r="R172" s="286"/>
      <c r="S172" s="286"/>
      <c r="T172" s="287"/>
      <c r="U172" s="34"/>
      <c r="V172" s="34"/>
      <c r="W172" s="35" t="s">
        <v>70</v>
      </c>
      <c r="X172" s="266">
        <v>0</v>
      </c>
      <c r="Y172" s="267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72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4">
        <v>4607111036216</v>
      </c>
      <c r="E173" s="275"/>
      <c r="F173" s="265">
        <v>5</v>
      </c>
      <c r="G173" s="32">
        <v>1</v>
      </c>
      <c r="H173" s="265">
        <v>5</v>
      </c>
      <c r="I173" s="265">
        <v>5.2131999999999996</v>
      </c>
      <c r="J173" s="32">
        <v>144</v>
      </c>
      <c r="K173" s="32" t="s">
        <v>67</v>
      </c>
      <c r="L173" s="32" t="s">
        <v>97</v>
      </c>
      <c r="M173" s="33" t="s">
        <v>69</v>
      </c>
      <c r="N173" s="33"/>
      <c r="O173" s="32">
        <v>180</v>
      </c>
      <c r="P173" s="306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6"/>
      <c r="R173" s="286"/>
      <c r="S173" s="286"/>
      <c r="T173" s="287"/>
      <c r="U173" s="34"/>
      <c r="V173" s="34"/>
      <c r="W173" s="35" t="s">
        <v>70</v>
      </c>
      <c r="X173" s="266">
        <v>168</v>
      </c>
      <c r="Y173" s="267">
        <f>IFERROR(IF(X173="","",X173),"")</f>
        <v>168</v>
      </c>
      <c r="Z173" s="36">
        <f>IFERROR(IF(X173="","",X173*0.00866),"")</f>
        <v>1.45488</v>
      </c>
      <c r="AA173" s="56"/>
      <c r="AB173" s="57"/>
      <c r="AC173" s="188" t="s">
        <v>256</v>
      </c>
      <c r="AG173" s="67"/>
      <c r="AJ173" s="71" t="s">
        <v>99</v>
      </c>
      <c r="AK173" s="71">
        <v>12</v>
      </c>
      <c r="BB173" s="189" t="s">
        <v>1</v>
      </c>
      <c r="BM173" s="67">
        <f>IFERROR(X173*I173,"0")</f>
        <v>875.81759999999997</v>
      </c>
      <c r="BN173" s="67">
        <f>IFERROR(Y173*I173,"0")</f>
        <v>875.81759999999997</v>
      </c>
      <c r="BO173" s="67">
        <f>IFERROR(X173/J173,"0")</f>
        <v>1.1666666666666667</v>
      </c>
      <c r="BP173" s="67">
        <f>IFERROR(Y173/J173,"0")</f>
        <v>1.1666666666666667</v>
      </c>
    </row>
    <row r="174" spans="1:68" x14ac:dyDescent="0.2">
      <c r="A174" s="283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4"/>
      <c r="P174" s="276" t="s">
        <v>83</v>
      </c>
      <c r="Q174" s="277"/>
      <c r="R174" s="277"/>
      <c r="S174" s="277"/>
      <c r="T174" s="277"/>
      <c r="U174" s="277"/>
      <c r="V174" s="278"/>
      <c r="W174" s="37" t="s">
        <v>70</v>
      </c>
      <c r="X174" s="268">
        <f>IFERROR(SUM(X172:X173),"0")</f>
        <v>168</v>
      </c>
      <c r="Y174" s="268">
        <f>IFERROR(SUM(Y172:Y173),"0")</f>
        <v>168</v>
      </c>
      <c r="Z174" s="268">
        <f>IFERROR(IF(Z172="",0,Z172),"0")+IFERROR(IF(Z173="",0,Z173),"0")</f>
        <v>1.45488</v>
      </c>
      <c r="AA174" s="269"/>
      <c r="AB174" s="269"/>
      <c r="AC174" s="269"/>
    </row>
    <row r="175" spans="1:68" x14ac:dyDescent="0.2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4"/>
      <c r="P175" s="276" t="s">
        <v>83</v>
      </c>
      <c r="Q175" s="277"/>
      <c r="R175" s="277"/>
      <c r="S175" s="277"/>
      <c r="T175" s="277"/>
      <c r="U175" s="277"/>
      <c r="V175" s="278"/>
      <c r="W175" s="37" t="s">
        <v>84</v>
      </c>
      <c r="X175" s="268">
        <f>IFERROR(SUMPRODUCT(X172:X173*H172:H173),"0")</f>
        <v>840</v>
      </c>
      <c r="Y175" s="268">
        <f>IFERROR(SUMPRODUCT(Y172:Y173*H172:H173),"0")</f>
        <v>840</v>
      </c>
      <c r="Z175" s="37"/>
      <c r="AA175" s="269"/>
      <c r="AB175" s="269"/>
      <c r="AC175" s="269"/>
    </row>
    <row r="176" spans="1:68" ht="27.75" hidden="1" customHeight="1" x14ac:dyDescent="0.2">
      <c r="A176" s="279" t="s">
        <v>257</v>
      </c>
      <c r="B176" s="280"/>
      <c r="C176" s="280"/>
      <c r="D176" s="280"/>
      <c r="E176" s="280"/>
      <c r="F176" s="280"/>
      <c r="G176" s="280"/>
      <c r="H176" s="280"/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  <c r="S176" s="280"/>
      <c r="T176" s="280"/>
      <c r="U176" s="280"/>
      <c r="V176" s="280"/>
      <c r="W176" s="280"/>
      <c r="X176" s="280"/>
      <c r="Y176" s="280"/>
      <c r="Z176" s="280"/>
      <c r="AA176" s="48"/>
      <c r="AB176" s="48"/>
      <c r="AC176" s="48"/>
    </row>
    <row r="177" spans="1:68" ht="16.5" hidden="1" customHeight="1" x14ac:dyDescent="0.25">
      <c r="A177" s="281" t="s">
        <v>258</v>
      </c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61"/>
      <c r="AB177" s="261"/>
      <c r="AC177" s="261"/>
    </row>
    <row r="178" spans="1:68" ht="14.25" hidden="1" customHeight="1" x14ac:dyDescent="0.25">
      <c r="A178" s="297" t="s">
        <v>93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2"/>
      <c r="AB178" s="262"/>
      <c r="AC178" s="262"/>
    </row>
    <row r="179" spans="1:68" ht="16.5" hidden="1" customHeight="1" x14ac:dyDescent="0.25">
      <c r="A179" s="54" t="s">
        <v>259</v>
      </c>
      <c r="B179" s="54" t="s">
        <v>260</v>
      </c>
      <c r="C179" s="31">
        <v>4301132179</v>
      </c>
      <c r="D179" s="274">
        <v>4607111035691</v>
      </c>
      <c r="E179" s="275"/>
      <c r="F179" s="265">
        <v>0.25</v>
      </c>
      <c r="G179" s="32">
        <v>12</v>
      </c>
      <c r="H179" s="265">
        <v>3</v>
      </c>
      <c r="I179" s="265">
        <v>3.3879999999999999</v>
      </c>
      <c r="J179" s="32">
        <v>70</v>
      </c>
      <c r="K179" s="32" t="s">
        <v>96</v>
      </c>
      <c r="L179" s="32" t="s">
        <v>97</v>
      </c>
      <c r="M179" s="33" t="s">
        <v>69</v>
      </c>
      <c r="N179" s="33"/>
      <c r="O179" s="32">
        <v>365</v>
      </c>
      <c r="P179" s="38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6"/>
      <c r="R179" s="286"/>
      <c r="S179" s="286"/>
      <c r="T179" s="287"/>
      <c r="U179" s="34"/>
      <c r="V179" s="34"/>
      <c r="W179" s="35" t="s">
        <v>70</v>
      </c>
      <c r="X179" s="266">
        <v>0</v>
      </c>
      <c r="Y179" s="267">
        <f>IFERROR(IF(X179="","",X179),"")</f>
        <v>0</v>
      </c>
      <c r="Z179" s="36">
        <f>IFERROR(IF(X179="","",X179*0.01788),"")</f>
        <v>0</v>
      </c>
      <c r="AA179" s="56"/>
      <c r="AB179" s="57"/>
      <c r="AC179" s="190" t="s">
        <v>261</v>
      </c>
      <c r="AG179" s="67"/>
      <c r="AJ179" s="71" t="s">
        <v>99</v>
      </c>
      <c r="AK179" s="71">
        <v>14</v>
      </c>
      <c r="BB179" s="191" t="s">
        <v>100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4">
        <v>4607111035721</v>
      </c>
      <c r="E180" s="275"/>
      <c r="F180" s="265">
        <v>0.25</v>
      </c>
      <c r="G180" s="32">
        <v>12</v>
      </c>
      <c r="H180" s="265">
        <v>3</v>
      </c>
      <c r="I180" s="265">
        <v>3.3879999999999999</v>
      </c>
      <c r="J180" s="32">
        <v>70</v>
      </c>
      <c r="K180" s="32" t="s">
        <v>96</v>
      </c>
      <c r="L180" s="32" t="s">
        <v>97</v>
      </c>
      <c r="M180" s="33" t="s">
        <v>69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6"/>
      <c r="R180" s="286"/>
      <c r="S180" s="286"/>
      <c r="T180" s="287"/>
      <c r="U180" s="34"/>
      <c r="V180" s="34"/>
      <c r="W180" s="35" t="s">
        <v>70</v>
      </c>
      <c r="X180" s="266">
        <v>14</v>
      </c>
      <c r="Y180" s="267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99</v>
      </c>
      <c r="AK180" s="71">
        <v>14</v>
      </c>
      <c r="BB180" s="193" t="s">
        <v>100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4">
        <v>4607111038487</v>
      </c>
      <c r="E181" s="275"/>
      <c r="F181" s="265">
        <v>0.25</v>
      </c>
      <c r="G181" s="32">
        <v>12</v>
      </c>
      <c r="H181" s="265">
        <v>3</v>
      </c>
      <c r="I181" s="265">
        <v>3.7360000000000002</v>
      </c>
      <c r="J181" s="32">
        <v>70</v>
      </c>
      <c r="K181" s="32" t="s">
        <v>96</v>
      </c>
      <c r="L181" s="32" t="s">
        <v>97</v>
      </c>
      <c r="M181" s="33" t="s">
        <v>69</v>
      </c>
      <c r="N181" s="33"/>
      <c r="O181" s="32">
        <v>180</v>
      </c>
      <c r="P181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6"/>
      <c r="R181" s="286"/>
      <c r="S181" s="286"/>
      <c r="T181" s="287"/>
      <c r="U181" s="34"/>
      <c r="V181" s="34"/>
      <c r="W181" s="35" t="s">
        <v>70</v>
      </c>
      <c r="X181" s="266">
        <v>14</v>
      </c>
      <c r="Y181" s="267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99</v>
      </c>
      <c r="AK181" s="71">
        <v>14</v>
      </c>
      <c r="BB181" s="195" t="s">
        <v>100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4301132243</v>
      </c>
      <c r="D182" s="274">
        <v>4620207491195</v>
      </c>
      <c r="E182" s="275"/>
      <c r="F182" s="265">
        <v>0.23</v>
      </c>
      <c r="G182" s="32">
        <v>12</v>
      </c>
      <c r="H182" s="265">
        <v>2.76</v>
      </c>
      <c r="I182" s="265">
        <v>3.1480000000000001</v>
      </c>
      <c r="J182" s="32">
        <v>70</v>
      </c>
      <c r="K182" s="32" t="s">
        <v>96</v>
      </c>
      <c r="L182" s="32" t="s">
        <v>68</v>
      </c>
      <c r="M182" s="33" t="s">
        <v>69</v>
      </c>
      <c r="N182" s="33"/>
      <c r="O182" s="32">
        <v>180</v>
      </c>
      <c r="P182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2" s="286"/>
      <c r="R182" s="286"/>
      <c r="S182" s="286"/>
      <c r="T182" s="287"/>
      <c r="U182" s="34"/>
      <c r="V182" s="34"/>
      <c r="W182" s="35" t="s">
        <v>70</v>
      </c>
      <c r="X182" s="266">
        <v>0</v>
      </c>
      <c r="Y182" s="267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270</v>
      </c>
      <c r="AG182" s="67"/>
      <c r="AJ182" s="71" t="s">
        <v>72</v>
      </c>
      <c r="AK182" s="71">
        <v>1</v>
      </c>
      <c r="BB182" s="197" t="s">
        <v>100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x14ac:dyDescent="0.2">
      <c r="A183" s="283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4"/>
      <c r="P183" s="276" t="s">
        <v>83</v>
      </c>
      <c r="Q183" s="277"/>
      <c r="R183" s="277"/>
      <c r="S183" s="277"/>
      <c r="T183" s="277"/>
      <c r="U183" s="277"/>
      <c r="V183" s="278"/>
      <c r="W183" s="37" t="s">
        <v>70</v>
      </c>
      <c r="X183" s="268">
        <f>IFERROR(SUM(X179:X182),"0")</f>
        <v>28</v>
      </c>
      <c r="Y183" s="268">
        <f>IFERROR(SUM(Y179:Y182),"0")</f>
        <v>28</v>
      </c>
      <c r="Z183" s="268">
        <f>IFERROR(IF(Z179="",0,Z179),"0")+IFERROR(IF(Z180="",0,Z180),"0")+IFERROR(IF(Z181="",0,Z181),"0")+IFERROR(IF(Z182="",0,Z182),"0")</f>
        <v>0.50063999999999997</v>
      </c>
      <c r="AA183" s="269"/>
      <c r="AB183" s="269"/>
      <c r="AC183" s="269"/>
    </row>
    <row r="184" spans="1:68" x14ac:dyDescent="0.2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4"/>
      <c r="P184" s="276" t="s">
        <v>83</v>
      </c>
      <c r="Q184" s="277"/>
      <c r="R184" s="277"/>
      <c r="S184" s="277"/>
      <c r="T184" s="277"/>
      <c r="U184" s="277"/>
      <c r="V184" s="278"/>
      <c r="W184" s="37" t="s">
        <v>84</v>
      </c>
      <c r="X184" s="268">
        <f>IFERROR(SUMPRODUCT(X179:X182*H179:H182),"0")</f>
        <v>84</v>
      </c>
      <c r="Y184" s="268">
        <f>IFERROR(SUMPRODUCT(Y179:Y182*H179:H182),"0")</f>
        <v>84</v>
      </c>
      <c r="Z184" s="37"/>
      <c r="AA184" s="269"/>
      <c r="AB184" s="269"/>
      <c r="AC184" s="269"/>
    </row>
    <row r="185" spans="1:68" ht="14.25" hidden="1" customHeight="1" x14ac:dyDescent="0.25">
      <c r="A185" s="297" t="s">
        <v>271</v>
      </c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62"/>
      <c r="AB185" s="262"/>
      <c r="AC185" s="262"/>
    </row>
    <row r="186" spans="1:68" ht="27" hidden="1" customHeight="1" x14ac:dyDescent="0.25">
      <c r="A186" s="54" t="s">
        <v>272</v>
      </c>
      <c r="B186" s="54" t="s">
        <v>273</v>
      </c>
      <c r="C186" s="31">
        <v>4301051855</v>
      </c>
      <c r="D186" s="274">
        <v>4680115885875</v>
      </c>
      <c r="E186" s="275"/>
      <c r="F186" s="265">
        <v>1</v>
      </c>
      <c r="G186" s="32">
        <v>9</v>
      </c>
      <c r="H186" s="265">
        <v>9</v>
      </c>
      <c r="I186" s="265">
        <v>9.41</v>
      </c>
      <c r="J186" s="32">
        <v>64</v>
      </c>
      <c r="K186" s="32" t="s">
        <v>274</v>
      </c>
      <c r="L186" s="32" t="s">
        <v>68</v>
      </c>
      <c r="M186" s="33" t="s">
        <v>275</v>
      </c>
      <c r="N186" s="33"/>
      <c r="O186" s="32">
        <v>365</v>
      </c>
      <c r="P186" s="426" t="s">
        <v>276</v>
      </c>
      <c r="Q186" s="286"/>
      <c r="R186" s="286"/>
      <c r="S186" s="286"/>
      <c r="T186" s="287"/>
      <c r="U186" s="34"/>
      <c r="V186" s="34"/>
      <c r="W186" s="35" t="s">
        <v>70</v>
      </c>
      <c r="X186" s="266">
        <v>0</v>
      </c>
      <c r="Y186" s="267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277</v>
      </c>
      <c r="AG186" s="67"/>
      <c r="AJ186" s="71" t="s">
        <v>72</v>
      </c>
      <c r="AK186" s="71">
        <v>1</v>
      </c>
      <c r="BB186" s="199" t="s">
        <v>278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4"/>
      <c r="P187" s="276" t="s">
        <v>83</v>
      </c>
      <c r="Q187" s="277"/>
      <c r="R187" s="277"/>
      <c r="S187" s="277"/>
      <c r="T187" s="277"/>
      <c r="U187" s="277"/>
      <c r="V187" s="278"/>
      <c r="W187" s="37" t="s">
        <v>70</v>
      </c>
      <c r="X187" s="268">
        <f>IFERROR(SUM(X186:X186),"0")</f>
        <v>0</v>
      </c>
      <c r="Y187" s="268">
        <f>IFERROR(SUM(Y186:Y186),"0")</f>
        <v>0</v>
      </c>
      <c r="Z187" s="268">
        <f>IFERROR(IF(Z186="",0,Z186),"0")</f>
        <v>0</v>
      </c>
      <c r="AA187" s="269"/>
      <c r="AB187" s="269"/>
      <c r="AC187" s="269"/>
    </row>
    <row r="188" spans="1:68" hidden="1" x14ac:dyDescent="0.2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4"/>
      <c r="P188" s="276" t="s">
        <v>83</v>
      </c>
      <c r="Q188" s="277"/>
      <c r="R188" s="277"/>
      <c r="S188" s="277"/>
      <c r="T188" s="277"/>
      <c r="U188" s="277"/>
      <c r="V188" s="278"/>
      <c r="W188" s="37" t="s">
        <v>84</v>
      </c>
      <c r="X188" s="268">
        <f>IFERROR(SUMPRODUCT(X186:X186*H186:H186),"0")</f>
        <v>0</v>
      </c>
      <c r="Y188" s="268">
        <f>IFERROR(SUMPRODUCT(Y186:Y186*H186:H186),"0")</f>
        <v>0</v>
      </c>
      <c r="Z188" s="37"/>
      <c r="AA188" s="269"/>
      <c r="AB188" s="269"/>
      <c r="AC188" s="269"/>
    </row>
    <row r="189" spans="1:68" ht="27.75" hidden="1" customHeight="1" x14ac:dyDescent="0.2">
      <c r="A189" s="279" t="s">
        <v>279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48"/>
      <c r="AB189" s="48"/>
      <c r="AC189" s="48"/>
    </row>
    <row r="190" spans="1:68" ht="16.5" hidden="1" customHeight="1" x14ac:dyDescent="0.25">
      <c r="A190" s="281" t="s">
        <v>280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1"/>
      <c r="AB190" s="261"/>
      <c r="AC190" s="261"/>
    </row>
    <row r="191" spans="1:68" ht="14.25" hidden="1" customHeight="1" x14ac:dyDescent="0.25">
      <c r="A191" s="297" t="s">
        <v>93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281</v>
      </c>
      <c r="B192" s="54" t="s">
        <v>282</v>
      </c>
      <c r="C192" s="31">
        <v>4301132227</v>
      </c>
      <c r="D192" s="274">
        <v>4620207491133</v>
      </c>
      <c r="E192" s="275"/>
      <c r="F192" s="265">
        <v>0.23</v>
      </c>
      <c r="G192" s="32">
        <v>12</v>
      </c>
      <c r="H192" s="265">
        <v>2.76</v>
      </c>
      <c r="I192" s="265">
        <v>2.98</v>
      </c>
      <c r="J192" s="32">
        <v>70</v>
      </c>
      <c r="K192" s="32" t="s">
        <v>96</v>
      </c>
      <c r="L192" s="32" t="s">
        <v>97</v>
      </c>
      <c r="M192" s="33" t="s">
        <v>69</v>
      </c>
      <c r="N192" s="33"/>
      <c r="O192" s="32">
        <v>180</v>
      </c>
      <c r="P192" s="33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6"/>
      <c r="R192" s="286"/>
      <c r="S192" s="286"/>
      <c r="T192" s="287"/>
      <c r="U192" s="34"/>
      <c r="V192" s="34"/>
      <c r="W192" s="35" t="s">
        <v>70</v>
      </c>
      <c r="X192" s="266">
        <v>14</v>
      </c>
      <c r="Y192" s="26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0" t="s">
        <v>283</v>
      </c>
      <c r="AG192" s="67"/>
      <c r="AJ192" s="71" t="s">
        <v>99</v>
      </c>
      <c r="AK192" s="71">
        <v>14</v>
      </c>
      <c r="BB192" s="201" t="s">
        <v>100</v>
      </c>
      <c r="BM192" s="67">
        <f>IFERROR(X192*I192,"0")</f>
        <v>41.72</v>
      </c>
      <c r="BN192" s="67">
        <f>IFERROR(Y192*I192,"0")</f>
        <v>41.72</v>
      </c>
      <c r="BO192" s="67">
        <f>IFERROR(X192/J192,"0")</f>
        <v>0.2</v>
      </c>
      <c r="BP192" s="67">
        <f>IFERROR(Y192/J192,"0")</f>
        <v>0.2</v>
      </c>
    </row>
    <row r="193" spans="1:68" x14ac:dyDescent="0.2">
      <c r="A193" s="283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4"/>
      <c r="P193" s="276" t="s">
        <v>83</v>
      </c>
      <c r="Q193" s="277"/>
      <c r="R193" s="277"/>
      <c r="S193" s="277"/>
      <c r="T193" s="277"/>
      <c r="U193" s="277"/>
      <c r="V193" s="278"/>
      <c r="W193" s="37" t="s">
        <v>70</v>
      </c>
      <c r="X193" s="268">
        <f>IFERROR(SUM(X192:X192),"0")</f>
        <v>14</v>
      </c>
      <c r="Y193" s="268">
        <f>IFERROR(SUM(Y192:Y192),"0")</f>
        <v>14</v>
      </c>
      <c r="Z193" s="268">
        <f>IFERROR(IF(Z192="",0,Z192),"0")</f>
        <v>0.25031999999999999</v>
      </c>
      <c r="AA193" s="269"/>
      <c r="AB193" s="269"/>
      <c r="AC193" s="269"/>
    </row>
    <row r="194" spans="1:68" x14ac:dyDescent="0.2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4"/>
      <c r="P194" s="276" t="s">
        <v>83</v>
      </c>
      <c r="Q194" s="277"/>
      <c r="R194" s="277"/>
      <c r="S194" s="277"/>
      <c r="T194" s="277"/>
      <c r="U194" s="277"/>
      <c r="V194" s="278"/>
      <c r="W194" s="37" t="s">
        <v>84</v>
      </c>
      <c r="X194" s="268">
        <f>IFERROR(SUMPRODUCT(X192:X192*H192:H192),"0")</f>
        <v>38.64</v>
      </c>
      <c r="Y194" s="268">
        <f>IFERROR(SUMPRODUCT(Y192:Y192*H192:H192),"0")</f>
        <v>38.64</v>
      </c>
      <c r="Z194" s="37"/>
      <c r="AA194" s="269"/>
      <c r="AB194" s="269"/>
      <c r="AC194" s="269"/>
    </row>
    <row r="195" spans="1:68" ht="14.25" hidden="1" customHeight="1" x14ac:dyDescent="0.25">
      <c r="A195" s="297" t="s">
        <v>137</v>
      </c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  <c r="AA195" s="262"/>
      <c r="AB195" s="262"/>
      <c r="AC195" s="262"/>
    </row>
    <row r="196" spans="1:68" ht="27" hidden="1" customHeight="1" x14ac:dyDescent="0.25">
      <c r="A196" s="54" t="s">
        <v>284</v>
      </c>
      <c r="B196" s="54" t="s">
        <v>285</v>
      </c>
      <c r="C196" s="31">
        <v>4301135834</v>
      </c>
      <c r="D196" s="274">
        <v>4620207491188</v>
      </c>
      <c r="E196" s="275"/>
      <c r="F196" s="265">
        <v>0.2</v>
      </c>
      <c r="G196" s="32">
        <v>12</v>
      </c>
      <c r="H196" s="265">
        <v>2.4</v>
      </c>
      <c r="I196" s="265">
        <v>3.1036000000000001</v>
      </c>
      <c r="J196" s="32">
        <v>70</v>
      </c>
      <c r="K196" s="32" t="s">
        <v>96</v>
      </c>
      <c r="L196" s="32" t="s">
        <v>68</v>
      </c>
      <c r="M196" s="33" t="s">
        <v>69</v>
      </c>
      <c r="N196" s="33"/>
      <c r="O196" s="32">
        <v>180</v>
      </c>
      <c r="P196" s="41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6"/>
      <c r="R196" s="286"/>
      <c r="S196" s="286"/>
      <c r="T196" s="287"/>
      <c r="U196" s="34"/>
      <c r="V196" s="34"/>
      <c r="W196" s="35" t="s">
        <v>70</v>
      </c>
      <c r="X196" s="266">
        <v>0</v>
      </c>
      <c r="Y196" s="267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72</v>
      </c>
      <c r="AK196" s="71">
        <v>1</v>
      </c>
      <c r="BB196" s="203" t="s">
        <v>100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4301135707</v>
      </c>
      <c r="D197" s="274">
        <v>4620207490198</v>
      </c>
      <c r="E197" s="275"/>
      <c r="F197" s="265">
        <v>0.2</v>
      </c>
      <c r="G197" s="32">
        <v>12</v>
      </c>
      <c r="H197" s="265">
        <v>2.4</v>
      </c>
      <c r="I197" s="265">
        <v>3.1036000000000001</v>
      </c>
      <c r="J197" s="32">
        <v>70</v>
      </c>
      <c r="K197" s="32" t="s">
        <v>96</v>
      </c>
      <c r="L197" s="32" t="s">
        <v>68</v>
      </c>
      <c r="M197" s="33" t="s">
        <v>69</v>
      </c>
      <c r="N197" s="33"/>
      <c r="O197" s="32">
        <v>180</v>
      </c>
      <c r="P197" s="35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6"/>
      <c r="R197" s="286"/>
      <c r="S197" s="286"/>
      <c r="T197" s="287"/>
      <c r="U197" s="34"/>
      <c r="V197" s="34"/>
      <c r="W197" s="35" t="s">
        <v>70</v>
      </c>
      <c r="X197" s="266">
        <v>0</v>
      </c>
      <c r="Y197" s="267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72</v>
      </c>
      <c r="AK197" s="71">
        <v>1</v>
      </c>
      <c r="BB197" s="205" t="s">
        <v>100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4301135829</v>
      </c>
      <c r="D198" s="274">
        <v>4620207490235</v>
      </c>
      <c r="E198" s="275"/>
      <c r="F198" s="265">
        <v>0.2</v>
      </c>
      <c r="G198" s="32">
        <v>12</v>
      </c>
      <c r="H198" s="265">
        <v>2.4</v>
      </c>
      <c r="I198" s="265">
        <v>3.1036000000000001</v>
      </c>
      <c r="J198" s="32">
        <v>70</v>
      </c>
      <c r="K198" s="32" t="s">
        <v>96</v>
      </c>
      <c r="L198" s="32" t="s">
        <v>68</v>
      </c>
      <c r="M198" s="33" t="s">
        <v>69</v>
      </c>
      <c r="N198" s="33"/>
      <c r="O198" s="32">
        <v>180</v>
      </c>
      <c r="P198" s="41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6"/>
      <c r="R198" s="286"/>
      <c r="S198" s="286"/>
      <c r="T198" s="287"/>
      <c r="U198" s="34"/>
      <c r="V198" s="34"/>
      <c r="W198" s="35" t="s">
        <v>70</v>
      </c>
      <c r="X198" s="266">
        <v>0</v>
      </c>
      <c r="Y198" s="267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292</v>
      </c>
      <c r="AG198" s="67"/>
      <c r="AJ198" s="71" t="s">
        <v>72</v>
      </c>
      <c r="AK198" s="71">
        <v>1</v>
      </c>
      <c r="BB198" s="207" t="s">
        <v>100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293</v>
      </c>
      <c r="B199" s="54" t="s">
        <v>294</v>
      </c>
      <c r="C199" s="31">
        <v>4301135697</v>
      </c>
      <c r="D199" s="274">
        <v>4620207490259</v>
      </c>
      <c r="E199" s="275"/>
      <c r="F199" s="265">
        <v>0.2</v>
      </c>
      <c r="G199" s="32">
        <v>12</v>
      </c>
      <c r="H199" s="265">
        <v>2.4</v>
      </c>
      <c r="I199" s="265">
        <v>3.1036000000000001</v>
      </c>
      <c r="J199" s="32">
        <v>70</v>
      </c>
      <c r="K199" s="32" t="s">
        <v>96</v>
      </c>
      <c r="L199" s="32" t="s">
        <v>68</v>
      </c>
      <c r="M199" s="33" t="s">
        <v>69</v>
      </c>
      <c r="N199" s="33"/>
      <c r="O199" s="32">
        <v>180</v>
      </c>
      <c r="P199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6"/>
      <c r="R199" s="286"/>
      <c r="S199" s="286"/>
      <c r="T199" s="287"/>
      <c r="U199" s="34"/>
      <c r="V199" s="34"/>
      <c r="W199" s="35" t="s">
        <v>70</v>
      </c>
      <c r="X199" s="266">
        <v>0</v>
      </c>
      <c r="Y199" s="267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289</v>
      </c>
      <c r="AG199" s="67"/>
      <c r="AJ199" s="71" t="s">
        <v>72</v>
      </c>
      <c r="AK199" s="71">
        <v>1</v>
      </c>
      <c r="BB199" s="209" t="s">
        <v>100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295</v>
      </c>
      <c r="B200" s="54" t="s">
        <v>296</v>
      </c>
      <c r="C200" s="31">
        <v>4301135681</v>
      </c>
      <c r="D200" s="274">
        <v>4620207490143</v>
      </c>
      <c r="E200" s="275"/>
      <c r="F200" s="265">
        <v>0.22</v>
      </c>
      <c r="G200" s="32">
        <v>12</v>
      </c>
      <c r="H200" s="265">
        <v>2.64</v>
      </c>
      <c r="I200" s="265">
        <v>3.3435999999999999</v>
      </c>
      <c r="J200" s="32">
        <v>70</v>
      </c>
      <c r="K200" s="32" t="s">
        <v>96</v>
      </c>
      <c r="L200" s="32" t="s">
        <v>68</v>
      </c>
      <c r="M200" s="33" t="s">
        <v>69</v>
      </c>
      <c r="N200" s="33"/>
      <c r="O200" s="32">
        <v>180</v>
      </c>
      <c r="P200" s="42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6"/>
      <c r="R200" s="286"/>
      <c r="S200" s="286"/>
      <c r="T200" s="287"/>
      <c r="U200" s="34"/>
      <c r="V200" s="34"/>
      <c r="W200" s="35" t="s">
        <v>70</v>
      </c>
      <c r="X200" s="266">
        <v>0</v>
      </c>
      <c r="Y200" s="26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297</v>
      </c>
      <c r="AG200" s="67"/>
      <c r="AJ200" s="71" t="s">
        <v>72</v>
      </c>
      <c r="AK200" s="71">
        <v>1</v>
      </c>
      <c r="BB200" s="211" t="s">
        <v>100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3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4"/>
      <c r="P201" s="276" t="s">
        <v>83</v>
      </c>
      <c r="Q201" s="277"/>
      <c r="R201" s="277"/>
      <c r="S201" s="277"/>
      <c r="T201" s="277"/>
      <c r="U201" s="277"/>
      <c r="V201" s="278"/>
      <c r="W201" s="37" t="s">
        <v>70</v>
      </c>
      <c r="X201" s="268">
        <f>IFERROR(SUM(X196:X200),"0")</f>
        <v>0</v>
      </c>
      <c r="Y201" s="268">
        <f>IFERROR(SUM(Y196:Y200),"0")</f>
        <v>0</v>
      </c>
      <c r="Z201" s="268">
        <f>IFERROR(IF(Z196="",0,Z196),"0")+IFERROR(IF(Z197="",0,Z197),"0")+IFERROR(IF(Z198="",0,Z198),"0")+IFERROR(IF(Z199="",0,Z199),"0")+IFERROR(IF(Z200="",0,Z200),"0")</f>
        <v>0</v>
      </c>
      <c r="AA201" s="269"/>
      <c r="AB201" s="269"/>
      <c r="AC201" s="269"/>
    </row>
    <row r="202" spans="1:68" hidden="1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4"/>
      <c r="P202" s="276" t="s">
        <v>83</v>
      </c>
      <c r="Q202" s="277"/>
      <c r="R202" s="277"/>
      <c r="S202" s="277"/>
      <c r="T202" s="277"/>
      <c r="U202" s="277"/>
      <c r="V202" s="278"/>
      <c r="W202" s="37" t="s">
        <v>84</v>
      </c>
      <c r="X202" s="268">
        <f>IFERROR(SUMPRODUCT(X196:X200*H196:H200),"0")</f>
        <v>0</v>
      </c>
      <c r="Y202" s="268">
        <f>IFERROR(SUMPRODUCT(Y196:Y200*H196:H200),"0")</f>
        <v>0</v>
      </c>
      <c r="Z202" s="37"/>
      <c r="AA202" s="269"/>
      <c r="AB202" s="269"/>
      <c r="AC202" s="269"/>
    </row>
    <row r="203" spans="1:68" ht="16.5" hidden="1" customHeight="1" x14ac:dyDescent="0.25">
      <c r="A203" s="281" t="s">
        <v>298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1"/>
      <c r="AB203" s="261"/>
      <c r="AC203" s="261"/>
    </row>
    <row r="204" spans="1:68" ht="14.25" hidden="1" customHeight="1" x14ac:dyDescent="0.25">
      <c r="A204" s="297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299</v>
      </c>
      <c r="B205" s="54" t="s">
        <v>300</v>
      </c>
      <c r="C205" s="31">
        <v>4301071097</v>
      </c>
      <c r="D205" s="274">
        <v>4620207491096</v>
      </c>
      <c r="E205" s="275"/>
      <c r="F205" s="265">
        <v>1</v>
      </c>
      <c r="G205" s="32">
        <v>5</v>
      </c>
      <c r="H205" s="265">
        <v>5</v>
      </c>
      <c r="I205" s="265">
        <v>5.23</v>
      </c>
      <c r="J205" s="32">
        <v>84</v>
      </c>
      <c r="K205" s="32" t="s">
        <v>67</v>
      </c>
      <c r="L205" s="32" t="s">
        <v>97</v>
      </c>
      <c r="M205" s="33" t="s">
        <v>69</v>
      </c>
      <c r="N205" s="33"/>
      <c r="O205" s="32">
        <v>180</v>
      </c>
      <c r="P205" s="3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286"/>
      <c r="R205" s="286"/>
      <c r="S205" s="286"/>
      <c r="T205" s="287"/>
      <c r="U205" s="34"/>
      <c r="V205" s="34"/>
      <c r="W205" s="35" t="s">
        <v>70</v>
      </c>
      <c r="X205" s="266">
        <v>120</v>
      </c>
      <c r="Y205" s="267">
        <f>IFERROR(IF(X205="","",X205),"")</f>
        <v>120</v>
      </c>
      <c r="Z205" s="36">
        <f>IFERROR(IF(X205="","",X205*0.0155),"")</f>
        <v>1.8599999999999999</v>
      </c>
      <c r="AA205" s="56"/>
      <c r="AB205" s="57"/>
      <c r="AC205" s="212" t="s">
        <v>301</v>
      </c>
      <c r="AG205" s="67"/>
      <c r="AJ205" s="71" t="s">
        <v>99</v>
      </c>
      <c r="AK205" s="71">
        <v>12</v>
      </c>
      <c r="BB205" s="213" t="s">
        <v>1</v>
      </c>
      <c r="BM205" s="67">
        <f>IFERROR(X205*I205,"0")</f>
        <v>627.6</v>
      </c>
      <c r="BN205" s="67">
        <f>IFERROR(Y205*I205,"0")</f>
        <v>627.6</v>
      </c>
      <c r="BO205" s="67">
        <f>IFERROR(X205/J205,"0")</f>
        <v>1.4285714285714286</v>
      </c>
      <c r="BP205" s="67">
        <f>IFERROR(Y205/J205,"0")</f>
        <v>1.4285714285714286</v>
      </c>
    </row>
    <row r="206" spans="1:68" x14ac:dyDescent="0.2">
      <c r="A206" s="283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4"/>
      <c r="P206" s="276" t="s">
        <v>83</v>
      </c>
      <c r="Q206" s="277"/>
      <c r="R206" s="277"/>
      <c r="S206" s="277"/>
      <c r="T206" s="277"/>
      <c r="U206" s="277"/>
      <c r="V206" s="278"/>
      <c r="W206" s="37" t="s">
        <v>70</v>
      </c>
      <c r="X206" s="268">
        <f>IFERROR(SUM(X205:X205),"0")</f>
        <v>120</v>
      </c>
      <c r="Y206" s="268">
        <f>IFERROR(SUM(Y205:Y205),"0")</f>
        <v>120</v>
      </c>
      <c r="Z206" s="268">
        <f>IFERROR(IF(Z205="",0,Z205),"0")</f>
        <v>1.8599999999999999</v>
      </c>
      <c r="AA206" s="269"/>
      <c r="AB206" s="269"/>
      <c r="AC206" s="269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4"/>
      <c r="P207" s="276" t="s">
        <v>83</v>
      </c>
      <c r="Q207" s="277"/>
      <c r="R207" s="277"/>
      <c r="S207" s="277"/>
      <c r="T207" s="277"/>
      <c r="U207" s="277"/>
      <c r="V207" s="278"/>
      <c r="W207" s="37" t="s">
        <v>84</v>
      </c>
      <c r="X207" s="268">
        <f>IFERROR(SUMPRODUCT(X205:X205*H205:H205),"0")</f>
        <v>600</v>
      </c>
      <c r="Y207" s="268">
        <f>IFERROR(SUMPRODUCT(Y205:Y205*H205:H205),"0")</f>
        <v>600</v>
      </c>
      <c r="Z207" s="37"/>
      <c r="AA207" s="269"/>
      <c r="AB207" s="269"/>
      <c r="AC207" s="269"/>
    </row>
    <row r="208" spans="1:68" ht="16.5" hidden="1" customHeight="1" x14ac:dyDescent="0.25">
      <c r="A208" s="281" t="s">
        <v>302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1"/>
      <c r="AB208" s="261"/>
      <c r="AC208" s="261"/>
    </row>
    <row r="209" spans="1:68" ht="14.25" hidden="1" customHeight="1" x14ac:dyDescent="0.25">
      <c r="A209" s="297" t="s">
        <v>137</v>
      </c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62"/>
      <c r="AB209" s="262"/>
      <c r="AC209" s="262"/>
    </row>
    <row r="210" spans="1:68" ht="27" hidden="1" customHeight="1" x14ac:dyDescent="0.25">
      <c r="A210" s="54" t="s">
        <v>303</v>
      </c>
      <c r="B210" s="54" t="s">
        <v>304</v>
      </c>
      <c r="C210" s="31">
        <v>4301135691</v>
      </c>
      <c r="D210" s="274">
        <v>4620207490549</v>
      </c>
      <c r="E210" s="275"/>
      <c r="F210" s="265">
        <v>0.2</v>
      </c>
      <c r="G210" s="32">
        <v>12</v>
      </c>
      <c r="H210" s="265">
        <v>2.4</v>
      </c>
      <c r="I210" s="265">
        <v>3.1036000000000001</v>
      </c>
      <c r="J210" s="32">
        <v>70</v>
      </c>
      <c r="K210" s="32" t="s">
        <v>96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70</v>
      </c>
      <c r="X210" s="266">
        <v>0</v>
      </c>
      <c r="Y210" s="267">
        <f>IFERROR(IF(X210="","",X210),"")</f>
        <v>0</v>
      </c>
      <c r="Z210" s="36">
        <f>IFERROR(IF(X210="","",X210*0.01788),"")</f>
        <v>0</v>
      </c>
      <c r="AA210" s="56"/>
      <c r="AB210" s="57"/>
      <c r="AC210" s="214" t="s">
        <v>305</v>
      </c>
      <c r="AG210" s="67"/>
      <c r="AJ210" s="71" t="s">
        <v>72</v>
      </c>
      <c r="AK210" s="71">
        <v>1</v>
      </c>
      <c r="BB210" s="215" t="s">
        <v>100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306</v>
      </c>
      <c r="B211" s="54" t="s">
        <v>307</v>
      </c>
      <c r="C211" s="31">
        <v>4301135694</v>
      </c>
      <c r="D211" s="274">
        <v>4620207490501</v>
      </c>
      <c r="E211" s="275"/>
      <c r="F211" s="265">
        <v>0.2</v>
      </c>
      <c r="G211" s="32">
        <v>12</v>
      </c>
      <c r="H211" s="265">
        <v>2.4</v>
      </c>
      <c r="I211" s="265">
        <v>3.1036000000000001</v>
      </c>
      <c r="J211" s="32">
        <v>70</v>
      </c>
      <c r="K211" s="32" t="s">
        <v>96</v>
      </c>
      <c r="L211" s="32" t="s">
        <v>68</v>
      </c>
      <c r="M211" s="33" t="s">
        <v>69</v>
      </c>
      <c r="N211" s="33"/>
      <c r="O211" s="32">
        <v>180</v>
      </c>
      <c r="P211" s="3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70</v>
      </c>
      <c r="X211" s="266">
        <v>0</v>
      </c>
      <c r="Y211" s="267">
        <f>IFERROR(IF(X211="","",X211),"")</f>
        <v>0</v>
      </c>
      <c r="Z211" s="36">
        <f>IFERROR(IF(X211="","",X211*0.01788),"")</f>
        <v>0</v>
      </c>
      <c r="AA211" s="56"/>
      <c r="AB211" s="57"/>
      <c r="AC211" s="216" t="s">
        <v>305</v>
      </c>
      <c r="AG211" s="67"/>
      <c r="AJ211" s="71" t="s">
        <v>72</v>
      </c>
      <c r="AK211" s="71">
        <v>1</v>
      </c>
      <c r="BB211" s="217" t="s">
        <v>100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3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4"/>
      <c r="P212" s="276" t="s">
        <v>83</v>
      </c>
      <c r="Q212" s="277"/>
      <c r="R212" s="277"/>
      <c r="S212" s="277"/>
      <c r="T212" s="277"/>
      <c r="U212" s="277"/>
      <c r="V212" s="278"/>
      <c r="W212" s="37" t="s">
        <v>70</v>
      </c>
      <c r="X212" s="268">
        <f>IFERROR(SUM(X210:X211),"0")</f>
        <v>0</v>
      </c>
      <c r="Y212" s="268">
        <f>IFERROR(SUM(Y210:Y211),"0")</f>
        <v>0</v>
      </c>
      <c r="Z212" s="268">
        <f>IFERROR(IF(Z210="",0,Z210),"0")+IFERROR(IF(Z211="",0,Z211),"0")</f>
        <v>0</v>
      </c>
      <c r="AA212" s="269"/>
      <c r="AB212" s="269"/>
      <c r="AC212" s="269"/>
    </row>
    <row r="213" spans="1:68" hidden="1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4"/>
      <c r="P213" s="276" t="s">
        <v>83</v>
      </c>
      <c r="Q213" s="277"/>
      <c r="R213" s="277"/>
      <c r="S213" s="277"/>
      <c r="T213" s="277"/>
      <c r="U213" s="277"/>
      <c r="V213" s="278"/>
      <c r="W213" s="37" t="s">
        <v>84</v>
      </c>
      <c r="X213" s="268">
        <f>IFERROR(SUMPRODUCT(X210:X211*H210:H211),"0")</f>
        <v>0</v>
      </c>
      <c r="Y213" s="268">
        <f>IFERROR(SUMPRODUCT(Y210:Y211*H210:H211),"0")</f>
        <v>0</v>
      </c>
      <c r="Z213" s="37"/>
      <c r="AA213" s="269"/>
      <c r="AB213" s="269"/>
      <c r="AC213" s="269"/>
    </row>
    <row r="214" spans="1:68" ht="27.75" hidden="1" customHeight="1" x14ac:dyDescent="0.2">
      <c r="A214" s="279" t="s">
        <v>308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48"/>
      <c r="AB214" s="48"/>
      <c r="AC214" s="48"/>
    </row>
    <row r="215" spans="1:68" ht="16.5" hidden="1" customHeight="1" x14ac:dyDescent="0.25">
      <c r="A215" s="281" t="s">
        <v>309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1"/>
      <c r="AB215" s="261"/>
      <c r="AC215" s="261"/>
    </row>
    <row r="216" spans="1:68" ht="14.25" hidden="1" customHeight="1" x14ac:dyDescent="0.25">
      <c r="A216" s="297" t="s">
        <v>64</v>
      </c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62"/>
      <c r="AB216" s="262"/>
      <c r="AC216" s="262"/>
    </row>
    <row r="217" spans="1:68" ht="27" hidden="1" customHeight="1" x14ac:dyDescent="0.25">
      <c r="A217" s="54" t="s">
        <v>310</v>
      </c>
      <c r="B217" s="54" t="s">
        <v>311</v>
      </c>
      <c r="C217" s="31">
        <v>4301071036</v>
      </c>
      <c r="D217" s="274">
        <v>4607111036162</v>
      </c>
      <c r="E217" s="275"/>
      <c r="F217" s="265">
        <v>0.8</v>
      </c>
      <c r="G217" s="32">
        <v>8</v>
      </c>
      <c r="H217" s="265">
        <v>6.4</v>
      </c>
      <c r="I217" s="265">
        <v>6.6811999999999996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90</v>
      </c>
      <c r="P217" s="39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17" s="286"/>
      <c r="R217" s="286"/>
      <c r="S217" s="286"/>
      <c r="T217" s="287"/>
      <c r="U217" s="34"/>
      <c r="V217" s="34"/>
      <c r="W217" s="35" t="s">
        <v>70</v>
      </c>
      <c r="X217" s="266">
        <v>0</v>
      </c>
      <c r="Y217" s="267">
        <f>IFERROR(IF(X217="","",X217),"")</f>
        <v>0</v>
      </c>
      <c r="Z217" s="36">
        <f>IFERROR(IF(X217="","",X217*0.0155),"")</f>
        <v>0</v>
      </c>
      <c r="AA217" s="56"/>
      <c r="AB217" s="57"/>
      <c r="AC217" s="218" t="s">
        <v>312</v>
      </c>
      <c r="AG217" s="67"/>
      <c r="AJ217" s="71" t="s">
        <v>72</v>
      </c>
      <c r="AK217" s="71">
        <v>1</v>
      </c>
      <c r="BB217" s="219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4"/>
      <c r="P218" s="276" t="s">
        <v>83</v>
      </c>
      <c r="Q218" s="277"/>
      <c r="R218" s="277"/>
      <c r="S218" s="277"/>
      <c r="T218" s="277"/>
      <c r="U218" s="277"/>
      <c r="V218" s="278"/>
      <c r="W218" s="37" t="s">
        <v>70</v>
      </c>
      <c r="X218" s="268">
        <f>IFERROR(SUM(X217:X217),"0")</f>
        <v>0</v>
      </c>
      <c r="Y218" s="268">
        <f>IFERROR(SUM(Y217:Y217),"0")</f>
        <v>0</v>
      </c>
      <c r="Z218" s="268">
        <f>IFERROR(IF(Z217="",0,Z217),"0")</f>
        <v>0</v>
      </c>
      <c r="AA218" s="269"/>
      <c r="AB218" s="269"/>
      <c r="AC218" s="269"/>
    </row>
    <row r="219" spans="1:68" hidden="1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4"/>
      <c r="P219" s="276" t="s">
        <v>83</v>
      </c>
      <c r="Q219" s="277"/>
      <c r="R219" s="277"/>
      <c r="S219" s="277"/>
      <c r="T219" s="277"/>
      <c r="U219" s="277"/>
      <c r="V219" s="278"/>
      <c r="W219" s="37" t="s">
        <v>84</v>
      </c>
      <c r="X219" s="268">
        <f>IFERROR(SUMPRODUCT(X217:X217*H217:H217),"0")</f>
        <v>0</v>
      </c>
      <c r="Y219" s="268">
        <f>IFERROR(SUMPRODUCT(Y217:Y217*H217:H217),"0")</f>
        <v>0</v>
      </c>
      <c r="Z219" s="37"/>
      <c r="AA219" s="269"/>
      <c r="AB219" s="269"/>
      <c r="AC219" s="269"/>
    </row>
    <row r="220" spans="1:68" ht="27.75" hidden="1" customHeight="1" x14ac:dyDescent="0.2">
      <c r="A220" s="279" t="s">
        <v>313</v>
      </c>
      <c r="B220" s="280"/>
      <c r="C220" s="280"/>
      <c r="D220" s="280"/>
      <c r="E220" s="280"/>
      <c r="F220" s="280"/>
      <c r="G220" s="280"/>
      <c r="H220" s="280"/>
      <c r="I220" s="280"/>
      <c r="J220" s="280"/>
      <c r="K220" s="280"/>
      <c r="L220" s="280"/>
      <c r="M220" s="280"/>
      <c r="N220" s="280"/>
      <c r="O220" s="280"/>
      <c r="P220" s="280"/>
      <c r="Q220" s="280"/>
      <c r="R220" s="280"/>
      <c r="S220" s="280"/>
      <c r="T220" s="280"/>
      <c r="U220" s="280"/>
      <c r="V220" s="280"/>
      <c r="W220" s="280"/>
      <c r="X220" s="280"/>
      <c r="Y220" s="280"/>
      <c r="Z220" s="280"/>
      <c r="AA220" s="48"/>
      <c r="AB220" s="48"/>
      <c r="AC220" s="48"/>
    </row>
    <row r="221" spans="1:68" ht="16.5" hidden="1" customHeight="1" x14ac:dyDescent="0.25">
      <c r="A221" s="281" t="s">
        <v>314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1"/>
      <c r="AB221" s="261"/>
      <c r="AC221" s="261"/>
    </row>
    <row r="222" spans="1:68" ht="14.25" hidden="1" customHeight="1" x14ac:dyDescent="0.25">
      <c r="A222" s="297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315</v>
      </c>
      <c r="B223" s="54" t="s">
        <v>316</v>
      </c>
      <c r="C223" s="31">
        <v>4301071029</v>
      </c>
      <c r="D223" s="274">
        <v>4607111035899</v>
      </c>
      <c r="E223" s="275"/>
      <c r="F223" s="265">
        <v>1</v>
      </c>
      <c r="G223" s="32">
        <v>5</v>
      </c>
      <c r="H223" s="265">
        <v>5</v>
      </c>
      <c r="I223" s="265">
        <v>5.2619999999999996</v>
      </c>
      <c r="J223" s="32">
        <v>84</v>
      </c>
      <c r="K223" s="32" t="s">
        <v>67</v>
      </c>
      <c r="L223" s="32" t="s">
        <v>97</v>
      </c>
      <c r="M223" s="33" t="s">
        <v>69</v>
      </c>
      <c r="N223" s="33"/>
      <c r="O223" s="32">
        <v>180</v>
      </c>
      <c r="P223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3" s="286"/>
      <c r="R223" s="286"/>
      <c r="S223" s="286"/>
      <c r="T223" s="287"/>
      <c r="U223" s="34"/>
      <c r="V223" s="34"/>
      <c r="W223" s="35" t="s">
        <v>70</v>
      </c>
      <c r="X223" s="266">
        <v>48</v>
      </c>
      <c r="Y223" s="267">
        <f>IFERROR(IF(X223="","",X223),"")</f>
        <v>48</v>
      </c>
      <c r="Z223" s="36">
        <f>IFERROR(IF(X223="","",X223*0.0155),"")</f>
        <v>0.74399999999999999</v>
      </c>
      <c r="AA223" s="56"/>
      <c r="AB223" s="57"/>
      <c r="AC223" s="220" t="s">
        <v>256</v>
      </c>
      <c r="AG223" s="67"/>
      <c r="AJ223" s="71" t="s">
        <v>99</v>
      </c>
      <c r="AK223" s="71">
        <v>12</v>
      </c>
      <c r="BB223" s="221" t="s">
        <v>1</v>
      </c>
      <c r="BM223" s="67">
        <f>IFERROR(X223*I223,"0")</f>
        <v>252.57599999999996</v>
      </c>
      <c r="BN223" s="67">
        <f>IFERROR(Y223*I223,"0")</f>
        <v>252.57599999999996</v>
      </c>
      <c r="BO223" s="67">
        <f>IFERROR(X223/J223,"0")</f>
        <v>0.5714285714285714</v>
      </c>
      <c r="BP223" s="67">
        <f>IFERROR(Y223/J223,"0")</f>
        <v>0.5714285714285714</v>
      </c>
    </row>
    <row r="224" spans="1:68" x14ac:dyDescent="0.2">
      <c r="A224" s="283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4"/>
      <c r="P224" s="276" t="s">
        <v>83</v>
      </c>
      <c r="Q224" s="277"/>
      <c r="R224" s="277"/>
      <c r="S224" s="277"/>
      <c r="T224" s="277"/>
      <c r="U224" s="277"/>
      <c r="V224" s="278"/>
      <c r="W224" s="37" t="s">
        <v>70</v>
      </c>
      <c r="X224" s="268">
        <f>IFERROR(SUM(X223:X223),"0")</f>
        <v>48</v>
      </c>
      <c r="Y224" s="268">
        <f>IFERROR(SUM(Y223:Y223),"0")</f>
        <v>48</v>
      </c>
      <c r="Z224" s="268">
        <f>IFERROR(IF(Z223="",0,Z223),"0")</f>
        <v>0.74399999999999999</v>
      </c>
      <c r="AA224" s="269"/>
      <c r="AB224" s="269"/>
      <c r="AC224" s="269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4"/>
      <c r="P225" s="276" t="s">
        <v>83</v>
      </c>
      <c r="Q225" s="277"/>
      <c r="R225" s="277"/>
      <c r="S225" s="277"/>
      <c r="T225" s="277"/>
      <c r="U225" s="277"/>
      <c r="V225" s="278"/>
      <c r="W225" s="37" t="s">
        <v>84</v>
      </c>
      <c r="X225" s="268">
        <f>IFERROR(SUMPRODUCT(X223:X223*H223:H223),"0")</f>
        <v>240</v>
      </c>
      <c r="Y225" s="268">
        <f>IFERROR(SUMPRODUCT(Y223:Y223*H223:H223),"0")</f>
        <v>240</v>
      </c>
      <c r="Z225" s="37"/>
      <c r="AA225" s="269"/>
      <c r="AB225" s="269"/>
      <c r="AC225" s="269"/>
    </row>
    <row r="226" spans="1:68" ht="27.75" hidden="1" customHeight="1" x14ac:dyDescent="0.2">
      <c r="A226" s="279" t="s">
        <v>317</v>
      </c>
      <c r="B226" s="280"/>
      <c r="C226" s="280"/>
      <c r="D226" s="280"/>
      <c r="E226" s="280"/>
      <c r="F226" s="280"/>
      <c r="G226" s="280"/>
      <c r="H226" s="280"/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  <c r="S226" s="280"/>
      <c r="T226" s="280"/>
      <c r="U226" s="280"/>
      <c r="V226" s="280"/>
      <c r="W226" s="280"/>
      <c r="X226" s="280"/>
      <c r="Y226" s="280"/>
      <c r="Z226" s="280"/>
      <c r="AA226" s="48"/>
      <c r="AB226" s="48"/>
      <c r="AC226" s="48"/>
    </row>
    <row r="227" spans="1:68" ht="16.5" hidden="1" customHeight="1" x14ac:dyDescent="0.25">
      <c r="A227" s="281" t="s">
        <v>318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1"/>
      <c r="AB227" s="261"/>
      <c r="AC227" s="261"/>
    </row>
    <row r="228" spans="1:68" ht="14.25" hidden="1" customHeight="1" x14ac:dyDescent="0.25">
      <c r="A228" s="297" t="s">
        <v>319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hidden="1" customHeight="1" x14ac:dyDescent="0.25">
      <c r="A229" s="54" t="s">
        <v>320</v>
      </c>
      <c r="B229" s="54" t="s">
        <v>321</v>
      </c>
      <c r="C229" s="31">
        <v>4301133004</v>
      </c>
      <c r="D229" s="274">
        <v>4607111039774</v>
      </c>
      <c r="E229" s="275"/>
      <c r="F229" s="265">
        <v>0.25</v>
      </c>
      <c r="G229" s="32">
        <v>12</v>
      </c>
      <c r="H229" s="265">
        <v>3</v>
      </c>
      <c r="I229" s="265">
        <v>3.22</v>
      </c>
      <c r="J229" s="32">
        <v>70</v>
      </c>
      <c r="K229" s="32" t="s">
        <v>96</v>
      </c>
      <c r="L229" s="32" t="s">
        <v>68</v>
      </c>
      <c r="M229" s="33" t="s">
        <v>69</v>
      </c>
      <c r="N229" s="33"/>
      <c r="O229" s="32">
        <v>180</v>
      </c>
      <c r="P229" s="38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29" s="286"/>
      <c r="R229" s="286"/>
      <c r="S229" s="286"/>
      <c r="T229" s="287"/>
      <c r="U229" s="34"/>
      <c r="V229" s="34"/>
      <c r="W229" s="35" t="s">
        <v>70</v>
      </c>
      <c r="X229" s="266">
        <v>0</v>
      </c>
      <c r="Y229" s="267">
        <f>IFERROR(IF(X229="","",X229),"")</f>
        <v>0</v>
      </c>
      <c r="Z229" s="36">
        <f>IFERROR(IF(X229="","",X229*0.01788),"")</f>
        <v>0</v>
      </c>
      <c r="AA229" s="56"/>
      <c r="AB229" s="57"/>
      <c r="AC229" s="222" t="s">
        <v>322</v>
      </c>
      <c r="AG229" s="67"/>
      <c r="AJ229" s="71" t="s">
        <v>72</v>
      </c>
      <c r="AK229" s="71">
        <v>1</v>
      </c>
      <c r="BB229" s="223" t="s">
        <v>100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283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4"/>
      <c r="P230" s="276" t="s">
        <v>83</v>
      </c>
      <c r="Q230" s="277"/>
      <c r="R230" s="277"/>
      <c r="S230" s="277"/>
      <c r="T230" s="277"/>
      <c r="U230" s="277"/>
      <c r="V230" s="278"/>
      <c r="W230" s="37" t="s">
        <v>70</v>
      </c>
      <c r="X230" s="268">
        <f>IFERROR(SUM(X229:X229),"0")</f>
        <v>0</v>
      </c>
      <c r="Y230" s="268">
        <f>IFERROR(SUM(Y229:Y229),"0")</f>
        <v>0</v>
      </c>
      <c r="Z230" s="268">
        <f>IFERROR(IF(Z229="",0,Z229),"0")</f>
        <v>0</v>
      </c>
      <c r="AA230" s="269"/>
      <c r="AB230" s="269"/>
      <c r="AC230" s="269"/>
    </row>
    <row r="231" spans="1:68" hidden="1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4"/>
      <c r="P231" s="276" t="s">
        <v>83</v>
      </c>
      <c r="Q231" s="277"/>
      <c r="R231" s="277"/>
      <c r="S231" s="277"/>
      <c r="T231" s="277"/>
      <c r="U231" s="277"/>
      <c r="V231" s="278"/>
      <c r="W231" s="37" t="s">
        <v>84</v>
      </c>
      <c r="X231" s="268">
        <f>IFERROR(SUMPRODUCT(X229:X229*H229:H229),"0")</f>
        <v>0</v>
      </c>
      <c r="Y231" s="268">
        <f>IFERROR(SUMPRODUCT(Y229:Y229*H229:H229),"0")</f>
        <v>0</v>
      </c>
      <c r="Z231" s="37"/>
      <c r="AA231" s="269"/>
      <c r="AB231" s="269"/>
      <c r="AC231" s="269"/>
    </row>
    <row r="232" spans="1:68" ht="14.25" hidden="1" customHeight="1" x14ac:dyDescent="0.25">
      <c r="A232" s="297" t="s">
        <v>137</v>
      </c>
      <c r="B232" s="282"/>
      <c r="C232" s="282"/>
      <c r="D232" s="282"/>
      <c r="E232" s="282"/>
      <c r="F232" s="282"/>
      <c r="G232" s="282"/>
      <c r="H232" s="282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62"/>
      <c r="AB232" s="262"/>
      <c r="AC232" s="262"/>
    </row>
    <row r="233" spans="1:68" ht="37.5" hidden="1" customHeight="1" x14ac:dyDescent="0.25">
      <c r="A233" s="54" t="s">
        <v>323</v>
      </c>
      <c r="B233" s="54" t="s">
        <v>324</v>
      </c>
      <c r="C233" s="31">
        <v>4301135400</v>
      </c>
      <c r="D233" s="274">
        <v>4607111039361</v>
      </c>
      <c r="E233" s="275"/>
      <c r="F233" s="265">
        <v>0.25</v>
      </c>
      <c r="G233" s="32">
        <v>12</v>
      </c>
      <c r="H233" s="265">
        <v>3</v>
      </c>
      <c r="I233" s="265">
        <v>3.7035999999999998</v>
      </c>
      <c r="J233" s="32">
        <v>70</v>
      </c>
      <c r="K233" s="32" t="s">
        <v>96</v>
      </c>
      <c r="L233" s="32" t="s">
        <v>68</v>
      </c>
      <c r="M233" s="33" t="s">
        <v>69</v>
      </c>
      <c r="N233" s="33"/>
      <c r="O233" s="32">
        <v>180</v>
      </c>
      <c r="P233" s="38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3" s="286"/>
      <c r="R233" s="286"/>
      <c r="S233" s="286"/>
      <c r="T233" s="287"/>
      <c r="U233" s="34"/>
      <c r="V233" s="34"/>
      <c r="W233" s="35" t="s">
        <v>70</v>
      </c>
      <c r="X233" s="266">
        <v>0</v>
      </c>
      <c r="Y233" s="267">
        <f>IFERROR(IF(X233="","",X233),"")</f>
        <v>0</v>
      </c>
      <c r="Z233" s="36">
        <f>IFERROR(IF(X233="","",X233*0.01788),"")</f>
        <v>0</v>
      </c>
      <c r="AA233" s="56"/>
      <c r="AB233" s="57"/>
      <c r="AC233" s="224" t="s">
        <v>322</v>
      </c>
      <c r="AG233" s="67"/>
      <c r="AJ233" s="71" t="s">
        <v>72</v>
      </c>
      <c r="AK233" s="71">
        <v>1</v>
      </c>
      <c r="BB233" s="225" t="s">
        <v>100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3"/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4"/>
      <c r="P234" s="276" t="s">
        <v>83</v>
      </c>
      <c r="Q234" s="277"/>
      <c r="R234" s="277"/>
      <c r="S234" s="277"/>
      <c r="T234" s="277"/>
      <c r="U234" s="277"/>
      <c r="V234" s="278"/>
      <c r="W234" s="37" t="s">
        <v>70</v>
      </c>
      <c r="X234" s="268">
        <f>IFERROR(SUM(X233:X233),"0")</f>
        <v>0</v>
      </c>
      <c r="Y234" s="268">
        <f>IFERROR(SUM(Y233:Y233),"0")</f>
        <v>0</v>
      </c>
      <c r="Z234" s="268">
        <f>IFERROR(IF(Z233="",0,Z233),"0")</f>
        <v>0</v>
      </c>
      <c r="AA234" s="269"/>
      <c r="AB234" s="269"/>
      <c r="AC234" s="269"/>
    </row>
    <row r="235" spans="1:68" hidden="1" x14ac:dyDescent="0.2">
      <c r="A235" s="282"/>
      <c r="B235" s="282"/>
      <c r="C235" s="282"/>
      <c r="D235" s="282"/>
      <c r="E235" s="282"/>
      <c r="F235" s="282"/>
      <c r="G235" s="282"/>
      <c r="H235" s="282"/>
      <c r="I235" s="282"/>
      <c r="J235" s="282"/>
      <c r="K235" s="282"/>
      <c r="L235" s="282"/>
      <c r="M235" s="282"/>
      <c r="N235" s="282"/>
      <c r="O235" s="284"/>
      <c r="P235" s="276" t="s">
        <v>83</v>
      </c>
      <c r="Q235" s="277"/>
      <c r="R235" s="277"/>
      <c r="S235" s="277"/>
      <c r="T235" s="277"/>
      <c r="U235" s="277"/>
      <c r="V235" s="278"/>
      <c r="W235" s="37" t="s">
        <v>84</v>
      </c>
      <c r="X235" s="268">
        <f>IFERROR(SUMPRODUCT(X233:X233*H233:H233),"0")</f>
        <v>0</v>
      </c>
      <c r="Y235" s="268">
        <f>IFERROR(SUMPRODUCT(Y233:Y233*H233:H233),"0")</f>
        <v>0</v>
      </c>
      <c r="Z235" s="37"/>
      <c r="AA235" s="269"/>
      <c r="AB235" s="269"/>
      <c r="AC235" s="269"/>
    </row>
    <row r="236" spans="1:68" ht="27.75" hidden="1" customHeight="1" x14ac:dyDescent="0.2">
      <c r="A236" s="279" t="s">
        <v>325</v>
      </c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0"/>
      <c r="P236" s="280"/>
      <c r="Q236" s="280"/>
      <c r="R236" s="280"/>
      <c r="S236" s="280"/>
      <c r="T236" s="280"/>
      <c r="U236" s="280"/>
      <c r="V236" s="280"/>
      <c r="W236" s="280"/>
      <c r="X236" s="280"/>
      <c r="Y236" s="280"/>
      <c r="Z236" s="280"/>
      <c r="AA236" s="48"/>
      <c r="AB236" s="48"/>
      <c r="AC236" s="48"/>
    </row>
    <row r="237" spans="1:68" ht="16.5" hidden="1" customHeight="1" x14ac:dyDescent="0.25">
      <c r="A237" s="281" t="s">
        <v>325</v>
      </c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61"/>
      <c r="AB237" s="261"/>
      <c r="AC237" s="261"/>
    </row>
    <row r="238" spans="1:68" ht="14.25" hidden="1" customHeight="1" x14ac:dyDescent="0.25">
      <c r="A238" s="297" t="s">
        <v>64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27" hidden="1" customHeight="1" x14ac:dyDescent="0.25">
      <c r="A239" s="54" t="s">
        <v>326</v>
      </c>
      <c r="B239" s="54" t="s">
        <v>327</v>
      </c>
      <c r="C239" s="31">
        <v>4301071014</v>
      </c>
      <c r="D239" s="274">
        <v>4640242181264</v>
      </c>
      <c r="E239" s="275"/>
      <c r="F239" s="265">
        <v>0.7</v>
      </c>
      <c r="G239" s="32">
        <v>10</v>
      </c>
      <c r="H239" s="265">
        <v>7</v>
      </c>
      <c r="I239" s="265">
        <v>7.28</v>
      </c>
      <c r="J239" s="32">
        <v>84</v>
      </c>
      <c r="K239" s="32" t="s">
        <v>67</v>
      </c>
      <c r="L239" s="32" t="s">
        <v>68</v>
      </c>
      <c r="M239" s="33" t="s">
        <v>69</v>
      </c>
      <c r="N239" s="33"/>
      <c r="O239" s="32">
        <v>180</v>
      </c>
      <c r="P239" s="35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39" s="286"/>
      <c r="R239" s="286"/>
      <c r="S239" s="286"/>
      <c r="T239" s="287"/>
      <c r="U239" s="34"/>
      <c r="V239" s="34"/>
      <c r="W239" s="35" t="s">
        <v>70</v>
      </c>
      <c r="X239" s="266">
        <v>0</v>
      </c>
      <c r="Y239" s="267">
        <f>IFERROR(IF(X239="","",X239),"")</f>
        <v>0</v>
      </c>
      <c r="Z239" s="36">
        <f>IFERROR(IF(X239="","",X239*0.0155),"")</f>
        <v>0</v>
      </c>
      <c r="AA239" s="56"/>
      <c r="AB239" s="57"/>
      <c r="AC239" s="226" t="s">
        <v>328</v>
      </c>
      <c r="AG239" s="67"/>
      <c r="AJ239" s="71" t="s">
        <v>72</v>
      </c>
      <c r="AK239" s="71">
        <v>1</v>
      </c>
      <c r="BB239" s="227" t="s">
        <v>1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t="27" customHeight="1" x14ac:dyDescent="0.25">
      <c r="A240" s="54" t="s">
        <v>329</v>
      </c>
      <c r="B240" s="54" t="s">
        <v>330</v>
      </c>
      <c r="C240" s="31">
        <v>4301071021</v>
      </c>
      <c r="D240" s="274">
        <v>4640242181325</v>
      </c>
      <c r="E240" s="275"/>
      <c r="F240" s="265">
        <v>0.7</v>
      </c>
      <c r="G240" s="32">
        <v>10</v>
      </c>
      <c r="H240" s="265">
        <v>7</v>
      </c>
      <c r="I240" s="265">
        <v>7.28</v>
      </c>
      <c r="J240" s="32">
        <v>84</v>
      </c>
      <c r="K240" s="32" t="s">
        <v>67</v>
      </c>
      <c r="L240" s="32" t="s">
        <v>97</v>
      </c>
      <c r="M240" s="33" t="s">
        <v>69</v>
      </c>
      <c r="N240" s="33"/>
      <c r="O240" s="32">
        <v>180</v>
      </c>
      <c r="P240" s="32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0" s="286"/>
      <c r="R240" s="286"/>
      <c r="S240" s="286"/>
      <c r="T240" s="287"/>
      <c r="U240" s="34"/>
      <c r="V240" s="34"/>
      <c r="W240" s="35" t="s">
        <v>70</v>
      </c>
      <c r="X240" s="266">
        <v>60</v>
      </c>
      <c r="Y240" s="267">
        <f>IFERROR(IF(X240="","",X240),"")</f>
        <v>60</v>
      </c>
      <c r="Z240" s="36">
        <f>IFERROR(IF(X240="","",X240*0.0155),"")</f>
        <v>0.92999999999999994</v>
      </c>
      <c r="AA240" s="56"/>
      <c r="AB240" s="57"/>
      <c r="AC240" s="228" t="s">
        <v>328</v>
      </c>
      <c r="AG240" s="67"/>
      <c r="AJ240" s="71" t="s">
        <v>99</v>
      </c>
      <c r="AK240" s="71">
        <v>12</v>
      </c>
      <c r="BB240" s="229" t="s">
        <v>1</v>
      </c>
      <c r="BM240" s="67">
        <f>IFERROR(X240*I240,"0")</f>
        <v>436.8</v>
      </c>
      <c r="BN240" s="67">
        <f>IFERROR(Y240*I240,"0")</f>
        <v>436.8</v>
      </c>
      <c r="BO240" s="67">
        <f>IFERROR(X240/J240,"0")</f>
        <v>0.7142857142857143</v>
      </c>
      <c r="BP240" s="67">
        <f>IFERROR(Y240/J240,"0")</f>
        <v>0.7142857142857143</v>
      </c>
    </row>
    <row r="241" spans="1:68" x14ac:dyDescent="0.2">
      <c r="A241" s="283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4"/>
      <c r="P241" s="276" t="s">
        <v>83</v>
      </c>
      <c r="Q241" s="277"/>
      <c r="R241" s="277"/>
      <c r="S241" s="277"/>
      <c r="T241" s="277"/>
      <c r="U241" s="277"/>
      <c r="V241" s="278"/>
      <c r="W241" s="37" t="s">
        <v>70</v>
      </c>
      <c r="X241" s="268">
        <f>IFERROR(SUM(X239:X240),"0")</f>
        <v>60</v>
      </c>
      <c r="Y241" s="268">
        <f>IFERROR(SUM(Y239:Y240),"0")</f>
        <v>60</v>
      </c>
      <c r="Z241" s="268">
        <f>IFERROR(IF(Z239="",0,Z239),"0")+IFERROR(IF(Z240="",0,Z240),"0")</f>
        <v>0.92999999999999994</v>
      </c>
      <c r="AA241" s="269"/>
      <c r="AB241" s="269"/>
      <c r="AC241" s="269"/>
    </row>
    <row r="242" spans="1:68" x14ac:dyDescent="0.2">
      <c r="A242" s="282"/>
      <c r="B242" s="282"/>
      <c r="C242" s="282"/>
      <c r="D242" s="282"/>
      <c r="E242" s="282"/>
      <c r="F242" s="282"/>
      <c r="G242" s="282"/>
      <c r="H242" s="282"/>
      <c r="I242" s="282"/>
      <c r="J242" s="282"/>
      <c r="K242" s="282"/>
      <c r="L242" s="282"/>
      <c r="M242" s="282"/>
      <c r="N242" s="282"/>
      <c r="O242" s="284"/>
      <c r="P242" s="276" t="s">
        <v>83</v>
      </c>
      <c r="Q242" s="277"/>
      <c r="R242" s="277"/>
      <c r="S242" s="277"/>
      <c r="T242" s="277"/>
      <c r="U242" s="277"/>
      <c r="V242" s="278"/>
      <c r="W242" s="37" t="s">
        <v>84</v>
      </c>
      <c r="X242" s="268">
        <f>IFERROR(SUMPRODUCT(X239:X240*H239:H240),"0")</f>
        <v>420</v>
      </c>
      <c r="Y242" s="268">
        <f>IFERROR(SUMPRODUCT(Y239:Y240*H239:H240),"0")</f>
        <v>420</v>
      </c>
      <c r="Z242" s="37"/>
      <c r="AA242" s="269"/>
      <c r="AB242" s="269"/>
      <c r="AC242" s="269"/>
    </row>
    <row r="243" spans="1:68" ht="14.25" hidden="1" customHeight="1" x14ac:dyDescent="0.25">
      <c r="A243" s="297" t="s">
        <v>93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2"/>
      <c r="AB243" s="262"/>
      <c r="AC243" s="262"/>
    </row>
    <row r="244" spans="1:68" ht="27" customHeight="1" x14ac:dyDescent="0.25">
      <c r="A244" s="54" t="s">
        <v>331</v>
      </c>
      <c r="B244" s="54" t="s">
        <v>332</v>
      </c>
      <c r="C244" s="31">
        <v>4301132080</v>
      </c>
      <c r="D244" s="274">
        <v>4640242180397</v>
      </c>
      <c r="E244" s="275"/>
      <c r="F244" s="265">
        <v>1</v>
      </c>
      <c r="G244" s="32">
        <v>6</v>
      </c>
      <c r="H244" s="265">
        <v>6</v>
      </c>
      <c r="I244" s="265">
        <v>6.26</v>
      </c>
      <c r="J244" s="32">
        <v>84</v>
      </c>
      <c r="K244" s="32" t="s">
        <v>67</v>
      </c>
      <c r="L244" s="32" t="s">
        <v>97</v>
      </c>
      <c r="M244" s="33" t="s">
        <v>69</v>
      </c>
      <c r="N244" s="33"/>
      <c r="O244" s="32">
        <v>180</v>
      </c>
      <c r="P244" s="29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4" s="286"/>
      <c r="R244" s="286"/>
      <c r="S244" s="286"/>
      <c r="T244" s="287"/>
      <c r="U244" s="34"/>
      <c r="V244" s="34"/>
      <c r="W244" s="35" t="s">
        <v>70</v>
      </c>
      <c r="X244" s="266">
        <v>36</v>
      </c>
      <c r="Y244" s="267">
        <f>IFERROR(IF(X244="","",X244),"")</f>
        <v>36</v>
      </c>
      <c r="Z244" s="36">
        <f>IFERROR(IF(X244="","",X244*0.0155),"")</f>
        <v>0.55800000000000005</v>
      </c>
      <c r="AA244" s="56"/>
      <c r="AB244" s="57"/>
      <c r="AC244" s="230" t="s">
        <v>333</v>
      </c>
      <c r="AG244" s="67"/>
      <c r="AJ244" s="71" t="s">
        <v>99</v>
      </c>
      <c r="AK244" s="71">
        <v>12</v>
      </c>
      <c r="BB244" s="231" t="s">
        <v>100</v>
      </c>
      <c r="BM244" s="67">
        <f>IFERROR(X244*I244,"0")</f>
        <v>225.35999999999999</v>
      </c>
      <c r="BN244" s="67">
        <f>IFERROR(Y244*I244,"0")</f>
        <v>225.35999999999999</v>
      </c>
      <c r="BO244" s="67">
        <f>IFERROR(X244/J244,"0")</f>
        <v>0.42857142857142855</v>
      </c>
      <c r="BP244" s="67">
        <f>IFERROR(Y244/J244,"0")</f>
        <v>0.42857142857142855</v>
      </c>
    </row>
    <row r="245" spans="1:68" x14ac:dyDescent="0.2">
      <c r="A245" s="283"/>
      <c r="B245" s="282"/>
      <c r="C245" s="282"/>
      <c r="D245" s="282"/>
      <c r="E245" s="282"/>
      <c r="F245" s="282"/>
      <c r="G245" s="282"/>
      <c r="H245" s="282"/>
      <c r="I245" s="282"/>
      <c r="J245" s="282"/>
      <c r="K245" s="282"/>
      <c r="L245" s="282"/>
      <c r="M245" s="282"/>
      <c r="N245" s="282"/>
      <c r="O245" s="284"/>
      <c r="P245" s="276" t="s">
        <v>83</v>
      </c>
      <c r="Q245" s="277"/>
      <c r="R245" s="277"/>
      <c r="S245" s="277"/>
      <c r="T245" s="277"/>
      <c r="U245" s="277"/>
      <c r="V245" s="278"/>
      <c r="W245" s="37" t="s">
        <v>70</v>
      </c>
      <c r="X245" s="268">
        <f>IFERROR(SUM(X244:X244),"0")</f>
        <v>36</v>
      </c>
      <c r="Y245" s="268">
        <f>IFERROR(SUM(Y244:Y244),"0")</f>
        <v>36</v>
      </c>
      <c r="Z245" s="268">
        <f>IFERROR(IF(Z244="",0,Z244),"0")</f>
        <v>0.55800000000000005</v>
      </c>
      <c r="AA245" s="269"/>
      <c r="AB245" s="269"/>
      <c r="AC245" s="269"/>
    </row>
    <row r="246" spans="1:68" x14ac:dyDescent="0.2">
      <c r="A246" s="282"/>
      <c r="B246" s="282"/>
      <c r="C246" s="282"/>
      <c r="D246" s="282"/>
      <c r="E246" s="282"/>
      <c r="F246" s="282"/>
      <c r="G246" s="282"/>
      <c r="H246" s="282"/>
      <c r="I246" s="282"/>
      <c r="J246" s="282"/>
      <c r="K246" s="282"/>
      <c r="L246" s="282"/>
      <c r="M246" s="282"/>
      <c r="N246" s="282"/>
      <c r="O246" s="284"/>
      <c r="P246" s="276" t="s">
        <v>83</v>
      </c>
      <c r="Q246" s="277"/>
      <c r="R246" s="277"/>
      <c r="S246" s="277"/>
      <c r="T246" s="277"/>
      <c r="U246" s="277"/>
      <c r="V246" s="278"/>
      <c r="W246" s="37" t="s">
        <v>84</v>
      </c>
      <c r="X246" s="268">
        <f>IFERROR(SUMPRODUCT(X244:X244*H244:H244),"0")</f>
        <v>216</v>
      </c>
      <c r="Y246" s="268">
        <f>IFERROR(SUMPRODUCT(Y244:Y244*H244:H244),"0")</f>
        <v>216</v>
      </c>
      <c r="Z246" s="37"/>
      <c r="AA246" s="269"/>
      <c r="AB246" s="269"/>
      <c r="AC246" s="269"/>
    </row>
    <row r="247" spans="1:68" ht="14.25" hidden="1" customHeight="1" x14ac:dyDescent="0.25">
      <c r="A247" s="297" t="s">
        <v>131</v>
      </c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2"/>
      <c r="O247" s="282"/>
      <c r="P247" s="282"/>
      <c r="Q247" s="282"/>
      <c r="R247" s="282"/>
      <c r="S247" s="282"/>
      <c r="T247" s="282"/>
      <c r="U247" s="282"/>
      <c r="V247" s="282"/>
      <c r="W247" s="282"/>
      <c r="X247" s="282"/>
      <c r="Y247" s="282"/>
      <c r="Z247" s="282"/>
      <c r="AA247" s="262"/>
      <c r="AB247" s="262"/>
      <c r="AC247" s="262"/>
    </row>
    <row r="248" spans="1:68" ht="27" hidden="1" customHeight="1" x14ac:dyDescent="0.25">
      <c r="A248" s="54" t="s">
        <v>334</v>
      </c>
      <c r="B248" s="54" t="s">
        <v>335</v>
      </c>
      <c r="C248" s="31">
        <v>4301136051</v>
      </c>
      <c r="D248" s="274">
        <v>4640242180304</v>
      </c>
      <c r="E248" s="275"/>
      <c r="F248" s="265">
        <v>2.7</v>
      </c>
      <c r="G248" s="32">
        <v>1</v>
      </c>
      <c r="H248" s="265">
        <v>2.7</v>
      </c>
      <c r="I248" s="265">
        <v>2.8906000000000001</v>
      </c>
      <c r="J248" s="32">
        <v>126</v>
      </c>
      <c r="K248" s="32" t="s">
        <v>96</v>
      </c>
      <c r="L248" s="32" t="s">
        <v>97</v>
      </c>
      <c r="M248" s="33" t="s">
        <v>69</v>
      </c>
      <c r="N248" s="33"/>
      <c r="O248" s="32">
        <v>180</v>
      </c>
      <c r="P248" s="40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48" s="286"/>
      <c r="R248" s="286"/>
      <c r="S248" s="286"/>
      <c r="T248" s="287"/>
      <c r="U248" s="34"/>
      <c r="V248" s="34"/>
      <c r="W248" s="35" t="s">
        <v>70</v>
      </c>
      <c r="X248" s="266">
        <v>0</v>
      </c>
      <c r="Y248" s="267">
        <f>IFERROR(IF(X248="","",X248),"")</f>
        <v>0</v>
      </c>
      <c r="Z248" s="36">
        <f>IFERROR(IF(X248="","",X248*0.00936),"")</f>
        <v>0</v>
      </c>
      <c r="AA248" s="56"/>
      <c r="AB248" s="57"/>
      <c r="AC248" s="232" t="s">
        <v>336</v>
      </c>
      <c r="AG248" s="67"/>
      <c r="AJ248" s="71" t="s">
        <v>99</v>
      </c>
      <c r="AK248" s="71">
        <v>14</v>
      </c>
      <c r="BB248" s="233" t="s">
        <v>100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337</v>
      </c>
      <c r="B249" s="54" t="s">
        <v>338</v>
      </c>
      <c r="C249" s="31">
        <v>4301136053</v>
      </c>
      <c r="D249" s="274">
        <v>4640242180236</v>
      </c>
      <c r="E249" s="275"/>
      <c r="F249" s="265">
        <v>5</v>
      </c>
      <c r="G249" s="32">
        <v>1</v>
      </c>
      <c r="H249" s="265">
        <v>5</v>
      </c>
      <c r="I249" s="265">
        <v>5.2350000000000003</v>
      </c>
      <c r="J249" s="32">
        <v>84</v>
      </c>
      <c r="K249" s="32" t="s">
        <v>67</v>
      </c>
      <c r="L249" s="32" t="s">
        <v>97</v>
      </c>
      <c r="M249" s="33" t="s">
        <v>69</v>
      </c>
      <c r="N249" s="33"/>
      <c r="O249" s="32">
        <v>180</v>
      </c>
      <c r="P249" s="28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49" s="286"/>
      <c r="R249" s="286"/>
      <c r="S249" s="286"/>
      <c r="T249" s="287"/>
      <c r="U249" s="34"/>
      <c r="V249" s="34"/>
      <c r="W249" s="35" t="s">
        <v>70</v>
      </c>
      <c r="X249" s="266">
        <v>132</v>
      </c>
      <c r="Y249" s="267">
        <f>IFERROR(IF(X249="","",X249),"")</f>
        <v>132</v>
      </c>
      <c r="Z249" s="36">
        <f>IFERROR(IF(X249="","",X249*0.0155),"")</f>
        <v>2.0459999999999998</v>
      </c>
      <c r="AA249" s="56"/>
      <c r="AB249" s="57"/>
      <c r="AC249" s="234" t="s">
        <v>336</v>
      </c>
      <c r="AG249" s="67"/>
      <c r="AJ249" s="71" t="s">
        <v>99</v>
      </c>
      <c r="AK249" s="71">
        <v>12</v>
      </c>
      <c r="BB249" s="235" t="s">
        <v>100</v>
      </c>
      <c r="BM249" s="67">
        <f>IFERROR(X249*I249,"0")</f>
        <v>691.0200000000001</v>
      </c>
      <c r="BN249" s="67">
        <f>IFERROR(Y249*I249,"0")</f>
        <v>691.0200000000001</v>
      </c>
      <c r="BO249" s="67">
        <f>IFERROR(X249/J249,"0")</f>
        <v>1.5714285714285714</v>
      </c>
      <c r="BP249" s="67">
        <f>IFERROR(Y249/J249,"0")</f>
        <v>1.5714285714285714</v>
      </c>
    </row>
    <row r="250" spans="1:68" ht="27" hidden="1" customHeight="1" x14ac:dyDescent="0.25">
      <c r="A250" s="54" t="s">
        <v>339</v>
      </c>
      <c r="B250" s="54" t="s">
        <v>340</v>
      </c>
      <c r="C250" s="31">
        <v>4301136052</v>
      </c>
      <c r="D250" s="274">
        <v>4640242180410</v>
      </c>
      <c r="E250" s="275"/>
      <c r="F250" s="265">
        <v>2.2400000000000002</v>
      </c>
      <c r="G250" s="32">
        <v>1</v>
      </c>
      <c r="H250" s="265">
        <v>2.2400000000000002</v>
      </c>
      <c r="I250" s="265">
        <v>2.4319999999999999</v>
      </c>
      <c r="J250" s="32">
        <v>126</v>
      </c>
      <c r="K250" s="32" t="s">
        <v>96</v>
      </c>
      <c r="L250" s="32" t="s">
        <v>68</v>
      </c>
      <c r="M250" s="33" t="s">
        <v>69</v>
      </c>
      <c r="N250" s="33"/>
      <c r="O250" s="32">
        <v>180</v>
      </c>
      <c r="P250" s="3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0" s="286"/>
      <c r="R250" s="286"/>
      <c r="S250" s="286"/>
      <c r="T250" s="287"/>
      <c r="U250" s="34"/>
      <c r="V250" s="34"/>
      <c r="W250" s="35" t="s">
        <v>70</v>
      </c>
      <c r="X250" s="266">
        <v>0</v>
      </c>
      <c r="Y250" s="26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336</v>
      </c>
      <c r="AG250" s="67"/>
      <c r="AJ250" s="71" t="s">
        <v>72</v>
      </c>
      <c r="AK250" s="71">
        <v>1</v>
      </c>
      <c r="BB250" s="237" t="s">
        <v>100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83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2"/>
      <c r="O251" s="284"/>
      <c r="P251" s="276" t="s">
        <v>83</v>
      </c>
      <c r="Q251" s="277"/>
      <c r="R251" s="277"/>
      <c r="S251" s="277"/>
      <c r="T251" s="277"/>
      <c r="U251" s="277"/>
      <c r="V251" s="278"/>
      <c r="W251" s="37" t="s">
        <v>70</v>
      </c>
      <c r="X251" s="268">
        <f>IFERROR(SUM(X248:X250),"0")</f>
        <v>132</v>
      </c>
      <c r="Y251" s="268">
        <f>IFERROR(SUM(Y248:Y250),"0")</f>
        <v>132</v>
      </c>
      <c r="Z251" s="268">
        <f>IFERROR(IF(Z248="",0,Z248),"0")+IFERROR(IF(Z249="",0,Z249),"0")+IFERROR(IF(Z250="",0,Z250),"0")</f>
        <v>2.0459999999999998</v>
      </c>
      <c r="AA251" s="269"/>
      <c r="AB251" s="269"/>
      <c r="AC251" s="269"/>
    </row>
    <row r="252" spans="1:68" x14ac:dyDescent="0.2">
      <c r="A252" s="282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2"/>
      <c r="O252" s="284"/>
      <c r="P252" s="276" t="s">
        <v>83</v>
      </c>
      <c r="Q252" s="277"/>
      <c r="R252" s="277"/>
      <c r="S252" s="277"/>
      <c r="T252" s="277"/>
      <c r="U252" s="277"/>
      <c r="V252" s="278"/>
      <c r="W252" s="37" t="s">
        <v>84</v>
      </c>
      <c r="X252" s="268">
        <f>IFERROR(SUMPRODUCT(X248:X250*H248:H250),"0")</f>
        <v>660</v>
      </c>
      <c r="Y252" s="268">
        <f>IFERROR(SUMPRODUCT(Y248:Y250*H248:H250),"0")</f>
        <v>660</v>
      </c>
      <c r="Z252" s="37"/>
      <c r="AA252" s="269"/>
      <c r="AB252" s="269"/>
      <c r="AC252" s="269"/>
    </row>
    <row r="253" spans="1:68" ht="14.25" hidden="1" customHeight="1" x14ac:dyDescent="0.25">
      <c r="A253" s="297" t="s">
        <v>137</v>
      </c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62"/>
      <c r="AB253" s="262"/>
      <c r="AC253" s="262"/>
    </row>
    <row r="254" spans="1:68" ht="37.5" hidden="1" customHeight="1" x14ac:dyDescent="0.25">
      <c r="A254" s="54" t="s">
        <v>341</v>
      </c>
      <c r="B254" s="54" t="s">
        <v>342</v>
      </c>
      <c r="C254" s="31">
        <v>4301135504</v>
      </c>
      <c r="D254" s="274">
        <v>4640242181554</v>
      </c>
      <c r="E254" s="275"/>
      <c r="F254" s="265">
        <v>3</v>
      </c>
      <c r="G254" s="32">
        <v>1</v>
      </c>
      <c r="H254" s="265">
        <v>3</v>
      </c>
      <c r="I254" s="265">
        <v>3.1920000000000002</v>
      </c>
      <c r="J254" s="32">
        <v>126</v>
      </c>
      <c r="K254" s="32" t="s">
        <v>96</v>
      </c>
      <c r="L254" s="32" t="s">
        <v>68</v>
      </c>
      <c r="M254" s="33" t="s">
        <v>69</v>
      </c>
      <c r="N254" s="33"/>
      <c r="O254" s="32">
        <v>180</v>
      </c>
      <c r="P254" s="39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4" s="286"/>
      <c r="R254" s="286"/>
      <c r="S254" s="286"/>
      <c r="T254" s="287"/>
      <c r="U254" s="34"/>
      <c r="V254" s="34"/>
      <c r="W254" s="35" t="s">
        <v>70</v>
      </c>
      <c r="X254" s="266">
        <v>0</v>
      </c>
      <c r="Y254" s="267">
        <f t="shared" ref="Y254:Y263" si="18">IFERROR(IF(X254="","",X254),"")</f>
        <v>0</v>
      </c>
      <c r="Z254" s="36">
        <f>IFERROR(IF(X254="","",X254*0.00936),"")</f>
        <v>0</v>
      </c>
      <c r="AA254" s="56"/>
      <c r="AB254" s="57"/>
      <c r="AC254" s="238" t="s">
        <v>343</v>
      </c>
      <c r="AG254" s="67"/>
      <c r="AJ254" s="71" t="s">
        <v>72</v>
      </c>
      <c r="AK254" s="71">
        <v>1</v>
      </c>
      <c r="BB254" s="239" t="s">
        <v>100</v>
      </c>
      <c r="BM254" s="67">
        <f t="shared" ref="BM254:BM263" si="19">IFERROR(X254*I254,"0")</f>
        <v>0</v>
      </c>
      <c r="BN254" s="67">
        <f t="shared" ref="BN254:BN263" si="20">IFERROR(Y254*I254,"0")</f>
        <v>0</v>
      </c>
      <c r="BO254" s="67">
        <f t="shared" ref="BO254:BO263" si="21">IFERROR(X254/J254,"0")</f>
        <v>0</v>
      </c>
      <c r="BP254" s="67">
        <f t="shared" ref="BP254:BP263" si="22">IFERROR(Y254/J254,"0")</f>
        <v>0</v>
      </c>
    </row>
    <row r="255" spans="1:68" ht="27" customHeight="1" x14ac:dyDescent="0.25">
      <c r="A255" s="54" t="s">
        <v>344</v>
      </c>
      <c r="B255" s="54" t="s">
        <v>345</v>
      </c>
      <c r="C255" s="31">
        <v>4301135518</v>
      </c>
      <c r="D255" s="274">
        <v>4640242181561</v>
      </c>
      <c r="E255" s="275"/>
      <c r="F255" s="265">
        <v>3.7</v>
      </c>
      <c r="G255" s="32">
        <v>1</v>
      </c>
      <c r="H255" s="265">
        <v>3.7</v>
      </c>
      <c r="I255" s="265">
        <v>3.8919999999999999</v>
      </c>
      <c r="J255" s="32">
        <v>126</v>
      </c>
      <c r="K255" s="32" t="s">
        <v>96</v>
      </c>
      <c r="L255" s="32" t="s">
        <v>97</v>
      </c>
      <c r="M255" s="33" t="s">
        <v>69</v>
      </c>
      <c r="N255" s="33"/>
      <c r="O255" s="32">
        <v>180</v>
      </c>
      <c r="P255" s="33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5" s="286"/>
      <c r="R255" s="286"/>
      <c r="S255" s="286"/>
      <c r="T255" s="287"/>
      <c r="U255" s="34"/>
      <c r="V255" s="34"/>
      <c r="W255" s="35" t="s">
        <v>70</v>
      </c>
      <c r="X255" s="266">
        <v>28</v>
      </c>
      <c r="Y255" s="267">
        <f t="shared" si="18"/>
        <v>28</v>
      </c>
      <c r="Z255" s="36">
        <f>IFERROR(IF(X255="","",X255*0.00936),"")</f>
        <v>0.26207999999999998</v>
      </c>
      <c r="AA255" s="56"/>
      <c r="AB255" s="57"/>
      <c r="AC255" s="240" t="s">
        <v>346</v>
      </c>
      <c r="AG255" s="67"/>
      <c r="AJ255" s="71" t="s">
        <v>99</v>
      </c>
      <c r="AK255" s="71">
        <v>14</v>
      </c>
      <c r="BB255" s="241" t="s">
        <v>100</v>
      </c>
      <c r="BM255" s="67">
        <f t="shared" si="19"/>
        <v>108.976</v>
      </c>
      <c r="BN255" s="67">
        <f t="shared" si="20"/>
        <v>108.976</v>
      </c>
      <c r="BO255" s="67">
        <f t="shared" si="21"/>
        <v>0.22222222222222221</v>
      </c>
      <c r="BP255" s="67">
        <f t="shared" si="22"/>
        <v>0.22222222222222221</v>
      </c>
    </row>
    <row r="256" spans="1:68" ht="27" customHeight="1" x14ac:dyDescent="0.25">
      <c r="A256" s="54" t="s">
        <v>347</v>
      </c>
      <c r="B256" s="54" t="s">
        <v>348</v>
      </c>
      <c r="C256" s="31">
        <v>4301135374</v>
      </c>
      <c r="D256" s="274">
        <v>4640242181424</v>
      </c>
      <c r="E256" s="275"/>
      <c r="F256" s="265">
        <v>5.5</v>
      </c>
      <c r="G256" s="32">
        <v>1</v>
      </c>
      <c r="H256" s="265">
        <v>5.5</v>
      </c>
      <c r="I256" s="265">
        <v>5.7350000000000003</v>
      </c>
      <c r="J256" s="32">
        <v>84</v>
      </c>
      <c r="K256" s="32" t="s">
        <v>67</v>
      </c>
      <c r="L256" s="32" t="s">
        <v>97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56" s="286"/>
      <c r="R256" s="286"/>
      <c r="S256" s="286"/>
      <c r="T256" s="287"/>
      <c r="U256" s="34"/>
      <c r="V256" s="34"/>
      <c r="W256" s="35" t="s">
        <v>70</v>
      </c>
      <c r="X256" s="266">
        <v>12</v>
      </c>
      <c r="Y256" s="267">
        <f t="shared" si="18"/>
        <v>12</v>
      </c>
      <c r="Z256" s="36">
        <f>IFERROR(IF(X256="","",X256*0.0155),"")</f>
        <v>0.186</v>
      </c>
      <c r="AA256" s="56"/>
      <c r="AB256" s="57"/>
      <c r="AC256" s="242" t="s">
        <v>343</v>
      </c>
      <c r="AG256" s="67"/>
      <c r="AJ256" s="71" t="s">
        <v>99</v>
      </c>
      <c r="AK256" s="71">
        <v>12</v>
      </c>
      <c r="BB256" s="243" t="s">
        <v>100</v>
      </c>
      <c r="BM256" s="67">
        <f t="shared" si="19"/>
        <v>68.820000000000007</v>
      </c>
      <c r="BN256" s="67">
        <f t="shared" si="20"/>
        <v>68.820000000000007</v>
      </c>
      <c r="BO256" s="67">
        <f t="shared" si="21"/>
        <v>0.14285714285714285</v>
      </c>
      <c r="BP256" s="67">
        <f t="shared" si="22"/>
        <v>0.14285714285714285</v>
      </c>
    </row>
    <row r="257" spans="1:68" ht="27" customHeight="1" x14ac:dyDescent="0.25">
      <c r="A257" s="54" t="s">
        <v>349</v>
      </c>
      <c r="B257" s="54" t="s">
        <v>350</v>
      </c>
      <c r="C257" s="31">
        <v>4301135405</v>
      </c>
      <c r="D257" s="274">
        <v>4640242181523</v>
      </c>
      <c r="E257" s="275"/>
      <c r="F257" s="265">
        <v>3</v>
      </c>
      <c r="G257" s="32">
        <v>1</v>
      </c>
      <c r="H257" s="265">
        <v>3</v>
      </c>
      <c r="I257" s="265">
        <v>3.1920000000000002</v>
      </c>
      <c r="J257" s="32">
        <v>126</v>
      </c>
      <c r="K257" s="32" t="s">
        <v>96</v>
      </c>
      <c r="L257" s="32" t="s">
        <v>68</v>
      </c>
      <c r="M257" s="33" t="s">
        <v>69</v>
      </c>
      <c r="N257" s="33"/>
      <c r="O257" s="32">
        <v>180</v>
      </c>
      <c r="P257" s="40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57" s="286"/>
      <c r="R257" s="286"/>
      <c r="S257" s="286"/>
      <c r="T257" s="287"/>
      <c r="U257" s="34"/>
      <c r="V257" s="34"/>
      <c r="W257" s="35" t="s">
        <v>70</v>
      </c>
      <c r="X257" s="266">
        <v>28</v>
      </c>
      <c r="Y257" s="267">
        <f t="shared" si="18"/>
        <v>28</v>
      </c>
      <c r="Z257" s="36">
        <f t="shared" ref="Z257:Z262" si="23">IFERROR(IF(X257="","",X257*0.00936),"")</f>
        <v>0.26207999999999998</v>
      </c>
      <c r="AA257" s="56"/>
      <c r="AB257" s="57"/>
      <c r="AC257" s="244" t="s">
        <v>346</v>
      </c>
      <c r="AG257" s="67"/>
      <c r="AJ257" s="71" t="s">
        <v>72</v>
      </c>
      <c r="AK257" s="71">
        <v>1</v>
      </c>
      <c r="BB257" s="245" t="s">
        <v>100</v>
      </c>
      <c r="BM257" s="67">
        <f t="shared" si="19"/>
        <v>89.376000000000005</v>
      </c>
      <c r="BN257" s="67">
        <f t="shared" si="20"/>
        <v>89.376000000000005</v>
      </c>
      <c r="BO257" s="67">
        <f t="shared" si="21"/>
        <v>0.22222222222222221</v>
      </c>
      <c r="BP257" s="67">
        <f t="shared" si="22"/>
        <v>0.22222222222222221</v>
      </c>
    </row>
    <row r="258" spans="1:68" ht="27" hidden="1" customHeight="1" x14ac:dyDescent="0.25">
      <c r="A258" s="54" t="s">
        <v>351</v>
      </c>
      <c r="B258" s="54" t="s">
        <v>352</v>
      </c>
      <c r="C258" s="31">
        <v>4301135375</v>
      </c>
      <c r="D258" s="274">
        <v>4640242181486</v>
      </c>
      <c r="E258" s="275"/>
      <c r="F258" s="265">
        <v>3.7</v>
      </c>
      <c r="G258" s="32">
        <v>1</v>
      </c>
      <c r="H258" s="265">
        <v>3.7</v>
      </c>
      <c r="I258" s="265">
        <v>3.8919999999999999</v>
      </c>
      <c r="J258" s="32">
        <v>126</v>
      </c>
      <c r="K258" s="32" t="s">
        <v>96</v>
      </c>
      <c r="L258" s="32" t="s">
        <v>68</v>
      </c>
      <c r="M258" s="33" t="s">
        <v>69</v>
      </c>
      <c r="N258" s="33"/>
      <c r="O258" s="32">
        <v>180</v>
      </c>
      <c r="P25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58" s="286"/>
      <c r="R258" s="286"/>
      <c r="S258" s="286"/>
      <c r="T258" s="287"/>
      <c r="U258" s="34"/>
      <c r="V258" s="34"/>
      <c r="W258" s="35" t="s">
        <v>70</v>
      </c>
      <c r="X258" s="266">
        <v>0</v>
      </c>
      <c r="Y258" s="267">
        <f t="shared" si="18"/>
        <v>0</v>
      </c>
      <c r="Z258" s="36">
        <f t="shared" si="23"/>
        <v>0</v>
      </c>
      <c r="AA258" s="56"/>
      <c r="AB258" s="57"/>
      <c r="AC258" s="246" t="s">
        <v>343</v>
      </c>
      <c r="AG258" s="67"/>
      <c r="AJ258" s="71" t="s">
        <v>72</v>
      </c>
      <c r="AK258" s="71">
        <v>1</v>
      </c>
      <c r="BB258" s="247" t="s">
        <v>100</v>
      </c>
      <c r="BM258" s="67">
        <f t="shared" si="19"/>
        <v>0</v>
      </c>
      <c r="BN258" s="67">
        <f t="shared" si="20"/>
        <v>0</v>
      </c>
      <c r="BO258" s="67">
        <f t="shared" si="21"/>
        <v>0</v>
      </c>
      <c r="BP258" s="67">
        <f t="shared" si="22"/>
        <v>0</v>
      </c>
    </row>
    <row r="259" spans="1:68" ht="37.5" hidden="1" customHeight="1" x14ac:dyDescent="0.25">
      <c r="A259" s="54" t="s">
        <v>353</v>
      </c>
      <c r="B259" s="54" t="s">
        <v>354</v>
      </c>
      <c r="C259" s="31">
        <v>4301135402</v>
      </c>
      <c r="D259" s="274">
        <v>4640242181493</v>
      </c>
      <c r="E259" s="275"/>
      <c r="F259" s="265">
        <v>3.7</v>
      </c>
      <c r="G259" s="32">
        <v>1</v>
      </c>
      <c r="H259" s="265">
        <v>3.7</v>
      </c>
      <c r="I259" s="265">
        <v>3.8919999999999999</v>
      </c>
      <c r="J259" s="32">
        <v>126</v>
      </c>
      <c r="K259" s="32" t="s">
        <v>96</v>
      </c>
      <c r="L259" s="32" t="s">
        <v>68</v>
      </c>
      <c r="M259" s="33" t="s">
        <v>69</v>
      </c>
      <c r="N259" s="33"/>
      <c r="O259" s="32">
        <v>180</v>
      </c>
      <c r="P259" s="323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59" s="286"/>
      <c r="R259" s="286"/>
      <c r="S259" s="286"/>
      <c r="T259" s="287"/>
      <c r="U259" s="34"/>
      <c r="V259" s="34"/>
      <c r="W259" s="35" t="s">
        <v>70</v>
      </c>
      <c r="X259" s="266">
        <v>0</v>
      </c>
      <c r="Y259" s="267">
        <f t="shared" si="18"/>
        <v>0</v>
      </c>
      <c r="Z259" s="36">
        <f t="shared" si="23"/>
        <v>0</v>
      </c>
      <c r="AA259" s="56"/>
      <c r="AB259" s="57"/>
      <c r="AC259" s="248" t="s">
        <v>343</v>
      </c>
      <c r="AG259" s="67"/>
      <c r="AJ259" s="71" t="s">
        <v>72</v>
      </c>
      <c r="AK259" s="71">
        <v>1</v>
      </c>
      <c r="BB259" s="249" t="s">
        <v>100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37.5" hidden="1" customHeight="1" x14ac:dyDescent="0.25">
      <c r="A260" s="54" t="s">
        <v>355</v>
      </c>
      <c r="B260" s="54" t="s">
        <v>356</v>
      </c>
      <c r="C260" s="31">
        <v>4301135403</v>
      </c>
      <c r="D260" s="274">
        <v>4640242181509</v>
      </c>
      <c r="E260" s="275"/>
      <c r="F260" s="265">
        <v>3.7</v>
      </c>
      <c r="G260" s="32">
        <v>1</v>
      </c>
      <c r="H260" s="265">
        <v>3.7</v>
      </c>
      <c r="I260" s="265">
        <v>3.8919999999999999</v>
      </c>
      <c r="J260" s="32">
        <v>126</v>
      </c>
      <c r="K260" s="32" t="s">
        <v>96</v>
      </c>
      <c r="L260" s="32" t="s">
        <v>68</v>
      </c>
      <c r="M260" s="33" t="s">
        <v>69</v>
      </c>
      <c r="N260" s="33"/>
      <c r="O260" s="32">
        <v>180</v>
      </c>
      <c r="P260" s="4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0" s="286"/>
      <c r="R260" s="286"/>
      <c r="S260" s="286"/>
      <c r="T260" s="287"/>
      <c r="U260" s="34"/>
      <c r="V260" s="34"/>
      <c r="W260" s="35" t="s">
        <v>70</v>
      </c>
      <c r="X260" s="266">
        <v>0</v>
      </c>
      <c r="Y260" s="267">
        <f t="shared" si="18"/>
        <v>0</v>
      </c>
      <c r="Z260" s="36">
        <f t="shared" si="23"/>
        <v>0</v>
      </c>
      <c r="AA260" s="56"/>
      <c r="AB260" s="57"/>
      <c r="AC260" s="250" t="s">
        <v>343</v>
      </c>
      <c r="AG260" s="67"/>
      <c r="AJ260" s="71" t="s">
        <v>72</v>
      </c>
      <c r="AK260" s="71">
        <v>1</v>
      </c>
      <c r="BB260" s="251" t="s">
        <v>100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hidden="1" customHeight="1" x14ac:dyDescent="0.25">
      <c r="A261" s="54" t="s">
        <v>357</v>
      </c>
      <c r="B261" s="54" t="s">
        <v>358</v>
      </c>
      <c r="C261" s="31">
        <v>4301135304</v>
      </c>
      <c r="D261" s="274">
        <v>4640242181240</v>
      </c>
      <c r="E261" s="275"/>
      <c r="F261" s="265">
        <v>0.3</v>
      </c>
      <c r="G261" s="32">
        <v>9</v>
      </c>
      <c r="H261" s="265">
        <v>2.7</v>
      </c>
      <c r="I261" s="265">
        <v>2.88</v>
      </c>
      <c r="J261" s="32">
        <v>126</v>
      </c>
      <c r="K261" s="32" t="s">
        <v>96</v>
      </c>
      <c r="L261" s="32" t="s">
        <v>68</v>
      </c>
      <c r="M261" s="33" t="s">
        <v>69</v>
      </c>
      <c r="N261" s="33"/>
      <c r="O261" s="32">
        <v>180</v>
      </c>
      <c r="P261" s="38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1" s="286"/>
      <c r="R261" s="286"/>
      <c r="S261" s="286"/>
      <c r="T261" s="287"/>
      <c r="U261" s="34"/>
      <c r="V261" s="34"/>
      <c r="W261" s="35" t="s">
        <v>70</v>
      </c>
      <c r="X261" s="266">
        <v>0</v>
      </c>
      <c r="Y261" s="267">
        <f t="shared" si="18"/>
        <v>0</v>
      </c>
      <c r="Z261" s="36">
        <f t="shared" si="23"/>
        <v>0</v>
      </c>
      <c r="AA261" s="56"/>
      <c r="AB261" s="57"/>
      <c r="AC261" s="252" t="s">
        <v>343</v>
      </c>
      <c r="AG261" s="67"/>
      <c r="AJ261" s="71" t="s">
        <v>72</v>
      </c>
      <c r="AK261" s="71">
        <v>1</v>
      </c>
      <c r="BB261" s="253" t="s">
        <v>100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359</v>
      </c>
      <c r="B262" s="54" t="s">
        <v>360</v>
      </c>
      <c r="C262" s="31">
        <v>4301135610</v>
      </c>
      <c r="D262" s="274">
        <v>4640242181318</v>
      </c>
      <c r="E262" s="275"/>
      <c r="F262" s="265">
        <v>0.3</v>
      </c>
      <c r="G262" s="32">
        <v>9</v>
      </c>
      <c r="H262" s="265">
        <v>2.7</v>
      </c>
      <c r="I262" s="265">
        <v>2.988</v>
      </c>
      <c r="J262" s="32">
        <v>126</v>
      </c>
      <c r="K262" s="32" t="s">
        <v>96</v>
      </c>
      <c r="L262" s="32" t="s">
        <v>68</v>
      </c>
      <c r="M262" s="33" t="s">
        <v>69</v>
      </c>
      <c r="N262" s="33"/>
      <c r="O262" s="32">
        <v>180</v>
      </c>
      <c r="P262" s="41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2" s="286"/>
      <c r="R262" s="286"/>
      <c r="S262" s="286"/>
      <c r="T262" s="287"/>
      <c r="U262" s="34"/>
      <c r="V262" s="34"/>
      <c r="W262" s="35" t="s">
        <v>70</v>
      </c>
      <c r="X262" s="266">
        <v>0</v>
      </c>
      <c r="Y262" s="267">
        <f t="shared" si="18"/>
        <v>0</v>
      </c>
      <c r="Z262" s="36">
        <f t="shared" si="23"/>
        <v>0</v>
      </c>
      <c r="AA262" s="56"/>
      <c r="AB262" s="57"/>
      <c r="AC262" s="254" t="s">
        <v>346</v>
      </c>
      <c r="AG262" s="67"/>
      <c r="AJ262" s="71" t="s">
        <v>72</v>
      </c>
      <c r="AK262" s="71">
        <v>1</v>
      </c>
      <c r="BB262" s="255" t="s">
        <v>100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361</v>
      </c>
      <c r="B263" s="54" t="s">
        <v>362</v>
      </c>
      <c r="C263" s="31">
        <v>4301135306</v>
      </c>
      <c r="D263" s="274">
        <v>4640242181387</v>
      </c>
      <c r="E263" s="275"/>
      <c r="F263" s="265">
        <v>0.3</v>
      </c>
      <c r="G263" s="32">
        <v>9</v>
      </c>
      <c r="H263" s="265">
        <v>2.7</v>
      </c>
      <c r="I263" s="265">
        <v>2.8450000000000002</v>
      </c>
      <c r="J263" s="32">
        <v>234</v>
      </c>
      <c r="K263" s="32" t="s">
        <v>148</v>
      </c>
      <c r="L263" s="32" t="s">
        <v>68</v>
      </c>
      <c r="M263" s="33" t="s">
        <v>69</v>
      </c>
      <c r="N263" s="33"/>
      <c r="O263" s="32">
        <v>180</v>
      </c>
      <c r="P263" s="4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3" s="286"/>
      <c r="R263" s="286"/>
      <c r="S263" s="286"/>
      <c r="T263" s="287"/>
      <c r="U263" s="34"/>
      <c r="V263" s="34"/>
      <c r="W263" s="35" t="s">
        <v>70</v>
      </c>
      <c r="X263" s="266">
        <v>0</v>
      </c>
      <c r="Y263" s="267">
        <f t="shared" si="18"/>
        <v>0</v>
      </c>
      <c r="Z263" s="36">
        <f>IFERROR(IF(X263="","",X263*0.00502),"")</f>
        <v>0</v>
      </c>
      <c r="AA263" s="56"/>
      <c r="AB263" s="57"/>
      <c r="AC263" s="256" t="s">
        <v>343</v>
      </c>
      <c r="AG263" s="67"/>
      <c r="AJ263" s="71" t="s">
        <v>72</v>
      </c>
      <c r="AK263" s="71">
        <v>1</v>
      </c>
      <c r="BB263" s="257" t="s">
        <v>100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x14ac:dyDescent="0.2">
      <c r="A264" s="283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2"/>
      <c r="O264" s="284"/>
      <c r="P264" s="276" t="s">
        <v>83</v>
      </c>
      <c r="Q264" s="277"/>
      <c r="R264" s="277"/>
      <c r="S264" s="277"/>
      <c r="T264" s="277"/>
      <c r="U264" s="277"/>
      <c r="V264" s="278"/>
      <c r="W264" s="37" t="s">
        <v>70</v>
      </c>
      <c r="X264" s="268">
        <f>IFERROR(SUM(X254:X263),"0")</f>
        <v>68</v>
      </c>
      <c r="Y264" s="268">
        <f>IFERROR(SUM(Y254:Y263),"0")</f>
        <v>68</v>
      </c>
      <c r="Z264" s="268">
        <f>IFERROR(IF(Z254="",0,Z254),"0")+IFERROR(IF(Z255="",0,Z255),"0")+IFERROR(IF(Z256="",0,Z256),"0")+IFERROR(IF(Z257="",0,Z257),"0")+IFERROR(IF(Z258="",0,Z258),"0")+IFERROR(IF(Z259="",0,Z259),"0")+IFERROR(IF(Z260="",0,Z260),"0")+IFERROR(IF(Z261="",0,Z261),"0")+IFERROR(IF(Z262="",0,Z262),"0")+IFERROR(IF(Z263="",0,Z263),"0")</f>
        <v>0.7101599999999999</v>
      </c>
      <c r="AA264" s="269"/>
      <c r="AB264" s="269"/>
      <c r="AC264" s="269"/>
    </row>
    <row r="265" spans="1:68" x14ac:dyDescent="0.2">
      <c r="A265" s="282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4"/>
      <c r="P265" s="276" t="s">
        <v>83</v>
      </c>
      <c r="Q265" s="277"/>
      <c r="R265" s="277"/>
      <c r="S265" s="277"/>
      <c r="T265" s="277"/>
      <c r="U265" s="277"/>
      <c r="V265" s="278"/>
      <c r="W265" s="37" t="s">
        <v>84</v>
      </c>
      <c r="X265" s="268">
        <f>IFERROR(SUMPRODUCT(X254:X263*H254:H263),"0")</f>
        <v>253.60000000000002</v>
      </c>
      <c r="Y265" s="268">
        <f>IFERROR(SUMPRODUCT(Y254:Y263*H254:H263),"0")</f>
        <v>253.60000000000002</v>
      </c>
      <c r="Z265" s="37"/>
      <c r="AA265" s="269"/>
      <c r="AB265" s="269"/>
      <c r="AC265" s="269"/>
    </row>
    <row r="266" spans="1:68" ht="15" customHeight="1" x14ac:dyDescent="0.2">
      <c r="A266" s="368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94"/>
      <c r="P266" s="325" t="s">
        <v>363</v>
      </c>
      <c r="Q266" s="291"/>
      <c r="R266" s="291"/>
      <c r="S266" s="291"/>
      <c r="T266" s="291"/>
      <c r="U266" s="291"/>
      <c r="V266" s="292"/>
      <c r="W266" s="37" t="s">
        <v>84</v>
      </c>
      <c r="X266" s="268">
        <f>IFERROR(X29+X35+X42+X49+X57+X62+X66+X71+X77+X83+X88+X94+X104+X110+X121+X126+X130+X136+X142+X148+X153+X158+X163+X168+X175+X184+X188+X194+X202+X207+X213+X219+X225+X231+X235+X242+X246+X252+X265,"0")</f>
        <v>7814.4400000000014</v>
      </c>
      <c r="Y266" s="268">
        <f>IFERROR(Y29+Y35+Y42+Y49+Y57+Y62+Y66+Y71+Y77+Y83+Y88+Y94+Y104+Y110+Y121+Y126+Y130+Y136+Y142+Y148+Y153+Y158+Y163+Y168+Y175+Y184+Y188+Y194+Y202+Y207+Y213+Y219+Y225+Y231+Y235+Y242+Y246+Y252+Y265,"0")</f>
        <v>7814.4400000000014</v>
      </c>
      <c r="Z266" s="37"/>
      <c r="AA266" s="269"/>
      <c r="AB266" s="269"/>
      <c r="AC266" s="269"/>
    </row>
    <row r="267" spans="1:68" x14ac:dyDescent="0.2">
      <c r="A267" s="282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2"/>
      <c r="O267" s="294"/>
      <c r="P267" s="325" t="s">
        <v>364</v>
      </c>
      <c r="Q267" s="291"/>
      <c r="R267" s="291"/>
      <c r="S267" s="291"/>
      <c r="T267" s="291"/>
      <c r="U267" s="291"/>
      <c r="V267" s="292"/>
      <c r="W267" s="37" t="s">
        <v>84</v>
      </c>
      <c r="X267" s="268">
        <f>IFERROR(SUM(BM22:BM263),"0")</f>
        <v>8503.8784000000014</v>
      </c>
      <c r="Y267" s="268">
        <f>IFERROR(SUM(BN22:BN263),"0")</f>
        <v>8503.8784000000014</v>
      </c>
      <c r="Z267" s="37"/>
      <c r="AA267" s="269"/>
      <c r="AB267" s="269"/>
      <c r="AC267" s="269"/>
    </row>
    <row r="268" spans="1:68" x14ac:dyDescent="0.2">
      <c r="A268" s="282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2"/>
      <c r="O268" s="294"/>
      <c r="P268" s="325" t="s">
        <v>365</v>
      </c>
      <c r="Q268" s="291"/>
      <c r="R268" s="291"/>
      <c r="S268" s="291"/>
      <c r="T268" s="291"/>
      <c r="U268" s="291"/>
      <c r="V268" s="292"/>
      <c r="W268" s="37" t="s">
        <v>366</v>
      </c>
      <c r="X268" s="38">
        <f>ROUNDUP(SUM(BO22:BO263),0)</f>
        <v>20</v>
      </c>
      <c r="Y268" s="38">
        <f>ROUNDUP(SUM(BP22:BP263),0)</f>
        <v>20</v>
      </c>
      <c r="Z268" s="37"/>
      <c r="AA268" s="269"/>
      <c r="AB268" s="269"/>
      <c r="AC268" s="269"/>
    </row>
    <row r="269" spans="1:68" x14ac:dyDescent="0.2">
      <c r="A269" s="282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2"/>
      <c r="O269" s="294"/>
      <c r="P269" s="325" t="s">
        <v>367</v>
      </c>
      <c r="Q269" s="291"/>
      <c r="R269" s="291"/>
      <c r="S269" s="291"/>
      <c r="T269" s="291"/>
      <c r="U269" s="291"/>
      <c r="V269" s="292"/>
      <c r="W269" s="37" t="s">
        <v>84</v>
      </c>
      <c r="X269" s="268">
        <f>GrossWeightTotal+PalletQtyTotal*25</f>
        <v>9003.8784000000014</v>
      </c>
      <c r="Y269" s="268">
        <f>GrossWeightTotalR+PalletQtyTotalR*25</f>
        <v>9003.8784000000014</v>
      </c>
      <c r="Z269" s="37"/>
      <c r="AA269" s="269"/>
      <c r="AB269" s="269"/>
      <c r="AC269" s="269"/>
    </row>
    <row r="270" spans="1:68" x14ac:dyDescent="0.2">
      <c r="A270" s="282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2"/>
      <c r="O270" s="294"/>
      <c r="P270" s="325" t="s">
        <v>368</v>
      </c>
      <c r="Q270" s="291"/>
      <c r="R270" s="291"/>
      <c r="S270" s="291"/>
      <c r="T270" s="291"/>
      <c r="U270" s="291"/>
      <c r="V270" s="292"/>
      <c r="W270" s="37" t="s">
        <v>366</v>
      </c>
      <c r="X270" s="268">
        <f>IFERROR(X28+X34+X41+X48+X56+X61+X65+X70+X76+X82+X87+X93+X103+X109+X120+X125+X129+X135+X141+X147+X152+X157+X162+X167+X174+X183+X187+X193+X201+X206+X212+X218+X224+X230+X234+X241+X245+X251+X264,"0")</f>
        <v>1742</v>
      </c>
      <c r="Y270" s="268">
        <f>IFERROR(Y28+Y34+Y41+Y48+Y56+Y61+Y65+Y70+Y76+Y82+Y87+Y93+Y103+Y109+Y120+Y125+Y129+Y135+Y141+Y147+Y152+Y157+Y162+Y167+Y174+Y183+Y187+Y193+Y201+Y206+Y212+Y218+Y224+Y230+Y234+Y241+Y245+Y251+Y264,"0")</f>
        <v>1742</v>
      </c>
      <c r="Z270" s="37"/>
      <c r="AA270" s="269"/>
      <c r="AB270" s="269"/>
      <c r="AC270" s="269"/>
    </row>
    <row r="271" spans="1:68" ht="14.25" hidden="1" customHeight="1" x14ac:dyDescent="0.2">
      <c r="A271" s="282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2"/>
      <c r="O271" s="294"/>
      <c r="P271" s="325" t="s">
        <v>369</v>
      </c>
      <c r="Q271" s="291"/>
      <c r="R271" s="291"/>
      <c r="S271" s="291"/>
      <c r="T271" s="291"/>
      <c r="U271" s="291"/>
      <c r="V271" s="292"/>
      <c r="W271" s="39" t="s">
        <v>370</v>
      </c>
      <c r="X271" s="37"/>
      <c r="Y271" s="37"/>
      <c r="Z271" s="37">
        <f>IFERROR(Z28+Z34+Z41+Z48+Z56+Z61+Z65+Z70+Z76+Z82+Z87+Z93+Z103+Z109+Z120+Z125+Z129+Z135+Z141+Z147+Z152+Z157+Z162+Z167+Z174+Z183+Z187+Z193+Z201+Z206+Z212+Z218+Z224+Z230+Z234+Z241+Z245+Z251+Z264,"0")</f>
        <v>25.418879999999994</v>
      </c>
      <c r="AA271" s="269"/>
      <c r="AB271" s="269"/>
      <c r="AC271" s="269"/>
    </row>
    <row r="272" spans="1:68" ht="13.5" customHeight="1" thickBot="1" x14ac:dyDescent="0.25"/>
    <row r="273" spans="1:32" ht="27" customHeight="1" thickTop="1" thickBot="1" x14ac:dyDescent="0.25">
      <c r="A273" s="40" t="s">
        <v>371</v>
      </c>
      <c r="B273" s="270" t="s">
        <v>63</v>
      </c>
      <c r="C273" s="365"/>
      <c r="D273" s="270" t="s">
        <v>91</v>
      </c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4"/>
      <c r="P273" s="364"/>
      <c r="Q273" s="364"/>
      <c r="R273" s="364"/>
      <c r="S273" s="364"/>
      <c r="T273" s="364"/>
      <c r="U273" s="365"/>
      <c r="V273" s="263" t="s">
        <v>249</v>
      </c>
      <c r="W273" s="263" t="s">
        <v>257</v>
      </c>
      <c r="X273" s="270" t="s">
        <v>279</v>
      </c>
      <c r="Y273" s="364"/>
      <c r="Z273" s="365"/>
      <c r="AA273" s="263" t="s">
        <v>308</v>
      </c>
      <c r="AB273" s="263" t="s">
        <v>313</v>
      </c>
      <c r="AC273" s="263" t="s">
        <v>317</v>
      </c>
      <c r="AD273" s="263" t="s">
        <v>325</v>
      </c>
      <c r="AF273" s="264"/>
    </row>
    <row r="274" spans="1:32" ht="14.25" customHeight="1" thickTop="1" x14ac:dyDescent="0.2">
      <c r="A274" s="352" t="s">
        <v>372</v>
      </c>
      <c r="B274" s="270" t="s">
        <v>63</v>
      </c>
      <c r="C274" s="270" t="s">
        <v>85</v>
      </c>
      <c r="D274" s="270" t="s">
        <v>92</v>
      </c>
      <c r="E274" s="270" t="s">
        <v>103</v>
      </c>
      <c r="F274" s="270" t="s">
        <v>113</v>
      </c>
      <c r="G274" s="270" t="s">
        <v>124</v>
      </c>
      <c r="H274" s="270" t="s">
        <v>145</v>
      </c>
      <c r="I274" s="270" t="s">
        <v>152</v>
      </c>
      <c r="J274" s="270" t="s">
        <v>156</v>
      </c>
      <c r="K274" s="270" t="s">
        <v>164</v>
      </c>
      <c r="L274" s="270" t="s">
        <v>179</v>
      </c>
      <c r="M274" s="270" t="s">
        <v>185</v>
      </c>
      <c r="N274" s="264"/>
      <c r="O274" s="270" t="s">
        <v>213</v>
      </c>
      <c r="P274" s="270" t="s">
        <v>221</v>
      </c>
      <c r="Q274" s="270" t="s">
        <v>228</v>
      </c>
      <c r="R274" s="270" t="s">
        <v>233</v>
      </c>
      <c r="S274" s="270" t="s">
        <v>237</v>
      </c>
      <c r="T274" s="270" t="s">
        <v>240</v>
      </c>
      <c r="U274" s="270" t="s">
        <v>245</v>
      </c>
      <c r="V274" s="270" t="s">
        <v>250</v>
      </c>
      <c r="W274" s="270" t="s">
        <v>258</v>
      </c>
      <c r="X274" s="270" t="s">
        <v>280</v>
      </c>
      <c r="Y274" s="270" t="s">
        <v>298</v>
      </c>
      <c r="Z274" s="270" t="s">
        <v>302</v>
      </c>
      <c r="AA274" s="270" t="s">
        <v>309</v>
      </c>
      <c r="AB274" s="270" t="s">
        <v>314</v>
      </c>
      <c r="AC274" s="270" t="s">
        <v>318</v>
      </c>
      <c r="AD274" s="270" t="s">
        <v>325</v>
      </c>
      <c r="AF274" s="264"/>
    </row>
    <row r="275" spans="1:32" ht="13.5" customHeight="1" thickBot="1" x14ac:dyDescent="0.25">
      <c r="A275" s="353"/>
      <c r="B275" s="271"/>
      <c r="C275" s="271"/>
      <c r="D275" s="271"/>
      <c r="E275" s="271"/>
      <c r="F275" s="271"/>
      <c r="G275" s="271"/>
      <c r="H275" s="271"/>
      <c r="I275" s="271"/>
      <c r="J275" s="271"/>
      <c r="K275" s="271"/>
      <c r="L275" s="271"/>
      <c r="M275" s="271"/>
      <c r="N275" s="264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  <c r="AA275" s="271"/>
      <c r="AB275" s="271"/>
      <c r="AC275" s="271"/>
      <c r="AD275" s="271"/>
      <c r="AF275" s="264"/>
    </row>
    <row r="276" spans="1:32" ht="18" customHeight="1" thickTop="1" thickBot="1" x14ac:dyDescent="0.25">
      <c r="A276" s="40" t="s">
        <v>373</v>
      </c>
      <c r="B276" s="46">
        <f>IFERROR(X22*H22,"0")+IFERROR(X23*H23,"0")+IFERROR(X24*H24,"0")+IFERROR(X25*H25,"0")+IFERROR(X26*H26,"0")+IFERROR(X27*H27,"0")</f>
        <v>86.4</v>
      </c>
      <c r="C276" s="46">
        <f>IFERROR(X32*H32,"0")+IFERROR(X33*H33,"0")</f>
        <v>0</v>
      </c>
      <c r="D276" s="46">
        <f>IFERROR(X39*H39,"0")+IFERROR(X40*H40,"0")</f>
        <v>147</v>
      </c>
      <c r="E276" s="46">
        <f>IFERROR(X45*H45,"0")+IFERROR(X46*H46,"0")+IFERROR(X47*H47,"0")</f>
        <v>403.2</v>
      </c>
      <c r="F276" s="46">
        <f>IFERROR(X52*H52,"0")+IFERROR(X53*H53,"0")+IFERROR(X54*H54,"0")+IFERROR(X55*H55,"0")</f>
        <v>672</v>
      </c>
      <c r="G276" s="46">
        <f>IFERROR(X60*H60,"0")+IFERROR(X64*H64,"0")+IFERROR(X68*H68,"0")+IFERROR(X69*H69,"0")+IFERROR(X73*H73,"0")+IFERROR(X74*H74,"0")+IFERROR(X75*H75,"0")</f>
        <v>0</v>
      </c>
      <c r="H276" s="46">
        <f>IFERROR(X80*H80,"0")+IFERROR(X81*H81,"0")</f>
        <v>180</v>
      </c>
      <c r="I276" s="46">
        <f>IFERROR(X86*H86,"0")</f>
        <v>50.4</v>
      </c>
      <c r="J276" s="46">
        <f>IFERROR(X91*H91,"0")+IFERROR(X92*H92,"0")</f>
        <v>453.6</v>
      </c>
      <c r="K276" s="46">
        <f>IFERROR(X97*H97,"0")+IFERROR(X98*H98,"0")+IFERROR(X99*H99,"0")+IFERROR(X100*H100,"0")+IFERROR(X101*H101,"0")+IFERROR(X102*H102,"0")</f>
        <v>389.76</v>
      </c>
      <c r="L276" s="46">
        <f>IFERROR(X107*H107,"0")+IFERROR(X108*H108,"0")</f>
        <v>80.64</v>
      </c>
      <c r="M276" s="46">
        <f>IFERROR(X113*H113,"0")+IFERROR(X114*H114,"0")+IFERROR(X115*H115,"0")+IFERROR(X116*H116,"0")+IFERROR(X117*H117,"0")+IFERROR(X118*H118,"0")+IFERROR(X119*H119,"0")+IFERROR(X123*H123,"0")+IFERROR(X124*H124,"0")+IFERROR(X128*H128,"0")</f>
        <v>1260</v>
      </c>
      <c r="N276" s="264"/>
      <c r="O276" s="46">
        <f>IFERROR(X133*H133,"0")+IFERROR(X134*H134,"0")</f>
        <v>420</v>
      </c>
      <c r="P276" s="46">
        <f>IFERROR(X139*H139,"0")+IFERROR(X140*H140,"0")</f>
        <v>126</v>
      </c>
      <c r="Q276" s="46">
        <f>IFERROR(X145*H145,"0")+IFERROR(X146*H146,"0")</f>
        <v>33.6</v>
      </c>
      <c r="R276" s="46">
        <f>IFERROR(X151*H151,"0")</f>
        <v>42</v>
      </c>
      <c r="S276" s="46">
        <f>IFERROR(X156*H156,"0")</f>
        <v>0</v>
      </c>
      <c r="T276" s="46">
        <f>IFERROR(X161*H161,"0")</f>
        <v>0</v>
      </c>
      <c r="U276" s="46">
        <f>IFERROR(X166*H166,"0")</f>
        <v>117.6</v>
      </c>
      <c r="V276" s="46">
        <f>IFERROR(X172*H172,"0")+IFERROR(X173*H173,"0")</f>
        <v>840</v>
      </c>
      <c r="W276" s="46">
        <f>IFERROR(X179*H179,"0")+IFERROR(X180*H180,"0")+IFERROR(X181*H181,"0")+IFERROR(X182*H182,"0")+IFERROR(X186*H186,"0")</f>
        <v>84</v>
      </c>
      <c r="X276" s="46">
        <f>IFERROR(X192*H192,"0")+IFERROR(X196*H196,"0")+IFERROR(X197*H197,"0")+IFERROR(X198*H198,"0")+IFERROR(X199*H199,"0")+IFERROR(X200*H200,"0")</f>
        <v>38.64</v>
      </c>
      <c r="Y276" s="46">
        <f>IFERROR(X205*H205,"0")</f>
        <v>600</v>
      </c>
      <c r="Z276" s="46">
        <f>IFERROR(X210*H210,"0")+IFERROR(X211*H211,"0")</f>
        <v>0</v>
      </c>
      <c r="AA276" s="46">
        <f>IFERROR(X217*H217,"0")</f>
        <v>0</v>
      </c>
      <c r="AB276" s="46">
        <f>IFERROR(X223*H223,"0")</f>
        <v>240</v>
      </c>
      <c r="AC276" s="46">
        <f>IFERROR(X229*H229,"0")+IFERROR(X233*H233,"0")</f>
        <v>0</v>
      </c>
      <c r="AD276" s="46">
        <f>IFERROR(X239*H239,"0")+IFERROR(X240*H240,"0")+IFERROR(X244*H244,"0")+IFERROR(X248*H248,"0")+IFERROR(X249*H249,"0")+IFERROR(X250*H250,"0")+IFERROR(X254*H254,"0")+IFERROR(X255*H255,"0")+IFERROR(X256*H256,"0")+IFERROR(X257*H257,"0")+IFERROR(X258*H258,"0")+IFERROR(X259*H259,"0")+IFERROR(X260*H260,"0")+IFERROR(X261*H261,"0")+IFERROR(X262*H262,"0")+IFERROR(X263*H263,"0")</f>
        <v>1549.6</v>
      </c>
      <c r="AF276" s="264"/>
    </row>
    <row r="277" spans="1:32" ht="13.5" customHeight="1" thickTop="1" x14ac:dyDescent="0.2">
      <c r="C277" s="264"/>
    </row>
    <row r="278" spans="1:32" ht="19.5" customHeight="1" x14ac:dyDescent="0.2">
      <c r="A278" s="58" t="s">
        <v>374</v>
      </c>
      <c r="B278" s="58" t="s">
        <v>375</v>
      </c>
      <c r="C278" s="58" t="s">
        <v>376</v>
      </c>
    </row>
    <row r="279" spans="1:32" x14ac:dyDescent="0.2">
      <c r="A279" s="59">
        <f>SUMPRODUCT(--(BB:BB="ЗПФ"),--(W:W="кор"),H:H,Y:Y)+SUMPRODUCT(--(BB:BB="ЗПФ"),--(W:W="кг"),Y:Y)</f>
        <v>4701.6000000000004</v>
      </c>
      <c r="B279" s="60">
        <f>SUMPRODUCT(--(BB:BB="ПГП"),--(W:W="кор"),H:H,Y:Y)+SUMPRODUCT(--(BB:BB="ПГП"),--(W:W="кг"),Y:Y)</f>
        <v>3112.8399999999997</v>
      </c>
      <c r="C279" s="60">
        <f>SUMPRODUCT(--(BB:BB="КИЗ"),--(W:W="кор"),H:H,Y:Y)+SUMPRODUCT(--(BB:BB="КИЗ"),--(W:W="кг"),Y:Y)</f>
        <v>0</v>
      </c>
    </row>
  </sheetData>
  <sheetProtection algorithmName="SHA-512" hashValue="OrU0yAoe0kmbfOzRmFYrjd1dcxkwKNiOI+a2yGzlyG12RAp8dk0bFsuXm68pbgh09f/+7nAfbBb2ZX50nCIHzw==" saltValue="1saXBKAcs3ZdrH8r89GlGg==" spinCount="100000" sheet="1" objects="1" scenarios="1" sort="0" autoFilter="0" pivotTables="0"/>
  <autoFilter ref="A18:AF27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742,00"/>
        <filter val="117,60"/>
        <filter val="12,00"/>
        <filter val="120,00"/>
        <filter val="126,00"/>
        <filter val="132,00"/>
        <filter val="14,00"/>
        <filter val="140,00"/>
        <filter val="147,00"/>
        <filter val="168,00"/>
        <filter val="180,00"/>
        <filter val="20"/>
        <filter val="216,00"/>
        <filter val="24,00"/>
        <filter val="240,00"/>
        <filter val="253,60"/>
        <filter val="28,00"/>
        <filter val="33,60"/>
        <filter val="36,00"/>
        <filter val="38,64"/>
        <filter val="389,76"/>
        <filter val="403,20"/>
        <filter val="42,00"/>
        <filter val="420,00"/>
        <filter val="453,60"/>
        <filter val="48,00"/>
        <filter val="50,40"/>
        <filter val="60,00"/>
        <filter val="600,00"/>
        <filter val="660,00"/>
        <filter val="672,00"/>
        <filter val="68,00"/>
        <filter val="7 814,44"/>
        <filter val="70,00"/>
        <filter val="72,00"/>
        <filter val="8 503,88"/>
        <filter val="80,64"/>
        <filter val="84,00"/>
        <filter val="840,00"/>
        <filter val="86,40"/>
        <filter val="9 003,88"/>
        <filter val="96,00"/>
        <filter val="98,00"/>
      </filters>
    </filterColumn>
    <filterColumn colId="29" showButton="0"/>
    <filterColumn colId="30" showButton="0"/>
  </autoFilter>
  <mergeCells count="484">
    <mergeCell ref="A8:C8"/>
    <mergeCell ref="P124:T124"/>
    <mergeCell ref="P163:V163"/>
    <mergeCell ref="D32:E32"/>
    <mergeCell ref="W274:W275"/>
    <mergeCell ref="D97:E97"/>
    <mergeCell ref="P151:T151"/>
    <mergeCell ref="P76:V76"/>
    <mergeCell ref="A10:C10"/>
    <mergeCell ref="D274:D275"/>
    <mergeCell ref="A21:Z21"/>
    <mergeCell ref="F274:F275"/>
    <mergeCell ref="D192:E192"/>
    <mergeCell ref="D173:E173"/>
    <mergeCell ref="D17:E18"/>
    <mergeCell ref="A131:Z131"/>
    <mergeCell ref="D123:E123"/>
    <mergeCell ref="X17:X18"/>
    <mergeCell ref="D250:E250"/>
    <mergeCell ref="V12:W12"/>
    <mergeCell ref="D262:E262"/>
    <mergeCell ref="B273:C273"/>
    <mergeCell ref="P25:T25"/>
    <mergeCell ref="A30:Z30"/>
    <mergeCell ref="U17:V17"/>
    <mergeCell ref="Y17:Y18"/>
    <mergeCell ref="AD17:AF18"/>
    <mergeCell ref="P167:V167"/>
    <mergeCell ref="P142:V142"/>
    <mergeCell ref="D101:E101"/>
    <mergeCell ref="A132:Z132"/>
    <mergeCell ref="A208:Z208"/>
    <mergeCell ref="A37:Z37"/>
    <mergeCell ref="D74:E74"/>
    <mergeCell ref="A203:Z203"/>
    <mergeCell ref="D68:E68"/>
    <mergeCell ref="P126:V126"/>
    <mergeCell ref="P24:T24"/>
    <mergeCell ref="P135:V135"/>
    <mergeCell ref="D179:E179"/>
    <mergeCell ref="D166:E166"/>
    <mergeCell ref="A17:A18"/>
    <mergeCell ref="K17:K18"/>
    <mergeCell ref="A189:Z189"/>
    <mergeCell ref="C17:C18"/>
    <mergeCell ref="F5:G5"/>
    <mergeCell ref="A221:Z221"/>
    <mergeCell ref="P186:T186"/>
    <mergeCell ref="A236:Z236"/>
    <mergeCell ref="V11:W11"/>
    <mergeCell ref="P75:T75"/>
    <mergeCell ref="P146:T146"/>
    <mergeCell ref="D223:E223"/>
    <mergeCell ref="P181:T181"/>
    <mergeCell ref="D23:E23"/>
    <mergeCell ref="A20:Z20"/>
    <mergeCell ref="P123:T123"/>
    <mergeCell ref="A112:Z112"/>
    <mergeCell ref="P66:V66"/>
    <mergeCell ref="A127:Z127"/>
    <mergeCell ref="A176:Z176"/>
    <mergeCell ref="A191:Z191"/>
    <mergeCell ref="A51:Z51"/>
    <mergeCell ref="A178:Z178"/>
    <mergeCell ref="H5:M5"/>
    <mergeCell ref="D6:M6"/>
    <mergeCell ref="A85:Z85"/>
    <mergeCell ref="P33:T33"/>
    <mergeCell ref="V6:W9"/>
    <mergeCell ref="P2:W3"/>
    <mergeCell ref="P133:T133"/>
    <mergeCell ref="P218:V218"/>
    <mergeCell ref="P198:T198"/>
    <mergeCell ref="P54:T54"/>
    <mergeCell ref="A43:Z43"/>
    <mergeCell ref="A170:Z170"/>
    <mergeCell ref="D10:E10"/>
    <mergeCell ref="P64:T64"/>
    <mergeCell ref="F10:G10"/>
    <mergeCell ref="D99:E99"/>
    <mergeCell ref="P128:T128"/>
    <mergeCell ref="N17:N18"/>
    <mergeCell ref="Q5:R5"/>
    <mergeCell ref="P199:T199"/>
    <mergeCell ref="F17:F18"/>
    <mergeCell ref="D107:E107"/>
    <mergeCell ref="Q6:R6"/>
    <mergeCell ref="P200:T200"/>
    <mergeCell ref="P134:T134"/>
    <mergeCell ref="D102:E102"/>
    <mergeCell ref="A204:Z204"/>
    <mergeCell ref="D196:E196"/>
    <mergeCell ref="D25:E25"/>
    <mergeCell ref="D33:E33"/>
    <mergeCell ref="A106:Z106"/>
    <mergeCell ref="A245:O246"/>
    <mergeCell ref="D249:E249"/>
    <mergeCell ref="P262:T262"/>
    <mergeCell ref="P263:T263"/>
    <mergeCell ref="D244:E244"/>
    <mergeCell ref="A251:O252"/>
    <mergeCell ref="P219:V219"/>
    <mergeCell ref="D133:E133"/>
    <mergeCell ref="D54:E54"/>
    <mergeCell ref="P158:V158"/>
    <mergeCell ref="A154:Z154"/>
    <mergeCell ref="P98:T98"/>
    <mergeCell ref="A214:Z214"/>
    <mergeCell ref="D146:E146"/>
    <mergeCell ref="P60:T60"/>
    <mergeCell ref="D239:E239"/>
    <mergeCell ref="A237:Z237"/>
    <mergeCell ref="A138:Z138"/>
    <mergeCell ref="P202:V202"/>
    <mergeCell ref="A222:Z222"/>
    <mergeCell ref="A137:Z137"/>
    <mergeCell ref="X273:Z273"/>
    <mergeCell ref="P187:V187"/>
    <mergeCell ref="P174:V174"/>
    <mergeCell ref="P102:T102"/>
    <mergeCell ref="A247:Z247"/>
    <mergeCell ref="A185:Z185"/>
    <mergeCell ref="P196:T196"/>
    <mergeCell ref="P266:V266"/>
    <mergeCell ref="P271:V271"/>
    <mergeCell ref="P265:V265"/>
    <mergeCell ref="P94:V94"/>
    <mergeCell ref="A90:Z90"/>
    <mergeCell ref="P46:T46"/>
    <mergeCell ref="A241:O242"/>
    <mergeCell ref="A227:Z227"/>
    <mergeCell ref="D200:E200"/>
    <mergeCell ref="P248:T248"/>
    <mergeCell ref="D75:E75"/>
    <mergeCell ref="P260:T260"/>
    <mergeCell ref="A206:O207"/>
    <mergeCell ref="D256:E256"/>
    <mergeCell ref="P120:V120"/>
    <mergeCell ref="P57:V57"/>
    <mergeCell ref="P184:V184"/>
    <mergeCell ref="A152:O153"/>
    <mergeCell ref="A143:Z143"/>
    <mergeCell ref="P242:V242"/>
    <mergeCell ref="A232:Z232"/>
    <mergeCell ref="P121:V121"/>
    <mergeCell ref="D80:E80"/>
    <mergeCell ref="A169:Z169"/>
    <mergeCell ref="P148:V148"/>
    <mergeCell ref="X274:X275"/>
    <mergeCell ref="Z274:Z275"/>
    <mergeCell ref="AA17:AA18"/>
    <mergeCell ref="H10:M10"/>
    <mergeCell ref="AC17:AC18"/>
    <mergeCell ref="A122:Z122"/>
    <mergeCell ref="P108:T108"/>
    <mergeCell ref="Y274:Y275"/>
    <mergeCell ref="A72:Z72"/>
    <mergeCell ref="P254:T254"/>
    <mergeCell ref="AA274:AA275"/>
    <mergeCell ref="P147:V147"/>
    <mergeCell ref="P45:T45"/>
    <mergeCell ref="P256:T256"/>
    <mergeCell ref="D128:E128"/>
    <mergeCell ref="H274:H275"/>
    <mergeCell ref="D199:E199"/>
    <mergeCell ref="AB17:AB18"/>
    <mergeCell ref="R274:R275"/>
    <mergeCell ref="P70:V70"/>
    <mergeCell ref="P103:V103"/>
    <mergeCell ref="A155:Z155"/>
    <mergeCell ref="P268:V268"/>
    <mergeCell ref="J274:J275"/>
    <mergeCell ref="J9:M9"/>
    <mergeCell ref="A65:O66"/>
    <mergeCell ref="P233:T233"/>
    <mergeCell ref="A56:O57"/>
    <mergeCell ref="D114:E114"/>
    <mergeCell ref="D64:E64"/>
    <mergeCell ref="A129:O130"/>
    <mergeCell ref="P157:V157"/>
    <mergeCell ref="P213:V213"/>
    <mergeCell ref="A209:Z209"/>
    <mergeCell ref="A38:Z38"/>
    <mergeCell ref="P28:V28"/>
    <mergeCell ref="A67:Z67"/>
    <mergeCell ref="P152:V152"/>
    <mergeCell ref="D140:E140"/>
    <mergeCell ref="H17:H18"/>
    <mergeCell ref="P161:T161"/>
    <mergeCell ref="P217:T217"/>
    <mergeCell ref="D198:E198"/>
    <mergeCell ref="P104:V104"/>
    <mergeCell ref="A157:O158"/>
    <mergeCell ref="A9:C9"/>
    <mergeCell ref="A59:Z59"/>
    <mergeCell ref="D186:E186"/>
    <mergeCell ref="P261:T261"/>
    <mergeCell ref="P241:V241"/>
    <mergeCell ref="P41:V41"/>
    <mergeCell ref="D181:E181"/>
    <mergeCell ref="P91:T91"/>
    <mergeCell ref="P156:T156"/>
    <mergeCell ref="P252:V252"/>
    <mergeCell ref="P56:V56"/>
    <mergeCell ref="D39:E39"/>
    <mergeCell ref="A160:Z160"/>
    <mergeCell ref="A125:O126"/>
    <mergeCell ref="P114:T114"/>
    <mergeCell ref="A220:Z220"/>
    <mergeCell ref="P139:T139"/>
    <mergeCell ref="P234:V234"/>
    <mergeCell ref="D217:E217"/>
    <mergeCell ref="A93:O94"/>
    <mergeCell ref="P40:T40"/>
    <mergeCell ref="P257:T257"/>
    <mergeCell ref="P80:T80"/>
    <mergeCell ref="P42:V42"/>
    <mergeCell ref="A63:Z63"/>
    <mergeCell ref="P225:V225"/>
    <mergeCell ref="D172:E172"/>
    <mergeCell ref="V5:W5"/>
    <mergeCell ref="D46:E46"/>
    <mergeCell ref="A224:O225"/>
    <mergeCell ref="D40:E40"/>
    <mergeCell ref="D233:E233"/>
    <mergeCell ref="P212:V212"/>
    <mergeCell ref="A34:O35"/>
    <mergeCell ref="A28:O29"/>
    <mergeCell ref="P69:T69"/>
    <mergeCell ref="Q8:R8"/>
    <mergeCell ref="P140:T140"/>
    <mergeCell ref="P83:V83"/>
    <mergeCell ref="A79:Z79"/>
    <mergeCell ref="A82:O83"/>
    <mergeCell ref="T6:U9"/>
    <mergeCell ref="Q10:R10"/>
    <mergeCell ref="A13:M13"/>
    <mergeCell ref="A230:O231"/>
    <mergeCell ref="P115:T115"/>
    <mergeCell ref="P231:V231"/>
    <mergeCell ref="A15:M15"/>
    <mergeCell ref="A61:O62"/>
    <mergeCell ref="P229:T229"/>
    <mergeCell ref="P179:T179"/>
    <mergeCell ref="AB274:AB275"/>
    <mergeCell ref="A201:O202"/>
    <mergeCell ref="D52:E52"/>
    <mergeCell ref="P110:V110"/>
    <mergeCell ref="D27:E27"/>
    <mergeCell ref="P15:T16"/>
    <mergeCell ref="D273:U273"/>
    <mergeCell ref="D116:E116"/>
    <mergeCell ref="A177:Z177"/>
    <mergeCell ref="D91:E91"/>
    <mergeCell ref="P23:T23"/>
    <mergeCell ref="A164:Z164"/>
    <mergeCell ref="I274:I275"/>
    <mergeCell ref="P210:T210"/>
    <mergeCell ref="A266:O271"/>
    <mergeCell ref="D156:E156"/>
    <mergeCell ref="A41:O42"/>
    <mergeCell ref="A195:Z195"/>
    <mergeCell ref="P65:V65"/>
    <mergeCell ref="P136:V136"/>
    <mergeCell ref="A135:O136"/>
    <mergeCell ref="A253:Z253"/>
    <mergeCell ref="P74:T74"/>
    <mergeCell ref="A190:Z190"/>
    <mergeCell ref="A12:M12"/>
    <mergeCell ref="A19:Z19"/>
    <mergeCell ref="D182:E182"/>
    <mergeCell ref="A14:M14"/>
    <mergeCell ref="A111:Z111"/>
    <mergeCell ref="D119:E119"/>
    <mergeCell ref="D248:E248"/>
    <mergeCell ref="A141:O142"/>
    <mergeCell ref="P211:T211"/>
    <mergeCell ref="D86:E86"/>
    <mergeCell ref="D151:E151"/>
    <mergeCell ref="P107:T107"/>
    <mergeCell ref="P129:V129"/>
    <mergeCell ref="P101:T101"/>
    <mergeCell ref="P194:V194"/>
    <mergeCell ref="A103:O104"/>
    <mergeCell ref="Q13:R13"/>
    <mergeCell ref="P22:T22"/>
    <mergeCell ref="P29:V29"/>
    <mergeCell ref="P27:T27"/>
    <mergeCell ref="G17:G18"/>
    <mergeCell ref="Z17:Z18"/>
    <mergeCell ref="P26:T26"/>
    <mergeCell ref="P71:V71"/>
    <mergeCell ref="Q9:R9"/>
    <mergeCell ref="P267:V267"/>
    <mergeCell ref="D255:E255"/>
    <mergeCell ref="P49:V49"/>
    <mergeCell ref="A159:Z159"/>
    <mergeCell ref="D24:E24"/>
    <mergeCell ref="Q11:R11"/>
    <mergeCell ref="P205:T205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D180:E180"/>
    <mergeCell ref="D9:E9"/>
    <mergeCell ref="P197:T197"/>
    <mergeCell ref="A183:O184"/>
    <mergeCell ref="D118:E118"/>
    <mergeCell ref="P53:T53"/>
    <mergeCell ref="F9:G9"/>
    <mergeCell ref="P258:T258"/>
    <mergeCell ref="P223:T223"/>
    <mergeCell ref="P52:T52"/>
    <mergeCell ref="P201:V201"/>
    <mergeCell ref="A238:Z238"/>
    <mergeCell ref="D22:E22"/>
    <mergeCell ref="M17:M18"/>
    <mergeCell ref="O17:O18"/>
    <mergeCell ref="L274:L275"/>
    <mergeCell ref="P270:V270"/>
    <mergeCell ref="A95:Z95"/>
    <mergeCell ref="G274:G275"/>
    <mergeCell ref="A274:A275"/>
    <mergeCell ref="D161:E161"/>
    <mergeCell ref="P239:T239"/>
    <mergeCell ref="P68:T68"/>
    <mergeCell ref="P82:V82"/>
    <mergeCell ref="A44:Z44"/>
    <mergeCell ref="A31:Z31"/>
    <mergeCell ref="D257:E257"/>
    <mergeCell ref="Q274:Q275"/>
    <mergeCell ref="D254:E254"/>
    <mergeCell ref="P274:P275"/>
    <mergeCell ref="S274:S275"/>
    <mergeCell ref="A50:Z50"/>
    <mergeCell ref="A264:O265"/>
    <mergeCell ref="W17:W18"/>
    <mergeCell ref="A150:Z150"/>
    <mergeCell ref="P182:T182"/>
    <mergeCell ref="Q12:R12"/>
    <mergeCell ref="D261:E261"/>
    <mergeCell ref="P119:T119"/>
    <mergeCell ref="AD274:AD275"/>
    <mergeCell ref="L17:L18"/>
    <mergeCell ref="D240:E240"/>
    <mergeCell ref="P48:V48"/>
    <mergeCell ref="P255:T255"/>
    <mergeCell ref="A171:Z171"/>
    <mergeCell ref="A165:Z165"/>
    <mergeCell ref="P125:V125"/>
    <mergeCell ref="P192:T192"/>
    <mergeCell ref="D100:E100"/>
    <mergeCell ref="P113:T113"/>
    <mergeCell ref="P17:T18"/>
    <mergeCell ref="P250:T250"/>
    <mergeCell ref="A167:O168"/>
    <mergeCell ref="D229:E229"/>
    <mergeCell ref="D108:E108"/>
    <mergeCell ref="D139:E139"/>
    <mergeCell ref="P251:V251"/>
    <mergeCell ref="A228:Z228"/>
    <mergeCell ref="A212:O213"/>
    <mergeCell ref="I17:I18"/>
    <mergeCell ref="AC274:AC275"/>
    <mergeCell ref="A48:O49"/>
    <mergeCell ref="P34:V34"/>
    <mergeCell ref="D259:E259"/>
    <mergeCell ref="A174:O175"/>
    <mergeCell ref="D117:E117"/>
    <mergeCell ref="D92:E92"/>
    <mergeCell ref="D55:E55"/>
    <mergeCell ref="T274:T275"/>
    <mergeCell ref="V274:V275"/>
    <mergeCell ref="D258:E258"/>
    <mergeCell ref="P99:T99"/>
    <mergeCell ref="P145:T145"/>
    <mergeCell ref="D197:E197"/>
    <mergeCell ref="D53:E53"/>
    <mergeCell ref="D47:E47"/>
    <mergeCell ref="A84:Z84"/>
    <mergeCell ref="A149:Z149"/>
    <mergeCell ref="A193:O194"/>
    <mergeCell ref="D1:F1"/>
    <mergeCell ref="P47:T47"/>
    <mergeCell ref="P235:V235"/>
    <mergeCell ref="P207:V207"/>
    <mergeCell ref="D124:E124"/>
    <mergeCell ref="P81:T81"/>
    <mergeCell ref="V10:W10"/>
    <mergeCell ref="D5:E5"/>
    <mergeCell ref="K274:K275"/>
    <mergeCell ref="U274:U275"/>
    <mergeCell ref="M274:M275"/>
    <mergeCell ref="O274:O275"/>
    <mergeCell ref="P259:T259"/>
    <mergeCell ref="D69:E69"/>
    <mergeCell ref="A109:O110"/>
    <mergeCell ref="P175:V175"/>
    <mergeCell ref="P240:T240"/>
    <mergeCell ref="P162:V162"/>
    <mergeCell ref="P264:V264"/>
    <mergeCell ref="P93:V93"/>
    <mergeCell ref="B274:B275"/>
    <mergeCell ref="P269:V269"/>
    <mergeCell ref="A216:Z216"/>
    <mergeCell ref="P35:V35"/>
    <mergeCell ref="R1:T1"/>
    <mergeCell ref="A218:O219"/>
    <mergeCell ref="D98:E98"/>
    <mergeCell ref="D73:E73"/>
    <mergeCell ref="P77:V77"/>
    <mergeCell ref="A76:O77"/>
    <mergeCell ref="A147:O148"/>
    <mergeCell ref="P141:V141"/>
    <mergeCell ref="P206:V206"/>
    <mergeCell ref="A58:Z58"/>
    <mergeCell ref="P168:V168"/>
    <mergeCell ref="B17:B18"/>
    <mergeCell ref="D7:M7"/>
    <mergeCell ref="P173:T173"/>
    <mergeCell ref="P100:T100"/>
    <mergeCell ref="D81:E81"/>
    <mergeCell ref="D8:M8"/>
    <mergeCell ref="J17:J18"/>
    <mergeCell ref="P61:V61"/>
    <mergeCell ref="A6:C6"/>
    <mergeCell ref="H1:Q1"/>
    <mergeCell ref="P109:V109"/>
    <mergeCell ref="P193:V193"/>
    <mergeCell ref="P39:T39"/>
    <mergeCell ref="A5:C5"/>
    <mergeCell ref="T5:U5"/>
    <mergeCell ref="D60:E60"/>
    <mergeCell ref="P244:T244"/>
    <mergeCell ref="P73:T73"/>
    <mergeCell ref="P87:V87"/>
    <mergeCell ref="P245:V245"/>
    <mergeCell ref="A144:Z144"/>
    <mergeCell ref="A215:Z215"/>
    <mergeCell ref="A120:O121"/>
    <mergeCell ref="P92:T92"/>
    <mergeCell ref="A243:Z243"/>
    <mergeCell ref="P166:T166"/>
    <mergeCell ref="A89:Z89"/>
    <mergeCell ref="P188:V188"/>
    <mergeCell ref="A187:O188"/>
    <mergeCell ref="P116:T116"/>
    <mergeCell ref="A105:Z105"/>
    <mergeCell ref="A162:O163"/>
    <mergeCell ref="P32:T32"/>
    <mergeCell ref="P97:T97"/>
    <mergeCell ref="D211:E211"/>
    <mergeCell ref="P130:V130"/>
    <mergeCell ref="D145:E145"/>
    <mergeCell ref="C274:C275"/>
    <mergeCell ref="E274:E275"/>
    <mergeCell ref="H9:I9"/>
    <mergeCell ref="D45:E45"/>
    <mergeCell ref="P224:V224"/>
    <mergeCell ref="A36:Z36"/>
    <mergeCell ref="P88:V88"/>
    <mergeCell ref="A78:Z78"/>
    <mergeCell ref="P153:V153"/>
    <mergeCell ref="D263:E263"/>
    <mergeCell ref="A70:O71"/>
    <mergeCell ref="P86:T86"/>
    <mergeCell ref="D134:E134"/>
    <mergeCell ref="D205:E205"/>
    <mergeCell ref="P249:T249"/>
    <mergeCell ref="A87:O88"/>
    <mergeCell ref="P172:T172"/>
    <mergeCell ref="P230:V230"/>
    <mergeCell ref="A234:O235"/>
    <mergeCell ref="P183:V183"/>
    <mergeCell ref="P62:V62"/>
    <mergeCell ref="P246:V246"/>
    <mergeCell ref="D210:E210"/>
    <mergeCell ref="A226:Z2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4 X117 X123 X128 X139 X145:X146 X156 X161 X172 X182 X186 X196:X200 X210:X211 X217 X229 X233 X239 X250 X254 X257:X26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3 X115:X116 X118:X119 X124 X133 X140 X151 X166 X173 X179:X181 X192 X205 X223 X240 X244 X248:X249 X255:X256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52"/>
    </row>
    <row r="3" spans="2:8" x14ac:dyDescent="0.2">
      <c r="B3" s="47" t="s">
        <v>378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379</v>
      </c>
      <c r="D6" s="47" t="s">
        <v>380</v>
      </c>
      <c r="E6" s="47"/>
    </row>
    <row r="8" spans="2:8" x14ac:dyDescent="0.2">
      <c r="B8" s="47" t="s">
        <v>19</v>
      </c>
      <c r="C8" s="47" t="s">
        <v>379</v>
      </c>
      <c r="D8" s="47"/>
      <c r="E8" s="47"/>
    </row>
    <row r="10" spans="2:8" x14ac:dyDescent="0.2">
      <c r="B10" s="47" t="s">
        <v>381</v>
      </c>
      <c r="C10" s="47"/>
      <c r="D10" s="47"/>
      <c r="E10" s="47"/>
    </row>
    <row r="11" spans="2:8" x14ac:dyDescent="0.2">
      <c r="B11" s="47" t="s">
        <v>382</v>
      </c>
      <c r="C11" s="47"/>
      <c r="D11" s="47"/>
      <c r="E11" s="47"/>
    </row>
    <row r="12" spans="2:8" x14ac:dyDescent="0.2">
      <c r="B12" s="47" t="s">
        <v>383</v>
      </c>
      <c r="C12" s="47"/>
      <c r="D12" s="47"/>
      <c r="E12" s="47"/>
    </row>
    <row r="13" spans="2:8" x14ac:dyDescent="0.2">
      <c r="B13" s="47" t="s">
        <v>384</v>
      </c>
      <c r="C13" s="47"/>
      <c r="D13" s="47"/>
      <c r="E13" s="47"/>
    </row>
    <row r="14" spans="2:8" x14ac:dyDescent="0.2">
      <c r="B14" s="47" t="s">
        <v>385</v>
      </c>
      <c r="C14" s="47"/>
      <c r="D14" s="47"/>
      <c r="E14" s="47"/>
    </row>
    <row r="15" spans="2:8" x14ac:dyDescent="0.2">
      <c r="B15" s="47" t="s">
        <v>386</v>
      </c>
      <c r="C15" s="47"/>
      <c r="D15" s="47"/>
      <c r="E15" s="47"/>
    </row>
    <row r="16" spans="2:8" x14ac:dyDescent="0.2">
      <c r="B16" s="47" t="s">
        <v>387</v>
      </c>
      <c r="C16" s="47"/>
      <c r="D16" s="47"/>
      <c r="E16" s="47"/>
    </row>
    <row r="17" spans="2:5" x14ac:dyDescent="0.2">
      <c r="B17" s="47" t="s">
        <v>388</v>
      </c>
      <c r="C17" s="47"/>
      <c r="D17" s="47"/>
      <c r="E17" s="47"/>
    </row>
    <row r="18" spans="2:5" x14ac:dyDescent="0.2">
      <c r="B18" s="47" t="s">
        <v>389</v>
      </c>
      <c r="C18" s="47"/>
      <c r="D18" s="47"/>
      <c r="E18" s="47"/>
    </row>
    <row r="19" spans="2:5" x14ac:dyDescent="0.2">
      <c r="B19" s="47" t="s">
        <v>390</v>
      </c>
      <c r="C19" s="47"/>
      <c r="D19" s="47"/>
      <c r="E19" s="47"/>
    </row>
    <row r="20" spans="2:5" x14ac:dyDescent="0.2">
      <c r="B20" s="47" t="s">
        <v>391</v>
      </c>
      <c r="C20" s="47"/>
      <c r="D20" s="47"/>
      <c r="E20" s="47"/>
    </row>
  </sheetData>
  <sheetProtection algorithmName="SHA-512" hashValue="6KN5EOLjnWHRqEqw/l9k+rkjQf6PWaQLZX5Aa/ygOQnRkqgw2f38eVR/w2VioDqBRigJL1SDE0Cyr19mkklY1Q==" saltValue="CBrohds+WZ82CV1xxaDaz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413</vt:i4>
      </vt:variant>
    </vt:vector>
  </HeadingPairs>
  <TitlesOfParts>
    <vt:vector size="41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2026-01-16T13:21:09Z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