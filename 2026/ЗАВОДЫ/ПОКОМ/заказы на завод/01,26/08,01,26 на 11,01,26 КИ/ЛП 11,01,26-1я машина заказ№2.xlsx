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814949D-90EC-49FC-8C36-9A41B4C89F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U506" i="1" s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N293" i="1"/>
  <c r="BM293" i="1"/>
  <c r="Z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BP287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BP167" i="1" s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8" i="1" s="1"/>
  <c r="BM22" i="1"/>
  <c r="Y22" i="1"/>
  <c r="B506" i="1" s="1"/>
  <c r="P22" i="1"/>
  <c r="H10" i="1"/>
  <c r="A9" i="1"/>
  <c r="F10" i="1" s="1"/>
  <c r="D7" i="1"/>
  <c r="Q6" i="1"/>
  <c r="P2" i="1"/>
  <c r="BP74" i="1" l="1"/>
  <c r="BN74" i="1"/>
  <c r="Z74" i="1"/>
  <c r="BP108" i="1"/>
  <c r="BN108" i="1"/>
  <c r="Z108" i="1"/>
  <c r="BP150" i="1"/>
  <c r="BN150" i="1"/>
  <c r="Z150" i="1"/>
  <c r="BP184" i="1"/>
  <c r="BN184" i="1"/>
  <c r="Z184" i="1"/>
  <c r="BP218" i="1"/>
  <c r="BN218" i="1"/>
  <c r="Z218" i="1"/>
  <c r="BP241" i="1"/>
  <c r="BN241" i="1"/>
  <c r="Z241" i="1"/>
  <c r="BP282" i="1"/>
  <c r="BN282" i="1"/>
  <c r="Z282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Z27" i="1"/>
  <c r="BN27" i="1"/>
  <c r="Z43" i="1"/>
  <c r="BN43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BP174" i="1"/>
  <c r="BN174" i="1"/>
  <c r="Z174" i="1"/>
  <c r="BP207" i="1"/>
  <c r="BN207" i="1"/>
  <c r="Z207" i="1"/>
  <c r="BP228" i="1"/>
  <c r="BN228" i="1"/>
  <c r="Z228" i="1"/>
  <c r="BP266" i="1"/>
  <c r="BN266" i="1"/>
  <c r="Z266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X497" i="1"/>
  <c r="X499" i="1" s="1"/>
  <c r="Z23" i="1"/>
  <c r="BN23" i="1"/>
  <c r="X496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Z72" i="1"/>
  <c r="BN72" i="1"/>
  <c r="Z80" i="1"/>
  <c r="BN80" i="1"/>
  <c r="Z85" i="1"/>
  <c r="BN85" i="1"/>
  <c r="Z93" i="1"/>
  <c r="BN93" i="1"/>
  <c r="Z100" i="1"/>
  <c r="BN100" i="1"/>
  <c r="Z104" i="1"/>
  <c r="BN104" i="1"/>
  <c r="Y112" i="1"/>
  <c r="Z110" i="1"/>
  <c r="BN110" i="1"/>
  <c r="Z118" i="1"/>
  <c r="BN118" i="1"/>
  <c r="Z133" i="1"/>
  <c r="BN133" i="1"/>
  <c r="Y139" i="1"/>
  <c r="Z144" i="1"/>
  <c r="BN144" i="1"/>
  <c r="Z148" i="1"/>
  <c r="BN148" i="1"/>
  <c r="Z152" i="1"/>
  <c r="BN152" i="1"/>
  <c r="Z167" i="1"/>
  <c r="BN167" i="1"/>
  <c r="Z168" i="1"/>
  <c r="BN168" i="1"/>
  <c r="Z172" i="1"/>
  <c r="BN172" i="1"/>
  <c r="Z176" i="1"/>
  <c r="BN176" i="1"/>
  <c r="Z180" i="1"/>
  <c r="BN180" i="1"/>
  <c r="Z186" i="1"/>
  <c r="BN186" i="1"/>
  <c r="Z201" i="1"/>
  <c r="BN201" i="1"/>
  <c r="Z205" i="1"/>
  <c r="BN205" i="1"/>
  <c r="Z209" i="1"/>
  <c r="BN209" i="1"/>
  <c r="Z216" i="1"/>
  <c r="BN216" i="1"/>
  <c r="Z220" i="1"/>
  <c r="BN220" i="1"/>
  <c r="Z224" i="1"/>
  <c r="BN224" i="1"/>
  <c r="Z235" i="1"/>
  <c r="BN235" i="1"/>
  <c r="Z239" i="1"/>
  <c r="BN239" i="1"/>
  <c r="Z255" i="1"/>
  <c r="BN255" i="1"/>
  <c r="Z264" i="1"/>
  <c r="BN264" i="1"/>
  <c r="Z273" i="1"/>
  <c r="BN273" i="1"/>
  <c r="Z280" i="1"/>
  <c r="BN280" i="1"/>
  <c r="Z287" i="1"/>
  <c r="BN287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Y340" i="1"/>
  <c r="Y339" i="1"/>
  <c r="Y420" i="1"/>
  <c r="Y449" i="1"/>
  <c r="Y448" i="1"/>
  <c r="Y489" i="1"/>
  <c r="H9" i="1"/>
  <c r="A10" i="1"/>
  <c r="Y24" i="1"/>
  <c r="Y32" i="1"/>
  <c r="Y44" i="1"/>
  <c r="Y59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BP88" i="1"/>
  <c r="BN88" i="1"/>
  <c r="Z88" i="1"/>
  <c r="Y90" i="1"/>
  <c r="Y97" i="1"/>
  <c r="BP92" i="1"/>
  <c r="BN92" i="1"/>
  <c r="Z92" i="1"/>
  <c r="Y96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8" i="1" l="1"/>
  <c r="Z383" i="1"/>
  <c r="Z363" i="1"/>
  <c r="Z230" i="1"/>
  <c r="Z304" i="1"/>
  <c r="Z134" i="1"/>
  <c r="Z105" i="1"/>
  <c r="Z457" i="1"/>
  <c r="Z225" i="1"/>
  <c r="Z213" i="1"/>
  <c r="Z76" i="1"/>
  <c r="Z420" i="1"/>
  <c r="Z408" i="1"/>
  <c r="Z358" i="1"/>
  <c r="Z320" i="1"/>
  <c r="Z480" i="1"/>
  <c r="Z368" i="1"/>
  <c r="Z202" i="1"/>
  <c r="Z181" i="1"/>
  <c r="Z145" i="1"/>
  <c r="Z96" i="1"/>
  <c r="Z81" i="1"/>
  <c r="Z64" i="1"/>
  <c r="Z58" i="1"/>
  <c r="Z32" i="1"/>
  <c r="Z346" i="1"/>
  <c r="Z187" i="1"/>
  <c r="Z154" i="1"/>
  <c r="Z89" i="1"/>
  <c r="Z442" i="1"/>
  <c r="Z276" i="1"/>
  <c r="Z268" i="1"/>
  <c r="Z259" i="1"/>
  <c r="Y497" i="1"/>
  <c r="Z313" i="1"/>
  <c r="Z119" i="1"/>
  <c r="Z403" i="1"/>
  <c r="Z470" i="1"/>
  <c r="Z326" i="1"/>
  <c r="Z243" i="1"/>
  <c r="Y496" i="1"/>
  <c r="Y498" i="1"/>
  <c r="Y500" i="1"/>
  <c r="Z501" i="1" l="1"/>
  <c r="Y499" i="1"/>
</calcChain>
</file>

<file path=xl/sharedStrings.xml><?xml version="1.0" encoding="utf-8"?>
<sst xmlns="http://schemas.openxmlformats.org/spreadsheetml/2006/main" count="2278" uniqueCount="785">
  <si>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</si>
  <si>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</si>
  <si>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</si>
  <si>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</si>
  <si>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</si>
  <si>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</si>
  <si>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</si>
  <si>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</si>
  <si>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</si>
  <si>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</si>
  <si>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</si>
  <si>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</si>
  <si>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</si>
  <si>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</si>
  <si>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</si>
  <si>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</si>
  <si>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</si>
  <si>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</si>
  <si>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</si>
  <si>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</si>
  <si>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</si>
  <si>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</si>
  <si>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</si>
  <si>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</si>
  <si>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</si>
  <si>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</si>
  <si>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</si>
  <si>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</si>
  <si>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</si>
  <si>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</si>
  <si>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</si>
  <si>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</si>
  <si>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</si>
  <si>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</si>
  <si>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</si>
  <si>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</si>
  <si>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</si>
  <si>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</si>
  <si>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</si>
  <si>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</si>
  <si>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</si>
  <si>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</si>
  <si>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</si>
  <si>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</si>
  <si>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</si>
  <si>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</si>
  <si>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</si>
  <si>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</si>
  <si>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</si>
  <si>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</si>
  <si>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</si>
  <si>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</si>
  <si>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</si>
  <si>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</si>
  <si>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</si>
  <si>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</si>
  <si>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</si>
  <si>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</si>
  <si>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</si>
  <si>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</si>
  <si>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</si>
  <si>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</si>
  <si>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</si>
  <si>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</si>
  <si>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</si>
  <si>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</si>
  <si>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</si>
  <si>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</si>
  <si>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</si>
  <si>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</si>
  <si>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</si>
  <si>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</si>
  <si>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</si>
  <si>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</si>
  <si>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</si>
  <si>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</si>
  <si>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</si>
  <si>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</si>
  <si>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</si>
  <si>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</si>
  <si>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</si>
  <si>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</si>
  <si>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Д-RU.РА10.В.84355/25, ЕАЭС N RU Д-RU.РА11.В.72353/25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</si>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</sst>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46033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Воскресенье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0.375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70</v>
      </c>
      <c r="Y41" s="556">
        <f>IFERROR(IF(X41="",0,CEILING((X41/$H41),1)*$H41),"")</f>
        <v>75.600000000000009</v>
      </c>
      <c r="Z41" s="36">
        <f>IFERROR(IF(Y41=0,"",ROUNDUP(Y41/H41,0)*0.01898),"")</f>
        <v>0.13286000000000001</v>
      </c>
      <c r="AA41" s="56"/>
      <c r="AB41" s="57"/>
      <c r="AC41" s="85" t="s">
        <v>109</v>
      </c>
      <c r="AG41" s="64"/>
      <c r="AJ41" s="68" t="s">
        <v>83</v>
      </c>
      <c r="AK41" s="68">
        <v>86.4</v>
      </c>
      <c r="BB41" s="86" t="s">
        <v>1</v>
      </c>
      <c r="BM41" s="64">
        <f>IFERROR(X41*I41/H41,"0")</f>
        <v>72.657407407407405</v>
      </c>
      <c r="BN41" s="64">
        <f>IFERROR(Y41*I41/H41,"0")</f>
        <v>78.47</v>
      </c>
      <c r="BO41" s="64">
        <f>IFERROR(1/J41*(X41/H41),"0")</f>
        <v>0.10127314814814814</v>
      </c>
      <c r="BP41" s="64">
        <f>IFERROR(1/J41*(Y41/H41),"0")</f>
        <v>0.109375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81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81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83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6.481481481481481</v>
      </c>
      <c r="Y44" s="557">
        <f>IFERROR(Y41/H41,"0")+IFERROR(Y42/H42,"0")+IFERROR(Y43/H43,"0")</f>
        <v>7</v>
      </c>
      <c r="Z44" s="557">
        <f>IFERROR(IF(Z41="",0,Z41),"0")+IFERROR(IF(Z42="",0,Z42),"0")+IFERROR(IF(Z43="",0,Z43),"0")</f>
        <v>0.13286000000000001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70</v>
      </c>
      <c r="Y45" s="557">
        <f>IFERROR(SUM(Y41:Y43),"0")</f>
        <v>75.600000000000009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50</v>
      </c>
      <c r="Y53" s="55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51.898148148148145</v>
      </c>
      <c r="BN53" s="64">
        <f t="shared" si="2"/>
        <v>56.05</v>
      </c>
      <c r="BO53" s="64">
        <f t="shared" si="3"/>
        <v>7.2337962962962965E-2</v>
      </c>
      <c r="BP53" s="64">
        <f t="shared" si="4"/>
        <v>7.8125E-2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 t="s">
        <v>115</v>
      </c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45</v>
      </c>
      <c r="Y57" s="55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137</v>
      </c>
      <c r="AG57" s="64"/>
      <c r="AJ57" s="68" t="s">
        <v>83</v>
      </c>
      <c r="AK57" s="68">
        <v>54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14.62962962962963</v>
      </c>
      <c r="Y58" s="557">
        <f>IFERROR(Y52/H52,"0")+IFERROR(Y53/H53,"0")+IFERROR(Y54/H54,"0")+IFERROR(Y55/H55,"0")+IFERROR(Y56/H56,"0")+IFERROR(Y57/H57,"0")</f>
        <v>15</v>
      </c>
      <c r="Z58" s="557">
        <f>IFERROR(IF(Z52="",0,Z52),"0")+IFERROR(IF(Z53="",0,Z53),"0")+IFERROR(IF(Z54="",0,Z54),"0")+IFERROR(IF(Z55="",0,Z55),"0")+IFERROR(IF(Z56="",0,Z56),"0")+IFERROR(IF(Z57="",0,Z57),"0")</f>
        <v>0.18509999999999999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95</v>
      </c>
      <c r="Y59" s="557">
        <f>IFERROR(SUM(Y52:Y57),"0")</f>
        <v>99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/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20</v>
      </c>
      <c r="Y61" s="556">
        <f>IFERROR(IF(X61="",0,CEILING((X61/$H61),1)*$H61),"")</f>
        <v>21.6</v>
      </c>
      <c r="Z61" s="36">
        <f>IFERROR(IF(Y61=0,"",ROUNDUP(Y61/H61,0)*0.01898),"")</f>
        <v>3.7960000000000001E-2</v>
      </c>
      <c r="AA61" s="56"/>
      <c r="AB61" s="57"/>
      <c r="AC61" s="105" t="s">
        <v>141</v>
      </c>
      <c r="AG61" s="64"/>
      <c r="AJ61" s="68"/>
      <c r="AK61" s="68">
        <v>0</v>
      </c>
      <c r="BB61" s="106" t="s">
        <v>1</v>
      </c>
      <c r="BM61" s="64">
        <f>IFERROR(X61*I61/H61,"0")</f>
        <v>20.75925925925926</v>
      </c>
      <c r="BN61" s="64">
        <f>IFERROR(Y61*I61/H61,"0")</f>
        <v>22.42</v>
      </c>
      <c r="BO61" s="64">
        <f>IFERROR(1/J61*(X61/H61),"0")</f>
        <v>2.8935185185185182E-2</v>
      </c>
      <c r="BP61" s="64">
        <f>IFERROR(1/J61*(Y61/H61),"0")</f>
        <v>3.125E-2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 t="s">
        <v>80</v>
      </c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 t="s">
        <v>83</v>
      </c>
      <c r="AK63" s="68">
        <v>37.799999999999997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1.8518518518518516</v>
      </c>
      <c r="Y64" s="557">
        <f>IFERROR(Y61/H61,"0")+IFERROR(Y62/H62,"0")+IFERROR(Y63/H63,"0")</f>
        <v>2</v>
      </c>
      <c r="Z64" s="557">
        <f>IFERROR(IF(Z61="",0,Z61),"0")+IFERROR(IF(Z62="",0,Z62),"0")+IFERROR(IF(Z63="",0,Z63),"0")</f>
        <v>3.7960000000000001E-2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20</v>
      </c>
      <c r="Y65" s="557">
        <f>IFERROR(SUM(Y61:Y63),"0")</f>
        <v>21.6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81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/>
      <c r="M79" s="33" t="s">
        <v>88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/>
      <c r="M80" s="33" t="s">
        <v>81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88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83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81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27</v>
      </c>
      <c r="Y88" s="556">
        <f>IFERROR(IF(X88="",0,CEILING((X88/$H88),1)*$H88),"")</f>
        <v>27</v>
      </c>
      <c r="Z88" s="36">
        <f>IFERROR(IF(Y88=0,"",ROUNDUP(Y88/H88,0)*0.00902),"")</f>
        <v>5.4120000000000001E-2</v>
      </c>
      <c r="AA88" s="56"/>
      <c r="AB88" s="57"/>
      <c r="AC88" s="133" t="s">
        <v>173</v>
      </c>
      <c r="AG88" s="64"/>
      <c r="AJ88" s="68" t="s">
        <v>83</v>
      </c>
      <c r="AK88" s="68">
        <v>54</v>
      </c>
      <c r="BB88" s="134" t="s">
        <v>1</v>
      </c>
      <c r="BM88" s="64">
        <f>IFERROR(X88*I88/H88,"0")</f>
        <v>28.14</v>
      </c>
      <c r="BN88" s="64">
        <f>IFERROR(Y88*I88/H88,"0")</f>
        <v>28.14</v>
      </c>
      <c r="BO88" s="64">
        <f>IFERROR(1/J88*(X88/H88),"0")</f>
        <v>4.5454545454545456E-2</v>
      </c>
      <c r="BP88" s="64">
        <f>IFERROR(1/J88*(Y88/H88),"0")</f>
        <v>4.5454545454545456E-2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6</v>
      </c>
      <c r="Y89" s="557">
        <f>IFERROR(Y85/H85,"0")+IFERROR(Y86/H86,"0")+IFERROR(Y87/H87,"0")+IFERROR(Y88/H88,"0")</f>
        <v>6</v>
      </c>
      <c r="Z89" s="557">
        <f>IFERROR(IF(Z85="",0,Z85),"0")+IFERROR(IF(Z86="",0,Z86),"0")+IFERROR(IF(Z87="",0,Z87),"0")+IFERROR(IF(Z88="",0,Z88),"0")</f>
        <v>5.4120000000000001E-2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27</v>
      </c>
      <c r="Y90" s="557">
        <f>IFERROR(SUM(Y85:Y88),"0")</f>
        <v>27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/>
      <c r="M92" s="33" t="s">
        <v>88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30</v>
      </c>
      <c r="Y92" s="556">
        <f>IFERROR(IF(X92="",0,CEILING((X92/$H92),1)*$H92),"")</f>
        <v>32.4</v>
      </c>
      <c r="Z92" s="36">
        <f>IFERROR(IF(Y92=0,"",ROUNDUP(Y92/H92,0)*0.01898),"")</f>
        <v>7.5920000000000001E-2</v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31.829629629629629</v>
      </c>
      <c r="BN92" s="64">
        <f>IFERROR(Y92*I92/H92,"0")</f>
        <v>34.375999999999998</v>
      </c>
      <c r="BO92" s="64">
        <f>IFERROR(1/J92*(X92/H92),"0")</f>
        <v>5.7870370370370371E-2</v>
      </c>
      <c r="BP92" s="64">
        <f>IFERROR(1/J92*(Y92/H92),"0")</f>
        <v>6.25E-2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10.8</v>
      </c>
      <c r="Y94" s="556">
        <f>IFERROR(IF(X94="",0,CEILING((X94/$H94),1)*$H94),"")</f>
        <v>10.8</v>
      </c>
      <c r="Z94" s="36">
        <f>IFERROR(IF(Y94=0,"",ROUNDUP(Y94/H94,0)*0.00651),"")</f>
        <v>2.6040000000000001E-2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11.808</v>
      </c>
      <c r="BN94" s="64">
        <f>IFERROR(Y94*I94/H94,"0")</f>
        <v>11.808</v>
      </c>
      <c r="BO94" s="64">
        <f>IFERROR(1/J94*(X94/H94),"0")</f>
        <v>2.197802197802198E-2</v>
      </c>
      <c r="BP94" s="64">
        <f>IFERROR(1/J94*(Y94/H94),"0")</f>
        <v>2.197802197802198E-2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7.7037037037037042</v>
      </c>
      <c r="Y96" s="557">
        <f>IFERROR(Y92/H92,"0")+IFERROR(Y93/H93,"0")+IFERROR(Y94/H94,"0")+IFERROR(Y95/H95,"0")</f>
        <v>8</v>
      </c>
      <c r="Z96" s="557">
        <f>IFERROR(IF(Z92="",0,Z92),"0")+IFERROR(IF(Z93="",0,Z93),"0")+IFERROR(IF(Z94="",0,Z94),"0")+IFERROR(IF(Z95="",0,Z95),"0")</f>
        <v>0.10196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40.799999999999997</v>
      </c>
      <c r="Y97" s="557">
        <f>IFERROR(SUM(Y92:Y95),"0")</f>
        <v>43.2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83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/>
      <c r="M102" s="33" t="s">
        <v>81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81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83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81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/>
      <c r="M115" s="33" t="s">
        <v>88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100</v>
      </c>
      <c r="Y115" s="556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/>
      <c r="AK115" s="68">
        <v>0</v>
      </c>
      <c r="BB115" s="162" t="s">
        <v>1</v>
      </c>
      <c r="BM115" s="64">
        <f>IFERROR(X115*I115/H115,"0")</f>
        <v>106.0246913580247</v>
      </c>
      <c r="BN115" s="64">
        <f>IFERROR(Y115*I115/H115,"0")</f>
        <v>111.64399999999999</v>
      </c>
      <c r="BO115" s="64">
        <f>IFERROR(1/J115*(X115/H115),"0")</f>
        <v>0.19290123456790123</v>
      </c>
      <c r="BP115" s="64">
        <f>IFERROR(1/J115*(Y115/H115),"0")</f>
        <v>0.203125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/>
      <c r="M116" s="33" t="s">
        <v>88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/>
      <c r="M117" s="33" t="s">
        <v>88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16.2</v>
      </c>
      <c r="Y117" s="556">
        <f>IFERROR(IF(X117="",0,CEILING((X117/$H117),1)*$H117),"")</f>
        <v>16.200000000000003</v>
      </c>
      <c r="Z117" s="36">
        <f>IFERROR(IF(Y117=0,"",ROUNDUP(Y117/H117,0)*0.00651),"")</f>
        <v>3.9059999999999997E-2</v>
      </c>
      <c r="AA117" s="56"/>
      <c r="AB117" s="57"/>
      <c r="AC117" s="165" t="s">
        <v>218</v>
      </c>
      <c r="AG117" s="64"/>
      <c r="AJ117" s="68"/>
      <c r="AK117" s="68">
        <v>0</v>
      </c>
      <c r="BB117" s="166" t="s">
        <v>1</v>
      </c>
      <c r="BM117" s="64">
        <f>IFERROR(X117*I117/H117,"0")</f>
        <v>17.711999999999996</v>
      </c>
      <c r="BN117" s="64">
        <f>IFERROR(Y117*I117/H117,"0")</f>
        <v>17.712000000000003</v>
      </c>
      <c r="BO117" s="64">
        <f>IFERROR(1/J117*(X117/H117),"0")</f>
        <v>3.2967032967032968E-2</v>
      </c>
      <c r="BP117" s="64">
        <f>IFERROR(1/J117*(Y117/H117),"0")</f>
        <v>3.2967032967032975E-2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80</v>
      </c>
      <c r="M118" s="33" t="s">
        <v>81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83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18.345679012345677</v>
      </c>
      <c r="Y119" s="557">
        <f>IFERROR(Y115/H115,"0")+IFERROR(Y116/H116,"0")+IFERROR(Y117/H117,"0")+IFERROR(Y118/H118,"0")</f>
        <v>19</v>
      </c>
      <c r="Z119" s="557">
        <f>IFERROR(IF(Z115="",0,Z115),"0")+IFERROR(IF(Z116="",0,Z116),"0")+IFERROR(IF(Z117="",0,Z117),"0")+IFERROR(IF(Z118="",0,Z118),"0")</f>
        <v>0.2858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116.2</v>
      </c>
      <c r="Y120" s="557">
        <f>IFERROR(SUM(Y115:Y118),"0")</f>
        <v>121.5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80</v>
      </c>
      <c r="M122" s="33" t="s">
        <v>81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83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/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/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/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/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/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/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4">
        <v>4680115887428</v>
      </c>
      <c r="E148" s="565"/>
      <c r="F148" s="554">
        <v>0.7</v>
      </c>
      <c r="G148" s="32">
        <v>6</v>
      </c>
      <c r="H148" s="554">
        <v>4.2</v>
      </c>
      <c r="I148" s="554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3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4">
        <v>4607091387667</v>
      </c>
      <c r="E149" s="565"/>
      <c r="F149" s="554">
        <v>0.9</v>
      </c>
      <c r="G149" s="32">
        <v>10</v>
      </c>
      <c r="H149" s="554">
        <v>9</v>
      </c>
      <c r="I149" s="554">
        <v>9.56</v>
      </c>
      <c r="J149" s="32">
        <v>64</v>
      </c>
      <c r="K149" s="32" t="s">
        <v>106</v>
      </c>
      <c r="L149" s="32"/>
      <c r="M149" s="33" t="s">
        <v>108</v>
      </c>
      <c r="N149" s="33"/>
      <c r="O149" s="32">
        <v>40</v>
      </c>
      <c r="P149" s="8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/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81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83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30</v>
      </c>
      <c r="Y171" s="556">
        <f t="shared" si="10"/>
        <v>33.6</v>
      </c>
      <c r="Z171" s="36">
        <f>IFERROR(IF(Y171=0,"",ROUNDUP(Y171/H171,0)*0.00902),"")</f>
        <v>7.2160000000000002E-2</v>
      </c>
      <c r="AA171" s="56"/>
      <c r="AB171" s="57"/>
      <c r="AC171" s="211" t="s">
        <v>290</v>
      </c>
      <c r="AG171" s="64"/>
      <c r="AJ171" s="68" t="s">
        <v>83</v>
      </c>
      <c r="AK171" s="68">
        <v>50.4</v>
      </c>
      <c r="BB171" s="212" t="s">
        <v>1</v>
      </c>
      <c r="BM171" s="64">
        <f t="shared" si="11"/>
        <v>31.357142857142854</v>
      </c>
      <c r="BN171" s="64">
        <f t="shared" si="12"/>
        <v>35.119999999999997</v>
      </c>
      <c r="BO171" s="64">
        <f t="shared" si="13"/>
        <v>5.4112554112554112E-2</v>
      </c>
      <c r="BP171" s="64">
        <f t="shared" si="14"/>
        <v>6.0606060606060608E-2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296</v>
      </c>
      <c r="B174" s="54" t="s">
        <v>297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298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301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83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301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83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7.1428571428571423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8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7.2160000000000002E-2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30</v>
      </c>
      <c r="Y182" s="557">
        <f>IFERROR(SUM(Y167:Y180),"0")</f>
        <v>33.6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/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50</v>
      </c>
      <c r="Y205" s="556">
        <f t="shared" ref="Y205:Y212" si="15">IFERROR(IF(X205="",0,CEILING((X205/$H205),1)*$H205),"")</f>
        <v>54</v>
      </c>
      <c r="Z205" s="36">
        <f>IFERROR(IF(Y205=0,"",ROUNDUP(Y205/H205,0)*0.00902),"")</f>
        <v>9.0200000000000002E-2</v>
      </c>
      <c r="AA205" s="56"/>
      <c r="AB205" s="57"/>
      <c r="AC205" s="247" t="s">
        <v>340</v>
      </c>
      <c r="AG205" s="64"/>
      <c r="AJ205" s="68" t="s">
        <v>83</v>
      </c>
      <c r="AK205" s="68">
        <v>64.8</v>
      </c>
      <c r="BB205" s="248" t="s">
        <v>1</v>
      </c>
      <c r="BM205" s="64">
        <f t="shared" ref="BM205:BM212" si="16">IFERROR(X205*I205/H205,"0")</f>
        <v>51.759259259259252</v>
      </c>
      <c r="BN205" s="64">
        <f t="shared" ref="BN205:BN212" si="17">IFERROR(Y205*I205/H205,"0")</f>
        <v>55.9</v>
      </c>
      <c r="BO205" s="64">
        <f t="shared" ref="BO205:BO212" si="18">IFERROR(1/J205*(X205/H205),"0")</f>
        <v>7.0145903479236812E-2</v>
      </c>
      <c r="BP205" s="64">
        <f t="shared" ref="BP205:BP212" si="19">IFERROR(1/J205*(Y205/H205),"0")</f>
        <v>7.575757575757576E-2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30</v>
      </c>
      <c r="Y206" s="556">
        <f t="shared" si="15"/>
        <v>32.400000000000006</v>
      </c>
      <c r="Z206" s="36">
        <f>IFERROR(IF(Y206=0,"",ROUNDUP(Y206/H206,0)*0.00902),"")</f>
        <v>5.4120000000000001E-2</v>
      </c>
      <c r="AA206" s="56"/>
      <c r="AB206" s="57"/>
      <c r="AC206" s="249" t="s">
        <v>343</v>
      </c>
      <c r="AG206" s="64"/>
      <c r="AJ206" s="68" t="s">
        <v>83</v>
      </c>
      <c r="AK206" s="68">
        <v>64.8</v>
      </c>
      <c r="BB206" s="250" t="s">
        <v>1</v>
      </c>
      <c r="BM206" s="64">
        <f t="shared" si="16"/>
        <v>31.05555555555555</v>
      </c>
      <c r="BN206" s="64">
        <f t="shared" si="17"/>
        <v>33.54</v>
      </c>
      <c r="BO206" s="64">
        <f t="shared" si="18"/>
        <v>4.208754208754209E-2</v>
      </c>
      <c r="BP206" s="64">
        <f t="shared" si="19"/>
        <v>4.5454545454545463E-2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50</v>
      </c>
      <c r="Y207" s="556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346</v>
      </c>
      <c r="AG207" s="64"/>
      <c r="AJ207" s="68" t="s">
        <v>83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50</v>
      </c>
      <c r="Y208" s="556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83</v>
      </c>
      <c r="AK208" s="68">
        <v>64.8</v>
      </c>
      <c r="BB208" s="254" t="s">
        <v>1</v>
      </c>
      <c r="BM208" s="64">
        <f t="shared" si="16"/>
        <v>51.759259259259252</v>
      </c>
      <c r="BN208" s="64">
        <f t="shared" si="17"/>
        <v>55.9</v>
      </c>
      <c r="BO208" s="64">
        <f t="shared" si="18"/>
        <v>7.0145903479236812E-2</v>
      </c>
      <c r="BP208" s="64">
        <f t="shared" si="19"/>
        <v>7.575757575757576E-2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301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83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 t="s">
        <v>301</v>
      </c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 t="s">
        <v>83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301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83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33.333333333333336</v>
      </c>
      <c r="Y213" s="557">
        <f>IFERROR(Y205/H205,"0")+IFERROR(Y206/H206,"0")+IFERROR(Y207/H207,"0")+IFERROR(Y208/H208,"0")+IFERROR(Y209/H209,"0")+IFERROR(Y210/H210,"0")+IFERROR(Y211/H211,"0")+IFERROR(Y212/H212,"0")</f>
        <v>36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0.32472000000000001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180</v>
      </c>
      <c r="Y214" s="557">
        <f>IFERROR(SUM(Y205:Y212),"0")</f>
        <v>194.4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81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81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81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83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80</v>
      </c>
      <c r="M219" s="33" t="s">
        <v>81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4.8000000000000007</v>
      </c>
      <c r="Y219" s="556">
        <f t="shared" si="20"/>
        <v>4.8</v>
      </c>
      <c r="Z219" s="36">
        <f t="shared" ref="Z219:Z224" si="25">IFERROR(IF(Y219=0,"",ROUNDUP(Y219/H219,0)*0.00651),"")</f>
        <v>1.302E-2</v>
      </c>
      <c r="AA219" s="56"/>
      <c r="AB219" s="57"/>
      <c r="AC219" s="269" t="s">
        <v>369</v>
      </c>
      <c r="AG219" s="64"/>
      <c r="AJ219" s="68" t="s">
        <v>83</v>
      </c>
      <c r="AK219" s="68">
        <v>33.6</v>
      </c>
      <c r="BB219" s="270" t="s">
        <v>1</v>
      </c>
      <c r="BM219" s="64">
        <f t="shared" si="21"/>
        <v>5.3400000000000007</v>
      </c>
      <c r="BN219" s="64">
        <f t="shared" si="22"/>
        <v>5.34</v>
      </c>
      <c r="BO219" s="64">
        <f t="shared" si="23"/>
        <v>1.0989010989010992E-2</v>
      </c>
      <c r="BP219" s="64">
        <f t="shared" si="24"/>
        <v>1.098901098901099E-2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/>
      <c r="M220" s="33" t="s">
        <v>88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80</v>
      </c>
      <c r="M221" s="33" t="s">
        <v>81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14.4</v>
      </c>
      <c r="Y221" s="556">
        <f t="shared" si="20"/>
        <v>14.399999999999999</v>
      </c>
      <c r="Z221" s="36">
        <f t="shared" si="25"/>
        <v>3.9059999999999997E-2</v>
      </c>
      <c r="AA221" s="56"/>
      <c r="AB221" s="57"/>
      <c r="AC221" s="273" t="s">
        <v>366</v>
      </c>
      <c r="AG221" s="64"/>
      <c r="AJ221" s="68" t="s">
        <v>83</v>
      </c>
      <c r="AK221" s="68">
        <v>33.6</v>
      </c>
      <c r="BB221" s="274" t="s">
        <v>1</v>
      </c>
      <c r="BM221" s="64">
        <f t="shared" si="21"/>
        <v>15.912000000000001</v>
      </c>
      <c r="BN221" s="64">
        <f t="shared" si="22"/>
        <v>15.912000000000001</v>
      </c>
      <c r="BO221" s="64">
        <f t="shared" si="23"/>
        <v>3.2967032967032968E-2</v>
      </c>
      <c r="BP221" s="64">
        <f t="shared" si="24"/>
        <v>3.2967032967032968E-2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/>
      <c r="M222" s="33" t="s">
        <v>81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80</v>
      </c>
      <c r="M223" s="33" t="s">
        <v>88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83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80</v>
      </c>
      <c r="M224" s="33" t="s">
        <v>81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83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8</v>
      </c>
      <c r="Y225" s="557">
        <f>IFERROR(Y216/H216,"0")+IFERROR(Y217/H217,"0")+IFERROR(Y218/H218,"0")+IFERROR(Y219/H219,"0")+IFERROR(Y220/H220,"0")+IFERROR(Y221/H221,"0")+IFERROR(Y222/H222,"0")+IFERROR(Y223/H223,"0")+IFERROR(Y224/H224,"0")</f>
        <v>8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5.2080000000000001E-2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19.200000000000003</v>
      </c>
      <c r="Y226" s="557">
        <f>IFERROR(SUM(Y216:Y224),"0")</f>
        <v>19.2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80</v>
      </c>
      <c r="M228" s="33" t="s">
        <v>88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83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 t="s">
        <v>80</v>
      </c>
      <c r="M229" s="33" t="s">
        <v>81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83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83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81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/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/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80</v>
      </c>
      <c r="Y265" s="556">
        <f>IFERROR(IF(X265="",0,CEILING((X265/$H265),1)*$H265),"")</f>
        <v>86.4</v>
      </c>
      <c r="Z265" s="36">
        <f>IFERROR(IF(Y265=0,"",ROUNDUP(Y265/H265,0)*0.01898),"")</f>
        <v>0.15184</v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83.037037037037038</v>
      </c>
      <c r="BN265" s="64">
        <f>IFERROR(Y265*I265/H265,"0")</f>
        <v>89.68</v>
      </c>
      <c r="BO265" s="64">
        <f>IFERROR(1/J265*(X265/H265),"0")</f>
        <v>0.11574074074074073</v>
      </c>
      <c r="BP265" s="64">
        <f>IFERROR(1/J265*(Y265/H265),"0")</f>
        <v>0.125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/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7.4074074074074066</v>
      </c>
      <c r="Y268" s="557">
        <f>IFERROR(Y263/H263,"0")+IFERROR(Y264/H264,"0")+IFERROR(Y265/H265,"0")+IFERROR(Y266/H266,"0")+IFERROR(Y267/H267,"0")</f>
        <v>8</v>
      </c>
      <c r="Z268" s="557">
        <f>IFERROR(IF(Z263="",0,Z263),"0")+IFERROR(IF(Z264="",0,Z264),"0")+IFERROR(IF(Z265="",0,Z265),"0")+IFERROR(IF(Z266="",0,Z266),"0")+IFERROR(IF(Z267="",0,Z267),"0")</f>
        <v>0.15184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80</v>
      </c>
      <c r="Y269" s="557">
        <f>IFERROR(SUM(Y263:Y267),"0")</f>
        <v>86.4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81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81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81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81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 t="s">
        <v>80</v>
      </c>
      <c r="M281" s="33" t="s">
        <v>88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83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/>
      <c r="M282" s="33" t="s">
        <v>81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/>
      <c r="M292" s="33" t="s">
        <v>81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81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/>
      <c r="M299" s="33" t="s">
        <v>81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/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81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/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/>
      <c r="AK302" s="68">
        <v>0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/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/>
      <c r="AK303" s="68">
        <v>0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hidden="1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/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/>
      <c r="AK310" s="68">
        <v>0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301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83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80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83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hidden="1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hidden="1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/>
      <c r="M316" s="33" t="s">
        <v>81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81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81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/>
      <c r="M319" s="33" t="s">
        <v>81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/>
      <c r="AK319" s="68">
        <v>0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81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83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81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60</v>
      </c>
      <c r="Y324" s="556">
        <f>IFERROR(IF(X324="",0,CEILING((X324/$H324),1)*$H324),"")</f>
        <v>62.4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83</v>
      </c>
      <c r="AK324" s="68">
        <v>62.4</v>
      </c>
      <c r="BB324" s="384" t="s">
        <v>1</v>
      </c>
      <c r="BM324" s="64">
        <f>IFERROR(X324*I324/H324,"0")</f>
        <v>63.800000000000004</v>
      </c>
      <c r="BN324" s="64">
        <f>IFERROR(Y324*I324/H324,"0")</f>
        <v>66.352000000000004</v>
      </c>
      <c r="BO324" s="64">
        <f>IFERROR(1/J324*(X324/H324),"0")</f>
        <v>0.1201923076923077</v>
      </c>
      <c r="BP324" s="64">
        <f>IFERROR(1/J324*(Y324/H324),"0")</f>
        <v>0.125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/>
      <c r="M325" s="33" t="s">
        <v>88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/>
      <c r="AK325" s="68">
        <v>0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7.6923076923076925</v>
      </c>
      <c r="Y326" s="557">
        <f>IFERROR(Y323/H323,"0")+IFERROR(Y324/H324,"0")+IFERROR(Y325/H325,"0")</f>
        <v>8</v>
      </c>
      <c r="Z326" s="557">
        <f>IFERROR(IF(Z323="",0,Z323),"0")+IFERROR(IF(Z324="",0,Z324),"0")+IFERROR(IF(Z325="",0,Z325),"0")</f>
        <v>0.15184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60</v>
      </c>
      <c r="Y327" s="557">
        <f>IFERROR(SUM(Y323:Y325),"0")</f>
        <v>62.4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 t="s">
        <v>80</v>
      </c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 t="s">
        <v>83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/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/>
      <c r="AK332" s="68">
        <v>0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/>
      <c r="M343" s="33" t="s">
        <v>88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80</v>
      </c>
      <c r="M344" s="33" t="s">
        <v>81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83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80</v>
      </c>
      <c r="M345" s="33" t="s">
        <v>88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83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hidden="1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 t="s">
        <v>107</v>
      </c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100</v>
      </c>
      <c r="Y351" s="556">
        <f t="shared" ref="Y351:Y357" si="41">IFERROR(IF(X351="",0,CEILING((X351/$H351),1)*$H351),"")</f>
        <v>105</v>
      </c>
      <c r="Z351" s="36">
        <f>IFERROR(IF(Y351=0,"",ROUNDUP(Y351/H351,0)*0.02175),"")</f>
        <v>0.15225</v>
      </c>
      <c r="AA351" s="56"/>
      <c r="AB351" s="57"/>
      <c r="AC351" s="407" t="s">
        <v>566</v>
      </c>
      <c r="AG351" s="64"/>
      <c r="AJ351" s="68" t="s">
        <v>83</v>
      </c>
      <c r="AK351" s="68">
        <v>120</v>
      </c>
      <c r="BB351" s="408" t="s">
        <v>1</v>
      </c>
      <c r="BM351" s="64">
        <f t="shared" ref="BM351:BM357" si="42">IFERROR(X351*I351/H351,"0")</f>
        <v>103.13333333333334</v>
      </c>
      <c r="BN351" s="64">
        <f t="shared" ref="BN351:BN357" si="43">IFERROR(Y351*I351/H351,"0")</f>
        <v>108.29</v>
      </c>
      <c r="BO351" s="64">
        <f t="shared" ref="BO351:BO357" si="44">IFERROR(1/J351*(X351/H351),"0")</f>
        <v>0.1388888888888889</v>
      </c>
      <c r="BP351" s="64">
        <f t="shared" ref="BP351:BP357" si="45">IFERROR(1/J351*(Y351/H351),"0")</f>
        <v>0.14583333333333331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 t="s">
        <v>107</v>
      </c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83</v>
      </c>
      <c r="AK352" s="68">
        <v>120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4">
        <v>4680115887046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88</v>
      </c>
      <c r="N353" s="33"/>
      <c r="O353" s="32">
        <v>60</v>
      </c>
      <c r="P353" s="7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4301011867</v>
      </c>
      <c r="D354" s="564">
        <v>4680115884830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 t="s">
        <v>107</v>
      </c>
      <c r="M354" s="33" t="s">
        <v>68</v>
      </c>
      <c r="N354" s="33"/>
      <c r="O354" s="32">
        <v>60</v>
      </c>
      <c r="P354" s="8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350</v>
      </c>
      <c r="Y354" s="556">
        <f t="shared" si="41"/>
        <v>360</v>
      </c>
      <c r="Z354" s="36">
        <f>IFERROR(IF(Y354=0,"",ROUNDUP(Y354/H354,0)*0.02175),"")</f>
        <v>0.52200000000000002</v>
      </c>
      <c r="AA354" s="56"/>
      <c r="AB354" s="57"/>
      <c r="AC354" s="413" t="s">
        <v>575</v>
      </c>
      <c r="AG354" s="64"/>
      <c r="AJ354" s="68" t="s">
        <v>83</v>
      </c>
      <c r="AK354" s="68">
        <v>120</v>
      </c>
      <c r="BB354" s="414" t="s">
        <v>1</v>
      </c>
      <c r="BM354" s="64">
        <f t="shared" si="42"/>
        <v>360.96666666666664</v>
      </c>
      <c r="BN354" s="64">
        <f t="shared" si="43"/>
        <v>371.28</v>
      </c>
      <c r="BO354" s="64">
        <f t="shared" si="44"/>
        <v>0.48611111111111105</v>
      </c>
      <c r="BP354" s="64">
        <f t="shared" si="45"/>
        <v>0.5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/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575</v>
      </c>
      <c r="AG357" s="64"/>
      <c r="AJ357" s="68"/>
      <c r="AK357" s="68">
        <v>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30</v>
      </c>
      <c r="Y358" s="557">
        <f>IFERROR(Y351/H351,"0")+IFERROR(Y352/H352,"0")+IFERROR(Y353/H353,"0")+IFERROR(Y354/H354,"0")+IFERROR(Y355/H355,"0")+IFERROR(Y356/H356,"0")+IFERROR(Y357/H357,"0")</f>
        <v>31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0.67425000000000002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450</v>
      </c>
      <c r="Y359" s="557">
        <f>IFERROR(SUM(Y351:Y357),"0")</f>
        <v>465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 t="s">
        <v>107</v>
      </c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200</v>
      </c>
      <c r="Y361" s="556">
        <f>IFERROR(IF(X361="",0,CEILING((X361/$H361),1)*$H361),"")</f>
        <v>210</v>
      </c>
      <c r="Z361" s="36">
        <f>IFERROR(IF(Y361=0,"",ROUNDUP(Y361/H361,0)*0.02175),"")</f>
        <v>0.30449999999999999</v>
      </c>
      <c r="AA361" s="56"/>
      <c r="AB361" s="57"/>
      <c r="AC361" s="421" t="s">
        <v>585</v>
      </c>
      <c r="AG361" s="64"/>
      <c r="AJ361" s="68" t="s">
        <v>83</v>
      </c>
      <c r="AK361" s="68">
        <v>120</v>
      </c>
      <c r="BB361" s="422" t="s">
        <v>1</v>
      </c>
      <c r="BM361" s="64">
        <f>IFERROR(X361*I361/H361,"0")</f>
        <v>206.26666666666668</v>
      </c>
      <c r="BN361" s="64">
        <f>IFERROR(Y361*I361/H361,"0")</f>
        <v>216.58</v>
      </c>
      <c r="BO361" s="64">
        <f>IFERROR(1/J361*(X361/H361),"0")</f>
        <v>0.27777777777777779</v>
      </c>
      <c r="BP361" s="64">
        <f>IFERROR(1/J361*(Y361/H361),"0")</f>
        <v>0.29166666666666663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13.333333333333334</v>
      </c>
      <c r="Y363" s="557">
        <f>IFERROR(Y361/H361,"0")+IFERROR(Y362/H362,"0")</f>
        <v>14</v>
      </c>
      <c r="Z363" s="557">
        <f>IFERROR(IF(Z361="",0,Z361),"0")+IFERROR(IF(Z362="",0,Z362),"0")</f>
        <v>0.30449999999999999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200</v>
      </c>
      <c r="Y364" s="557">
        <f>IFERROR(SUM(Y361:Y362),"0")</f>
        <v>210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/>
      <c r="M366" s="33" t="s">
        <v>81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/>
      <c r="M367" s="33" t="s">
        <v>81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/>
      <c r="AK367" s="68">
        <v>0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81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/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30</v>
      </c>
      <c r="Y376" s="556">
        <f>IFERROR(IF(X376="",0,CEILING((X376/$H376),1)*$H376),"")</f>
        <v>36</v>
      </c>
      <c r="Z376" s="36">
        <f>IFERROR(IF(Y376=0,"",ROUNDUP(Y376/H376,0)*0.01898),"")</f>
        <v>5.6940000000000004E-2</v>
      </c>
      <c r="AA376" s="56"/>
      <c r="AB376" s="57"/>
      <c r="AC376" s="431" t="s">
        <v>601</v>
      </c>
      <c r="AG376" s="64"/>
      <c r="AJ376" s="68"/>
      <c r="AK376" s="68">
        <v>0</v>
      </c>
      <c r="BB376" s="432" t="s">
        <v>1</v>
      </c>
      <c r="BM376" s="64">
        <f>IFERROR(X376*I376/H376,"0")</f>
        <v>31.025000000000002</v>
      </c>
      <c r="BN376" s="64">
        <f>IFERROR(Y376*I376/H376,"0")</f>
        <v>37.229999999999997</v>
      </c>
      <c r="BO376" s="64">
        <f>IFERROR(1/J376*(X376/H376),"0")</f>
        <v>3.90625E-2</v>
      </c>
      <c r="BP376" s="64">
        <f>IFERROR(1/J376*(Y376/H376),"0")</f>
        <v>4.6875E-2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/>
      <c r="AK377" s="68">
        <v>0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2.5</v>
      </c>
      <c r="Y378" s="557">
        <f>IFERROR(Y376/H376,"0")+IFERROR(Y377/H377,"0")</f>
        <v>3</v>
      </c>
      <c r="Z378" s="557">
        <f>IFERROR(IF(Z376="",0,Z376),"0")+IFERROR(IF(Z377="",0,Z377),"0")</f>
        <v>5.6940000000000004E-2</v>
      </c>
      <c r="AA378" s="558"/>
      <c r="AB378" s="558"/>
      <c r="AC378" s="558"/>
    </row>
    <row r="379" spans="1:68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30</v>
      </c>
      <c r="Y379" s="557">
        <f>IFERROR(SUM(Y376:Y377),"0")</f>
        <v>36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4301031457</v>
      </c>
      <c r="D381" s="564">
        <v>4607091384802</v>
      </c>
      <c r="E381" s="565"/>
      <c r="F381" s="554">
        <v>0.7</v>
      </c>
      <c r="G381" s="32">
        <v>6</v>
      </c>
      <c r="H381" s="554">
        <v>4.2</v>
      </c>
      <c r="I381" s="554">
        <v>4.45</v>
      </c>
      <c r="J381" s="32">
        <v>132</v>
      </c>
      <c r="K381" s="32" t="s">
        <v>112</v>
      </c>
      <c r="L381" s="32"/>
      <c r="M381" s="33" t="s">
        <v>68</v>
      </c>
      <c r="N381" s="33"/>
      <c r="O381" s="32">
        <v>50</v>
      </c>
      <c r="P381" s="6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4301031303</v>
      </c>
      <c r="D382" s="564">
        <v>4607091384802</v>
      </c>
      <c r="E382" s="565"/>
      <c r="F382" s="554">
        <v>0.73</v>
      </c>
      <c r="G382" s="32">
        <v>6</v>
      </c>
      <c r="H382" s="554">
        <v>4.38</v>
      </c>
      <c r="I382" s="554">
        <v>4.63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35</v>
      </c>
      <c r="P382" s="63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/>
      <c r="M386" s="33" t="s">
        <v>81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/>
      <c r="M387" s="33" t="s">
        <v>81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81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/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/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 t="s">
        <v>301</v>
      </c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 t="s">
        <v>83</v>
      </c>
      <c r="AK398" s="68">
        <v>37.799999999999997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/>
      <c r="M406" s="33" t="s">
        <v>81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/>
      <c r="M407" s="33" t="s">
        <v>81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/>
      <c r="AK407" s="68">
        <v>0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/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20</v>
      </c>
      <c r="Y416" s="556">
        <f>IFERROR(IF(X416="",0,CEILING((X416/$H416),1)*$H416),"")</f>
        <v>21.6</v>
      </c>
      <c r="Z416" s="36">
        <f>IFERROR(IF(Y416=0,"",ROUNDUP(Y416/H416,0)*0.00902),"")</f>
        <v>3.6080000000000001E-2</v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20.703703703703702</v>
      </c>
      <c r="BN416" s="64">
        <f>IFERROR(Y416*I416/H416,"0")</f>
        <v>22.36</v>
      </c>
      <c r="BO416" s="64">
        <f>IFERROR(1/J416*(X416/H416),"0")</f>
        <v>2.8058361391694722E-2</v>
      </c>
      <c r="BP416" s="64">
        <f>IFERROR(1/J416*(Y416/H416),"0")</f>
        <v>3.0303030303030304E-2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3.7037037037037033</v>
      </c>
      <c r="Y420" s="557">
        <f>IFERROR(Y416/H416,"0")+IFERROR(Y417/H417,"0")+IFERROR(Y418/H418,"0")+IFERROR(Y419/H419,"0")</f>
        <v>4</v>
      </c>
      <c r="Z420" s="557">
        <f>IFERROR(IF(Z416="",0,Z416),"0")+IFERROR(IF(Z417="",0,Z417),"0")+IFERROR(IF(Z418="",0,Z418),"0")+IFERROR(IF(Z419="",0,Z419),"0")</f>
        <v>3.6080000000000001E-2</v>
      </c>
      <c r="AA420" s="558"/>
      <c r="AB420" s="558"/>
      <c r="AC420" s="558"/>
    </row>
    <row r="421" spans="1:68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20</v>
      </c>
      <c r="Y421" s="557">
        <f>IFERROR(SUM(Y416:Y419),"0")</f>
        <v>21.6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60</v>
      </c>
      <c r="Y430" s="556">
        <f t="shared" ref="Y430:Y441" si="52">IFERROR(IF(X430="",0,CEILING((X430/$H430),1)*$H430),"")</f>
        <v>63.36</v>
      </c>
      <c r="Z430" s="36">
        <f t="shared" ref="Z430:Z436" si="53">IFERROR(IF(Y430=0,"",ROUNDUP(Y430/H430,0)*0.01196),"")</f>
        <v>0.14352000000000001</v>
      </c>
      <c r="AA430" s="56"/>
      <c r="AB430" s="57"/>
      <c r="AC430" s="479" t="s">
        <v>109</v>
      </c>
      <c r="AG430" s="64"/>
      <c r="AJ430" s="68" t="s">
        <v>83</v>
      </c>
      <c r="AK430" s="68">
        <v>42.24</v>
      </c>
      <c r="BB430" s="480" t="s">
        <v>1</v>
      </c>
      <c r="BM430" s="64">
        <f t="shared" ref="BM430:BM441" si="54">IFERROR(X430*I430/H430,"0")</f>
        <v>63.977272727272727</v>
      </c>
      <c r="BN430" s="64">
        <f t="shared" ref="BN430:BN441" si="55">IFERROR(Y430*I430/H430,"0")</f>
        <v>67.559999999999988</v>
      </c>
      <c r="BO430" s="64">
        <f t="shared" ref="BO430:BO441" si="56">IFERROR(1/J430*(X430/H430),"0")</f>
        <v>0.10926573426573427</v>
      </c>
      <c r="BP430" s="64">
        <f t="shared" ref="BP430:BP441" si="57">IFERROR(1/J430*(Y430/H430),"0")</f>
        <v>0.11538461538461539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10</v>
      </c>
      <c r="Y433" s="556">
        <f t="shared" si="52"/>
        <v>10.56</v>
      </c>
      <c r="Z433" s="36">
        <f t="shared" si="53"/>
        <v>2.392E-2</v>
      </c>
      <c r="AA433" s="56"/>
      <c r="AB433" s="57"/>
      <c r="AC433" s="485" t="s">
        <v>676</v>
      </c>
      <c r="AG433" s="64"/>
      <c r="AJ433" s="68"/>
      <c r="AK433" s="68">
        <v>0</v>
      </c>
      <c r="BB433" s="486" t="s">
        <v>1</v>
      </c>
      <c r="BM433" s="64">
        <f t="shared" si="54"/>
        <v>10.662878787878787</v>
      </c>
      <c r="BN433" s="64">
        <f t="shared" si="55"/>
        <v>11.26</v>
      </c>
      <c r="BO433" s="64">
        <f t="shared" si="56"/>
        <v>1.8210955710955712E-2</v>
      </c>
      <c r="BP433" s="64">
        <f t="shared" si="57"/>
        <v>1.9230769230769232E-2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81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100</v>
      </c>
      <c r="Y434" s="556">
        <f t="shared" si="52"/>
        <v>100.32000000000001</v>
      </c>
      <c r="Z434" s="36">
        <f t="shared" si="53"/>
        <v>0.22724</v>
      </c>
      <c r="AA434" s="56"/>
      <c r="AB434" s="57"/>
      <c r="AC434" s="487" t="s">
        <v>679</v>
      </c>
      <c r="AG434" s="64"/>
      <c r="AJ434" s="68" t="s">
        <v>83</v>
      </c>
      <c r="AK434" s="68">
        <v>42.24</v>
      </c>
      <c r="BB434" s="488" t="s">
        <v>1</v>
      </c>
      <c r="BM434" s="64">
        <f t="shared" si="54"/>
        <v>106.62878787878788</v>
      </c>
      <c r="BN434" s="64">
        <f t="shared" si="55"/>
        <v>106.97</v>
      </c>
      <c r="BO434" s="64">
        <f t="shared" si="56"/>
        <v>0.18210955710955709</v>
      </c>
      <c r="BP434" s="64">
        <f t="shared" si="57"/>
        <v>0.18269230769230771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60</v>
      </c>
      <c r="Y436" s="556">
        <f t="shared" si="52"/>
        <v>63.36</v>
      </c>
      <c r="Z436" s="36">
        <f t="shared" si="53"/>
        <v>0.14352000000000001</v>
      </c>
      <c r="AA436" s="56"/>
      <c r="AB436" s="57"/>
      <c r="AC436" s="491" t="s">
        <v>685</v>
      </c>
      <c r="AG436" s="64"/>
      <c r="AJ436" s="68" t="s">
        <v>83</v>
      </c>
      <c r="AK436" s="68">
        <v>42.24</v>
      </c>
      <c r="BB436" s="492" t="s">
        <v>1</v>
      </c>
      <c r="BM436" s="64">
        <f t="shared" si="54"/>
        <v>63.977272727272727</v>
      </c>
      <c r="BN436" s="64">
        <f t="shared" si="55"/>
        <v>67.559999999999988</v>
      </c>
      <c r="BO436" s="64">
        <f t="shared" si="56"/>
        <v>0.10926573426573427</v>
      </c>
      <c r="BP436" s="64">
        <f t="shared" si="57"/>
        <v>0.11538461538461539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43.560606060606062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45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0.53820000000000001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230</v>
      </c>
      <c r="Y443" s="557">
        <f>IFERROR(SUM(Y430:Y441),"0")</f>
        <v>237.60000000000002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/>
      <c r="M445" s="33" t="s">
        <v>81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60</v>
      </c>
      <c r="Y445" s="556">
        <f>IFERROR(IF(X445="",0,CEILING((X445/$H445),1)*$H445),"")</f>
        <v>63.36</v>
      </c>
      <c r="Z445" s="36">
        <f>IFERROR(IF(Y445=0,"",ROUNDUP(Y445/H445,0)*0.01196),"")</f>
        <v>0.14352000000000001</v>
      </c>
      <c r="AA445" s="56"/>
      <c r="AB445" s="57"/>
      <c r="AC445" s="503" t="s">
        <v>699</v>
      </c>
      <c r="AG445" s="64"/>
      <c r="AJ445" s="68"/>
      <c r="AK445" s="68">
        <v>0</v>
      </c>
      <c r="BB445" s="504" t="s">
        <v>1</v>
      </c>
      <c r="BM445" s="64">
        <f>IFERROR(X445*I445/H445,"0")</f>
        <v>63.977272727272727</v>
      </c>
      <c r="BN445" s="64">
        <f>IFERROR(Y445*I445/H445,"0")</f>
        <v>67.559999999999988</v>
      </c>
      <c r="BO445" s="64">
        <f>IFERROR(1/J445*(X445/H445),"0")</f>
        <v>0.10926573426573427</v>
      </c>
      <c r="BP445" s="64">
        <f>IFERROR(1/J445*(Y445/H445),"0")</f>
        <v>0.11538461538461539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81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11.363636363636363</v>
      </c>
      <c r="Y448" s="557">
        <f>IFERROR(Y445/H445,"0")+IFERROR(Y446/H446,"0")+IFERROR(Y447/H447,"0")</f>
        <v>12</v>
      </c>
      <c r="Z448" s="557">
        <f>IFERROR(IF(Z445="",0,Z445),"0")+IFERROR(IF(Z446="",0,Z446),"0")+IFERROR(IF(Z447="",0,Z447),"0")</f>
        <v>0.14352000000000001</v>
      </c>
      <c r="AA448" s="558"/>
      <c r="AB448" s="558"/>
      <c r="AC448" s="558"/>
    </row>
    <row r="449" spans="1:68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60</v>
      </c>
      <c r="Y449" s="557">
        <f>IFERROR(SUM(Y445:Y447),"0")</f>
        <v>63.36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/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40</v>
      </c>
      <c r="Y451" s="556">
        <f t="shared" ref="Y451:Y456" si="58">IFERROR(IF(X451="",0,CEILING((X451/$H451),1)*$H451),"")</f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/>
      <c r="AK451" s="68">
        <v>0</v>
      </c>
      <c r="BB451" s="510" t="s">
        <v>1</v>
      </c>
      <c r="BM451" s="64">
        <f t="shared" ref="BM451:BM456" si="59">IFERROR(X451*I451/H451,"0")</f>
        <v>42.651515151515149</v>
      </c>
      <c r="BN451" s="64">
        <f t="shared" ref="BN451:BN456" si="60">IFERROR(Y451*I451/H451,"0")</f>
        <v>45.04</v>
      </c>
      <c r="BO451" s="64">
        <f t="shared" ref="BO451:BO456" si="61">IFERROR(1/J451*(X451/H451),"0")</f>
        <v>7.2843822843822847E-2</v>
      </c>
      <c r="BP451" s="64">
        <f t="shared" ref="BP451:BP456" si="62">IFERROR(1/J451*(Y451/H451),"0")</f>
        <v>7.6923076923076927E-2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83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50</v>
      </c>
      <c r="Y453" s="556">
        <f t="shared" si="58"/>
        <v>52.800000000000004</v>
      </c>
      <c r="Z453" s="36">
        <f>IFERROR(IF(Y453=0,"",ROUNDUP(Y453/H453,0)*0.01196),"")</f>
        <v>0.1196</v>
      </c>
      <c r="AA453" s="56"/>
      <c r="AB453" s="57"/>
      <c r="AC453" s="513" t="s">
        <v>712</v>
      </c>
      <c r="AG453" s="64"/>
      <c r="AJ453" s="68" t="s">
        <v>83</v>
      </c>
      <c r="AK453" s="68">
        <v>42.24</v>
      </c>
      <c r="BB453" s="514" t="s">
        <v>1</v>
      </c>
      <c r="BM453" s="64">
        <f t="shared" si="59"/>
        <v>53.314393939393938</v>
      </c>
      <c r="BN453" s="64">
        <f t="shared" si="60"/>
        <v>56.3</v>
      </c>
      <c r="BO453" s="64">
        <f t="shared" si="61"/>
        <v>9.1054778554778545E-2</v>
      </c>
      <c r="BP453" s="64">
        <f t="shared" si="62"/>
        <v>9.6153846153846159E-2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17.045454545454543</v>
      </c>
      <c r="Y457" s="557">
        <f>IFERROR(Y451/H451,"0")+IFERROR(Y452/H452,"0")+IFERROR(Y453/H453,"0")+IFERROR(Y454/H454,"0")+IFERROR(Y455/H455,"0")+IFERROR(Y456/H456,"0")</f>
        <v>18</v>
      </c>
      <c r="Z457" s="557">
        <f>IFERROR(IF(Z451="",0,Z451),"0")+IFERROR(IF(Z452="",0,Z452),"0")+IFERROR(IF(Z453="",0,Z453),"0")+IFERROR(IF(Z454="",0,Z454),"0")+IFERROR(IF(Z455="",0,Z455),"0")+IFERROR(IF(Z456="",0,Z456),"0")</f>
        <v>0.21528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90</v>
      </c>
      <c r="Y458" s="557">
        <f>IFERROR(SUM(Y451:Y456),"0")</f>
        <v>95.04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81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81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/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81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/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/>
      <c r="M483" s="33" t="s">
        <v>88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60</v>
      </c>
      <c r="Y483" s="556">
        <f>IFERROR(IF(X483="",0,CEILING((X483/$H483),1)*$H483),"")</f>
        <v>63</v>
      </c>
      <c r="Z483" s="36">
        <f>IFERROR(IF(Y483=0,"",ROUNDUP(Y483/H483,0)*0.01898),"")</f>
        <v>0.13286000000000001</v>
      </c>
      <c r="AA483" s="56"/>
      <c r="AB483" s="57"/>
      <c r="AC483" s="539" t="s">
        <v>747</v>
      </c>
      <c r="AG483" s="64"/>
      <c r="AJ483" s="68"/>
      <c r="AK483" s="68">
        <v>0</v>
      </c>
      <c r="BB483" s="540" t="s">
        <v>1</v>
      </c>
      <c r="BM483" s="64">
        <f>IFERROR(X483*I483/H483,"0")</f>
        <v>63.293333333333329</v>
      </c>
      <c r="BN483" s="64">
        <f>IFERROR(Y483*I483/H483,"0")</f>
        <v>66.457999999999998</v>
      </c>
      <c r="BO483" s="64">
        <f>IFERROR(1/J483*(X483/H483),"0")</f>
        <v>0.10416666666666667</v>
      </c>
      <c r="BP483" s="64">
        <f>IFERROR(1/J483*(Y483/H483),"0")</f>
        <v>0.109375</v>
      </c>
    </row>
    <row r="484" spans="1:68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6.666666666666667</v>
      </c>
      <c r="Y484" s="557">
        <f>IFERROR(Y483/H483,"0")</f>
        <v>7</v>
      </c>
      <c r="Z484" s="557">
        <f>IFERROR(IF(Z483="",0,Z483),"0")</f>
        <v>0.13286000000000001</v>
      </c>
      <c r="AA484" s="558"/>
      <c r="AB484" s="558"/>
      <c r="AC484" s="558"/>
    </row>
    <row r="485" spans="1:68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60</v>
      </c>
      <c r="Y485" s="557">
        <f>IFERROR(SUM(Y483:Y483),"0")</f>
        <v>63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81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81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1878.2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1975.4999999999998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1964.0867466730801</v>
      </c>
      <c r="Y497" s="557">
        <f>IFERROR(SUM(BN22:BN493),"0")</f>
        <v>2065.6119999999996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3</v>
      </c>
      <c r="Y498" s="38">
        <f>ROUNDUP(SUM(BP22:BP493),0)</f>
        <v>4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2039.0867466730801</v>
      </c>
      <c r="Y499" s="557">
        <f>GrossWeightTotalR+PalletQtyTotalR*25</f>
        <v>2165.6119999999996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246.76165192831857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259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3.6520699999999997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75.600000000000009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120.6</v>
      </c>
      <c r="E506" s="46">
        <f>IFERROR(Y85*1,"0")+IFERROR(Y86*1,"0")+IFERROR(Y87*1,"0")+IFERROR(Y88*1,"0")+IFERROR(Y92*1,"0")+IFERROR(Y93*1,"0")+IFERROR(Y94*1,"0")+IFERROR(Y95*1,"0")</f>
        <v>70.2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121.5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33.6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213.60000000000002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86.4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62.4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675</v>
      </c>
      <c r="T506" s="46">
        <f>IFERROR(Y376*1,"0")+IFERROR(Y377*1,"0")+IFERROR(Y381*1,"0")+IFERROR(Y382*1,"0")+IFERROR(Y386*1,"0")+IFERROR(Y387*1,"0")+IFERROR(Y388*1,"0")</f>
        <v>36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21.6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396.00000000000006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63</v>
      </c>
      <c r="Z506" s="46">
        <f>IFERROR(Y493*1,"0")</f>
        <v>0</v>
      </c>
      <c r="AB506" s="52"/>
      <c r="AC506" s="52"/>
      <c r="AF506" s="553"/>
    </row>
  </sheetData>
  <sheetProtection algorithmName="SHA-512" hashValue="j5n/30WV0ClIPWIbI+mhgp/pbdrfBLLK6HDWXKsRiewiw6PY6K5zqxm8TrIVp/BApK9sGhZc9ksNINTvrf6uUA==" saltValue="napthsd+nKOyXWZeAf4mWw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78,20"/>
        <filter val="1 964,09"/>
        <filter val="1,85"/>
        <filter val="10,00"/>
        <filter val="10,80"/>
        <filter val="100,00"/>
        <filter val="11,36"/>
        <filter val="116,20"/>
        <filter val="13,33"/>
        <filter val="14,40"/>
        <filter val="14,63"/>
        <filter val="16,20"/>
        <filter val="17,05"/>
        <filter val="18,35"/>
        <filter val="180,00"/>
        <filter val="19,20"/>
        <filter val="2 039,09"/>
        <filter val="2,50"/>
        <filter val="20,00"/>
        <filter val="200,00"/>
        <filter val="230,00"/>
        <filter val="246,76"/>
        <filter val="27,00"/>
        <filter val="3"/>
        <filter val="3,70"/>
        <filter val="30,00"/>
        <filter val="33,33"/>
        <filter val="350,00"/>
        <filter val="4,80"/>
        <filter val="40,00"/>
        <filter val="40,80"/>
        <filter val="43,56"/>
        <filter val="45,00"/>
        <filter val="450,00"/>
        <filter val="50,00"/>
        <filter val="6,00"/>
        <filter val="6,48"/>
        <filter val="6,67"/>
        <filter val="60,00"/>
        <filter val="7,14"/>
        <filter val="7,41"/>
        <filter val="7,69"/>
        <filter val="7,70"/>
        <filter val="70,00"/>
        <filter val="8,00"/>
        <filter val="80,00"/>
        <filter val="90,00"/>
        <filter val="95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1 X43 X57 X63 X85 X88 X100 X103 X118 X122 X169 X171 X175 X178 X205:X208 X210:X212 X218:X219 X221 X223:X224 X228:X229 X241 X281 X311:X312 X323:X324 X331 X344:X345 X351:X352 X354 X361 X398 X430 X434 X436 X452:X453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nj5uhjQRBcbA4uFRxcNoIt6UM54cNbijxjxHUPhGwzp28uK8Rkaswb2CVpkUSXxWH4CqhVAJFQCWUWZfo4ppdw==" saltValue="iaW8kO3JdaySqol/QC/9f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2026-01-08T10:48:59Z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