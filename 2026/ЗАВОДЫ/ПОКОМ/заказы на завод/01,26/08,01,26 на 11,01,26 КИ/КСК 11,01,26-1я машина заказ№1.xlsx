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E7D1C18-5056-49D7-9307-F1D13B829EC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178" i="1" l="1"/>
  <c r="BN178" i="1"/>
  <c r="Z178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Z100" i="1"/>
  <c r="BN100" i="1"/>
  <c r="Z110" i="1"/>
  <c r="BN110" i="1"/>
  <c r="Z133" i="1"/>
  <c r="BN133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54" i="1"/>
  <c r="Y182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Z23" i="1"/>
  <c r="BN23" i="1"/>
  <c r="Z27" i="1"/>
  <c r="BN27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97" i="1"/>
  <c r="Z201" i="1"/>
  <c r="BN201" i="1"/>
  <c r="Y213" i="1"/>
  <c r="Z207" i="1"/>
  <c r="BN207" i="1"/>
  <c r="Z211" i="1"/>
  <c r="BN211" i="1"/>
  <c r="Y225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Z267" i="1"/>
  <c r="BN267" i="1"/>
  <c r="Z274" i="1"/>
  <c r="BN274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F10" i="1"/>
  <c r="J9" i="1"/>
  <c r="F9" i="1"/>
  <c r="A10" i="1"/>
  <c r="BP28" i="1"/>
  <c r="BN28" i="1"/>
  <c r="Z28" i="1"/>
  <c r="Y32" i="1"/>
  <c r="BP42" i="1"/>
  <c r="BN42" i="1"/>
  <c r="Z42" i="1"/>
  <c r="Z44" i="1" s="1"/>
  <c r="BP55" i="1"/>
  <c r="BN55" i="1"/>
  <c r="Z55" i="1"/>
  <c r="BP63" i="1"/>
  <c r="BN63" i="1"/>
  <c r="Z63" i="1"/>
  <c r="Y65" i="1"/>
  <c r="Y70" i="1"/>
  <c r="BP67" i="1"/>
  <c r="BN67" i="1"/>
  <c r="Z67" i="1"/>
  <c r="Z69" i="1" s="1"/>
  <c r="BP75" i="1"/>
  <c r="BN75" i="1"/>
  <c r="Z75" i="1"/>
  <c r="Y77" i="1"/>
  <c r="Y82" i="1"/>
  <c r="BP79" i="1"/>
  <c r="BN79" i="1"/>
  <c r="Z79" i="1"/>
  <c r="BP88" i="1"/>
  <c r="BN88" i="1"/>
  <c r="Z88" i="1"/>
  <c r="H9" i="1"/>
  <c r="Y25" i="1"/>
  <c r="BP22" i="1"/>
  <c r="BN22" i="1"/>
  <c r="Z22" i="1"/>
  <c r="Z24" i="1" s="1"/>
  <c r="B505" i="1"/>
  <c r="X497" i="1"/>
  <c r="X495" i="1"/>
  <c r="Y33" i="1"/>
  <c r="BP30" i="1"/>
  <c r="BN30" i="1"/>
  <c r="Z30" i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Z402" i="1" s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Y488" i="1"/>
  <c r="Y505" i="1"/>
  <c r="Z479" i="1" l="1"/>
  <c r="Z488" i="1"/>
  <c r="Z243" i="1"/>
  <c r="Z181" i="1"/>
  <c r="Z105" i="1"/>
  <c r="Z32" i="1"/>
  <c r="Z456" i="1"/>
  <c r="Z407" i="1"/>
  <c r="Z357" i="1"/>
  <c r="Z268" i="1"/>
  <c r="Z259" i="1"/>
  <c r="Z225" i="1"/>
  <c r="Z213" i="1"/>
  <c r="Z154" i="1"/>
  <c r="Z119" i="1"/>
  <c r="Z112" i="1"/>
  <c r="Z96" i="1"/>
  <c r="Z345" i="1"/>
  <c r="X498" i="1"/>
  <c r="Z81" i="1"/>
  <c r="Y499" i="1"/>
  <c r="Z325" i="1"/>
  <c r="Z283" i="1"/>
  <c r="Y496" i="1"/>
  <c r="Y495" i="1"/>
  <c r="Z441" i="1"/>
  <c r="Z312" i="1"/>
  <c r="Z303" i="1"/>
  <c r="Y497" i="1"/>
  <c r="Z500" i="1" l="1"/>
  <c r="Y498" i="1"/>
</calcChain>
</file>

<file path=xl/sharedStrings.xml><?xml version="1.0" encoding="utf-8"?>
<sst xmlns="http://schemas.openxmlformats.org/spreadsheetml/2006/main" count="2319" uniqueCount="782">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</sst>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9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8" fillId="27" borderId="0" xfId="0" applyFont="1" applyFill="1" applyAlignment="1" applyProtection="1">
      <alignment vertical="center" wrapText="1"/>
      <protection hidden="1"/>
    </xf>
    <xf numFmtId="0" fontId="35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0" fillId="0" borderId="25" xfId="0" applyBorder="1" applyProtection="1"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786" t="s">
        <v>0</v>
      </c>
      <c r="E1" s="591"/>
      <c r="F1" s="591"/>
      <c r="G1" s="12" t="s">
        <v>1</v>
      </c>
      <c r="H1" s="786" t="s">
        <v>2</v>
      </c>
      <c r="I1" s="591"/>
      <c r="J1" s="591"/>
      <c r="K1" s="591"/>
      <c r="L1" s="591"/>
      <c r="M1" s="591"/>
      <c r="N1" s="591"/>
      <c r="O1" s="591"/>
      <c r="P1" s="591"/>
      <c r="Q1" s="591"/>
      <c r="R1" s="863" t="s">
        <v>3</v>
      </c>
      <c r="S1" s="591"/>
      <c r="T1" s="59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0"/>
      <c r="R2" s="560"/>
      <c r="S2" s="560"/>
      <c r="T2" s="560"/>
      <c r="U2" s="560"/>
      <c r="V2" s="560"/>
      <c r="W2" s="560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0"/>
      <c r="Q3" s="560"/>
      <c r="R3" s="560"/>
      <c r="S3" s="560"/>
      <c r="T3" s="560"/>
      <c r="U3" s="560"/>
      <c r="V3" s="560"/>
      <c r="W3" s="560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56" t="s">
        <v>8</v>
      </c>
      <c r="B5" s="580"/>
      <c r="C5" s="581"/>
      <c r="D5" s="663"/>
      <c r="E5" s="665"/>
      <c r="F5" s="628" t="s">
        <v>9</v>
      </c>
      <c r="G5" s="581"/>
      <c r="H5" s="663" t="s">
        <v>781</v>
      </c>
      <c r="I5" s="664"/>
      <c r="J5" s="664"/>
      <c r="K5" s="664"/>
      <c r="L5" s="664"/>
      <c r="M5" s="665"/>
      <c r="N5" s="58"/>
      <c r="P5" s="24" t="s">
        <v>10</v>
      </c>
      <c r="Q5" s="600">
        <v>46033</v>
      </c>
      <c r="R5" s="601"/>
      <c r="T5" s="724" t="s">
        <v>11</v>
      </c>
      <c r="U5" s="648"/>
      <c r="V5" s="725" t="s">
        <v>12</v>
      </c>
      <c r="W5" s="601"/>
      <c r="AB5" s="51"/>
      <c r="AC5" s="51"/>
      <c r="AD5" s="51"/>
      <c r="AE5" s="51"/>
    </row>
    <row r="6" spans="1:32" s="547" customFormat="1" ht="24" customHeight="1" x14ac:dyDescent="0.2">
      <c r="A6" s="756" t="s">
        <v>13</v>
      </c>
      <c r="B6" s="580"/>
      <c r="C6" s="581"/>
      <c r="D6" s="667" t="s">
        <v>14</v>
      </c>
      <c r="E6" s="668"/>
      <c r="F6" s="668"/>
      <c r="G6" s="668"/>
      <c r="H6" s="668"/>
      <c r="I6" s="668"/>
      <c r="J6" s="668"/>
      <c r="K6" s="668"/>
      <c r="L6" s="668"/>
      <c r="M6" s="601"/>
      <c r="N6" s="59"/>
      <c r="P6" s="24" t="s">
        <v>15</v>
      </c>
      <c r="Q6" s="609" t="str">
        <f>IF(Q5=0," ",CHOOSE(WEEKDAY(Q5,2),"Понедельник","Вторник","Среда","Четверг","Пятница","Суббота","Воскресенье"))</f>
        <v>Воскресенье</v>
      </c>
      <c r="R6" s="562"/>
      <c r="T6" s="732" t="s">
        <v>16</v>
      </c>
      <c r="U6" s="648"/>
      <c r="V6" s="674" t="s">
        <v>17</v>
      </c>
      <c r="W6" s="675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838" t="str">
        <f>IFERROR(VLOOKUP(DeliveryAddress,Table,3,0),1)</f>
        <v>1</v>
      </c>
      <c r="E7" s="839"/>
      <c r="F7" s="839"/>
      <c r="G7" s="839"/>
      <c r="H7" s="839"/>
      <c r="I7" s="839"/>
      <c r="J7" s="839"/>
      <c r="K7" s="839"/>
      <c r="L7" s="839"/>
      <c r="M7" s="728"/>
      <c r="N7" s="60"/>
      <c r="P7" s="24"/>
      <c r="Q7" s="42"/>
      <c r="R7" s="42"/>
      <c r="T7" s="560"/>
      <c r="U7" s="648"/>
      <c r="V7" s="676"/>
      <c r="W7" s="677"/>
      <c r="AB7" s="51"/>
      <c r="AC7" s="51"/>
      <c r="AD7" s="51"/>
      <c r="AE7" s="51"/>
    </row>
    <row r="8" spans="1:32" s="547" customFormat="1" ht="25.5" customHeight="1" x14ac:dyDescent="0.2">
      <c r="A8" s="576" t="s">
        <v>18</v>
      </c>
      <c r="B8" s="564"/>
      <c r="C8" s="565"/>
      <c r="D8" s="848" t="s">
        <v>19</v>
      </c>
      <c r="E8" s="849"/>
      <c r="F8" s="849"/>
      <c r="G8" s="849"/>
      <c r="H8" s="849"/>
      <c r="I8" s="849"/>
      <c r="J8" s="849"/>
      <c r="K8" s="849"/>
      <c r="L8" s="849"/>
      <c r="M8" s="850"/>
      <c r="N8" s="61"/>
      <c r="P8" s="24" t="s">
        <v>20</v>
      </c>
      <c r="Q8" s="727">
        <v>0.375</v>
      </c>
      <c r="R8" s="728"/>
      <c r="T8" s="560"/>
      <c r="U8" s="648"/>
      <c r="V8" s="676"/>
      <c r="W8" s="677"/>
      <c r="AB8" s="51"/>
      <c r="AC8" s="51"/>
      <c r="AD8" s="51"/>
      <c r="AE8" s="51"/>
    </row>
    <row r="9" spans="1:32" s="547" customFormat="1" ht="39.950000000000003" customHeight="1" x14ac:dyDescent="0.2">
      <c r="A9" s="5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0"/>
      <c r="C9" s="560"/>
      <c r="D9" s="644"/>
      <c r="E9" s="645"/>
      <c r="F9" s="5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0"/>
      <c r="H9" s="705" t="str">
        <f>IF(AND($A$9="Тип доверенности/получателя при получении в адресе перегруза:",$D$9="Разовая доверенность"),"Введите ФИО","")</f>
        <v/>
      </c>
      <c r="I9" s="645"/>
      <c r="J9" s="70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5"/>
      <c r="L9" s="645"/>
      <c r="M9" s="645"/>
      <c r="N9" s="545"/>
      <c r="P9" s="26" t="s">
        <v>21</v>
      </c>
      <c r="Q9" s="771"/>
      <c r="R9" s="632"/>
      <c r="T9" s="560"/>
      <c r="U9" s="648"/>
      <c r="V9" s="678"/>
      <c r="W9" s="679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5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0"/>
      <c r="C10" s="560"/>
      <c r="D10" s="644"/>
      <c r="E10" s="645"/>
      <c r="F10" s="5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0"/>
      <c r="H10" s="691" t="str">
        <f>IFERROR(VLOOKUP($D$10,Proxy,2,FALSE),"")</f>
        <v/>
      </c>
      <c r="I10" s="560"/>
      <c r="J10" s="560"/>
      <c r="K10" s="560"/>
      <c r="L10" s="560"/>
      <c r="M10" s="560"/>
      <c r="N10" s="546"/>
      <c r="P10" s="26" t="s">
        <v>22</v>
      </c>
      <c r="Q10" s="733"/>
      <c r="R10" s="734"/>
      <c r="U10" s="24" t="s">
        <v>23</v>
      </c>
      <c r="V10" s="855" t="s">
        <v>24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74"/>
      <c r="R11" s="601"/>
      <c r="U11" s="24" t="s">
        <v>27</v>
      </c>
      <c r="V11" s="631" t="s">
        <v>28</v>
      </c>
      <c r="W11" s="632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12" t="s">
        <v>29</v>
      </c>
      <c r="B12" s="580"/>
      <c r="C12" s="580"/>
      <c r="D12" s="580"/>
      <c r="E12" s="580"/>
      <c r="F12" s="580"/>
      <c r="G12" s="580"/>
      <c r="H12" s="580"/>
      <c r="I12" s="580"/>
      <c r="J12" s="580"/>
      <c r="K12" s="580"/>
      <c r="L12" s="580"/>
      <c r="M12" s="581"/>
      <c r="N12" s="62"/>
      <c r="P12" s="24" t="s">
        <v>30</v>
      </c>
      <c r="Q12" s="727"/>
      <c r="R12" s="728"/>
      <c r="S12" s="23"/>
      <c r="U12" s="24"/>
      <c r="V12" s="591"/>
      <c r="W12" s="560"/>
      <c r="AB12" s="51"/>
      <c r="AC12" s="51"/>
      <c r="AD12" s="51"/>
      <c r="AE12" s="51"/>
    </row>
    <row r="13" spans="1:32" s="547" customFormat="1" ht="23.25" customHeight="1" x14ac:dyDescent="0.2">
      <c r="A13" s="712" t="s">
        <v>31</v>
      </c>
      <c r="B13" s="580"/>
      <c r="C13" s="580"/>
      <c r="D13" s="580"/>
      <c r="E13" s="580"/>
      <c r="F13" s="580"/>
      <c r="G13" s="580"/>
      <c r="H13" s="580"/>
      <c r="I13" s="580"/>
      <c r="J13" s="580"/>
      <c r="K13" s="580"/>
      <c r="L13" s="580"/>
      <c r="M13" s="581"/>
      <c r="N13" s="62"/>
      <c r="O13" s="26"/>
      <c r="P13" s="26" t="s">
        <v>32</v>
      </c>
      <c r="Q13" s="631"/>
      <c r="R13" s="63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12" t="s">
        <v>33</v>
      </c>
      <c r="B14" s="580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15" t="s">
        <v>34</v>
      </c>
      <c r="B15" s="580"/>
      <c r="C15" s="580"/>
      <c r="D15" s="580"/>
      <c r="E15" s="580"/>
      <c r="F15" s="580"/>
      <c r="G15" s="580"/>
      <c r="H15" s="580"/>
      <c r="I15" s="580"/>
      <c r="J15" s="580"/>
      <c r="K15" s="580"/>
      <c r="L15" s="580"/>
      <c r="M15" s="581"/>
      <c r="N15" s="63"/>
      <c r="P15" s="722" t="s">
        <v>35</v>
      </c>
      <c r="Q15" s="591"/>
      <c r="R15" s="591"/>
      <c r="S15" s="591"/>
      <c r="T15" s="59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23"/>
      <c r="Q16" s="723"/>
      <c r="R16" s="723"/>
      <c r="S16" s="723"/>
      <c r="T16" s="72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6" t="s">
        <v>36</v>
      </c>
      <c r="B17" s="586" t="s">
        <v>37</v>
      </c>
      <c r="C17" s="770" t="s">
        <v>38</v>
      </c>
      <c r="D17" s="586" t="s">
        <v>39</v>
      </c>
      <c r="E17" s="587"/>
      <c r="F17" s="586" t="s">
        <v>40</v>
      </c>
      <c r="G17" s="586" t="s">
        <v>41</v>
      </c>
      <c r="H17" s="586" t="s">
        <v>42</v>
      </c>
      <c r="I17" s="586" t="s">
        <v>43</v>
      </c>
      <c r="J17" s="586" t="s">
        <v>44</v>
      </c>
      <c r="K17" s="586" t="s">
        <v>45</v>
      </c>
      <c r="L17" s="586" t="s">
        <v>46</v>
      </c>
      <c r="M17" s="586" t="s">
        <v>47</v>
      </c>
      <c r="N17" s="586" t="s">
        <v>48</v>
      </c>
      <c r="O17" s="586" t="s">
        <v>49</v>
      </c>
      <c r="P17" s="586" t="s">
        <v>50</v>
      </c>
      <c r="Q17" s="788"/>
      <c r="R17" s="788"/>
      <c r="S17" s="788"/>
      <c r="T17" s="587"/>
      <c r="U17" s="593" t="s">
        <v>51</v>
      </c>
      <c r="V17" s="581"/>
      <c r="W17" s="586" t="s">
        <v>52</v>
      </c>
      <c r="X17" s="586" t="s">
        <v>53</v>
      </c>
      <c r="Y17" s="595" t="s">
        <v>54</v>
      </c>
      <c r="Z17" s="686" t="s">
        <v>55</v>
      </c>
      <c r="AA17" s="622" t="s">
        <v>56</v>
      </c>
      <c r="AB17" s="622" t="s">
        <v>57</v>
      </c>
      <c r="AC17" s="622" t="s">
        <v>58</v>
      </c>
      <c r="AD17" s="622" t="s">
        <v>59</v>
      </c>
      <c r="AE17" s="623"/>
      <c r="AF17" s="624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588"/>
      <c r="E18" s="589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588"/>
      <c r="Q18" s="789"/>
      <c r="R18" s="789"/>
      <c r="S18" s="789"/>
      <c r="T18" s="589"/>
      <c r="U18" s="67" t="s">
        <v>61</v>
      </c>
      <c r="V18" s="67" t="s">
        <v>62</v>
      </c>
      <c r="W18" s="590"/>
      <c r="X18" s="590"/>
      <c r="Y18" s="596"/>
      <c r="Z18" s="687"/>
      <c r="AA18" s="690"/>
      <c r="AB18" s="690"/>
      <c r="AC18" s="690"/>
      <c r="AD18" s="625"/>
      <c r="AE18" s="626"/>
      <c r="AF18" s="627"/>
      <c r="AG18" s="66"/>
      <c r="BD18" s="65"/>
    </row>
    <row r="19" spans="1:68" ht="27.75" hidden="1" customHeight="1" x14ac:dyDescent="0.2">
      <c r="A19" s="582" t="s">
        <v>63</v>
      </c>
      <c r="B19" s="583"/>
      <c r="C19" s="583"/>
      <c r="D19" s="583"/>
      <c r="E19" s="583"/>
      <c r="F19" s="583"/>
      <c r="G19" s="583"/>
      <c r="H19" s="583"/>
      <c r="I19" s="583"/>
      <c r="J19" s="583"/>
      <c r="K19" s="583"/>
      <c r="L19" s="583"/>
      <c r="M19" s="583"/>
      <c r="N19" s="583"/>
      <c r="O19" s="583"/>
      <c r="P19" s="583"/>
      <c r="Q19" s="583"/>
      <c r="R19" s="583"/>
      <c r="S19" s="583"/>
      <c r="T19" s="583"/>
      <c r="U19" s="583"/>
      <c r="V19" s="583"/>
      <c r="W19" s="583"/>
      <c r="X19" s="583"/>
      <c r="Y19" s="583"/>
      <c r="Z19" s="583"/>
      <c r="AA19" s="48"/>
      <c r="AB19" s="48"/>
      <c r="AC19" s="48"/>
    </row>
    <row r="20" spans="1:68" ht="16.5" hidden="1" customHeight="1" x14ac:dyDescent="0.25">
      <c r="A20" s="592" t="s">
        <v>63</v>
      </c>
      <c r="B20" s="560"/>
      <c r="C20" s="560"/>
      <c r="D20" s="560"/>
      <c r="E20" s="560"/>
      <c r="F20" s="560"/>
      <c r="G20" s="560"/>
      <c r="H20" s="560"/>
      <c r="I20" s="560"/>
      <c r="J20" s="560"/>
      <c r="K20" s="560"/>
      <c r="L20" s="560"/>
      <c r="M20" s="560"/>
      <c r="N20" s="560"/>
      <c r="O20" s="560"/>
      <c r="P20" s="560"/>
      <c r="Q20" s="560"/>
      <c r="R20" s="560"/>
      <c r="S20" s="560"/>
      <c r="T20" s="560"/>
      <c r="U20" s="560"/>
      <c r="V20" s="560"/>
      <c r="W20" s="560"/>
      <c r="X20" s="560"/>
      <c r="Y20" s="560"/>
      <c r="Z20" s="560"/>
      <c r="AA20" s="548"/>
      <c r="AB20" s="548"/>
      <c r="AC20" s="548"/>
    </row>
    <row r="21" spans="1:68" ht="14.25" hidden="1" customHeight="1" x14ac:dyDescent="0.25">
      <c r="A21" s="559" t="s">
        <v>64</v>
      </c>
      <c r="B21" s="560"/>
      <c r="C21" s="560"/>
      <c r="D21" s="560"/>
      <c r="E21" s="560"/>
      <c r="F21" s="56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60"/>
      <c r="R21" s="560"/>
      <c r="S21" s="560"/>
      <c r="T21" s="560"/>
      <c r="U21" s="560"/>
      <c r="V21" s="560"/>
      <c r="W21" s="560"/>
      <c r="X21" s="560"/>
      <c r="Y21" s="560"/>
      <c r="Z21" s="560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1">
        <v>4680115887510</v>
      </c>
      <c r="E22" s="562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83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9"/>
      <c r="R22" s="569"/>
      <c r="S22" s="569"/>
      <c r="T22" s="570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1">
        <v>4680115886643</v>
      </c>
      <c r="E23" s="562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4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9"/>
      <c r="R23" s="569"/>
      <c r="S23" s="569"/>
      <c r="T23" s="570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6"/>
      <c r="B24" s="560"/>
      <c r="C24" s="560"/>
      <c r="D24" s="560"/>
      <c r="E24" s="560"/>
      <c r="F24" s="560"/>
      <c r="G24" s="560"/>
      <c r="H24" s="560"/>
      <c r="I24" s="560"/>
      <c r="J24" s="560"/>
      <c r="K24" s="560"/>
      <c r="L24" s="560"/>
      <c r="M24" s="560"/>
      <c r="N24" s="560"/>
      <c r="O24" s="567"/>
      <c r="P24" s="563" t="s">
        <v>75</v>
      </c>
      <c r="Q24" s="564"/>
      <c r="R24" s="564"/>
      <c r="S24" s="564"/>
      <c r="T24" s="564"/>
      <c r="U24" s="564"/>
      <c r="V24" s="565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0"/>
      <c r="B25" s="560"/>
      <c r="C25" s="560"/>
      <c r="D25" s="560"/>
      <c r="E25" s="560"/>
      <c r="F25" s="560"/>
      <c r="G25" s="560"/>
      <c r="H25" s="560"/>
      <c r="I25" s="560"/>
      <c r="J25" s="560"/>
      <c r="K25" s="560"/>
      <c r="L25" s="560"/>
      <c r="M25" s="560"/>
      <c r="N25" s="560"/>
      <c r="O25" s="567"/>
      <c r="P25" s="563" t="s">
        <v>75</v>
      </c>
      <c r="Q25" s="564"/>
      <c r="R25" s="564"/>
      <c r="S25" s="564"/>
      <c r="T25" s="564"/>
      <c r="U25" s="564"/>
      <c r="V25" s="565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59" t="s">
        <v>77</v>
      </c>
      <c r="B26" s="560"/>
      <c r="C26" s="560"/>
      <c r="D26" s="560"/>
      <c r="E26" s="560"/>
      <c r="F26" s="560"/>
      <c r="G26" s="560"/>
      <c r="H26" s="560"/>
      <c r="I26" s="560"/>
      <c r="J26" s="560"/>
      <c r="K26" s="560"/>
      <c r="L26" s="560"/>
      <c r="M26" s="560"/>
      <c r="N26" s="560"/>
      <c r="O26" s="560"/>
      <c r="P26" s="560"/>
      <c r="Q26" s="560"/>
      <c r="R26" s="560"/>
      <c r="S26" s="560"/>
      <c r="T26" s="560"/>
      <c r="U26" s="560"/>
      <c r="V26" s="560"/>
      <c r="W26" s="560"/>
      <c r="X26" s="560"/>
      <c r="Y26" s="560"/>
      <c r="Z26" s="560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1">
        <v>4680115885912</v>
      </c>
      <c r="E27" s="562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9"/>
      <c r="R27" s="569"/>
      <c r="S27" s="569"/>
      <c r="T27" s="570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1">
        <v>4607091388237</v>
      </c>
      <c r="E28" s="562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7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9"/>
      <c r="R28" s="569"/>
      <c r="S28" s="569"/>
      <c r="T28" s="570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1">
        <v>4680115887350</v>
      </c>
      <c r="E29" s="562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4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9"/>
      <c r="R29" s="569"/>
      <c r="S29" s="569"/>
      <c r="T29" s="570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1">
        <v>4680115885905</v>
      </c>
      <c r="E30" s="562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9"/>
      <c r="R30" s="569"/>
      <c r="S30" s="569"/>
      <c r="T30" s="570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1">
        <v>4607091388244</v>
      </c>
      <c r="E31" s="562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85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9"/>
      <c r="R31" s="569"/>
      <c r="S31" s="569"/>
      <c r="T31" s="570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6"/>
      <c r="B32" s="560"/>
      <c r="C32" s="560"/>
      <c r="D32" s="560"/>
      <c r="E32" s="560"/>
      <c r="F32" s="560"/>
      <c r="G32" s="560"/>
      <c r="H32" s="560"/>
      <c r="I32" s="560"/>
      <c r="J32" s="560"/>
      <c r="K32" s="560"/>
      <c r="L32" s="560"/>
      <c r="M32" s="560"/>
      <c r="N32" s="560"/>
      <c r="O32" s="567"/>
      <c r="P32" s="563" t="s">
        <v>75</v>
      </c>
      <c r="Q32" s="564"/>
      <c r="R32" s="564"/>
      <c r="S32" s="564"/>
      <c r="T32" s="564"/>
      <c r="U32" s="564"/>
      <c r="V32" s="565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0"/>
      <c r="B33" s="560"/>
      <c r="C33" s="560"/>
      <c r="D33" s="560"/>
      <c r="E33" s="560"/>
      <c r="F33" s="560"/>
      <c r="G33" s="560"/>
      <c r="H33" s="560"/>
      <c r="I33" s="560"/>
      <c r="J33" s="560"/>
      <c r="K33" s="560"/>
      <c r="L33" s="560"/>
      <c r="M33" s="560"/>
      <c r="N33" s="560"/>
      <c r="O33" s="567"/>
      <c r="P33" s="563" t="s">
        <v>75</v>
      </c>
      <c r="Q33" s="564"/>
      <c r="R33" s="564"/>
      <c r="S33" s="564"/>
      <c r="T33" s="564"/>
      <c r="U33" s="564"/>
      <c r="V33" s="565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59" t="s">
        <v>93</v>
      </c>
      <c r="B34" s="560"/>
      <c r="C34" s="560"/>
      <c r="D34" s="560"/>
      <c r="E34" s="560"/>
      <c r="F34" s="560"/>
      <c r="G34" s="560"/>
      <c r="H34" s="560"/>
      <c r="I34" s="560"/>
      <c r="J34" s="560"/>
      <c r="K34" s="560"/>
      <c r="L34" s="560"/>
      <c r="M34" s="560"/>
      <c r="N34" s="560"/>
      <c r="O34" s="560"/>
      <c r="P34" s="560"/>
      <c r="Q34" s="560"/>
      <c r="R34" s="560"/>
      <c r="S34" s="560"/>
      <c r="T34" s="560"/>
      <c r="U34" s="560"/>
      <c r="V34" s="560"/>
      <c r="W34" s="560"/>
      <c r="X34" s="560"/>
      <c r="Y34" s="560"/>
      <c r="Z34" s="560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1">
        <v>4607091388503</v>
      </c>
      <c r="E35" s="562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68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9"/>
      <c r="R35" s="569"/>
      <c r="S35" s="569"/>
      <c r="T35" s="570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6"/>
      <c r="B36" s="560"/>
      <c r="C36" s="560"/>
      <c r="D36" s="560"/>
      <c r="E36" s="560"/>
      <c r="F36" s="560"/>
      <c r="G36" s="560"/>
      <c r="H36" s="560"/>
      <c r="I36" s="560"/>
      <c r="J36" s="560"/>
      <c r="K36" s="560"/>
      <c r="L36" s="560"/>
      <c r="M36" s="560"/>
      <c r="N36" s="560"/>
      <c r="O36" s="567"/>
      <c r="P36" s="563" t="s">
        <v>75</v>
      </c>
      <c r="Q36" s="564"/>
      <c r="R36" s="564"/>
      <c r="S36" s="564"/>
      <c r="T36" s="564"/>
      <c r="U36" s="564"/>
      <c r="V36" s="565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0"/>
      <c r="B37" s="560"/>
      <c r="C37" s="560"/>
      <c r="D37" s="560"/>
      <c r="E37" s="560"/>
      <c r="F37" s="560"/>
      <c r="G37" s="560"/>
      <c r="H37" s="560"/>
      <c r="I37" s="560"/>
      <c r="J37" s="560"/>
      <c r="K37" s="560"/>
      <c r="L37" s="560"/>
      <c r="M37" s="560"/>
      <c r="N37" s="560"/>
      <c r="O37" s="567"/>
      <c r="P37" s="563" t="s">
        <v>75</v>
      </c>
      <c r="Q37" s="564"/>
      <c r="R37" s="564"/>
      <c r="S37" s="564"/>
      <c r="T37" s="564"/>
      <c r="U37" s="564"/>
      <c r="V37" s="565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82" t="s">
        <v>99</v>
      </c>
      <c r="B38" s="583"/>
      <c r="C38" s="583"/>
      <c r="D38" s="583"/>
      <c r="E38" s="583"/>
      <c r="F38" s="583"/>
      <c r="G38" s="583"/>
      <c r="H38" s="583"/>
      <c r="I38" s="583"/>
      <c r="J38" s="583"/>
      <c r="K38" s="583"/>
      <c r="L38" s="583"/>
      <c r="M38" s="583"/>
      <c r="N38" s="583"/>
      <c r="O38" s="583"/>
      <c r="P38" s="583"/>
      <c r="Q38" s="583"/>
      <c r="R38" s="583"/>
      <c r="S38" s="583"/>
      <c r="T38" s="583"/>
      <c r="U38" s="583"/>
      <c r="V38" s="583"/>
      <c r="W38" s="583"/>
      <c r="X38" s="583"/>
      <c r="Y38" s="583"/>
      <c r="Z38" s="583"/>
      <c r="AA38" s="48"/>
      <c r="AB38" s="48"/>
      <c r="AC38" s="48"/>
    </row>
    <row r="39" spans="1:68" ht="16.5" hidden="1" customHeight="1" x14ac:dyDescent="0.25">
      <c r="A39" s="592" t="s">
        <v>100</v>
      </c>
      <c r="B39" s="560"/>
      <c r="C39" s="560"/>
      <c r="D39" s="560"/>
      <c r="E39" s="560"/>
      <c r="F39" s="560"/>
      <c r="G39" s="560"/>
      <c r="H39" s="560"/>
      <c r="I39" s="560"/>
      <c r="J39" s="560"/>
      <c r="K39" s="560"/>
      <c r="L39" s="560"/>
      <c r="M39" s="560"/>
      <c r="N39" s="560"/>
      <c r="O39" s="560"/>
      <c r="P39" s="560"/>
      <c r="Q39" s="560"/>
      <c r="R39" s="560"/>
      <c r="S39" s="560"/>
      <c r="T39" s="560"/>
      <c r="U39" s="560"/>
      <c r="V39" s="560"/>
      <c r="W39" s="560"/>
      <c r="X39" s="560"/>
      <c r="Y39" s="560"/>
      <c r="Z39" s="560"/>
      <c r="AA39" s="548"/>
      <c r="AB39" s="548"/>
      <c r="AC39" s="548"/>
    </row>
    <row r="40" spans="1:68" ht="14.25" hidden="1" customHeight="1" x14ac:dyDescent="0.25">
      <c r="A40" s="559" t="s">
        <v>101</v>
      </c>
      <c r="B40" s="560"/>
      <c r="C40" s="560"/>
      <c r="D40" s="560"/>
      <c r="E40" s="560"/>
      <c r="F40" s="560"/>
      <c r="G40" s="560"/>
      <c r="H40" s="560"/>
      <c r="I40" s="560"/>
      <c r="J40" s="560"/>
      <c r="K40" s="560"/>
      <c r="L40" s="560"/>
      <c r="M40" s="560"/>
      <c r="N40" s="560"/>
      <c r="O40" s="560"/>
      <c r="P40" s="560"/>
      <c r="Q40" s="560"/>
      <c r="R40" s="560"/>
      <c r="S40" s="560"/>
      <c r="T40" s="560"/>
      <c r="U40" s="560"/>
      <c r="V40" s="560"/>
      <c r="W40" s="560"/>
      <c r="X40" s="560"/>
      <c r="Y40" s="560"/>
      <c r="Z40" s="560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1">
        <v>4607091385670</v>
      </c>
      <c r="E41" s="562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66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9"/>
      <c r="R41" s="569"/>
      <c r="S41" s="569"/>
      <c r="T41" s="570"/>
      <c r="U41" s="34"/>
      <c r="V41" s="34"/>
      <c r="W41" s="35" t="s">
        <v>69</v>
      </c>
      <c r="X41" s="553">
        <v>100</v>
      </c>
      <c r="Y41" s="554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1">
        <v>4680115882539</v>
      </c>
      <c r="E42" s="562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8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9"/>
      <c r="R42" s="569"/>
      <c r="S42" s="569"/>
      <c r="T42" s="570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1">
        <v>4607091385687</v>
      </c>
      <c r="E43" s="562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9"/>
      <c r="R43" s="569"/>
      <c r="S43" s="569"/>
      <c r="T43" s="570"/>
      <c r="U43" s="34"/>
      <c r="V43" s="34"/>
      <c r="W43" s="35" t="s">
        <v>69</v>
      </c>
      <c r="X43" s="553">
        <v>240</v>
      </c>
      <c r="Y43" s="554">
        <f>IFERROR(IF(X43="",0,CEILING((X43/$H43),1)*$H43),"")</f>
        <v>240</v>
      </c>
      <c r="Z43" s="36">
        <f>IFERROR(IF(Y43=0,"",ROUNDUP(Y43/H43,0)*0.00902),"")</f>
        <v>0.54120000000000001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251.40000000000003</v>
      </c>
      <c r="BN43" s="64">
        <f>IFERROR(Y43*I43/H43,"0")</f>
        <v>251.40000000000003</v>
      </c>
      <c r="BO43" s="64">
        <f>IFERROR(1/J43*(X43/H43),"0")</f>
        <v>0.45454545454545459</v>
      </c>
      <c r="BP43" s="64">
        <f>IFERROR(1/J43*(Y43/H43),"0")</f>
        <v>0.45454545454545459</v>
      </c>
    </row>
    <row r="44" spans="1:68" x14ac:dyDescent="0.2">
      <c r="A44" s="566"/>
      <c r="B44" s="560"/>
      <c r="C44" s="560"/>
      <c r="D44" s="560"/>
      <c r="E44" s="560"/>
      <c r="F44" s="560"/>
      <c r="G44" s="560"/>
      <c r="H44" s="560"/>
      <c r="I44" s="560"/>
      <c r="J44" s="560"/>
      <c r="K44" s="560"/>
      <c r="L44" s="560"/>
      <c r="M44" s="560"/>
      <c r="N44" s="560"/>
      <c r="O44" s="567"/>
      <c r="P44" s="563" t="s">
        <v>75</v>
      </c>
      <c r="Q44" s="564"/>
      <c r="R44" s="564"/>
      <c r="S44" s="564"/>
      <c r="T44" s="564"/>
      <c r="U44" s="564"/>
      <c r="V44" s="565"/>
      <c r="W44" s="37" t="s">
        <v>76</v>
      </c>
      <c r="X44" s="555">
        <f>IFERROR(X41/H41,"0")+IFERROR(X42/H42,"0")+IFERROR(X43/H43,"0")</f>
        <v>69.259259259259267</v>
      </c>
      <c r="Y44" s="555">
        <f>IFERROR(Y41/H41,"0")+IFERROR(Y42/H42,"0")+IFERROR(Y43/H43,"0")</f>
        <v>70</v>
      </c>
      <c r="Z44" s="555">
        <f>IFERROR(IF(Z41="",0,Z41),"0")+IFERROR(IF(Z42="",0,Z42),"0")+IFERROR(IF(Z43="",0,Z43),"0")</f>
        <v>0.73099999999999998</v>
      </c>
      <c r="AA44" s="556"/>
      <c r="AB44" s="556"/>
      <c r="AC44" s="556"/>
    </row>
    <row r="45" spans="1:68" x14ac:dyDescent="0.2">
      <c r="A45" s="560"/>
      <c r="B45" s="560"/>
      <c r="C45" s="560"/>
      <c r="D45" s="560"/>
      <c r="E45" s="560"/>
      <c r="F45" s="560"/>
      <c r="G45" s="560"/>
      <c r="H45" s="560"/>
      <c r="I45" s="560"/>
      <c r="J45" s="560"/>
      <c r="K45" s="560"/>
      <c r="L45" s="560"/>
      <c r="M45" s="560"/>
      <c r="N45" s="560"/>
      <c r="O45" s="567"/>
      <c r="P45" s="563" t="s">
        <v>75</v>
      </c>
      <c r="Q45" s="564"/>
      <c r="R45" s="564"/>
      <c r="S45" s="564"/>
      <c r="T45" s="564"/>
      <c r="U45" s="564"/>
      <c r="V45" s="565"/>
      <c r="W45" s="37" t="s">
        <v>69</v>
      </c>
      <c r="X45" s="555">
        <f>IFERROR(SUM(X41:X43),"0")</f>
        <v>340</v>
      </c>
      <c r="Y45" s="555">
        <f>IFERROR(SUM(Y41:Y43),"0")</f>
        <v>348</v>
      </c>
      <c r="Z45" s="37"/>
      <c r="AA45" s="556"/>
      <c r="AB45" s="556"/>
      <c r="AC45" s="556"/>
    </row>
    <row r="46" spans="1:68" ht="14.25" hidden="1" customHeight="1" x14ac:dyDescent="0.25">
      <c r="A46" s="559" t="s">
        <v>77</v>
      </c>
      <c r="B46" s="560"/>
      <c r="C46" s="560"/>
      <c r="D46" s="560"/>
      <c r="E46" s="560"/>
      <c r="F46" s="560"/>
      <c r="G46" s="560"/>
      <c r="H46" s="560"/>
      <c r="I46" s="560"/>
      <c r="J46" s="560"/>
      <c r="K46" s="560"/>
      <c r="L46" s="560"/>
      <c r="M46" s="560"/>
      <c r="N46" s="560"/>
      <c r="O46" s="560"/>
      <c r="P46" s="560"/>
      <c r="Q46" s="560"/>
      <c r="R46" s="560"/>
      <c r="S46" s="560"/>
      <c r="T46" s="560"/>
      <c r="U46" s="560"/>
      <c r="V46" s="560"/>
      <c r="W46" s="560"/>
      <c r="X46" s="560"/>
      <c r="Y46" s="560"/>
      <c r="Z46" s="560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1">
        <v>4680115884915</v>
      </c>
      <c r="E47" s="562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79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9"/>
      <c r="R47" s="569"/>
      <c r="S47" s="569"/>
      <c r="T47" s="570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6"/>
      <c r="B48" s="560"/>
      <c r="C48" s="560"/>
      <c r="D48" s="560"/>
      <c r="E48" s="560"/>
      <c r="F48" s="560"/>
      <c r="G48" s="560"/>
      <c r="H48" s="560"/>
      <c r="I48" s="560"/>
      <c r="J48" s="560"/>
      <c r="K48" s="560"/>
      <c r="L48" s="560"/>
      <c r="M48" s="560"/>
      <c r="N48" s="560"/>
      <c r="O48" s="567"/>
      <c r="P48" s="563" t="s">
        <v>75</v>
      </c>
      <c r="Q48" s="564"/>
      <c r="R48" s="564"/>
      <c r="S48" s="564"/>
      <c r="T48" s="564"/>
      <c r="U48" s="564"/>
      <c r="V48" s="565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0"/>
      <c r="B49" s="560"/>
      <c r="C49" s="560"/>
      <c r="D49" s="560"/>
      <c r="E49" s="560"/>
      <c r="F49" s="560"/>
      <c r="G49" s="560"/>
      <c r="H49" s="560"/>
      <c r="I49" s="560"/>
      <c r="J49" s="560"/>
      <c r="K49" s="560"/>
      <c r="L49" s="560"/>
      <c r="M49" s="560"/>
      <c r="N49" s="560"/>
      <c r="O49" s="567"/>
      <c r="P49" s="563" t="s">
        <v>75</v>
      </c>
      <c r="Q49" s="564"/>
      <c r="R49" s="564"/>
      <c r="S49" s="564"/>
      <c r="T49" s="564"/>
      <c r="U49" s="564"/>
      <c r="V49" s="565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92" t="s">
        <v>118</v>
      </c>
      <c r="B50" s="560"/>
      <c r="C50" s="560"/>
      <c r="D50" s="560"/>
      <c r="E50" s="560"/>
      <c r="F50" s="560"/>
      <c r="G50" s="560"/>
      <c r="H50" s="560"/>
      <c r="I50" s="560"/>
      <c r="J50" s="560"/>
      <c r="K50" s="560"/>
      <c r="L50" s="560"/>
      <c r="M50" s="560"/>
      <c r="N50" s="560"/>
      <c r="O50" s="560"/>
      <c r="P50" s="560"/>
      <c r="Q50" s="560"/>
      <c r="R50" s="560"/>
      <c r="S50" s="560"/>
      <c r="T50" s="560"/>
      <c r="U50" s="560"/>
      <c r="V50" s="560"/>
      <c r="W50" s="560"/>
      <c r="X50" s="560"/>
      <c r="Y50" s="560"/>
      <c r="Z50" s="560"/>
      <c r="AA50" s="548"/>
      <c r="AB50" s="548"/>
      <c r="AC50" s="548"/>
    </row>
    <row r="51" spans="1:68" ht="14.25" hidden="1" customHeight="1" x14ac:dyDescent="0.25">
      <c r="A51" s="559" t="s">
        <v>101</v>
      </c>
      <c r="B51" s="560"/>
      <c r="C51" s="560"/>
      <c r="D51" s="560"/>
      <c r="E51" s="560"/>
      <c r="F51" s="560"/>
      <c r="G51" s="560"/>
      <c r="H51" s="560"/>
      <c r="I51" s="560"/>
      <c r="J51" s="560"/>
      <c r="K51" s="560"/>
      <c r="L51" s="560"/>
      <c r="M51" s="560"/>
      <c r="N51" s="560"/>
      <c r="O51" s="560"/>
      <c r="P51" s="560"/>
      <c r="Q51" s="560"/>
      <c r="R51" s="560"/>
      <c r="S51" s="560"/>
      <c r="T51" s="560"/>
      <c r="U51" s="560"/>
      <c r="V51" s="560"/>
      <c r="W51" s="560"/>
      <c r="X51" s="560"/>
      <c r="Y51" s="560"/>
      <c r="Z51" s="560"/>
      <c r="AA51" s="549"/>
      <c r="AB51" s="549"/>
      <c r="AC51" s="549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61">
        <v>4680115885882</v>
      </c>
      <c r="E52" s="562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80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9"/>
      <c r="R52" s="569"/>
      <c r="S52" s="569"/>
      <c r="T52" s="570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1">
        <v>4680115881426</v>
      </c>
      <c r="E53" s="562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9"/>
      <c r="R53" s="569"/>
      <c r="S53" s="569"/>
      <c r="T53" s="570"/>
      <c r="U53" s="34"/>
      <c r="V53" s="34"/>
      <c r="W53" s="35" t="s">
        <v>69</v>
      </c>
      <c r="X53" s="553">
        <v>150</v>
      </c>
      <c r="Y53" s="554">
        <f t="shared" si="0"/>
        <v>151.20000000000002</v>
      </c>
      <c r="Z53" s="36">
        <f>IFERROR(IF(Y53=0,"",ROUNDUP(Y53/H53,0)*0.01898),"")</f>
        <v>0.26572000000000001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155.69444444444446</v>
      </c>
      <c r="BN53" s="64">
        <f t="shared" si="2"/>
        <v>156.94</v>
      </c>
      <c r="BO53" s="64">
        <f t="shared" si="3"/>
        <v>0.21701388888888887</v>
      </c>
      <c r="BP53" s="64">
        <f t="shared" si="4"/>
        <v>0.21875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1">
        <v>4680115880283</v>
      </c>
      <c r="E54" s="562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9"/>
      <c r="R54" s="569"/>
      <c r="S54" s="569"/>
      <c r="T54" s="570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1">
        <v>4680115881525</v>
      </c>
      <c r="E55" s="562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76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9"/>
      <c r="R55" s="569"/>
      <c r="S55" s="569"/>
      <c r="T55" s="570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1">
        <v>4680115885899</v>
      </c>
      <c r="E56" s="562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85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9"/>
      <c r="R56" s="569"/>
      <c r="S56" s="569"/>
      <c r="T56" s="570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1">
        <v>4680115881419</v>
      </c>
      <c r="E57" s="562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63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9"/>
      <c r="R57" s="569"/>
      <c r="S57" s="569"/>
      <c r="T57" s="570"/>
      <c r="U57" s="34"/>
      <c r="V57" s="34"/>
      <c r="W57" s="35" t="s">
        <v>69</v>
      </c>
      <c r="X57" s="553">
        <v>360</v>
      </c>
      <c r="Y57" s="554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66"/>
      <c r="B58" s="560"/>
      <c r="C58" s="560"/>
      <c r="D58" s="560"/>
      <c r="E58" s="560"/>
      <c r="F58" s="560"/>
      <c r="G58" s="560"/>
      <c r="H58" s="560"/>
      <c r="I58" s="560"/>
      <c r="J58" s="560"/>
      <c r="K58" s="560"/>
      <c r="L58" s="560"/>
      <c r="M58" s="560"/>
      <c r="N58" s="560"/>
      <c r="O58" s="567"/>
      <c r="P58" s="563" t="s">
        <v>75</v>
      </c>
      <c r="Q58" s="564"/>
      <c r="R58" s="564"/>
      <c r="S58" s="564"/>
      <c r="T58" s="564"/>
      <c r="U58" s="564"/>
      <c r="V58" s="565"/>
      <c r="W58" s="37" t="s">
        <v>76</v>
      </c>
      <c r="X58" s="555">
        <f>IFERROR(X52/H52,"0")+IFERROR(X53/H53,"0")+IFERROR(X54/H54,"0")+IFERROR(X55/H55,"0")+IFERROR(X56/H56,"0")+IFERROR(X57/H57,"0")</f>
        <v>93.888888888888886</v>
      </c>
      <c r="Y58" s="555">
        <f>IFERROR(Y52/H52,"0")+IFERROR(Y53/H53,"0")+IFERROR(Y54/H54,"0")+IFERROR(Y55/H55,"0")+IFERROR(Y56/H56,"0")+IFERROR(Y57/H57,"0")</f>
        <v>94</v>
      </c>
      <c r="Z58" s="555">
        <f>IFERROR(IF(Z52="",0,Z52),"0")+IFERROR(IF(Z53="",0,Z53),"0")+IFERROR(IF(Z54="",0,Z54),"0")+IFERROR(IF(Z55="",0,Z55),"0")+IFERROR(IF(Z56="",0,Z56),"0")+IFERROR(IF(Z57="",0,Z57),"0")</f>
        <v>0.98731999999999998</v>
      </c>
      <c r="AA58" s="556"/>
      <c r="AB58" s="556"/>
      <c r="AC58" s="556"/>
    </row>
    <row r="59" spans="1:68" x14ac:dyDescent="0.2">
      <c r="A59" s="560"/>
      <c r="B59" s="560"/>
      <c r="C59" s="560"/>
      <c r="D59" s="560"/>
      <c r="E59" s="560"/>
      <c r="F59" s="560"/>
      <c r="G59" s="560"/>
      <c r="H59" s="560"/>
      <c r="I59" s="560"/>
      <c r="J59" s="560"/>
      <c r="K59" s="560"/>
      <c r="L59" s="560"/>
      <c r="M59" s="560"/>
      <c r="N59" s="560"/>
      <c r="O59" s="567"/>
      <c r="P59" s="563" t="s">
        <v>75</v>
      </c>
      <c r="Q59" s="564"/>
      <c r="R59" s="564"/>
      <c r="S59" s="564"/>
      <c r="T59" s="564"/>
      <c r="U59" s="564"/>
      <c r="V59" s="565"/>
      <c r="W59" s="37" t="s">
        <v>69</v>
      </c>
      <c r="X59" s="555">
        <f>IFERROR(SUM(X52:X57),"0")</f>
        <v>510</v>
      </c>
      <c r="Y59" s="555">
        <f>IFERROR(SUM(Y52:Y57),"0")</f>
        <v>511.20000000000005</v>
      </c>
      <c r="Z59" s="37"/>
      <c r="AA59" s="556"/>
      <c r="AB59" s="556"/>
      <c r="AC59" s="556"/>
    </row>
    <row r="60" spans="1:68" ht="14.25" hidden="1" customHeight="1" x14ac:dyDescent="0.25">
      <c r="A60" s="559" t="s">
        <v>137</v>
      </c>
      <c r="B60" s="560"/>
      <c r="C60" s="560"/>
      <c r="D60" s="560"/>
      <c r="E60" s="560"/>
      <c r="F60" s="560"/>
      <c r="G60" s="560"/>
      <c r="H60" s="560"/>
      <c r="I60" s="560"/>
      <c r="J60" s="560"/>
      <c r="K60" s="560"/>
      <c r="L60" s="560"/>
      <c r="M60" s="560"/>
      <c r="N60" s="560"/>
      <c r="O60" s="560"/>
      <c r="P60" s="560"/>
      <c r="Q60" s="560"/>
      <c r="R60" s="560"/>
      <c r="S60" s="560"/>
      <c r="T60" s="560"/>
      <c r="U60" s="560"/>
      <c r="V60" s="560"/>
      <c r="W60" s="560"/>
      <c r="X60" s="560"/>
      <c r="Y60" s="560"/>
      <c r="Z60" s="560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1">
        <v>4680115881440</v>
      </c>
      <c r="E61" s="562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9"/>
      <c r="R61" s="569"/>
      <c r="S61" s="569"/>
      <c r="T61" s="570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1">
        <v>4680115885950</v>
      </c>
      <c r="E62" s="562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0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9"/>
      <c r="R62" s="569"/>
      <c r="S62" s="569"/>
      <c r="T62" s="570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1">
        <v>4680115881433</v>
      </c>
      <c r="E63" s="562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79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9"/>
      <c r="R63" s="569"/>
      <c r="S63" s="569"/>
      <c r="T63" s="570"/>
      <c r="U63" s="34"/>
      <c r="V63" s="34"/>
      <c r="W63" s="35" t="s">
        <v>69</v>
      </c>
      <c r="X63" s="553">
        <v>135</v>
      </c>
      <c r="Y63" s="554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6"/>
      <c r="B64" s="560"/>
      <c r="C64" s="560"/>
      <c r="D64" s="560"/>
      <c r="E64" s="560"/>
      <c r="F64" s="560"/>
      <c r="G64" s="560"/>
      <c r="H64" s="560"/>
      <c r="I64" s="560"/>
      <c r="J64" s="560"/>
      <c r="K64" s="560"/>
      <c r="L64" s="560"/>
      <c r="M64" s="560"/>
      <c r="N64" s="560"/>
      <c r="O64" s="567"/>
      <c r="P64" s="563" t="s">
        <v>75</v>
      </c>
      <c r="Q64" s="564"/>
      <c r="R64" s="564"/>
      <c r="S64" s="564"/>
      <c r="T64" s="564"/>
      <c r="U64" s="564"/>
      <c r="V64" s="565"/>
      <c r="W64" s="37" t="s">
        <v>76</v>
      </c>
      <c r="X64" s="555">
        <f>IFERROR(X61/H61,"0")+IFERROR(X62/H62,"0")+IFERROR(X63/H63,"0")</f>
        <v>61.111111111111114</v>
      </c>
      <c r="Y64" s="555">
        <f>IFERROR(Y61/H61,"0")+IFERROR(Y62/H62,"0")+IFERROR(Y63/H63,"0")</f>
        <v>62</v>
      </c>
      <c r="Z64" s="555">
        <f>IFERROR(IF(Z61="",0,Z61),"0")+IFERROR(IF(Z62="",0,Z62),"0")+IFERROR(IF(Z63="",0,Z63),"0")</f>
        <v>0.55326000000000009</v>
      </c>
      <c r="AA64" s="556"/>
      <c r="AB64" s="556"/>
      <c r="AC64" s="556"/>
    </row>
    <row r="65" spans="1:68" x14ac:dyDescent="0.2">
      <c r="A65" s="560"/>
      <c r="B65" s="560"/>
      <c r="C65" s="560"/>
      <c r="D65" s="560"/>
      <c r="E65" s="560"/>
      <c r="F65" s="560"/>
      <c r="G65" s="560"/>
      <c r="H65" s="560"/>
      <c r="I65" s="560"/>
      <c r="J65" s="560"/>
      <c r="K65" s="560"/>
      <c r="L65" s="560"/>
      <c r="M65" s="560"/>
      <c r="N65" s="560"/>
      <c r="O65" s="567"/>
      <c r="P65" s="563" t="s">
        <v>75</v>
      </c>
      <c r="Q65" s="564"/>
      <c r="R65" s="564"/>
      <c r="S65" s="564"/>
      <c r="T65" s="564"/>
      <c r="U65" s="564"/>
      <c r="V65" s="565"/>
      <c r="W65" s="37" t="s">
        <v>69</v>
      </c>
      <c r="X65" s="555">
        <f>IFERROR(SUM(X61:X63),"0")</f>
        <v>255</v>
      </c>
      <c r="Y65" s="555">
        <f>IFERROR(SUM(Y61:Y63),"0")</f>
        <v>264.60000000000002</v>
      </c>
      <c r="Z65" s="37"/>
      <c r="AA65" s="556"/>
      <c r="AB65" s="556"/>
      <c r="AC65" s="556"/>
    </row>
    <row r="66" spans="1:68" ht="14.25" hidden="1" customHeight="1" x14ac:dyDescent="0.25">
      <c r="A66" s="559" t="s">
        <v>64</v>
      </c>
      <c r="B66" s="560"/>
      <c r="C66" s="560"/>
      <c r="D66" s="560"/>
      <c r="E66" s="560"/>
      <c r="F66" s="560"/>
      <c r="G66" s="560"/>
      <c r="H66" s="560"/>
      <c r="I66" s="560"/>
      <c r="J66" s="560"/>
      <c r="K66" s="560"/>
      <c r="L66" s="560"/>
      <c r="M66" s="560"/>
      <c r="N66" s="560"/>
      <c r="O66" s="560"/>
      <c r="P66" s="560"/>
      <c r="Q66" s="560"/>
      <c r="R66" s="560"/>
      <c r="S66" s="560"/>
      <c r="T66" s="560"/>
      <c r="U66" s="560"/>
      <c r="V66" s="560"/>
      <c r="W66" s="560"/>
      <c r="X66" s="560"/>
      <c r="Y66" s="560"/>
      <c r="Z66" s="560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1">
        <v>4680115885073</v>
      </c>
      <c r="E67" s="562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2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9"/>
      <c r="R67" s="569"/>
      <c r="S67" s="569"/>
      <c r="T67" s="570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1">
        <v>4680115885097</v>
      </c>
      <c r="E68" s="562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9"/>
      <c r="R68" s="569"/>
      <c r="S68" s="569"/>
      <c r="T68" s="570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6"/>
      <c r="B69" s="560"/>
      <c r="C69" s="560"/>
      <c r="D69" s="560"/>
      <c r="E69" s="560"/>
      <c r="F69" s="560"/>
      <c r="G69" s="560"/>
      <c r="H69" s="560"/>
      <c r="I69" s="560"/>
      <c r="J69" s="560"/>
      <c r="K69" s="560"/>
      <c r="L69" s="560"/>
      <c r="M69" s="560"/>
      <c r="N69" s="560"/>
      <c r="O69" s="567"/>
      <c r="P69" s="563" t="s">
        <v>75</v>
      </c>
      <c r="Q69" s="564"/>
      <c r="R69" s="564"/>
      <c r="S69" s="564"/>
      <c r="T69" s="564"/>
      <c r="U69" s="564"/>
      <c r="V69" s="565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0"/>
      <c r="B70" s="560"/>
      <c r="C70" s="560"/>
      <c r="D70" s="560"/>
      <c r="E70" s="560"/>
      <c r="F70" s="560"/>
      <c r="G70" s="560"/>
      <c r="H70" s="560"/>
      <c r="I70" s="560"/>
      <c r="J70" s="560"/>
      <c r="K70" s="560"/>
      <c r="L70" s="560"/>
      <c r="M70" s="560"/>
      <c r="N70" s="560"/>
      <c r="O70" s="567"/>
      <c r="P70" s="563" t="s">
        <v>75</v>
      </c>
      <c r="Q70" s="564"/>
      <c r="R70" s="564"/>
      <c r="S70" s="564"/>
      <c r="T70" s="564"/>
      <c r="U70" s="564"/>
      <c r="V70" s="565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59" t="s">
        <v>77</v>
      </c>
      <c r="B71" s="560"/>
      <c r="C71" s="560"/>
      <c r="D71" s="560"/>
      <c r="E71" s="560"/>
      <c r="F71" s="560"/>
      <c r="G71" s="560"/>
      <c r="H71" s="560"/>
      <c r="I71" s="560"/>
      <c r="J71" s="560"/>
      <c r="K71" s="560"/>
      <c r="L71" s="560"/>
      <c r="M71" s="560"/>
      <c r="N71" s="560"/>
      <c r="O71" s="560"/>
      <c r="P71" s="560"/>
      <c r="Q71" s="560"/>
      <c r="R71" s="560"/>
      <c r="S71" s="560"/>
      <c r="T71" s="560"/>
      <c r="U71" s="560"/>
      <c r="V71" s="560"/>
      <c r="W71" s="560"/>
      <c r="X71" s="560"/>
      <c r="Y71" s="560"/>
      <c r="Z71" s="560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1">
        <v>4680115885769</v>
      </c>
      <c r="E72" s="562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61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9"/>
      <c r="R72" s="569"/>
      <c r="S72" s="569"/>
      <c r="T72" s="570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1">
        <v>4680115884311</v>
      </c>
      <c r="E73" s="562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8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9"/>
      <c r="R73" s="569"/>
      <c r="S73" s="569"/>
      <c r="T73" s="570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1">
        <v>4680115885929</v>
      </c>
      <c r="E74" s="562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9"/>
      <c r="R74" s="569"/>
      <c r="S74" s="569"/>
      <c r="T74" s="570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1">
        <v>4680115884403</v>
      </c>
      <c r="E75" s="562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6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9"/>
      <c r="R75" s="569"/>
      <c r="S75" s="569"/>
      <c r="T75" s="570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6"/>
      <c r="B76" s="560"/>
      <c r="C76" s="560"/>
      <c r="D76" s="560"/>
      <c r="E76" s="560"/>
      <c r="F76" s="560"/>
      <c r="G76" s="560"/>
      <c r="H76" s="560"/>
      <c r="I76" s="560"/>
      <c r="J76" s="560"/>
      <c r="K76" s="560"/>
      <c r="L76" s="560"/>
      <c r="M76" s="560"/>
      <c r="N76" s="560"/>
      <c r="O76" s="567"/>
      <c r="P76" s="563" t="s">
        <v>75</v>
      </c>
      <c r="Q76" s="564"/>
      <c r="R76" s="564"/>
      <c r="S76" s="564"/>
      <c r="T76" s="564"/>
      <c r="U76" s="564"/>
      <c r="V76" s="565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0"/>
      <c r="B77" s="560"/>
      <c r="C77" s="560"/>
      <c r="D77" s="560"/>
      <c r="E77" s="560"/>
      <c r="F77" s="560"/>
      <c r="G77" s="560"/>
      <c r="H77" s="560"/>
      <c r="I77" s="560"/>
      <c r="J77" s="560"/>
      <c r="K77" s="560"/>
      <c r="L77" s="560"/>
      <c r="M77" s="560"/>
      <c r="N77" s="560"/>
      <c r="O77" s="567"/>
      <c r="P77" s="563" t="s">
        <v>75</v>
      </c>
      <c r="Q77" s="564"/>
      <c r="R77" s="564"/>
      <c r="S77" s="564"/>
      <c r="T77" s="564"/>
      <c r="U77" s="564"/>
      <c r="V77" s="565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59" t="s">
        <v>162</v>
      </c>
      <c r="B78" s="560"/>
      <c r="C78" s="560"/>
      <c r="D78" s="560"/>
      <c r="E78" s="560"/>
      <c r="F78" s="560"/>
      <c r="G78" s="560"/>
      <c r="H78" s="560"/>
      <c r="I78" s="560"/>
      <c r="J78" s="560"/>
      <c r="K78" s="560"/>
      <c r="L78" s="560"/>
      <c r="M78" s="560"/>
      <c r="N78" s="560"/>
      <c r="O78" s="560"/>
      <c r="P78" s="560"/>
      <c r="Q78" s="560"/>
      <c r="R78" s="560"/>
      <c r="S78" s="560"/>
      <c r="T78" s="560"/>
      <c r="U78" s="560"/>
      <c r="V78" s="560"/>
      <c r="W78" s="560"/>
      <c r="X78" s="560"/>
      <c r="Y78" s="560"/>
      <c r="Z78" s="560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1">
        <v>4680115881532</v>
      </c>
      <c r="E79" s="562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79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9"/>
      <c r="R79" s="569"/>
      <c r="S79" s="569"/>
      <c r="T79" s="570"/>
      <c r="U79" s="34"/>
      <c r="V79" s="34"/>
      <c r="W79" s="35" t="s">
        <v>69</v>
      </c>
      <c r="X79" s="553">
        <v>70</v>
      </c>
      <c r="Y79" s="554">
        <f>IFERROR(IF(X79="",0,CEILING((X79/$H79),1)*$H79),"")</f>
        <v>70.2</v>
      </c>
      <c r="Z79" s="36">
        <f>IFERROR(IF(Y79=0,"",ROUNDUP(Y79/H79,0)*0.01898),"")</f>
        <v>0.17082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73.679487179487182</v>
      </c>
      <c r="BN79" s="64">
        <f>IFERROR(Y79*I79/H79,"0")</f>
        <v>73.890000000000015</v>
      </c>
      <c r="BO79" s="64">
        <f>IFERROR(1/J79*(X79/H79),"0")</f>
        <v>0.14022435897435898</v>
      </c>
      <c r="BP79" s="64">
        <f>IFERROR(1/J79*(Y79/H79),"0")</f>
        <v>0.140625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1">
        <v>4680115881464</v>
      </c>
      <c r="E80" s="562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68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9"/>
      <c r="R80" s="569"/>
      <c r="S80" s="569"/>
      <c r="T80" s="570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6"/>
      <c r="B81" s="560"/>
      <c r="C81" s="560"/>
      <c r="D81" s="560"/>
      <c r="E81" s="560"/>
      <c r="F81" s="560"/>
      <c r="G81" s="560"/>
      <c r="H81" s="560"/>
      <c r="I81" s="560"/>
      <c r="J81" s="560"/>
      <c r="K81" s="560"/>
      <c r="L81" s="560"/>
      <c r="M81" s="560"/>
      <c r="N81" s="560"/>
      <c r="O81" s="567"/>
      <c r="P81" s="563" t="s">
        <v>75</v>
      </c>
      <c r="Q81" s="564"/>
      <c r="R81" s="564"/>
      <c r="S81" s="564"/>
      <c r="T81" s="564"/>
      <c r="U81" s="564"/>
      <c r="V81" s="565"/>
      <c r="W81" s="37" t="s">
        <v>76</v>
      </c>
      <c r="X81" s="555">
        <f>IFERROR(X79/H79,"0")+IFERROR(X80/H80,"0")</f>
        <v>8.9743589743589745</v>
      </c>
      <c r="Y81" s="555">
        <f>IFERROR(Y79/H79,"0")+IFERROR(Y80/H80,"0")</f>
        <v>9</v>
      </c>
      <c r="Z81" s="555">
        <f>IFERROR(IF(Z79="",0,Z79),"0")+IFERROR(IF(Z80="",0,Z80),"0")</f>
        <v>0.17082</v>
      </c>
      <c r="AA81" s="556"/>
      <c r="AB81" s="556"/>
      <c r="AC81" s="556"/>
    </row>
    <row r="82" spans="1:68" x14ac:dyDescent="0.2">
      <c r="A82" s="560"/>
      <c r="B82" s="560"/>
      <c r="C82" s="560"/>
      <c r="D82" s="560"/>
      <c r="E82" s="560"/>
      <c r="F82" s="560"/>
      <c r="G82" s="560"/>
      <c r="H82" s="560"/>
      <c r="I82" s="560"/>
      <c r="J82" s="560"/>
      <c r="K82" s="560"/>
      <c r="L82" s="560"/>
      <c r="M82" s="560"/>
      <c r="N82" s="560"/>
      <c r="O82" s="567"/>
      <c r="P82" s="563" t="s">
        <v>75</v>
      </c>
      <c r="Q82" s="564"/>
      <c r="R82" s="564"/>
      <c r="S82" s="564"/>
      <c r="T82" s="564"/>
      <c r="U82" s="564"/>
      <c r="V82" s="565"/>
      <c r="W82" s="37" t="s">
        <v>69</v>
      </c>
      <c r="X82" s="555">
        <f>IFERROR(SUM(X79:X80),"0")</f>
        <v>70</v>
      </c>
      <c r="Y82" s="555">
        <f>IFERROR(SUM(Y79:Y80),"0")</f>
        <v>70.2</v>
      </c>
      <c r="Z82" s="37"/>
      <c r="AA82" s="556"/>
      <c r="AB82" s="556"/>
      <c r="AC82" s="556"/>
    </row>
    <row r="83" spans="1:68" ht="16.5" hidden="1" customHeight="1" x14ac:dyDescent="0.25">
      <c r="A83" s="592" t="s">
        <v>169</v>
      </c>
      <c r="B83" s="560"/>
      <c r="C83" s="560"/>
      <c r="D83" s="560"/>
      <c r="E83" s="560"/>
      <c r="F83" s="560"/>
      <c r="G83" s="560"/>
      <c r="H83" s="560"/>
      <c r="I83" s="560"/>
      <c r="J83" s="560"/>
      <c r="K83" s="560"/>
      <c r="L83" s="560"/>
      <c r="M83" s="560"/>
      <c r="N83" s="560"/>
      <c r="O83" s="560"/>
      <c r="P83" s="560"/>
      <c r="Q83" s="560"/>
      <c r="R83" s="560"/>
      <c r="S83" s="560"/>
      <c r="T83" s="560"/>
      <c r="U83" s="560"/>
      <c r="V83" s="560"/>
      <c r="W83" s="560"/>
      <c r="X83" s="560"/>
      <c r="Y83" s="560"/>
      <c r="Z83" s="560"/>
      <c r="AA83" s="548"/>
      <c r="AB83" s="548"/>
      <c r="AC83" s="548"/>
    </row>
    <row r="84" spans="1:68" ht="14.25" hidden="1" customHeight="1" x14ac:dyDescent="0.25">
      <c r="A84" s="559" t="s">
        <v>101</v>
      </c>
      <c r="B84" s="560"/>
      <c r="C84" s="560"/>
      <c r="D84" s="560"/>
      <c r="E84" s="560"/>
      <c r="F84" s="560"/>
      <c r="G84" s="560"/>
      <c r="H84" s="560"/>
      <c r="I84" s="560"/>
      <c r="J84" s="560"/>
      <c r="K84" s="560"/>
      <c r="L84" s="560"/>
      <c r="M84" s="560"/>
      <c r="N84" s="560"/>
      <c r="O84" s="560"/>
      <c r="P84" s="560"/>
      <c r="Q84" s="560"/>
      <c r="R84" s="560"/>
      <c r="S84" s="560"/>
      <c r="T84" s="560"/>
      <c r="U84" s="560"/>
      <c r="V84" s="560"/>
      <c r="W84" s="560"/>
      <c r="X84" s="560"/>
      <c r="Y84" s="560"/>
      <c r="Z84" s="560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1">
        <v>4680115881327</v>
      </c>
      <c r="E85" s="562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5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9"/>
      <c r="R85" s="569"/>
      <c r="S85" s="569"/>
      <c r="T85" s="570"/>
      <c r="U85" s="34"/>
      <c r="V85" s="34"/>
      <c r="W85" s="35" t="s">
        <v>69</v>
      </c>
      <c r="X85" s="553">
        <v>100</v>
      </c>
      <c r="Y85" s="554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1">
        <v>4680115887732</v>
      </c>
      <c r="E86" s="562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803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9"/>
      <c r="R86" s="569"/>
      <c r="S86" s="569"/>
      <c r="T86" s="570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1">
        <v>4680115881518</v>
      </c>
      <c r="E87" s="562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9"/>
      <c r="R87" s="569"/>
      <c r="S87" s="569"/>
      <c r="T87" s="570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1">
        <v>4680115881303</v>
      </c>
      <c r="E88" s="562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87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9"/>
      <c r="R88" s="569"/>
      <c r="S88" s="569"/>
      <c r="T88" s="570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66"/>
      <c r="B89" s="560"/>
      <c r="C89" s="560"/>
      <c r="D89" s="560"/>
      <c r="E89" s="560"/>
      <c r="F89" s="560"/>
      <c r="G89" s="560"/>
      <c r="H89" s="560"/>
      <c r="I89" s="560"/>
      <c r="J89" s="560"/>
      <c r="K89" s="560"/>
      <c r="L89" s="560"/>
      <c r="M89" s="560"/>
      <c r="N89" s="560"/>
      <c r="O89" s="567"/>
      <c r="P89" s="563" t="s">
        <v>75</v>
      </c>
      <c r="Q89" s="564"/>
      <c r="R89" s="564"/>
      <c r="S89" s="564"/>
      <c r="T89" s="564"/>
      <c r="U89" s="564"/>
      <c r="V89" s="565"/>
      <c r="W89" s="37" t="s">
        <v>76</v>
      </c>
      <c r="X89" s="555">
        <f>IFERROR(X85/H85,"0")+IFERROR(X86/H86,"0")+IFERROR(X87/H87,"0")+IFERROR(X88/H88,"0")</f>
        <v>109.25925925925927</v>
      </c>
      <c r="Y89" s="555">
        <f>IFERROR(Y85/H85,"0")+IFERROR(Y86/H86,"0")+IFERROR(Y87/H87,"0")+IFERROR(Y88/H88,"0")</f>
        <v>110</v>
      </c>
      <c r="Z89" s="555">
        <f>IFERROR(IF(Z85="",0,Z85),"0")+IFERROR(IF(Z86="",0,Z86),"0")+IFERROR(IF(Z87="",0,Z87),"0")+IFERROR(IF(Z88="",0,Z88),"0")</f>
        <v>1.0918000000000001</v>
      </c>
      <c r="AA89" s="556"/>
      <c r="AB89" s="556"/>
      <c r="AC89" s="556"/>
    </row>
    <row r="90" spans="1:68" x14ac:dyDescent="0.2">
      <c r="A90" s="560"/>
      <c r="B90" s="560"/>
      <c r="C90" s="560"/>
      <c r="D90" s="560"/>
      <c r="E90" s="560"/>
      <c r="F90" s="560"/>
      <c r="G90" s="560"/>
      <c r="H90" s="560"/>
      <c r="I90" s="560"/>
      <c r="J90" s="560"/>
      <c r="K90" s="560"/>
      <c r="L90" s="560"/>
      <c r="M90" s="560"/>
      <c r="N90" s="560"/>
      <c r="O90" s="567"/>
      <c r="P90" s="563" t="s">
        <v>75</v>
      </c>
      <c r="Q90" s="564"/>
      <c r="R90" s="564"/>
      <c r="S90" s="564"/>
      <c r="T90" s="564"/>
      <c r="U90" s="564"/>
      <c r="V90" s="565"/>
      <c r="W90" s="37" t="s">
        <v>69</v>
      </c>
      <c r="X90" s="555">
        <f>IFERROR(SUM(X85:X88),"0")</f>
        <v>550</v>
      </c>
      <c r="Y90" s="555">
        <f>IFERROR(SUM(Y85:Y88),"0")</f>
        <v>558</v>
      </c>
      <c r="Z90" s="37"/>
      <c r="AA90" s="556"/>
      <c r="AB90" s="556"/>
      <c r="AC90" s="556"/>
    </row>
    <row r="91" spans="1:68" ht="14.25" hidden="1" customHeight="1" x14ac:dyDescent="0.25">
      <c r="A91" s="559" t="s">
        <v>77</v>
      </c>
      <c r="B91" s="560"/>
      <c r="C91" s="560"/>
      <c r="D91" s="560"/>
      <c r="E91" s="560"/>
      <c r="F91" s="560"/>
      <c r="G91" s="560"/>
      <c r="H91" s="560"/>
      <c r="I91" s="560"/>
      <c r="J91" s="560"/>
      <c r="K91" s="560"/>
      <c r="L91" s="560"/>
      <c r="M91" s="560"/>
      <c r="N91" s="560"/>
      <c r="O91" s="560"/>
      <c r="P91" s="560"/>
      <c r="Q91" s="560"/>
      <c r="R91" s="560"/>
      <c r="S91" s="560"/>
      <c r="T91" s="560"/>
      <c r="U91" s="560"/>
      <c r="V91" s="560"/>
      <c r="W91" s="560"/>
      <c r="X91" s="560"/>
      <c r="Y91" s="560"/>
      <c r="Z91" s="560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1">
        <v>4607091386967</v>
      </c>
      <c r="E92" s="562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84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9"/>
      <c r="R92" s="569"/>
      <c r="S92" s="569"/>
      <c r="T92" s="570"/>
      <c r="U92" s="34"/>
      <c r="V92" s="34"/>
      <c r="W92" s="35" t="s">
        <v>69</v>
      </c>
      <c r="X92" s="553">
        <v>250</v>
      </c>
      <c r="Y92" s="554">
        <f>IFERROR(IF(X92="",0,CEILING((X92/$H92),1)*$H92),"")</f>
        <v>251.1</v>
      </c>
      <c r="Z92" s="36">
        <f>IFERROR(IF(Y92=0,"",ROUNDUP(Y92/H92,0)*0.01898),"")</f>
        <v>0.58838000000000001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265.24691358024694</v>
      </c>
      <c r="BN92" s="64">
        <f>IFERROR(Y92*I92/H92,"0")</f>
        <v>266.41399999999999</v>
      </c>
      <c r="BO92" s="64">
        <f>IFERROR(1/J92*(X92/H92),"0")</f>
        <v>0.48225308641975312</v>
      </c>
      <c r="BP92" s="64">
        <f>IFERROR(1/J92*(Y92/H92),"0")</f>
        <v>0.484375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1">
        <v>4680115884953</v>
      </c>
      <c r="E93" s="562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67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9"/>
      <c r="R93" s="569"/>
      <c r="S93" s="569"/>
      <c r="T93" s="570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1">
        <v>4607091385731</v>
      </c>
      <c r="E94" s="562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84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9"/>
      <c r="R94" s="569"/>
      <c r="S94" s="569"/>
      <c r="T94" s="570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1">
        <v>4680115880894</v>
      </c>
      <c r="E95" s="562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8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9"/>
      <c r="R95" s="569"/>
      <c r="S95" s="569"/>
      <c r="T95" s="570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6"/>
      <c r="B96" s="560"/>
      <c r="C96" s="560"/>
      <c r="D96" s="560"/>
      <c r="E96" s="560"/>
      <c r="F96" s="560"/>
      <c r="G96" s="560"/>
      <c r="H96" s="560"/>
      <c r="I96" s="560"/>
      <c r="J96" s="560"/>
      <c r="K96" s="560"/>
      <c r="L96" s="560"/>
      <c r="M96" s="560"/>
      <c r="N96" s="560"/>
      <c r="O96" s="567"/>
      <c r="P96" s="563" t="s">
        <v>75</v>
      </c>
      <c r="Q96" s="564"/>
      <c r="R96" s="564"/>
      <c r="S96" s="564"/>
      <c r="T96" s="564"/>
      <c r="U96" s="564"/>
      <c r="V96" s="565"/>
      <c r="W96" s="37" t="s">
        <v>76</v>
      </c>
      <c r="X96" s="555">
        <f>IFERROR(X92/H92,"0")+IFERROR(X93/H93,"0")+IFERROR(X94/H94,"0")+IFERROR(X95/H95,"0")</f>
        <v>164.19753086419752</v>
      </c>
      <c r="Y96" s="555">
        <f>IFERROR(Y92/H92,"0")+IFERROR(Y93/H93,"0")+IFERROR(Y94/H94,"0")+IFERROR(Y95/H95,"0")</f>
        <v>165</v>
      </c>
      <c r="Z96" s="555">
        <f>IFERROR(IF(Z92="",0,Z92),"0")+IFERROR(IF(Z93="",0,Z93),"0")+IFERROR(IF(Z94="",0,Z94),"0")+IFERROR(IF(Z95="",0,Z95),"0")</f>
        <v>1.46072</v>
      </c>
      <c r="AA96" s="556"/>
      <c r="AB96" s="556"/>
      <c r="AC96" s="556"/>
    </row>
    <row r="97" spans="1:68" x14ac:dyDescent="0.2">
      <c r="A97" s="560"/>
      <c r="B97" s="560"/>
      <c r="C97" s="560"/>
      <c r="D97" s="560"/>
      <c r="E97" s="560"/>
      <c r="F97" s="560"/>
      <c r="G97" s="560"/>
      <c r="H97" s="560"/>
      <c r="I97" s="560"/>
      <c r="J97" s="560"/>
      <c r="K97" s="560"/>
      <c r="L97" s="560"/>
      <c r="M97" s="560"/>
      <c r="N97" s="560"/>
      <c r="O97" s="567"/>
      <c r="P97" s="563" t="s">
        <v>75</v>
      </c>
      <c r="Q97" s="564"/>
      <c r="R97" s="564"/>
      <c r="S97" s="564"/>
      <c r="T97" s="564"/>
      <c r="U97" s="564"/>
      <c r="V97" s="565"/>
      <c r="W97" s="37" t="s">
        <v>69</v>
      </c>
      <c r="X97" s="555">
        <f>IFERROR(SUM(X92:X95),"0")</f>
        <v>610</v>
      </c>
      <c r="Y97" s="555">
        <f>IFERROR(SUM(Y92:Y95),"0")</f>
        <v>612.9</v>
      </c>
      <c r="Z97" s="37"/>
      <c r="AA97" s="556"/>
      <c r="AB97" s="556"/>
      <c r="AC97" s="556"/>
    </row>
    <row r="98" spans="1:68" ht="16.5" hidden="1" customHeight="1" x14ac:dyDescent="0.25">
      <c r="A98" s="592" t="s">
        <v>191</v>
      </c>
      <c r="B98" s="560"/>
      <c r="C98" s="560"/>
      <c r="D98" s="560"/>
      <c r="E98" s="560"/>
      <c r="F98" s="560"/>
      <c r="G98" s="560"/>
      <c r="H98" s="560"/>
      <c r="I98" s="560"/>
      <c r="J98" s="560"/>
      <c r="K98" s="560"/>
      <c r="L98" s="560"/>
      <c r="M98" s="560"/>
      <c r="N98" s="560"/>
      <c r="O98" s="560"/>
      <c r="P98" s="560"/>
      <c r="Q98" s="560"/>
      <c r="R98" s="560"/>
      <c r="S98" s="560"/>
      <c r="T98" s="560"/>
      <c r="U98" s="560"/>
      <c r="V98" s="560"/>
      <c r="W98" s="560"/>
      <c r="X98" s="560"/>
      <c r="Y98" s="560"/>
      <c r="Z98" s="560"/>
      <c r="AA98" s="548"/>
      <c r="AB98" s="548"/>
      <c r="AC98" s="548"/>
    </row>
    <row r="99" spans="1:68" ht="14.25" hidden="1" customHeight="1" x14ac:dyDescent="0.25">
      <c r="A99" s="559" t="s">
        <v>101</v>
      </c>
      <c r="B99" s="560"/>
      <c r="C99" s="560"/>
      <c r="D99" s="560"/>
      <c r="E99" s="560"/>
      <c r="F99" s="560"/>
      <c r="G99" s="560"/>
      <c r="H99" s="560"/>
      <c r="I99" s="560"/>
      <c r="J99" s="560"/>
      <c r="K99" s="560"/>
      <c r="L99" s="560"/>
      <c r="M99" s="560"/>
      <c r="N99" s="560"/>
      <c r="O99" s="560"/>
      <c r="P99" s="560"/>
      <c r="Q99" s="560"/>
      <c r="R99" s="560"/>
      <c r="S99" s="560"/>
      <c r="T99" s="560"/>
      <c r="U99" s="560"/>
      <c r="V99" s="560"/>
      <c r="W99" s="560"/>
      <c r="X99" s="560"/>
      <c r="Y99" s="560"/>
      <c r="Z99" s="560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1">
        <v>4680115882133</v>
      </c>
      <c r="E100" s="562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84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9"/>
      <c r="R100" s="569"/>
      <c r="S100" s="569"/>
      <c r="T100" s="570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1">
        <v>4680115887718</v>
      </c>
      <c r="E101" s="562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65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9"/>
      <c r="R101" s="569"/>
      <c r="S101" s="569"/>
      <c r="T101" s="570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1">
        <v>4680115880269</v>
      </c>
      <c r="E102" s="562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9"/>
      <c r="R102" s="569"/>
      <c r="S102" s="569"/>
      <c r="T102" s="570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1">
        <v>4680115880429</v>
      </c>
      <c r="E103" s="562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81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9"/>
      <c r="R103" s="569"/>
      <c r="S103" s="569"/>
      <c r="T103" s="570"/>
      <c r="U103" s="34"/>
      <c r="V103" s="34"/>
      <c r="W103" s="35" t="s">
        <v>69</v>
      </c>
      <c r="X103" s="553">
        <v>180</v>
      </c>
      <c r="Y103" s="554">
        <f>IFERROR(IF(X103="",0,CEILING((X103/$H103),1)*$H103),"")</f>
        <v>180</v>
      </c>
      <c r="Z103" s="36">
        <f>IFERROR(IF(Y103=0,"",ROUNDUP(Y103/H103,0)*0.00902),"")</f>
        <v>0.36080000000000001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187.60000000000002</v>
      </c>
      <c r="BN103" s="64">
        <f>IFERROR(Y103*I103/H103,"0")</f>
        <v>187.60000000000002</v>
      </c>
      <c r="BO103" s="64">
        <f>IFERROR(1/J103*(X103/H103),"0")</f>
        <v>0.30303030303030304</v>
      </c>
      <c r="BP103" s="64">
        <f>IFERROR(1/J103*(Y103/H103),"0")</f>
        <v>0.30303030303030304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1">
        <v>4680115881457</v>
      </c>
      <c r="E104" s="562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86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9"/>
      <c r="R104" s="569"/>
      <c r="S104" s="569"/>
      <c r="T104" s="570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6"/>
      <c r="B105" s="560"/>
      <c r="C105" s="560"/>
      <c r="D105" s="560"/>
      <c r="E105" s="560"/>
      <c r="F105" s="560"/>
      <c r="G105" s="560"/>
      <c r="H105" s="560"/>
      <c r="I105" s="560"/>
      <c r="J105" s="560"/>
      <c r="K105" s="560"/>
      <c r="L105" s="560"/>
      <c r="M105" s="560"/>
      <c r="N105" s="560"/>
      <c r="O105" s="567"/>
      <c r="P105" s="563" t="s">
        <v>75</v>
      </c>
      <c r="Q105" s="564"/>
      <c r="R105" s="564"/>
      <c r="S105" s="564"/>
      <c r="T105" s="564"/>
      <c r="U105" s="564"/>
      <c r="V105" s="565"/>
      <c r="W105" s="37" t="s">
        <v>76</v>
      </c>
      <c r="X105" s="555">
        <f>IFERROR(X100/H100,"0")+IFERROR(X101/H101,"0")+IFERROR(X102/H102,"0")+IFERROR(X103/H103,"0")+IFERROR(X104/H104,"0")</f>
        <v>44.629629629629633</v>
      </c>
      <c r="Y105" s="555">
        <f>IFERROR(Y100/H100,"0")+IFERROR(Y101/H101,"0")+IFERROR(Y102/H102,"0")+IFERROR(Y103/H103,"0")+IFERROR(Y104/H104,"0")</f>
        <v>45</v>
      </c>
      <c r="Z105" s="555">
        <f>IFERROR(IF(Z100="",0,Z100),"0")+IFERROR(IF(Z101="",0,Z101),"0")+IFERROR(IF(Z102="",0,Z102),"0")+IFERROR(IF(Z103="",0,Z103),"0")+IFERROR(IF(Z104="",0,Z104),"0")</f>
        <v>0.45569999999999999</v>
      </c>
      <c r="AA105" s="556"/>
      <c r="AB105" s="556"/>
      <c r="AC105" s="556"/>
    </row>
    <row r="106" spans="1:68" x14ac:dyDescent="0.2">
      <c r="A106" s="560"/>
      <c r="B106" s="560"/>
      <c r="C106" s="560"/>
      <c r="D106" s="560"/>
      <c r="E106" s="560"/>
      <c r="F106" s="560"/>
      <c r="G106" s="560"/>
      <c r="H106" s="560"/>
      <c r="I106" s="560"/>
      <c r="J106" s="560"/>
      <c r="K106" s="560"/>
      <c r="L106" s="560"/>
      <c r="M106" s="560"/>
      <c r="N106" s="560"/>
      <c r="O106" s="567"/>
      <c r="P106" s="563" t="s">
        <v>75</v>
      </c>
      <c r="Q106" s="564"/>
      <c r="R106" s="564"/>
      <c r="S106" s="564"/>
      <c r="T106" s="564"/>
      <c r="U106" s="564"/>
      <c r="V106" s="565"/>
      <c r="W106" s="37" t="s">
        <v>69</v>
      </c>
      <c r="X106" s="555">
        <f>IFERROR(SUM(X100:X104),"0")</f>
        <v>230</v>
      </c>
      <c r="Y106" s="555">
        <f>IFERROR(SUM(Y100:Y104),"0")</f>
        <v>234</v>
      </c>
      <c r="Z106" s="37"/>
      <c r="AA106" s="556"/>
      <c r="AB106" s="556"/>
      <c r="AC106" s="556"/>
    </row>
    <row r="107" spans="1:68" ht="14.25" hidden="1" customHeight="1" x14ac:dyDescent="0.25">
      <c r="A107" s="559" t="s">
        <v>137</v>
      </c>
      <c r="B107" s="560"/>
      <c r="C107" s="560"/>
      <c r="D107" s="560"/>
      <c r="E107" s="560"/>
      <c r="F107" s="560"/>
      <c r="G107" s="560"/>
      <c r="H107" s="560"/>
      <c r="I107" s="560"/>
      <c r="J107" s="560"/>
      <c r="K107" s="560"/>
      <c r="L107" s="560"/>
      <c r="M107" s="560"/>
      <c r="N107" s="560"/>
      <c r="O107" s="560"/>
      <c r="P107" s="560"/>
      <c r="Q107" s="560"/>
      <c r="R107" s="560"/>
      <c r="S107" s="560"/>
      <c r="T107" s="560"/>
      <c r="U107" s="560"/>
      <c r="V107" s="560"/>
      <c r="W107" s="560"/>
      <c r="X107" s="560"/>
      <c r="Y107" s="560"/>
      <c r="Z107" s="560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1">
        <v>4680115881488</v>
      </c>
      <c r="E108" s="562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69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9"/>
      <c r="R108" s="569"/>
      <c r="S108" s="569"/>
      <c r="T108" s="570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1">
        <v>4680115887664</v>
      </c>
      <c r="E109" s="562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680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9"/>
      <c r="R109" s="569"/>
      <c r="S109" s="569"/>
      <c r="T109" s="570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1">
        <v>4680115882775</v>
      </c>
      <c r="E110" s="562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6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9"/>
      <c r="R110" s="569"/>
      <c r="S110" s="569"/>
      <c r="T110" s="570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1">
        <v>4680115880658</v>
      </c>
      <c r="E111" s="562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59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9"/>
      <c r="R111" s="569"/>
      <c r="S111" s="569"/>
      <c r="T111" s="570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6"/>
      <c r="B112" s="560"/>
      <c r="C112" s="560"/>
      <c r="D112" s="560"/>
      <c r="E112" s="560"/>
      <c r="F112" s="560"/>
      <c r="G112" s="560"/>
      <c r="H112" s="560"/>
      <c r="I112" s="560"/>
      <c r="J112" s="560"/>
      <c r="K112" s="560"/>
      <c r="L112" s="560"/>
      <c r="M112" s="560"/>
      <c r="N112" s="560"/>
      <c r="O112" s="567"/>
      <c r="P112" s="563" t="s">
        <v>75</v>
      </c>
      <c r="Q112" s="564"/>
      <c r="R112" s="564"/>
      <c r="S112" s="564"/>
      <c r="T112" s="564"/>
      <c r="U112" s="564"/>
      <c r="V112" s="565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0"/>
      <c r="B113" s="560"/>
      <c r="C113" s="560"/>
      <c r="D113" s="560"/>
      <c r="E113" s="560"/>
      <c r="F113" s="560"/>
      <c r="G113" s="560"/>
      <c r="H113" s="560"/>
      <c r="I113" s="560"/>
      <c r="J113" s="560"/>
      <c r="K113" s="560"/>
      <c r="L113" s="560"/>
      <c r="M113" s="560"/>
      <c r="N113" s="560"/>
      <c r="O113" s="567"/>
      <c r="P113" s="563" t="s">
        <v>75</v>
      </c>
      <c r="Q113" s="564"/>
      <c r="R113" s="564"/>
      <c r="S113" s="564"/>
      <c r="T113" s="564"/>
      <c r="U113" s="564"/>
      <c r="V113" s="565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59" t="s">
        <v>77</v>
      </c>
      <c r="B114" s="560"/>
      <c r="C114" s="560"/>
      <c r="D114" s="560"/>
      <c r="E114" s="560"/>
      <c r="F114" s="560"/>
      <c r="G114" s="560"/>
      <c r="H114" s="560"/>
      <c r="I114" s="560"/>
      <c r="J114" s="560"/>
      <c r="K114" s="560"/>
      <c r="L114" s="560"/>
      <c r="M114" s="560"/>
      <c r="N114" s="560"/>
      <c r="O114" s="560"/>
      <c r="P114" s="560"/>
      <c r="Q114" s="560"/>
      <c r="R114" s="560"/>
      <c r="S114" s="560"/>
      <c r="T114" s="560"/>
      <c r="U114" s="560"/>
      <c r="V114" s="560"/>
      <c r="W114" s="560"/>
      <c r="X114" s="560"/>
      <c r="Y114" s="560"/>
      <c r="Z114" s="560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1">
        <v>4607091385168</v>
      </c>
      <c r="E115" s="562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9"/>
      <c r="R115" s="569"/>
      <c r="S115" s="569"/>
      <c r="T115" s="570"/>
      <c r="U115" s="34"/>
      <c r="V115" s="34"/>
      <c r="W115" s="35" t="s">
        <v>69</v>
      </c>
      <c r="X115" s="553">
        <v>250</v>
      </c>
      <c r="Y115" s="554">
        <f>IFERROR(IF(X115="",0,CEILING((X115/$H115),1)*$H115),"")</f>
        <v>251.1</v>
      </c>
      <c r="Z115" s="36">
        <f>IFERROR(IF(Y115=0,"",ROUNDUP(Y115/H115,0)*0.01898),"")</f>
        <v>0.58838000000000001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265.06172839506172</v>
      </c>
      <c r="BN115" s="64">
        <f>IFERROR(Y115*I115/H115,"0")</f>
        <v>266.22799999999995</v>
      </c>
      <c r="BO115" s="64">
        <f>IFERROR(1/J115*(X115/H115),"0")</f>
        <v>0.48225308641975312</v>
      </c>
      <c r="BP115" s="64">
        <f>IFERROR(1/J115*(Y115/H115),"0")</f>
        <v>0.484375</v>
      </c>
    </row>
    <row r="116" spans="1:68" ht="27" hidden="1" customHeight="1" x14ac:dyDescent="0.25">
      <c r="A116" s="54" t="s">
        <v>218</v>
      </c>
      <c r="B116" s="54" t="s">
        <v>219</v>
      </c>
      <c r="C116" s="31">
        <v>4301051730</v>
      </c>
      <c r="D116" s="561">
        <v>4607091383256</v>
      </c>
      <c r="E116" s="562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81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9"/>
      <c r="R116" s="569"/>
      <c r="S116" s="569"/>
      <c r="T116" s="570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1">
        <v>4607091385748</v>
      </c>
      <c r="E117" s="562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7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9"/>
      <c r="R117" s="569"/>
      <c r="S117" s="569"/>
      <c r="T117" s="570"/>
      <c r="U117" s="34"/>
      <c r="V117" s="34"/>
      <c r="W117" s="35" t="s">
        <v>69</v>
      </c>
      <c r="X117" s="553">
        <v>225</v>
      </c>
      <c r="Y117" s="554">
        <f>IFERROR(IF(X117="",0,CEILING((X117/$H117),1)*$H117),"")</f>
        <v>226.8</v>
      </c>
      <c r="Z117" s="36">
        <f>IFERROR(IF(Y117=0,"",ROUNDUP(Y117/H117,0)*0.00651),"")</f>
        <v>0.54683999999999999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246</v>
      </c>
      <c r="BN117" s="64">
        <f>IFERROR(Y117*I117/H117,"0")</f>
        <v>247.96799999999999</v>
      </c>
      <c r="BO117" s="64">
        <f>IFERROR(1/J117*(X117/H117),"0")</f>
        <v>0.45787545787545786</v>
      </c>
      <c r="BP117" s="64">
        <f>IFERROR(1/J117*(Y117/H117),"0")</f>
        <v>0.46153846153846156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1">
        <v>4680115884533</v>
      </c>
      <c r="E118" s="562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76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9"/>
      <c r="R118" s="569"/>
      <c r="S118" s="569"/>
      <c r="T118" s="570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66"/>
      <c r="B119" s="560"/>
      <c r="C119" s="560"/>
      <c r="D119" s="560"/>
      <c r="E119" s="560"/>
      <c r="F119" s="560"/>
      <c r="G119" s="560"/>
      <c r="H119" s="560"/>
      <c r="I119" s="560"/>
      <c r="J119" s="560"/>
      <c r="K119" s="560"/>
      <c r="L119" s="560"/>
      <c r="M119" s="560"/>
      <c r="N119" s="560"/>
      <c r="O119" s="567"/>
      <c r="P119" s="563" t="s">
        <v>75</v>
      </c>
      <c r="Q119" s="564"/>
      <c r="R119" s="564"/>
      <c r="S119" s="564"/>
      <c r="T119" s="564"/>
      <c r="U119" s="564"/>
      <c r="V119" s="565"/>
      <c r="W119" s="37" t="s">
        <v>76</v>
      </c>
      <c r="X119" s="555">
        <f>IFERROR(X115/H115,"0")+IFERROR(X116/H116,"0")+IFERROR(X117/H117,"0")+IFERROR(X118/H118,"0")</f>
        <v>119.19753086419753</v>
      </c>
      <c r="Y119" s="555">
        <f>IFERROR(Y115/H115,"0")+IFERROR(Y116/H116,"0")+IFERROR(Y117/H117,"0")+IFERROR(Y118/H118,"0")</f>
        <v>120</v>
      </c>
      <c r="Z119" s="555">
        <f>IFERROR(IF(Z115="",0,Z115),"0")+IFERROR(IF(Z116="",0,Z116),"0")+IFERROR(IF(Z117="",0,Z117),"0")+IFERROR(IF(Z118="",0,Z118),"0")</f>
        <v>1.16777</v>
      </c>
      <c r="AA119" s="556"/>
      <c r="AB119" s="556"/>
      <c r="AC119" s="556"/>
    </row>
    <row r="120" spans="1:68" x14ac:dyDescent="0.2">
      <c r="A120" s="560"/>
      <c r="B120" s="560"/>
      <c r="C120" s="560"/>
      <c r="D120" s="560"/>
      <c r="E120" s="560"/>
      <c r="F120" s="560"/>
      <c r="G120" s="560"/>
      <c r="H120" s="560"/>
      <c r="I120" s="560"/>
      <c r="J120" s="560"/>
      <c r="K120" s="560"/>
      <c r="L120" s="560"/>
      <c r="M120" s="560"/>
      <c r="N120" s="560"/>
      <c r="O120" s="567"/>
      <c r="P120" s="563" t="s">
        <v>75</v>
      </c>
      <c r="Q120" s="564"/>
      <c r="R120" s="564"/>
      <c r="S120" s="564"/>
      <c r="T120" s="564"/>
      <c r="U120" s="564"/>
      <c r="V120" s="565"/>
      <c r="W120" s="37" t="s">
        <v>69</v>
      </c>
      <c r="X120" s="555">
        <f>IFERROR(SUM(X115:X118),"0")</f>
        <v>484</v>
      </c>
      <c r="Y120" s="555">
        <f>IFERROR(SUM(Y115:Y118),"0")</f>
        <v>486.9</v>
      </c>
      <c r="Z120" s="37"/>
      <c r="AA120" s="556"/>
      <c r="AB120" s="556"/>
      <c r="AC120" s="556"/>
    </row>
    <row r="121" spans="1:68" ht="14.25" hidden="1" customHeight="1" x14ac:dyDescent="0.25">
      <c r="A121" s="559" t="s">
        <v>162</v>
      </c>
      <c r="B121" s="560"/>
      <c r="C121" s="560"/>
      <c r="D121" s="560"/>
      <c r="E121" s="560"/>
      <c r="F121" s="560"/>
      <c r="G121" s="560"/>
      <c r="H121" s="560"/>
      <c r="I121" s="560"/>
      <c r="J121" s="560"/>
      <c r="K121" s="560"/>
      <c r="L121" s="560"/>
      <c r="M121" s="560"/>
      <c r="N121" s="560"/>
      <c r="O121" s="560"/>
      <c r="P121" s="560"/>
      <c r="Q121" s="560"/>
      <c r="R121" s="560"/>
      <c r="S121" s="560"/>
      <c r="T121" s="560"/>
      <c r="U121" s="560"/>
      <c r="V121" s="560"/>
      <c r="W121" s="560"/>
      <c r="X121" s="560"/>
      <c r="Y121" s="560"/>
      <c r="Z121" s="560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1">
        <v>4680115880238</v>
      </c>
      <c r="E122" s="562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4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9"/>
      <c r="R122" s="569"/>
      <c r="S122" s="569"/>
      <c r="T122" s="570"/>
      <c r="U122" s="34"/>
      <c r="V122" s="34"/>
      <c r="W122" s="35" t="s">
        <v>69</v>
      </c>
      <c r="X122" s="553">
        <v>13.2</v>
      </c>
      <c r="Y122" s="554">
        <f>IFERROR(IF(X122="",0,CEILING((X122/$H122),1)*$H122),"")</f>
        <v>13.86</v>
      </c>
      <c r="Z122" s="36">
        <f>IFERROR(IF(Y122=0,"",ROUNDUP(Y122/H122,0)*0.00651),"")</f>
        <v>4.5569999999999999E-2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14.92</v>
      </c>
      <c r="BN122" s="64">
        <f>IFERROR(Y122*I122/H122,"0")</f>
        <v>15.666</v>
      </c>
      <c r="BO122" s="64">
        <f>IFERROR(1/J122*(X122/H122),"0")</f>
        <v>3.6630036630036632E-2</v>
      </c>
      <c r="BP122" s="64">
        <f>IFERROR(1/J122*(Y122/H122),"0")</f>
        <v>3.8461538461538464E-2</v>
      </c>
    </row>
    <row r="123" spans="1:68" x14ac:dyDescent="0.2">
      <c r="A123" s="566"/>
      <c r="B123" s="560"/>
      <c r="C123" s="560"/>
      <c r="D123" s="560"/>
      <c r="E123" s="560"/>
      <c r="F123" s="560"/>
      <c r="G123" s="560"/>
      <c r="H123" s="560"/>
      <c r="I123" s="560"/>
      <c r="J123" s="560"/>
      <c r="K123" s="560"/>
      <c r="L123" s="560"/>
      <c r="M123" s="560"/>
      <c r="N123" s="560"/>
      <c r="O123" s="567"/>
      <c r="P123" s="563" t="s">
        <v>75</v>
      </c>
      <c r="Q123" s="564"/>
      <c r="R123" s="564"/>
      <c r="S123" s="564"/>
      <c r="T123" s="564"/>
      <c r="U123" s="564"/>
      <c r="V123" s="565"/>
      <c r="W123" s="37" t="s">
        <v>76</v>
      </c>
      <c r="X123" s="555">
        <f>IFERROR(X122/H122,"0")</f>
        <v>6.6666666666666661</v>
      </c>
      <c r="Y123" s="555">
        <f>IFERROR(Y122/H122,"0")</f>
        <v>7</v>
      </c>
      <c r="Z123" s="555">
        <f>IFERROR(IF(Z122="",0,Z122),"0")</f>
        <v>4.5569999999999999E-2</v>
      </c>
      <c r="AA123" s="556"/>
      <c r="AB123" s="556"/>
      <c r="AC123" s="556"/>
    </row>
    <row r="124" spans="1:68" x14ac:dyDescent="0.2">
      <c r="A124" s="560"/>
      <c r="B124" s="560"/>
      <c r="C124" s="560"/>
      <c r="D124" s="560"/>
      <c r="E124" s="560"/>
      <c r="F124" s="560"/>
      <c r="G124" s="560"/>
      <c r="H124" s="560"/>
      <c r="I124" s="560"/>
      <c r="J124" s="560"/>
      <c r="K124" s="560"/>
      <c r="L124" s="560"/>
      <c r="M124" s="560"/>
      <c r="N124" s="560"/>
      <c r="O124" s="567"/>
      <c r="P124" s="563" t="s">
        <v>75</v>
      </c>
      <c r="Q124" s="564"/>
      <c r="R124" s="564"/>
      <c r="S124" s="564"/>
      <c r="T124" s="564"/>
      <c r="U124" s="564"/>
      <c r="V124" s="565"/>
      <c r="W124" s="37" t="s">
        <v>69</v>
      </c>
      <c r="X124" s="555">
        <f>IFERROR(SUM(X122:X122),"0")</f>
        <v>13.2</v>
      </c>
      <c r="Y124" s="555">
        <f>IFERROR(SUM(Y122:Y122),"0")</f>
        <v>13.86</v>
      </c>
      <c r="Z124" s="37"/>
      <c r="AA124" s="556"/>
      <c r="AB124" s="556"/>
      <c r="AC124" s="556"/>
    </row>
    <row r="125" spans="1:68" ht="16.5" hidden="1" customHeight="1" x14ac:dyDescent="0.25">
      <c r="A125" s="592" t="s">
        <v>229</v>
      </c>
      <c r="B125" s="560"/>
      <c r="C125" s="560"/>
      <c r="D125" s="560"/>
      <c r="E125" s="560"/>
      <c r="F125" s="560"/>
      <c r="G125" s="560"/>
      <c r="H125" s="560"/>
      <c r="I125" s="560"/>
      <c r="J125" s="560"/>
      <c r="K125" s="560"/>
      <c r="L125" s="560"/>
      <c r="M125" s="560"/>
      <c r="N125" s="560"/>
      <c r="O125" s="560"/>
      <c r="P125" s="560"/>
      <c r="Q125" s="560"/>
      <c r="R125" s="560"/>
      <c r="S125" s="560"/>
      <c r="T125" s="560"/>
      <c r="U125" s="560"/>
      <c r="V125" s="560"/>
      <c r="W125" s="560"/>
      <c r="X125" s="560"/>
      <c r="Y125" s="560"/>
      <c r="Z125" s="560"/>
      <c r="AA125" s="548"/>
      <c r="AB125" s="548"/>
      <c r="AC125" s="548"/>
    </row>
    <row r="126" spans="1:68" ht="14.25" hidden="1" customHeight="1" x14ac:dyDescent="0.25">
      <c r="A126" s="559" t="s">
        <v>101</v>
      </c>
      <c r="B126" s="560"/>
      <c r="C126" s="560"/>
      <c r="D126" s="560"/>
      <c r="E126" s="560"/>
      <c r="F126" s="560"/>
      <c r="G126" s="560"/>
      <c r="H126" s="560"/>
      <c r="I126" s="560"/>
      <c r="J126" s="560"/>
      <c r="K126" s="560"/>
      <c r="L126" s="560"/>
      <c r="M126" s="560"/>
      <c r="N126" s="560"/>
      <c r="O126" s="560"/>
      <c r="P126" s="560"/>
      <c r="Q126" s="560"/>
      <c r="R126" s="560"/>
      <c r="S126" s="560"/>
      <c r="T126" s="560"/>
      <c r="U126" s="560"/>
      <c r="V126" s="560"/>
      <c r="W126" s="560"/>
      <c r="X126" s="560"/>
      <c r="Y126" s="560"/>
      <c r="Z126" s="560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1">
        <v>4680115882577</v>
      </c>
      <c r="E127" s="562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64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9"/>
      <c r="R127" s="569"/>
      <c r="S127" s="569"/>
      <c r="T127" s="570"/>
      <c r="U127" s="34"/>
      <c r="V127" s="34"/>
      <c r="W127" s="35" t="s">
        <v>69</v>
      </c>
      <c r="X127" s="553">
        <v>60</v>
      </c>
      <c r="Y127" s="554">
        <f>IFERROR(IF(X127="",0,CEILING((X127/$H127),1)*$H127),"")</f>
        <v>60.800000000000004</v>
      </c>
      <c r="Z127" s="36">
        <f>IFERROR(IF(Y127=0,"",ROUNDUP(Y127/H127,0)*0.00651),"")</f>
        <v>0.12369000000000001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63.374999999999993</v>
      </c>
      <c r="BN127" s="64">
        <f>IFERROR(Y127*I127/H127,"0")</f>
        <v>64.22</v>
      </c>
      <c r="BO127" s="64">
        <f>IFERROR(1/J127*(X127/H127),"0")</f>
        <v>0.10302197802197803</v>
      </c>
      <c r="BP127" s="64">
        <f>IFERROR(1/J127*(Y127/H127),"0")</f>
        <v>0.1043956043956044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1">
        <v>4680115882577</v>
      </c>
      <c r="E128" s="562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64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9"/>
      <c r="R128" s="569"/>
      <c r="S128" s="569"/>
      <c r="T128" s="570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6"/>
      <c r="B129" s="560"/>
      <c r="C129" s="560"/>
      <c r="D129" s="560"/>
      <c r="E129" s="560"/>
      <c r="F129" s="560"/>
      <c r="G129" s="560"/>
      <c r="H129" s="560"/>
      <c r="I129" s="560"/>
      <c r="J129" s="560"/>
      <c r="K129" s="560"/>
      <c r="L129" s="560"/>
      <c r="M129" s="560"/>
      <c r="N129" s="560"/>
      <c r="O129" s="567"/>
      <c r="P129" s="563" t="s">
        <v>75</v>
      </c>
      <c r="Q129" s="564"/>
      <c r="R129" s="564"/>
      <c r="S129" s="564"/>
      <c r="T129" s="564"/>
      <c r="U129" s="564"/>
      <c r="V129" s="565"/>
      <c r="W129" s="37" t="s">
        <v>76</v>
      </c>
      <c r="X129" s="555">
        <f>IFERROR(X127/H127,"0")+IFERROR(X128/H128,"0")</f>
        <v>18.75</v>
      </c>
      <c r="Y129" s="555">
        <f>IFERROR(Y127/H127,"0")+IFERROR(Y128/H128,"0")</f>
        <v>19</v>
      </c>
      <c r="Z129" s="555">
        <f>IFERROR(IF(Z127="",0,Z127),"0")+IFERROR(IF(Z128="",0,Z128),"0")</f>
        <v>0.12369000000000001</v>
      </c>
      <c r="AA129" s="556"/>
      <c r="AB129" s="556"/>
      <c r="AC129" s="556"/>
    </row>
    <row r="130" spans="1:68" x14ac:dyDescent="0.2">
      <c r="A130" s="560"/>
      <c r="B130" s="560"/>
      <c r="C130" s="560"/>
      <c r="D130" s="560"/>
      <c r="E130" s="560"/>
      <c r="F130" s="560"/>
      <c r="G130" s="560"/>
      <c r="H130" s="560"/>
      <c r="I130" s="560"/>
      <c r="J130" s="560"/>
      <c r="K130" s="560"/>
      <c r="L130" s="560"/>
      <c r="M130" s="560"/>
      <c r="N130" s="560"/>
      <c r="O130" s="567"/>
      <c r="P130" s="563" t="s">
        <v>75</v>
      </c>
      <c r="Q130" s="564"/>
      <c r="R130" s="564"/>
      <c r="S130" s="564"/>
      <c r="T130" s="564"/>
      <c r="U130" s="564"/>
      <c r="V130" s="565"/>
      <c r="W130" s="37" t="s">
        <v>69</v>
      </c>
      <c r="X130" s="555">
        <f>IFERROR(SUM(X127:X128),"0")</f>
        <v>60</v>
      </c>
      <c r="Y130" s="555">
        <f>IFERROR(SUM(Y127:Y128),"0")</f>
        <v>60.800000000000004</v>
      </c>
      <c r="Z130" s="37"/>
      <c r="AA130" s="556"/>
      <c r="AB130" s="556"/>
      <c r="AC130" s="556"/>
    </row>
    <row r="131" spans="1:68" ht="14.25" hidden="1" customHeight="1" x14ac:dyDescent="0.25">
      <c r="A131" s="559" t="s">
        <v>64</v>
      </c>
      <c r="B131" s="560"/>
      <c r="C131" s="560"/>
      <c r="D131" s="560"/>
      <c r="E131" s="560"/>
      <c r="F131" s="560"/>
      <c r="G131" s="560"/>
      <c r="H131" s="560"/>
      <c r="I131" s="560"/>
      <c r="J131" s="560"/>
      <c r="K131" s="560"/>
      <c r="L131" s="560"/>
      <c r="M131" s="560"/>
      <c r="N131" s="560"/>
      <c r="O131" s="560"/>
      <c r="P131" s="560"/>
      <c r="Q131" s="560"/>
      <c r="R131" s="560"/>
      <c r="S131" s="560"/>
      <c r="T131" s="560"/>
      <c r="U131" s="560"/>
      <c r="V131" s="560"/>
      <c r="W131" s="560"/>
      <c r="X131" s="560"/>
      <c r="Y131" s="560"/>
      <c r="Z131" s="560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1">
        <v>4680115883444</v>
      </c>
      <c r="E132" s="562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8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9"/>
      <c r="R132" s="569"/>
      <c r="S132" s="569"/>
      <c r="T132" s="570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1">
        <v>4680115883444</v>
      </c>
      <c r="E133" s="562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63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9"/>
      <c r="R133" s="569"/>
      <c r="S133" s="569"/>
      <c r="T133" s="570"/>
      <c r="U133" s="34"/>
      <c r="V133" s="34"/>
      <c r="W133" s="35" t="s">
        <v>69</v>
      </c>
      <c r="X133" s="553">
        <v>42</v>
      </c>
      <c r="Y133" s="554">
        <f>IFERROR(IF(X133="",0,CEILING((X133/$H133),1)*$H133),"")</f>
        <v>42</v>
      </c>
      <c r="Z133" s="36">
        <f>IFERROR(IF(Y133=0,"",ROUNDUP(Y133/H133,0)*0.00651),"")</f>
        <v>9.7650000000000001E-2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46.02</v>
      </c>
      <c r="BN133" s="64">
        <f>IFERROR(Y133*I133/H133,"0")</f>
        <v>46.02</v>
      </c>
      <c r="BO133" s="64">
        <f>IFERROR(1/J133*(X133/H133),"0")</f>
        <v>8.241758241758243E-2</v>
      </c>
      <c r="BP133" s="64">
        <f>IFERROR(1/J133*(Y133/H133),"0")</f>
        <v>8.241758241758243E-2</v>
      </c>
    </row>
    <row r="134" spans="1:68" x14ac:dyDescent="0.2">
      <c r="A134" s="566"/>
      <c r="B134" s="560"/>
      <c r="C134" s="560"/>
      <c r="D134" s="560"/>
      <c r="E134" s="560"/>
      <c r="F134" s="560"/>
      <c r="G134" s="560"/>
      <c r="H134" s="560"/>
      <c r="I134" s="560"/>
      <c r="J134" s="560"/>
      <c r="K134" s="560"/>
      <c r="L134" s="560"/>
      <c r="M134" s="560"/>
      <c r="N134" s="560"/>
      <c r="O134" s="567"/>
      <c r="P134" s="563" t="s">
        <v>75</v>
      </c>
      <c r="Q134" s="564"/>
      <c r="R134" s="564"/>
      <c r="S134" s="564"/>
      <c r="T134" s="564"/>
      <c r="U134" s="564"/>
      <c r="V134" s="565"/>
      <c r="W134" s="37" t="s">
        <v>76</v>
      </c>
      <c r="X134" s="555">
        <f>IFERROR(X132/H132,"0")+IFERROR(X133/H133,"0")</f>
        <v>15.000000000000002</v>
      </c>
      <c r="Y134" s="555">
        <f>IFERROR(Y132/H132,"0")+IFERROR(Y133/H133,"0")</f>
        <v>15.000000000000002</v>
      </c>
      <c r="Z134" s="555">
        <f>IFERROR(IF(Z132="",0,Z132),"0")+IFERROR(IF(Z133="",0,Z133),"0")</f>
        <v>9.7650000000000001E-2</v>
      </c>
      <c r="AA134" s="556"/>
      <c r="AB134" s="556"/>
      <c r="AC134" s="556"/>
    </row>
    <row r="135" spans="1:68" x14ac:dyDescent="0.2">
      <c r="A135" s="560"/>
      <c r="B135" s="560"/>
      <c r="C135" s="560"/>
      <c r="D135" s="560"/>
      <c r="E135" s="560"/>
      <c r="F135" s="560"/>
      <c r="G135" s="560"/>
      <c r="H135" s="560"/>
      <c r="I135" s="560"/>
      <c r="J135" s="560"/>
      <c r="K135" s="560"/>
      <c r="L135" s="560"/>
      <c r="M135" s="560"/>
      <c r="N135" s="560"/>
      <c r="O135" s="567"/>
      <c r="P135" s="563" t="s">
        <v>75</v>
      </c>
      <c r="Q135" s="564"/>
      <c r="R135" s="564"/>
      <c r="S135" s="564"/>
      <c r="T135" s="564"/>
      <c r="U135" s="564"/>
      <c r="V135" s="565"/>
      <c r="W135" s="37" t="s">
        <v>69</v>
      </c>
      <c r="X135" s="555">
        <f>IFERROR(SUM(X132:X133),"0")</f>
        <v>42</v>
      </c>
      <c r="Y135" s="555">
        <f>IFERROR(SUM(Y132:Y133),"0")</f>
        <v>42</v>
      </c>
      <c r="Z135" s="37"/>
      <c r="AA135" s="556"/>
      <c r="AB135" s="556"/>
      <c r="AC135" s="556"/>
    </row>
    <row r="136" spans="1:68" ht="14.25" hidden="1" customHeight="1" x14ac:dyDescent="0.25">
      <c r="A136" s="559" t="s">
        <v>77</v>
      </c>
      <c r="B136" s="560"/>
      <c r="C136" s="560"/>
      <c r="D136" s="560"/>
      <c r="E136" s="560"/>
      <c r="F136" s="560"/>
      <c r="G136" s="560"/>
      <c r="H136" s="560"/>
      <c r="I136" s="560"/>
      <c r="J136" s="560"/>
      <c r="K136" s="560"/>
      <c r="L136" s="560"/>
      <c r="M136" s="560"/>
      <c r="N136" s="560"/>
      <c r="O136" s="560"/>
      <c r="P136" s="560"/>
      <c r="Q136" s="560"/>
      <c r="R136" s="560"/>
      <c r="S136" s="560"/>
      <c r="T136" s="560"/>
      <c r="U136" s="560"/>
      <c r="V136" s="560"/>
      <c r="W136" s="560"/>
      <c r="X136" s="560"/>
      <c r="Y136" s="560"/>
      <c r="Z136" s="560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1">
        <v>4680115882584</v>
      </c>
      <c r="E137" s="562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7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9"/>
      <c r="R137" s="569"/>
      <c r="S137" s="569"/>
      <c r="T137" s="570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1">
        <v>4680115882584</v>
      </c>
      <c r="E138" s="562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9"/>
      <c r="R138" s="569"/>
      <c r="S138" s="569"/>
      <c r="T138" s="570"/>
      <c r="U138" s="34"/>
      <c r="V138" s="34"/>
      <c r="W138" s="35" t="s">
        <v>69</v>
      </c>
      <c r="X138" s="553">
        <v>49.5</v>
      </c>
      <c r="Y138" s="554">
        <f>IFERROR(IF(X138="",0,CEILING((X138/$H138),1)*$H138),"")</f>
        <v>50.160000000000004</v>
      </c>
      <c r="Z138" s="36">
        <f>IFERROR(IF(Y138=0,"",ROUNDUP(Y138/H138,0)*0.00651),"")</f>
        <v>0.12369000000000001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54.524999999999999</v>
      </c>
      <c r="BN138" s="64">
        <f>IFERROR(Y138*I138/H138,"0")</f>
        <v>55.252000000000002</v>
      </c>
      <c r="BO138" s="64">
        <f>IFERROR(1/J138*(X138/H138),"0")</f>
        <v>0.10302197802197803</v>
      </c>
      <c r="BP138" s="64">
        <f>IFERROR(1/J138*(Y138/H138),"0")</f>
        <v>0.1043956043956044</v>
      </c>
    </row>
    <row r="139" spans="1:68" x14ac:dyDescent="0.2">
      <c r="A139" s="566"/>
      <c r="B139" s="560"/>
      <c r="C139" s="560"/>
      <c r="D139" s="560"/>
      <c r="E139" s="560"/>
      <c r="F139" s="560"/>
      <c r="G139" s="560"/>
      <c r="H139" s="560"/>
      <c r="I139" s="560"/>
      <c r="J139" s="560"/>
      <c r="K139" s="560"/>
      <c r="L139" s="560"/>
      <c r="M139" s="560"/>
      <c r="N139" s="560"/>
      <c r="O139" s="567"/>
      <c r="P139" s="563" t="s">
        <v>75</v>
      </c>
      <c r="Q139" s="564"/>
      <c r="R139" s="564"/>
      <c r="S139" s="564"/>
      <c r="T139" s="564"/>
      <c r="U139" s="564"/>
      <c r="V139" s="565"/>
      <c r="W139" s="37" t="s">
        <v>76</v>
      </c>
      <c r="X139" s="555">
        <f>IFERROR(X137/H137,"0")+IFERROR(X138/H138,"0")</f>
        <v>18.75</v>
      </c>
      <c r="Y139" s="555">
        <f>IFERROR(Y137/H137,"0")+IFERROR(Y138/H138,"0")</f>
        <v>19</v>
      </c>
      <c r="Z139" s="555">
        <f>IFERROR(IF(Z137="",0,Z137),"0")+IFERROR(IF(Z138="",0,Z138),"0")</f>
        <v>0.12369000000000001</v>
      </c>
      <c r="AA139" s="556"/>
      <c r="AB139" s="556"/>
      <c r="AC139" s="556"/>
    </row>
    <row r="140" spans="1:68" x14ac:dyDescent="0.2">
      <c r="A140" s="560"/>
      <c r="B140" s="560"/>
      <c r="C140" s="560"/>
      <c r="D140" s="560"/>
      <c r="E140" s="560"/>
      <c r="F140" s="560"/>
      <c r="G140" s="560"/>
      <c r="H140" s="560"/>
      <c r="I140" s="560"/>
      <c r="J140" s="560"/>
      <c r="K140" s="560"/>
      <c r="L140" s="560"/>
      <c r="M140" s="560"/>
      <c r="N140" s="560"/>
      <c r="O140" s="567"/>
      <c r="P140" s="563" t="s">
        <v>75</v>
      </c>
      <c r="Q140" s="564"/>
      <c r="R140" s="564"/>
      <c r="S140" s="564"/>
      <c r="T140" s="564"/>
      <c r="U140" s="564"/>
      <c r="V140" s="565"/>
      <c r="W140" s="37" t="s">
        <v>69</v>
      </c>
      <c r="X140" s="555">
        <f>IFERROR(SUM(X137:X138),"0")</f>
        <v>49.5</v>
      </c>
      <c r="Y140" s="555">
        <f>IFERROR(SUM(Y137:Y138),"0")</f>
        <v>50.160000000000004</v>
      </c>
      <c r="Z140" s="37"/>
      <c r="AA140" s="556"/>
      <c r="AB140" s="556"/>
      <c r="AC140" s="556"/>
    </row>
    <row r="141" spans="1:68" ht="16.5" hidden="1" customHeight="1" x14ac:dyDescent="0.25">
      <c r="A141" s="592" t="s">
        <v>99</v>
      </c>
      <c r="B141" s="560"/>
      <c r="C141" s="560"/>
      <c r="D141" s="560"/>
      <c r="E141" s="560"/>
      <c r="F141" s="560"/>
      <c r="G141" s="560"/>
      <c r="H141" s="56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560"/>
      <c r="U141" s="560"/>
      <c r="V141" s="560"/>
      <c r="W141" s="560"/>
      <c r="X141" s="560"/>
      <c r="Y141" s="560"/>
      <c r="Z141" s="560"/>
      <c r="AA141" s="548"/>
      <c r="AB141" s="548"/>
      <c r="AC141" s="548"/>
    </row>
    <row r="142" spans="1:68" ht="14.25" hidden="1" customHeight="1" x14ac:dyDescent="0.25">
      <c r="A142" s="559" t="s">
        <v>101</v>
      </c>
      <c r="B142" s="560"/>
      <c r="C142" s="560"/>
      <c r="D142" s="560"/>
      <c r="E142" s="560"/>
      <c r="F142" s="560"/>
      <c r="G142" s="560"/>
      <c r="H142" s="560"/>
      <c r="I142" s="560"/>
      <c r="J142" s="560"/>
      <c r="K142" s="560"/>
      <c r="L142" s="560"/>
      <c r="M142" s="560"/>
      <c r="N142" s="560"/>
      <c r="O142" s="560"/>
      <c r="P142" s="560"/>
      <c r="Q142" s="560"/>
      <c r="R142" s="560"/>
      <c r="S142" s="560"/>
      <c r="T142" s="560"/>
      <c r="U142" s="560"/>
      <c r="V142" s="560"/>
      <c r="W142" s="560"/>
      <c r="X142" s="560"/>
      <c r="Y142" s="560"/>
      <c r="Z142" s="560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1">
        <v>4680115887374</v>
      </c>
      <c r="E143" s="562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0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9"/>
      <c r="R143" s="569"/>
      <c r="S143" s="569"/>
      <c r="T143" s="570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1">
        <v>4607091384604</v>
      </c>
      <c r="E144" s="562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8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9"/>
      <c r="R144" s="569"/>
      <c r="S144" s="569"/>
      <c r="T144" s="570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6"/>
      <c r="B145" s="560"/>
      <c r="C145" s="560"/>
      <c r="D145" s="560"/>
      <c r="E145" s="560"/>
      <c r="F145" s="560"/>
      <c r="G145" s="560"/>
      <c r="H145" s="560"/>
      <c r="I145" s="560"/>
      <c r="J145" s="560"/>
      <c r="K145" s="560"/>
      <c r="L145" s="560"/>
      <c r="M145" s="560"/>
      <c r="N145" s="560"/>
      <c r="O145" s="567"/>
      <c r="P145" s="563" t="s">
        <v>75</v>
      </c>
      <c r="Q145" s="564"/>
      <c r="R145" s="564"/>
      <c r="S145" s="564"/>
      <c r="T145" s="564"/>
      <c r="U145" s="564"/>
      <c r="V145" s="565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0"/>
      <c r="B146" s="560"/>
      <c r="C146" s="560"/>
      <c r="D146" s="560"/>
      <c r="E146" s="560"/>
      <c r="F146" s="560"/>
      <c r="G146" s="560"/>
      <c r="H146" s="560"/>
      <c r="I146" s="560"/>
      <c r="J146" s="560"/>
      <c r="K146" s="560"/>
      <c r="L146" s="560"/>
      <c r="M146" s="560"/>
      <c r="N146" s="560"/>
      <c r="O146" s="567"/>
      <c r="P146" s="563" t="s">
        <v>75</v>
      </c>
      <c r="Q146" s="564"/>
      <c r="R146" s="564"/>
      <c r="S146" s="564"/>
      <c r="T146" s="564"/>
      <c r="U146" s="564"/>
      <c r="V146" s="565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59" t="s">
        <v>64</v>
      </c>
      <c r="B147" s="560"/>
      <c r="C147" s="560"/>
      <c r="D147" s="560"/>
      <c r="E147" s="560"/>
      <c r="F147" s="560"/>
      <c r="G147" s="560"/>
      <c r="H147" s="560"/>
      <c r="I147" s="560"/>
      <c r="J147" s="560"/>
      <c r="K147" s="560"/>
      <c r="L147" s="560"/>
      <c r="M147" s="560"/>
      <c r="N147" s="560"/>
      <c r="O147" s="560"/>
      <c r="P147" s="560"/>
      <c r="Q147" s="560"/>
      <c r="R147" s="560"/>
      <c r="S147" s="560"/>
      <c r="T147" s="560"/>
      <c r="U147" s="560"/>
      <c r="V147" s="560"/>
      <c r="W147" s="560"/>
      <c r="X147" s="560"/>
      <c r="Y147" s="560"/>
      <c r="Z147" s="560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1">
        <v>4607091387667</v>
      </c>
      <c r="E148" s="562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828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9"/>
      <c r="R148" s="569"/>
      <c r="S148" s="569"/>
      <c r="T148" s="570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1">
        <v>4680115887428</v>
      </c>
      <c r="E149" s="562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5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9"/>
      <c r="R149" s="569"/>
      <c r="S149" s="569"/>
      <c r="T149" s="570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1">
        <v>4607091387636</v>
      </c>
      <c r="E150" s="562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80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9"/>
      <c r="R150" s="569"/>
      <c r="S150" s="569"/>
      <c r="T150" s="570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1">
        <v>4680115887336</v>
      </c>
      <c r="E151" s="562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57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9"/>
      <c r="R151" s="569"/>
      <c r="S151" s="569"/>
      <c r="T151" s="570"/>
      <c r="U151" s="34"/>
      <c r="V151" s="34"/>
      <c r="W151" s="35" t="s">
        <v>69</v>
      </c>
      <c r="X151" s="553">
        <v>40</v>
      </c>
      <c r="Y151" s="554">
        <f t="shared" si="5"/>
        <v>42</v>
      </c>
      <c r="Z151" s="36">
        <f>IFERROR(IF(Y151=0,"",ROUNDUP(Y151/H151,0)*0.00902),"")</f>
        <v>9.0200000000000002E-2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41.809523809523803</v>
      </c>
      <c r="BN151" s="64">
        <f t="shared" si="7"/>
        <v>43.9</v>
      </c>
      <c r="BO151" s="64">
        <f t="shared" si="8"/>
        <v>7.2150072150072145E-2</v>
      </c>
      <c r="BP151" s="64">
        <f t="shared" si="9"/>
        <v>7.575757575757576E-2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1">
        <v>4607091382426</v>
      </c>
      <c r="E152" s="562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86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9"/>
      <c r="R152" s="569"/>
      <c r="S152" s="569"/>
      <c r="T152" s="570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1">
        <v>4680115887398</v>
      </c>
      <c r="E153" s="562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885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9"/>
      <c r="R153" s="569"/>
      <c r="S153" s="569"/>
      <c r="T153" s="570"/>
      <c r="U153" s="34"/>
      <c r="V153" s="34"/>
      <c r="W153" s="35" t="s">
        <v>69</v>
      </c>
      <c r="X153" s="553">
        <v>30</v>
      </c>
      <c r="Y153" s="554">
        <f t="shared" si="5"/>
        <v>33.6</v>
      </c>
      <c r="Z153" s="36">
        <f>IFERROR(IF(Y153=0,"",ROUNDUP(Y153/H153,0)*0.00902),"")</f>
        <v>7.2160000000000002E-2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31.357142857142854</v>
      </c>
      <c r="BN153" s="64">
        <f t="shared" si="7"/>
        <v>35.119999999999997</v>
      </c>
      <c r="BO153" s="64">
        <f t="shared" si="8"/>
        <v>5.4112554112554112E-2</v>
      </c>
      <c r="BP153" s="64">
        <f t="shared" si="9"/>
        <v>6.0606060606060608E-2</v>
      </c>
    </row>
    <row r="154" spans="1:68" x14ac:dyDescent="0.2">
      <c r="A154" s="566"/>
      <c r="B154" s="560"/>
      <c r="C154" s="560"/>
      <c r="D154" s="560"/>
      <c r="E154" s="560"/>
      <c r="F154" s="560"/>
      <c r="G154" s="560"/>
      <c r="H154" s="560"/>
      <c r="I154" s="560"/>
      <c r="J154" s="560"/>
      <c r="K154" s="560"/>
      <c r="L154" s="560"/>
      <c r="M154" s="560"/>
      <c r="N154" s="560"/>
      <c r="O154" s="567"/>
      <c r="P154" s="563" t="s">
        <v>75</v>
      </c>
      <c r="Q154" s="564"/>
      <c r="R154" s="564"/>
      <c r="S154" s="564"/>
      <c r="T154" s="564"/>
      <c r="U154" s="564"/>
      <c r="V154" s="565"/>
      <c r="W154" s="37" t="s">
        <v>76</v>
      </c>
      <c r="X154" s="555">
        <f>IFERROR(X148/H148,"0")+IFERROR(X149/H149,"0")+IFERROR(X150/H150,"0")+IFERROR(X151/H151,"0")+IFERROR(X152/H152,"0")+IFERROR(X153/H153,"0")</f>
        <v>16.666666666666664</v>
      </c>
      <c r="Y154" s="555">
        <f>IFERROR(Y148/H148,"0")+IFERROR(Y149/H149,"0")+IFERROR(Y150/H150,"0")+IFERROR(Y151/H151,"0")+IFERROR(Y152/H152,"0")+IFERROR(Y153/H153,"0")</f>
        <v>18</v>
      </c>
      <c r="Z154" s="555">
        <f>IFERROR(IF(Z148="",0,Z148),"0")+IFERROR(IF(Z149="",0,Z149),"0")+IFERROR(IF(Z150="",0,Z150),"0")+IFERROR(IF(Z151="",0,Z151),"0")+IFERROR(IF(Z152="",0,Z152),"0")+IFERROR(IF(Z153="",0,Z153),"0")</f>
        <v>0.16236</v>
      </c>
      <c r="AA154" s="556"/>
      <c r="AB154" s="556"/>
      <c r="AC154" s="556"/>
    </row>
    <row r="155" spans="1:68" x14ac:dyDescent="0.2">
      <c r="A155" s="560"/>
      <c r="B155" s="560"/>
      <c r="C155" s="560"/>
      <c r="D155" s="560"/>
      <c r="E155" s="560"/>
      <c r="F155" s="560"/>
      <c r="G155" s="560"/>
      <c r="H155" s="560"/>
      <c r="I155" s="560"/>
      <c r="J155" s="560"/>
      <c r="K155" s="560"/>
      <c r="L155" s="560"/>
      <c r="M155" s="560"/>
      <c r="N155" s="560"/>
      <c r="O155" s="567"/>
      <c r="P155" s="563" t="s">
        <v>75</v>
      </c>
      <c r="Q155" s="564"/>
      <c r="R155" s="564"/>
      <c r="S155" s="564"/>
      <c r="T155" s="564"/>
      <c r="U155" s="564"/>
      <c r="V155" s="565"/>
      <c r="W155" s="37" t="s">
        <v>69</v>
      </c>
      <c r="X155" s="555">
        <f>IFERROR(SUM(X148:X153),"0")</f>
        <v>70</v>
      </c>
      <c r="Y155" s="555">
        <f>IFERROR(SUM(Y148:Y153),"0")</f>
        <v>75.599999999999994</v>
      </c>
      <c r="Z155" s="37"/>
      <c r="AA155" s="556"/>
      <c r="AB155" s="556"/>
      <c r="AC155" s="556"/>
    </row>
    <row r="156" spans="1:68" ht="14.25" hidden="1" customHeight="1" x14ac:dyDescent="0.25">
      <c r="A156" s="559" t="s">
        <v>77</v>
      </c>
      <c r="B156" s="560"/>
      <c r="C156" s="560"/>
      <c r="D156" s="560"/>
      <c r="E156" s="560"/>
      <c r="F156" s="560"/>
      <c r="G156" s="560"/>
      <c r="H156" s="560"/>
      <c r="I156" s="560"/>
      <c r="J156" s="560"/>
      <c r="K156" s="560"/>
      <c r="L156" s="560"/>
      <c r="M156" s="560"/>
      <c r="N156" s="560"/>
      <c r="O156" s="560"/>
      <c r="P156" s="560"/>
      <c r="Q156" s="560"/>
      <c r="R156" s="560"/>
      <c r="S156" s="560"/>
      <c r="T156" s="560"/>
      <c r="U156" s="560"/>
      <c r="V156" s="560"/>
      <c r="W156" s="560"/>
      <c r="X156" s="560"/>
      <c r="Y156" s="560"/>
      <c r="Z156" s="560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1">
        <v>4680115887459</v>
      </c>
      <c r="E157" s="562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80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9"/>
      <c r="R157" s="569"/>
      <c r="S157" s="569"/>
      <c r="T157" s="570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6"/>
      <c r="B158" s="560"/>
      <c r="C158" s="560"/>
      <c r="D158" s="560"/>
      <c r="E158" s="560"/>
      <c r="F158" s="560"/>
      <c r="G158" s="560"/>
      <c r="H158" s="560"/>
      <c r="I158" s="560"/>
      <c r="J158" s="560"/>
      <c r="K158" s="560"/>
      <c r="L158" s="560"/>
      <c r="M158" s="560"/>
      <c r="N158" s="560"/>
      <c r="O158" s="567"/>
      <c r="P158" s="563" t="s">
        <v>75</v>
      </c>
      <c r="Q158" s="564"/>
      <c r="R158" s="564"/>
      <c r="S158" s="564"/>
      <c r="T158" s="564"/>
      <c r="U158" s="564"/>
      <c r="V158" s="565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0"/>
      <c r="B159" s="560"/>
      <c r="C159" s="560"/>
      <c r="D159" s="560"/>
      <c r="E159" s="560"/>
      <c r="F159" s="560"/>
      <c r="G159" s="560"/>
      <c r="H159" s="560"/>
      <c r="I159" s="560"/>
      <c r="J159" s="560"/>
      <c r="K159" s="560"/>
      <c r="L159" s="560"/>
      <c r="M159" s="560"/>
      <c r="N159" s="560"/>
      <c r="O159" s="567"/>
      <c r="P159" s="563" t="s">
        <v>75</v>
      </c>
      <c r="Q159" s="564"/>
      <c r="R159" s="564"/>
      <c r="S159" s="564"/>
      <c r="T159" s="564"/>
      <c r="U159" s="564"/>
      <c r="V159" s="565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82" t="s">
        <v>268</v>
      </c>
      <c r="B160" s="583"/>
      <c r="C160" s="583"/>
      <c r="D160" s="583"/>
      <c r="E160" s="583"/>
      <c r="F160" s="583"/>
      <c r="G160" s="583"/>
      <c r="H160" s="583"/>
      <c r="I160" s="583"/>
      <c r="J160" s="583"/>
      <c r="K160" s="583"/>
      <c r="L160" s="583"/>
      <c r="M160" s="583"/>
      <c r="N160" s="583"/>
      <c r="O160" s="583"/>
      <c r="P160" s="583"/>
      <c r="Q160" s="583"/>
      <c r="R160" s="583"/>
      <c r="S160" s="583"/>
      <c r="T160" s="583"/>
      <c r="U160" s="583"/>
      <c r="V160" s="583"/>
      <c r="W160" s="583"/>
      <c r="X160" s="583"/>
      <c r="Y160" s="583"/>
      <c r="Z160" s="583"/>
      <c r="AA160" s="48"/>
      <c r="AB160" s="48"/>
      <c r="AC160" s="48"/>
    </row>
    <row r="161" spans="1:68" ht="16.5" hidden="1" customHeight="1" x14ac:dyDescent="0.25">
      <c r="A161" s="592" t="s">
        <v>269</v>
      </c>
      <c r="B161" s="560"/>
      <c r="C161" s="560"/>
      <c r="D161" s="560"/>
      <c r="E161" s="560"/>
      <c r="F161" s="560"/>
      <c r="G161" s="560"/>
      <c r="H161" s="56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560"/>
      <c r="U161" s="560"/>
      <c r="V161" s="560"/>
      <c r="W161" s="560"/>
      <c r="X161" s="560"/>
      <c r="Y161" s="560"/>
      <c r="Z161" s="560"/>
      <c r="AA161" s="548"/>
      <c r="AB161" s="548"/>
      <c r="AC161" s="548"/>
    </row>
    <row r="162" spans="1:68" ht="14.25" hidden="1" customHeight="1" x14ac:dyDescent="0.25">
      <c r="A162" s="559" t="s">
        <v>137</v>
      </c>
      <c r="B162" s="560"/>
      <c r="C162" s="560"/>
      <c r="D162" s="560"/>
      <c r="E162" s="560"/>
      <c r="F162" s="560"/>
      <c r="G162" s="560"/>
      <c r="H162" s="56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560"/>
      <c r="U162" s="560"/>
      <c r="V162" s="560"/>
      <c r="W162" s="560"/>
      <c r="X162" s="560"/>
      <c r="Y162" s="560"/>
      <c r="Z162" s="560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1">
        <v>4680115886223</v>
      </c>
      <c r="E163" s="562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9"/>
      <c r="R163" s="569"/>
      <c r="S163" s="569"/>
      <c r="T163" s="570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6"/>
      <c r="B164" s="560"/>
      <c r="C164" s="560"/>
      <c r="D164" s="560"/>
      <c r="E164" s="560"/>
      <c r="F164" s="560"/>
      <c r="G164" s="560"/>
      <c r="H164" s="560"/>
      <c r="I164" s="560"/>
      <c r="J164" s="560"/>
      <c r="K164" s="560"/>
      <c r="L164" s="560"/>
      <c r="M164" s="560"/>
      <c r="N164" s="560"/>
      <c r="O164" s="567"/>
      <c r="P164" s="563" t="s">
        <v>75</v>
      </c>
      <c r="Q164" s="564"/>
      <c r="R164" s="564"/>
      <c r="S164" s="564"/>
      <c r="T164" s="564"/>
      <c r="U164" s="564"/>
      <c r="V164" s="565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0"/>
      <c r="B165" s="560"/>
      <c r="C165" s="560"/>
      <c r="D165" s="560"/>
      <c r="E165" s="560"/>
      <c r="F165" s="560"/>
      <c r="G165" s="560"/>
      <c r="H165" s="560"/>
      <c r="I165" s="560"/>
      <c r="J165" s="560"/>
      <c r="K165" s="560"/>
      <c r="L165" s="560"/>
      <c r="M165" s="560"/>
      <c r="N165" s="560"/>
      <c r="O165" s="567"/>
      <c r="P165" s="563" t="s">
        <v>75</v>
      </c>
      <c r="Q165" s="564"/>
      <c r="R165" s="564"/>
      <c r="S165" s="564"/>
      <c r="T165" s="564"/>
      <c r="U165" s="564"/>
      <c r="V165" s="565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59" t="s">
        <v>64</v>
      </c>
      <c r="B166" s="560"/>
      <c r="C166" s="560"/>
      <c r="D166" s="560"/>
      <c r="E166" s="560"/>
      <c r="F166" s="560"/>
      <c r="G166" s="560"/>
      <c r="H166" s="56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560"/>
      <c r="U166" s="560"/>
      <c r="V166" s="560"/>
      <c r="W166" s="560"/>
      <c r="X166" s="560"/>
      <c r="Y166" s="560"/>
      <c r="Z166" s="560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1">
        <v>4680115887824</v>
      </c>
      <c r="E167" s="562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64" t="s">
        <v>276</v>
      </c>
      <c r="Q167" s="569"/>
      <c r="R167" s="569"/>
      <c r="S167" s="569"/>
      <c r="T167" s="570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1">
        <v>4680115887701</v>
      </c>
      <c r="E168" s="562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880" t="s">
        <v>281</v>
      </c>
      <c r="Q168" s="569"/>
      <c r="R168" s="569"/>
      <c r="S168" s="569"/>
      <c r="T168" s="570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1">
        <v>4680115880993</v>
      </c>
      <c r="E169" s="562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768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9"/>
      <c r="R169" s="569"/>
      <c r="S169" s="569"/>
      <c r="T169" s="570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1">
        <v>4680115881761</v>
      </c>
      <c r="E170" s="562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86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9"/>
      <c r="R170" s="569"/>
      <c r="S170" s="569"/>
      <c r="T170" s="570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1">
        <v>4680115881563</v>
      </c>
      <c r="E171" s="562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83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9"/>
      <c r="R171" s="569"/>
      <c r="S171" s="569"/>
      <c r="T171" s="570"/>
      <c r="U171" s="34"/>
      <c r="V171" s="34"/>
      <c r="W171" s="35" t="s">
        <v>69</v>
      </c>
      <c r="X171" s="553">
        <v>120</v>
      </c>
      <c r="Y171" s="554">
        <f t="shared" si="10"/>
        <v>121.80000000000001</v>
      </c>
      <c r="Z171" s="36">
        <f>IFERROR(IF(Y171=0,"",ROUNDUP(Y171/H171,0)*0.00902),"")</f>
        <v>0.26158000000000003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125.42857142857142</v>
      </c>
      <c r="BN171" s="64">
        <f t="shared" si="12"/>
        <v>127.30999999999999</v>
      </c>
      <c r="BO171" s="64">
        <f t="shared" si="13"/>
        <v>0.21645021645021645</v>
      </c>
      <c r="BP171" s="64">
        <f t="shared" si="14"/>
        <v>0.2196969696969697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1">
        <v>4680115887565</v>
      </c>
      <c r="E172" s="562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80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9"/>
      <c r="R172" s="569"/>
      <c r="S172" s="569"/>
      <c r="T172" s="570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1">
        <v>4680115880986</v>
      </c>
      <c r="E173" s="562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84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9"/>
      <c r="R173" s="569"/>
      <c r="S173" s="569"/>
      <c r="T173" s="570"/>
      <c r="U173" s="34"/>
      <c r="V173" s="34"/>
      <c r="W173" s="35" t="s">
        <v>69</v>
      </c>
      <c r="X173" s="553">
        <v>87.5</v>
      </c>
      <c r="Y173" s="554">
        <f t="shared" si="10"/>
        <v>88.2</v>
      </c>
      <c r="Z173" s="36">
        <f>IFERROR(IF(Y173=0,"",ROUNDUP(Y173/H173,0)*0.00502),"")</f>
        <v>0.21084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92.916666666666657</v>
      </c>
      <c r="BN173" s="64">
        <f t="shared" si="12"/>
        <v>93.66</v>
      </c>
      <c r="BO173" s="64">
        <f t="shared" si="13"/>
        <v>0.17806267806267806</v>
      </c>
      <c r="BP173" s="64">
        <f t="shared" si="14"/>
        <v>0.17948717948717952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1">
        <v>4680115887213</v>
      </c>
      <c r="E174" s="562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5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9"/>
      <c r="R174" s="569"/>
      <c r="S174" s="569"/>
      <c r="T174" s="570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1">
        <v>4680115881785</v>
      </c>
      <c r="E175" s="562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66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9"/>
      <c r="R175" s="569"/>
      <c r="S175" s="569"/>
      <c r="T175" s="570"/>
      <c r="U175" s="34"/>
      <c r="V175" s="34"/>
      <c r="W175" s="35" t="s">
        <v>69</v>
      </c>
      <c r="X175" s="553">
        <v>105</v>
      </c>
      <c r="Y175" s="554">
        <f t="shared" si="10"/>
        <v>105</v>
      </c>
      <c r="Z175" s="36">
        <f>IFERROR(IF(Y175=0,"",ROUNDUP(Y175/H175,0)*0.00502),"")</f>
        <v>0.251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111.5</v>
      </c>
      <c r="BN175" s="64">
        <f t="shared" si="12"/>
        <v>111.5</v>
      </c>
      <c r="BO175" s="64">
        <f t="shared" si="13"/>
        <v>0.21367521367521369</v>
      </c>
      <c r="BP175" s="64">
        <f t="shared" si="14"/>
        <v>0.21367521367521369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1">
        <v>4680115886537</v>
      </c>
      <c r="E176" s="562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66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9"/>
      <c r="R176" s="569"/>
      <c r="S176" s="569"/>
      <c r="T176" s="570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1">
        <v>4680115887596</v>
      </c>
      <c r="E177" s="562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67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9"/>
      <c r="R177" s="569"/>
      <c r="S177" s="569"/>
      <c r="T177" s="570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1">
        <v>4680115881679</v>
      </c>
      <c r="E178" s="562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64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9"/>
      <c r="R178" s="569"/>
      <c r="S178" s="569"/>
      <c r="T178" s="570"/>
      <c r="U178" s="34"/>
      <c r="V178" s="34"/>
      <c r="W178" s="35" t="s">
        <v>69</v>
      </c>
      <c r="X178" s="553">
        <v>140</v>
      </c>
      <c r="Y178" s="554">
        <f t="shared" si="10"/>
        <v>140.70000000000002</v>
      </c>
      <c r="Z178" s="36">
        <f>IFERROR(IF(Y178=0,"",ROUNDUP(Y178/H178,0)*0.00502),"")</f>
        <v>0.33634000000000003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146.66666666666666</v>
      </c>
      <c r="BN178" s="64">
        <f t="shared" si="12"/>
        <v>147.40000000000003</v>
      </c>
      <c r="BO178" s="64">
        <f t="shared" si="13"/>
        <v>0.28490028490028491</v>
      </c>
      <c r="BP178" s="64">
        <f t="shared" si="14"/>
        <v>0.28632478632478636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1">
        <v>4680115880191</v>
      </c>
      <c r="E179" s="562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9"/>
      <c r="R179" s="569"/>
      <c r="S179" s="569"/>
      <c r="T179" s="570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1">
        <v>4680115883963</v>
      </c>
      <c r="E180" s="562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6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9"/>
      <c r="R180" s="569"/>
      <c r="S180" s="569"/>
      <c r="T180" s="570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66"/>
      <c r="B181" s="560"/>
      <c r="C181" s="560"/>
      <c r="D181" s="560"/>
      <c r="E181" s="560"/>
      <c r="F181" s="560"/>
      <c r="G181" s="560"/>
      <c r="H181" s="560"/>
      <c r="I181" s="560"/>
      <c r="J181" s="560"/>
      <c r="K181" s="560"/>
      <c r="L181" s="560"/>
      <c r="M181" s="560"/>
      <c r="N181" s="560"/>
      <c r="O181" s="567"/>
      <c r="P181" s="563" t="s">
        <v>75</v>
      </c>
      <c r="Q181" s="564"/>
      <c r="R181" s="564"/>
      <c r="S181" s="564"/>
      <c r="T181" s="564"/>
      <c r="U181" s="564"/>
      <c r="V181" s="565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198.8095238095238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200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1.1680000000000001</v>
      </c>
      <c r="AA181" s="556"/>
      <c r="AB181" s="556"/>
      <c r="AC181" s="556"/>
    </row>
    <row r="182" spans="1:68" x14ac:dyDescent="0.2">
      <c r="A182" s="560"/>
      <c r="B182" s="560"/>
      <c r="C182" s="560"/>
      <c r="D182" s="560"/>
      <c r="E182" s="560"/>
      <c r="F182" s="560"/>
      <c r="G182" s="560"/>
      <c r="H182" s="560"/>
      <c r="I182" s="560"/>
      <c r="J182" s="560"/>
      <c r="K182" s="560"/>
      <c r="L182" s="560"/>
      <c r="M182" s="560"/>
      <c r="N182" s="560"/>
      <c r="O182" s="567"/>
      <c r="P182" s="563" t="s">
        <v>75</v>
      </c>
      <c r="Q182" s="564"/>
      <c r="R182" s="564"/>
      <c r="S182" s="564"/>
      <c r="T182" s="564"/>
      <c r="U182" s="564"/>
      <c r="V182" s="565"/>
      <c r="W182" s="37" t="s">
        <v>69</v>
      </c>
      <c r="X182" s="555">
        <f>IFERROR(SUM(X167:X180),"0")</f>
        <v>502.5</v>
      </c>
      <c r="Y182" s="555">
        <f>IFERROR(SUM(Y167:Y180),"0")</f>
        <v>506.1</v>
      </c>
      <c r="Z182" s="37"/>
      <c r="AA182" s="556"/>
      <c r="AB182" s="556"/>
      <c r="AC182" s="556"/>
    </row>
    <row r="183" spans="1:68" ht="14.25" hidden="1" customHeight="1" x14ac:dyDescent="0.25">
      <c r="A183" s="559" t="s">
        <v>93</v>
      </c>
      <c r="B183" s="560"/>
      <c r="C183" s="560"/>
      <c r="D183" s="560"/>
      <c r="E183" s="560"/>
      <c r="F183" s="560"/>
      <c r="G183" s="560"/>
      <c r="H183" s="560"/>
      <c r="I183" s="560"/>
      <c r="J183" s="560"/>
      <c r="K183" s="560"/>
      <c r="L183" s="560"/>
      <c r="M183" s="560"/>
      <c r="N183" s="560"/>
      <c r="O183" s="560"/>
      <c r="P183" s="560"/>
      <c r="Q183" s="560"/>
      <c r="R183" s="560"/>
      <c r="S183" s="560"/>
      <c r="T183" s="560"/>
      <c r="U183" s="560"/>
      <c r="V183" s="560"/>
      <c r="W183" s="560"/>
      <c r="X183" s="560"/>
      <c r="Y183" s="560"/>
      <c r="Z183" s="560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1">
        <v>4680115886780</v>
      </c>
      <c r="E184" s="562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83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9"/>
      <c r="R184" s="569"/>
      <c r="S184" s="569"/>
      <c r="T184" s="570"/>
      <c r="U184" s="34"/>
      <c r="V184" s="34"/>
      <c r="W184" s="35" t="s">
        <v>69</v>
      </c>
      <c r="X184" s="553">
        <v>21</v>
      </c>
      <c r="Y184" s="554">
        <f>IFERROR(IF(X184="",0,CEILING((X184/$H184),1)*$H184),"")</f>
        <v>21.42</v>
      </c>
      <c r="Z184" s="36">
        <f>IFERROR(IF(Y184=0,"",ROUNDUP(Y184/H184,0)*0.0059),"")</f>
        <v>0.1003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24.166666666666664</v>
      </c>
      <c r="BN184" s="64">
        <f>IFERROR(Y184*I184/H184,"0")</f>
        <v>24.650000000000002</v>
      </c>
      <c r="BO184" s="64">
        <f>IFERROR(1/J184*(X184/H184),"0")</f>
        <v>7.716049382716049E-2</v>
      </c>
      <c r="BP184" s="64">
        <f>IFERROR(1/J184*(Y184/H184),"0")</f>
        <v>7.8703703703703692E-2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1">
        <v>4680115886742</v>
      </c>
      <c r="E185" s="562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47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9"/>
      <c r="R185" s="569"/>
      <c r="S185" s="569"/>
      <c r="T185" s="570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1">
        <v>4680115886766</v>
      </c>
      <c r="E186" s="562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9"/>
      <c r="R186" s="569"/>
      <c r="S186" s="569"/>
      <c r="T186" s="570"/>
      <c r="U186" s="34"/>
      <c r="V186" s="34"/>
      <c r="W186" s="35" t="s">
        <v>69</v>
      </c>
      <c r="X186" s="553">
        <v>14</v>
      </c>
      <c r="Y186" s="554">
        <f>IFERROR(IF(X186="",0,CEILING((X186/$H186),1)*$H186),"")</f>
        <v>15.120000000000001</v>
      </c>
      <c r="Z186" s="36">
        <f>IFERROR(IF(Y186=0,"",ROUNDUP(Y186/H186,0)*0.0059),"")</f>
        <v>7.0800000000000002E-2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16.111111111111111</v>
      </c>
      <c r="BN186" s="64">
        <f>IFERROR(Y186*I186/H186,"0")</f>
        <v>17.399999999999999</v>
      </c>
      <c r="BO186" s="64">
        <f>IFERROR(1/J186*(X186/H186),"0")</f>
        <v>5.1440329218106991E-2</v>
      </c>
      <c r="BP186" s="64">
        <f>IFERROR(1/J186*(Y186/H186),"0")</f>
        <v>5.5555555555555552E-2</v>
      </c>
    </row>
    <row r="187" spans="1:68" x14ac:dyDescent="0.2">
      <c r="A187" s="566"/>
      <c r="B187" s="560"/>
      <c r="C187" s="560"/>
      <c r="D187" s="560"/>
      <c r="E187" s="560"/>
      <c r="F187" s="560"/>
      <c r="G187" s="560"/>
      <c r="H187" s="560"/>
      <c r="I187" s="560"/>
      <c r="J187" s="560"/>
      <c r="K187" s="560"/>
      <c r="L187" s="560"/>
      <c r="M187" s="560"/>
      <c r="N187" s="560"/>
      <c r="O187" s="567"/>
      <c r="P187" s="563" t="s">
        <v>75</v>
      </c>
      <c r="Q187" s="564"/>
      <c r="R187" s="564"/>
      <c r="S187" s="564"/>
      <c r="T187" s="564"/>
      <c r="U187" s="564"/>
      <c r="V187" s="565"/>
      <c r="W187" s="37" t="s">
        <v>76</v>
      </c>
      <c r="X187" s="555">
        <f>IFERROR(X184/H184,"0")+IFERROR(X185/H185,"0")+IFERROR(X186/H186,"0")</f>
        <v>27.777777777777779</v>
      </c>
      <c r="Y187" s="555">
        <f>IFERROR(Y184/H184,"0")+IFERROR(Y185/H185,"0")+IFERROR(Y186/H186,"0")</f>
        <v>29</v>
      </c>
      <c r="Z187" s="555">
        <f>IFERROR(IF(Z184="",0,Z184),"0")+IFERROR(IF(Z185="",0,Z185),"0")+IFERROR(IF(Z186="",0,Z186),"0")</f>
        <v>0.1711</v>
      </c>
      <c r="AA187" s="556"/>
      <c r="AB187" s="556"/>
      <c r="AC187" s="556"/>
    </row>
    <row r="188" spans="1:68" x14ac:dyDescent="0.2">
      <c r="A188" s="560"/>
      <c r="B188" s="560"/>
      <c r="C188" s="560"/>
      <c r="D188" s="560"/>
      <c r="E188" s="560"/>
      <c r="F188" s="560"/>
      <c r="G188" s="560"/>
      <c r="H188" s="560"/>
      <c r="I188" s="560"/>
      <c r="J188" s="560"/>
      <c r="K188" s="560"/>
      <c r="L188" s="560"/>
      <c r="M188" s="560"/>
      <c r="N188" s="560"/>
      <c r="O188" s="567"/>
      <c r="P188" s="563" t="s">
        <v>75</v>
      </c>
      <c r="Q188" s="564"/>
      <c r="R188" s="564"/>
      <c r="S188" s="564"/>
      <c r="T188" s="564"/>
      <c r="U188" s="564"/>
      <c r="V188" s="565"/>
      <c r="W188" s="37" t="s">
        <v>69</v>
      </c>
      <c r="X188" s="555">
        <f>IFERROR(SUM(X184:X186),"0")</f>
        <v>35</v>
      </c>
      <c r="Y188" s="555">
        <f>IFERROR(SUM(Y184:Y186),"0")</f>
        <v>36.540000000000006</v>
      </c>
      <c r="Z188" s="37"/>
      <c r="AA188" s="556"/>
      <c r="AB188" s="556"/>
      <c r="AC188" s="556"/>
    </row>
    <row r="189" spans="1:68" ht="14.25" hidden="1" customHeight="1" x14ac:dyDescent="0.25">
      <c r="A189" s="559" t="s">
        <v>324</v>
      </c>
      <c r="B189" s="560"/>
      <c r="C189" s="560"/>
      <c r="D189" s="560"/>
      <c r="E189" s="560"/>
      <c r="F189" s="560"/>
      <c r="G189" s="560"/>
      <c r="H189" s="560"/>
      <c r="I189" s="560"/>
      <c r="J189" s="560"/>
      <c r="K189" s="560"/>
      <c r="L189" s="560"/>
      <c r="M189" s="560"/>
      <c r="N189" s="560"/>
      <c r="O189" s="560"/>
      <c r="P189" s="560"/>
      <c r="Q189" s="560"/>
      <c r="R189" s="560"/>
      <c r="S189" s="560"/>
      <c r="T189" s="560"/>
      <c r="U189" s="560"/>
      <c r="V189" s="560"/>
      <c r="W189" s="560"/>
      <c r="X189" s="560"/>
      <c r="Y189" s="560"/>
      <c r="Z189" s="560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1">
        <v>4680115886797</v>
      </c>
      <c r="E190" s="562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65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9"/>
      <c r="R190" s="569"/>
      <c r="S190" s="569"/>
      <c r="T190" s="570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6"/>
      <c r="B191" s="560"/>
      <c r="C191" s="560"/>
      <c r="D191" s="560"/>
      <c r="E191" s="560"/>
      <c r="F191" s="560"/>
      <c r="G191" s="560"/>
      <c r="H191" s="560"/>
      <c r="I191" s="560"/>
      <c r="J191" s="560"/>
      <c r="K191" s="560"/>
      <c r="L191" s="560"/>
      <c r="M191" s="560"/>
      <c r="N191" s="560"/>
      <c r="O191" s="567"/>
      <c r="P191" s="563" t="s">
        <v>75</v>
      </c>
      <c r="Q191" s="564"/>
      <c r="R191" s="564"/>
      <c r="S191" s="564"/>
      <c r="T191" s="564"/>
      <c r="U191" s="564"/>
      <c r="V191" s="565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0"/>
      <c r="B192" s="560"/>
      <c r="C192" s="560"/>
      <c r="D192" s="560"/>
      <c r="E192" s="560"/>
      <c r="F192" s="560"/>
      <c r="G192" s="560"/>
      <c r="H192" s="560"/>
      <c r="I192" s="560"/>
      <c r="J192" s="560"/>
      <c r="K192" s="560"/>
      <c r="L192" s="560"/>
      <c r="M192" s="560"/>
      <c r="N192" s="560"/>
      <c r="O192" s="567"/>
      <c r="P192" s="563" t="s">
        <v>75</v>
      </c>
      <c r="Q192" s="564"/>
      <c r="R192" s="564"/>
      <c r="S192" s="564"/>
      <c r="T192" s="564"/>
      <c r="U192" s="564"/>
      <c r="V192" s="565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92" t="s">
        <v>327</v>
      </c>
      <c r="B193" s="560"/>
      <c r="C193" s="560"/>
      <c r="D193" s="560"/>
      <c r="E193" s="560"/>
      <c r="F193" s="560"/>
      <c r="G193" s="560"/>
      <c r="H193" s="560"/>
      <c r="I193" s="560"/>
      <c r="J193" s="560"/>
      <c r="K193" s="560"/>
      <c r="L193" s="560"/>
      <c r="M193" s="560"/>
      <c r="N193" s="560"/>
      <c r="O193" s="560"/>
      <c r="P193" s="560"/>
      <c r="Q193" s="560"/>
      <c r="R193" s="560"/>
      <c r="S193" s="560"/>
      <c r="T193" s="560"/>
      <c r="U193" s="560"/>
      <c r="V193" s="560"/>
      <c r="W193" s="560"/>
      <c r="X193" s="560"/>
      <c r="Y193" s="560"/>
      <c r="Z193" s="560"/>
      <c r="AA193" s="548"/>
      <c r="AB193" s="548"/>
      <c r="AC193" s="548"/>
    </row>
    <row r="194" spans="1:68" ht="14.25" hidden="1" customHeight="1" x14ac:dyDescent="0.25">
      <c r="A194" s="559" t="s">
        <v>101</v>
      </c>
      <c r="B194" s="560"/>
      <c r="C194" s="560"/>
      <c r="D194" s="560"/>
      <c r="E194" s="560"/>
      <c r="F194" s="560"/>
      <c r="G194" s="560"/>
      <c r="H194" s="560"/>
      <c r="I194" s="560"/>
      <c r="J194" s="560"/>
      <c r="K194" s="560"/>
      <c r="L194" s="560"/>
      <c r="M194" s="560"/>
      <c r="N194" s="560"/>
      <c r="O194" s="560"/>
      <c r="P194" s="560"/>
      <c r="Q194" s="560"/>
      <c r="R194" s="560"/>
      <c r="S194" s="560"/>
      <c r="T194" s="560"/>
      <c r="U194" s="560"/>
      <c r="V194" s="560"/>
      <c r="W194" s="560"/>
      <c r="X194" s="560"/>
      <c r="Y194" s="560"/>
      <c r="Z194" s="560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1">
        <v>4680115881402</v>
      </c>
      <c r="E195" s="562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9"/>
      <c r="R195" s="569"/>
      <c r="S195" s="569"/>
      <c r="T195" s="570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1">
        <v>4680115881396</v>
      </c>
      <c r="E196" s="562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61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9"/>
      <c r="R196" s="569"/>
      <c r="S196" s="569"/>
      <c r="T196" s="570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6"/>
      <c r="B197" s="560"/>
      <c r="C197" s="560"/>
      <c r="D197" s="560"/>
      <c r="E197" s="560"/>
      <c r="F197" s="560"/>
      <c r="G197" s="560"/>
      <c r="H197" s="560"/>
      <c r="I197" s="560"/>
      <c r="J197" s="560"/>
      <c r="K197" s="560"/>
      <c r="L197" s="560"/>
      <c r="M197" s="560"/>
      <c r="N197" s="560"/>
      <c r="O197" s="567"/>
      <c r="P197" s="563" t="s">
        <v>75</v>
      </c>
      <c r="Q197" s="564"/>
      <c r="R197" s="564"/>
      <c r="S197" s="564"/>
      <c r="T197" s="564"/>
      <c r="U197" s="564"/>
      <c r="V197" s="565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0"/>
      <c r="B198" s="560"/>
      <c r="C198" s="560"/>
      <c r="D198" s="560"/>
      <c r="E198" s="560"/>
      <c r="F198" s="560"/>
      <c r="G198" s="560"/>
      <c r="H198" s="560"/>
      <c r="I198" s="560"/>
      <c r="J198" s="560"/>
      <c r="K198" s="560"/>
      <c r="L198" s="560"/>
      <c r="M198" s="560"/>
      <c r="N198" s="560"/>
      <c r="O198" s="567"/>
      <c r="P198" s="563" t="s">
        <v>75</v>
      </c>
      <c r="Q198" s="564"/>
      <c r="R198" s="564"/>
      <c r="S198" s="564"/>
      <c r="T198" s="564"/>
      <c r="U198" s="564"/>
      <c r="V198" s="565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59" t="s">
        <v>137</v>
      </c>
      <c r="B199" s="560"/>
      <c r="C199" s="560"/>
      <c r="D199" s="560"/>
      <c r="E199" s="560"/>
      <c r="F199" s="560"/>
      <c r="G199" s="560"/>
      <c r="H199" s="56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560"/>
      <c r="U199" s="560"/>
      <c r="V199" s="560"/>
      <c r="W199" s="560"/>
      <c r="X199" s="560"/>
      <c r="Y199" s="560"/>
      <c r="Z199" s="560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1">
        <v>4680115882935</v>
      </c>
      <c r="E200" s="562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61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9"/>
      <c r="R200" s="569"/>
      <c r="S200" s="569"/>
      <c r="T200" s="570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1">
        <v>4680115880764</v>
      </c>
      <c r="E201" s="562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65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9"/>
      <c r="R201" s="569"/>
      <c r="S201" s="569"/>
      <c r="T201" s="570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6"/>
      <c r="B202" s="560"/>
      <c r="C202" s="560"/>
      <c r="D202" s="560"/>
      <c r="E202" s="560"/>
      <c r="F202" s="560"/>
      <c r="G202" s="560"/>
      <c r="H202" s="560"/>
      <c r="I202" s="560"/>
      <c r="J202" s="560"/>
      <c r="K202" s="560"/>
      <c r="L202" s="560"/>
      <c r="M202" s="560"/>
      <c r="N202" s="560"/>
      <c r="O202" s="567"/>
      <c r="P202" s="563" t="s">
        <v>75</v>
      </c>
      <c r="Q202" s="564"/>
      <c r="R202" s="564"/>
      <c r="S202" s="564"/>
      <c r="T202" s="564"/>
      <c r="U202" s="564"/>
      <c r="V202" s="565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0"/>
      <c r="B203" s="560"/>
      <c r="C203" s="560"/>
      <c r="D203" s="560"/>
      <c r="E203" s="560"/>
      <c r="F203" s="560"/>
      <c r="G203" s="560"/>
      <c r="H203" s="560"/>
      <c r="I203" s="560"/>
      <c r="J203" s="560"/>
      <c r="K203" s="560"/>
      <c r="L203" s="560"/>
      <c r="M203" s="560"/>
      <c r="N203" s="560"/>
      <c r="O203" s="567"/>
      <c r="P203" s="563" t="s">
        <v>75</v>
      </c>
      <c r="Q203" s="564"/>
      <c r="R203" s="564"/>
      <c r="S203" s="564"/>
      <c r="T203" s="564"/>
      <c r="U203" s="564"/>
      <c r="V203" s="565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59" t="s">
        <v>64</v>
      </c>
      <c r="B204" s="560"/>
      <c r="C204" s="560"/>
      <c r="D204" s="560"/>
      <c r="E204" s="560"/>
      <c r="F204" s="560"/>
      <c r="G204" s="560"/>
      <c r="H204" s="560"/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560"/>
      <c r="U204" s="560"/>
      <c r="V204" s="560"/>
      <c r="W204" s="560"/>
      <c r="X204" s="560"/>
      <c r="Y204" s="560"/>
      <c r="Z204" s="560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1">
        <v>4680115882683</v>
      </c>
      <c r="E205" s="562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77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9"/>
      <c r="R205" s="569"/>
      <c r="S205" s="569"/>
      <c r="T205" s="570"/>
      <c r="U205" s="34"/>
      <c r="V205" s="34"/>
      <c r="W205" s="35" t="s">
        <v>69</v>
      </c>
      <c r="X205" s="553">
        <v>120</v>
      </c>
      <c r="Y205" s="554">
        <f t="shared" ref="Y205:Y212" si="15">IFERROR(IF(X205="",0,CEILING((X205/$H205),1)*$H205),"")</f>
        <v>124.2</v>
      </c>
      <c r="Z205" s="36">
        <f>IFERROR(IF(Y205=0,"",ROUNDUP(Y205/H205,0)*0.00902),"")</f>
        <v>0.20746000000000001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124.2222222222222</v>
      </c>
      <c r="BN205" s="64">
        <f t="shared" ref="BN205:BN212" si="17">IFERROR(Y205*I205/H205,"0")</f>
        <v>128.57</v>
      </c>
      <c r="BO205" s="64">
        <f t="shared" ref="BO205:BO212" si="18">IFERROR(1/J205*(X205/H205),"0")</f>
        <v>0.16835016835016836</v>
      </c>
      <c r="BP205" s="64">
        <f t="shared" ref="BP205:BP212" si="19">IFERROR(1/J205*(Y205/H205),"0")</f>
        <v>0.17424242424242425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1">
        <v>4680115882690</v>
      </c>
      <c r="E206" s="562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9"/>
      <c r="R206" s="569"/>
      <c r="S206" s="569"/>
      <c r="T206" s="570"/>
      <c r="U206" s="34"/>
      <c r="V206" s="34"/>
      <c r="W206" s="35" t="s">
        <v>69</v>
      </c>
      <c r="X206" s="553">
        <v>50</v>
      </c>
      <c r="Y206" s="554">
        <f t="shared" si="15"/>
        <v>54</v>
      </c>
      <c r="Z206" s="36">
        <f>IFERROR(IF(Y206=0,"",ROUNDUP(Y206/H206,0)*0.00902),"")</f>
        <v>9.0200000000000002E-2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51.759259259259252</v>
      </c>
      <c r="BN206" s="64">
        <f t="shared" si="17"/>
        <v>55.9</v>
      </c>
      <c r="BO206" s="64">
        <f t="shared" si="18"/>
        <v>7.0145903479236812E-2</v>
      </c>
      <c r="BP206" s="64">
        <f t="shared" si="19"/>
        <v>7.575757575757576E-2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1">
        <v>4680115882669</v>
      </c>
      <c r="E207" s="562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9"/>
      <c r="R207" s="569"/>
      <c r="S207" s="569"/>
      <c r="T207" s="570"/>
      <c r="U207" s="34"/>
      <c r="V207" s="34"/>
      <c r="W207" s="35" t="s">
        <v>69</v>
      </c>
      <c r="X207" s="553">
        <v>200</v>
      </c>
      <c r="Y207" s="554">
        <f t="shared" si="15"/>
        <v>205.20000000000002</v>
      </c>
      <c r="Z207" s="36">
        <f>IFERROR(IF(Y207=0,"",ROUNDUP(Y207/H207,0)*0.00902),"")</f>
        <v>0.34276000000000001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207.03703703703701</v>
      </c>
      <c r="BN207" s="64">
        <f t="shared" si="17"/>
        <v>212.42</v>
      </c>
      <c r="BO207" s="64">
        <f t="shared" si="18"/>
        <v>0.28058361391694725</v>
      </c>
      <c r="BP207" s="64">
        <f t="shared" si="19"/>
        <v>0.2878787878787879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1">
        <v>4680115882676</v>
      </c>
      <c r="E208" s="562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5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9"/>
      <c r="R208" s="569"/>
      <c r="S208" s="569"/>
      <c r="T208" s="570"/>
      <c r="U208" s="34"/>
      <c r="V208" s="34"/>
      <c r="W208" s="35" t="s">
        <v>69</v>
      </c>
      <c r="X208" s="553">
        <v>50</v>
      </c>
      <c r="Y208" s="554">
        <f t="shared" si="15"/>
        <v>54</v>
      </c>
      <c r="Z208" s="36">
        <f>IFERROR(IF(Y208=0,"",ROUNDUP(Y208/H208,0)*0.00902),"")</f>
        <v>9.0200000000000002E-2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51.759259259259252</v>
      </c>
      <c r="BN208" s="64">
        <f t="shared" si="17"/>
        <v>55.9</v>
      </c>
      <c r="BO208" s="64">
        <f t="shared" si="18"/>
        <v>7.0145903479236812E-2</v>
      </c>
      <c r="BP208" s="64">
        <f t="shared" si="19"/>
        <v>7.575757575757576E-2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1">
        <v>4680115884014</v>
      </c>
      <c r="E209" s="562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81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9"/>
      <c r="R209" s="569"/>
      <c r="S209" s="569"/>
      <c r="T209" s="570"/>
      <c r="U209" s="34"/>
      <c r="V209" s="34"/>
      <c r="W209" s="35" t="s">
        <v>69</v>
      </c>
      <c r="X209" s="553">
        <v>135</v>
      </c>
      <c r="Y209" s="554">
        <f t="shared" si="15"/>
        <v>135</v>
      </c>
      <c r="Z209" s="36">
        <f>IFERROR(IF(Y209=0,"",ROUNDUP(Y209/H209,0)*0.00502),"")</f>
        <v>0.3765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144.75</v>
      </c>
      <c r="BN209" s="64">
        <f t="shared" si="17"/>
        <v>144.75</v>
      </c>
      <c r="BO209" s="64">
        <f t="shared" si="18"/>
        <v>0.32051282051282054</v>
      </c>
      <c r="BP209" s="64">
        <f t="shared" si="19"/>
        <v>0.32051282051282054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1">
        <v>4680115884007</v>
      </c>
      <c r="E210" s="562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9"/>
      <c r="R210" s="569"/>
      <c r="S210" s="569"/>
      <c r="T210" s="570"/>
      <c r="U210" s="34"/>
      <c r="V210" s="34"/>
      <c r="W210" s="35" t="s">
        <v>69</v>
      </c>
      <c r="X210" s="553">
        <v>75</v>
      </c>
      <c r="Y210" s="554">
        <f t="shared" si="15"/>
        <v>75.600000000000009</v>
      </c>
      <c r="Z210" s="36">
        <f>IFERROR(IF(Y210=0,"",ROUNDUP(Y210/H210,0)*0.00502),"")</f>
        <v>0.21084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79.166666666666671</v>
      </c>
      <c r="BN210" s="64">
        <f t="shared" si="17"/>
        <v>79.800000000000011</v>
      </c>
      <c r="BO210" s="64">
        <f t="shared" si="18"/>
        <v>0.17806267806267806</v>
      </c>
      <c r="BP210" s="64">
        <f t="shared" si="19"/>
        <v>0.17948717948717954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1">
        <v>4680115884038</v>
      </c>
      <c r="E211" s="562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81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9"/>
      <c r="R211" s="569"/>
      <c r="S211" s="569"/>
      <c r="T211" s="570"/>
      <c r="U211" s="34"/>
      <c r="V211" s="34"/>
      <c r="W211" s="35" t="s">
        <v>69</v>
      </c>
      <c r="X211" s="553">
        <v>105</v>
      </c>
      <c r="Y211" s="554">
        <f t="shared" si="15"/>
        <v>106.2</v>
      </c>
      <c r="Z211" s="36">
        <f>IFERROR(IF(Y211=0,"",ROUNDUP(Y211/H211,0)*0.00502),"")</f>
        <v>0.29618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110.83333333333333</v>
      </c>
      <c r="BN211" s="64">
        <f t="shared" si="17"/>
        <v>112.1</v>
      </c>
      <c r="BO211" s="64">
        <f t="shared" si="18"/>
        <v>0.2492877492877493</v>
      </c>
      <c r="BP211" s="64">
        <f t="shared" si="19"/>
        <v>0.25213675213675218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1">
        <v>4680115884021</v>
      </c>
      <c r="E212" s="562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65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9"/>
      <c r="R212" s="569"/>
      <c r="S212" s="569"/>
      <c r="T212" s="570"/>
      <c r="U212" s="34"/>
      <c r="V212" s="34"/>
      <c r="W212" s="35" t="s">
        <v>69</v>
      </c>
      <c r="X212" s="553">
        <v>84</v>
      </c>
      <c r="Y212" s="554">
        <f t="shared" si="15"/>
        <v>84.600000000000009</v>
      </c>
      <c r="Z212" s="36">
        <f>IFERROR(IF(Y212=0,"",ROUNDUP(Y212/H212,0)*0.00502),"")</f>
        <v>0.23594000000000001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88.666666666666657</v>
      </c>
      <c r="BN212" s="64">
        <f t="shared" si="17"/>
        <v>89.3</v>
      </c>
      <c r="BO212" s="64">
        <f t="shared" si="18"/>
        <v>0.19943019943019943</v>
      </c>
      <c r="BP212" s="64">
        <f t="shared" si="19"/>
        <v>0.20085470085470092</v>
      </c>
    </row>
    <row r="213" spans="1:68" x14ac:dyDescent="0.2">
      <c r="A213" s="566"/>
      <c r="B213" s="560"/>
      <c r="C213" s="560"/>
      <c r="D213" s="560"/>
      <c r="E213" s="560"/>
      <c r="F213" s="560"/>
      <c r="G213" s="560"/>
      <c r="H213" s="560"/>
      <c r="I213" s="560"/>
      <c r="J213" s="560"/>
      <c r="K213" s="560"/>
      <c r="L213" s="560"/>
      <c r="M213" s="560"/>
      <c r="N213" s="560"/>
      <c r="O213" s="567"/>
      <c r="P213" s="563" t="s">
        <v>75</v>
      </c>
      <c r="Q213" s="564"/>
      <c r="R213" s="564"/>
      <c r="S213" s="564"/>
      <c r="T213" s="564"/>
      <c r="U213" s="564"/>
      <c r="V213" s="565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299.44444444444446</v>
      </c>
      <c r="Y213" s="555">
        <f>IFERROR(Y205/H205,"0")+IFERROR(Y206/H206,"0")+IFERROR(Y207/H207,"0")+IFERROR(Y208/H208,"0")+IFERROR(Y209/H209,"0")+IFERROR(Y210/H210,"0")+IFERROR(Y211/H211,"0")+IFERROR(Y212/H212,"0")</f>
        <v>304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1.8500799999999999</v>
      </c>
      <c r="AA213" s="556"/>
      <c r="AB213" s="556"/>
      <c r="AC213" s="556"/>
    </row>
    <row r="214" spans="1:68" x14ac:dyDescent="0.2">
      <c r="A214" s="560"/>
      <c r="B214" s="560"/>
      <c r="C214" s="560"/>
      <c r="D214" s="560"/>
      <c r="E214" s="560"/>
      <c r="F214" s="560"/>
      <c r="G214" s="560"/>
      <c r="H214" s="560"/>
      <c r="I214" s="560"/>
      <c r="J214" s="560"/>
      <c r="K214" s="560"/>
      <c r="L214" s="560"/>
      <c r="M214" s="560"/>
      <c r="N214" s="560"/>
      <c r="O214" s="567"/>
      <c r="P214" s="563" t="s">
        <v>75</v>
      </c>
      <c r="Q214" s="564"/>
      <c r="R214" s="564"/>
      <c r="S214" s="564"/>
      <c r="T214" s="564"/>
      <c r="U214" s="564"/>
      <c r="V214" s="565"/>
      <c r="W214" s="37" t="s">
        <v>69</v>
      </c>
      <c r="X214" s="555">
        <f>IFERROR(SUM(X205:X212),"0")</f>
        <v>819</v>
      </c>
      <c r="Y214" s="555">
        <f>IFERROR(SUM(Y205:Y212),"0")</f>
        <v>838.80000000000007</v>
      </c>
      <c r="Z214" s="37"/>
      <c r="AA214" s="556"/>
      <c r="AB214" s="556"/>
      <c r="AC214" s="556"/>
    </row>
    <row r="215" spans="1:68" ht="14.25" hidden="1" customHeight="1" x14ac:dyDescent="0.25">
      <c r="A215" s="559" t="s">
        <v>77</v>
      </c>
      <c r="B215" s="560"/>
      <c r="C215" s="560"/>
      <c r="D215" s="560"/>
      <c r="E215" s="560"/>
      <c r="F215" s="560"/>
      <c r="G215" s="560"/>
      <c r="H215" s="560"/>
      <c r="I215" s="560"/>
      <c r="J215" s="560"/>
      <c r="K215" s="560"/>
      <c r="L215" s="560"/>
      <c r="M215" s="560"/>
      <c r="N215" s="560"/>
      <c r="O215" s="560"/>
      <c r="P215" s="560"/>
      <c r="Q215" s="560"/>
      <c r="R215" s="560"/>
      <c r="S215" s="560"/>
      <c r="T215" s="560"/>
      <c r="U215" s="560"/>
      <c r="V215" s="560"/>
      <c r="W215" s="560"/>
      <c r="X215" s="560"/>
      <c r="Y215" s="560"/>
      <c r="Z215" s="560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1">
        <v>4680115881594</v>
      </c>
      <c r="E216" s="562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9"/>
      <c r="R216" s="569"/>
      <c r="S216" s="569"/>
      <c r="T216" s="570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1">
        <v>4680115881617</v>
      </c>
      <c r="E217" s="562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69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9"/>
      <c r="R217" s="569"/>
      <c r="S217" s="569"/>
      <c r="T217" s="570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1">
        <v>4680115880573</v>
      </c>
      <c r="E218" s="562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5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9"/>
      <c r="R218" s="569"/>
      <c r="S218" s="569"/>
      <c r="T218" s="570"/>
      <c r="U218" s="34"/>
      <c r="V218" s="34"/>
      <c r="W218" s="35" t="s">
        <v>69</v>
      </c>
      <c r="X218" s="553">
        <v>120</v>
      </c>
      <c r="Y218" s="554">
        <f t="shared" si="20"/>
        <v>121.79999999999998</v>
      </c>
      <c r="Z218" s="36">
        <f>IFERROR(IF(Y218=0,"",ROUNDUP(Y218/H218,0)*0.01898),"")</f>
        <v>0.26572000000000001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126.8137931034483</v>
      </c>
      <c r="BN218" s="64">
        <f t="shared" si="22"/>
        <v>128.71600000000001</v>
      </c>
      <c r="BO218" s="64">
        <f t="shared" si="23"/>
        <v>0.21551724137931036</v>
      </c>
      <c r="BP218" s="64">
        <f t="shared" si="24"/>
        <v>0.21875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1">
        <v>4680115882195</v>
      </c>
      <c r="E219" s="562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9"/>
      <c r="R219" s="569"/>
      <c r="S219" s="569"/>
      <c r="T219" s="570"/>
      <c r="U219" s="34"/>
      <c r="V219" s="34"/>
      <c r="W219" s="35" t="s">
        <v>69</v>
      </c>
      <c r="X219" s="553">
        <v>240</v>
      </c>
      <c r="Y219" s="554">
        <f t="shared" si="20"/>
        <v>240</v>
      </c>
      <c r="Z219" s="36">
        <f t="shared" ref="Z219:Z224" si="25">IFERROR(IF(Y219=0,"",ROUNDUP(Y219/H219,0)*0.00651),"")</f>
        <v>0.65100000000000002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267</v>
      </c>
      <c r="BN219" s="64">
        <f t="shared" si="22"/>
        <v>267</v>
      </c>
      <c r="BO219" s="64">
        <f t="shared" si="23"/>
        <v>0.5494505494505495</v>
      </c>
      <c r="BP219" s="64">
        <f t="shared" si="24"/>
        <v>0.5494505494505495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1">
        <v>4680115882607</v>
      </c>
      <c r="E220" s="562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8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9"/>
      <c r="R220" s="569"/>
      <c r="S220" s="569"/>
      <c r="T220" s="570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1">
        <v>4680115880092</v>
      </c>
      <c r="E221" s="562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8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9"/>
      <c r="R221" s="569"/>
      <c r="S221" s="569"/>
      <c r="T221" s="570"/>
      <c r="U221" s="34"/>
      <c r="V221" s="34"/>
      <c r="W221" s="35" t="s">
        <v>69</v>
      </c>
      <c r="X221" s="553">
        <v>280</v>
      </c>
      <c r="Y221" s="554">
        <f t="shared" si="20"/>
        <v>280.8</v>
      </c>
      <c r="Z221" s="36">
        <f t="shared" si="25"/>
        <v>0.76167000000000007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309.40000000000003</v>
      </c>
      <c r="BN221" s="64">
        <f t="shared" si="22"/>
        <v>310.28400000000005</v>
      </c>
      <c r="BO221" s="64">
        <f t="shared" si="23"/>
        <v>0.64102564102564108</v>
      </c>
      <c r="BP221" s="64">
        <f t="shared" si="24"/>
        <v>0.64285714285714302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1">
        <v>4680115880221</v>
      </c>
      <c r="E222" s="562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6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9"/>
      <c r="R222" s="569"/>
      <c r="S222" s="569"/>
      <c r="T222" s="570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1">
        <v>4680115880504</v>
      </c>
      <c r="E223" s="562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8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9"/>
      <c r="R223" s="569"/>
      <c r="S223" s="569"/>
      <c r="T223" s="570"/>
      <c r="U223" s="34"/>
      <c r="V223" s="34"/>
      <c r="W223" s="35" t="s">
        <v>69</v>
      </c>
      <c r="X223" s="553">
        <v>120</v>
      </c>
      <c r="Y223" s="554">
        <f t="shared" si="20"/>
        <v>120</v>
      </c>
      <c r="Z223" s="36">
        <f t="shared" si="25"/>
        <v>0.32550000000000001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132.60000000000002</v>
      </c>
      <c r="BN223" s="64">
        <f t="shared" si="22"/>
        <v>132.60000000000002</v>
      </c>
      <c r="BO223" s="64">
        <f t="shared" si="23"/>
        <v>0.27472527472527475</v>
      </c>
      <c r="BP223" s="64">
        <f t="shared" si="24"/>
        <v>0.27472527472527475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1">
        <v>4680115882164</v>
      </c>
      <c r="E224" s="562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81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9"/>
      <c r="R224" s="569"/>
      <c r="S224" s="569"/>
      <c r="T224" s="570"/>
      <c r="U224" s="34"/>
      <c r="V224" s="34"/>
      <c r="W224" s="35" t="s">
        <v>69</v>
      </c>
      <c r="X224" s="553">
        <v>200</v>
      </c>
      <c r="Y224" s="554">
        <f t="shared" si="20"/>
        <v>201.6</v>
      </c>
      <c r="Z224" s="36">
        <f t="shared" si="25"/>
        <v>0.54683999999999999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221.50000000000003</v>
      </c>
      <c r="BN224" s="64">
        <f t="shared" si="22"/>
        <v>223.27200000000002</v>
      </c>
      <c r="BO224" s="64">
        <f t="shared" si="23"/>
        <v>0.45787545787545797</v>
      </c>
      <c r="BP224" s="64">
        <f t="shared" si="24"/>
        <v>0.46153846153846156</v>
      </c>
    </row>
    <row r="225" spans="1:68" x14ac:dyDescent="0.2">
      <c r="A225" s="566"/>
      <c r="B225" s="560"/>
      <c r="C225" s="560"/>
      <c r="D225" s="560"/>
      <c r="E225" s="560"/>
      <c r="F225" s="560"/>
      <c r="G225" s="560"/>
      <c r="H225" s="560"/>
      <c r="I225" s="560"/>
      <c r="J225" s="560"/>
      <c r="K225" s="560"/>
      <c r="L225" s="560"/>
      <c r="M225" s="560"/>
      <c r="N225" s="560"/>
      <c r="O225" s="567"/>
      <c r="P225" s="563" t="s">
        <v>75</v>
      </c>
      <c r="Q225" s="564"/>
      <c r="R225" s="564"/>
      <c r="S225" s="564"/>
      <c r="T225" s="564"/>
      <c r="U225" s="564"/>
      <c r="V225" s="565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363.79310344827593</v>
      </c>
      <c r="Y225" s="555">
        <f>IFERROR(Y216/H216,"0")+IFERROR(Y217/H217,"0")+IFERROR(Y218/H218,"0")+IFERROR(Y219/H219,"0")+IFERROR(Y220/H220,"0")+IFERROR(Y221/H221,"0")+IFERROR(Y222/H222,"0")+IFERROR(Y223/H223,"0")+IFERROR(Y224/H224,"0")</f>
        <v>365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2.5507300000000002</v>
      </c>
      <c r="AA225" s="556"/>
      <c r="AB225" s="556"/>
      <c r="AC225" s="556"/>
    </row>
    <row r="226" spans="1:68" x14ac:dyDescent="0.2">
      <c r="A226" s="560"/>
      <c r="B226" s="560"/>
      <c r="C226" s="560"/>
      <c r="D226" s="560"/>
      <c r="E226" s="560"/>
      <c r="F226" s="560"/>
      <c r="G226" s="560"/>
      <c r="H226" s="560"/>
      <c r="I226" s="560"/>
      <c r="J226" s="560"/>
      <c r="K226" s="560"/>
      <c r="L226" s="560"/>
      <c r="M226" s="560"/>
      <c r="N226" s="560"/>
      <c r="O226" s="567"/>
      <c r="P226" s="563" t="s">
        <v>75</v>
      </c>
      <c r="Q226" s="564"/>
      <c r="R226" s="564"/>
      <c r="S226" s="564"/>
      <c r="T226" s="564"/>
      <c r="U226" s="564"/>
      <c r="V226" s="565"/>
      <c r="W226" s="37" t="s">
        <v>69</v>
      </c>
      <c r="X226" s="555">
        <f>IFERROR(SUM(X216:X224),"0")</f>
        <v>960</v>
      </c>
      <c r="Y226" s="555">
        <f>IFERROR(SUM(Y216:Y224),"0")</f>
        <v>964.19999999999993</v>
      </c>
      <c r="Z226" s="37"/>
      <c r="AA226" s="556"/>
      <c r="AB226" s="556"/>
      <c r="AC226" s="556"/>
    </row>
    <row r="227" spans="1:68" ht="14.25" hidden="1" customHeight="1" x14ac:dyDescent="0.25">
      <c r="A227" s="559" t="s">
        <v>162</v>
      </c>
      <c r="B227" s="560"/>
      <c r="C227" s="560"/>
      <c r="D227" s="560"/>
      <c r="E227" s="560"/>
      <c r="F227" s="560"/>
      <c r="G227" s="560"/>
      <c r="H227" s="560"/>
      <c r="I227" s="560"/>
      <c r="J227" s="560"/>
      <c r="K227" s="560"/>
      <c r="L227" s="560"/>
      <c r="M227" s="560"/>
      <c r="N227" s="560"/>
      <c r="O227" s="560"/>
      <c r="P227" s="560"/>
      <c r="Q227" s="560"/>
      <c r="R227" s="560"/>
      <c r="S227" s="560"/>
      <c r="T227" s="560"/>
      <c r="U227" s="560"/>
      <c r="V227" s="560"/>
      <c r="W227" s="560"/>
      <c r="X227" s="560"/>
      <c r="Y227" s="560"/>
      <c r="Z227" s="560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1">
        <v>4680115880818</v>
      </c>
      <c r="E228" s="562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60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9"/>
      <c r="R228" s="569"/>
      <c r="S228" s="569"/>
      <c r="T228" s="570"/>
      <c r="U228" s="34"/>
      <c r="V228" s="34"/>
      <c r="W228" s="35" t="s">
        <v>69</v>
      </c>
      <c r="X228" s="553">
        <v>32</v>
      </c>
      <c r="Y228" s="554">
        <f>IFERROR(IF(X228="",0,CEILING((X228/$H228),1)*$H228),"")</f>
        <v>33.6</v>
      </c>
      <c r="Z228" s="36">
        <f>IFERROR(IF(Y228=0,"",ROUNDUP(Y228/H228,0)*0.00651),"")</f>
        <v>9.1139999999999999E-2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35.360000000000007</v>
      </c>
      <c r="BN228" s="64">
        <f>IFERROR(Y228*I228/H228,"0")</f>
        <v>37.128000000000007</v>
      </c>
      <c r="BO228" s="64">
        <f>IFERROR(1/J228*(X228/H228),"0")</f>
        <v>7.3260073260073263E-2</v>
      </c>
      <c r="BP228" s="64">
        <f>IFERROR(1/J228*(Y228/H228),"0")</f>
        <v>7.6923076923076941E-2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1">
        <v>4680115880801</v>
      </c>
      <c r="E229" s="562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1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9"/>
      <c r="R229" s="569"/>
      <c r="S229" s="569"/>
      <c r="T229" s="570"/>
      <c r="U229" s="34"/>
      <c r="V229" s="34"/>
      <c r="W229" s="35" t="s">
        <v>69</v>
      </c>
      <c r="X229" s="553">
        <v>32</v>
      </c>
      <c r="Y229" s="554">
        <f>IFERROR(IF(X229="",0,CEILING((X229/$H229),1)*$H229),"")</f>
        <v>33.6</v>
      </c>
      <c r="Z229" s="36">
        <f>IFERROR(IF(Y229=0,"",ROUNDUP(Y229/H229,0)*0.00651),"")</f>
        <v>9.1139999999999999E-2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35.360000000000007</v>
      </c>
      <c r="BN229" s="64">
        <f>IFERROR(Y229*I229/H229,"0")</f>
        <v>37.128000000000007</v>
      </c>
      <c r="BO229" s="64">
        <f>IFERROR(1/J229*(X229/H229),"0")</f>
        <v>7.3260073260073263E-2</v>
      </c>
      <c r="BP229" s="64">
        <f>IFERROR(1/J229*(Y229/H229),"0")</f>
        <v>7.6923076923076941E-2</v>
      </c>
    </row>
    <row r="230" spans="1:68" x14ac:dyDescent="0.2">
      <c r="A230" s="566"/>
      <c r="B230" s="560"/>
      <c r="C230" s="560"/>
      <c r="D230" s="560"/>
      <c r="E230" s="560"/>
      <c r="F230" s="560"/>
      <c r="G230" s="560"/>
      <c r="H230" s="560"/>
      <c r="I230" s="560"/>
      <c r="J230" s="560"/>
      <c r="K230" s="560"/>
      <c r="L230" s="560"/>
      <c r="M230" s="560"/>
      <c r="N230" s="560"/>
      <c r="O230" s="567"/>
      <c r="P230" s="563" t="s">
        <v>75</v>
      </c>
      <c r="Q230" s="564"/>
      <c r="R230" s="564"/>
      <c r="S230" s="564"/>
      <c r="T230" s="564"/>
      <c r="U230" s="564"/>
      <c r="V230" s="565"/>
      <c r="W230" s="37" t="s">
        <v>76</v>
      </c>
      <c r="X230" s="555">
        <f>IFERROR(X228/H228,"0")+IFERROR(X229/H229,"0")</f>
        <v>26.666666666666668</v>
      </c>
      <c r="Y230" s="555">
        <f>IFERROR(Y228/H228,"0")+IFERROR(Y229/H229,"0")</f>
        <v>28.000000000000004</v>
      </c>
      <c r="Z230" s="555">
        <f>IFERROR(IF(Z228="",0,Z228),"0")+IFERROR(IF(Z229="",0,Z229),"0")</f>
        <v>0.18228</v>
      </c>
      <c r="AA230" s="556"/>
      <c r="AB230" s="556"/>
      <c r="AC230" s="556"/>
    </row>
    <row r="231" spans="1:68" x14ac:dyDescent="0.2">
      <c r="A231" s="560"/>
      <c r="B231" s="560"/>
      <c r="C231" s="560"/>
      <c r="D231" s="560"/>
      <c r="E231" s="560"/>
      <c r="F231" s="560"/>
      <c r="G231" s="560"/>
      <c r="H231" s="560"/>
      <c r="I231" s="560"/>
      <c r="J231" s="560"/>
      <c r="K231" s="560"/>
      <c r="L231" s="560"/>
      <c r="M231" s="560"/>
      <c r="N231" s="560"/>
      <c r="O231" s="567"/>
      <c r="P231" s="563" t="s">
        <v>75</v>
      </c>
      <c r="Q231" s="564"/>
      <c r="R231" s="564"/>
      <c r="S231" s="564"/>
      <c r="T231" s="564"/>
      <c r="U231" s="564"/>
      <c r="V231" s="565"/>
      <c r="W231" s="37" t="s">
        <v>69</v>
      </c>
      <c r="X231" s="555">
        <f>IFERROR(SUM(X228:X229),"0")</f>
        <v>64</v>
      </c>
      <c r="Y231" s="555">
        <f>IFERROR(SUM(Y228:Y229),"0")</f>
        <v>67.2</v>
      </c>
      <c r="Z231" s="37"/>
      <c r="AA231" s="556"/>
      <c r="AB231" s="556"/>
      <c r="AC231" s="556"/>
    </row>
    <row r="232" spans="1:68" ht="16.5" hidden="1" customHeight="1" x14ac:dyDescent="0.25">
      <c r="A232" s="592" t="s">
        <v>387</v>
      </c>
      <c r="B232" s="560"/>
      <c r="C232" s="560"/>
      <c r="D232" s="560"/>
      <c r="E232" s="560"/>
      <c r="F232" s="560"/>
      <c r="G232" s="560"/>
      <c r="H232" s="560"/>
      <c r="I232" s="560"/>
      <c r="J232" s="560"/>
      <c r="K232" s="560"/>
      <c r="L232" s="560"/>
      <c r="M232" s="560"/>
      <c r="N232" s="560"/>
      <c r="O232" s="560"/>
      <c r="P232" s="560"/>
      <c r="Q232" s="560"/>
      <c r="R232" s="560"/>
      <c r="S232" s="560"/>
      <c r="T232" s="560"/>
      <c r="U232" s="560"/>
      <c r="V232" s="560"/>
      <c r="W232" s="560"/>
      <c r="X232" s="560"/>
      <c r="Y232" s="560"/>
      <c r="Z232" s="560"/>
      <c r="AA232" s="548"/>
      <c r="AB232" s="548"/>
      <c r="AC232" s="548"/>
    </row>
    <row r="233" spans="1:68" ht="14.25" hidden="1" customHeight="1" x14ac:dyDescent="0.25">
      <c r="A233" s="559" t="s">
        <v>101</v>
      </c>
      <c r="B233" s="560"/>
      <c r="C233" s="560"/>
      <c r="D233" s="560"/>
      <c r="E233" s="560"/>
      <c r="F233" s="560"/>
      <c r="G233" s="560"/>
      <c r="H233" s="56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560"/>
      <c r="U233" s="560"/>
      <c r="V233" s="560"/>
      <c r="W233" s="560"/>
      <c r="X233" s="560"/>
      <c r="Y233" s="560"/>
      <c r="Z233" s="560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1">
        <v>4680115884137</v>
      </c>
      <c r="E234" s="562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79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9"/>
      <c r="R234" s="569"/>
      <c r="S234" s="569"/>
      <c r="T234" s="570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1">
        <v>4680115884236</v>
      </c>
      <c r="E235" s="562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0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9"/>
      <c r="R235" s="569"/>
      <c r="S235" s="569"/>
      <c r="T235" s="570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1">
        <v>4680115884175</v>
      </c>
      <c r="E236" s="562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84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9"/>
      <c r="R236" s="569"/>
      <c r="S236" s="569"/>
      <c r="T236" s="570"/>
      <c r="U236" s="34"/>
      <c r="V236" s="34"/>
      <c r="W236" s="35" t="s">
        <v>69</v>
      </c>
      <c r="X236" s="553">
        <v>80</v>
      </c>
      <c r="Y236" s="554">
        <f t="shared" si="26"/>
        <v>81.2</v>
      </c>
      <c r="Z236" s="36">
        <f>IFERROR(IF(Y236=0,"",ROUNDUP(Y236/H236,0)*0.01898),"")</f>
        <v>0.13286000000000001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82.827586206896555</v>
      </c>
      <c r="BN236" s="64">
        <f t="shared" si="28"/>
        <v>84.070000000000007</v>
      </c>
      <c r="BO236" s="64">
        <f t="shared" si="29"/>
        <v>0.10775862068965518</v>
      </c>
      <c r="BP236" s="64">
        <f t="shared" si="30"/>
        <v>0.10937500000000001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1">
        <v>4680115884144</v>
      </c>
      <c r="E237" s="562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9"/>
      <c r="R237" s="569"/>
      <c r="S237" s="569"/>
      <c r="T237" s="570"/>
      <c r="U237" s="34"/>
      <c r="V237" s="34"/>
      <c r="W237" s="35" t="s">
        <v>69</v>
      </c>
      <c r="X237" s="553">
        <v>28</v>
      </c>
      <c r="Y237" s="554">
        <f t="shared" si="26"/>
        <v>28</v>
      </c>
      <c r="Z237" s="36">
        <f>IFERROR(IF(Y237=0,"",ROUNDUP(Y237/H237,0)*0.00902),"")</f>
        <v>6.3140000000000002E-2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29.330000000000002</v>
      </c>
      <c r="BN237" s="64">
        <f t="shared" si="28"/>
        <v>29.330000000000002</v>
      </c>
      <c r="BO237" s="64">
        <f t="shared" si="29"/>
        <v>5.3030303030303032E-2</v>
      </c>
      <c r="BP237" s="64">
        <f t="shared" si="30"/>
        <v>5.3030303030303032E-2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1">
        <v>4680115884144</v>
      </c>
      <c r="E238" s="562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1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9"/>
      <c r="R238" s="569"/>
      <c r="S238" s="569"/>
      <c r="T238" s="570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1">
        <v>4680115886551</v>
      </c>
      <c r="E239" s="562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7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9"/>
      <c r="R239" s="569"/>
      <c r="S239" s="569"/>
      <c r="T239" s="570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1">
        <v>4680115887282</v>
      </c>
      <c r="E240" s="562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82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9"/>
      <c r="R240" s="569"/>
      <c r="S240" s="569"/>
      <c r="T240" s="570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1">
        <v>4680115884205</v>
      </c>
      <c r="E241" s="562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6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9"/>
      <c r="R241" s="569"/>
      <c r="S241" s="569"/>
      <c r="T241" s="570"/>
      <c r="U241" s="34"/>
      <c r="V241" s="34"/>
      <c r="W241" s="35" t="s">
        <v>69</v>
      </c>
      <c r="X241" s="553">
        <v>48</v>
      </c>
      <c r="Y241" s="554">
        <f t="shared" si="26"/>
        <v>48</v>
      </c>
      <c r="Z241" s="36">
        <f>IFERROR(IF(Y241=0,"",ROUNDUP(Y241/H241,0)*0.00902),"")</f>
        <v>0.10824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50.28</v>
      </c>
      <c r="BN241" s="64">
        <f t="shared" si="28"/>
        <v>50.28</v>
      </c>
      <c r="BO241" s="64">
        <f t="shared" si="29"/>
        <v>9.0909090909090912E-2</v>
      </c>
      <c r="BP241" s="64">
        <f t="shared" si="30"/>
        <v>9.0909090909090912E-2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1">
        <v>4680115884205</v>
      </c>
      <c r="E242" s="562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8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9"/>
      <c r="R242" s="569"/>
      <c r="S242" s="569"/>
      <c r="T242" s="570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66"/>
      <c r="B243" s="560"/>
      <c r="C243" s="560"/>
      <c r="D243" s="560"/>
      <c r="E243" s="560"/>
      <c r="F243" s="560"/>
      <c r="G243" s="560"/>
      <c r="H243" s="560"/>
      <c r="I243" s="560"/>
      <c r="J243" s="560"/>
      <c r="K243" s="560"/>
      <c r="L243" s="560"/>
      <c r="M243" s="560"/>
      <c r="N243" s="560"/>
      <c r="O243" s="567"/>
      <c r="P243" s="563" t="s">
        <v>75</v>
      </c>
      <c r="Q243" s="564"/>
      <c r="R243" s="564"/>
      <c r="S243" s="564"/>
      <c r="T243" s="564"/>
      <c r="U243" s="564"/>
      <c r="V243" s="565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25.896551724137932</v>
      </c>
      <c r="Y243" s="555">
        <f>IFERROR(Y234/H234,"0")+IFERROR(Y235/H235,"0")+IFERROR(Y236/H236,"0")+IFERROR(Y237/H237,"0")+IFERROR(Y238/H238,"0")+IFERROR(Y239/H239,"0")+IFERROR(Y240/H240,"0")+IFERROR(Y241/H241,"0")+IFERROR(Y242/H242,"0")</f>
        <v>26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0.30424000000000001</v>
      </c>
      <c r="AA243" s="556"/>
      <c r="AB243" s="556"/>
      <c r="AC243" s="556"/>
    </row>
    <row r="244" spans="1:68" x14ac:dyDescent="0.2">
      <c r="A244" s="560"/>
      <c r="B244" s="560"/>
      <c r="C244" s="560"/>
      <c r="D244" s="560"/>
      <c r="E244" s="560"/>
      <c r="F244" s="560"/>
      <c r="G244" s="560"/>
      <c r="H244" s="560"/>
      <c r="I244" s="560"/>
      <c r="J244" s="560"/>
      <c r="K244" s="560"/>
      <c r="L244" s="560"/>
      <c r="M244" s="560"/>
      <c r="N244" s="560"/>
      <c r="O244" s="567"/>
      <c r="P244" s="563" t="s">
        <v>75</v>
      </c>
      <c r="Q244" s="564"/>
      <c r="R244" s="564"/>
      <c r="S244" s="564"/>
      <c r="T244" s="564"/>
      <c r="U244" s="564"/>
      <c r="V244" s="565"/>
      <c r="W244" s="37" t="s">
        <v>69</v>
      </c>
      <c r="X244" s="555">
        <f>IFERROR(SUM(X234:X242),"0")</f>
        <v>156</v>
      </c>
      <c r="Y244" s="555">
        <f>IFERROR(SUM(Y234:Y242),"0")</f>
        <v>157.19999999999999</v>
      </c>
      <c r="Z244" s="37"/>
      <c r="AA244" s="556"/>
      <c r="AB244" s="556"/>
      <c r="AC244" s="556"/>
    </row>
    <row r="245" spans="1:68" ht="14.25" hidden="1" customHeight="1" x14ac:dyDescent="0.25">
      <c r="A245" s="559" t="s">
        <v>137</v>
      </c>
      <c r="B245" s="560"/>
      <c r="C245" s="560"/>
      <c r="D245" s="560"/>
      <c r="E245" s="560"/>
      <c r="F245" s="560"/>
      <c r="G245" s="560"/>
      <c r="H245" s="56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560"/>
      <c r="U245" s="560"/>
      <c r="V245" s="560"/>
      <c r="W245" s="560"/>
      <c r="X245" s="560"/>
      <c r="Y245" s="560"/>
      <c r="Z245" s="560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1">
        <v>4680115885981</v>
      </c>
      <c r="E246" s="562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5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9"/>
      <c r="R246" s="569"/>
      <c r="S246" s="569"/>
      <c r="T246" s="570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6"/>
      <c r="B247" s="560"/>
      <c r="C247" s="560"/>
      <c r="D247" s="560"/>
      <c r="E247" s="560"/>
      <c r="F247" s="560"/>
      <c r="G247" s="560"/>
      <c r="H247" s="560"/>
      <c r="I247" s="560"/>
      <c r="J247" s="560"/>
      <c r="K247" s="560"/>
      <c r="L247" s="560"/>
      <c r="M247" s="560"/>
      <c r="N247" s="560"/>
      <c r="O247" s="567"/>
      <c r="P247" s="563" t="s">
        <v>75</v>
      </c>
      <c r="Q247" s="564"/>
      <c r="R247" s="564"/>
      <c r="S247" s="564"/>
      <c r="T247" s="564"/>
      <c r="U247" s="564"/>
      <c r="V247" s="565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0"/>
      <c r="B248" s="560"/>
      <c r="C248" s="560"/>
      <c r="D248" s="560"/>
      <c r="E248" s="560"/>
      <c r="F248" s="560"/>
      <c r="G248" s="560"/>
      <c r="H248" s="560"/>
      <c r="I248" s="560"/>
      <c r="J248" s="560"/>
      <c r="K248" s="560"/>
      <c r="L248" s="560"/>
      <c r="M248" s="560"/>
      <c r="N248" s="560"/>
      <c r="O248" s="567"/>
      <c r="P248" s="563" t="s">
        <v>75</v>
      </c>
      <c r="Q248" s="564"/>
      <c r="R248" s="564"/>
      <c r="S248" s="564"/>
      <c r="T248" s="564"/>
      <c r="U248" s="564"/>
      <c r="V248" s="565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59" t="s">
        <v>412</v>
      </c>
      <c r="B249" s="560"/>
      <c r="C249" s="560"/>
      <c r="D249" s="560"/>
      <c r="E249" s="560"/>
      <c r="F249" s="560"/>
      <c r="G249" s="560"/>
      <c r="H249" s="560"/>
      <c r="I249" s="560"/>
      <c r="J249" s="560"/>
      <c r="K249" s="560"/>
      <c r="L249" s="560"/>
      <c r="M249" s="560"/>
      <c r="N249" s="560"/>
      <c r="O249" s="560"/>
      <c r="P249" s="560"/>
      <c r="Q249" s="560"/>
      <c r="R249" s="560"/>
      <c r="S249" s="560"/>
      <c r="T249" s="560"/>
      <c r="U249" s="560"/>
      <c r="V249" s="560"/>
      <c r="W249" s="560"/>
      <c r="X249" s="560"/>
      <c r="Y249" s="560"/>
      <c r="Z249" s="560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1">
        <v>4680115886803</v>
      </c>
      <c r="E250" s="562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7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9"/>
      <c r="R250" s="569"/>
      <c r="S250" s="569"/>
      <c r="T250" s="570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66"/>
      <c r="B251" s="560"/>
      <c r="C251" s="560"/>
      <c r="D251" s="560"/>
      <c r="E251" s="560"/>
      <c r="F251" s="560"/>
      <c r="G251" s="560"/>
      <c r="H251" s="560"/>
      <c r="I251" s="560"/>
      <c r="J251" s="560"/>
      <c r="K251" s="560"/>
      <c r="L251" s="560"/>
      <c r="M251" s="560"/>
      <c r="N251" s="560"/>
      <c r="O251" s="567"/>
      <c r="P251" s="563" t="s">
        <v>75</v>
      </c>
      <c r="Q251" s="564"/>
      <c r="R251" s="564"/>
      <c r="S251" s="564"/>
      <c r="T251" s="564"/>
      <c r="U251" s="564"/>
      <c r="V251" s="565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0"/>
      <c r="B252" s="560"/>
      <c r="C252" s="560"/>
      <c r="D252" s="560"/>
      <c r="E252" s="560"/>
      <c r="F252" s="560"/>
      <c r="G252" s="560"/>
      <c r="H252" s="560"/>
      <c r="I252" s="560"/>
      <c r="J252" s="560"/>
      <c r="K252" s="560"/>
      <c r="L252" s="560"/>
      <c r="M252" s="560"/>
      <c r="N252" s="560"/>
      <c r="O252" s="567"/>
      <c r="P252" s="563" t="s">
        <v>75</v>
      </c>
      <c r="Q252" s="564"/>
      <c r="R252" s="564"/>
      <c r="S252" s="564"/>
      <c r="T252" s="564"/>
      <c r="U252" s="564"/>
      <c r="V252" s="565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hidden="1" customHeight="1" x14ac:dyDescent="0.25">
      <c r="A253" s="559" t="s">
        <v>416</v>
      </c>
      <c r="B253" s="560"/>
      <c r="C253" s="560"/>
      <c r="D253" s="560"/>
      <c r="E253" s="560"/>
      <c r="F253" s="560"/>
      <c r="G253" s="560"/>
      <c r="H253" s="560"/>
      <c r="I253" s="560"/>
      <c r="J253" s="560"/>
      <c r="K253" s="560"/>
      <c r="L253" s="560"/>
      <c r="M253" s="560"/>
      <c r="N253" s="560"/>
      <c r="O253" s="560"/>
      <c r="P253" s="560"/>
      <c r="Q253" s="560"/>
      <c r="R253" s="560"/>
      <c r="S253" s="560"/>
      <c r="T253" s="560"/>
      <c r="U253" s="560"/>
      <c r="V253" s="560"/>
      <c r="W253" s="560"/>
      <c r="X253" s="560"/>
      <c r="Y253" s="560"/>
      <c r="Z253" s="560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1">
        <v>4680115886704</v>
      </c>
      <c r="E254" s="562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69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9"/>
      <c r="R254" s="569"/>
      <c r="S254" s="569"/>
      <c r="T254" s="570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1">
        <v>4680115886681</v>
      </c>
      <c r="E255" s="562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78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9"/>
      <c r="R255" s="569"/>
      <c r="S255" s="569"/>
      <c r="T255" s="570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1">
        <v>4680115886735</v>
      </c>
      <c r="E256" s="562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69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9"/>
      <c r="R256" s="569"/>
      <c r="S256" s="569"/>
      <c r="T256" s="570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1">
        <v>4680115886728</v>
      </c>
      <c r="E257" s="562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684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9"/>
      <c r="R257" s="569"/>
      <c r="S257" s="569"/>
      <c r="T257" s="570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1">
        <v>4680115886711</v>
      </c>
      <c r="E258" s="562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7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9"/>
      <c r="R258" s="569"/>
      <c r="S258" s="569"/>
      <c r="T258" s="570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6"/>
      <c r="B259" s="560"/>
      <c r="C259" s="560"/>
      <c r="D259" s="560"/>
      <c r="E259" s="560"/>
      <c r="F259" s="560"/>
      <c r="G259" s="560"/>
      <c r="H259" s="560"/>
      <c r="I259" s="560"/>
      <c r="J259" s="560"/>
      <c r="K259" s="560"/>
      <c r="L259" s="560"/>
      <c r="M259" s="560"/>
      <c r="N259" s="560"/>
      <c r="O259" s="567"/>
      <c r="P259" s="563" t="s">
        <v>75</v>
      </c>
      <c r="Q259" s="564"/>
      <c r="R259" s="564"/>
      <c r="S259" s="564"/>
      <c r="T259" s="564"/>
      <c r="U259" s="564"/>
      <c r="V259" s="565"/>
      <c r="W259" s="37" t="s">
        <v>76</v>
      </c>
      <c r="X259" s="555">
        <f>IFERROR(X254/H254,"0")+IFERROR(X255/H255,"0")+IFERROR(X256/H256,"0")+IFERROR(X257/H257,"0")+IFERROR(X258/H258,"0")</f>
        <v>6.6666666666666661</v>
      </c>
      <c r="Y259" s="555">
        <f>IFERROR(Y254/H254,"0")+IFERROR(Y255/H255,"0")+IFERROR(Y256/H256,"0")+IFERROR(Y257/H257,"0")+IFERROR(Y258/H258,"0")</f>
        <v>7</v>
      </c>
      <c r="Z259" s="555">
        <f>IFERROR(IF(Z254="",0,Z254),"0")+IFERROR(IF(Z255="",0,Z255),"0")+IFERROR(IF(Z256="",0,Z256),"0")+IFERROR(IF(Z257="",0,Z257),"0")+IFERROR(IF(Z258="",0,Z258),"0")</f>
        <v>4.1299999999999996E-2</v>
      </c>
      <c r="AA259" s="556"/>
      <c r="AB259" s="556"/>
      <c r="AC259" s="556"/>
    </row>
    <row r="260" spans="1:68" x14ac:dyDescent="0.2">
      <c r="A260" s="560"/>
      <c r="B260" s="560"/>
      <c r="C260" s="560"/>
      <c r="D260" s="560"/>
      <c r="E260" s="560"/>
      <c r="F260" s="560"/>
      <c r="G260" s="560"/>
      <c r="H260" s="560"/>
      <c r="I260" s="560"/>
      <c r="J260" s="560"/>
      <c r="K260" s="560"/>
      <c r="L260" s="560"/>
      <c r="M260" s="560"/>
      <c r="N260" s="560"/>
      <c r="O260" s="567"/>
      <c r="P260" s="563" t="s">
        <v>75</v>
      </c>
      <c r="Q260" s="564"/>
      <c r="R260" s="564"/>
      <c r="S260" s="564"/>
      <c r="T260" s="564"/>
      <c r="U260" s="564"/>
      <c r="V260" s="565"/>
      <c r="W260" s="37" t="s">
        <v>69</v>
      </c>
      <c r="X260" s="555">
        <f>IFERROR(SUM(X254:X258),"0")</f>
        <v>12</v>
      </c>
      <c r="Y260" s="555">
        <f>IFERROR(SUM(Y254:Y258),"0")</f>
        <v>12.6</v>
      </c>
      <c r="Z260" s="37"/>
      <c r="AA260" s="556"/>
      <c r="AB260" s="556"/>
      <c r="AC260" s="556"/>
    </row>
    <row r="261" spans="1:68" ht="16.5" hidden="1" customHeight="1" x14ac:dyDescent="0.25">
      <c r="A261" s="592" t="s">
        <v>428</v>
      </c>
      <c r="B261" s="560"/>
      <c r="C261" s="560"/>
      <c r="D261" s="560"/>
      <c r="E261" s="560"/>
      <c r="F261" s="560"/>
      <c r="G261" s="560"/>
      <c r="H261" s="560"/>
      <c r="I261" s="560"/>
      <c r="J261" s="560"/>
      <c r="K261" s="560"/>
      <c r="L261" s="560"/>
      <c r="M261" s="560"/>
      <c r="N261" s="560"/>
      <c r="O261" s="560"/>
      <c r="P261" s="560"/>
      <c r="Q261" s="560"/>
      <c r="R261" s="560"/>
      <c r="S261" s="560"/>
      <c r="T261" s="560"/>
      <c r="U261" s="560"/>
      <c r="V261" s="560"/>
      <c r="W261" s="560"/>
      <c r="X261" s="560"/>
      <c r="Y261" s="560"/>
      <c r="Z261" s="560"/>
      <c r="AA261" s="548"/>
      <c r="AB261" s="548"/>
      <c r="AC261" s="548"/>
    </row>
    <row r="262" spans="1:68" ht="14.25" hidden="1" customHeight="1" x14ac:dyDescent="0.25">
      <c r="A262" s="559" t="s">
        <v>101</v>
      </c>
      <c r="B262" s="560"/>
      <c r="C262" s="560"/>
      <c r="D262" s="560"/>
      <c r="E262" s="560"/>
      <c r="F262" s="560"/>
      <c r="G262" s="560"/>
      <c r="H262" s="560"/>
      <c r="I262" s="560"/>
      <c r="J262" s="560"/>
      <c r="K262" s="560"/>
      <c r="L262" s="560"/>
      <c r="M262" s="560"/>
      <c r="N262" s="560"/>
      <c r="O262" s="560"/>
      <c r="P262" s="560"/>
      <c r="Q262" s="560"/>
      <c r="R262" s="560"/>
      <c r="S262" s="560"/>
      <c r="T262" s="560"/>
      <c r="U262" s="560"/>
      <c r="V262" s="560"/>
      <c r="W262" s="560"/>
      <c r="X262" s="560"/>
      <c r="Y262" s="560"/>
      <c r="Z262" s="560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1">
        <v>4680115885837</v>
      </c>
      <c r="E263" s="562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60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9"/>
      <c r="R263" s="569"/>
      <c r="S263" s="569"/>
      <c r="T263" s="570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1">
        <v>4680115885851</v>
      </c>
      <c r="E264" s="562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7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9"/>
      <c r="R264" s="569"/>
      <c r="S264" s="569"/>
      <c r="T264" s="570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1">
        <v>4680115885806</v>
      </c>
      <c r="E265" s="562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8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9"/>
      <c r="R265" s="569"/>
      <c r="S265" s="569"/>
      <c r="T265" s="570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1">
        <v>4680115885844</v>
      </c>
      <c r="E266" s="562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83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9"/>
      <c r="R266" s="569"/>
      <c r="S266" s="569"/>
      <c r="T266" s="570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1">
        <v>4680115885820</v>
      </c>
      <c r="E267" s="562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9"/>
      <c r="R267" s="569"/>
      <c r="S267" s="569"/>
      <c r="T267" s="570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6"/>
      <c r="B268" s="560"/>
      <c r="C268" s="560"/>
      <c r="D268" s="560"/>
      <c r="E268" s="560"/>
      <c r="F268" s="560"/>
      <c r="G268" s="560"/>
      <c r="H268" s="560"/>
      <c r="I268" s="560"/>
      <c r="J268" s="560"/>
      <c r="K268" s="560"/>
      <c r="L268" s="560"/>
      <c r="M268" s="560"/>
      <c r="N268" s="560"/>
      <c r="O268" s="567"/>
      <c r="P268" s="563" t="s">
        <v>75</v>
      </c>
      <c r="Q268" s="564"/>
      <c r="R268" s="564"/>
      <c r="S268" s="564"/>
      <c r="T268" s="564"/>
      <c r="U268" s="564"/>
      <c r="V268" s="565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0"/>
      <c r="B269" s="560"/>
      <c r="C269" s="560"/>
      <c r="D269" s="560"/>
      <c r="E269" s="560"/>
      <c r="F269" s="560"/>
      <c r="G269" s="560"/>
      <c r="H269" s="560"/>
      <c r="I269" s="560"/>
      <c r="J269" s="560"/>
      <c r="K269" s="560"/>
      <c r="L269" s="560"/>
      <c r="M269" s="560"/>
      <c r="N269" s="560"/>
      <c r="O269" s="567"/>
      <c r="P269" s="563" t="s">
        <v>75</v>
      </c>
      <c r="Q269" s="564"/>
      <c r="R269" s="564"/>
      <c r="S269" s="564"/>
      <c r="T269" s="564"/>
      <c r="U269" s="564"/>
      <c r="V269" s="565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92" t="s">
        <v>444</v>
      </c>
      <c r="B270" s="560"/>
      <c r="C270" s="560"/>
      <c r="D270" s="560"/>
      <c r="E270" s="560"/>
      <c r="F270" s="560"/>
      <c r="G270" s="560"/>
      <c r="H270" s="560"/>
      <c r="I270" s="560"/>
      <c r="J270" s="560"/>
      <c r="K270" s="560"/>
      <c r="L270" s="560"/>
      <c r="M270" s="560"/>
      <c r="N270" s="560"/>
      <c r="O270" s="560"/>
      <c r="P270" s="560"/>
      <c r="Q270" s="560"/>
      <c r="R270" s="560"/>
      <c r="S270" s="560"/>
      <c r="T270" s="560"/>
      <c r="U270" s="560"/>
      <c r="V270" s="560"/>
      <c r="W270" s="560"/>
      <c r="X270" s="560"/>
      <c r="Y270" s="560"/>
      <c r="Z270" s="560"/>
      <c r="AA270" s="548"/>
      <c r="AB270" s="548"/>
      <c r="AC270" s="548"/>
    </row>
    <row r="271" spans="1:68" ht="14.25" hidden="1" customHeight="1" x14ac:dyDescent="0.25">
      <c r="A271" s="559" t="s">
        <v>101</v>
      </c>
      <c r="B271" s="560"/>
      <c r="C271" s="560"/>
      <c r="D271" s="560"/>
      <c r="E271" s="560"/>
      <c r="F271" s="560"/>
      <c r="G271" s="560"/>
      <c r="H271" s="560"/>
      <c r="I271" s="560"/>
      <c r="J271" s="560"/>
      <c r="K271" s="560"/>
      <c r="L271" s="560"/>
      <c r="M271" s="560"/>
      <c r="N271" s="560"/>
      <c r="O271" s="560"/>
      <c r="P271" s="560"/>
      <c r="Q271" s="560"/>
      <c r="R271" s="560"/>
      <c r="S271" s="560"/>
      <c r="T271" s="560"/>
      <c r="U271" s="560"/>
      <c r="V271" s="560"/>
      <c r="W271" s="560"/>
      <c r="X271" s="560"/>
      <c r="Y271" s="560"/>
      <c r="Z271" s="560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1">
        <v>4607091383423</v>
      </c>
      <c r="E272" s="562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4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9"/>
      <c r="R272" s="569"/>
      <c r="S272" s="569"/>
      <c r="T272" s="570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1">
        <v>4680115886957</v>
      </c>
      <c r="E273" s="562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82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9"/>
      <c r="R273" s="569"/>
      <c r="S273" s="569"/>
      <c r="T273" s="570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1">
        <v>4680115885660</v>
      </c>
      <c r="E274" s="562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68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9"/>
      <c r="R274" s="569"/>
      <c r="S274" s="569"/>
      <c r="T274" s="570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1">
        <v>4680115886773</v>
      </c>
      <c r="E275" s="562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86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9"/>
      <c r="R275" s="569"/>
      <c r="S275" s="569"/>
      <c r="T275" s="570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6"/>
      <c r="B276" s="560"/>
      <c r="C276" s="560"/>
      <c r="D276" s="560"/>
      <c r="E276" s="560"/>
      <c r="F276" s="560"/>
      <c r="G276" s="560"/>
      <c r="H276" s="560"/>
      <c r="I276" s="560"/>
      <c r="J276" s="560"/>
      <c r="K276" s="560"/>
      <c r="L276" s="560"/>
      <c r="M276" s="560"/>
      <c r="N276" s="560"/>
      <c r="O276" s="567"/>
      <c r="P276" s="563" t="s">
        <v>75</v>
      </c>
      <c r="Q276" s="564"/>
      <c r="R276" s="564"/>
      <c r="S276" s="564"/>
      <c r="T276" s="564"/>
      <c r="U276" s="564"/>
      <c r="V276" s="565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0"/>
      <c r="B277" s="560"/>
      <c r="C277" s="560"/>
      <c r="D277" s="560"/>
      <c r="E277" s="560"/>
      <c r="F277" s="560"/>
      <c r="G277" s="560"/>
      <c r="H277" s="560"/>
      <c r="I277" s="560"/>
      <c r="J277" s="560"/>
      <c r="K277" s="560"/>
      <c r="L277" s="560"/>
      <c r="M277" s="560"/>
      <c r="N277" s="560"/>
      <c r="O277" s="567"/>
      <c r="P277" s="563" t="s">
        <v>75</v>
      </c>
      <c r="Q277" s="564"/>
      <c r="R277" s="564"/>
      <c r="S277" s="564"/>
      <c r="T277" s="564"/>
      <c r="U277" s="564"/>
      <c r="V277" s="565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92" t="s">
        <v>455</v>
      </c>
      <c r="B278" s="560"/>
      <c r="C278" s="560"/>
      <c r="D278" s="560"/>
      <c r="E278" s="560"/>
      <c r="F278" s="560"/>
      <c r="G278" s="560"/>
      <c r="H278" s="560"/>
      <c r="I278" s="560"/>
      <c r="J278" s="560"/>
      <c r="K278" s="560"/>
      <c r="L278" s="560"/>
      <c r="M278" s="560"/>
      <c r="N278" s="560"/>
      <c r="O278" s="560"/>
      <c r="P278" s="560"/>
      <c r="Q278" s="560"/>
      <c r="R278" s="560"/>
      <c r="S278" s="560"/>
      <c r="T278" s="560"/>
      <c r="U278" s="560"/>
      <c r="V278" s="560"/>
      <c r="W278" s="560"/>
      <c r="X278" s="560"/>
      <c r="Y278" s="560"/>
      <c r="Z278" s="560"/>
      <c r="AA278" s="548"/>
      <c r="AB278" s="548"/>
      <c r="AC278" s="548"/>
    </row>
    <row r="279" spans="1:68" ht="14.25" hidden="1" customHeight="1" x14ac:dyDescent="0.25">
      <c r="A279" s="559" t="s">
        <v>77</v>
      </c>
      <c r="B279" s="560"/>
      <c r="C279" s="560"/>
      <c r="D279" s="560"/>
      <c r="E279" s="560"/>
      <c r="F279" s="560"/>
      <c r="G279" s="560"/>
      <c r="H279" s="560"/>
      <c r="I279" s="560"/>
      <c r="J279" s="560"/>
      <c r="K279" s="560"/>
      <c r="L279" s="560"/>
      <c r="M279" s="560"/>
      <c r="N279" s="560"/>
      <c r="O279" s="560"/>
      <c r="P279" s="560"/>
      <c r="Q279" s="560"/>
      <c r="R279" s="560"/>
      <c r="S279" s="560"/>
      <c r="T279" s="560"/>
      <c r="U279" s="560"/>
      <c r="V279" s="560"/>
      <c r="W279" s="560"/>
      <c r="X279" s="560"/>
      <c r="Y279" s="560"/>
      <c r="Z279" s="560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1">
        <v>4680115886186</v>
      </c>
      <c r="E280" s="562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9"/>
      <c r="R280" s="569"/>
      <c r="S280" s="569"/>
      <c r="T280" s="570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1">
        <v>4680115881228</v>
      </c>
      <c r="E281" s="562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78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9"/>
      <c r="R281" s="569"/>
      <c r="S281" s="569"/>
      <c r="T281" s="570"/>
      <c r="U281" s="34"/>
      <c r="V281" s="34"/>
      <c r="W281" s="35" t="s">
        <v>69</v>
      </c>
      <c r="X281" s="553">
        <v>120</v>
      </c>
      <c r="Y281" s="554">
        <f>IFERROR(IF(X281="",0,CEILING((X281/$H281),1)*$H281),"")</f>
        <v>120</v>
      </c>
      <c r="Z281" s="36">
        <f>IFERROR(IF(Y281=0,"",ROUNDUP(Y281/H281,0)*0.00651),"")</f>
        <v>0.32550000000000001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132.60000000000002</v>
      </c>
      <c r="BN281" s="64">
        <f>IFERROR(Y281*I281/H281,"0")</f>
        <v>132.60000000000002</v>
      </c>
      <c r="BO281" s="64">
        <f>IFERROR(1/J281*(X281/H281),"0")</f>
        <v>0.27472527472527475</v>
      </c>
      <c r="BP281" s="64">
        <f>IFERROR(1/J281*(Y281/H281),"0")</f>
        <v>0.27472527472527475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1">
        <v>4680115881211</v>
      </c>
      <c r="E282" s="562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6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9"/>
      <c r="R282" s="569"/>
      <c r="S282" s="569"/>
      <c r="T282" s="570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66"/>
      <c r="B283" s="560"/>
      <c r="C283" s="560"/>
      <c r="D283" s="560"/>
      <c r="E283" s="560"/>
      <c r="F283" s="560"/>
      <c r="G283" s="560"/>
      <c r="H283" s="560"/>
      <c r="I283" s="560"/>
      <c r="J283" s="560"/>
      <c r="K283" s="560"/>
      <c r="L283" s="560"/>
      <c r="M283" s="560"/>
      <c r="N283" s="560"/>
      <c r="O283" s="567"/>
      <c r="P283" s="563" t="s">
        <v>75</v>
      </c>
      <c r="Q283" s="564"/>
      <c r="R283" s="564"/>
      <c r="S283" s="564"/>
      <c r="T283" s="564"/>
      <c r="U283" s="564"/>
      <c r="V283" s="565"/>
      <c r="W283" s="37" t="s">
        <v>76</v>
      </c>
      <c r="X283" s="555">
        <f>IFERROR(X280/H280,"0")+IFERROR(X281/H281,"0")+IFERROR(X282/H282,"0")</f>
        <v>91.666666666666671</v>
      </c>
      <c r="Y283" s="555">
        <f>IFERROR(Y280/H280,"0")+IFERROR(Y281/H281,"0")+IFERROR(Y282/H282,"0")</f>
        <v>92</v>
      </c>
      <c r="Z283" s="555">
        <f>IFERROR(IF(Z280="",0,Z280),"0")+IFERROR(IF(Z281="",0,Z281),"0")+IFERROR(IF(Z282="",0,Z282),"0")</f>
        <v>0.59892000000000001</v>
      </c>
      <c r="AA283" s="556"/>
      <c r="AB283" s="556"/>
      <c r="AC283" s="556"/>
    </row>
    <row r="284" spans="1:68" x14ac:dyDescent="0.2">
      <c r="A284" s="560"/>
      <c r="B284" s="560"/>
      <c r="C284" s="560"/>
      <c r="D284" s="560"/>
      <c r="E284" s="560"/>
      <c r="F284" s="560"/>
      <c r="G284" s="560"/>
      <c r="H284" s="560"/>
      <c r="I284" s="560"/>
      <c r="J284" s="560"/>
      <c r="K284" s="560"/>
      <c r="L284" s="560"/>
      <c r="M284" s="560"/>
      <c r="N284" s="560"/>
      <c r="O284" s="567"/>
      <c r="P284" s="563" t="s">
        <v>75</v>
      </c>
      <c r="Q284" s="564"/>
      <c r="R284" s="564"/>
      <c r="S284" s="564"/>
      <c r="T284" s="564"/>
      <c r="U284" s="564"/>
      <c r="V284" s="565"/>
      <c r="W284" s="37" t="s">
        <v>69</v>
      </c>
      <c r="X284" s="555">
        <f>IFERROR(SUM(X280:X282),"0")</f>
        <v>220</v>
      </c>
      <c r="Y284" s="555">
        <f>IFERROR(SUM(Y280:Y282),"0")</f>
        <v>220.8</v>
      </c>
      <c r="Z284" s="37"/>
      <c r="AA284" s="556"/>
      <c r="AB284" s="556"/>
      <c r="AC284" s="556"/>
    </row>
    <row r="285" spans="1:68" ht="16.5" hidden="1" customHeight="1" x14ac:dyDescent="0.25">
      <c r="A285" s="592" t="s">
        <v>464</v>
      </c>
      <c r="B285" s="560"/>
      <c r="C285" s="560"/>
      <c r="D285" s="560"/>
      <c r="E285" s="560"/>
      <c r="F285" s="560"/>
      <c r="G285" s="560"/>
      <c r="H285" s="560"/>
      <c r="I285" s="560"/>
      <c r="J285" s="560"/>
      <c r="K285" s="560"/>
      <c r="L285" s="560"/>
      <c r="M285" s="560"/>
      <c r="N285" s="560"/>
      <c r="O285" s="560"/>
      <c r="P285" s="560"/>
      <c r="Q285" s="560"/>
      <c r="R285" s="560"/>
      <c r="S285" s="560"/>
      <c r="T285" s="560"/>
      <c r="U285" s="560"/>
      <c r="V285" s="560"/>
      <c r="W285" s="560"/>
      <c r="X285" s="560"/>
      <c r="Y285" s="560"/>
      <c r="Z285" s="560"/>
      <c r="AA285" s="548"/>
      <c r="AB285" s="548"/>
      <c r="AC285" s="548"/>
    </row>
    <row r="286" spans="1:68" ht="14.25" hidden="1" customHeight="1" x14ac:dyDescent="0.25">
      <c r="A286" s="559" t="s">
        <v>64</v>
      </c>
      <c r="B286" s="560"/>
      <c r="C286" s="560"/>
      <c r="D286" s="560"/>
      <c r="E286" s="560"/>
      <c r="F286" s="560"/>
      <c r="G286" s="560"/>
      <c r="H286" s="560"/>
      <c r="I286" s="560"/>
      <c r="J286" s="560"/>
      <c r="K286" s="560"/>
      <c r="L286" s="560"/>
      <c r="M286" s="560"/>
      <c r="N286" s="560"/>
      <c r="O286" s="560"/>
      <c r="P286" s="560"/>
      <c r="Q286" s="560"/>
      <c r="R286" s="560"/>
      <c r="S286" s="560"/>
      <c r="T286" s="560"/>
      <c r="U286" s="560"/>
      <c r="V286" s="560"/>
      <c r="W286" s="560"/>
      <c r="X286" s="560"/>
      <c r="Y286" s="560"/>
      <c r="Z286" s="560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1">
        <v>4680115880344</v>
      </c>
      <c r="E287" s="562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78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9"/>
      <c r="R287" s="569"/>
      <c r="S287" s="569"/>
      <c r="T287" s="570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1">
        <v>4680115886919</v>
      </c>
      <c r="E288" s="562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60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9"/>
      <c r="R288" s="569"/>
      <c r="S288" s="569"/>
      <c r="T288" s="570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6"/>
      <c r="B289" s="560"/>
      <c r="C289" s="560"/>
      <c r="D289" s="560"/>
      <c r="E289" s="560"/>
      <c r="F289" s="560"/>
      <c r="G289" s="560"/>
      <c r="H289" s="560"/>
      <c r="I289" s="560"/>
      <c r="J289" s="560"/>
      <c r="K289" s="560"/>
      <c r="L289" s="560"/>
      <c r="M289" s="560"/>
      <c r="N289" s="560"/>
      <c r="O289" s="567"/>
      <c r="P289" s="563" t="s">
        <v>75</v>
      </c>
      <c r="Q289" s="564"/>
      <c r="R289" s="564"/>
      <c r="S289" s="564"/>
      <c r="T289" s="564"/>
      <c r="U289" s="564"/>
      <c r="V289" s="565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0"/>
      <c r="B290" s="560"/>
      <c r="C290" s="560"/>
      <c r="D290" s="560"/>
      <c r="E290" s="560"/>
      <c r="F290" s="560"/>
      <c r="G290" s="560"/>
      <c r="H290" s="560"/>
      <c r="I290" s="560"/>
      <c r="J290" s="560"/>
      <c r="K290" s="560"/>
      <c r="L290" s="560"/>
      <c r="M290" s="560"/>
      <c r="N290" s="560"/>
      <c r="O290" s="567"/>
      <c r="P290" s="563" t="s">
        <v>75</v>
      </c>
      <c r="Q290" s="564"/>
      <c r="R290" s="564"/>
      <c r="S290" s="564"/>
      <c r="T290" s="564"/>
      <c r="U290" s="564"/>
      <c r="V290" s="565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59" t="s">
        <v>77</v>
      </c>
      <c r="B291" s="560"/>
      <c r="C291" s="560"/>
      <c r="D291" s="560"/>
      <c r="E291" s="560"/>
      <c r="F291" s="560"/>
      <c r="G291" s="560"/>
      <c r="H291" s="560"/>
      <c r="I291" s="560"/>
      <c r="J291" s="560"/>
      <c r="K291" s="560"/>
      <c r="L291" s="560"/>
      <c r="M291" s="560"/>
      <c r="N291" s="560"/>
      <c r="O291" s="560"/>
      <c r="P291" s="560"/>
      <c r="Q291" s="560"/>
      <c r="R291" s="560"/>
      <c r="S291" s="560"/>
      <c r="T291" s="560"/>
      <c r="U291" s="560"/>
      <c r="V291" s="560"/>
      <c r="W291" s="560"/>
      <c r="X291" s="560"/>
      <c r="Y291" s="560"/>
      <c r="Z291" s="560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1">
        <v>4680115884618</v>
      </c>
      <c r="E292" s="562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6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9"/>
      <c r="R292" s="569"/>
      <c r="S292" s="569"/>
      <c r="T292" s="570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1">
        <v>4680115887114</v>
      </c>
      <c r="E293" s="562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6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9"/>
      <c r="R293" s="569"/>
      <c r="S293" s="569"/>
      <c r="T293" s="570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6"/>
      <c r="B294" s="560"/>
      <c r="C294" s="560"/>
      <c r="D294" s="560"/>
      <c r="E294" s="560"/>
      <c r="F294" s="560"/>
      <c r="G294" s="560"/>
      <c r="H294" s="560"/>
      <c r="I294" s="560"/>
      <c r="J294" s="560"/>
      <c r="K294" s="560"/>
      <c r="L294" s="560"/>
      <c r="M294" s="560"/>
      <c r="N294" s="560"/>
      <c r="O294" s="567"/>
      <c r="P294" s="563" t="s">
        <v>75</v>
      </c>
      <c r="Q294" s="564"/>
      <c r="R294" s="564"/>
      <c r="S294" s="564"/>
      <c r="T294" s="564"/>
      <c r="U294" s="564"/>
      <c r="V294" s="565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0"/>
      <c r="B295" s="560"/>
      <c r="C295" s="560"/>
      <c r="D295" s="560"/>
      <c r="E295" s="560"/>
      <c r="F295" s="560"/>
      <c r="G295" s="560"/>
      <c r="H295" s="560"/>
      <c r="I295" s="560"/>
      <c r="J295" s="560"/>
      <c r="K295" s="560"/>
      <c r="L295" s="560"/>
      <c r="M295" s="560"/>
      <c r="N295" s="560"/>
      <c r="O295" s="567"/>
      <c r="P295" s="563" t="s">
        <v>75</v>
      </c>
      <c r="Q295" s="564"/>
      <c r="R295" s="564"/>
      <c r="S295" s="564"/>
      <c r="T295" s="564"/>
      <c r="U295" s="564"/>
      <c r="V295" s="565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92" t="s">
        <v>477</v>
      </c>
      <c r="B296" s="560"/>
      <c r="C296" s="560"/>
      <c r="D296" s="560"/>
      <c r="E296" s="560"/>
      <c r="F296" s="560"/>
      <c r="G296" s="560"/>
      <c r="H296" s="560"/>
      <c r="I296" s="560"/>
      <c r="J296" s="560"/>
      <c r="K296" s="560"/>
      <c r="L296" s="560"/>
      <c r="M296" s="560"/>
      <c r="N296" s="560"/>
      <c r="O296" s="560"/>
      <c r="P296" s="560"/>
      <c r="Q296" s="560"/>
      <c r="R296" s="560"/>
      <c r="S296" s="560"/>
      <c r="T296" s="560"/>
      <c r="U296" s="560"/>
      <c r="V296" s="560"/>
      <c r="W296" s="560"/>
      <c r="X296" s="560"/>
      <c r="Y296" s="560"/>
      <c r="Z296" s="560"/>
      <c r="AA296" s="548"/>
      <c r="AB296" s="548"/>
      <c r="AC296" s="548"/>
    </row>
    <row r="297" spans="1:68" ht="14.25" hidden="1" customHeight="1" x14ac:dyDescent="0.25">
      <c r="A297" s="559" t="s">
        <v>101</v>
      </c>
      <c r="B297" s="560"/>
      <c r="C297" s="560"/>
      <c r="D297" s="560"/>
      <c r="E297" s="560"/>
      <c r="F297" s="560"/>
      <c r="G297" s="560"/>
      <c r="H297" s="560"/>
      <c r="I297" s="560"/>
      <c r="J297" s="560"/>
      <c r="K297" s="560"/>
      <c r="L297" s="560"/>
      <c r="M297" s="560"/>
      <c r="N297" s="560"/>
      <c r="O297" s="560"/>
      <c r="P297" s="560"/>
      <c r="Q297" s="560"/>
      <c r="R297" s="560"/>
      <c r="S297" s="560"/>
      <c r="T297" s="560"/>
      <c r="U297" s="560"/>
      <c r="V297" s="560"/>
      <c r="W297" s="560"/>
      <c r="X297" s="560"/>
      <c r="Y297" s="560"/>
      <c r="Z297" s="560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1">
        <v>4680115885615</v>
      </c>
      <c r="E298" s="562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64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69"/>
      <c r="R298" s="569"/>
      <c r="S298" s="569"/>
      <c r="T298" s="570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1">
        <v>4680115885646</v>
      </c>
      <c r="E299" s="562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1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69"/>
      <c r="R299" s="569"/>
      <c r="S299" s="569"/>
      <c r="T299" s="570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1">
        <v>4680115885554</v>
      </c>
      <c r="E300" s="562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69"/>
      <c r="R300" s="569"/>
      <c r="S300" s="569"/>
      <c r="T300" s="570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1">
        <v>4680115885622</v>
      </c>
      <c r="E301" s="562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0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69"/>
      <c r="R301" s="569"/>
      <c r="S301" s="569"/>
      <c r="T301" s="570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1">
        <v>4680115885608</v>
      </c>
      <c r="E302" s="562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8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69"/>
      <c r="R302" s="569"/>
      <c r="S302" s="569"/>
      <c r="T302" s="570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6"/>
      <c r="B303" s="560"/>
      <c r="C303" s="560"/>
      <c r="D303" s="560"/>
      <c r="E303" s="560"/>
      <c r="F303" s="560"/>
      <c r="G303" s="560"/>
      <c r="H303" s="560"/>
      <c r="I303" s="560"/>
      <c r="J303" s="560"/>
      <c r="K303" s="560"/>
      <c r="L303" s="560"/>
      <c r="M303" s="560"/>
      <c r="N303" s="560"/>
      <c r="O303" s="567"/>
      <c r="P303" s="563" t="s">
        <v>75</v>
      </c>
      <c r="Q303" s="564"/>
      <c r="R303" s="564"/>
      <c r="S303" s="564"/>
      <c r="T303" s="564"/>
      <c r="U303" s="564"/>
      <c r="V303" s="565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0"/>
      <c r="B304" s="560"/>
      <c r="C304" s="560"/>
      <c r="D304" s="560"/>
      <c r="E304" s="560"/>
      <c r="F304" s="560"/>
      <c r="G304" s="560"/>
      <c r="H304" s="560"/>
      <c r="I304" s="560"/>
      <c r="J304" s="560"/>
      <c r="K304" s="560"/>
      <c r="L304" s="560"/>
      <c r="M304" s="560"/>
      <c r="N304" s="560"/>
      <c r="O304" s="567"/>
      <c r="P304" s="563" t="s">
        <v>75</v>
      </c>
      <c r="Q304" s="564"/>
      <c r="R304" s="564"/>
      <c r="S304" s="564"/>
      <c r="T304" s="564"/>
      <c r="U304" s="564"/>
      <c r="V304" s="565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59" t="s">
        <v>64</v>
      </c>
      <c r="B305" s="560"/>
      <c r="C305" s="560"/>
      <c r="D305" s="560"/>
      <c r="E305" s="560"/>
      <c r="F305" s="560"/>
      <c r="G305" s="560"/>
      <c r="H305" s="560"/>
      <c r="I305" s="560"/>
      <c r="J305" s="560"/>
      <c r="K305" s="560"/>
      <c r="L305" s="560"/>
      <c r="M305" s="560"/>
      <c r="N305" s="560"/>
      <c r="O305" s="560"/>
      <c r="P305" s="560"/>
      <c r="Q305" s="560"/>
      <c r="R305" s="560"/>
      <c r="S305" s="560"/>
      <c r="T305" s="560"/>
      <c r="U305" s="560"/>
      <c r="V305" s="560"/>
      <c r="W305" s="560"/>
      <c r="X305" s="560"/>
      <c r="Y305" s="560"/>
      <c r="Z305" s="560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1">
        <v>4607091387193</v>
      </c>
      <c r="E306" s="562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69"/>
      <c r="R306" s="569"/>
      <c r="S306" s="569"/>
      <c r="T306" s="570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1">
        <v>4607091387230</v>
      </c>
      <c r="E307" s="562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56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69"/>
      <c r="R307" s="569"/>
      <c r="S307" s="569"/>
      <c r="T307" s="570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1">
        <v>4607091387292</v>
      </c>
      <c r="E308" s="562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69"/>
      <c r="R308" s="569"/>
      <c r="S308" s="569"/>
      <c r="T308" s="570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1">
        <v>4607091387285</v>
      </c>
      <c r="E309" s="562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81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69"/>
      <c r="R309" s="569"/>
      <c r="S309" s="569"/>
      <c r="T309" s="570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1">
        <v>4607091389845</v>
      </c>
      <c r="E310" s="562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69"/>
      <c r="R310" s="569"/>
      <c r="S310" s="569"/>
      <c r="T310" s="570"/>
      <c r="U310" s="34"/>
      <c r="V310" s="34"/>
      <c r="W310" s="35" t="s">
        <v>69</v>
      </c>
      <c r="X310" s="553">
        <v>70</v>
      </c>
      <c r="Y310" s="554">
        <f t="shared" si="31"/>
        <v>71.400000000000006</v>
      </c>
      <c r="Z310" s="36">
        <f>IFERROR(IF(Y310=0,"",ROUNDUP(Y310/H310,0)*0.00502),"")</f>
        <v>0.17068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73.333333333333329</v>
      </c>
      <c r="BN310" s="64">
        <f t="shared" si="33"/>
        <v>74.8</v>
      </c>
      <c r="BO310" s="64">
        <f t="shared" si="34"/>
        <v>0.14245014245014245</v>
      </c>
      <c r="BP310" s="64">
        <f t="shared" si="35"/>
        <v>0.14529914529914531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1">
        <v>4607091383836</v>
      </c>
      <c r="E311" s="562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69"/>
      <c r="R311" s="569"/>
      <c r="S311" s="569"/>
      <c r="T311" s="570"/>
      <c r="U311" s="34"/>
      <c r="V311" s="34"/>
      <c r="W311" s="35" t="s">
        <v>69</v>
      </c>
      <c r="X311" s="553">
        <v>30</v>
      </c>
      <c r="Y311" s="554">
        <f t="shared" si="31"/>
        <v>30.6</v>
      </c>
      <c r="Z311" s="36">
        <f>IFERROR(IF(Y311=0,"",ROUNDUP(Y311/H311,0)*0.00651),"")</f>
        <v>0.11067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33.800000000000004</v>
      </c>
      <c r="BN311" s="64">
        <f t="shared" si="33"/>
        <v>34.475999999999999</v>
      </c>
      <c r="BO311" s="64">
        <f t="shared" si="34"/>
        <v>9.1575091575091583E-2</v>
      </c>
      <c r="BP311" s="64">
        <f t="shared" si="35"/>
        <v>9.3406593406593408E-2</v>
      </c>
    </row>
    <row r="312" spans="1:68" x14ac:dyDescent="0.2">
      <c r="A312" s="566"/>
      <c r="B312" s="560"/>
      <c r="C312" s="560"/>
      <c r="D312" s="560"/>
      <c r="E312" s="560"/>
      <c r="F312" s="560"/>
      <c r="G312" s="560"/>
      <c r="H312" s="560"/>
      <c r="I312" s="560"/>
      <c r="J312" s="560"/>
      <c r="K312" s="560"/>
      <c r="L312" s="560"/>
      <c r="M312" s="560"/>
      <c r="N312" s="560"/>
      <c r="O312" s="567"/>
      <c r="P312" s="563" t="s">
        <v>75</v>
      </c>
      <c r="Q312" s="564"/>
      <c r="R312" s="564"/>
      <c r="S312" s="564"/>
      <c r="T312" s="564"/>
      <c r="U312" s="564"/>
      <c r="V312" s="565"/>
      <c r="W312" s="37" t="s">
        <v>76</v>
      </c>
      <c r="X312" s="555">
        <f>IFERROR(X306/H306,"0")+IFERROR(X307/H307,"0")+IFERROR(X308/H308,"0")+IFERROR(X309/H309,"0")+IFERROR(X310/H310,"0")+IFERROR(X311/H311,"0")</f>
        <v>50</v>
      </c>
      <c r="Y312" s="555">
        <f>IFERROR(Y306/H306,"0")+IFERROR(Y307/H307,"0")+IFERROR(Y308/H308,"0")+IFERROR(Y309/H309,"0")+IFERROR(Y310/H310,"0")+IFERROR(Y311/H311,"0")</f>
        <v>51</v>
      </c>
      <c r="Z312" s="555">
        <f>IFERROR(IF(Z306="",0,Z306),"0")+IFERROR(IF(Z307="",0,Z307),"0")+IFERROR(IF(Z308="",0,Z308),"0")+IFERROR(IF(Z309="",0,Z309),"0")+IFERROR(IF(Z310="",0,Z310),"0")+IFERROR(IF(Z311="",0,Z311),"0")</f>
        <v>0.28134999999999999</v>
      </c>
      <c r="AA312" s="556"/>
      <c r="AB312" s="556"/>
      <c r="AC312" s="556"/>
    </row>
    <row r="313" spans="1:68" x14ac:dyDescent="0.2">
      <c r="A313" s="560"/>
      <c r="B313" s="560"/>
      <c r="C313" s="560"/>
      <c r="D313" s="560"/>
      <c r="E313" s="560"/>
      <c r="F313" s="560"/>
      <c r="G313" s="560"/>
      <c r="H313" s="560"/>
      <c r="I313" s="560"/>
      <c r="J313" s="560"/>
      <c r="K313" s="560"/>
      <c r="L313" s="560"/>
      <c r="M313" s="560"/>
      <c r="N313" s="560"/>
      <c r="O313" s="567"/>
      <c r="P313" s="563" t="s">
        <v>75</v>
      </c>
      <c r="Q313" s="564"/>
      <c r="R313" s="564"/>
      <c r="S313" s="564"/>
      <c r="T313" s="564"/>
      <c r="U313" s="564"/>
      <c r="V313" s="565"/>
      <c r="W313" s="37" t="s">
        <v>69</v>
      </c>
      <c r="X313" s="555">
        <f>IFERROR(SUM(X306:X311),"0")</f>
        <v>100</v>
      </c>
      <c r="Y313" s="555">
        <f>IFERROR(SUM(Y306:Y311),"0")</f>
        <v>102</v>
      </c>
      <c r="Z313" s="37"/>
      <c r="AA313" s="556"/>
      <c r="AB313" s="556"/>
      <c r="AC313" s="556"/>
    </row>
    <row r="314" spans="1:68" ht="14.25" hidden="1" customHeight="1" x14ac:dyDescent="0.25">
      <c r="A314" s="559" t="s">
        <v>77</v>
      </c>
      <c r="B314" s="560"/>
      <c r="C314" s="560"/>
      <c r="D314" s="560"/>
      <c r="E314" s="560"/>
      <c r="F314" s="560"/>
      <c r="G314" s="560"/>
      <c r="H314" s="560"/>
      <c r="I314" s="560"/>
      <c r="J314" s="560"/>
      <c r="K314" s="560"/>
      <c r="L314" s="560"/>
      <c r="M314" s="560"/>
      <c r="N314" s="560"/>
      <c r="O314" s="560"/>
      <c r="P314" s="560"/>
      <c r="Q314" s="560"/>
      <c r="R314" s="560"/>
      <c r="S314" s="560"/>
      <c r="T314" s="560"/>
      <c r="U314" s="560"/>
      <c r="V314" s="560"/>
      <c r="W314" s="560"/>
      <c r="X314" s="560"/>
      <c r="Y314" s="560"/>
      <c r="Z314" s="560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1">
        <v>4607091387766</v>
      </c>
      <c r="E315" s="562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8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69"/>
      <c r="R315" s="569"/>
      <c r="S315" s="569"/>
      <c r="T315" s="570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1">
        <v>4607091387957</v>
      </c>
      <c r="E316" s="562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69"/>
      <c r="R316" s="569"/>
      <c r="S316" s="569"/>
      <c r="T316" s="570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1">
        <v>4607091387964</v>
      </c>
      <c r="E317" s="562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63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69"/>
      <c r="R317" s="569"/>
      <c r="S317" s="569"/>
      <c r="T317" s="570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1">
        <v>4680115884588</v>
      </c>
      <c r="E318" s="562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6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69"/>
      <c r="R318" s="569"/>
      <c r="S318" s="569"/>
      <c r="T318" s="570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6"/>
      <c r="B319" s="560"/>
      <c r="C319" s="560"/>
      <c r="D319" s="560"/>
      <c r="E319" s="560"/>
      <c r="F319" s="560"/>
      <c r="G319" s="560"/>
      <c r="H319" s="560"/>
      <c r="I319" s="560"/>
      <c r="J319" s="560"/>
      <c r="K319" s="560"/>
      <c r="L319" s="560"/>
      <c r="M319" s="560"/>
      <c r="N319" s="560"/>
      <c r="O319" s="567"/>
      <c r="P319" s="563" t="s">
        <v>75</v>
      </c>
      <c r="Q319" s="564"/>
      <c r="R319" s="564"/>
      <c r="S319" s="564"/>
      <c r="T319" s="564"/>
      <c r="U319" s="564"/>
      <c r="V319" s="565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0"/>
      <c r="B320" s="560"/>
      <c r="C320" s="560"/>
      <c r="D320" s="560"/>
      <c r="E320" s="560"/>
      <c r="F320" s="560"/>
      <c r="G320" s="560"/>
      <c r="H320" s="560"/>
      <c r="I320" s="560"/>
      <c r="J320" s="560"/>
      <c r="K320" s="560"/>
      <c r="L320" s="560"/>
      <c r="M320" s="560"/>
      <c r="N320" s="560"/>
      <c r="O320" s="567"/>
      <c r="P320" s="563" t="s">
        <v>75</v>
      </c>
      <c r="Q320" s="564"/>
      <c r="R320" s="564"/>
      <c r="S320" s="564"/>
      <c r="T320" s="564"/>
      <c r="U320" s="564"/>
      <c r="V320" s="565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59" t="s">
        <v>162</v>
      </c>
      <c r="B321" s="560"/>
      <c r="C321" s="560"/>
      <c r="D321" s="560"/>
      <c r="E321" s="560"/>
      <c r="F321" s="560"/>
      <c r="G321" s="560"/>
      <c r="H321" s="560"/>
      <c r="I321" s="560"/>
      <c r="J321" s="560"/>
      <c r="K321" s="560"/>
      <c r="L321" s="560"/>
      <c r="M321" s="560"/>
      <c r="N321" s="560"/>
      <c r="O321" s="560"/>
      <c r="P321" s="560"/>
      <c r="Q321" s="560"/>
      <c r="R321" s="560"/>
      <c r="S321" s="560"/>
      <c r="T321" s="560"/>
      <c r="U321" s="560"/>
      <c r="V321" s="560"/>
      <c r="W321" s="560"/>
      <c r="X321" s="560"/>
      <c r="Y321" s="560"/>
      <c r="Z321" s="560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1">
        <v>4607091380880</v>
      </c>
      <c r="E322" s="562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8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69"/>
      <c r="R322" s="569"/>
      <c r="S322" s="569"/>
      <c r="T322" s="570"/>
      <c r="U322" s="34"/>
      <c r="V322" s="34"/>
      <c r="W322" s="35" t="s">
        <v>69</v>
      </c>
      <c r="X322" s="553">
        <v>20</v>
      </c>
      <c r="Y322" s="554">
        <f>IFERROR(IF(X322="",0,CEILING((X322/$H322),1)*$H322),"")</f>
        <v>25.200000000000003</v>
      </c>
      <c r="Z322" s="36">
        <f>IFERROR(IF(Y322=0,"",ROUNDUP(Y322/H322,0)*0.01898),"")</f>
        <v>5.6940000000000004E-2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21.176190476190474</v>
      </c>
      <c r="BN322" s="64">
        <f>IFERROR(Y322*I322/H322,"0")</f>
        <v>26.682000000000002</v>
      </c>
      <c r="BO322" s="64">
        <f>IFERROR(1/J322*(X322/H322),"0")</f>
        <v>3.7202380952380952E-2</v>
      </c>
      <c r="BP322" s="64">
        <f>IFERROR(1/J322*(Y322/H322),"0")</f>
        <v>4.6875E-2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1">
        <v>4607091384482</v>
      </c>
      <c r="E323" s="562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65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69"/>
      <c r="R323" s="569"/>
      <c r="S323" s="569"/>
      <c r="T323" s="570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1">
        <v>4607091380897</v>
      </c>
      <c r="E324" s="562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82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69"/>
      <c r="R324" s="569"/>
      <c r="S324" s="569"/>
      <c r="T324" s="570"/>
      <c r="U324" s="34"/>
      <c r="V324" s="34"/>
      <c r="W324" s="35" t="s">
        <v>69</v>
      </c>
      <c r="X324" s="553">
        <v>200</v>
      </c>
      <c r="Y324" s="554">
        <f>IFERROR(IF(X324="",0,CEILING((X324/$H324),1)*$H324),"")</f>
        <v>201.60000000000002</v>
      </c>
      <c r="Z324" s="36">
        <f>IFERROR(IF(Y324=0,"",ROUNDUP(Y324/H324,0)*0.01898),"")</f>
        <v>0.45552000000000004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211.76190476190476</v>
      </c>
      <c r="BN324" s="64">
        <f>IFERROR(Y324*I324/H324,"0")</f>
        <v>213.45600000000002</v>
      </c>
      <c r="BO324" s="64">
        <f>IFERROR(1/J324*(X324/H324),"0")</f>
        <v>0.37202380952380953</v>
      </c>
      <c r="BP324" s="64">
        <f>IFERROR(1/J324*(Y324/H324),"0")</f>
        <v>0.375</v>
      </c>
    </row>
    <row r="325" spans="1:68" x14ac:dyDescent="0.2">
      <c r="A325" s="566"/>
      <c r="B325" s="560"/>
      <c r="C325" s="560"/>
      <c r="D325" s="560"/>
      <c r="E325" s="560"/>
      <c r="F325" s="560"/>
      <c r="G325" s="560"/>
      <c r="H325" s="560"/>
      <c r="I325" s="560"/>
      <c r="J325" s="560"/>
      <c r="K325" s="560"/>
      <c r="L325" s="560"/>
      <c r="M325" s="560"/>
      <c r="N325" s="560"/>
      <c r="O325" s="567"/>
      <c r="P325" s="563" t="s">
        <v>75</v>
      </c>
      <c r="Q325" s="564"/>
      <c r="R325" s="564"/>
      <c r="S325" s="564"/>
      <c r="T325" s="564"/>
      <c r="U325" s="564"/>
      <c r="V325" s="565"/>
      <c r="W325" s="37" t="s">
        <v>76</v>
      </c>
      <c r="X325" s="555">
        <f>IFERROR(X322/H322,"0")+IFERROR(X323/H323,"0")+IFERROR(X324/H324,"0")</f>
        <v>58.241758241758241</v>
      </c>
      <c r="Y325" s="555">
        <f>IFERROR(Y322/H322,"0")+IFERROR(Y323/H323,"0")+IFERROR(Y324/H324,"0")</f>
        <v>60</v>
      </c>
      <c r="Z325" s="555">
        <f>IFERROR(IF(Z322="",0,Z322),"0")+IFERROR(IF(Z323="",0,Z323),"0")+IFERROR(IF(Z324="",0,Z324),"0")</f>
        <v>1.1388</v>
      </c>
      <c r="AA325" s="556"/>
      <c r="AB325" s="556"/>
      <c r="AC325" s="556"/>
    </row>
    <row r="326" spans="1:68" x14ac:dyDescent="0.2">
      <c r="A326" s="560"/>
      <c r="B326" s="560"/>
      <c r="C326" s="560"/>
      <c r="D326" s="560"/>
      <c r="E326" s="560"/>
      <c r="F326" s="560"/>
      <c r="G326" s="560"/>
      <c r="H326" s="560"/>
      <c r="I326" s="560"/>
      <c r="J326" s="560"/>
      <c r="K326" s="560"/>
      <c r="L326" s="560"/>
      <c r="M326" s="560"/>
      <c r="N326" s="560"/>
      <c r="O326" s="567"/>
      <c r="P326" s="563" t="s">
        <v>75</v>
      </c>
      <c r="Q326" s="564"/>
      <c r="R326" s="564"/>
      <c r="S326" s="564"/>
      <c r="T326" s="564"/>
      <c r="U326" s="564"/>
      <c r="V326" s="565"/>
      <c r="W326" s="37" t="s">
        <v>69</v>
      </c>
      <c r="X326" s="555">
        <f>IFERROR(SUM(X322:X324),"0")</f>
        <v>470</v>
      </c>
      <c r="Y326" s="555">
        <f>IFERROR(SUM(Y322:Y324),"0")</f>
        <v>484.2</v>
      </c>
      <c r="Z326" s="37"/>
      <c r="AA326" s="556"/>
      <c r="AB326" s="556"/>
      <c r="AC326" s="556"/>
    </row>
    <row r="327" spans="1:68" ht="14.25" hidden="1" customHeight="1" x14ac:dyDescent="0.25">
      <c r="A327" s="559" t="s">
        <v>93</v>
      </c>
      <c r="B327" s="560"/>
      <c r="C327" s="560"/>
      <c r="D327" s="560"/>
      <c r="E327" s="560"/>
      <c r="F327" s="560"/>
      <c r="G327" s="560"/>
      <c r="H327" s="560"/>
      <c r="I327" s="560"/>
      <c r="J327" s="560"/>
      <c r="K327" s="560"/>
      <c r="L327" s="560"/>
      <c r="M327" s="560"/>
      <c r="N327" s="560"/>
      <c r="O327" s="560"/>
      <c r="P327" s="560"/>
      <c r="Q327" s="560"/>
      <c r="R327" s="560"/>
      <c r="S327" s="560"/>
      <c r="T327" s="560"/>
      <c r="U327" s="560"/>
      <c r="V327" s="560"/>
      <c r="W327" s="560"/>
      <c r="X327" s="560"/>
      <c r="Y327" s="560"/>
      <c r="Z327" s="560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1">
        <v>4607091388381</v>
      </c>
      <c r="E328" s="562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80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69"/>
      <c r="R328" s="569"/>
      <c r="S328" s="569"/>
      <c r="T328" s="570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1">
        <v>4607091388374</v>
      </c>
      <c r="E329" s="562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85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69"/>
      <c r="R329" s="569"/>
      <c r="S329" s="569"/>
      <c r="T329" s="570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1">
        <v>4607091383102</v>
      </c>
      <c r="E330" s="562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69"/>
      <c r="R330" s="569"/>
      <c r="S330" s="569"/>
      <c r="T330" s="570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1">
        <v>4607091388404</v>
      </c>
      <c r="E331" s="562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8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69"/>
      <c r="R331" s="569"/>
      <c r="S331" s="569"/>
      <c r="T331" s="570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6"/>
      <c r="B332" s="560"/>
      <c r="C332" s="560"/>
      <c r="D332" s="560"/>
      <c r="E332" s="560"/>
      <c r="F332" s="560"/>
      <c r="G332" s="560"/>
      <c r="H332" s="560"/>
      <c r="I332" s="560"/>
      <c r="J332" s="560"/>
      <c r="K332" s="560"/>
      <c r="L332" s="560"/>
      <c r="M332" s="560"/>
      <c r="N332" s="560"/>
      <c r="O332" s="567"/>
      <c r="P332" s="563" t="s">
        <v>75</v>
      </c>
      <c r="Q332" s="564"/>
      <c r="R332" s="564"/>
      <c r="S332" s="564"/>
      <c r="T332" s="564"/>
      <c r="U332" s="564"/>
      <c r="V332" s="565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0"/>
      <c r="B333" s="560"/>
      <c r="C333" s="560"/>
      <c r="D333" s="560"/>
      <c r="E333" s="560"/>
      <c r="F333" s="560"/>
      <c r="G333" s="560"/>
      <c r="H333" s="560"/>
      <c r="I333" s="560"/>
      <c r="J333" s="560"/>
      <c r="K333" s="560"/>
      <c r="L333" s="560"/>
      <c r="M333" s="560"/>
      <c r="N333" s="560"/>
      <c r="O333" s="567"/>
      <c r="P333" s="563" t="s">
        <v>75</v>
      </c>
      <c r="Q333" s="564"/>
      <c r="R333" s="564"/>
      <c r="S333" s="564"/>
      <c r="T333" s="564"/>
      <c r="U333" s="564"/>
      <c r="V333" s="565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59" t="s">
        <v>540</v>
      </c>
      <c r="B334" s="560"/>
      <c r="C334" s="560"/>
      <c r="D334" s="560"/>
      <c r="E334" s="560"/>
      <c r="F334" s="560"/>
      <c r="G334" s="560"/>
      <c r="H334" s="560"/>
      <c r="I334" s="560"/>
      <c r="J334" s="560"/>
      <c r="K334" s="560"/>
      <c r="L334" s="560"/>
      <c r="M334" s="560"/>
      <c r="N334" s="560"/>
      <c r="O334" s="560"/>
      <c r="P334" s="560"/>
      <c r="Q334" s="560"/>
      <c r="R334" s="560"/>
      <c r="S334" s="560"/>
      <c r="T334" s="560"/>
      <c r="U334" s="560"/>
      <c r="V334" s="560"/>
      <c r="W334" s="560"/>
      <c r="X334" s="560"/>
      <c r="Y334" s="560"/>
      <c r="Z334" s="560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1">
        <v>4680115881808</v>
      </c>
      <c r="E335" s="562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69"/>
      <c r="R335" s="569"/>
      <c r="S335" s="569"/>
      <c r="T335" s="570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1">
        <v>4680115881822</v>
      </c>
      <c r="E336" s="562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6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69"/>
      <c r="R336" s="569"/>
      <c r="S336" s="569"/>
      <c r="T336" s="570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1">
        <v>4680115880016</v>
      </c>
      <c r="E337" s="562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69"/>
      <c r="R337" s="569"/>
      <c r="S337" s="569"/>
      <c r="T337" s="570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6"/>
      <c r="B338" s="560"/>
      <c r="C338" s="560"/>
      <c r="D338" s="560"/>
      <c r="E338" s="560"/>
      <c r="F338" s="560"/>
      <c r="G338" s="560"/>
      <c r="H338" s="560"/>
      <c r="I338" s="560"/>
      <c r="J338" s="560"/>
      <c r="K338" s="560"/>
      <c r="L338" s="560"/>
      <c r="M338" s="560"/>
      <c r="N338" s="560"/>
      <c r="O338" s="567"/>
      <c r="P338" s="563" t="s">
        <v>75</v>
      </c>
      <c r="Q338" s="564"/>
      <c r="R338" s="564"/>
      <c r="S338" s="564"/>
      <c r="T338" s="564"/>
      <c r="U338" s="564"/>
      <c r="V338" s="565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0"/>
      <c r="B339" s="560"/>
      <c r="C339" s="560"/>
      <c r="D339" s="560"/>
      <c r="E339" s="560"/>
      <c r="F339" s="560"/>
      <c r="G339" s="560"/>
      <c r="H339" s="560"/>
      <c r="I339" s="560"/>
      <c r="J339" s="560"/>
      <c r="K339" s="560"/>
      <c r="L339" s="560"/>
      <c r="M339" s="560"/>
      <c r="N339" s="560"/>
      <c r="O339" s="567"/>
      <c r="P339" s="563" t="s">
        <v>75</v>
      </c>
      <c r="Q339" s="564"/>
      <c r="R339" s="564"/>
      <c r="S339" s="564"/>
      <c r="T339" s="564"/>
      <c r="U339" s="564"/>
      <c r="V339" s="565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92" t="s">
        <v>549</v>
      </c>
      <c r="B340" s="560"/>
      <c r="C340" s="560"/>
      <c r="D340" s="560"/>
      <c r="E340" s="560"/>
      <c r="F340" s="560"/>
      <c r="G340" s="560"/>
      <c r="H340" s="560"/>
      <c r="I340" s="560"/>
      <c r="J340" s="560"/>
      <c r="K340" s="560"/>
      <c r="L340" s="560"/>
      <c r="M340" s="560"/>
      <c r="N340" s="560"/>
      <c r="O340" s="560"/>
      <c r="P340" s="560"/>
      <c r="Q340" s="560"/>
      <c r="R340" s="560"/>
      <c r="S340" s="560"/>
      <c r="T340" s="560"/>
      <c r="U340" s="560"/>
      <c r="V340" s="560"/>
      <c r="W340" s="560"/>
      <c r="X340" s="560"/>
      <c r="Y340" s="560"/>
      <c r="Z340" s="560"/>
      <c r="AA340" s="548"/>
      <c r="AB340" s="548"/>
      <c r="AC340" s="548"/>
    </row>
    <row r="341" spans="1:68" ht="14.25" hidden="1" customHeight="1" x14ac:dyDescent="0.25">
      <c r="A341" s="559" t="s">
        <v>77</v>
      </c>
      <c r="B341" s="560"/>
      <c r="C341" s="560"/>
      <c r="D341" s="560"/>
      <c r="E341" s="560"/>
      <c r="F341" s="560"/>
      <c r="G341" s="560"/>
      <c r="H341" s="560"/>
      <c r="I341" s="560"/>
      <c r="J341" s="560"/>
      <c r="K341" s="560"/>
      <c r="L341" s="560"/>
      <c r="M341" s="560"/>
      <c r="N341" s="560"/>
      <c r="O341" s="560"/>
      <c r="P341" s="560"/>
      <c r="Q341" s="560"/>
      <c r="R341" s="560"/>
      <c r="S341" s="560"/>
      <c r="T341" s="560"/>
      <c r="U341" s="560"/>
      <c r="V341" s="560"/>
      <c r="W341" s="560"/>
      <c r="X341" s="560"/>
      <c r="Y341" s="560"/>
      <c r="Z341" s="560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1">
        <v>4607091387919</v>
      </c>
      <c r="E342" s="562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63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69"/>
      <c r="R342" s="569"/>
      <c r="S342" s="569"/>
      <c r="T342" s="570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1">
        <v>4680115883604</v>
      </c>
      <c r="E343" s="562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69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69"/>
      <c r="R343" s="569"/>
      <c r="S343" s="569"/>
      <c r="T343" s="570"/>
      <c r="U343" s="34"/>
      <c r="V343" s="34"/>
      <c r="W343" s="35" t="s">
        <v>69</v>
      </c>
      <c r="X343" s="553">
        <v>630</v>
      </c>
      <c r="Y343" s="554">
        <f>IFERROR(IF(X343="",0,CEILING((X343/$H343),1)*$H343),"")</f>
        <v>630</v>
      </c>
      <c r="Z343" s="36">
        <f>IFERROR(IF(Y343=0,"",ROUNDUP(Y343/H343,0)*0.00651),"")</f>
        <v>1.9530000000000001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705.59999999999991</v>
      </c>
      <c r="BN343" s="64">
        <f>IFERROR(Y343*I343/H343,"0")</f>
        <v>705.59999999999991</v>
      </c>
      <c r="BO343" s="64">
        <f>IFERROR(1/J343*(X343/H343),"0")</f>
        <v>1.6483516483516485</v>
      </c>
      <c r="BP343" s="64">
        <f>IFERROR(1/J343*(Y343/H343),"0")</f>
        <v>1.6483516483516485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1">
        <v>4680115883567</v>
      </c>
      <c r="E344" s="562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61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69"/>
      <c r="R344" s="569"/>
      <c r="S344" s="569"/>
      <c r="T344" s="570"/>
      <c r="U344" s="34"/>
      <c r="V344" s="34"/>
      <c r="W344" s="35" t="s">
        <v>69</v>
      </c>
      <c r="X344" s="553">
        <v>350</v>
      </c>
      <c r="Y344" s="554">
        <f>IFERROR(IF(X344="",0,CEILING((X344/$H344),1)*$H344),"")</f>
        <v>350.7</v>
      </c>
      <c r="Z344" s="36">
        <f>IFERROR(IF(Y344=0,"",ROUNDUP(Y344/H344,0)*0.00651),"")</f>
        <v>1.08717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390</v>
      </c>
      <c r="BN344" s="64">
        <f>IFERROR(Y344*I344/H344,"0")</f>
        <v>390.78</v>
      </c>
      <c r="BO344" s="64">
        <f>IFERROR(1/J344*(X344/H344),"0")</f>
        <v>0.91575091575091572</v>
      </c>
      <c r="BP344" s="64">
        <f>IFERROR(1/J344*(Y344/H344),"0")</f>
        <v>0.91758241758241765</v>
      </c>
    </row>
    <row r="345" spans="1:68" x14ac:dyDescent="0.2">
      <c r="A345" s="566"/>
      <c r="B345" s="560"/>
      <c r="C345" s="560"/>
      <c r="D345" s="560"/>
      <c r="E345" s="560"/>
      <c r="F345" s="560"/>
      <c r="G345" s="560"/>
      <c r="H345" s="560"/>
      <c r="I345" s="560"/>
      <c r="J345" s="560"/>
      <c r="K345" s="560"/>
      <c r="L345" s="560"/>
      <c r="M345" s="560"/>
      <c r="N345" s="560"/>
      <c r="O345" s="567"/>
      <c r="P345" s="563" t="s">
        <v>75</v>
      </c>
      <c r="Q345" s="564"/>
      <c r="R345" s="564"/>
      <c r="S345" s="564"/>
      <c r="T345" s="564"/>
      <c r="U345" s="564"/>
      <c r="V345" s="565"/>
      <c r="W345" s="37" t="s">
        <v>76</v>
      </c>
      <c r="X345" s="555">
        <f>IFERROR(X342/H342,"0")+IFERROR(X343/H343,"0")+IFERROR(X344/H344,"0")</f>
        <v>466.66666666666663</v>
      </c>
      <c r="Y345" s="555">
        <f>IFERROR(Y342/H342,"0")+IFERROR(Y343/H343,"0")+IFERROR(Y344/H344,"0")</f>
        <v>467</v>
      </c>
      <c r="Z345" s="555">
        <f>IFERROR(IF(Z342="",0,Z342),"0")+IFERROR(IF(Z343="",0,Z343),"0")+IFERROR(IF(Z344="",0,Z344),"0")</f>
        <v>3.0401699999999998</v>
      </c>
      <c r="AA345" s="556"/>
      <c r="AB345" s="556"/>
      <c r="AC345" s="556"/>
    </row>
    <row r="346" spans="1:68" x14ac:dyDescent="0.2">
      <c r="A346" s="560"/>
      <c r="B346" s="560"/>
      <c r="C346" s="560"/>
      <c r="D346" s="560"/>
      <c r="E346" s="560"/>
      <c r="F346" s="560"/>
      <c r="G346" s="560"/>
      <c r="H346" s="560"/>
      <c r="I346" s="560"/>
      <c r="J346" s="560"/>
      <c r="K346" s="560"/>
      <c r="L346" s="560"/>
      <c r="M346" s="560"/>
      <c r="N346" s="560"/>
      <c r="O346" s="567"/>
      <c r="P346" s="563" t="s">
        <v>75</v>
      </c>
      <c r="Q346" s="564"/>
      <c r="R346" s="564"/>
      <c r="S346" s="564"/>
      <c r="T346" s="564"/>
      <c r="U346" s="564"/>
      <c r="V346" s="565"/>
      <c r="W346" s="37" t="s">
        <v>69</v>
      </c>
      <c r="X346" s="555">
        <f>IFERROR(SUM(X342:X344),"0")</f>
        <v>980</v>
      </c>
      <c r="Y346" s="555">
        <f>IFERROR(SUM(Y342:Y344),"0")</f>
        <v>980.7</v>
      </c>
      <c r="Z346" s="37"/>
      <c r="AA346" s="556"/>
      <c r="AB346" s="556"/>
      <c r="AC346" s="556"/>
    </row>
    <row r="347" spans="1:68" ht="27.75" hidden="1" customHeight="1" x14ac:dyDescent="0.2">
      <c r="A347" s="582" t="s">
        <v>559</v>
      </c>
      <c r="B347" s="583"/>
      <c r="C347" s="583"/>
      <c r="D347" s="583"/>
      <c r="E347" s="583"/>
      <c r="F347" s="583"/>
      <c r="G347" s="583"/>
      <c r="H347" s="583"/>
      <c r="I347" s="583"/>
      <c r="J347" s="583"/>
      <c r="K347" s="583"/>
      <c r="L347" s="583"/>
      <c r="M347" s="583"/>
      <c r="N347" s="583"/>
      <c r="O347" s="583"/>
      <c r="P347" s="583"/>
      <c r="Q347" s="583"/>
      <c r="R347" s="583"/>
      <c r="S347" s="583"/>
      <c r="T347" s="583"/>
      <c r="U347" s="583"/>
      <c r="V347" s="583"/>
      <c r="W347" s="583"/>
      <c r="X347" s="583"/>
      <c r="Y347" s="583"/>
      <c r="Z347" s="583"/>
      <c r="AA347" s="48"/>
      <c r="AB347" s="48"/>
      <c r="AC347" s="48"/>
    </row>
    <row r="348" spans="1:68" ht="16.5" hidden="1" customHeight="1" x14ac:dyDescent="0.25">
      <c r="A348" s="592" t="s">
        <v>560</v>
      </c>
      <c r="B348" s="560"/>
      <c r="C348" s="560"/>
      <c r="D348" s="560"/>
      <c r="E348" s="560"/>
      <c r="F348" s="560"/>
      <c r="G348" s="560"/>
      <c r="H348" s="560"/>
      <c r="I348" s="560"/>
      <c r="J348" s="560"/>
      <c r="K348" s="560"/>
      <c r="L348" s="560"/>
      <c r="M348" s="560"/>
      <c r="N348" s="560"/>
      <c r="O348" s="560"/>
      <c r="P348" s="560"/>
      <c r="Q348" s="560"/>
      <c r="R348" s="560"/>
      <c r="S348" s="560"/>
      <c r="T348" s="560"/>
      <c r="U348" s="560"/>
      <c r="V348" s="560"/>
      <c r="W348" s="560"/>
      <c r="X348" s="560"/>
      <c r="Y348" s="560"/>
      <c r="Z348" s="560"/>
      <c r="AA348" s="548"/>
      <c r="AB348" s="548"/>
      <c r="AC348" s="548"/>
    </row>
    <row r="349" spans="1:68" ht="14.25" hidden="1" customHeight="1" x14ac:dyDescent="0.25">
      <c r="A349" s="559" t="s">
        <v>101</v>
      </c>
      <c r="B349" s="560"/>
      <c r="C349" s="560"/>
      <c r="D349" s="560"/>
      <c r="E349" s="560"/>
      <c r="F349" s="560"/>
      <c r="G349" s="560"/>
      <c r="H349" s="560"/>
      <c r="I349" s="560"/>
      <c r="J349" s="560"/>
      <c r="K349" s="560"/>
      <c r="L349" s="560"/>
      <c r="M349" s="560"/>
      <c r="N349" s="560"/>
      <c r="O349" s="560"/>
      <c r="P349" s="560"/>
      <c r="Q349" s="560"/>
      <c r="R349" s="560"/>
      <c r="S349" s="560"/>
      <c r="T349" s="560"/>
      <c r="U349" s="560"/>
      <c r="V349" s="560"/>
      <c r="W349" s="560"/>
      <c r="X349" s="560"/>
      <c r="Y349" s="560"/>
      <c r="Z349" s="560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1">
        <v>4680115884847</v>
      </c>
      <c r="E350" s="562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80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69"/>
      <c r="R350" s="569"/>
      <c r="S350" s="569"/>
      <c r="T350" s="570"/>
      <c r="U350" s="34"/>
      <c r="V350" s="34"/>
      <c r="W350" s="35" t="s">
        <v>69</v>
      </c>
      <c r="X350" s="553">
        <v>1900</v>
      </c>
      <c r="Y350" s="554">
        <f t="shared" ref="Y350:Y356" si="36">IFERROR(IF(X350="",0,CEILING((X350/$H350),1)*$H350),"")</f>
        <v>1905</v>
      </c>
      <c r="Z350" s="36">
        <f>IFERROR(IF(Y350=0,"",ROUNDUP(Y350/H350,0)*0.02175),"")</f>
        <v>2.7622499999999999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1959.5333333333333</v>
      </c>
      <c r="BN350" s="64">
        <f t="shared" ref="BN350:BN356" si="38">IFERROR(Y350*I350/H350,"0")</f>
        <v>1964.69</v>
      </c>
      <c r="BO350" s="64">
        <f t="shared" ref="BO350:BO356" si="39">IFERROR(1/J350*(X350/H350),"0")</f>
        <v>2.6388888888888888</v>
      </c>
      <c r="BP350" s="64">
        <f t="shared" ref="BP350:BP356" si="40">IFERROR(1/J350*(Y350/H350),"0")</f>
        <v>2.645833333333333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1">
        <v>4680115884854</v>
      </c>
      <c r="E351" s="562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69"/>
      <c r="R351" s="569"/>
      <c r="S351" s="569"/>
      <c r="T351" s="570"/>
      <c r="U351" s="34"/>
      <c r="V351" s="34"/>
      <c r="W351" s="35" t="s">
        <v>69</v>
      </c>
      <c r="X351" s="553">
        <v>1250</v>
      </c>
      <c r="Y351" s="554">
        <f t="shared" si="36"/>
        <v>1260</v>
      </c>
      <c r="Z351" s="36">
        <f>IFERROR(IF(Y351=0,"",ROUNDUP(Y351/H351,0)*0.02175),"")</f>
        <v>1.827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1289.1666666666667</v>
      </c>
      <c r="BN351" s="64">
        <f t="shared" si="38"/>
        <v>1299.48</v>
      </c>
      <c r="BO351" s="64">
        <f t="shared" si="39"/>
        <v>1.7361111111111109</v>
      </c>
      <c r="BP351" s="64">
        <f t="shared" si="40"/>
        <v>1.75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1">
        <v>4680115884830</v>
      </c>
      <c r="E352" s="562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78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9"/>
      <c r="R352" s="569"/>
      <c r="S352" s="569"/>
      <c r="T352" s="570"/>
      <c r="U352" s="34"/>
      <c r="V352" s="34"/>
      <c r="W352" s="35" t="s">
        <v>69</v>
      </c>
      <c r="X352" s="553">
        <v>1700</v>
      </c>
      <c r="Y352" s="554">
        <f t="shared" si="36"/>
        <v>1710</v>
      </c>
      <c r="Z352" s="36">
        <f>IFERROR(IF(Y352=0,"",ROUNDUP(Y352/H352,0)*0.02175),"")</f>
        <v>2.4794999999999998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1753.2666666666667</v>
      </c>
      <c r="BN352" s="64">
        <f t="shared" si="38"/>
        <v>1763.5800000000002</v>
      </c>
      <c r="BO352" s="64">
        <f t="shared" si="39"/>
        <v>2.3611111111111107</v>
      </c>
      <c r="BP352" s="64">
        <f t="shared" si="40"/>
        <v>2.375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1">
        <v>4680115887046</v>
      </c>
      <c r="E353" s="562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8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69"/>
      <c r="R353" s="569"/>
      <c r="S353" s="569"/>
      <c r="T353" s="570"/>
      <c r="U353" s="34"/>
      <c r="V353" s="34"/>
      <c r="W353" s="35" t="s">
        <v>69</v>
      </c>
      <c r="X353" s="553">
        <v>800</v>
      </c>
      <c r="Y353" s="554">
        <f t="shared" si="36"/>
        <v>810</v>
      </c>
      <c r="Z353" s="36">
        <f>IFERROR(IF(Y353=0,"",ROUNDUP(Y353/H353,0)*0.02175),"")</f>
        <v>1.1744999999999999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825.06666666666672</v>
      </c>
      <c r="BN353" s="64">
        <f t="shared" si="38"/>
        <v>835.38</v>
      </c>
      <c r="BO353" s="64">
        <f t="shared" si="39"/>
        <v>1.1111111111111112</v>
      </c>
      <c r="BP353" s="64">
        <f t="shared" si="40"/>
        <v>1.125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1">
        <v>4680115882638</v>
      </c>
      <c r="E354" s="562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59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69"/>
      <c r="R354" s="569"/>
      <c r="S354" s="569"/>
      <c r="T354" s="570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1">
        <v>4680115884922</v>
      </c>
      <c r="E355" s="562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60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69"/>
      <c r="R355" s="569"/>
      <c r="S355" s="569"/>
      <c r="T355" s="570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1">
        <v>4680115884861</v>
      </c>
      <c r="E356" s="562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69"/>
      <c r="R356" s="569"/>
      <c r="S356" s="569"/>
      <c r="T356" s="570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6"/>
      <c r="B357" s="560"/>
      <c r="C357" s="560"/>
      <c r="D357" s="560"/>
      <c r="E357" s="560"/>
      <c r="F357" s="560"/>
      <c r="G357" s="560"/>
      <c r="H357" s="560"/>
      <c r="I357" s="560"/>
      <c r="J357" s="560"/>
      <c r="K357" s="560"/>
      <c r="L357" s="560"/>
      <c r="M357" s="560"/>
      <c r="N357" s="560"/>
      <c r="O357" s="567"/>
      <c r="P357" s="563" t="s">
        <v>75</v>
      </c>
      <c r="Q357" s="564"/>
      <c r="R357" s="564"/>
      <c r="S357" s="564"/>
      <c r="T357" s="564"/>
      <c r="U357" s="564"/>
      <c r="V357" s="565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376.66666666666663</v>
      </c>
      <c r="Y357" s="555">
        <f>IFERROR(Y350/H350,"0")+IFERROR(Y351/H351,"0")+IFERROR(Y352/H352,"0")+IFERROR(Y353/H353,"0")+IFERROR(Y354/H354,"0")+IFERROR(Y355/H355,"0")+IFERROR(Y356/H356,"0")</f>
        <v>379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8.2432499999999997</v>
      </c>
      <c r="AA357" s="556"/>
      <c r="AB357" s="556"/>
      <c r="AC357" s="556"/>
    </row>
    <row r="358" spans="1:68" x14ac:dyDescent="0.2">
      <c r="A358" s="560"/>
      <c r="B358" s="560"/>
      <c r="C358" s="560"/>
      <c r="D358" s="560"/>
      <c r="E358" s="560"/>
      <c r="F358" s="560"/>
      <c r="G358" s="560"/>
      <c r="H358" s="560"/>
      <c r="I358" s="560"/>
      <c r="J358" s="560"/>
      <c r="K358" s="560"/>
      <c r="L358" s="560"/>
      <c r="M358" s="560"/>
      <c r="N358" s="560"/>
      <c r="O358" s="567"/>
      <c r="P358" s="563" t="s">
        <v>75</v>
      </c>
      <c r="Q358" s="564"/>
      <c r="R358" s="564"/>
      <c r="S358" s="564"/>
      <c r="T358" s="564"/>
      <c r="U358" s="564"/>
      <c r="V358" s="565"/>
      <c r="W358" s="37" t="s">
        <v>69</v>
      </c>
      <c r="X358" s="555">
        <f>IFERROR(SUM(X350:X356),"0")</f>
        <v>5650</v>
      </c>
      <c r="Y358" s="555">
        <f>IFERROR(SUM(Y350:Y356),"0")</f>
        <v>5685</v>
      </c>
      <c r="Z358" s="37"/>
      <c r="AA358" s="556"/>
      <c r="AB358" s="556"/>
      <c r="AC358" s="556"/>
    </row>
    <row r="359" spans="1:68" ht="14.25" hidden="1" customHeight="1" x14ac:dyDescent="0.25">
      <c r="A359" s="559" t="s">
        <v>137</v>
      </c>
      <c r="B359" s="560"/>
      <c r="C359" s="560"/>
      <c r="D359" s="560"/>
      <c r="E359" s="560"/>
      <c r="F359" s="560"/>
      <c r="G359" s="560"/>
      <c r="H359" s="560"/>
      <c r="I359" s="560"/>
      <c r="J359" s="560"/>
      <c r="K359" s="560"/>
      <c r="L359" s="560"/>
      <c r="M359" s="560"/>
      <c r="N359" s="560"/>
      <c r="O359" s="560"/>
      <c r="P359" s="560"/>
      <c r="Q359" s="560"/>
      <c r="R359" s="560"/>
      <c r="S359" s="560"/>
      <c r="T359" s="560"/>
      <c r="U359" s="560"/>
      <c r="V359" s="560"/>
      <c r="W359" s="560"/>
      <c r="X359" s="560"/>
      <c r="Y359" s="560"/>
      <c r="Z359" s="560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1">
        <v>4607091383980</v>
      </c>
      <c r="E360" s="562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57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69"/>
      <c r="R360" s="569"/>
      <c r="S360" s="569"/>
      <c r="T360" s="570"/>
      <c r="U360" s="34"/>
      <c r="V360" s="34"/>
      <c r="W360" s="35" t="s">
        <v>69</v>
      </c>
      <c r="X360" s="553">
        <v>500</v>
      </c>
      <c r="Y360" s="554">
        <f>IFERROR(IF(X360="",0,CEILING((X360/$H360),1)*$H360),"")</f>
        <v>510</v>
      </c>
      <c r="Z360" s="36">
        <f>IFERROR(IF(Y360=0,"",ROUNDUP(Y360/H360,0)*0.02175),"")</f>
        <v>0.73949999999999994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515.66666666666663</v>
      </c>
      <c r="BN360" s="64">
        <f>IFERROR(Y360*I360/H360,"0")</f>
        <v>525.98</v>
      </c>
      <c r="BO360" s="64">
        <f>IFERROR(1/J360*(X360/H360),"0")</f>
        <v>0.69444444444444442</v>
      </c>
      <c r="BP360" s="64">
        <f>IFERROR(1/J360*(Y360/H360),"0")</f>
        <v>0.70833333333333326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1">
        <v>4607091384178</v>
      </c>
      <c r="E361" s="562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69"/>
      <c r="R361" s="569"/>
      <c r="S361" s="569"/>
      <c r="T361" s="570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6"/>
      <c r="B362" s="560"/>
      <c r="C362" s="560"/>
      <c r="D362" s="560"/>
      <c r="E362" s="560"/>
      <c r="F362" s="560"/>
      <c r="G362" s="560"/>
      <c r="H362" s="560"/>
      <c r="I362" s="560"/>
      <c r="J362" s="560"/>
      <c r="K362" s="560"/>
      <c r="L362" s="560"/>
      <c r="M362" s="560"/>
      <c r="N362" s="560"/>
      <c r="O362" s="567"/>
      <c r="P362" s="563" t="s">
        <v>75</v>
      </c>
      <c r="Q362" s="564"/>
      <c r="R362" s="564"/>
      <c r="S362" s="564"/>
      <c r="T362" s="564"/>
      <c r="U362" s="564"/>
      <c r="V362" s="565"/>
      <c r="W362" s="37" t="s">
        <v>76</v>
      </c>
      <c r="X362" s="555">
        <f>IFERROR(X360/H360,"0")+IFERROR(X361/H361,"0")</f>
        <v>33.333333333333336</v>
      </c>
      <c r="Y362" s="555">
        <f>IFERROR(Y360/H360,"0")+IFERROR(Y361/H361,"0")</f>
        <v>34</v>
      </c>
      <c r="Z362" s="555">
        <f>IFERROR(IF(Z360="",0,Z360),"0")+IFERROR(IF(Z361="",0,Z361),"0")</f>
        <v>0.73949999999999994</v>
      </c>
      <c r="AA362" s="556"/>
      <c r="AB362" s="556"/>
      <c r="AC362" s="556"/>
    </row>
    <row r="363" spans="1:68" x14ac:dyDescent="0.2">
      <c r="A363" s="560"/>
      <c r="B363" s="560"/>
      <c r="C363" s="560"/>
      <c r="D363" s="560"/>
      <c r="E363" s="560"/>
      <c r="F363" s="560"/>
      <c r="G363" s="560"/>
      <c r="H363" s="560"/>
      <c r="I363" s="560"/>
      <c r="J363" s="560"/>
      <c r="K363" s="560"/>
      <c r="L363" s="560"/>
      <c r="M363" s="560"/>
      <c r="N363" s="560"/>
      <c r="O363" s="567"/>
      <c r="P363" s="563" t="s">
        <v>75</v>
      </c>
      <c r="Q363" s="564"/>
      <c r="R363" s="564"/>
      <c r="S363" s="564"/>
      <c r="T363" s="564"/>
      <c r="U363" s="564"/>
      <c r="V363" s="565"/>
      <c r="W363" s="37" t="s">
        <v>69</v>
      </c>
      <c r="X363" s="555">
        <f>IFERROR(SUM(X360:X361),"0")</f>
        <v>500</v>
      </c>
      <c r="Y363" s="555">
        <f>IFERROR(SUM(Y360:Y361),"0")</f>
        <v>510</v>
      </c>
      <c r="Z363" s="37"/>
      <c r="AA363" s="556"/>
      <c r="AB363" s="556"/>
      <c r="AC363" s="556"/>
    </row>
    <row r="364" spans="1:68" ht="14.25" hidden="1" customHeight="1" x14ac:dyDescent="0.25">
      <c r="A364" s="559" t="s">
        <v>77</v>
      </c>
      <c r="B364" s="560"/>
      <c r="C364" s="560"/>
      <c r="D364" s="560"/>
      <c r="E364" s="560"/>
      <c r="F364" s="560"/>
      <c r="G364" s="560"/>
      <c r="H364" s="560"/>
      <c r="I364" s="560"/>
      <c r="J364" s="560"/>
      <c r="K364" s="560"/>
      <c r="L364" s="560"/>
      <c r="M364" s="560"/>
      <c r="N364" s="560"/>
      <c r="O364" s="560"/>
      <c r="P364" s="560"/>
      <c r="Q364" s="560"/>
      <c r="R364" s="560"/>
      <c r="S364" s="560"/>
      <c r="T364" s="560"/>
      <c r="U364" s="560"/>
      <c r="V364" s="560"/>
      <c r="W364" s="560"/>
      <c r="X364" s="560"/>
      <c r="Y364" s="560"/>
      <c r="Z364" s="560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1">
        <v>4607091383928</v>
      </c>
      <c r="E365" s="562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57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69"/>
      <c r="R365" s="569"/>
      <c r="S365" s="569"/>
      <c r="T365" s="570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1">
        <v>4607091384260</v>
      </c>
      <c r="E366" s="562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8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69"/>
      <c r="R366" s="569"/>
      <c r="S366" s="569"/>
      <c r="T366" s="570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6"/>
      <c r="B367" s="560"/>
      <c r="C367" s="560"/>
      <c r="D367" s="560"/>
      <c r="E367" s="560"/>
      <c r="F367" s="560"/>
      <c r="G367" s="560"/>
      <c r="H367" s="560"/>
      <c r="I367" s="560"/>
      <c r="J367" s="560"/>
      <c r="K367" s="560"/>
      <c r="L367" s="560"/>
      <c r="M367" s="560"/>
      <c r="N367" s="560"/>
      <c r="O367" s="567"/>
      <c r="P367" s="563" t="s">
        <v>75</v>
      </c>
      <c r="Q367" s="564"/>
      <c r="R367" s="564"/>
      <c r="S367" s="564"/>
      <c r="T367" s="564"/>
      <c r="U367" s="564"/>
      <c r="V367" s="565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0"/>
      <c r="B368" s="560"/>
      <c r="C368" s="560"/>
      <c r="D368" s="560"/>
      <c r="E368" s="560"/>
      <c r="F368" s="560"/>
      <c r="G368" s="560"/>
      <c r="H368" s="560"/>
      <c r="I368" s="560"/>
      <c r="J368" s="560"/>
      <c r="K368" s="560"/>
      <c r="L368" s="560"/>
      <c r="M368" s="560"/>
      <c r="N368" s="560"/>
      <c r="O368" s="567"/>
      <c r="P368" s="563" t="s">
        <v>75</v>
      </c>
      <c r="Q368" s="564"/>
      <c r="R368" s="564"/>
      <c r="S368" s="564"/>
      <c r="T368" s="564"/>
      <c r="U368" s="564"/>
      <c r="V368" s="565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59" t="s">
        <v>162</v>
      </c>
      <c r="B369" s="560"/>
      <c r="C369" s="560"/>
      <c r="D369" s="560"/>
      <c r="E369" s="560"/>
      <c r="F369" s="560"/>
      <c r="G369" s="560"/>
      <c r="H369" s="560"/>
      <c r="I369" s="560"/>
      <c r="J369" s="560"/>
      <c r="K369" s="560"/>
      <c r="L369" s="560"/>
      <c r="M369" s="560"/>
      <c r="N369" s="560"/>
      <c r="O369" s="560"/>
      <c r="P369" s="560"/>
      <c r="Q369" s="560"/>
      <c r="R369" s="560"/>
      <c r="S369" s="560"/>
      <c r="T369" s="560"/>
      <c r="U369" s="560"/>
      <c r="V369" s="560"/>
      <c r="W369" s="560"/>
      <c r="X369" s="560"/>
      <c r="Y369" s="560"/>
      <c r="Z369" s="560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1">
        <v>4607091384673</v>
      </c>
      <c r="E370" s="562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5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69"/>
      <c r="R370" s="569"/>
      <c r="S370" s="569"/>
      <c r="T370" s="570"/>
      <c r="U370" s="34"/>
      <c r="V370" s="34"/>
      <c r="W370" s="35" t="s">
        <v>69</v>
      </c>
      <c r="X370" s="553">
        <v>20</v>
      </c>
      <c r="Y370" s="554">
        <f>IFERROR(IF(X370="",0,CEILING((X370/$H370),1)*$H370),"")</f>
        <v>27</v>
      </c>
      <c r="Z370" s="36">
        <f>IFERROR(IF(Y370=0,"",ROUNDUP(Y370/H370,0)*0.01898),"")</f>
        <v>5.6940000000000004E-2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21.097777777777779</v>
      </c>
      <c r="BN370" s="64">
        <f>IFERROR(Y370*I370/H370,"0")</f>
        <v>28.481999999999996</v>
      </c>
      <c r="BO370" s="64">
        <f>IFERROR(1/J370*(X370/H370),"0")</f>
        <v>3.4722222222222224E-2</v>
      </c>
      <c r="BP370" s="64">
        <f>IFERROR(1/J370*(Y370/H370),"0")</f>
        <v>4.6875E-2</v>
      </c>
    </row>
    <row r="371" spans="1:68" x14ac:dyDescent="0.2">
      <c r="A371" s="566"/>
      <c r="B371" s="560"/>
      <c r="C371" s="560"/>
      <c r="D371" s="560"/>
      <c r="E371" s="560"/>
      <c r="F371" s="560"/>
      <c r="G371" s="560"/>
      <c r="H371" s="560"/>
      <c r="I371" s="560"/>
      <c r="J371" s="560"/>
      <c r="K371" s="560"/>
      <c r="L371" s="560"/>
      <c r="M371" s="560"/>
      <c r="N371" s="560"/>
      <c r="O371" s="567"/>
      <c r="P371" s="563" t="s">
        <v>75</v>
      </c>
      <c r="Q371" s="564"/>
      <c r="R371" s="564"/>
      <c r="S371" s="564"/>
      <c r="T371" s="564"/>
      <c r="U371" s="564"/>
      <c r="V371" s="565"/>
      <c r="W371" s="37" t="s">
        <v>76</v>
      </c>
      <c r="X371" s="555">
        <f>IFERROR(X370/H370,"0")</f>
        <v>2.2222222222222223</v>
      </c>
      <c r="Y371" s="555">
        <f>IFERROR(Y370/H370,"0")</f>
        <v>3</v>
      </c>
      <c r="Z371" s="555">
        <f>IFERROR(IF(Z370="",0,Z370),"0")</f>
        <v>5.6940000000000004E-2</v>
      </c>
      <c r="AA371" s="556"/>
      <c r="AB371" s="556"/>
      <c r="AC371" s="556"/>
    </row>
    <row r="372" spans="1:68" x14ac:dyDescent="0.2">
      <c r="A372" s="560"/>
      <c r="B372" s="560"/>
      <c r="C372" s="560"/>
      <c r="D372" s="560"/>
      <c r="E372" s="560"/>
      <c r="F372" s="560"/>
      <c r="G372" s="560"/>
      <c r="H372" s="560"/>
      <c r="I372" s="560"/>
      <c r="J372" s="560"/>
      <c r="K372" s="560"/>
      <c r="L372" s="560"/>
      <c r="M372" s="560"/>
      <c r="N372" s="560"/>
      <c r="O372" s="567"/>
      <c r="P372" s="563" t="s">
        <v>75</v>
      </c>
      <c r="Q372" s="564"/>
      <c r="R372" s="564"/>
      <c r="S372" s="564"/>
      <c r="T372" s="564"/>
      <c r="U372" s="564"/>
      <c r="V372" s="565"/>
      <c r="W372" s="37" t="s">
        <v>69</v>
      </c>
      <c r="X372" s="555">
        <f>IFERROR(SUM(X370:X370),"0")</f>
        <v>20</v>
      </c>
      <c r="Y372" s="555">
        <f>IFERROR(SUM(Y370:Y370),"0")</f>
        <v>27</v>
      </c>
      <c r="Z372" s="37"/>
      <c r="AA372" s="556"/>
      <c r="AB372" s="556"/>
      <c r="AC372" s="556"/>
    </row>
    <row r="373" spans="1:68" ht="16.5" hidden="1" customHeight="1" x14ac:dyDescent="0.25">
      <c r="A373" s="592" t="s">
        <v>595</v>
      </c>
      <c r="B373" s="560"/>
      <c r="C373" s="560"/>
      <c r="D373" s="560"/>
      <c r="E373" s="560"/>
      <c r="F373" s="560"/>
      <c r="G373" s="560"/>
      <c r="H373" s="560"/>
      <c r="I373" s="560"/>
      <c r="J373" s="560"/>
      <c r="K373" s="560"/>
      <c r="L373" s="560"/>
      <c r="M373" s="560"/>
      <c r="N373" s="560"/>
      <c r="O373" s="560"/>
      <c r="P373" s="560"/>
      <c r="Q373" s="560"/>
      <c r="R373" s="560"/>
      <c r="S373" s="560"/>
      <c r="T373" s="560"/>
      <c r="U373" s="560"/>
      <c r="V373" s="560"/>
      <c r="W373" s="560"/>
      <c r="X373" s="560"/>
      <c r="Y373" s="560"/>
      <c r="Z373" s="560"/>
      <c r="AA373" s="548"/>
      <c r="AB373" s="548"/>
      <c r="AC373" s="548"/>
    </row>
    <row r="374" spans="1:68" ht="14.25" hidden="1" customHeight="1" x14ac:dyDescent="0.25">
      <c r="A374" s="559" t="s">
        <v>101</v>
      </c>
      <c r="B374" s="560"/>
      <c r="C374" s="560"/>
      <c r="D374" s="560"/>
      <c r="E374" s="560"/>
      <c r="F374" s="560"/>
      <c r="G374" s="560"/>
      <c r="H374" s="560"/>
      <c r="I374" s="560"/>
      <c r="J374" s="560"/>
      <c r="K374" s="560"/>
      <c r="L374" s="560"/>
      <c r="M374" s="560"/>
      <c r="N374" s="560"/>
      <c r="O374" s="560"/>
      <c r="P374" s="560"/>
      <c r="Q374" s="560"/>
      <c r="R374" s="560"/>
      <c r="S374" s="560"/>
      <c r="T374" s="560"/>
      <c r="U374" s="560"/>
      <c r="V374" s="560"/>
      <c r="W374" s="560"/>
      <c r="X374" s="560"/>
      <c r="Y374" s="560"/>
      <c r="Z374" s="560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1">
        <v>4680115884885</v>
      </c>
      <c r="E375" s="562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69"/>
      <c r="R375" s="569"/>
      <c r="S375" s="569"/>
      <c r="T375" s="570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1">
        <v>4680115884908</v>
      </c>
      <c r="E376" s="562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77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69"/>
      <c r="R376" s="569"/>
      <c r="S376" s="569"/>
      <c r="T376" s="570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6"/>
      <c r="B377" s="560"/>
      <c r="C377" s="560"/>
      <c r="D377" s="560"/>
      <c r="E377" s="560"/>
      <c r="F377" s="560"/>
      <c r="G377" s="560"/>
      <c r="H377" s="560"/>
      <c r="I377" s="560"/>
      <c r="J377" s="560"/>
      <c r="K377" s="560"/>
      <c r="L377" s="560"/>
      <c r="M377" s="560"/>
      <c r="N377" s="560"/>
      <c r="O377" s="567"/>
      <c r="P377" s="563" t="s">
        <v>75</v>
      </c>
      <c r="Q377" s="564"/>
      <c r="R377" s="564"/>
      <c r="S377" s="564"/>
      <c r="T377" s="564"/>
      <c r="U377" s="564"/>
      <c r="V377" s="565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0"/>
      <c r="B378" s="560"/>
      <c r="C378" s="560"/>
      <c r="D378" s="560"/>
      <c r="E378" s="560"/>
      <c r="F378" s="560"/>
      <c r="G378" s="560"/>
      <c r="H378" s="560"/>
      <c r="I378" s="560"/>
      <c r="J378" s="560"/>
      <c r="K378" s="560"/>
      <c r="L378" s="560"/>
      <c r="M378" s="560"/>
      <c r="N378" s="560"/>
      <c r="O378" s="567"/>
      <c r="P378" s="563" t="s">
        <v>75</v>
      </c>
      <c r="Q378" s="564"/>
      <c r="R378" s="564"/>
      <c r="S378" s="564"/>
      <c r="T378" s="564"/>
      <c r="U378" s="564"/>
      <c r="V378" s="565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59" t="s">
        <v>64</v>
      </c>
      <c r="B379" s="560"/>
      <c r="C379" s="560"/>
      <c r="D379" s="560"/>
      <c r="E379" s="560"/>
      <c r="F379" s="560"/>
      <c r="G379" s="560"/>
      <c r="H379" s="560"/>
      <c r="I379" s="560"/>
      <c r="J379" s="560"/>
      <c r="K379" s="560"/>
      <c r="L379" s="560"/>
      <c r="M379" s="560"/>
      <c r="N379" s="560"/>
      <c r="O379" s="560"/>
      <c r="P379" s="560"/>
      <c r="Q379" s="560"/>
      <c r="R379" s="560"/>
      <c r="S379" s="560"/>
      <c r="T379" s="560"/>
      <c r="U379" s="560"/>
      <c r="V379" s="560"/>
      <c r="W379" s="560"/>
      <c r="X379" s="560"/>
      <c r="Y379" s="560"/>
      <c r="Z379" s="560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1">
        <v>4607091384802</v>
      </c>
      <c r="E380" s="562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82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9"/>
      <c r="R380" s="569"/>
      <c r="S380" s="569"/>
      <c r="T380" s="570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1">
        <v>4607091384802</v>
      </c>
      <c r="E381" s="562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69"/>
      <c r="R381" s="569"/>
      <c r="S381" s="569"/>
      <c r="T381" s="570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6"/>
      <c r="B382" s="560"/>
      <c r="C382" s="560"/>
      <c r="D382" s="560"/>
      <c r="E382" s="560"/>
      <c r="F382" s="560"/>
      <c r="G382" s="560"/>
      <c r="H382" s="560"/>
      <c r="I382" s="560"/>
      <c r="J382" s="560"/>
      <c r="K382" s="560"/>
      <c r="L382" s="560"/>
      <c r="M382" s="560"/>
      <c r="N382" s="560"/>
      <c r="O382" s="567"/>
      <c r="P382" s="563" t="s">
        <v>75</v>
      </c>
      <c r="Q382" s="564"/>
      <c r="R382" s="564"/>
      <c r="S382" s="564"/>
      <c r="T382" s="564"/>
      <c r="U382" s="564"/>
      <c r="V382" s="565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0"/>
      <c r="B383" s="560"/>
      <c r="C383" s="560"/>
      <c r="D383" s="560"/>
      <c r="E383" s="560"/>
      <c r="F383" s="560"/>
      <c r="G383" s="560"/>
      <c r="H383" s="560"/>
      <c r="I383" s="560"/>
      <c r="J383" s="560"/>
      <c r="K383" s="560"/>
      <c r="L383" s="560"/>
      <c r="M383" s="560"/>
      <c r="N383" s="560"/>
      <c r="O383" s="567"/>
      <c r="P383" s="563" t="s">
        <v>75</v>
      </c>
      <c r="Q383" s="564"/>
      <c r="R383" s="564"/>
      <c r="S383" s="564"/>
      <c r="T383" s="564"/>
      <c r="U383" s="564"/>
      <c r="V383" s="565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59" t="s">
        <v>77</v>
      </c>
      <c r="B384" s="560"/>
      <c r="C384" s="560"/>
      <c r="D384" s="560"/>
      <c r="E384" s="560"/>
      <c r="F384" s="560"/>
      <c r="G384" s="560"/>
      <c r="H384" s="560"/>
      <c r="I384" s="560"/>
      <c r="J384" s="560"/>
      <c r="K384" s="560"/>
      <c r="L384" s="560"/>
      <c r="M384" s="560"/>
      <c r="N384" s="560"/>
      <c r="O384" s="560"/>
      <c r="P384" s="560"/>
      <c r="Q384" s="560"/>
      <c r="R384" s="560"/>
      <c r="S384" s="560"/>
      <c r="T384" s="560"/>
      <c r="U384" s="560"/>
      <c r="V384" s="560"/>
      <c r="W384" s="560"/>
      <c r="X384" s="560"/>
      <c r="Y384" s="560"/>
      <c r="Z384" s="560"/>
      <c r="AA384" s="549"/>
      <c r="AB384" s="549"/>
      <c r="AC384" s="549"/>
    </row>
    <row r="385" spans="1:68" ht="27" hidden="1" customHeight="1" x14ac:dyDescent="0.25">
      <c r="A385" s="54" t="s">
        <v>606</v>
      </c>
      <c r="B385" s="54" t="s">
        <v>607</v>
      </c>
      <c r="C385" s="31">
        <v>4301051899</v>
      </c>
      <c r="D385" s="561">
        <v>4607091384246</v>
      </c>
      <c r="E385" s="562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59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69"/>
      <c r="R385" s="569"/>
      <c r="S385" s="569"/>
      <c r="T385" s="570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609</v>
      </c>
      <c r="B386" s="54" t="s">
        <v>610</v>
      </c>
      <c r="C386" s="31">
        <v>4301051660</v>
      </c>
      <c r="D386" s="561">
        <v>4607091384253</v>
      </c>
      <c r="E386" s="562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6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9"/>
      <c r="R386" s="569"/>
      <c r="S386" s="569"/>
      <c r="T386" s="570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1">
        <v>4607091384253</v>
      </c>
      <c r="E387" s="562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69"/>
      <c r="R387" s="569"/>
      <c r="S387" s="569"/>
      <c r="T387" s="570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6"/>
      <c r="B388" s="560"/>
      <c r="C388" s="560"/>
      <c r="D388" s="560"/>
      <c r="E388" s="560"/>
      <c r="F388" s="560"/>
      <c r="G388" s="560"/>
      <c r="H388" s="560"/>
      <c r="I388" s="560"/>
      <c r="J388" s="560"/>
      <c r="K388" s="560"/>
      <c r="L388" s="560"/>
      <c r="M388" s="560"/>
      <c r="N388" s="560"/>
      <c r="O388" s="567"/>
      <c r="P388" s="563" t="s">
        <v>75</v>
      </c>
      <c r="Q388" s="564"/>
      <c r="R388" s="564"/>
      <c r="S388" s="564"/>
      <c r="T388" s="564"/>
      <c r="U388" s="564"/>
      <c r="V388" s="565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0"/>
      <c r="B389" s="560"/>
      <c r="C389" s="560"/>
      <c r="D389" s="560"/>
      <c r="E389" s="560"/>
      <c r="F389" s="560"/>
      <c r="G389" s="560"/>
      <c r="H389" s="560"/>
      <c r="I389" s="560"/>
      <c r="J389" s="560"/>
      <c r="K389" s="560"/>
      <c r="L389" s="560"/>
      <c r="M389" s="560"/>
      <c r="N389" s="560"/>
      <c r="O389" s="567"/>
      <c r="P389" s="563" t="s">
        <v>75</v>
      </c>
      <c r="Q389" s="564"/>
      <c r="R389" s="564"/>
      <c r="S389" s="564"/>
      <c r="T389" s="564"/>
      <c r="U389" s="564"/>
      <c r="V389" s="565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82" t="s">
        <v>613</v>
      </c>
      <c r="B390" s="583"/>
      <c r="C390" s="583"/>
      <c r="D390" s="583"/>
      <c r="E390" s="583"/>
      <c r="F390" s="583"/>
      <c r="G390" s="583"/>
      <c r="H390" s="583"/>
      <c r="I390" s="583"/>
      <c r="J390" s="583"/>
      <c r="K390" s="583"/>
      <c r="L390" s="583"/>
      <c r="M390" s="583"/>
      <c r="N390" s="583"/>
      <c r="O390" s="583"/>
      <c r="P390" s="583"/>
      <c r="Q390" s="583"/>
      <c r="R390" s="583"/>
      <c r="S390" s="583"/>
      <c r="T390" s="583"/>
      <c r="U390" s="583"/>
      <c r="V390" s="583"/>
      <c r="W390" s="583"/>
      <c r="X390" s="583"/>
      <c r="Y390" s="583"/>
      <c r="Z390" s="583"/>
      <c r="AA390" s="48"/>
      <c r="AB390" s="48"/>
      <c r="AC390" s="48"/>
    </row>
    <row r="391" spans="1:68" ht="16.5" hidden="1" customHeight="1" x14ac:dyDescent="0.25">
      <c r="A391" s="592" t="s">
        <v>614</v>
      </c>
      <c r="B391" s="560"/>
      <c r="C391" s="560"/>
      <c r="D391" s="560"/>
      <c r="E391" s="560"/>
      <c r="F391" s="560"/>
      <c r="G391" s="560"/>
      <c r="H391" s="560"/>
      <c r="I391" s="560"/>
      <c r="J391" s="560"/>
      <c r="K391" s="560"/>
      <c r="L391" s="560"/>
      <c r="M391" s="560"/>
      <c r="N391" s="560"/>
      <c r="O391" s="560"/>
      <c r="P391" s="560"/>
      <c r="Q391" s="560"/>
      <c r="R391" s="560"/>
      <c r="S391" s="560"/>
      <c r="T391" s="560"/>
      <c r="U391" s="560"/>
      <c r="V391" s="560"/>
      <c r="W391" s="560"/>
      <c r="X391" s="560"/>
      <c r="Y391" s="560"/>
      <c r="Z391" s="560"/>
      <c r="AA391" s="548"/>
      <c r="AB391" s="548"/>
      <c r="AC391" s="548"/>
    </row>
    <row r="392" spans="1:68" ht="14.25" hidden="1" customHeight="1" x14ac:dyDescent="0.25">
      <c r="A392" s="559" t="s">
        <v>64</v>
      </c>
      <c r="B392" s="560"/>
      <c r="C392" s="560"/>
      <c r="D392" s="560"/>
      <c r="E392" s="560"/>
      <c r="F392" s="560"/>
      <c r="G392" s="560"/>
      <c r="H392" s="560"/>
      <c r="I392" s="560"/>
      <c r="J392" s="560"/>
      <c r="K392" s="560"/>
      <c r="L392" s="560"/>
      <c r="M392" s="560"/>
      <c r="N392" s="560"/>
      <c r="O392" s="560"/>
      <c r="P392" s="560"/>
      <c r="Q392" s="560"/>
      <c r="R392" s="560"/>
      <c r="S392" s="560"/>
      <c r="T392" s="560"/>
      <c r="U392" s="560"/>
      <c r="V392" s="560"/>
      <c r="W392" s="560"/>
      <c r="X392" s="560"/>
      <c r="Y392" s="560"/>
      <c r="Z392" s="560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1">
        <v>4680115886100</v>
      </c>
      <c r="E393" s="562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82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69"/>
      <c r="R393" s="569"/>
      <c r="S393" s="569"/>
      <c r="T393" s="570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1">
        <v>4680115886117</v>
      </c>
      <c r="E394" s="562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84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69"/>
      <c r="R394" s="569"/>
      <c r="S394" s="569"/>
      <c r="T394" s="570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1">
        <v>4680115886124</v>
      </c>
      <c r="E395" s="562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88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69"/>
      <c r="R395" s="569"/>
      <c r="S395" s="569"/>
      <c r="T395" s="570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1">
        <v>4680115883147</v>
      </c>
      <c r="E396" s="562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6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69"/>
      <c r="R396" s="569"/>
      <c r="S396" s="569"/>
      <c r="T396" s="570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1">
        <v>4607091384338</v>
      </c>
      <c r="E397" s="562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3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69"/>
      <c r="R397" s="569"/>
      <c r="S397" s="569"/>
      <c r="T397" s="570"/>
      <c r="U397" s="34"/>
      <c r="V397" s="34"/>
      <c r="W397" s="35" t="s">
        <v>69</v>
      </c>
      <c r="X397" s="553">
        <v>17.5</v>
      </c>
      <c r="Y397" s="554">
        <f t="shared" si="41"/>
        <v>18.900000000000002</v>
      </c>
      <c r="Z397" s="36">
        <f t="shared" si="46"/>
        <v>4.5179999999999998E-2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18.583333333333332</v>
      </c>
      <c r="BN397" s="64">
        <f t="shared" si="43"/>
        <v>20.07</v>
      </c>
      <c r="BO397" s="64">
        <f t="shared" si="44"/>
        <v>3.5612535612535613E-2</v>
      </c>
      <c r="BP397" s="64">
        <f t="shared" si="45"/>
        <v>3.8461538461538464E-2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1">
        <v>4607091389524</v>
      </c>
      <c r="E398" s="562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67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69"/>
      <c r="R398" s="569"/>
      <c r="S398" s="569"/>
      <c r="T398" s="570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1">
        <v>4680115883161</v>
      </c>
      <c r="E399" s="562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68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69"/>
      <c r="R399" s="569"/>
      <c r="S399" s="569"/>
      <c r="T399" s="570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1">
        <v>4607091389531</v>
      </c>
      <c r="E400" s="562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82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69"/>
      <c r="R400" s="569"/>
      <c r="S400" s="569"/>
      <c r="T400" s="570"/>
      <c r="U400" s="34"/>
      <c r="V400" s="34"/>
      <c r="W400" s="35" t="s">
        <v>69</v>
      </c>
      <c r="X400" s="553">
        <v>10.5</v>
      </c>
      <c r="Y400" s="554">
        <f t="shared" si="41"/>
        <v>10.5</v>
      </c>
      <c r="Z400" s="36">
        <f t="shared" si="46"/>
        <v>2.5100000000000001E-2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11.149999999999999</v>
      </c>
      <c r="BN400" s="64">
        <f t="shared" si="43"/>
        <v>11.149999999999999</v>
      </c>
      <c r="BO400" s="64">
        <f t="shared" si="44"/>
        <v>2.1367521367521368E-2</v>
      </c>
      <c r="BP400" s="64">
        <f t="shared" si="45"/>
        <v>2.1367521367521368E-2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1">
        <v>4607091384345</v>
      </c>
      <c r="E401" s="562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879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69"/>
      <c r="R401" s="569"/>
      <c r="S401" s="569"/>
      <c r="T401" s="570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66"/>
      <c r="B402" s="560"/>
      <c r="C402" s="560"/>
      <c r="D402" s="560"/>
      <c r="E402" s="560"/>
      <c r="F402" s="560"/>
      <c r="G402" s="560"/>
      <c r="H402" s="560"/>
      <c r="I402" s="560"/>
      <c r="J402" s="560"/>
      <c r="K402" s="560"/>
      <c r="L402" s="560"/>
      <c r="M402" s="560"/>
      <c r="N402" s="560"/>
      <c r="O402" s="567"/>
      <c r="P402" s="563" t="s">
        <v>75</v>
      </c>
      <c r="Q402" s="564"/>
      <c r="R402" s="564"/>
      <c r="S402" s="564"/>
      <c r="T402" s="564"/>
      <c r="U402" s="564"/>
      <c r="V402" s="565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13.333333333333332</v>
      </c>
      <c r="Y402" s="555">
        <f>IFERROR(Y393/H393,"0")+IFERROR(Y394/H394,"0")+IFERROR(Y395/H395,"0")+IFERROR(Y396/H396,"0")+IFERROR(Y397/H397,"0")+IFERROR(Y398/H398,"0")+IFERROR(Y399/H399,"0")+IFERROR(Y400/H400,"0")+IFERROR(Y401/H401,"0")</f>
        <v>14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7.0279999999999995E-2</v>
      </c>
      <c r="AA402" s="556"/>
      <c r="AB402" s="556"/>
      <c r="AC402" s="556"/>
    </row>
    <row r="403" spans="1:68" x14ac:dyDescent="0.2">
      <c r="A403" s="560"/>
      <c r="B403" s="560"/>
      <c r="C403" s="560"/>
      <c r="D403" s="560"/>
      <c r="E403" s="560"/>
      <c r="F403" s="560"/>
      <c r="G403" s="560"/>
      <c r="H403" s="560"/>
      <c r="I403" s="560"/>
      <c r="J403" s="560"/>
      <c r="K403" s="560"/>
      <c r="L403" s="560"/>
      <c r="M403" s="560"/>
      <c r="N403" s="560"/>
      <c r="O403" s="567"/>
      <c r="P403" s="563" t="s">
        <v>75</v>
      </c>
      <c r="Q403" s="564"/>
      <c r="R403" s="564"/>
      <c r="S403" s="564"/>
      <c r="T403" s="564"/>
      <c r="U403" s="564"/>
      <c r="V403" s="565"/>
      <c r="W403" s="37" t="s">
        <v>69</v>
      </c>
      <c r="X403" s="555">
        <f>IFERROR(SUM(X393:X401),"0")</f>
        <v>28</v>
      </c>
      <c r="Y403" s="555">
        <f>IFERROR(SUM(Y393:Y401),"0")</f>
        <v>29.400000000000002</v>
      </c>
      <c r="Z403" s="37"/>
      <c r="AA403" s="556"/>
      <c r="AB403" s="556"/>
      <c r="AC403" s="556"/>
    </row>
    <row r="404" spans="1:68" ht="14.25" hidden="1" customHeight="1" x14ac:dyDescent="0.25">
      <c r="A404" s="559" t="s">
        <v>77</v>
      </c>
      <c r="B404" s="560"/>
      <c r="C404" s="560"/>
      <c r="D404" s="560"/>
      <c r="E404" s="560"/>
      <c r="F404" s="560"/>
      <c r="G404" s="560"/>
      <c r="H404" s="560"/>
      <c r="I404" s="560"/>
      <c r="J404" s="560"/>
      <c r="K404" s="560"/>
      <c r="L404" s="560"/>
      <c r="M404" s="560"/>
      <c r="N404" s="560"/>
      <c r="O404" s="560"/>
      <c r="P404" s="560"/>
      <c r="Q404" s="560"/>
      <c r="R404" s="560"/>
      <c r="S404" s="560"/>
      <c r="T404" s="560"/>
      <c r="U404" s="560"/>
      <c r="V404" s="560"/>
      <c r="W404" s="560"/>
      <c r="X404" s="560"/>
      <c r="Y404" s="560"/>
      <c r="Z404" s="560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1">
        <v>4607091384352</v>
      </c>
      <c r="E405" s="562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83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69"/>
      <c r="R405" s="569"/>
      <c r="S405" s="569"/>
      <c r="T405" s="570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1">
        <v>4607091389654</v>
      </c>
      <c r="E406" s="562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5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69"/>
      <c r="R406" s="569"/>
      <c r="S406" s="569"/>
      <c r="T406" s="570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6"/>
      <c r="B407" s="560"/>
      <c r="C407" s="560"/>
      <c r="D407" s="560"/>
      <c r="E407" s="560"/>
      <c r="F407" s="560"/>
      <c r="G407" s="560"/>
      <c r="H407" s="560"/>
      <c r="I407" s="560"/>
      <c r="J407" s="560"/>
      <c r="K407" s="560"/>
      <c r="L407" s="560"/>
      <c r="M407" s="560"/>
      <c r="N407" s="560"/>
      <c r="O407" s="567"/>
      <c r="P407" s="563" t="s">
        <v>75</v>
      </c>
      <c r="Q407" s="564"/>
      <c r="R407" s="564"/>
      <c r="S407" s="564"/>
      <c r="T407" s="564"/>
      <c r="U407" s="564"/>
      <c r="V407" s="565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0"/>
      <c r="B408" s="560"/>
      <c r="C408" s="560"/>
      <c r="D408" s="560"/>
      <c r="E408" s="560"/>
      <c r="F408" s="560"/>
      <c r="G408" s="560"/>
      <c r="H408" s="560"/>
      <c r="I408" s="560"/>
      <c r="J408" s="560"/>
      <c r="K408" s="560"/>
      <c r="L408" s="560"/>
      <c r="M408" s="560"/>
      <c r="N408" s="560"/>
      <c r="O408" s="567"/>
      <c r="P408" s="563" t="s">
        <v>75</v>
      </c>
      <c r="Q408" s="564"/>
      <c r="R408" s="564"/>
      <c r="S408" s="564"/>
      <c r="T408" s="564"/>
      <c r="U408" s="564"/>
      <c r="V408" s="565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92" t="s">
        <v>645</v>
      </c>
      <c r="B409" s="560"/>
      <c r="C409" s="560"/>
      <c r="D409" s="560"/>
      <c r="E409" s="560"/>
      <c r="F409" s="560"/>
      <c r="G409" s="560"/>
      <c r="H409" s="560"/>
      <c r="I409" s="560"/>
      <c r="J409" s="560"/>
      <c r="K409" s="560"/>
      <c r="L409" s="560"/>
      <c r="M409" s="560"/>
      <c r="N409" s="560"/>
      <c r="O409" s="560"/>
      <c r="P409" s="560"/>
      <c r="Q409" s="560"/>
      <c r="R409" s="560"/>
      <c r="S409" s="560"/>
      <c r="T409" s="560"/>
      <c r="U409" s="560"/>
      <c r="V409" s="560"/>
      <c r="W409" s="560"/>
      <c r="X409" s="560"/>
      <c r="Y409" s="560"/>
      <c r="Z409" s="560"/>
      <c r="AA409" s="548"/>
      <c r="AB409" s="548"/>
      <c r="AC409" s="548"/>
    </row>
    <row r="410" spans="1:68" ht="14.25" hidden="1" customHeight="1" x14ac:dyDescent="0.25">
      <c r="A410" s="559" t="s">
        <v>137</v>
      </c>
      <c r="B410" s="560"/>
      <c r="C410" s="560"/>
      <c r="D410" s="560"/>
      <c r="E410" s="560"/>
      <c r="F410" s="560"/>
      <c r="G410" s="560"/>
      <c r="H410" s="560"/>
      <c r="I410" s="560"/>
      <c r="J410" s="560"/>
      <c r="K410" s="560"/>
      <c r="L410" s="560"/>
      <c r="M410" s="560"/>
      <c r="N410" s="560"/>
      <c r="O410" s="560"/>
      <c r="P410" s="560"/>
      <c r="Q410" s="560"/>
      <c r="R410" s="560"/>
      <c r="S410" s="560"/>
      <c r="T410" s="560"/>
      <c r="U410" s="560"/>
      <c r="V410" s="560"/>
      <c r="W410" s="560"/>
      <c r="X410" s="560"/>
      <c r="Y410" s="560"/>
      <c r="Z410" s="560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1">
        <v>4680115885240</v>
      </c>
      <c r="E411" s="562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6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69"/>
      <c r="R411" s="569"/>
      <c r="S411" s="569"/>
      <c r="T411" s="570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6"/>
      <c r="B412" s="560"/>
      <c r="C412" s="560"/>
      <c r="D412" s="560"/>
      <c r="E412" s="560"/>
      <c r="F412" s="560"/>
      <c r="G412" s="560"/>
      <c r="H412" s="560"/>
      <c r="I412" s="560"/>
      <c r="J412" s="560"/>
      <c r="K412" s="560"/>
      <c r="L412" s="560"/>
      <c r="M412" s="560"/>
      <c r="N412" s="560"/>
      <c r="O412" s="567"/>
      <c r="P412" s="563" t="s">
        <v>75</v>
      </c>
      <c r="Q412" s="564"/>
      <c r="R412" s="564"/>
      <c r="S412" s="564"/>
      <c r="T412" s="564"/>
      <c r="U412" s="564"/>
      <c r="V412" s="565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0"/>
      <c r="B413" s="560"/>
      <c r="C413" s="560"/>
      <c r="D413" s="560"/>
      <c r="E413" s="560"/>
      <c r="F413" s="560"/>
      <c r="G413" s="560"/>
      <c r="H413" s="560"/>
      <c r="I413" s="560"/>
      <c r="J413" s="560"/>
      <c r="K413" s="560"/>
      <c r="L413" s="560"/>
      <c r="M413" s="560"/>
      <c r="N413" s="560"/>
      <c r="O413" s="567"/>
      <c r="P413" s="563" t="s">
        <v>75</v>
      </c>
      <c r="Q413" s="564"/>
      <c r="R413" s="564"/>
      <c r="S413" s="564"/>
      <c r="T413" s="564"/>
      <c r="U413" s="564"/>
      <c r="V413" s="565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59" t="s">
        <v>64</v>
      </c>
      <c r="B414" s="560"/>
      <c r="C414" s="560"/>
      <c r="D414" s="560"/>
      <c r="E414" s="560"/>
      <c r="F414" s="560"/>
      <c r="G414" s="560"/>
      <c r="H414" s="560"/>
      <c r="I414" s="560"/>
      <c r="J414" s="560"/>
      <c r="K414" s="560"/>
      <c r="L414" s="560"/>
      <c r="M414" s="560"/>
      <c r="N414" s="560"/>
      <c r="O414" s="560"/>
      <c r="P414" s="560"/>
      <c r="Q414" s="560"/>
      <c r="R414" s="560"/>
      <c r="S414" s="560"/>
      <c r="T414" s="560"/>
      <c r="U414" s="560"/>
      <c r="V414" s="560"/>
      <c r="W414" s="560"/>
      <c r="X414" s="560"/>
      <c r="Y414" s="560"/>
      <c r="Z414" s="560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1">
        <v>4680115886094</v>
      </c>
      <c r="E415" s="562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65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69"/>
      <c r="R415" s="569"/>
      <c r="S415" s="569"/>
      <c r="T415" s="570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1">
        <v>4607091389425</v>
      </c>
      <c r="E416" s="562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6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69"/>
      <c r="R416" s="569"/>
      <c r="S416" s="569"/>
      <c r="T416" s="570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1">
        <v>4680115880771</v>
      </c>
      <c r="E417" s="562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2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69"/>
      <c r="R417" s="569"/>
      <c r="S417" s="569"/>
      <c r="T417" s="570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1">
        <v>4607091389500</v>
      </c>
      <c r="E418" s="562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64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69"/>
      <c r="R418" s="569"/>
      <c r="S418" s="569"/>
      <c r="T418" s="570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66"/>
      <c r="B419" s="560"/>
      <c r="C419" s="560"/>
      <c r="D419" s="560"/>
      <c r="E419" s="560"/>
      <c r="F419" s="560"/>
      <c r="G419" s="560"/>
      <c r="H419" s="560"/>
      <c r="I419" s="560"/>
      <c r="J419" s="560"/>
      <c r="K419" s="560"/>
      <c r="L419" s="560"/>
      <c r="M419" s="560"/>
      <c r="N419" s="560"/>
      <c r="O419" s="567"/>
      <c r="P419" s="563" t="s">
        <v>75</v>
      </c>
      <c r="Q419" s="564"/>
      <c r="R419" s="564"/>
      <c r="S419" s="564"/>
      <c r="T419" s="564"/>
      <c r="U419" s="564"/>
      <c r="V419" s="565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0"/>
      <c r="B420" s="560"/>
      <c r="C420" s="560"/>
      <c r="D420" s="560"/>
      <c r="E420" s="560"/>
      <c r="F420" s="560"/>
      <c r="G420" s="560"/>
      <c r="H420" s="560"/>
      <c r="I420" s="560"/>
      <c r="J420" s="560"/>
      <c r="K420" s="560"/>
      <c r="L420" s="560"/>
      <c r="M420" s="560"/>
      <c r="N420" s="560"/>
      <c r="O420" s="567"/>
      <c r="P420" s="563" t="s">
        <v>75</v>
      </c>
      <c r="Q420" s="564"/>
      <c r="R420" s="564"/>
      <c r="S420" s="564"/>
      <c r="T420" s="564"/>
      <c r="U420" s="564"/>
      <c r="V420" s="565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hidden="1" customHeight="1" x14ac:dyDescent="0.25">
      <c r="A421" s="592" t="s">
        <v>660</v>
      </c>
      <c r="B421" s="560"/>
      <c r="C421" s="560"/>
      <c r="D421" s="560"/>
      <c r="E421" s="560"/>
      <c r="F421" s="560"/>
      <c r="G421" s="560"/>
      <c r="H421" s="560"/>
      <c r="I421" s="560"/>
      <c r="J421" s="560"/>
      <c r="K421" s="560"/>
      <c r="L421" s="560"/>
      <c r="M421" s="560"/>
      <c r="N421" s="560"/>
      <c r="O421" s="560"/>
      <c r="P421" s="560"/>
      <c r="Q421" s="560"/>
      <c r="R421" s="560"/>
      <c r="S421" s="560"/>
      <c r="T421" s="560"/>
      <c r="U421" s="560"/>
      <c r="V421" s="560"/>
      <c r="W421" s="560"/>
      <c r="X421" s="560"/>
      <c r="Y421" s="560"/>
      <c r="Z421" s="560"/>
      <c r="AA421" s="548"/>
      <c r="AB421" s="548"/>
      <c r="AC421" s="548"/>
    </row>
    <row r="422" spans="1:68" ht="14.25" hidden="1" customHeight="1" x14ac:dyDescent="0.25">
      <c r="A422" s="559" t="s">
        <v>64</v>
      </c>
      <c r="B422" s="560"/>
      <c r="C422" s="560"/>
      <c r="D422" s="560"/>
      <c r="E422" s="560"/>
      <c r="F422" s="560"/>
      <c r="G422" s="560"/>
      <c r="H422" s="560"/>
      <c r="I422" s="560"/>
      <c r="J422" s="560"/>
      <c r="K422" s="560"/>
      <c r="L422" s="560"/>
      <c r="M422" s="560"/>
      <c r="N422" s="560"/>
      <c r="O422" s="560"/>
      <c r="P422" s="560"/>
      <c r="Q422" s="560"/>
      <c r="R422" s="560"/>
      <c r="S422" s="560"/>
      <c r="T422" s="560"/>
      <c r="U422" s="560"/>
      <c r="V422" s="560"/>
      <c r="W422" s="560"/>
      <c r="X422" s="560"/>
      <c r="Y422" s="560"/>
      <c r="Z422" s="560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1">
        <v>4680115885110</v>
      </c>
      <c r="E423" s="562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799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69"/>
      <c r="R423" s="569"/>
      <c r="S423" s="569"/>
      <c r="T423" s="570"/>
      <c r="U423" s="34"/>
      <c r="V423" s="34"/>
      <c r="W423" s="35" t="s">
        <v>69</v>
      </c>
      <c r="X423" s="553">
        <v>20</v>
      </c>
      <c r="Y423" s="554">
        <f>IFERROR(IF(X423="",0,CEILING((X423/$H423),1)*$H423),"")</f>
        <v>20.399999999999999</v>
      </c>
      <c r="Z423" s="36">
        <f>IFERROR(IF(Y423=0,"",ROUNDUP(Y423/H423,0)*0.00651),"")</f>
        <v>0.11067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35</v>
      </c>
      <c r="BN423" s="64">
        <f>IFERROR(Y423*I423/H423,"0")</f>
        <v>35.699999999999996</v>
      </c>
      <c r="BO423" s="64">
        <f>IFERROR(1/J423*(X423/H423),"0")</f>
        <v>9.1575091575091583E-2</v>
      </c>
      <c r="BP423" s="64">
        <f>IFERROR(1/J423*(Y423/H423),"0")</f>
        <v>9.3406593406593408E-2</v>
      </c>
    </row>
    <row r="424" spans="1:68" x14ac:dyDescent="0.2">
      <c r="A424" s="566"/>
      <c r="B424" s="560"/>
      <c r="C424" s="560"/>
      <c r="D424" s="560"/>
      <c r="E424" s="560"/>
      <c r="F424" s="560"/>
      <c r="G424" s="560"/>
      <c r="H424" s="560"/>
      <c r="I424" s="560"/>
      <c r="J424" s="560"/>
      <c r="K424" s="560"/>
      <c r="L424" s="560"/>
      <c r="M424" s="560"/>
      <c r="N424" s="560"/>
      <c r="O424" s="567"/>
      <c r="P424" s="563" t="s">
        <v>75</v>
      </c>
      <c r="Q424" s="564"/>
      <c r="R424" s="564"/>
      <c r="S424" s="564"/>
      <c r="T424" s="564"/>
      <c r="U424" s="564"/>
      <c r="V424" s="565"/>
      <c r="W424" s="37" t="s">
        <v>76</v>
      </c>
      <c r="X424" s="555">
        <f>IFERROR(X423/H423,"0")</f>
        <v>16.666666666666668</v>
      </c>
      <c r="Y424" s="555">
        <f>IFERROR(Y423/H423,"0")</f>
        <v>17</v>
      </c>
      <c r="Z424" s="555">
        <f>IFERROR(IF(Z423="",0,Z423),"0")</f>
        <v>0.11067</v>
      </c>
      <c r="AA424" s="556"/>
      <c r="AB424" s="556"/>
      <c r="AC424" s="556"/>
    </row>
    <row r="425" spans="1:68" x14ac:dyDescent="0.2">
      <c r="A425" s="560"/>
      <c r="B425" s="560"/>
      <c r="C425" s="560"/>
      <c r="D425" s="560"/>
      <c r="E425" s="560"/>
      <c r="F425" s="560"/>
      <c r="G425" s="560"/>
      <c r="H425" s="560"/>
      <c r="I425" s="560"/>
      <c r="J425" s="560"/>
      <c r="K425" s="560"/>
      <c r="L425" s="560"/>
      <c r="M425" s="560"/>
      <c r="N425" s="560"/>
      <c r="O425" s="567"/>
      <c r="P425" s="563" t="s">
        <v>75</v>
      </c>
      <c r="Q425" s="564"/>
      <c r="R425" s="564"/>
      <c r="S425" s="564"/>
      <c r="T425" s="564"/>
      <c r="U425" s="564"/>
      <c r="V425" s="565"/>
      <c r="W425" s="37" t="s">
        <v>69</v>
      </c>
      <c r="X425" s="555">
        <f>IFERROR(SUM(X423:X423),"0")</f>
        <v>20</v>
      </c>
      <c r="Y425" s="555">
        <f>IFERROR(SUM(Y423:Y423),"0")</f>
        <v>20.399999999999999</v>
      </c>
      <c r="Z425" s="37"/>
      <c r="AA425" s="556"/>
      <c r="AB425" s="556"/>
      <c r="AC425" s="556"/>
    </row>
    <row r="426" spans="1:68" ht="27.75" hidden="1" customHeight="1" x14ac:dyDescent="0.2">
      <c r="A426" s="582" t="s">
        <v>664</v>
      </c>
      <c r="B426" s="583"/>
      <c r="C426" s="583"/>
      <c r="D426" s="583"/>
      <c r="E426" s="583"/>
      <c r="F426" s="583"/>
      <c r="G426" s="583"/>
      <c r="H426" s="583"/>
      <c r="I426" s="583"/>
      <c r="J426" s="583"/>
      <c r="K426" s="583"/>
      <c r="L426" s="583"/>
      <c r="M426" s="583"/>
      <c r="N426" s="583"/>
      <c r="O426" s="583"/>
      <c r="P426" s="583"/>
      <c r="Q426" s="583"/>
      <c r="R426" s="583"/>
      <c r="S426" s="583"/>
      <c r="T426" s="583"/>
      <c r="U426" s="583"/>
      <c r="V426" s="583"/>
      <c r="W426" s="583"/>
      <c r="X426" s="583"/>
      <c r="Y426" s="583"/>
      <c r="Z426" s="583"/>
      <c r="AA426" s="48"/>
      <c r="AB426" s="48"/>
      <c r="AC426" s="48"/>
    </row>
    <row r="427" spans="1:68" ht="16.5" hidden="1" customHeight="1" x14ac:dyDescent="0.25">
      <c r="A427" s="592" t="s">
        <v>664</v>
      </c>
      <c r="B427" s="560"/>
      <c r="C427" s="560"/>
      <c r="D427" s="560"/>
      <c r="E427" s="560"/>
      <c r="F427" s="560"/>
      <c r="G427" s="560"/>
      <c r="H427" s="560"/>
      <c r="I427" s="560"/>
      <c r="J427" s="560"/>
      <c r="K427" s="560"/>
      <c r="L427" s="560"/>
      <c r="M427" s="560"/>
      <c r="N427" s="560"/>
      <c r="O427" s="560"/>
      <c r="P427" s="560"/>
      <c r="Q427" s="560"/>
      <c r="R427" s="560"/>
      <c r="S427" s="560"/>
      <c r="T427" s="560"/>
      <c r="U427" s="560"/>
      <c r="V427" s="560"/>
      <c r="W427" s="560"/>
      <c r="X427" s="560"/>
      <c r="Y427" s="560"/>
      <c r="Z427" s="560"/>
      <c r="AA427" s="548"/>
      <c r="AB427" s="548"/>
      <c r="AC427" s="548"/>
    </row>
    <row r="428" spans="1:68" ht="14.25" hidden="1" customHeight="1" x14ac:dyDescent="0.25">
      <c r="A428" s="559" t="s">
        <v>101</v>
      </c>
      <c r="B428" s="560"/>
      <c r="C428" s="560"/>
      <c r="D428" s="560"/>
      <c r="E428" s="560"/>
      <c r="F428" s="560"/>
      <c r="G428" s="560"/>
      <c r="H428" s="560"/>
      <c r="I428" s="560"/>
      <c r="J428" s="560"/>
      <c r="K428" s="560"/>
      <c r="L428" s="560"/>
      <c r="M428" s="560"/>
      <c r="N428" s="560"/>
      <c r="O428" s="560"/>
      <c r="P428" s="560"/>
      <c r="Q428" s="560"/>
      <c r="R428" s="560"/>
      <c r="S428" s="560"/>
      <c r="T428" s="560"/>
      <c r="U428" s="560"/>
      <c r="V428" s="560"/>
      <c r="W428" s="560"/>
      <c r="X428" s="560"/>
      <c r="Y428" s="560"/>
      <c r="Z428" s="560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1">
        <v>4607091389067</v>
      </c>
      <c r="E429" s="562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79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69"/>
      <c r="R429" s="569"/>
      <c r="S429" s="569"/>
      <c r="T429" s="570"/>
      <c r="U429" s="34"/>
      <c r="V429" s="34"/>
      <c r="W429" s="35" t="s">
        <v>69</v>
      </c>
      <c r="X429" s="553">
        <v>50</v>
      </c>
      <c r="Y429" s="554">
        <f t="shared" ref="Y429:Y440" si="47">IFERROR(IF(X429="",0,CEILING((X429/$H429),1)*$H429),"")</f>
        <v>52.800000000000004</v>
      </c>
      <c r="Z429" s="36">
        <f t="shared" ref="Z429:Z435" si="48">IFERROR(IF(Y429=0,"",ROUNDUP(Y429/H429,0)*0.01196),"")</f>
        <v>0.1196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53.314393939393938</v>
      </c>
      <c r="BN429" s="64">
        <f t="shared" ref="BN429:BN440" si="50">IFERROR(Y429*I429/H429,"0")</f>
        <v>56.3</v>
      </c>
      <c r="BO429" s="64">
        <f t="shared" ref="BO429:BO440" si="51">IFERROR(1/J429*(X429/H429),"0")</f>
        <v>9.1054778554778545E-2</v>
      </c>
      <c r="BP429" s="64">
        <f t="shared" ref="BP429:BP440" si="52">IFERROR(1/J429*(Y429/H429),"0")</f>
        <v>9.6153846153846159E-2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1">
        <v>4607091383522</v>
      </c>
      <c r="E430" s="562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620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69"/>
      <c r="R430" s="569"/>
      <c r="S430" s="569"/>
      <c r="T430" s="570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1">
        <v>4607091383522</v>
      </c>
      <c r="E431" s="562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6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9"/>
      <c r="R431" s="569"/>
      <c r="S431" s="569"/>
      <c r="T431" s="570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1">
        <v>4680115885271</v>
      </c>
      <c r="E432" s="562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86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69"/>
      <c r="R432" s="569"/>
      <c r="S432" s="569"/>
      <c r="T432" s="570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1">
        <v>4680115885226</v>
      </c>
      <c r="E433" s="562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8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69"/>
      <c r="R433" s="569"/>
      <c r="S433" s="569"/>
      <c r="T433" s="570"/>
      <c r="U433" s="34"/>
      <c r="V433" s="34"/>
      <c r="W433" s="35" t="s">
        <v>69</v>
      </c>
      <c r="X433" s="553">
        <v>100</v>
      </c>
      <c r="Y433" s="554">
        <f t="shared" si="47"/>
        <v>100.32000000000001</v>
      </c>
      <c r="Z433" s="36">
        <f t="shared" si="48"/>
        <v>0.22724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106.62878787878788</v>
      </c>
      <c r="BN433" s="64">
        <f t="shared" si="50"/>
        <v>106.97</v>
      </c>
      <c r="BO433" s="64">
        <f t="shared" si="51"/>
        <v>0.18210955710955709</v>
      </c>
      <c r="BP433" s="64">
        <f t="shared" si="52"/>
        <v>0.18269230769230771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1">
        <v>4680115884502</v>
      </c>
      <c r="E434" s="562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60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69"/>
      <c r="R434" s="569"/>
      <c r="S434" s="569"/>
      <c r="T434" s="570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1">
        <v>4607091389104</v>
      </c>
      <c r="E435" s="562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60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69"/>
      <c r="R435" s="569"/>
      <c r="S435" s="569"/>
      <c r="T435" s="570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1">
        <v>4680115886391</v>
      </c>
      <c r="E436" s="562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61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69"/>
      <c r="R436" s="569"/>
      <c r="S436" s="569"/>
      <c r="T436" s="570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1">
        <v>4680115880603</v>
      </c>
      <c r="E437" s="562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8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69"/>
      <c r="R437" s="569"/>
      <c r="S437" s="569"/>
      <c r="T437" s="570"/>
      <c r="U437" s="34"/>
      <c r="V437" s="34"/>
      <c r="W437" s="35" t="s">
        <v>69</v>
      </c>
      <c r="X437" s="553">
        <v>60</v>
      </c>
      <c r="Y437" s="554">
        <f t="shared" si="47"/>
        <v>62.4</v>
      </c>
      <c r="Z437" s="36">
        <f>IFERROR(IF(Y437=0,"",ROUNDUP(Y437/H437,0)*0.00902),"")</f>
        <v>0.11726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86.375000000000014</v>
      </c>
      <c r="BN437" s="64">
        <f t="shared" si="50"/>
        <v>89.830000000000013</v>
      </c>
      <c r="BO437" s="64">
        <f t="shared" si="51"/>
        <v>9.4696969696969696E-2</v>
      </c>
      <c r="BP437" s="64">
        <f t="shared" si="52"/>
        <v>9.8484848484848481E-2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1">
        <v>4680115882782</v>
      </c>
      <c r="E438" s="562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69"/>
      <c r="R438" s="569"/>
      <c r="S438" s="569"/>
      <c r="T438" s="570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1">
        <v>4680115885479</v>
      </c>
      <c r="E439" s="562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8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69"/>
      <c r="R439" s="569"/>
      <c r="S439" s="569"/>
      <c r="T439" s="570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1">
        <v>4607091389982</v>
      </c>
      <c r="E440" s="562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2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69"/>
      <c r="R440" s="569"/>
      <c r="S440" s="569"/>
      <c r="T440" s="570"/>
      <c r="U440" s="34"/>
      <c r="V440" s="34"/>
      <c r="W440" s="35" t="s">
        <v>69</v>
      </c>
      <c r="X440" s="553">
        <v>90</v>
      </c>
      <c r="Y440" s="554">
        <f t="shared" si="47"/>
        <v>91.2</v>
      </c>
      <c r="Z440" s="36">
        <f>IFERROR(IF(Y440=0,"",ROUNDUP(Y440/H440,0)*0.00902),"")</f>
        <v>0.17138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129.5625</v>
      </c>
      <c r="BN440" s="64">
        <f t="shared" si="50"/>
        <v>131.29000000000002</v>
      </c>
      <c r="BO440" s="64">
        <f t="shared" si="51"/>
        <v>0.14204545454545456</v>
      </c>
      <c r="BP440" s="64">
        <f t="shared" si="52"/>
        <v>0.14393939393939395</v>
      </c>
    </row>
    <row r="441" spans="1:68" x14ac:dyDescent="0.2">
      <c r="A441" s="566"/>
      <c r="B441" s="560"/>
      <c r="C441" s="560"/>
      <c r="D441" s="560"/>
      <c r="E441" s="560"/>
      <c r="F441" s="560"/>
      <c r="G441" s="560"/>
      <c r="H441" s="560"/>
      <c r="I441" s="560"/>
      <c r="J441" s="560"/>
      <c r="K441" s="560"/>
      <c r="L441" s="560"/>
      <c r="M441" s="560"/>
      <c r="N441" s="560"/>
      <c r="O441" s="567"/>
      <c r="P441" s="563" t="s">
        <v>75</v>
      </c>
      <c r="Q441" s="564"/>
      <c r="R441" s="564"/>
      <c r="S441" s="564"/>
      <c r="T441" s="564"/>
      <c r="U441" s="564"/>
      <c r="V441" s="565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82.386363636363626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84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0.91056000000000004</v>
      </c>
      <c r="AA441" s="556"/>
      <c r="AB441" s="556"/>
      <c r="AC441" s="556"/>
    </row>
    <row r="442" spans="1:68" x14ac:dyDescent="0.2">
      <c r="A442" s="560"/>
      <c r="B442" s="560"/>
      <c r="C442" s="560"/>
      <c r="D442" s="560"/>
      <c r="E442" s="560"/>
      <c r="F442" s="560"/>
      <c r="G442" s="560"/>
      <c r="H442" s="560"/>
      <c r="I442" s="560"/>
      <c r="J442" s="560"/>
      <c r="K442" s="560"/>
      <c r="L442" s="560"/>
      <c r="M442" s="560"/>
      <c r="N442" s="560"/>
      <c r="O442" s="567"/>
      <c r="P442" s="563" t="s">
        <v>75</v>
      </c>
      <c r="Q442" s="564"/>
      <c r="R442" s="564"/>
      <c r="S442" s="564"/>
      <c r="T442" s="564"/>
      <c r="U442" s="564"/>
      <c r="V442" s="565"/>
      <c r="W442" s="37" t="s">
        <v>69</v>
      </c>
      <c r="X442" s="555">
        <f>IFERROR(SUM(X429:X440),"0")</f>
        <v>420</v>
      </c>
      <c r="Y442" s="555">
        <f>IFERROR(SUM(Y429:Y440),"0")</f>
        <v>428.15999999999997</v>
      </c>
      <c r="Z442" s="37"/>
      <c r="AA442" s="556"/>
      <c r="AB442" s="556"/>
      <c r="AC442" s="556"/>
    </row>
    <row r="443" spans="1:68" ht="14.25" hidden="1" customHeight="1" x14ac:dyDescent="0.25">
      <c r="A443" s="559" t="s">
        <v>137</v>
      </c>
      <c r="B443" s="560"/>
      <c r="C443" s="560"/>
      <c r="D443" s="560"/>
      <c r="E443" s="560"/>
      <c r="F443" s="560"/>
      <c r="G443" s="560"/>
      <c r="H443" s="560"/>
      <c r="I443" s="560"/>
      <c r="J443" s="560"/>
      <c r="K443" s="560"/>
      <c r="L443" s="560"/>
      <c r="M443" s="560"/>
      <c r="N443" s="560"/>
      <c r="O443" s="560"/>
      <c r="P443" s="560"/>
      <c r="Q443" s="560"/>
      <c r="R443" s="560"/>
      <c r="S443" s="560"/>
      <c r="T443" s="560"/>
      <c r="U443" s="560"/>
      <c r="V443" s="560"/>
      <c r="W443" s="560"/>
      <c r="X443" s="560"/>
      <c r="Y443" s="560"/>
      <c r="Z443" s="560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1">
        <v>4607091388930</v>
      </c>
      <c r="E444" s="562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5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69"/>
      <c r="R444" s="569"/>
      <c r="S444" s="569"/>
      <c r="T444" s="570"/>
      <c r="U444" s="34"/>
      <c r="V444" s="34"/>
      <c r="W444" s="35" t="s">
        <v>69</v>
      </c>
      <c r="X444" s="553">
        <v>70</v>
      </c>
      <c r="Y444" s="554">
        <f>IFERROR(IF(X444="",0,CEILING((X444/$H444),1)*$H444),"")</f>
        <v>73.92</v>
      </c>
      <c r="Z444" s="36">
        <f>IFERROR(IF(Y444=0,"",ROUNDUP(Y444/H444,0)*0.01196),"")</f>
        <v>0.16744000000000001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74.640151515151501</v>
      </c>
      <c r="BN444" s="64">
        <f>IFERROR(Y444*I444/H444,"0")</f>
        <v>78.819999999999993</v>
      </c>
      <c r="BO444" s="64">
        <f>IFERROR(1/J444*(X444/H444),"0")</f>
        <v>0.12747668997668998</v>
      </c>
      <c r="BP444" s="64">
        <f>IFERROR(1/J444*(Y444/H444),"0")</f>
        <v>0.13461538461538464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1">
        <v>4680115886407</v>
      </c>
      <c r="E445" s="562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81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69"/>
      <c r="R445" s="569"/>
      <c r="S445" s="569"/>
      <c r="T445" s="570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1">
        <v>4680115880054</v>
      </c>
      <c r="E446" s="562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1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69"/>
      <c r="R446" s="569"/>
      <c r="S446" s="569"/>
      <c r="T446" s="570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66"/>
      <c r="B447" s="560"/>
      <c r="C447" s="560"/>
      <c r="D447" s="560"/>
      <c r="E447" s="560"/>
      <c r="F447" s="560"/>
      <c r="G447" s="560"/>
      <c r="H447" s="560"/>
      <c r="I447" s="560"/>
      <c r="J447" s="560"/>
      <c r="K447" s="560"/>
      <c r="L447" s="560"/>
      <c r="M447" s="560"/>
      <c r="N447" s="560"/>
      <c r="O447" s="567"/>
      <c r="P447" s="563" t="s">
        <v>75</v>
      </c>
      <c r="Q447" s="564"/>
      <c r="R447" s="564"/>
      <c r="S447" s="564"/>
      <c r="T447" s="564"/>
      <c r="U447" s="564"/>
      <c r="V447" s="565"/>
      <c r="W447" s="37" t="s">
        <v>76</v>
      </c>
      <c r="X447" s="555">
        <f>IFERROR(X444/H444,"0")+IFERROR(X445/H445,"0")+IFERROR(X446/H446,"0")</f>
        <v>13.257575757575758</v>
      </c>
      <c r="Y447" s="555">
        <f>IFERROR(Y444/H444,"0")+IFERROR(Y445/H445,"0")+IFERROR(Y446/H446,"0")</f>
        <v>14</v>
      </c>
      <c r="Z447" s="555">
        <f>IFERROR(IF(Z444="",0,Z444),"0")+IFERROR(IF(Z445="",0,Z445),"0")+IFERROR(IF(Z446="",0,Z446),"0")</f>
        <v>0.16744000000000001</v>
      </c>
      <c r="AA447" s="556"/>
      <c r="AB447" s="556"/>
      <c r="AC447" s="556"/>
    </row>
    <row r="448" spans="1:68" x14ac:dyDescent="0.2">
      <c r="A448" s="560"/>
      <c r="B448" s="560"/>
      <c r="C448" s="560"/>
      <c r="D448" s="560"/>
      <c r="E448" s="560"/>
      <c r="F448" s="560"/>
      <c r="G448" s="560"/>
      <c r="H448" s="560"/>
      <c r="I448" s="560"/>
      <c r="J448" s="560"/>
      <c r="K448" s="560"/>
      <c r="L448" s="560"/>
      <c r="M448" s="560"/>
      <c r="N448" s="560"/>
      <c r="O448" s="567"/>
      <c r="P448" s="563" t="s">
        <v>75</v>
      </c>
      <c r="Q448" s="564"/>
      <c r="R448" s="564"/>
      <c r="S448" s="564"/>
      <c r="T448" s="564"/>
      <c r="U448" s="564"/>
      <c r="V448" s="565"/>
      <c r="W448" s="37" t="s">
        <v>69</v>
      </c>
      <c r="X448" s="555">
        <f>IFERROR(SUM(X444:X446),"0")</f>
        <v>70</v>
      </c>
      <c r="Y448" s="555">
        <f>IFERROR(SUM(Y444:Y446),"0")</f>
        <v>73.92</v>
      </c>
      <c r="Z448" s="37"/>
      <c r="AA448" s="556"/>
      <c r="AB448" s="556"/>
      <c r="AC448" s="556"/>
    </row>
    <row r="449" spans="1:68" ht="14.25" hidden="1" customHeight="1" x14ac:dyDescent="0.25">
      <c r="A449" s="559" t="s">
        <v>64</v>
      </c>
      <c r="B449" s="560"/>
      <c r="C449" s="560"/>
      <c r="D449" s="560"/>
      <c r="E449" s="560"/>
      <c r="F449" s="560"/>
      <c r="G449" s="560"/>
      <c r="H449" s="560"/>
      <c r="I449" s="560"/>
      <c r="J449" s="560"/>
      <c r="K449" s="560"/>
      <c r="L449" s="560"/>
      <c r="M449" s="560"/>
      <c r="N449" s="560"/>
      <c r="O449" s="560"/>
      <c r="P449" s="560"/>
      <c r="Q449" s="560"/>
      <c r="R449" s="560"/>
      <c r="S449" s="560"/>
      <c r="T449" s="560"/>
      <c r="U449" s="560"/>
      <c r="V449" s="560"/>
      <c r="W449" s="560"/>
      <c r="X449" s="560"/>
      <c r="Y449" s="560"/>
      <c r="Z449" s="560"/>
      <c r="AA449" s="549"/>
      <c r="AB449" s="549"/>
      <c r="AC449" s="549"/>
    </row>
    <row r="450" spans="1:68" ht="27" hidden="1" customHeight="1" x14ac:dyDescent="0.25">
      <c r="A450" s="54" t="s">
        <v>701</v>
      </c>
      <c r="B450" s="54" t="s">
        <v>702</v>
      </c>
      <c r="C450" s="31">
        <v>4301031349</v>
      </c>
      <c r="D450" s="561">
        <v>4680115883116</v>
      </c>
      <c r="E450" s="562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5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69"/>
      <c r="R450" s="569"/>
      <c r="S450" s="569"/>
      <c r="T450" s="570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1">
        <v>4680115883093</v>
      </c>
      <c r="E451" s="562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5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69"/>
      <c r="R451" s="569"/>
      <c r="S451" s="569"/>
      <c r="T451" s="570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1">
        <v>4680115883109</v>
      </c>
      <c r="E452" s="562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81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69"/>
      <c r="R452" s="569"/>
      <c r="S452" s="569"/>
      <c r="T452" s="570"/>
      <c r="U452" s="34"/>
      <c r="V452" s="34"/>
      <c r="W452" s="35" t="s">
        <v>69</v>
      </c>
      <c r="X452" s="553">
        <v>60</v>
      </c>
      <c r="Y452" s="554">
        <f t="shared" si="53"/>
        <v>63.36</v>
      </c>
      <c r="Z452" s="36">
        <f>IFERROR(IF(Y452=0,"",ROUNDUP(Y452/H452,0)*0.01196),"")</f>
        <v>0.14352000000000001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63.977272727272727</v>
      </c>
      <c r="BN452" s="64">
        <f t="shared" si="55"/>
        <v>67.559999999999988</v>
      </c>
      <c r="BO452" s="64">
        <f t="shared" si="56"/>
        <v>0.10926573426573427</v>
      </c>
      <c r="BP452" s="64">
        <f t="shared" si="57"/>
        <v>0.11538461538461539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1">
        <v>4680115882072</v>
      </c>
      <c r="E453" s="562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69"/>
      <c r="R453" s="569"/>
      <c r="S453" s="569"/>
      <c r="T453" s="570"/>
      <c r="U453" s="34"/>
      <c r="V453" s="34"/>
      <c r="W453" s="35" t="s">
        <v>69</v>
      </c>
      <c r="X453" s="553">
        <v>24</v>
      </c>
      <c r="Y453" s="554">
        <f t="shared" si="53"/>
        <v>24</v>
      </c>
      <c r="Z453" s="36">
        <f>IFERROR(IF(Y453=0,"",ROUNDUP(Y453/H453,0)*0.00902),"")</f>
        <v>4.5100000000000001E-2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34.550000000000004</v>
      </c>
      <c r="BN453" s="64">
        <f t="shared" si="55"/>
        <v>34.550000000000004</v>
      </c>
      <c r="BO453" s="64">
        <f t="shared" si="56"/>
        <v>3.787878787878788E-2</v>
      </c>
      <c r="BP453" s="64">
        <f t="shared" si="57"/>
        <v>3.787878787878788E-2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1">
        <v>4680115882102</v>
      </c>
      <c r="E454" s="562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87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69"/>
      <c r="R454" s="569"/>
      <c r="S454" s="569"/>
      <c r="T454" s="570"/>
      <c r="U454" s="34"/>
      <c r="V454" s="34"/>
      <c r="W454" s="35" t="s">
        <v>69</v>
      </c>
      <c r="X454" s="553">
        <v>24</v>
      </c>
      <c r="Y454" s="554">
        <f t="shared" si="53"/>
        <v>24</v>
      </c>
      <c r="Z454" s="36">
        <f>IFERROR(IF(Y454=0,"",ROUNDUP(Y454/H454,0)*0.00902),"")</f>
        <v>4.5100000000000001E-2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33.35</v>
      </c>
      <c r="BN454" s="64">
        <f t="shared" si="55"/>
        <v>33.35</v>
      </c>
      <c r="BO454" s="64">
        <f t="shared" si="56"/>
        <v>3.787878787878788E-2</v>
      </c>
      <c r="BP454" s="64">
        <f t="shared" si="57"/>
        <v>3.787878787878788E-2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1">
        <v>4680115882096</v>
      </c>
      <c r="E455" s="562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80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69"/>
      <c r="R455" s="569"/>
      <c r="S455" s="569"/>
      <c r="T455" s="570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66"/>
      <c r="B456" s="560"/>
      <c r="C456" s="560"/>
      <c r="D456" s="560"/>
      <c r="E456" s="560"/>
      <c r="F456" s="560"/>
      <c r="G456" s="560"/>
      <c r="H456" s="560"/>
      <c r="I456" s="560"/>
      <c r="J456" s="560"/>
      <c r="K456" s="560"/>
      <c r="L456" s="560"/>
      <c r="M456" s="560"/>
      <c r="N456" s="560"/>
      <c r="O456" s="567"/>
      <c r="P456" s="563" t="s">
        <v>75</v>
      </c>
      <c r="Q456" s="564"/>
      <c r="R456" s="564"/>
      <c r="S456" s="564"/>
      <c r="T456" s="564"/>
      <c r="U456" s="564"/>
      <c r="V456" s="565"/>
      <c r="W456" s="37" t="s">
        <v>76</v>
      </c>
      <c r="X456" s="555">
        <f>IFERROR(X450/H450,"0")+IFERROR(X451/H451,"0")+IFERROR(X452/H452,"0")+IFERROR(X453/H453,"0")+IFERROR(X454/H454,"0")+IFERROR(X455/H455,"0")</f>
        <v>33.86363636363636</v>
      </c>
      <c r="Y456" s="555">
        <f>IFERROR(Y450/H450,"0")+IFERROR(Y451/H451,"0")+IFERROR(Y452/H452,"0")+IFERROR(Y453/H453,"0")+IFERROR(Y454/H454,"0")+IFERROR(Y455/H455,"0")</f>
        <v>35</v>
      </c>
      <c r="Z456" s="555">
        <f>IFERROR(IF(Z450="",0,Z450),"0")+IFERROR(IF(Z451="",0,Z451),"0")+IFERROR(IF(Z452="",0,Z452),"0")+IFERROR(IF(Z453="",0,Z453),"0")+IFERROR(IF(Z454="",0,Z454),"0")+IFERROR(IF(Z455="",0,Z455),"0")</f>
        <v>0.35098000000000001</v>
      </c>
      <c r="AA456" s="556"/>
      <c r="AB456" s="556"/>
      <c r="AC456" s="556"/>
    </row>
    <row r="457" spans="1:68" x14ac:dyDescent="0.2">
      <c r="A457" s="560"/>
      <c r="B457" s="560"/>
      <c r="C457" s="560"/>
      <c r="D457" s="560"/>
      <c r="E457" s="560"/>
      <c r="F457" s="560"/>
      <c r="G457" s="560"/>
      <c r="H457" s="560"/>
      <c r="I457" s="560"/>
      <c r="J457" s="560"/>
      <c r="K457" s="560"/>
      <c r="L457" s="560"/>
      <c r="M457" s="560"/>
      <c r="N457" s="560"/>
      <c r="O457" s="567"/>
      <c r="P457" s="563" t="s">
        <v>75</v>
      </c>
      <c r="Q457" s="564"/>
      <c r="R457" s="564"/>
      <c r="S457" s="564"/>
      <c r="T457" s="564"/>
      <c r="U457" s="564"/>
      <c r="V457" s="565"/>
      <c r="W457" s="37" t="s">
        <v>69</v>
      </c>
      <c r="X457" s="555">
        <f>IFERROR(SUM(X450:X455),"0")</f>
        <v>168</v>
      </c>
      <c r="Y457" s="555">
        <f>IFERROR(SUM(Y450:Y455),"0")</f>
        <v>173.76</v>
      </c>
      <c r="Z457" s="37"/>
      <c r="AA457" s="556"/>
      <c r="AB457" s="556"/>
      <c r="AC457" s="556"/>
    </row>
    <row r="458" spans="1:68" ht="14.25" hidden="1" customHeight="1" x14ac:dyDescent="0.25">
      <c r="A458" s="559" t="s">
        <v>77</v>
      </c>
      <c r="B458" s="560"/>
      <c r="C458" s="560"/>
      <c r="D458" s="560"/>
      <c r="E458" s="560"/>
      <c r="F458" s="560"/>
      <c r="G458" s="560"/>
      <c r="H458" s="560"/>
      <c r="I458" s="560"/>
      <c r="J458" s="560"/>
      <c r="K458" s="560"/>
      <c r="L458" s="560"/>
      <c r="M458" s="560"/>
      <c r="N458" s="560"/>
      <c r="O458" s="560"/>
      <c r="P458" s="560"/>
      <c r="Q458" s="560"/>
      <c r="R458" s="560"/>
      <c r="S458" s="560"/>
      <c r="T458" s="560"/>
      <c r="U458" s="560"/>
      <c r="V458" s="560"/>
      <c r="W458" s="560"/>
      <c r="X458" s="560"/>
      <c r="Y458" s="560"/>
      <c r="Z458" s="560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1">
        <v>4680115883536</v>
      </c>
      <c r="E459" s="562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0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69"/>
      <c r="R459" s="569"/>
      <c r="S459" s="569"/>
      <c r="T459" s="570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6"/>
      <c r="B460" s="560"/>
      <c r="C460" s="560"/>
      <c r="D460" s="560"/>
      <c r="E460" s="560"/>
      <c r="F460" s="560"/>
      <c r="G460" s="560"/>
      <c r="H460" s="560"/>
      <c r="I460" s="560"/>
      <c r="J460" s="560"/>
      <c r="K460" s="560"/>
      <c r="L460" s="560"/>
      <c r="M460" s="560"/>
      <c r="N460" s="560"/>
      <c r="O460" s="567"/>
      <c r="P460" s="563" t="s">
        <v>75</v>
      </c>
      <c r="Q460" s="564"/>
      <c r="R460" s="564"/>
      <c r="S460" s="564"/>
      <c r="T460" s="564"/>
      <c r="U460" s="564"/>
      <c r="V460" s="565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0"/>
      <c r="B461" s="560"/>
      <c r="C461" s="560"/>
      <c r="D461" s="560"/>
      <c r="E461" s="560"/>
      <c r="F461" s="560"/>
      <c r="G461" s="560"/>
      <c r="H461" s="560"/>
      <c r="I461" s="560"/>
      <c r="J461" s="560"/>
      <c r="K461" s="560"/>
      <c r="L461" s="560"/>
      <c r="M461" s="560"/>
      <c r="N461" s="560"/>
      <c r="O461" s="567"/>
      <c r="P461" s="563" t="s">
        <v>75</v>
      </c>
      <c r="Q461" s="564"/>
      <c r="R461" s="564"/>
      <c r="S461" s="564"/>
      <c r="T461" s="564"/>
      <c r="U461" s="564"/>
      <c r="V461" s="565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82" t="s">
        <v>719</v>
      </c>
      <c r="B462" s="583"/>
      <c r="C462" s="583"/>
      <c r="D462" s="583"/>
      <c r="E462" s="583"/>
      <c r="F462" s="583"/>
      <c r="G462" s="583"/>
      <c r="H462" s="583"/>
      <c r="I462" s="583"/>
      <c r="J462" s="583"/>
      <c r="K462" s="583"/>
      <c r="L462" s="583"/>
      <c r="M462" s="583"/>
      <c r="N462" s="583"/>
      <c r="O462" s="583"/>
      <c r="P462" s="583"/>
      <c r="Q462" s="583"/>
      <c r="R462" s="583"/>
      <c r="S462" s="583"/>
      <c r="T462" s="583"/>
      <c r="U462" s="583"/>
      <c r="V462" s="583"/>
      <c r="W462" s="583"/>
      <c r="X462" s="583"/>
      <c r="Y462" s="583"/>
      <c r="Z462" s="583"/>
      <c r="AA462" s="48"/>
      <c r="AB462" s="48"/>
      <c r="AC462" s="48"/>
    </row>
    <row r="463" spans="1:68" ht="16.5" hidden="1" customHeight="1" x14ac:dyDescent="0.25">
      <c r="A463" s="592" t="s">
        <v>719</v>
      </c>
      <c r="B463" s="560"/>
      <c r="C463" s="560"/>
      <c r="D463" s="560"/>
      <c r="E463" s="560"/>
      <c r="F463" s="560"/>
      <c r="G463" s="560"/>
      <c r="H463" s="560"/>
      <c r="I463" s="560"/>
      <c r="J463" s="560"/>
      <c r="K463" s="560"/>
      <c r="L463" s="560"/>
      <c r="M463" s="560"/>
      <c r="N463" s="560"/>
      <c r="O463" s="560"/>
      <c r="P463" s="560"/>
      <c r="Q463" s="560"/>
      <c r="R463" s="560"/>
      <c r="S463" s="560"/>
      <c r="T463" s="560"/>
      <c r="U463" s="560"/>
      <c r="V463" s="560"/>
      <c r="W463" s="560"/>
      <c r="X463" s="560"/>
      <c r="Y463" s="560"/>
      <c r="Z463" s="560"/>
      <c r="AA463" s="548"/>
      <c r="AB463" s="548"/>
      <c r="AC463" s="548"/>
    </row>
    <row r="464" spans="1:68" ht="14.25" hidden="1" customHeight="1" x14ac:dyDescent="0.25">
      <c r="A464" s="559" t="s">
        <v>101</v>
      </c>
      <c r="B464" s="560"/>
      <c r="C464" s="560"/>
      <c r="D464" s="560"/>
      <c r="E464" s="560"/>
      <c r="F464" s="560"/>
      <c r="G464" s="560"/>
      <c r="H464" s="560"/>
      <c r="I464" s="560"/>
      <c r="J464" s="560"/>
      <c r="K464" s="560"/>
      <c r="L464" s="560"/>
      <c r="M464" s="560"/>
      <c r="N464" s="560"/>
      <c r="O464" s="560"/>
      <c r="P464" s="560"/>
      <c r="Q464" s="560"/>
      <c r="R464" s="560"/>
      <c r="S464" s="560"/>
      <c r="T464" s="560"/>
      <c r="U464" s="560"/>
      <c r="V464" s="560"/>
      <c r="W464" s="560"/>
      <c r="X464" s="560"/>
      <c r="Y464" s="560"/>
      <c r="Z464" s="560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1">
        <v>4640242181011</v>
      </c>
      <c r="E465" s="562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65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69"/>
      <c r="R465" s="569"/>
      <c r="S465" s="569"/>
      <c r="T465" s="570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1">
        <v>4640242180441</v>
      </c>
      <c r="E466" s="562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88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69"/>
      <c r="R466" s="569"/>
      <c r="S466" s="569"/>
      <c r="T466" s="570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1">
        <v>4640242180564</v>
      </c>
      <c r="E467" s="562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5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69"/>
      <c r="R467" s="569"/>
      <c r="S467" s="569"/>
      <c r="T467" s="570"/>
      <c r="U467" s="34"/>
      <c r="V467" s="34"/>
      <c r="W467" s="35" t="s">
        <v>69</v>
      </c>
      <c r="X467" s="553">
        <v>20</v>
      </c>
      <c r="Y467" s="554">
        <f>IFERROR(IF(X467="",0,CEILING((X467/$H467),1)*$H467),"")</f>
        <v>24</v>
      </c>
      <c r="Z467" s="36">
        <f>IFERROR(IF(Y467=0,"",ROUNDUP(Y467/H467,0)*0.01898),"")</f>
        <v>3.7960000000000001E-2</v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20.683333333333334</v>
      </c>
      <c r="BN467" s="64">
        <f>IFERROR(Y467*I467/H467,"0")</f>
        <v>24.820000000000004</v>
      </c>
      <c r="BO467" s="64">
        <f>IFERROR(1/J467*(X467/H467),"0")</f>
        <v>2.6041666666666668E-2</v>
      </c>
      <c r="BP467" s="64">
        <f>IFERROR(1/J467*(Y467/H467),"0")</f>
        <v>3.125E-2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1">
        <v>4640242181189</v>
      </c>
      <c r="E468" s="562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85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69"/>
      <c r="R468" s="569"/>
      <c r="S468" s="569"/>
      <c r="T468" s="570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6"/>
      <c r="B469" s="560"/>
      <c r="C469" s="560"/>
      <c r="D469" s="560"/>
      <c r="E469" s="560"/>
      <c r="F469" s="560"/>
      <c r="G469" s="560"/>
      <c r="H469" s="560"/>
      <c r="I469" s="560"/>
      <c r="J469" s="560"/>
      <c r="K469" s="560"/>
      <c r="L469" s="560"/>
      <c r="M469" s="560"/>
      <c r="N469" s="560"/>
      <c r="O469" s="567"/>
      <c r="P469" s="563" t="s">
        <v>75</v>
      </c>
      <c r="Q469" s="564"/>
      <c r="R469" s="564"/>
      <c r="S469" s="564"/>
      <c r="T469" s="564"/>
      <c r="U469" s="564"/>
      <c r="V469" s="565"/>
      <c r="W469" s="37" t="s">
        <v>76</v>
      </c>
      <c r="X469" s="555">
        <f>IFERROR(X465/H465,"0")+IFERROR(X466/H466,"0")+IFERROR(X467/H467,"0")+IFERROR(X468/H468,"0")</f>
        <v>1.6666666666666667</v>
      </c>
      <c r="Y469" s="555">
        <f>IFERROR(Y465/H465,"0")+IFERROR(Y466/H466,"0")+IFERROR(Y467/H467,"0")+IFERROR(Y468/H468,"0")</f>
        <v>2</v>
      </c>
      <c r="Z469" s="555">
        <f>IFERROR(IF(Z465="",0,Z465),"0")+IFERROR(IF(Z466="",0,Z466),"0")+IFERROR(IF(Z467="",0,Z467),"0")+IFERROR(IF(Z468="",0,Z468),"0")</f>
        <v>3.7960000000000001E-2</v>
      </c>
      <c r="AA469" s="556"/>
      <c r="AB469" s="556"/>
      <c r="AC469" s="556"/>
    </row>
    <row r="470" spans="1:68" x14ac:dyDescent="0.2">
      <c r="A470" s="560"/>
      <c r="B470" s="560"/>
      <c r="C470" s="560"/>
      <c r="D470" s="560"/>
      <c r="E470" s="560"/>
      <c r="F470" s="560"/>
      <c r="G470" s="560"/>
      <c r="H470" s="560"/>
      <c r="I470" s="560"/>
      <c r="J470" s="560"/>
      <c r="K470" s="560"/>
      <c r="L470" s="560"/>
      <c r="M470" s="560"/>
      <c r="N470" s="560"/>
      <c r="O470" s="567"/>
      <c r="P470" s="563" t="s">
        <v>75</v>
      </c>
      <c r="Q470" s="564"/>
      <c r="R470" s="564"/>
      <c r="S470" s="564"/>
      <c r="T470" s="564"/>
      <c r="U470" s="564"/>
      <c r="V470" s="565"/>
      <c r="W470" s="37" t="s">
        <v>69</v>
      </c>
      <c r="X470" s="555">
        <f>IFERROR(SUM(X465:X468),"0")</f>
        <v>20</v>
      </c>
      <c r="Y470" s="555">
        <f>IFERROR(SUM(Y465:Y468),"0")</f>
        <v>24</v>
      </c>
      <c r="Z470" s="37"/>
      <c r="AA470" s="556"/>
      <c r="AB470" s="556"/>
      <c r="AC470" s="556"/>
    </row>
    <row r="471" spans="1:68" ht="14.25" hidden="1" customHeight="1" x14ac:dyDescent="0.25">
      <c r="A471" s="559" t="s">
        <v>137</v>
      </c>
      <c r="B471" s="560"/>
      <c r="C471" s="560"/>
      <c r="D471" s="560"/>
      <c r="E471" s="560"/>
      <c r="F471" s="560"/>
      <c r="G471" s="560"/>
      <c r="H471" s="560"/>
      <c r="I471" s="560"/>
      <c r="J471" s="560"/>
      <c r="K471" s="560"/>
      <c r="L471" s="560"/>
      <c r="M471" s="560"/>
      <c r="N471" s="560"/>
      <c r="O471" s="560"/>
      <c r="P471" s="560"/>
      <c r="Q471" s="560"/>
      <c r="R471" s="560"/>
      <c r="S471" s="560"/>
      <c r="T471" s="560"/>
      <c r="U471" s="560"/>
      <c r="V471" s="560"/>
      <c r="W471" s="560"/>
      <c r="X471" s="560"/>
      <c r="Y471" s="560"/>
      <c r="Z471" s="560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1">
        <v>4640242180519</v>
      </c>
      <c r="E472" s="562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69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69"/>
      <c r="R472" s="569"/>
      <c r="S472" s="569"/>
      <c r="T472" s="570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1">
        <v>4640242180526</v>
      </c>
      <c r="E473" s="562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884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69"/>
      <c r="R473" s="569"/>
      <c r="S473" s="569"/>
      <c r="T473" s="570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6"/>
      <c r="B474" s="560"/>
      <c r="C474" s="560"/>
      <c r="D474" s="560"/>
      <c r="E474" s="560"/>
      <c r="F474" s="560"/>
      <c r="G474" s="560"/>
      <c r="H474" s="560"/>
      <c r="I474" s="560"/>
      <c r="J474" s="560"/>
      <c r="K474" s="560"/>
      <c r="L474" s="560"/>
      <c r="M474" s="560"/>
      <c r="N474" s="560"/>
      <c r="O474" s="567"/>
      <c r="P474" s="563" t="s">
        <v>75</v>
      </c>
      <c r="Q474" s="564"/>
      <c r="R474" s="564"/>
      <c r="S474" s="564"/>
      <c r="T474" s="564"/>
      <c r="U474" s="564"/>
      <c r="V474" s="565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0"/>
      <c r="B475" s="560"/>
      <c r="C475" s="560"/>
      <c r="D475" s="560"/>
      <c r="E475" s="560"/>
      <c r="F475" s="560"/>
      <c r="G475" s="560"/>
      <c r="H475" s="560"/>
      <c r="I475" s="560"/>
      <c r="J475" s="560"/>
      <c r="K475" s="560"/>
      <c r="L475" s="560"/>
      <c r="M475" s="560"/>
      <c r="N475" s="560"/>
      <c r="O475" s="567"/>
      <c r="P475" s="563" t="s">
        <v>75</v>
      </c>
      <c r="Q475" s="564"/>
      <c r="R475" s="564"/>
      <c r="S475" s="564"/>
      <c r="T475" s="564"/>
      <c r="U475" s="564"/>
      <c r="V475" s="565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59" t="s">
        <v>64</v>
      </c>
      <c r="B476" s="560"/>
      <c r="C476" s="560"/>
      <c r="D476" s="560"/>
      <c r="E476" s="560"/>
      <c r="F476" s="560"/>
      <c r="G476" s="560"/>
      <c r="H476" s="560"/>
      <c r="I476" s="560"/>
      <c r="J476" s="560"/>
      <c r="K476" s="560"/>
      <c r="L476" s="560"/>
      <c r="M476" s="560"/>
      <c r="N476" s="560"/>
      <c r="O476" s="560"/>
      <c r="P476" s="560"/>
      <c r="Q476" s="560"/>
      <c r="R476" s="560"/>
      <c r="S476" s="560"/>
      <c r="T476" s="560"/>
      <c r="U476" s="560"/>
      <c r="V476" s="560"/>
      <c r="W476" s="560"/>
      <c r="X476" s="560"/>
      <c r="Y476" s="560"/>
      <c r="Z476" s="560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1">
        <v>4640242180595</v>
      </c>
      <c r="E477" s="562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21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69"/>
      <c r="R477" s="569"/>
      <c r="S477" s="569"/>
      <c r="T477" s="570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1">
        <v>4640242180595</v>
      </c>
      <c r="E478" s="562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65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69"/>
      <c r="R478" s="569"/>
      <c r="S478" s="569"/>
      <c r="T478" s="570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6"/>
      <c r="B479" s="560"/>
      <c r="C479" s="560"/>
      <c r="D479" s="560"/>
      <c r="E479" s="560"/>
      <c r="F479" s="560"/>
      <c r="G479" s="560"/>
      <c r="H479" s="560"/>
      <c r="I479" s="560"/>
      <c r="J479" s="560"/>
      <c r="K479" s="560"/>
      <c r="L479" s="560"/>
      <c r="M479" s="560"/>
      <c r="N479" s="560"/>
      <c r="O479" s="567"/>
      <c r="P479" s="563" t="s">
        <v>75</v>
      </c>
      <c r="Q479" s="564"/>
      <c r="R479" s="564"/>
      <c r="S479" s="564"/>
      <c r="T479" s="564"/>
      <c r="U479" s="564"/>
      <c r="V479" s="565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0"/>
      <c r="B480" s="560"/>
      <c r="C480" s="560"/>
      <c r="D480" s="560"/>
      <c r="E480" s="560"/>
      <c r="F480" s="560"/>
      <c r="G480" s="560"/>
      <c r="H480" s="560"/>
      <c r="I480" s="560"/>
      <c r="J480" s="560"/>
      <c r="K480" s="560"/>
      <c r="L480" s="560"/>
      <c r="M480" s="560"/>
      <c r="N480" s="560"/>
      <c r="O480" s="567"/>
      <c r="P480" s="563" t="s">
        <v>75</v>
      </c>
      <c r="Q480" s="564"/>
      <c r="R480" s="564"/>
      <c r="S480" s="564"/>
      <c r="T480" s="564"/>
      <c r="U480" s="564"/>
      <c r="V480" s="565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59" t="s">
        <v>77</v>
      </c>
      <c r="B481" s="560"/>
      <c r="C481" s="560"/>
      <c r="D481" s="560"/>
      <c r="E481" s="560"/>
      <c r="F481" s="560"/>
      <c r="G481" s="560"/>
      <c r="H481" s="560"/>
      <c r="I481" s="560"/>
      <c r="J481" s="560"/>
      <c r="K481" s="560"/>
      <c r="L481" s="560"/>
      <c r="M481" s="560"/>
      <c r="N481" s="560"/>
      <c r="O481" s="560"/>
      <c r="P481" s="560"/>
      <c r="Q481" s="560"/>
      <c r="R481" s="560"/>
      <c r="S481" s="560"/>
      <c r="T481" s="560"/>
      <c r="U481" s="560"/>
      <c r="V481" s="560"/>
      <c r="W481" s="560"/>
      <c r="X481" s="560"/>
      <c r="Y481" s="560"/>
      <c r="Z481" s="560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1">
        <v>4640242180533</v>
      </c>
      <c r="E482" s="562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83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69"/>
      <c r="R482" s="569"/>
      <c r="S482" s="569"/>
      <c r="T482" s="570"/>
      <c r="U482" s="34"/>
      <c r="V482" s="34"/>
      <c r="W482" s="35" t="s">
        <v>69</v>
      </c>
      <c r="X482" s="553">
        <v>700</v>
      </c>
      <c r="Y482" s="554">
        <f>IFERROR(IF(X482="",0,CEILING((X482/$H482),1)*$H482),"")</f>
        <v>702</v>
      </c>
      <c r="Z482" s="36">
        <f>IFERROR(IF(Y482=0,"",ROUNDUP(Y482/H482,0)*0.01898),"")</f>
        <v>1.48044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738.42222222222222</v>
      </c>
      <c r="BN482" s="64">
        <f>IFERROR(Y482*I482/H482,"0")</f>
        <v>740.53199999999993</v>
      </c>
      <c r="BO482" s="64">
        <f>IFERROR(1/J482*(X482/H482),"0")</f>
        <v>1.2152777777777777</v>
      </c>
      <c r="BP482" s="64">
        <f>IFERROR(1/J482*(Y482/H482),"0")</f>
        <v>1.21875</v>
      </c>
    </row>
    <row r="483" spans="1:68" x14ac:dyDescent="0.2">
      <c r="A483" s="566"/>
      <c r="B483" s="560"/>
      <c r="C483" s="560"/>
      <c r="D483" s="560"/>
      <c r="E483" s="560"/>
      <c r="F483" s="560"/>
      <c r="G483" s="560"/>
      <c r="H483" s="560"/>
      <c r="I483" s="560"/>
      <c r="J483" s="560"/>
      <c r="K483" s="560"/>
      <c r="L483" s="560"/>
      <c r="M483" s="560"/>
      <c r="N483" s="560"/>
      <c r="O483" s="567"/>
      <c r="P483" s="563" t="s">
        <v>75</v>
      </c>
      <c r="Q483" s="564"/>
      <c r="R483" s="564"/>
      <c r="S483" s="564"/>
      <c r="T483" s="564"/>
      <c r="U483" s="564"/>
      <c r="V483" s="565"/>
      <c r="W483" s="37" t="s">
        <v>76</v>
      </c>
      <c r="X483" s="555">
        <f>IFERROR(X482/H482,"0")</f>
        <v>77.777777777777771</v>
      </c>
      <c r="Y483" s="555">
        <f>IFERROR(Y482/H482,"0")</f>
        <v>78</v>
      </c>
      <c r="Z483" s="555">
        <f>IFERROR(IF(Z482="",0,Z482),"0")</f>
        <v>1.48044</v>
      </c>
      <c r="AA483" s="556"/>
      <c r="AB483" s="556"/>
      <c r="AC483" s="556"/>
    </row>
    <row r="484" spans="1:68" x14ac:dyDescent="0.2">
      <c r="A484" s="560"/>
      <c r="B484" s="560"/>
      <c r="C484" s="560"/>
      <c r="D484" s="560"/>
      <c r="E484" s="560"/>
      <c r="F484" s="560"/>
      <c r="G484" s="560"/>
      <c r="H484" s="560"/>
      <c r="I484" s="560"/>
      <c r="J484" s="560"/>
      <c r="K484" s="560"/>
      <c r="L484" s="560"/>
      <c r="M484" s="560"/>
      <c r="N484" s="560"/>
      <c r="O484" s="567"/>
      <c r="P484" s="563" t="s">
        <v>75</v>
      </c>
      <c r="Q484" s="564"/>
      <c r="R484" s="564"/>
      <c r="S484" s="564"/>
      <c r="T484" s="564"/>
      <c r="U484" s="564"/>
      <c r="V484" s="565"/>
      <c r="W484" s="37" t="s">
        <v>69</v>
      </c>
      <c r="X484" s="555">
        <f>IFERROR(SUM(X482:X482),"0")</f>
        <v>700</v>
      </c>
      <c r="Y484" s="555">
        <f>IFERROR(SUM(Y482:Y482),"0")</f>
        <v>702</v>
      </c>
      <c r="Z484" s="37"/>
      <c r="AA484" s="556"/>
      <c r="AB484" s="556"/>
      <c r="AC484" s="556"/>
    </row>
    <row r="485" spans="1:68" ht="14.25" hidden="1" customHeight="1" x14ac:dyDescent="0.25">
      <c r="A485" s="559" t="s">
        <v>162</v>
      </c>
      <c r="B485" s="560"/>
      <c r="C485" s="560"/>
      <c r="D485" s="560"/>
      <c r="E485" s="560"/>
      <c r="F485" s="560"/>
      <c r="G485" s="560"/>
      <c r="H485" s="560"/>
      <c r="I485" s="560"/>
      <c r="J485" s="560"/>
      <c r="K485" s="560"/>
      <c r="L485" s="560"/>
      <c r="M485" s="560"/>
      <c r="N485" s="560"/>
      <c r="O485" s="560"/>
      <c r="P485" s="560"/>
      <c r="Q485" s="560"/>
      <c r="R485" s="560"/>
      <c r="S485" s="560"/>
      <c r="T485" s="560"/>
      <c r="U485" s="560"/>
      <c r="V485" s="560"/>
      <c r="W485" s="560"/>
      <c r="X485" s="560"/>
      <c r="Y485" s="560"/>
      <c r="Z485" s="560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1">
        <v>4640242180120</v>
      </c>
      <c r="E486" s="562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63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69"/>
      <c r="R486" s="569"/>
      <c r="S486" s="569"/>
      <c r="T486" s="570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1">
        <v>4640242180137</v>
      </c>
      <c r="E487" s="562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69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69"/>
      <c r="R487" s="569"/>
      <c r="S487" s="569"/>
      <c r="T487" s="570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6"/>
      <c r="B488" s="560"/>
      <c r="C488" s="560"/>
      <c r="D488" s="560"/>
      <c r="E488" s="560"/>
      <c r="F488" s="560"/>
      <c r="G488" s="560"/>
      <c r="H488" s="560"/>
      <c r="I488" s="560"/>
      <c r="J488" s="560"/>
      <c r="K488" s="560"/>
      <c r="L488" s="560"/>
      <c r="M488" s="560"/>
      <c r="N488" s="560"/>
      <c r="O488" s="567"/>
      <c r="P488" s="563" t="s">
        <v>75</v>
      </c>
      <c r="Q488" s="564"/>
      <c r="R488" s="564"/>
      <c r="S488" s="564"/>
      <c r="T488" s="564"/>
      <c r="U488" s="564"/>
      <c r="V488" s="565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0"/>
      <c r="B489" s="560"/>
      <c r="C489" s="560"/>
      <c r="D489" s="560"/>
      <c r="E489" s="560"/>
      <c r="F489" s="560"/>
      <c r="G489" s="560"/>
      <c r="H489" s="560"/>
      <c r="I489" s="560"/>
      <c r="J489" s="560"/>
      <c r="K489" s="560"/>
      <c r="L489" s="560"/>
      <c r="M489" s="560"/>
      <c r="N489" s="560"/>
      <c r="O489" s="567"/>
      <c r="P489" s="563" t="s">
        <v>75</v>
      </c>
      <c r="Q489" s="564"/>
      <c r="R489" s="564"/>
      <c r="S489" s="564"/>
      <c r="T489" s="564"/>
      <c r="U489" s="564"/>
      <c r="V489" s="565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92" t="s">
        <v>751</v>
      </c>
      <c r="B490" s="560"/>
      <c r="C490" s="560"/>
      <c r="D490" s="560"/>
      <c r="E490" s="560"/>
      <c r="F490" s="560"/>
      <c r="G490" s="560"/>
      <c r="H490" s="560"/>
      <c r="I490" s="560"/>
      <c r="J490" s="560"/>
      <c r="K490" s="560"/>
      <c r="L490" s="560"/>
      <c r="M490" s="560"/>
      <c r="N490" s="560"/>
      <c r="O490" s="560"/>
      <c r="P490" s="560"/>
      <c r="Q490" s="560"/>
      <c r="R490" s="560"/>
      <c r="S490" s="560"/>
      <c r="T490" s="560"/>
      <c r="U490" s="560"/>
      <c r="V490" s="560"/>
      <c r="W490" s="560"/>
      <c r="X490" s="560"/>
      <c r="Y490" s="560"/>
      <c r="Z490" s="560"/>
      <c r="AA490" s="548"/>
      <c r="AB490" s="548"/>
      <c r="AC490" s="548"/>
    </row>
    <row r="491" spans="1:68" ht="14.25" hidden="1" customHeight="1" x14ac:dyDescent="0.25">
      <c r="A491" s="559" t="s">
        <v>137</v>
      </c>
      <c r="B491" s="560"/>
      <c r="C491" s="560"/>
      <c r="D491" s="560"/>
      <c r="E491" s="560"/>
      <c r="F491" s="560"/>
      <c r="G491" s="560"/>
      <c r="H491" s="560"/>
      <c r="I491" s="560"/>
      <c r="J491" s="560"/>
      <c r="K491" s="560"/>
      <c r="L491" s="560"/>
      <c r="M491" s="560"/>
      <c r="N491" s="560"/>
      <c r="O491" s="560"/>
      <c r="P491" s="560"/>
      <c r="Q491" s="560"/>
      <c r="R491" s="560"/>
      <c r="S491" s="560"/>
      <c r="T491" s="560"/>
      <c r="U491" s="560"/>
      <c r="V491" s="560"/>
      <c r="W491" s="560"/>
      <c r="X491" s="560"/>
      <c r="Y491" s="560"/>
      <c r="Z491" s="560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1">
        <v>4640242180090</v>
      </c>
      <c r="E492" s="562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79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69"/>
      <c r="R492" s="569"/>
      <c r="S492" s="569"/>
      <c r="T492" s="570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6"/>
      <c r="B493" s="560"/>
      <c r="C493" s="560"/>
      <c r="D493" s="560"/>
      <c r="E493" s="560"/>
      <c r="F493" s="560"/>
      <c r="G493" s="560"/>
      <c r="H493" s="560"/>
      <c r="I493" s="560"/>
      <c r="J493" s="560"/>
      <c r="K493" s="560"/>
      <c r="L493" s="560"/>
      <c r="M493" s="560"/>
      <c r="N493" s="560"/>
      <c r="O493" s="567"/>
      <c r="P493" s="563" t="s">
        <v>75</v>
      </c>
      <c r="Q493" s="564"/>
      <c r="R493" s="564"/>
      <c r="S493" s="564"/>
      <c r="T493" s="564"/>
      <c r="U493" s="564"/>
      <c r="V493" s="565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0"/>
      <c r="B494" s="560"/>
      <c r="C494" s="560"/>
      <c r="D494" s="560"/>
      <c r="E494" s="560"/>
      <c r="F494" s="560"/>
      <c r="G494" s="560"/>
      <c r="H494" s="560"/>
      <c r="I494" s="560"/>
      <c r="J494" s="560"/>
      <c r="K494" s="560"/>
      <c r="L494" s="560"/>
      <c r="M494" s="560"/>
      <c r="N494" s="560"/>
      <c r="O494" s="567"/>
      <c r="P494" s="563" t="s">
        <v>75</v>
      </c>
      <c r="Q494" s="564"/>
      <c r="R494" s="564"/>
      <c r="S494" s="564"/>
      <c r="T494" s="564"/>
      <c r="U494" s="564"/>
      <c r="V494" s="565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647"/>
      <c r="B495" s="560"/>
      <c r="C495" s="560"/>
      <c r="D495" s="560"/>
      <c r="E495" s="560"/>
      <c r="F495" s="560"/>
      <c r="G495" s="560"/>
      <c r="H495" s="560"/>
      <c r="I495" s="560"/>
      <c r="J495" s="560"/>
      <c r="K495" s="560"/>
      <c r="L495" s="560"/>
      <c r="M495" s="560"/>
      <c r="N495" s="560"/>
      <c r="O495" s="648"/>
      <c r="P495" s="579" t="s">
        <v>755</v>
      </c>
      <c r="Q495" s="580"/>
      <c r="R495" s="580"/>
      <c r="S495" s="580"/>
      <c r="T495" s="580"/>
      <c r="U495" s="580"/>
      <c r="V495" s="581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15214.7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15389.899999999998</v>
      </c>
      <c r="Z495" s="37"/>
      <c r="AA495" s="556"/>
      <c r="AB495" s="556"/>
      <c r="AC495" s="556"/>
    </row>
    <row r="496" spans="1:68" x14ac:dyDescent="0.2">
      <c r="A496" s="560"/>
      <c r="B496" s="560"/>
      <c r="C496" s="560"/>
      <c r="D496" s="560"/>
      <c r="E496" s="560"/>
      <c r="F496" s="560"/>
      <c r="G496" s="560"/>
      <c r="H496" s="560"/>
      <c r="I496" s="560"/>
      <c r="J496" s="560"/>
      <c r="K496" s="560"/>
      <c r="L496" s="560"/>
      <c r="M496" s="560"/>
      <c r="N496" s="560"/>
      <c r="O496" s="648"/>
      <c r="P496" s="579" t="s">
        <v>756</v>
      </c>
      <c r="Q496" s="580"/>
      <c r="R496" s="580"/>
      <c r="S496" s="580"/>
      <c r="T496" s="580"/>
      <c r="U496" s="580"/>
      <c r="V496" s="581"/>
      <c r="W496" s="37" t="s">
        <v>69</v>
      </c>
      <c r="X496" s="555">
        <f>IFERROR(SUM(BM22:BM492),"0")</f>
        <v>16144.736313419442</v>
      </c>
      <c r="Y496" s="555">
        <f>IFERROR(SUM(BN22:BN492),"0")</f>
        <v>16330.988999999994</v>
      </c>
      <c r="Z496" s="37"/>
      <c r="AA496" s="556"/>
      <c r="AB496" s="556"/>
      <c r="AC496" s="556"/>
    </row>
    <row r="497" spans="1:32" x14ac:dyDescent="0.2">
      <c r="A497" s="560"/>
      <c r="B497" s="560"/>
      <c r="C497" s="560"/>
      <c r="D497" s="560"/>
      <c r="E497" s="560"/>
      <c r="F497" s="560"/>
      <c r="G497" s="560"/>
      <c r="H497" s="560"/>
      <c r="I497" s="560"/>
      <c r="J497" s="560"/>
      <c r="K497" s="560"/>
      <c r="L497" s="560"/>
      <c r="M497" s="560"/>
      <c r="N497" s="560"/>
      <c r="O497" s="648"/>
      <c r="P497" s="579" t="s">
        <v>757</v>
      </c>
      <c r="Q497" s="580"/>
      <c r="R497" s="580"/>
      <c r="S497" s="580"/>
      <c r="T497" s="580"/>
      <c r="U497" s="580"/>
      <c r="V497" s="581"/>
      <c r="W497" s="37" t="s">
        <v>758</v>
      </c>
      <c r="X497" s="38">
        <f>ROUNDUP(SUM(BO22:BO492),0)</f>
        <v>27</v>
      </c>
      <c r="Y497" s="38">
        <f>ROUNDUP(SUM(BP22:BP492),0)</f>
        <v>27</v>
      </c>
      <c r="Z497" s="37"/>
      <c r="AA497" s="556"/>
      <c r="AB497" s="556"/>
      <c r="AC497" s="556"/>
    </row>
    <row r="498" spans="1:32" x14ac:dyDescent="0.2">
      <c r="A498" s="560"/>
      <c r="B498" s="560"/>
      <c r="C498" s="560"/>
      <c r="D498" s="560"/>
      <c r="E498" s="560"/>
      <c r="F498" s="560"/>
      <c r="G498" s="560"/>
      <c r="H498" s="560"/>
      <c r="I498" s="560"/>
      <c r="J498" s="560"/>
      <c r="K498" s="560"/>
      <c r="L498" s="560"/>
      <c r="M498" s="560"/>
      <c r="N498" s="560"/>
      <c r="O498" s="648"/>
      <c r="P498" s="579" t="s">
        <v>759</v>
      </c>
      <c r="Q498" s="580"/>
      <c r="R498" s="580"/>
      <c r="S498" s="580"/>
      <c r="T498" s="580"/>
      <c r="U498" s="580"/>
      <c r="V498" s="581"/>
      <c r="W498" s="37" t="s">
        <v>69</v>
      </c>
      <c r="X498" s="555">
        <f>GrossWeightTotal+PalletQtyTotal*25</f>
        <v>16819.736313419442</v>
      </c>
      <c r="Y498" s="555">
        <f>GrossWeightTotalR+PalletQtyTotalR*25</f>
        <v>17005.988999999994</v>
      </c>
      <c r="Z498" s="37"/>
      <c r="AA498" s="556"/>
      <c r="AB498" s="556"/>
      <c r="AC498" s="556"/>
    </row>
    <row r="499" spans="1:32" x14ac:dyDescent="0.2">
      <c r="A499" s="560"/>
      <c r="B499" s="560"/>
      <c r="C499" s="560"/>
      <c r="D499" s="560"/>
      <c r="E499" s="560"/>
      <c r="F499" s="560"/>
      <c r="G499" s="560"/>
      <c r="H499" s="560"/>
      <c r="I499" s="560"/>
      <c r="J499" s="560"/>
      <c r="K499" s="560"/>
      <c r="L499" s="560"/>
      <c r="M499" s="560"/>
      <c r="N499" s="560"/>
      <c r="O499" s="648"/>
      <c r="P499" s="579" t="s">
        <v>760</v>
      </c>
      <c r="Q499" s="580"/>
      <c r="R499" s="580"/>
      <c r="S499" s="580"/>
      <c r="T499" s="580"/>
      <c r="U499" s="580"/>
      <c r="V499" s="581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3021.4883040543959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3051</v>
      </c>
      <c r="Z499" s="37"/>
      <c r="AA499" s="556"/>
      <c r="AB499" s="556"/>
      <c r="AC499" s="556"/>
    </row>
    <row r="500" spans="1:32" ht="14.25" hidden="1" customHeight="1" x14ac:dyDescent="0.2">
      <c r="A500" s="560"/>
      <c r="B500" s="560"/>
      <c r="C500" s="560"/>
      <c r="D500" s="560"/>
      <c r="E500" s="560"/>
      <c r="F500" s="560"/>
      <c r="G500" s="560"/>
      <c r="H500" s="560"/>
      <c r="I500" s="560"/>
      <c r="J500" s="560"/>
      <c r="K500" s="560"/>
      <c r="L500" s="560"/>
      <c r="M500" s="560"/>
      <c r="N500" s="560"/>
      <c r="O500" s="648"/>
      <c r="P500" s="579" t="s">
        <v>761</v>
      </c>
      <c r="Q500" s="580"/>
      <c r="R500" s="580"/>
      <c r="S500" s="580"/>
      <c r="T500" s="580"/>
      <c r="U500" s="580"/>
      <c r="V500" s="581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30.715039999999998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57" t="s">
        <v>99</v>
      </c>
      <c r="D502" s="617"/>
      <c r="E502" s="617"/>
      <c r="F502" s="617"/>
      <c r="G502" s="617"/>
      <c r="H502" s="618"/>
      <c r="I502" s="557" t="s">
        <v>268</v>
      </c>
      <c r="J502" s="617"/>
      <c r="K502" s="617"/>
      <c r="L502" s="617"/>
      <c r="M502" s="617"/>
      <c r="N502" s="617"/>
      <c r="O502" s="617"/>
      <c r="P502" s="617"/>
      <c r="Q502" s="617"/>
      <c r="R502" s="618"/>
      <c r="S502" s="557" t="s">
        <v>559</v>
      </c>
      <c r="T502" s="618"/>
      <c r="U502" s="557" t="s">
        <v>613</v>
      </c>
      <c r="V502" s="617"/>
      <c r="W502" s="618"/>
      <c r="X502" s="550" t="s">
        <v>664</v>
      </c>
      <c r="Y502" s="557" t="s">
        <v>719</v>
      </c>
      <c r="Z502" s="618"/>
      <c r="AB502" s="52"/>
      <c r="AC502" s="52"/>
      <c r="AF502" s="551"/>
    </row>
    <row r="503" spans="1:32" ht="14.25" customHeight="1" thickTop="1" x14ac:dyDescent="0.2">
      <c r="A503" s="856" t="s">
        <v>764</v>
      </c>
      <c r="B503" s="557" t="s">
        <v>63</v>
      </c>
      <c r="C503" s="557" t="s">
        <v>100</v>
      </c>
      <c r="D503" s="557" t="s">
        <v>118</v>
      </c>
      <c r="E503" s="557" t="s">
        <v>169</v>
      </c>
      <c r="F503" s="557" t="s">
        <v>191</v>
      </c>
      <c r="G503" s="557" t="s">
        <v>229</v>
      </c>
      <c r="H503" s="557" t="s">
        <v>99</v>
      </c>
      <c r="I503" s="557" t="s">
        <v>269</v>
      </c>
      <c r="J503" s="557" t="s">
        <v>327</v>
      </c>
      <c r="K503" s="557" t="s">
        <v>387</v>
      </c>
      <c r="L503" s="557" t="s">
        <v>428</v>
      </c>
      <c r="M503" s="557" t="s">
        <v>444</v>
      </c>
      <c r="N503" s="551"/>
      <c r="O503" s="557" t="s">
        <v>455</v>
      </c>
      <c r="P503" s="557" t="s">
        <v>464</v>
      </c>
      <c r="Q503" s="557" t="s">
        <v>477</v>
      </c>
      <c r="R503" s="557" t="s">
        <v>549</v>
      </c>
      <c r="S503" s="557" t="s">
        <v>560</v>
      </c>
      <c r="T503" s="557" t="s">
        <v>595</v>
      </c>
      <c r="U503" s="557" t="s">
        <v>614</v>
      </c>
      <c r="V503" s="557" t="s">
        <v>645</v>
      </c>
      <c r="W503" s="557" t="s">
        <v>660</v>
      </c>
      <c r="X503" s="557" t="s">
        <v>664</v>
      </c>
      <c r="Y503" s="557" t="s">
        <v>719</v>
      </c>
      <c r="Z503" s="557" t="s">
        <v>751</v>
      </c>
      <c r="AB503" s="52"/>
      <c r="AC503" s="52"/>
      <c r="AF503" s="551"/>
    </row>
    <row r="504" spans="1:32" ht="13.5" customHeight="1" thickBot="1" x14ac:dyDescent="0.25">
      <c r="A504" s="857"/>
      <c r="B504" s="558"/>
      <c r="C504" s="558"/>
      <c r="D504" s="558"/>
      <c r="E504" s="558"/>
      <c r="F504" s="558"/>
      <c r="G504" s="558"/>
      <c r="H504" s="558"/>
      <c r="I504" s="558"/>
      <c r="J504" s="558"/>
      <c r="K504" s="558"/>
      <c r="L504" s="558"/>
      <c r="M504" s="558"/>
      <c r="N504" s="551"/>
      <c r="O504" s="558"/>
      <c r="P504" s="558"/>
      <c r="Q504" s="558"/>
      <c r="R504" s="558"/>
      <c r="S504" s="558"/>
      <c r="T504" s="558"/>
      <c r="U504" s="558"/>
      <c r="V504" s="558"/>
      <c r="W504" s="558"/>
      <c r="X504" s="558"/>
      <c r="Y504" s="558"/>
      <c r="Z504" s="558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348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846.00000000000011</v>
      </c>
      <c r="E505" s="46">
        <f>IFERROR(Y85*1,"0")+IFERROR(Y86*1,"0")+IFERROR(Y87*1,"0")+IFERROR(Y88*1,"0")+IFERROR(Y92*1,"0")+IFERROR(Y93*1,"0")+IFERROR(Y94*1,"0")+IFERROR(Y95*1,"0")</f>
        <v>1170.9000000000001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734.7600000000001</v>
      </c>
      <c r="G505" s="46">
        <f>IFERROR(Y127*1,"0")+IFERROR(Y128*1,"0")+IFERROR(Y132*1,"0")+IFERROR(Y133*1,"0")+IFERROR(Y137*1,"0")+IFERROR(Y138*1,"0")</f>
        <v>152.96</v>
      </c>
      <c r="H505" s="46">
        <f>IFERROR(Y143*1,"0")+IFERROR(Y144*1,"0")+IFERROR(Y148*1,"0")+IFERROR(Y149*1,"0")+IFERROR(Y150*1,"0")+IFERROR(Y151*1,"0")+IFERROR(Y152*1,"0")+IFERROR(Y153*1,"0")+IFERROR(Y157*1,"0")</f>
        <v>75.599999999999994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542.64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1870.1999999999996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176.99999999999997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220.8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586.20000000000005</v>
      </c>
      <c r="R505" s="46">
        <f>IFERROR(Y342*1,"0")+IFERROR(Y343*1,"0")+IFERROR(Y344*1,"0")</f>
        <v>980.7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6222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29.400000000000002</v>
      </c>
      <c r="V505" s="46">
        <f>IFERROR(Y411*1,"0")+IFERROR(Y415*1,"0")+IFERROR(Y416*1,"0")+IFERROR(Y417*1,"0")+IFERROR(Y418*1,"0")</f>
        <v>10.5</v>
      </c>
      <c r="W505" s="46">
        <f>IFERROR(Y423*1,"0")</f>
        <v>20.399999999999999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675.83999999999992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726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50,00"/>
        <filter val="1 700,00"/>
        <filter val="1 900,00"/>
        <filter val="1,67"/>
        <filter val="10,50"/>
        <filter val="100,00"/>
        <filter val="105,00"/>
        <filter val="109,26"/>
        <filter val="119,20"/>
        <filter val="12,00"/>
        <filter val="120,00"/>
        <filter val="13,20"/>
        <filter val="13,26"/>
        <filter val="13,33"/>
        <filter val="135,00"/>
        <filter val="14,00"/>
        <filter val="140,00"/>
        <filter val="15 214,70"/>
        <filter val="15,00"/>
        <filter val="150,00"/>
        <filter val="156,00"/>
        <filter val="16 144,74"/>
        <filter val="16 819,74"/>
        <filter val="16,67"/>
        <filter val="164,20"/>
        <filter val="168,00"/>
        <filter val="17,50"/>
        <filter val="18,75"/>
        <filter val="180,00"/>
        <filter val="198,81"/>
        <filter val="2,22"/>
        <filter val="20,00"/>
        <filter val="200,00"/>
        <filter val="21,00"/>
        <filter val="220,00"/>
        <filter val="225,00"/>
        <filter val="230,00"/>
        <filter val="24,00"/>
        <filter val="240,00"/>
        <filter val="25,90"/>
        <filter val="250,00"/>
        <filter val="255,00"/>
        <filter val="26,67"/>
        <filter val="27"/>
        <filter val="27,78"/>
        <filter val="28,00"/>
        <filter val="280,00"/>
        <filter val="299,44"/>
        <filter val="3 021,49"/>
        <filter val="3,33"/>
        <filter val="30,00"/>
        <filter val="32,00"/>
        <filter val="33,33"/>
        <filter val="33,86"/>
        <filter val="340,00"/>
        <filter val="35,00"/>
        <filter val="350,00"/>
        <filter val="360,00"/>
        <filter val="363,79"/>
        <filter val="376,67"/>
        <filter val="40,00"/>
        <filter val="42,00"/>
        <filter val="420,00"/>
        <filter val="44,63"/>
        <filter val="450,00"/>
        <filter val="466,67"/>
        <filter val="470,00"/>
        <filter val="48,00"/>
        <filter val="484,00"/>
        <filter val="49,50"/>
        <filter val="5 650,00"/>
        <filter val="5,00"/>
        <filter val="50,00"/>
        <filter val="500,00"/>
        <filter val="502,50"/>
        <filter val="510,00"/>
        <filter val="550,00"/>
        <filter val="58,24"/>
        <filter val="6,00"/>
        <filter val="6,67"/>
        <filter val="60,00"/>
        <filter val="61,11"/>
        <filter val="610,00"/>
        <filter val="630,00"/>
        <filter val="64,00"/>
        <filter val="69,26"/>
        <filter val="70,00"/>
        <filter val="700,00"/>
        <filter val="75,00"/>
        <filter val="77,78"/>
        <filter val="8,97"/>
        <filter val="80,00"/>
        <filter val="800,00"/>
        <filter val="819,00"/>
        <filter val="82,39"/>
        <filter val="84,00"/>
        <filter val="87,50"/>
        <filter val="9,00"/>
        <filter val="90,00"/>
        <filter val="91,67"/>
        <filter val="93,89"/>
        <filter val="960,00"/>
        <filter val="980,00"/>
      </filters>
    </filterColumn>
    <filterColumn colId="29" showButton="0"/>
    <filterColumn colId="30" showButton="0"/>
  </autoFilter>
  <mergeCells count="886"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D172:E172"/>
    <mergeCell ref="P202:V202"/>
    <mergeCell ref="P395:T395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315:T315"/>
    <mergeCell ref="P144:T144"/>
    <mergeCell ref="D423:E423"/>
    <mergeCell ref="P302:T302"/>
    <mergeCell ref="D174:E174"/>
    <mergeCell ref="A83:Z83"/>
    <mergeCell ref="P88:T88"/>
    <mergeCell ref="P401:T401"/>
    <mergeCell ref="D211:E211"/>
    <mergeCell ref="P168:T168"/>
    <mergeCell ref="P130:V130"/>
    <mergeCell ref="A123:O124"/>
    <mergeCell ref="P153:T153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A34:Z34"/>
    <mergeCell ref="A270:Z270"/>
    <mergeCell ref="P24:V24"/>
    <mergeCell ref="D281:E281"/>
    <mergeCell ref="P260:V260"/>
    <mergeCell ref="P89:V89"/>
    <mergeCell ref="A334:Z334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P454:T454"/>
    <mergeCell ref="P259:V259"/>
    <mergeCell ref="A78:Z78"/>
    <mergeCell ref="D263:E263"/>
    <mergeCell ref="P220:T220"/>
    <mergeCell ref="D238:E238"/>
    <mergeCell ref="A50:Z50"/>
    <mergeCell ref="P437:T437"/>
    <mergeCell ref="D472:E472"/>
    <mergeCell ref="A469:O470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H9:I9"/>
    <mergeCell ref="P28:T28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D473:E473"/>
    <mergeCell ref="D352:E352"/>
    <mergeCell ref="P219:T219"/>
    <mergeCell ref="D328:E328"/>
    <mergeCell ref="D436:E436"/>
    <mergeCell ref="A340:Z340"/>
    <mergeCell ref="A373:Z373"/>
    <mergeCell ref="D365:E365"/>
    <mergeCell ref="P236:T236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D221:E221"/>
    <mergeCell ref="P469:V469"/>
    <mergeCell ref="P486:T486"/>
    <mergeCell ref="P75:T75"/>
    <mergeCell ref="P342:T342"/>
    <mergeCell ref="P317:T317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A36:O37"/>
    <mergeCell ref="V11:W11"/>
    <mergeCell ref="P57:T57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01:T10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A262:Z262"/>
    <mergeCell ref="P283:V283"/>
    <mergeCell ref="P252:V252"/>
    <mergeCell ref="P105:V105"/>
    <mergeCell ref="A464:Z464"/>
    <mergeCell ref="A160:Z160"/>
    <mergeCell ref="A71:Z71"/>
    <mergeCell ref="P79:T79"/>
    <mergeCell ref="D116:E116"/>
    <mergeCell ref="D67:E67"/>
    <mergeCell ref="D79:E79"/>
    <mergeCell ref="P92:T92"/>
    <mergeCell ref="P394:T394"/>
    <mergeCell ref="D315:E315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A51:Z5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2026-01-08T10:48:26Z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