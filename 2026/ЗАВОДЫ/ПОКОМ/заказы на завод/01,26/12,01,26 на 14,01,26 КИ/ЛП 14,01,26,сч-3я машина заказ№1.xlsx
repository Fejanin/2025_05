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6E4B473-E837-4B32-ABDA-032E437AB3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BP479" i="1" s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BP469" i="1" s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BP455" i="1" s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BP451" i="1" s="1"/>
  <c r="P451" i="1"/>
  <c r="X449" i="1"/>
  <c r="X448" i="1"/>
  <c r="BO447" i="1"/>
  <c r="BM447" i="1"/>
  <c r="Y447" i="1"/>
  <c r="BP447" i="1" s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P433" i="1" s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Y383" i="1" s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BP366" i="1" s="1"/>
  <c r="P366" i="1"/>
  <c r="X364" i="1"/>
  <c r="X363" i="1"/>
  <c r="BO362" i="1"/>
  <c r="BM362" i="1"/>
  <c r="Y362" i="1"/>
  <c r="BP362" i="1" s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BP351" i="1" s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BP343" i="1" s="1"/>
  <c r="P343" i="1"/>
  <c r="X340" i="1"/>
  <c r="X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N287" i="1"/>
  <c r="BM287" i="1"/>
  <c r="Z287" i="1"/>
  <c r="Y287" i="1"/>
  <c r="BP287" i="1" s="1"/>
  <c r="P287" i="1"/>
  <c r="X284" i="1"/>
  <c r="X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BP228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BP195" i="1" s="1"/>
  <c r="P195" i="1"/>
  <c r="X192" i="1"/>
  <c r="X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BP184" i="1" s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Z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N23" i="1"/>
  <c r="BM23" i="1"/>
  <c r="Z23" i="1"/>
  <c r="Y23" i="1"/>
  <c r="BP23" i="1" s="1"/>
  <c r="P23" i="1"/>
  <c r="BO22" i="1"/>
  <c r="BM22" i="1"/>
  <c r="X497" i="1" s="1"/>
  <c r="Y22" i="1"/>
  <c r="P22" i="1"/>
  <c r="H10" i="1"/>
  <c r="A9" i="1"/>
  <c r="F10" i="1" s="1"/>
  <c r="D7" i="1"/>
  <c r="Q6" i="1"/>
  <c r="P2" i="1"/>
  <c r="Y37" i="1" l="1"/>
  <c r="Y36" i="1"/>
  <c r="BP35" i="1"/>
  <c r="BN35" i="1"/>
  <c r="Z35" i="1"/>
  <c r="Z36" i="1" s="1"/>
  <c r="BP41" i="1"/>
  <c r="BN41" i="1"/>
  <c r="Z41" i="1"/>
  <c r="BP80" i="1"/>
  <c r="BN80" i="1"/>
  <c r="Z80" i="1"/>
  <c r="BP180" i="1"/>
  <c r="BN180" i="1"/>
  <c r="Z180" i="1"/>
  <c r="BP216" i="1"/>
  <c r="BN216" i="1"/>
  <c r="Z216" i="1"/>
  <c r="BP239" i="1"/>
  <c r="BN239" i="1"/>
  <c r="Z239" i="1"/>
  <c r="BP280" i="1"/>
  <c r="BN280" i="1"/>
  <c r="Z280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BP56" i="1"/>
  <c r="BN56" i="1"/>
  <c r="Z56" i="1"/>
  <c r="BP172" i="1"/>
  <c r="BN172" i="1"/>
  <c r="Z172" i="1"/>
  <c r="BP201" i="1"/>
  <c r="BN201" i="1"/>
  <c r="Z201" i="1"/>
  <c r="BP205" i="1"/>
  <c r="BN205" i="1"/>
  <c r="Z205" i="1"/>
  <c r="BP224" i="1"/>
  <c r="BN224" i="1"/>
  <c r="Z224" i="1"/>
  <c r="BP264" i="1"/>
  <c r="BN264" i="1"/>
  <c r="Z264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X496" i="1"/>
  <c r="Y33" i="1"/>
  <c r="B506" i="1"/>
  <c r="X498" i="1"/>
  <c r="X499" i="1" s="1"/>
  <c r="Z27" i="1"/>
  <c r="BN27" i="1"/>
  <c r="BP27" i="1"/>
  <c r="Z31" i="1"/>
  <c r="BN31" i="1"/>
  <c r="Z43" i="1"/>
  <c r="BN43" i="1"/>
  <c r="Y58" i="1"/>
  <c r="Z54" i="1"/>
  <c r="BN54" i="1"/>
  <c r="Z62" i="1"/>
  <c r="BN62" i="1"/>
  <c r="BP74" i="1"/>
  <c r="BN74" i="1"/>
  <c r="Z87" i="1"/>
  <c r="BN8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Z150" i="1"/>
  <c r="BN150" i="1"/>
  <c r="Z170" i="1"/>
  <c r="BN170" i="1"/>
  <c r="Z174" i="1"/>
  <c r="BN174" i="1"/>
  <c r="Z178" i="1"/>
  <c r="BN178" i="1"/>
  <c r="Z184" i="1"/>
  <c r="BN184" i="1"/>
  <c r="Z190" i="1"/>
  <c r="Z191" i="1" s="1"/>
  <c r="BN190" i="1"/>
  <c r="BP190" i="1"/>
  <c r="Y191" i="1"/>
  <c r="Z195" i="1"/>
  <c r="BN195" i="1"/>
  <c r="Z207" i="1"/>
  <c r="BN207" i="1"/>
  <c r="Z212" i="1"/>
  <c r="BN212" i="1"/>
  <c r="Z218" i="1"/>
  <c r="BN218" i="1"/>
  <c r="Z222" i="1"/>
  <c r="BN222" i="1"/>
  <c r="Z228" i="1"/>
  <c r="BN228" i="1"/>
  <c r="Z237" i="1"/>
  <c r="BN237" i="1"/>
  <c r="Z241" i="1"/>
  <c r="BN241" i="1"/>
  <c r="Z257" i="1"/>
  <c r="BN257" i="1"/>
  <c r="Z266" i="1"/>
  <c r="BN266" i="1"/>
  <c r="Z275" i="1"/>
  <c r="BN275" i="1"/>
  <c r="Z282" i="1"/>
  <c r="BN282" i="1"/>
  <c r="Z293" i="1"/>
  <c r="BN293" i="1"/>
  <c r="BP302" i="1"/>
  <c r="BN302" i="1"/>
  <c r="Z302" i="1"/>
  <c r="Y320" i="1"/>
  <c r="BP316" i="1"/>
  <c r="BN316" i="1"/>
  <c r="Z316" i="1"/>
  <c r="Z93" i="1"/>
  <c r="BN93" i="1"/>
  <c r="Z100" i="1"/>
  <c r="BN100" i="1"/>
  <c r="Z104" i="1"/>
  <c r="BN104" i="1"/>
  <c r="Z110" i="1"/>
  <c r="BN110" i="1"/>
  <c r="Z118" i="1"/>
  <c r="BN118" i="1"/>
  <c r="Z133" i="1"/>
  <c r="BN133" i="1"/>
  <c r="Z144" i="1"/>
  <c r="BN144" i="1"/>
  <c r="Z148" i="1"/>
  <c r="BN148" i="1"/>
  <c r="Z152" i="1"/>
  <c r="BN152" i="1"/>
  <c r="BP298" i="1"/>
  <c r="BN298" i="1"/>
  <c r="Z298" i="1"/>
  <c r="BP310" i="1"/>
  <c r="BN310" i="1"/>
  <c r="Z310" i="1"/>
  <c r="BP324" i="1"/>
  <c r="BN324" i="1"/>
  <c r="Z324" i="1"/>
  <c r="Z332" i="1"/>
  <c r="BN332" i="1"/>
  <c r="Y340" i="1"/>
  <c r="Z338" i="1"/>
  <c r="BN338" i="1"/>
  <c r="Y339" i="1"/>
  <c r="Z343" i="1"/>
  <c r="BN343" i="1"/>
  <c r="Z351" i="1"/>
  <c r="BN351" i="1"/>
  <c r="Z355" i="1"/>
  <c r="BN355" i="1"/>
  <c r="Z362" i="1"/>
  <c r="BN362" i="1"/>
  <c r="Z366" i="1"/>
  <c r="BN366" i="1"/>
  <c r="Z381" i="1"/>
  <c r="BN381" i="1"/>
  <c r="BP381" i="1"/>
  <c r="Z395" i="1"/>
  <c r="BN395" i="1"/>
  <c r="Z399" i="1"/>
  <c r="BN399" i="1"/>
  <c r="Z407" i="1"/>
  <c r="BN407" i="1"/>
  <c r="Y420" i="1"/>
  <c r="Z418" i="1"/>
  <c r="BN418" i="1"/>
  <c r="Z433" i="1"/>
  <c r="BN433" i="1"/>
  <c r="Z437" i="1"/>
  <c r="BN437" i="1"/>
  <c r="Z441" i="1"/>
  <c r="BN441" i="1"/>
  <c r="Y449" i="1"/>
  <c r="Z447" i="1"/>
  <c r="BN447" i="1"/>
  <c r="Y448" i="1"/>
  <c r="Z451" i="1"/>
  <c r="BN451" i="1"/>
  <c r="Z455" i="1"/>
  <c r="BN455" i="1"/>
  <c r="Z469" i="1"/>
  <c r="BN469" i="1"/>
  <c r="Z479" i="1"/>
  <c r="BN479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BN42" i="1"/>
  <c r="Y45" i="1"/>
  <c r="Z53" i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20" i="1" l="1"/>
  <c r="Z383" i="1"/>
  <c r="Z363" i="1"/>
  <c r="Z358" i="1"/>
  <c r="Z320" i="1"/>
  <c r="Z294" i="1"/>
  <c r="Z480" i="1"/>
  <c r="Z368" i="1"/>
  <c r="Z283" i="1"/>
  <c r="Z197" i="1"/>
  <c r="Z112" i="1"/>
  <c r="Z44" i="1"/>
  <c r="Z501" i="1" s="1"/>
  <c r="Z181" i="1"/>
  <c r="Z58" i="1"/>
  <c r="Z32" i="1"/>
  <c r="Z154" i="1"/>
  <c r="Z89" i="1"/>
  <c r="Z457" i="1"/>
  <c r="Z225" i="1"/>
  <c r="Z304" i="1"/>
  <c r="Z213" i="1"/>
  <c r="Z76" i="1"/>
  <c r="Z442" i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Y500" i="1"/>
  <c r="Y499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<sst xmlns="http://schemas.openxmlformats.org/spreadsheetml/2006/main" count="2386" uniqueCount="785">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</sst>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46036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Среда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80</v>
      </c>
      <c r="Y41" s="556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83.037037037037038</v>
      </c>
      <c r="BN41" s="64">
        <f>IFERROR(Y41*I41/H41,"0")</f>
        <v>89.68</v>
      </c>
      <c r="BO41" s="64">
        <f>IFERROR(1/J41*(X41/H41),"0")</f>
        <v>0.11574074074074073</v>
      </c>
      <c r="BP41" s="64">
        <f>IFERROR(1/J41*(Y41/H41),"0")</f>
        <v>0.125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28</v>
      </c>
      <c r="Y43" s="556">
        <f>IFERROR(IF(X43="",0,CEILING((X43/$H43),1)*$H43),"")</f>
        <v>28</v>
      </c>
      <c r="Z43" s="36">
        <f>IFERROR(IF(Y43=0,"",ROUNDUP(Y43/H43,0)*0.00902),"")</f>
        <v>6.3140000000000002E-2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29.330000000000002</v>
      </c>
      <c r="BN43" s="64">
        <f>IFERROR(Y43*I43/H43,"0")</f>
        <v>29.330000000000002</v>
      </c>
      <c r="BO43" s="64">
        <f>IFERROR(1/J43*(X43/H43),"0")</f>
        <v>5.3030303030303032E-2</v>
      </c>
      <c r="BP43" s="64">
        <f>IFERROR(1/J43*(Y43/H43),"0")</f>
        <v>5.3030303030303032E-2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14.407407407407407</v>
      </c>
      <c r="Y44" s="557">
        <f>IFERROR(Y41/H41,"0")+IFERROR(Y42/H42,"0")+IFERROR(Y43/H43,"0")</f>
        <v>15</v>
      </c>
      <c r="Z44" s="557">
        <f>IFERROR(IF(Z41="",0,Z41),"0")+IFERROR(IF(Z42="",0,Z42),"0")+IFERROR(IF(Z43="",0,Z43),"0")</f>
        <v>0.21498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108</v>
      </c>
      <c r="Y45" s="557">
        <f>IFERROR(SUM(Y41:Y43),"0")</f>
        <v>114.4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830</v>
      </c>
      <c r="Y53" s="556">
        <f t="shared" si="0"/>
        <v>831.6</v>
      </c>
      <c r="Z53" s="36">
        <f>IFERROR(IF(Y53=0,"",ROUNDUP(Y53/H53,0)*0.01898),"")</f>
        <v>1.46146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861.50925925925935</v>
      </c>
      <c r="BN53" s="64">
        <f t="shared" si="2"/>
        <v>863.17000000000007</v>
      </c>
      <c r="BO53" s="64">
        <f t="shared" si="3"/>
        <v>1.2008101851851851</v>
      </c>
      <c r="BP53" s="64">
        <f t="shared" si="4"/>
        <v>1.203125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117</v>
      </c>
      <c r="Y57" s="556">
        <f t="shared" si="0"/>
        <v>117</v>
      </c>
      <c r="Z57" s="36">
        <f>IFERROR(IF(Y57=0,"",ROUNDUP(Y57/H57,0)*0.00902),"")</f>
        <v>0.23452000000000001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121.94</v>
      </c>
      <c r="BN57" s="64">
        <f t="shared" si="2"/>
        <v>121.94</v>
      </c>
      <c r="BO57" s="64">
        <f t="shared" si="3"/>
        <v>0.19696969696969696</v>
      </c>
      <c r="BP57" s="64">
        <f t="shared" si="4"/>
        <v>0.19696969696969696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102.85185185185185</v>
      </c>
      <c r="Y58" s="557">
        <f>IFERROR(Y52/H52,"0")+IFERROR(Y53/H53,"0")+IFERROR(Y54/H54,"0")+IFERROR(Y55/H55,"0")+IFERROR(Y56/H56,"0")+IFERROR(Y57/H57,"0")</f>
        <v>103</v>
      </c>
      <c r="Z58" s="557">
        <f>IFERROR(IF(Z52="",0,Z52),"0")+IFERROR(IF(Z53="",0,Z53),"0")+IFERROR(IF(Z54="",0,Z54),"0")+IFERROR(IF(Z55="",0,Z55),"0")+IFERROR(IF(Z56="",0,Z56),"0")+IFERROR(IF(Z57="",0,Z57),"0")</f>
        <v>1.69598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947</v>
      </c>
      <c r="Y59" s="557">
        <f>IFERROR(SUM(Y52:Y57),"0")</f>
        <v>948.6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360</v>
      </c>
      <c r="Y61" s="556">
        <f>IFERROR(IF(X61="",0,CEILING((X61/$H61),1)*$H61),"")</f>
        <v>367.20000000000005</v>
      </c>
      <c r="Z61" s="36">
        <f>IFERROR(IF(Y61=0,"",ROUNDUP(Y61/H61,0)*0.01898),"")</f>
        <v>0.64532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373.66666666666669</v>
      </c>
      <c r="BN61" s="64">
        <f>IFERROR(Y61*I61/H61,"0")</f>
        <v>381.14000000000004</v>
      </c>
      <c r="BO61" s="64">
        <f>IFERROR(1/J61*(X61/H61),"0")</f>
        <v>0.52083333333333326</v>
      </c>
      <c r="BP61" s="64">
        <f>IFERROR(1/J61*(Y61/H61),"0")</f>
        <v>0.53125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27.9</v>
      </c>
      <c r="Y63" s="556">
        <f>IFERROR(IF(X63="",0,CEILING((X63/$H63),1)*$H63),"")</f>
        <v>29.700000000000003</v>
      </c>
      <c r="Z63" s="36">
        <f>IFERROR(IF(Y63=0,"",ROUNDUP(Y63/H63,0)*0.00651),"")</f>
        <v>7.1610000000000007E-2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29.759999999999994</v>
      </c>
      <c r="BN63" s="64">
        <f>IFERROR(Y63*I63/H63,"0")</f>
        <v>31.68</v>
      </c>
      <c r="BO63" s="64">
        <f>IFERROR(1/J63*(X63/H63),"0")</f>
        <v>5.6776556776556776E-2</v>
      </c>
      <c r="BP63" s="64">
        <f>IFERROR(1/J63*(Y63/H63),"0")</f>
        <v>6.0439560439560447E-2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43.666666666666657</v>
      </c>
      <c r="Y64" s="557">
        <f>IFERROR(Y61/H61,"0")+IFERROR(Y62/H62,"0")+IFERROR(Y63/H63,"0")</f>
        <v>45</v>
      </c>
      <c r="Z64" s="557">
        <f>IFERROR(IF(Z61="",0,Z61),"0")+IFERROR(IF(Z62="",0,Z62),"0")+IFERROR(IF(Z63="",0,Z63),"0")</f>
        <v>0.71693000000000007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387.9</v>
      </c>
      <c r="Y65" s="557">
        <f>IFERROR(SUM(Y61:Y63),"0")</f>
        <v>396.90000000000003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150</v>
      </c>
      <c r="Y85" s="556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72</v>
      </c>
      <c r="Y88" s="556">
        <f>IFERROR(IF(X88="",0,CEILING((X88/$H88),1)*$H88),"")</f>
        <v>72</v>
      </c>
      <c r="Z88" s="36">
        <f>IFERROR(IF(Y88=0,"",ROUNDUP(Y88/H88,0)*0.00902),"")</f>
        <v>0.14432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75.040000000000006</v>
      </c>
      <c r="BN88" s="64">
        <f>IFERROR(Y88*I88/H88,"0")</f>
        <v>75.040000000000006</v>
      </c>
      <c r="BO88" s="64">
        <f>IFERROR(1/J88*(X88/H88),"0")</f>
        <v>0.12121212121212122</v>
      </c>
      <c r="BP88" s="64">
        <f>IFERROR(1/J88*(Y88/H88),"0")</f>
        <v>0.12121212121212122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29.888888888888886</v>
      </c>
      <c r="Y89" s="557">
        <f>IFERROR(Y85/H85,"0")+IFERROR(Y86/H86,"0")+IFERROR(Y87/H87,"0")+IFERROR(Y88/H88,"0")</f>
        <v>30</v>
      </c>
      <c r="Z89" s="557">
        <f>IFERROR(IF(Z85="",0,Z85),"0")+IFERROR(IF(Z86="",0,Z86),"0")+IFERROR(IF(Z87="",0,Z87),"0")+IFERROR(IF(Z88="",0,Z88),"0")</f>
        <v>0.41004000000000002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222</v>
      </c>
      <c r="Y90" s="557">
        <f>IFERROR(SUM(Y85:Y88),"0")</f>
        <v>223.20000000000002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100</v>
      </c>
      <c r="Y92" s="556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13.5</v>
      </c>
      <c r="Y94" s="556">
        <f>IFERROR(IF(X94="",0,CEILING((X94/$H94),1)*$H94),"")</f>
        <v>13.5</v>
      </c>
      <c r="Z94" s="36">
        <f>IFERROR(IF(Y94=0,"",ROUNDUP(Y94/H94,0)*0.00651),"")</f>
        <v>3.2550000000000003E-2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14.759999999999998</v>
      </c>
      <c r="BN94" s="64">
        <f>IFERROR(Y94*I94/H94,"0")</f>
        <v>14.759999999999998</v>
      </c>
      <c r="BO94" s="64">
        <f>IFERROR(1/J94*(X94/H94),"0")</f>
        <v>2.7472527472527476E-2</v>
      </c>
      <c r="BP94" s="64">
        <f>IFERROR(1/J94*(Y94/H94),"0")</f>
        <v>2.7472527472527476E-2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17.345679012345677</v>
      </c>
      <c r="Y96" s="557">
        <f>IFERROR(Y92/H92,"0")+IFERROR(Y93/H93,"0")+IFERROR(Y94/H94,"0")+IFERROR(Y95/H95,"0")</f>
        <v>18</v>
      </c>
      <c r="Z96" s="557">
        <f>IFERROR(IF(Z92="",0,Z92),"0")+IFERROR(IF(Z93="",0,Z93),"0")+IFERROR(IF(Z94="",0,Z94),"0")+IFERROR(IF(Z95="",0,Z95),"0")</f>
        <v>0.27929000000000004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113.5</v>
      </c>
      <c r="Y97" s="557">
        <f>IFERROR(SUM(Y92:Y95),"0")</f>
        <v>118.8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3.75</v>
      </c>
      <c r="Y102" s="556">
        <f>IFERROR(IF(X102="",0,CEILING((X102/$H102),1)*$H102),"")</f>
        <v>3.75</v>
      </c>
      <c r="Z102" s="36">
        <f>IFERROR(IF(Y102=0,"",ROUNDUP(Y102/H102,0)*0.00902),"")</f>
        <v>9.0200000000000002E-3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3.94</v>
      </c>
      <c r="BN102" s="64">
        <f>IFERROR(Y102*I102/H102,"0")</f>
        <v>3.94</v>
      </c>
      <c r="BO102" s="64">
        <f>IFERROR(1/J102*(X102/H102),"0")</f>
        <v>7.575757575757576E-3</v>
      </c>
      <c r="BP102" s="64">
        <f>IFERROR(1/J102*(Y102/H102),"0")</f>
        <v>7.575757575757576E-3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1</v>
      </c>
      <c r="Y105" s="557">
        <f>IFERROR(Y100/H100,"0")+IFERROR(Y101/H101,"0")+IFERROR(Y102/H102,"0")+IFERROR(Y103/H103,"0")+IFERROR(Y104/H104,"0")</f>
        <v>1</v>
      </c>
      <c r="Z105" s="557">
        <f>IFERROR(IF(Z100="",0,Z100),"0")+IFERROR(IF(Z101="",0,Z101),"0")+IFERROR(IF(Z102="",0,Z102),"0")+IFERROR(IF(Z103="",0,Z103),"0")+IFERROR(IF(Z104="",0,Z104),"0")</f>
        <v>9.0200000000000002E-3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3.75</v>
      </c>
      <c r="Y106" s="557">
        <f>IFERROR(SUM(Y100:Y104),"0")</f>
        <v>3.75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55</v>
      </c>
      <c r="Y115" s="556">
        <f>IFERROR(IF(X115="",0,CEILING((X115/$H115),1)*$H115),"")</f>
        <v>56.699999999999996</v>
      </c>
      <c r="Z115" s="36">
        <f>IFERROR(IF(Y115=0,"",ROUNDUP(Y115/H115,0)*0.01898),"")</f>
        <v>0.13286000000000001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58.313580246913581</v>
      </c>
      <c r="BN115" s="64">
        <f>IFERROR(Y115*I115/H115,"0")</f>
        <v>60.115999999999993</v>
      </c>
      <c r="BO115" s="64">
        <f>IFERROR(1/J115*(X115/H115),"0")</f>
        <v>0.10609567901234568</v>
      </c>
      <c r="BP115" s="64">
        <f>IFERROR(1/J115*(Y115/H115),"0")</f>
        <v>0.109375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23.4</v>
      </c>
      <c r="Y117" s="556">
        <f>IFERROR(IF(X117="",0,CEILING((X117/$H117),1)*$H117),"")</f>
        <v>24.3</v>
      </c>
      <c r="Z117" s="36">
        <f>IFERROR(IF(Y117=0,"",ROUNDUP(Y117/H117,0)*0.00651),"")</f>
        <v>5.8590000000000003E-2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25.583999999999996</v>
      </c>
      <c r="BN117" s="64">
        <f>IFERROR(Y117*I117/H117,"0")</f>
        <v>26.567999999999998</v>
      </c>
      <c r="BO117" s="64">
        <f>IFERROR(1/J117*(X117/H117),"0")</f>
        <v>4.7619047619047616E-2</v>
      </c>
      <c r="BP117" s="64">
        <f>IFERROR(1/J117*(Y117/H117),"0")</f>
        <v>4.9450549450549455E-2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15.456790123456789</v>
      </c>
      <c r="Y119" s="557">
        <f>IFERROR(Y115/H115,"0")+IFERROR(Y116/H116,"0")+IFERROR(Y117/H117,"0")+IFERROR(Y118/H118,"0")</f>
        <v>16</v>
      </c>
      <c r="Z119" s="557">
        <f>IFERROR(IF(Z115="",0,Z115),"0")+IFERROR(IF(Z116="",0,Z116),"0")+IFERROR(IF(Z117="",0,Z117),"0")+IFERROR(IF(Z118="",0,Z118),"0")</f>
        <v>0.19145000000000001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78.400000000000006</v>
      </c>
      <c r="Y120" s="557">
        <f>IFERROR(SUM(Y115:Y118),"0")</f>
        <v>81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14.4</v>
      </c>
      <c r="Y127" s="556">
        <f>IFERROR(IF(X127="",0,CEILING((X127/$H127),1)*$H127),"")</f>
        <v>16</v>
      </c>
      <c r="Z127" s="36">
        <f>IFERROR(IF(Y127=0,"",ROUNDUP(Y127/H127,0)*0.00651),"")</f>
        <v>3.2550000000000003E-2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15.209999999999999</v>
      </c>
      <c r="BN127" s="64">
        <f>IFERROR(Y127*I127/H127,"0")</f>
        <v>16.899999999999999</v>
      </c>
      <c r="BO127" s="64">
        <f>IFERROR(1/J127*(X127/H127),"0")</f>
        <v>2.4725274725274728E-2</v>
      </c>
      <c r="BP127" s="64">
        <f>IFERROR(1/J127*(Y127/H127),"0")</f>
        <v>2.7472527472527476E-2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4.5</v>
      </c>
      <c r="Y129" s="557">
        <f>IFERROR(Y127/H127,"0")+IFERROR(Y128/H128,"0")</f>
        <v>5</v>
      </c>
      <c r="Z129" s="557">
        <f>IFERROR(IF(Z127="",0,Z127),"0")+IFERROR(IF(Z128="",0,Z128),"0")</f>
        <v>3.2550000000000003E-2</v>
      </c>
      <c r="AA129" s="558"/>
      <c r="AB129" s="558"/>
      <c r="AC129" s="558"/>
    </row>
    <row r="130" spans="1:68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14.4</v>
      </c>
      <c r="Y130" s="557">
        <f>IFERROR(SUM(Y127:Y128),"0")</f>
        <v>16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7</v>
      </c>
      <c r="Y133" s="556">
        <f>IFERROR(IF(X133="",0,CEILING((X133/$H133),1)*$H133),"")</f>
        <v>8.3999999999999986</v>
      </c>
      <c r="Z133" s="36">
        <f>IFERROR(IF(Y133=0,"",ROUNDUP(Y133/H133,0)*0.00651),"")</f>
        <v>1.9529999999999999E-2</v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7.67</v>
      </c>
      <c r="BN133" s="64">
        <f>IFERROR(Y133*I133/H133,"0")</f>
        <v>9.2039999999999988</v>
      </c>
      <c r="BO133" s="64">
        <f>IFERROR(1/J133*(X133/H133),"0")</f>
        <v>1.3736263736263738E-2</v>
      </c>
      <c r="BP133" s="64">
        <f>IFERROR(1/J133*(Y133/H133),"0")</f>
        <v>1.6483516483516484E-2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2.5</v>
      </c>
      <c r="Y134" s="557">
        <f>IFERROR(Y132/H132,"0")+IFERROR(Y133/H133,"0")</f>
        <v>2.9999999999999996</v>
      </c>
      <c r="Z134" s="557">
        <f>IFERROR(IF(Z132="",0,Z132),"0")+IFERROR(IF(Z133="",0,Z133),"0")</f>
        <v>1.9529999999999999E-2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7</v>
      </c>
      <c r="Y135" s="557">
        <f>IFERROR(SUM(Y132:Y133),"0")</f>
        <v>8.3999999999999986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40</v>
      </c>
      <c r="Y148" s="556">
        <f t="shared" ref="Y148:Y153" si="5">IFERROR(IF(X148="",0,CEILING((X148/$H148),1)*$H148),"")</f>
        <v>45</v>
      </c>
      <c r="Z148" s="36">
        <f>IFERROR(IF(Y148=0,"",ROUNDUP(Y148/H148,0)*0.01898),"")</f>
        <v>9.4899999999999998E-2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42.488888888888894</v>
      </c>
      <c r="BN148" s="64">
        <f t="shared" ref="BN148:BN153" si="7">IFERROR(Y148*I148/H148,"0")</f>
        <v>47.800000000000004</v>
      </c>
      <c r="BO148" s="64">
        <f t="shared" ref="BO148:BO153" si="8">IFERROR(1/J148*(X148/H148),"0")</f>
        <v>6.9444444444444448E-2</v>
      </c>
      <c r="BP148" s="64">
        <f t="shared" ref="BP148:BP153" si="9">IFERROR(1/J148*(Y148/H148),"0")</f>
        <v>7.8125E-2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10</v>
      </c>
      <c r="Y152" s="556">
        <f t="shared" si="5"/>
        <v>18</v>
      </c>
      <c r="Z152" s="36">
        <f>IFERROR(IF(Y152=0,"",ROUNDUP(Y152/H152,0)*0.01898),"")</f>
        <v>3.7960000000000001E-2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10.622222222222224</v>
      </c>
      <c r="BN152" s="64">
        <f t="shared" si="7"/>
        <v>19.12</v>
      </c>
      <c r="BO152" s="64">
        <f t="shared" si="8"/>
        <v>1.7361111111111112E-2</v>
      </c>
      <c r="BP152" s="64">
        <f t="shared" si="9"/>
        <v>3.125E-2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5.5555555555555554</v>
      </c>
      <c r="Y154" s="557">
        <f>IFERROR(Y148/H148,"0")+IFERROR(Y149/H149,"0")+IFERROR(Y150/H150,"0")+IFERROR(Y151/H151,"0")+IFERROR(Y152/H152,"0")+IFERROR(Y153/H153,"0")</f>
        <v>7</v>
      </c>
      <c r="Z154" s="557">
        <f>IFERROR(IF(Z148="",0,Z148),"0")+IFERROR(IF(Z149="",0,Z149),"0")+IFERROR(IF(Z150="",0,Z150),"0")+IFERROR(IF(Z151="",0,Z151),"0")+IFERROR(IF(Z152="",0,Z152),"0")+IFERROR(IF(Z153="",0,Z153),"0")</f>
        <v>0.13286000000000001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50</v>
      </c>
      <c r="Y155" s="557">
        <f>IFERROR(SUM(Y148:Y153),"0")</f>
        <v>63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4.1999999999999993</v>
      </c>
      <c r="Y173" s="556">
        <f t="shared" si="10"/>
        <v>4.2</v>
      </c>
      <c r="Z173" s="36">
        <f>IFERROR(IF(Y173=0,"",ROUNDUP(Y173/H173,0)*0.00502),"")</f>
        <v>1.004E-2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4.4599999999999991</v>
      </c>
      <c r="BN173" s="64">
        <f t="shared" si="12"/>
        <v>4.46</v>
      </c>
      <c r="BO173" s="64">
        <f t="shared" si="13"/>
        <v>8.5470085470085461E-3</v>
      </c>
      <c r="BP173" s="64">
        <f t="shared" si="14"/>
        <v>8.5470085470085479E-3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1.9999999999999996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1.004E-2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4.1999999999999993</v>
      </c>
      <c r="Y182" s="557">
        <f>IFERROR(SUM(Y167:Y180),"0")</f>
        <v>4.2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15</v>
      </c>
      <c r="Y205" s="556">
        <f t="shared" ref="Y205:Y212" si="15">IFERROR(IF(X205="",0,CEILING((X205/$H205),1)*$H205),"")</f>
        <v>16.200000000000003</v>
      </c>
      <c r="Z205" s="36">
        <f>IFERROR(IF(Y205=0,"",ROUNDUP(Y205/H205,0)*0.00902),"")</f>
        <v>2.7060000000000001E-2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15.527777777777775</v>
      </c>
      <c r="BN205" s="64">
        <f t="shared" ref="BN205:BN212" si="17">IFERROR(Y205*I205/H205,"0")</f>
        <v>16.77</v>
      </c>
      <c r="BO205" s="64">
        <f t="shared" ref="BO205:BO212" si="18">IFERROR(1/J205*(X205/H205),"0")</f>
        <v>2.1043771043771045E-2</v>
      </c>
      <c r="BP205" s="64">
        <f t="shared" ref="BP205:BP212" si="19">IFERROR(1/J205*(Y205/H205),"0")</f>
        <v>2.2727272727272731E-2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2.7777777777777777</v>
      </c>
      <c r="Y213" s="557">
        <f>IFERROR(Y205/H205,"0")+IFERROR(Y206/H206,"0")+IFERROR(Y207/H207,"0")+IFERROR(Y208/H208,"0")+IFERROR(Y209/H209,"0")+IFERROR(Y210/H210,"0")+IFERROR(Y211/H211,"0")+IFERROR(Y212/H212,"0")</f>
        <v>3.0000000000000004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2.7060000000000001E-2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15</v>
      </c>
      <c r="Y214" s="557">
        <f>IFERROR(SUM(Y205:Y212),"0")</f>
        <v>16.200000000000003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12.8</v>
      </c>
      <c r="Y219" s="556">
        <f t="shared" si="20"/>
        <v>14.399999999999999</v>
      </c>
      <c r="Z219" s="36">
        <f t="shared" ref="Z219:Z224" si="25">IFERROR(IF(Y219=0,"",ROUNDUP(Y219/H219,0)*0.00651),"")</f>
        <v>3.9059999999999997E-2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14.240000000000002</v>
      </c>
      <c r="BN219" s="64">
        <f t="shared" si="22"/>
        <v>16.019999999999996</v>
      </c>
      <c r="BO219" s="64">
        <f t="shared" si="23"/>
        <v>2.9304029304029311E-2</v>
      </c>
      <c r="BP219" s="64">
        <f t="shared" si="24"/>
        <v>3.2967032967032968E-2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13.5</v>
      </c>
      <c r="Y221" s="556">
        <f t="shared" si="20"/>
        <v>14.399999999999999</v>
      </c>
      <c r="Z221" s="36">
        <f t="shared" si="25"/>
        <v>3.9059999999999997E-2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14.9175</v>
      </c>
      <c r="BN221" s="64">
        <f t="shared" si="22"/>
        <v>15.912000000000001</v>
      </c>
      <c r="BO221" s="64">
        <f t="shared" si="23"/>
        <v>3.0906593406593408E-2</v>
      </c>
      <c r="BP221" s="64">
        <f t="shared" si="24"/>
        <v>3.2967032967032968E-2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9</v>
      </c>
      <c r="Y222" s="556">
        <f t="shared" si="20"/>
        <v>9.6</v>
      </c>
      <c r="Z222" s="36">
        <f t="shared" si="25"/>
        <v>2.6040000000000001E-2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9.9450000000000021</v>
      </c>
      <c r="BN222" s="64">
        <f t="shared" si="22"/>
        <v>10.608000000000001</v>
      </c>
      <c r="BO222" s="64">
        <f t="shared" si="23"/>
        <v>2.0604395604395608E-2</v>
      </c>
      <c r="BP222" s="64">
        <f t="shared" si="24"/>
        <v>2.197802197802198E-2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10</v>
      </c>
      <c r="Y224" s="556">
        <f t="shared" si="20"/>
        <v>12</v>
      </c>
      <c r="Z224" s="36">
        <f t="shared" si="25"/>
        <v>3.2550000000000003E-2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11.074999999999999</v>
      </c>
      <c r="BN224" s="64">
        <f t="shared" si="22"/>
        <v>13.290000000000001</v>
      </c>
      <c r="BO224" s="64">
        <f t="shared" si="23"/>
        <v>2.2893772893772896E-2</v>
      </c>
      <c r="BP224" s="64">
        <f t="shared" si="24"/>
        <v>2.7472527472527476E-2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18.875</v>
      </c>
      <c r="Y225" s="557">
        <f>IFERROR(Y216/H216,"0")+IFERROR(Y217/H217,"0")+IFERROR(Y218/H218,"0")+IFERROR(Y219/H219,"0")+IFERROR(Y220/H220,"0")+IFERROR(Y221/H221,"0")+IFERROR(Y222/H222,"0")+IFERROR(Y223/H223,"0")+IFERROR(Y224/H224,"0")</f>
        <v>21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0.13671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45.3</v>
      </c>
      <c r="Y226" s="557">
        <f>IFERROR(SUM(Y216:Y224),"0")</f>
        <v>50.4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90</v>
      </c>
      <c r="Y263" s="556">
        <f>IFERROR(IF(X263="",0,CEILING((X263/$H263),1)*$H263),"")</f>
        <v>97.2</v>
      </c>
      <c r="Z263" s="36">
        <f>IFERROR(IF(Y263=0,"",ROUNDUP(Y263/H263,0)*0.01898),"")</f>
        <v>0.17082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93.416666666666671</v>
      </c>
      <c r="BN263" s="64">
        <f>IFERROR(Y263*I263/H263,"0")</f>
        <v>100.89</v>
      </c>
      <c r="BO263" s="64">
        <f>IFERROR(1/J263*(X263/H263),"0")</f>
        <v>0.13020833333333331</v>
      </c>
      <c r="BP263" s="64">
        <f>IFERROR(1/J263*(Y263/H263),"0")</f>
        <v>0.140625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240</v>
      </c>
      <c r="Y265" s="556">
        <f>IFERROR(IF(X265="",0,CEILING((X265/$H265),1)*$H265),"")</f>
        <v>248.4</v>
      </c>
      <c r="Z265" s="36">
        <f>IFERROR(IF(Y265=0,"",ROUNDUP(Y265/H265,0)*0.01898),"")</f>
        <v>0.43653999999999998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249.11111111111111</v>
      </c>
      <c r="BN265" s="64">
        <f>IFERROR(Y265*I265/H265,"0")</f>
        <v>257.83</v>
      </c>
      <c r="BO265" s="64">
        <f>IFERROR(1/J265*(X265/H265),"0")</f>
        <v>0.34722222222222221</v>
      </c>
      <c r="BP265" s="64">
        <f>IFERROR(1/J265*(Y265/H265),"0")</f>
        <v>0.359375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5</v>
      </c>
      <c r="Y266" s="556">
        <f>IFERROR(IF(X266="",0,CEILING((X266/$H266),1)*$H266),"")</f>
        <v>8</v>
      </c>
      <c r="Z266" s="36">
        <f>IFERROR(IF(Y266=0,"",ROUNDUP(Y266/H266,0)*0.00902),"")</f>
        <v>1.804E-2</v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5.2375000000000007</v>
      </c>
      <c r="BN266" s="64">
        <f>IFERROR(Y266*I266/H266,"0")</f>
        <v>8.3800000000000008</v>
      </c>
      <c r="BO266" s="64">
        <f>IFERROR(1/J266*(X266/H266),"0")</f>
        <v>9.46969696969697E-3</v>
      </c>
      <c r="BP266" s="64">
        <f>IFERROR(1/J266*(Y266/H266),"0")</f>
        <v>1.5151515151515152E-2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16</v>
      </c>
      <c r="Y267" s="556">
        <f>IFERROR(IF(X267="",0,CEILING((X267/$H267),1)*$H267),"")</f>
        <v>16</v>
      </c>
      <c r="Z267" s="36">
        <f>IFERROR(IF(Y267=0,"",ROUNDUP(Y267/H267,0)*0.00902),"")</f>
        <v>3.6080000000000001E-2</v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16.760000000000002</v>
      </c>
      <c r="BN267" s="64">
        <f>IFERROR(Y267*I267/H267,"0")</f>
        <v>16.760000000000002</v>
      </c>
      <c r="BO267" s="64">
        <f>IFERROR(1/J267*(X267/H267),"0")</f>
        <v>3.0303030303030304E-2</v>
      </c>
      <c r="BP267" s="64">
        <f>IFERROR(1/J267*(Y267/H267),"0")</f>
        <v>3.0303030303030304E-2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35.805555555555557</v>
      </c>
      <c r="Y268" s="557">
        <f>IFERROR(Y263/H263,"0")+IFERROR(Y264/H264,"0")+IFERROR(Y265/H265,"0")+IFERROR(Y266/H266,"0")+IFERROR(Y267/H267,"0")</f>
        <v>38</v>
      </c>
      <c r="Z268" s="557">
        <f>IFERROR(IF(Z263="",0,Z263),"0")+IFERROR(IF(Z264="",0,Z264),"0")+IFERROR(IF(Z265="",0,Z265),"0")+IFERROR(IF(Z266="",0,Z266),"0")+IFERROR(IF(Z267="",0,Z267),"0")</f>
        <v>0.66147999999999996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351</v>
      </c>
      <c r="Y269" s="557">
        <f>IFERROR(SUM(Y263:Y267),"0")</f>
        <v>369.6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190</v>
      </c>
      <c r="Y299" s="556">
        <f t="shared" si="31"/>
        <v>194.4</v>
      </c>
      <c r="Z299" s="36">
        <f>IFERROR(IF(Y299=0,"",ROUNDUP(Y299/H299,0)*0.01898),"")</f>
        <v>0.34164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197.21296296296296</v>
      </c>
      <c r="BN299" s="64">
        <f t="shared" si="33"/>
        <v>201.78</v>
      </c>
      <c r="BO299" s="64">
        <f t="shared" si="34"/>
        <v>0.27488425925925924</v>
      </c>
      <c r="BP299" s="64">
        <f t="shared" si="35"/>
        <v>0.28125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160</v>
      </c>
      <c r="Y300" s="556">
        <f t="shared" si="31"/>
        <v>162</v>
      </c>
      <c r="Z300" s="36">
        <f>IFERROR(IF(Y300=0,"",ROUNDUP(Y300/H300,0)*0.01898),"")</f>
        <v>0.28470000000000001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166.07407407407408</v>
      </c>
      <c r="BN300" s="64">
        <f t="shared" si="33"/>
        <v>168.15</v>
      </c>
      <c r="BO300" s="64">
        <f t="shared" si="34"/>
        <v>0.23148148148148145</v>
      </c>
      <c r="BP300" s="64">
        <f t="shared" si="35"/>
        <v>0.23437499999999997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730</v>
      </c>
      <c r="Y301" s="556">
        <f t="shared" si="31"/>
        <v>734.40000000000009</v>
      </c>
      <c r="Z301" s="36">
        <f>IFERROR(IF(Y301=0,"",ROUNDUP(Y301/H301,0)*0.01898),"")</f>
        <v>1.29064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757.71296296296293</v>
      </c>
      <c r="BN301" s="64">
        <f t="shared" si="33"/>
        <v>762.28000000000009</v>
      </c>
      <c r="BO301" s="64">
        <f t="shared" si="34"/>
        <v>1.0561342592592593</v>
      </c>
      <c r="BP301" s="64">
        <f t="shared" si="35"/>
        <v>1.0625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40</v>
      </c>
      <c r="Y302" s="556">
        <f t="shared" si="31"/>
        <v>40</v>
      </c>
      <c r="Z302" s="36">
        <f>IFERROR(IF(Y302=0,"",ROUNDUP(Y302/H302,0)*0.00902),"")</f>
        <v>9.0200000000000002E-2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41.900000000000006</v>
      </c>
      <c r="BN302" s="64">
        <f t="shared" si="33"/>
        <v>41.900000000000006</v>
      </c>
      <c r="BO302" s="64">
        <f t="shared" si="34"/>
        <v>7.575757575757576E-2</v>
      </c>
      <c r="BP302" s="64">
        <f t="shared" si="35"/>
        <v>7.575757575757576E-2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80</v>
      </c>
      <c r="Y303" s="556">
        <f t="shared" si="31"/>
        <v>80</v>
      </c>
      <c r="Z303" s="36">
        <f>IFERROR(IF(Y303=0,"",ROUNDUP(Y303/H303,0)*0.00902),"")</f>
        <v>0.1804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83.800000000000011</v>
      </c>
      <c r="BN303" s="64">
        <f t="shared" si="33"/>
        <v>83.800000000000011</v>
      </c>
      <c r="BO303" s="64">
        <f t="shared" si="34"/>
        <v>0.15151515151515152</v>
      </c>
      <c r="BP303" s="64">
        <f t="shared" si="35"/>
        <v>0.15151515151515152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130</v>
      </c>
      <c r="Y304" s="557">
        <f>IFERROR(Y298/H298,"0")+IFERROR(Y299/H299,"0")+IFERROR(Y300/H300,"0")+IFERROR(Y301/H301,"0")+IFERROR(Y302/H302,"0")+IFERROR(Y303/H303,"0")</f>
        <v>131</v>
      </c>
      <c r="Z304" s="557">
        <f>IFERROR(IF(Z298="",0,Z298),"0")+IFERROR(IF(Z299="",0,Z299),"0")+IFERROR(IF(Z300="",0,Z300),"0")+IFERROR(IF(Z301="",0,Z301),"0")+IFERROR(IF(Z302="",0,Z302),"0")+IFERROR(IF(Z303="",0,Z303),"0")</f>
        <v>2.1875800000000001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1200</v>
      </c>
      <c r="Y305" s="557">
        <f>IFERROR(SUM(Y298:Y303),"0")</f>
        <v>1210.8000000000002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178</v>
      </c>
      <c r="Y307" s="556">
        <f t="shared" ref="Y307:Y312" si="36">IFERROR(IF(X307="",0,CEILING((X307/$H307),1)*$H307),"")</f>
        <v>180.6</v>
      </c>
      <c r="Z307" s="36">
        <f>IFERROR(IF(Y307=0,"",ROUNDUP(Y307/H307,0)*0.00902),"")</f>
        <v>0.38785999999999998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188.5952380952381</v>
      </c>
      <c r="BN307" s="64">
        <f t="shared" ref="BN307:BN312" si="38">IFERROR(Y307*I307/H307,"0")</f>
        <v>191.35</v>
      </c>
      <c r="BO307" s="64">
        <f t="shared" ref="BO307:BO312" si="39">IFERROR(1/J307*(X307/H307),"0")</f>
        <v>0.32106782106782106</v>
      </c>
      <c r="BP307" s="64">
        <f t="shared" ref="BP307:BP312" si="40">IFERROR(1/J307*(Y307/H307),"0")</f>
        <v>0.32575757575757575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254</v>
      </c>
      <c r="Y308" s="556">
        <f t="shared" si="36"/>
        <v>256.2</v>
      </c>
      <c r="Z308" s="36">
        <f>IFERROR(IF(Y308=0,"",ROUNDUP(Y308/H308,0)*0.00902),"")</f>
        <v>0.55022000000000004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269.11904761904759</v>
      </c>
      <c r="BN308" s="64">
        <f t="shared" si="38"/>
        <v>271.45</v>
      </c>
      <c r="BO308" s="64">
        <f t="shared" si="39"/>
        <v>0.45815295815295815</v>
      </c>
      <c r="BP308" s="64">
        <f t="shared" si="40"/>
        <v>0.4621212121212121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64.399999999999991</v>
      </c>
      <c r="Y310" s="556">
        <f t="shared" si="36"/>
        <v>65.100000000000009</v>
      </c>
      <c r="Z310" s="36">
        <f>IFERROR(IF(Y310=0,"",ROUNDUP(Y310/H310,0)*0.00502),"")</f>
        <v>0.15562000000000001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68.386666666666642</v>
      </c>
      <c r="BN310" s="64">
        <f t="shared" si="38"/>
        <v>69.13000000000001</v>
      </c>
      <c r="BO310" s="64">
        <f t="shared" si="39"/>
        <v>0.13105413105413105</v>
      </c>
      <c r="BP310" s="64">
        <f t="shared" si="40"/>
        <v>0.13247863247863251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8.3999999999999986</v>
      </c>
      <c r="Y311" s="556">
        <f t="shared" si="36"/>
        <v>8.4</v>
      </c>
      <c r="Z311" s="36">
        <f>IFERROR(IF(Y311=0,"",ROUNDUP(Y311/H311,0)*0.00502),"")</f>
        <v>2.0080000000000001E-2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8.7999999999999989</v>
      </c>
      <c r="BN311" s="64">
        <f t="shared" si="38"/>
        <v>8.8000000000000007</v>
      </c>
      <c r="BO311" s="64">
        <f t="shared" si="39"/>
        <v>1.7094017094017092E-2</v>
      </c>
      <c r="BP311" s="64">
        <f t="shared" si="40"/>
        <v>1.7094017094017096E-2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137.52380952380952</v>
      </c>
      <c r="Y313" s="557">
        <f>IFERROR(Y307/H307,"0")+IFERROR(Y308/H308,"0")+IFERROR(Y309/H309,"0")+IFERROR(Y310/H310,"0")+IFERROR(Y311/H311,"0")+IFERROR(Y312/H312,"0")</f>
        <v>139</v>
      </c>
      <c r="Z313" s="557">
        <f>IFERROR(IF(Z307="",0,Z307),"0")+IFERROR(IF(Z308="",0,Z308),"0")+IFERROR(IF(Z309="",0,Z309),"0")+IFERROR(IF(Z310="",0,Z310),"0")+IFERROR(IF(Z311="",0,Z311),"0")+IFERROR(IF(Z312="",0,Z312),"0")</f>
        <v>1.1137800000000002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504.79999999999995</v>
      </c>
      <c r="Y314" s="557">
        <f>IFERROR(SUM(Y307:Y312),"0")</f>
        <v>510.29999999999995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3580</v>
      </c>
      <c r="Y316" s="556">
        <f>IFERROR(IF(X316="",0,CEILING((X316/$H316),1)*$H316),"")</f>
        <v>3580.2</v>
      </c>
      <c r="Z316" s="36">
        <f>IFERROR(IF(Y316=0,"",ROUNDUP(Y316/H316,0)*0.01898),"")</f>
        <v>8.7118199999999995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3803.9794871794875</v>
      </c>
      <c r="BN316" s="64">
        <f>IFERROR(Y316*I316/H316,"0")</f>
        <v>3804.192</v>
      </c>
      <c r="BO316" s="64">
        <f>IFERROR(1/J316*(X316/H316),"0")</f>
        <v>7.1714743589743595</v>
      </c>
      <c r="BP316" s="64">
        <f>IFERROR(1/J316*(Y316/H316),"0")</f>
        <v>7.171875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10.8</v>
      </c>
      <c r="Y319" s="556">
        <f>IFERROR(IF(X319="",0,CEILING((X319/$H319),1)*$H319),"")</f>
        <v>12</v>
      </c>
      <c r="Z319" s="36">
        <f>IFERROR(IF(Y319=0,"",ROUNDUP(Y319/H319,0)*0.00651),"")</f>
        <v>2.6040000000000001E-2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11.685600000000001</v>
      </c>
      <c r="BN319" s="64">
        <f>IFERROR(Y319*I319/H319,"0")</f>
        <v>12.984</v>
      </c>
      <c r="BO319" s="64">
        <f>IFERROR(1/J319*(X319/H319),"0")</f>
        <v>1.9780219780219783E-2</v>
      </c>
      <c r="BP319" s="64">
        <f>IFERROR(1/J319*(Y319/H319),"0")</f>
        <v>2.197802197802198E-2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462.57435897435903</v>
      </c>
      <c r="Y320" s="557">
        <f>IFERROR(Y316/H316,"0")+IFERROR(Y317/H317,"0")+IFERROR(Y318/H318,"0")+IFERROR(Y319/H319,"0")</f>
        <v>463</v>
      </c>
      <c r="Z320" s="557">
        <f>IFERROR(IF(Z316="",0,Z316),"0")+IFERROR(IF(Z317="",0,Z317),"0")+IFERROR(IF(Z318="",0,Z318),"0")+IFERROR(IF(Z319="",0,Z319),"0")</f>
        <v>8.7378599999999995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3590.8</v>
      </c>
      <c r="Y321" s="557">
        <f>IFERROR(SUM(Y316:Y319),"0")</f>
        <v>3592.2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210</v>
      </c>
      <c r="Y324" s="556">
        <f>IFERROR(IF(X324="",0,CEILING((X324/$H324),1)*$H324),"")</f>
        <v>210.6</v>
      </c>
      <c r="Z324" s="36">
        <f>IFERROR(IF(Y324=0,"",ROUNDUP(Y324/H324,0)*0.01898),"")</f>
        <v>0.51246000000000003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223.3</v>
      </c>
      <c r="BN324" s="64">
        <f>IFERROR(Y324*I324/H324,"0")</f>
        <v>223.93800000000002</v>
      </c>
      <c r="BO324" s="64">
        <f>IFERROR(1/J324*(X324/H324),"0")</f>
        <v>0.42067307692307693</v>
      </c>
      <c r="BP324" s="64">
        <f>IFERROR(1/J324*(Y324/H324),"0")</f>
        <v>0.421875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70</v>
      </c>
      <c r="Y325" s="556">
        <f>IFERROR(IF(X325="",0,CEILING((X325/$H325),1)*$H325),"")</f>
        <v>75.600000000000009</v>
      </c>
      <c r="Z325" s="36">
        <f>IFERROR(IF(Y325=0,"",ROUNDUP(Y325/H325,0)*0.01898),"")</f>
        <v>0.17082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74.116666666666674</v>
      </c>
      <c r="BN325" s="64">
        <f>IFERROR(Y325*I325/H325,"0")</f>
        <v>80.046000000000006</v>
      </c>
      <c r="BO325" s="64">
        <f>IFERROR(1/J325*(X325/H325),"0")</f>
        <v>0.13020833333333331</v>
      </c>
      <c r="BP325" s="64">
        <f>IFERROR(1/J325*(Y325/H325),"0")</f>
        <v>0.140625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35.256410256410255</v>
      </c>
      <c r="Y326" s="557">
        <f>IFERROR(Y323/H323,"0")+IFERROR(Y324/H324,"0")+IFERROR(Y325/H325,"0")</f>
        <v>36</v>
      </c>
      <c r="Z326" s="557">
        <f>IFERROR(IF(Z323="",0,Z323),"0")+IFERROR(IF(Z324="",0,Z324),"0")+IFERROR(IF(Z325="",0,Z325),"0")</f>
        <v>0.68328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280</v>
      </c>
      <c r="Y327" s="557">
        <f>IFERROR(SUM(Y323:Y325),"0")</f>
        <v>286.2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5.1000000000000014</v>
      </c>
      <c r="Y332" s="556">
        <f>IFERROR(IF(X332="",0,CEILING((X332/$H332),1)*$H332),"")</f>
        <v>5.0999999999999996</v>
      </c>
      <c r="Z332" s="36">
        <f>IFERROR(IF(Y332=0,"",ROUNDUP(Y332/H332,0)*0.00651),"")</f>
        <v>1.302E-2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5.7600000000000025</v>
      </c>
      <c r="BN332" s="64">
        <f>IFERROR(Y332*I332/H332,"0")</f>
        <v>5.76</v>
      </c>
      <c r="BO332" s="64">
        <f>IFERROR(1/J332*(X332/H332),"0")</f>
        <v>1.0989010989010995E-2</v>
      </c>
      <c r="BP332" s="64">
        <f>IFERROR(1/J332*(Y332/H332),"0")</f>
        <v>1.098901098901099E-2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2.0000000000000009</v>
      </c>
      <c r="Y333" s="557">
        <f>IFERROR(Y329/H329,"0")+IFERROR(Y330/H330,"0")+IFERROR(Y331/H331,"0")+IFERROR(Y332/H332,"0")</f>
        <v>2</v>
      </c>
      <c r="Z333" s="557">
        <f>IFERROR(IF(Z329="",0,Z329),"0")+IFERROR(IF(Z330="",0,Z330),"0")+IFERROR(IF(Z331="",0,Z331),"0")+IFERROR(IF(Z332="",0,Z332),"0")</f>
        <v>1.302E-2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5.1000000000000014</v>
      </c>
      <c r="Y334" s="557">
        <f>IFERROR(SUM(Y329:Y332),"0")</f>
        <v>5.0999999999999996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33</v>
      </c>
      <c r="Y343" s="556">
        <f>IFERROR(IF(X343="",0,CEILING((X343/$H343),1)*$H343),"")</f>
        <v>40.5</v>
      </c>
      <c r="Z343" s="36">
        <f>IFERROR(IF(Y343=0,"",ROUNDUP(Y343/H343,0)*0.01898),"")</f>
        <v>9.4899999999999998E-2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35.01259259259259</v>
      </c>
      <c r="BN343" s="64">
        <f>IFERROR(Y343*I343/H343,"0")</f>
        <v>42.97</v>
      </c>
      <c r="BO343" s="64">
        <f>IFERROR(1/J343*(X343/H343),"0")</f>
        <v>6.3657407407407413E-2</v>
      </c>
      <c r="BP343" s="64">
        <f>IFERROR(1/J343*(Y343/H343),"0")</f>
        <v>7.8125E-2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56.7</v>
      </c>
      <c r="Y344" s="556">
        <f>IFERROR(IF(X344="",0,CEILING((X344/$H344),1)*$H344),"")</f>
        <v>56.7</v>
      </c>
      <c r="Z344" s="36">
        <f>IFERROR(IF(Y344=0,"",ROUNDUP(Y344/H344,0)*0.00651),"")</f>
        <v>0.17577000000000001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63.503999999999991</v>
      </c>
      <c r="BN344" s="64">
        <f>IFERROR(Y344*I344/H344,"0")</f>
        <v>63.503999999999991</v>
      </c>
      <c r="BO344" s="64">
        <f>IFERROR(1/J344*(X344/H344),"0")</f>
        <v>0.14835164835164835</v>
      </c>
      <c r="BP344" s="64">
        <f>IFERROR(1/J344*(Y344/H344),"0")</f>
        <v>0.14835164835164835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39.200000000000003</v>
      </c>
      <c r="Y345" s="556">
        <f>IFERROR(IF(X345="",0,CEILING((X345/$H345),1)*$H345),"")</f>
        <v>39.9</v>
      </c>
      <c r="Z345" s="36">
        <f>IFERROR(IF(Y345=0,"",ROUNDUP(Y345/H345,0)*0.00651),"")</f>
        <v>0.12369000000000001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43.679999999999993</v>
      </c>
      <c r="BN345" s="64">
        <f>IFERROR(Y345*I345/H345,"0")</f>
        <v>44.459999999999994</v>
      </c>
      <c r="BO345" s="64">
        <f>IFERROR(1/J345*(X345/H345),"0")</f>
        <v>0.10256410256410257</v>
      </c>
      <c r="BP345" s="64">
        <f>IFERROR(1/J345*(Y345/H345),"0")</f>
        <v>0.1043956043956044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49.740740740740748</v>
      </c>
      <c r="Y346" s="557">
        <f>IFERROR(Y343/H343,"0")+IFERROR(Y344/H344,"0")+IFERROR(Y345/H345,"0")</f>
        <v>51</v>
      </c>
      <c r="Z346" s="557">
        <f>IFERROR(IF(Z343="",0,Z343),"0")+IFERROR(IF(Z344="",0,Z344),"0")+IFERROR(IF(Z345="",0,Z345),"0")</f>
        <v>0.39436000000000004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128.9</v>
      </c>
      <c r="Y347" s="557">
        <f>IFERROR(SUM(Y343:Y345),"0")</f>
        <v>137.1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230</v>
      </c>
      <c r="Y351" s="556">
        <f t="shared" ref="Y351:Y357" si="41">IFERROR(IF(X351="",0,CEILING((X351/$H351),1)*$H351),"")</f>
        <v>240</v>
      </c>
      <c r="Z351" s="36">
        <f>IFERROR(IF(Y351=0,"",ROUNDUP(Y351/H351,0)*0.02175),"")</f>
        <v>0.34799999999999998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237.20666666666668</v>
      </c>
      <c r="BN351" s="64">
        <f t="shared" ref="BN351:BN357" si="43">IFERROR(Y351*I351/H351,"0")</f>
        <v>247.52</v>
      </c>
      <c r="BO351" s="64">
        <f t="shared" ref="BO351:BO357" si="44">IFERROR(1/J351*(X351/H351),"0")</f>
        <v>0.31944444444444442</v>
      </c>
      <c r="BP351" s="64">
        <f t="shared" ref="BP351:BP357" si="45">IFERROR(1/J351*(Y351/H351),"0")</f>
        <v>0.33333333333333331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795</v>
      </c>
      <c r="Y352" s="556">
        <f t="shared" si="41"/>
        <v>795</v>
      </c>
      <c r="Z352" s="36">
        <f>IFERROR(IF(Y352=0,"",ROUNDUP(Y352/H352,0)*0.02175),"")</f>
        <v>1.1527499999999999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819.91</v>
      </c>
      <c r="BN352" s="64">
        <f t="shared" si="43"/>
        <v>819.91</v>
      </c>
      <c r="BO352" s="64">
        <f t="shared" si="44"/>
        <v>1.1041666666666665</v>
      </c>
      <c r="BP352" s="64">
        <f t="shared" si="45"/>
        <v>1.1041666666666665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1120</v>
      </c>
      <c r="Y354" s="556">
        <f t="shared" si="41"/>
        <v>1125</v>
      </c>
      <c r="Z354" s="36">
        <f>IFERROR(IF(Y354=0,"",ROUNDUP(Y354/H354,0)*0.02175),"")</f>
        <v>1.6312499999999999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1155.0933333333335</v>
      </c>
      <c r="BN354" s="64">
        <f t="shared" si="43"/>
        <v>1160.25</v>
      </c>
      <c r="BO354" s="64">
        <f t="shared" si="44"/>
        <v>1.5555555555555556</v>
      </c>
      <c r="BP354" s="64">
        <f t="shared" si="45"/>
        <v>1.5625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5</v>
      </c>
      <c r="Y357" s="556">
        <f t="shared" si="41"/>
        <v>5</v>
      </c>
      <c r="Z357" s="36">
        <f>IFERROR(IF(Y357=0,"",ROUNDUP(Y357/H357,0)*0.00902),"")</f>
        <v>9.0200000000000002E-3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5.19</v>
      </c>
      <c r="BN357" s="64">
        <f t="shared" si="43"/>
        <v>5.19</v>
      </c>
      <c r="BO357" s="64">
        <f t="shared" si="44"/>
        <v>7.575757575757576E-3</v>
      </c>
      <c r="BP357" s="64">
        <f t="shared" si="45"/>
        <v>7.575757575757576E-3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144</v>
      </c>
      <c r="Y358" s="557">
        <f>IFERROR(Y351/H351,"0")+IFERROR(Y352/H352,"0")+IFERROR(Y353/H353,"0")+IFERROR(Y354/H354,"0")+IFERROR(Y355/H355,"0")+IFERROR(Y356/H356,"0")+IFERROR(Y357/H357,"0")</f>
        <v>145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3.1410199999999997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2150</v>
      </c>
      <c r="Y359" s="557">
        <f>IFERROR(SUM(Y351:Y357),"0")</f>
        <v>2165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1100</v>
      </c>
      <c r="Y361" s="556">
        <f>IFERROR(IF(X361="",0,CEILING((X361/$H361),1)*$H361),"")</f>
        <v>1110</v>
      </c>
      <c r="Z361" s="36">
        <f>IFERROR(IF(Y361=0,"",ROUNDUP(Y361/H361,0)*0.02175),"")</f>
        <v>1.6094999999999999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1134.4666666666667</v>
      </c>
      <c r="BN361" s="64">
        <f>IFERROR(Y361*I361/H361,"0")</f>
        <v>1144.78</v>
      </c>
      <c r="BO361" s="64">
        <f>IFERROR(1/J361*(X361/H361),"0")</f>
        <v>1.5277777777777777</v>
      </c>
      <c r="BP361" s="64">
        <f>IFERROR(1/J361*(Y361/H361),"0")</f>
        <v>1.5416666666666665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73.333333333333329</v>
      </c>
      <c r="Y363" s="557">
        <f>IFERROR(Y361/H361,"0")+IFERROR(Y362/H362,"0")</f>
        <v>74</v>
      </c>
      <c r="Z363" s="557">
        <f>IFERROR(IF(Z361="",0,Z361),"0")+IFERROR(IF(Z362="",0,Z362),"0")</f>
        <v>1.6094999999999999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1100</v>
      </c>
      <c r="Y364" s="557">
        <f>IFERROR(SUM(Y361:Y362),"0")</f>
        <v>1110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4.1999999999999993</v>
      </c>
      <c r="Y398" s="556">
        <f t="shared" si="46"/>
        <v>4.2</v>
      </c>
      <c r="Z398" s="36">
        <f t="shared" si="51"/>
        <v>1.004E-2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4.4599999999999991</v>
      </c>
      <c r="BN398" s="64">
        <f t="shared" si="48"/>
        <v>4.46</v>
      </c>
      <c r="BO398" s="64">
        <f t="shared" si="49"/>
        <v>8.5470085470085461E-3</v>
      </c>
      <c r="BP398" s="64">
        <f t="shared" si="50"/>
        <v>8.5470085470085479E-3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8.3999999999999986</v>
      </c>
      <c r="Y399" s="556">
        <f t="shared" si="46"/>
        <v>8.4</v>
      </c>
      <c r="Z399" s="36">
        <f t="shared" si="51"/>
        <v>2.0080000000000001E-2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8.9199999999999982</v>
      </c>
      <c r="BN399" s="64">
        <f t="shared" si="48"/>
        <v>8.92</v>
      </c>
      <c r="BO399" s="64">
        <f t="shared" si="49"/>
        <v>1.7094017094017092E-2</v>
      </c>
      <c r="BP399" s="64">
        <f t="shared" si="50"/>
        <v>1.7094017094017096E-2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2.1</v>
      </c>
      <c r="Y401" s="556">
        <f t="shared" si="46"/>
        <v>2.1</v>
      </c>
      <c r="Z401" s="36">
        <f t="shared" si="51"/>
        <v>5.0200000000000002E-3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2.23</v>
      </c>
      <c r="BN401" s="64">
        <f t="shared" si="48"/>
        <v>2.23</v>
      </c>
      <c r="BO401" s="64">
        <f t="shared" si="49"/>
        <v>4.2735042735042739E-3</v>
      </c>
      <c r="BP401" s="64">
        <f t="shared" si="50"/>
        <v>4.2735042735042739E-3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6.9999999999999982</v>
      </c>
      <c r="Y403" s="557">
        <f>IFERROR(Y394/H394,"0")+IFERROR(Y395/H395,"0")+IFERROR(Y396/H396,"0")+IFERROR(Y397/H397,"0")+IFERROR(Y398/H398,"0")+IFERROR(Y399/H399,"0")+IFERROR(Y400/H400,"0")+IFERROR(Y401/H401,"0")+IFERROR(Y402/H402,"0")</f>
        <v>7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3.5140000000000005E-2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14.699999999999998</v>
      </c>
      <c r="Y404" s="557">
        <f>IFERROR(SUM(Y394:Y402),"0")</f>
        <v>14.700000000000001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4.1999999999999993</v>
      </c>
      <c r="Y419" s="556">
        <f>IFERROR(IF(X419="",0,CEILING((X419/$H419),1)*$H419),"")</f>
        <v>4.2</v>
      </c>
      <c r="Z419" s="36">
        <f>IFERROR(IF(Y419=0,"",ROUNDUP(Y419/H419,0)*0.00502),"")</f>
        <v>1.004E-2</v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4.4599999999999991</v>
      </c>
      <c r="BN419" s="64">
        <f>IFERROR(Y419*I419/H419,"0")</f>
        <v>4.46</v>
      </c>
      <c r="BO419" s="64">
        <f>IFERROR(1/J419*(X419/H419),"0")</f>
        <v>8.5470085470085461E-3</v>
      </c>
      <c r="BP419" s="64">
        <f>IFERROR(1/J419*(Y419/H419),"0")</f>
        <v>8.5470085470085479E-3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1.9999999999999996</v>
      </c>
      <c r="Y420" s="557">
        <f>IFERROR(Y416/H416,"0")+IFERROR(Y417/H417,"0")+IFERROR(Y418/H418,"0")+IFERROR(Y419/H419,"0")</f>
        <v>2</v>
      </c>
      <c r="Z420" s="557">
        <f>IFERROR(IF(Z416="",0,Z416),"0")+IFERROR(IF(Z417="",0,Z417),"0")+IFERROR(IF(Z418="",0,Z418),"0")+IFERROR(IF(Z419="",0,Z419),"0")</f>
        <v>1.004E-2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4.1999999999999993</v>
      </c>
      <c r="Y421" s="557">
        <f>IFERROR(SUM(Y416:Y419),"0")</f>
        <v>4.2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70</v>
      </c>
      <c r="Y430" s="556">
        <f t="shared" ref="Y430:Y441" si="52">IFERROR(IF(X430="",0,CEILING((X430/$H430),1)*$H430),"")</f>
        <v>73.92</v>
      </c>
      <c r="Z430" s="36">
        <f t="shared" ref="Z430:Z436" si="53">IFERROR(IF(Y430=0,"",ROUNDUP(Y430/H430,0)*0.01196),"")</f>
        <v>0.16744000000000001</v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74.640151515151501</v>
      </c>
      <c r="BN430" s="64">
        <f t="shared" ref="BN430:BN441" si="55">IFERROR(Y430*I430/H430,"0")</f>
        <v>78.819999999999993</v>
      </c>
      <c r="BO430" s="64">
        <f t="shared" ref="BO430:BO441" si="56">IFERROR(1/J430*(X430/H430),"0")</f>
        <v>0.12747668997668998</v>
      </c>
      <c r="BP430" s="64">
        <f t="shared" ref="BP430:BP441" si="57">IFERROR(1/J430*(Y430/H430),"0")</f>
        <v>0.13461538461538464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6</v>
      </c>
      <c r="Y433" s="556">
        <f t="shared" si="52"/>
        <v>10.56</v>
      </c>
      <c r="Z433" s="36">
        <f t="shared" si="53"/>
        <v>2.392E-2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6.3977272727272725</v>
      </c>
      <c r="BN433" s="64">
        <f t="shared" si="55"/>
        <v>11.26</v>
      </c>
      <c r="BO433" s="64">
        <f t="shared" si="56"/>
        <v>1.0926573426573426E-2</v>
      </c>
      <c r="BP433" s="64">
        <f t="shared" si="57"/>
        <v>1.9230769230769232E-2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20</v>
      </c>
      <c r="Y434" s="556">
        <f t="shared" si="52"/>
        <v>21.12</v>
      </c>
      <c r="Z434" s="36">
        <f t="shared" si="53"/>
        <v>4.7840000000000001E-2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21.325757575757574</v>
      </c>
      <c r="BN434" s="64">
        <f t="shared" si="55"/>
        <v>22.52</v>
      </c>
      <c r="BO434" s="64">
        <f t="shared" si="56"/>
        <v>3.6421911421911424E-2</v>
      </c>
      <c r="BP434" s="64">
        <f t="shared" si="57"/>
        <v>3.8461538461538464E-2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20</v>
      </c>
      <c r="Y436" s="556">
        <f t="shared" si="52"/>
        <v>21.12</v>
      </c>
      <c r="Z436" s="36">
        <f t="shared" si="53"/>
        <v>4.7840000000000001E-2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21.325757575757574</v>
      </c>
      <c r="BN436" s="64">
        <f t="shared" si="55"/>
        <v>22.52</v>
      </c>
      <c r="BO436" s="64">
        <f t="shared" si="56"/>
        <v>3.6421911421911424E-2</v>
      </c>
      <c r="BP436" s="64">
        <f t="shared" si="57"/>
        <v>3.8461538461538464E-2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21.969696969696972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0.28704000000000002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116</v>
      </c>
      <c r="Y443" s="557">
        <f>IFERROR(SUM(Y430:Y441),"0")</f>
        <v>126.72000000000001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32</v>
      </c>
      <c r="Y451" s="556">
        <f t="shared" ref="Y451:Y456" si="58">IFERROR(IF(X451="",0,CEILING((X451/$H451),1)*$H451),"")</f>
        <v>36.96</v>
      </c>
      <c r="Z451" s="36">
        <f>IFERROR(IF(Y451=0,"",ROUNDUP(Y451/H451,0)*0.01196),"")</f>
        <v>8.3720000000000003E-2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34.121212121212118</v>
      </c>
      <c r="BN451" s="64">
        <f t="shared" ref="BN451:BN456" si="60">IFERROR(Y451*I451/H451,"0")</f>
        <v>39.409999999999997</v>
      </c>
      <c r="BO451" s="64">
        <f t="shared" ref="BO451:BO456" si="61">IFERROR(1/J451*(X451/H451),"0")</f>
        <v>5.8275058275058279E-2</v>
      </c>
      <c r="BP451" s="64">
        <f t="shared" ref="BP451:BP456" si="62">IFERROR(1/J451*(Y451/H451),"0")</f>
        <v>6.7307692307692318E-2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20</v>
      </c>
      <c r="Y452" s="556">
        <f t="shared" si="58"/>
        <v>21.12</v>
      </c>
      <c r="Z452" s="36">
        <f>IFERROR(IF(Y452=0,"",ROUNDUP(Y452/H452,0)*0.01196),"")</f>
        <v>4.7840000000000001E-2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21.325757575757574</v>
      </c>
      <c r="BN452" s="64">
        <f t="shared" si="60"/>
        <v>22.52</v>
      </c>
      <c r="BO452" s="64">
        <f t="shared" si="61"/>
        <v>3.6421911421911424E-2</v>
      </c>
      <c r="BP452" s="64">
        <f t="shared" si="62"/>
        <v>3.8461538461538464E-2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25</v>
      </c>
      <c r="Y453" s="556">
        <f t="shared" si="58"/>
        <v>26.400000000000002</v>
      </c>
      <c r="Z453" s="36">
        <f>IFERROR(IF(Y453=0,"",ROUNDUP(Y453/H453,0)*0.01196),"")</f>
        <v>5.9799999999999999E-2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26.657196969696969</v>
      </c>
      <c r="BN453" s="64">
        <f t="shared" si="60"/>
        <v>28.15</v>
      </c>
      <c r="BO453" s="64">
        <f t="shared" si="61"/>
        <v>4.5527389277389273E-2</v>
      </c>
      <c r="BP453" s="64">
        <f t="shared" si="62"/>
        <v>4.807692307692308E-2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14.583333333333332</v>
      </c>
      <c r="Y457" s="557">
        <f>IFERROR(Y451/H451,"0")+IFERROR(Y452/H452,"0")+IFERROR(Y453/H453,"0")+IFERROR(Y454/H454,"0")+IFERROR(Y455/H455,"0")+IFERROR(Y456/H456,"0")</f>
        <v>16</v>
      </c>
      <c r="Z457" s="557">
        <f>IFERROR(IF(Z451="",0,Z451),"0")+IFERROR(IF(Z452="",0,Z452),"0")+IFERROR(IF(Z453="",0,Z453),"0")+IFERROR(IF(Z454="",0,Z454),"0")+IFERROR(IF(Z455="",0,Z455),"0")+IFERROR(IF(Z456="",0,Z456),"0")</f>
        <v>0.19136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77</v>
      </c>
      <c r="Y458" s="557">
        <f>IFERROR(SUM(Y451:Y456),"0")</f>
        <v>84.48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60</v>
      </c>
      <c r="Y474" s="556">
        <f>IFERROR(IF(X474="",0,CEILING((X474/$H474),1)*$H474),"")</f>
        <v>64.800000000000011</v>
      </c>
      <c r="Z474" s="36">
        <f>IFERROR(IF(Y474=0,"",ROUNDUP(Y474/H474,0)*0.01898),"")</f>
        <v>0.11388000000000001</v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62.277777777777779</v>
      </c>
      <c r="BN474" s="64">
        <f>IFERROR(Y474*I474/H474,"0")</f>
        <v>67.260000000000005</v>
      </c>
      <c r="BO474" s="64">
        <f>IFERROR(1/J474*(X474/H474),"0")</f>
        <v>8.6805555555555552E-2</v>
      </c>
      <c r="BP474" s="64">
        <f>IFERROR(1/J474*(Y474/H474),"0")</f>
        <v>9.3750000000000014E-2</v>
      </c>
    </row>
    <row r="475" spans="1:68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5.5555555555555554</v>
      </c>
      <c r="Y475" s="557">
        <f>IFERROR(Y473/H473,"0")+IFERROR(Y474/H474,"0")</f>
        <v>6.0000000000000009</v>
      </c>
      <c r="Z475" s="557">
        <f>IFERROR(IF(Z473="",0,Z473),"0")+IFERROR(IF(Z474="",0,Z474),"0")</f>
        <v>0.11388000000000001</v>
      </c>
      <c r="AA475" s="558"/>
      <c r="AB475" s="558"/>
      <c r="AC475" s="558"/>
    </row>
    <row r="476" spans="1:68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60</v>
      </c>
      <c r="Y476" s="557">
        <f>IFERROR(SUM(Y473:Y474),"0")</f>
        <v>64.800000000000011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38</v>
      </c>
      <c r="Y478" s="556">
        <f>IFERROR(IF(X478="",0,CEILING((X478/$H478),1)*$H478),"")</f>
        <v>42</v>
      </c>
      <c r="Z478" s="36">
        <f>IFERROR(IF(Y478=0,"",ROUNDUP(Y478/H478,0)*0.00902),"")</f>
        <v>9.0200000000000002E-2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40.261904761904759</v>
      </c>
      <c r="BN478" s="64">
        <f>IFERROR(Y478*I478/H478,"0")</f>
        <v>44.5</v>
      </c>
      <c r="BO478" s="64">
        <f>IFERROR(1/J478*(X478/H478),"0")</f>
        <v>6.8542568542568544E-2</v>
      </c>
      <c r="BP478" s="64">
        <f>IFERROR(1/J478*(Y478/H478),"0")</f>
        <v>7.575757575757576E-2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9.0476190476190474</v>
      </c>
      <c r="Y480" s="557">
        <f>IFERROR(Y478/H478,"0")+IFERROR(Y479/H479,"0")</f>
        <v>10</v>
      </c>
      <c r="Z480" s="557">
        <f>IFERROR(IF(Z478="",0,Z478),"0")+IFERROR(IF(Z479="",0,Z479),"0")</f>
        <v>9.0200000000000002E-2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38</v>
      </c>
      <c r="Y481" s="557">
        <f>IFERROR(SUM(Y478:Y479),"0")</f>
        <v>42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30</v>
      </c>
      <c r="Y483" s="556">
        <f>IFERROR(IF(X483="",0,CEILING((X483/$H483),1)*$H483),"")</f>
        <v>36</v>
      </c>
      <c r="Z483" s="36">
        <f>IFERROR(IF(Y483=0,"",ROUNDUP(Y483/H483,0)*0.01898),"")</f>
        <v>7.5920000000000001E-2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31.646666666666665</v>
      </c>
      <c r="BN483" s="64">
        <f>IFERROR(Y483*I483/H483,"0")</f>
        <v>37.975999999999999</v>
      </c>
      <c r="BO483" s="64">
        <f>IFERROR(1/J483*(X483/H483),"0")</f>
        <v>5.2083333333333336E-2</v>
      </c>
      <c r="BP483" s="64">
        <f>IFERROR(1/J483*(Y483/H483),"0")</f>
        <v>6.25E-2</v>
      </c>
    </row>
    <row r="484" spans="1:68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3.3333333333333335</v>
      </c>
      <c r="Y484" s="557">
        <f>IFERROR(Y483/H483,"0")</f>
        <v>4</v>
      </c>
      <c r="Z484" s="557">
        <f>IFERROR(IF(Z483="",0,Z483),"0")</f>
        <v>7.5920000000000001E-2</v>
      </c>
      <c r="AA484" s="558"/>
      <c r="AB484" s="558"/>
      <c r="AC484" s="558"/>
    </row>
    <row r="485" spans="1:68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30</v>
      </c>
      <c r="Y485" s="557">
        <f>IFERROR(SUM(Y483:Y483),"0")</f>
        <v>36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11646.95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11804.050000000001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12203.911295051865</v>
      </c>
      <c r="Y497" s="557">
        <f>IFERROR(SUM(BN22:BN493),"0")</f>
        <v>12369.120000000003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20</v>
      </c>
      <c r="Y498" s="38">
        <f>ROUNDUP(SUM(BP22:BP493),0)</f>
        <v>20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12703.911295051865</v>
      </c>
      <c r="Y499" s="557">
        <f>GrossWeightTotalR+PalletQtyTotalR*25</f>
        <v>12869.120000000003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1394.5493639076969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1417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23.221900000000002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114.4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1345.5000000000002</v>
      </c>
      <c r="E506" s="46">
        <f>IFERROR(Y85*1,"0")+IFERROR(Y86*1,"0")+IFERROR(Y87*1,"0")+IFERROR(Y88*1,"0")+IFERROR(Y92*1,"0")+IFERROR(Y93*1,"0")+IFERROR(Y94*1,"0")+IFERROR(Y95*1,"0")</f>
        <v>342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84.75</v>
      </c>
      <c r="G506" s="46">
        <f>IFERROR(Y127*1,"0")+IFERROR(Y128*1,"0")+IFERROR(Y132*1,"0")+IFERROR(Y133*1,"0")+IFERROR(Y137*1,"0")+IFERROR(Y138*1,"0")</f>
        <v>24.4</v>
      </c>
      <c r="H506" s="46">
        <f>IFERROR(Y143*1,"0")+IFERROR(Y144*1,"0")+IFERROR(Y148*1,"0")+IFERROR(Y149*1,"0")+IFERROR(Y150*1,"0")+IFERROR(Y151*1,"0")+IFERROR(Y152*1,"0")+IFERROR(Y153*1,"0")+IFERROR(Y157*1,"0")</f>
        <v>63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4.2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66.599999999999994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369.6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5604.6000000000013</v>
      </c>
      <c r="R506" s="46">
        <f>IFERROR(Y343*1,"0")+IFERROR(Y344*1,"0")+IFERROR(Y345*1,"0")</f>
        <v>137.1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3275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14.700000000000001</v>
      </c>
      <c r="V506" s="46">
        <f>IFERROR(Y412*1,"0")+IFERROR(Y416*1,"0")+IFERROR(Y417*1,"0")+IFERROR(Y418*1,"0")+IFERROR(Y419*1,"0")</f>
        <v>4.2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211.20000000000002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142.80000000000001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20,00"/>
        <filter val="1 200,00"/>
        <filter val="1 394,55"/>
        <filter val="1,00"/>
        <filter val="10,00"/>
        <filter val="10,80"/>
        <filter val="100,00"/>
        <filter val="102,85"/>
        <filter val="108,00"/>
        <filter val="11 646,95"/>
        <filter val="113,50"/>
        <filter val="116,00"/>
        <filter val="117,00"/>
        <filter val="12 203,91"/>
        <filter val="12 703,91"/>
        <filter val="12,80"/>
        <filter val="128,90"/>
        <filter val="13,50"/>
        <filter val="130,00"/>
        <filter val="137,52"/>
        <filter val="14,40"/>
        <filter val="14,41"/>
        <filter val="14,58"/>
        <filter val="14,70"/>
        <filter val="144,00"/>
        <filter val="15,00"/>
        <filter val="15,46"/>
        <filter val="150,00"/>
        <filter val="16,00"/>
        <filter val="160,00"/>
        <filter val="17,35"/>
        <filter val="178,00"/>
        <filter val="18,88"/>
        <filter val="190,00"/>
        <filter val="2 150,00"/>
        <filter val="2,00"/>
        <filter val="2,10"/>
        <filter val="2,50"/>
        <filter val="2,78"/>
        <filter val="20"/>
        <filter val="20,00"/>
        <filter val="21,97"/>
        <filter val="210,00"/>
        <filter val="222,00"/>
        <filter val="23,40"/>
        <filter val="230,00"/>
        <filter val="240,00"/>
        <filter val="25,00"/>
        <filter val="254,00"/>
        <filter val="27,90"/>
        <filter val="28,00"/>
        <filter val="280,00"/>
        <filter val="29,89"/>
        <filter val="3 580,00"/>
        <filter val="3 590,80"/>
        <filter val="3,33"/>
        <filter val="3,75"/>
        <filter val="30,00"/>
        <filter val="32,00"/>
        <filter val="33,00"/>
        <filter val="35,26"/>
        <filter val="35,81"/>
        <filter val="351,00"/>
        <filter val="360,00"/>
        <filter val="38,00"/>
        <filter val="387,90"/>
        <filter val="39,20"/>
        <filter val="4,20"/>
        <filter val="4,50"/>
        <filter val="40,00"/>
        <filter val="43,67"/>
        <filter val="45,30"/>
        <filter val="462,57"/>
        <filter val="49,74"/>
        <filter val="5,00"/>
        <filter val="5,10"/>
        <filter val="5,56"/>
        <filter val="50,00"/>
        <filter val="504,80"/>
        <filter val="55,00"/>
        <filter val="56,70"/>
        <filter val="6,00"/>
        <filter val="60,00"/>
        <filter val="64,40"/>
        <filter val="7,00"/>
        <filter val="70,00"/>
        <filter val="72,00"/>
        <filter val="73,33"/>
        <filter val="730,00"/>
        <filter val="77,00"/>
        <filter val="78,40"/>
        <filter val="795,00"/>
        <filter val="8,40"/>
        <filter val="80,00"/>
        <filter val="830,00"/>
        <filter val="9,00"/>
        <filter val="9,05"/>
        <filter val="90,00"/>
        <filter val="947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2026-01-12T11:27:51Z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