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CAE937C-3094-4F94-9960-4D3CC2953A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N74" i="1"/>
  <c r="BM74" i="1"/>
  <c r="Z74" i="1"/>
  <c r="Y74" i="1"/>
  <c r="BP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Y65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93" i="1" l="1"/>
  <c r="BN93" i="1"/>
  <c r="Z93" i="1"/>
  <c r="BP118" i="1"/>
  <c r="BN118" i="1"/>
  <c r="Z118" i="1"/>
  <c r="BP172" i="1"/>
  <c r="BN172" i="1"/>
  <c r="Z172" i="1"/>
  <c r="Y192" i="1"/>
  <c r="Y191" i="1"/>
  <c r="BP190" i="1"/>
  <c r="BN190" i="1"/>
  <c r="Z190" i="1"/>
  <c r="Z191" i="1" s="1"/>
  <c r="BP195" i="1"/>
  <c r="BN195" i="1"/>
  <c r="Z195" i="1"/>
  <c r="BP220" i="1"/>
  <c r="BN220" i="1"/>
  <c r="Z220" i="1"/>
  <c r="BP255" i="1"/>
  <c r="BN255" i="1"/>
  <c r="Z255" i="1"/>
  <c r="BP287" i="1"/>
  <c r="BN287" i="1"/>
  <c r="Z287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X500" i="1"/>
  <c r="Z28" i="1"/>
  <c r="BN28" i="1"/>
  <c r="Z55" i="1"/>
  <c r="BN55" i="1"/>
  <c r="Z68" i="1"/>
  <c r="BN68" i="1"/>
  <c r="BP104" i="1"/>
  <c r="BN104" i="1"/>
  <c r="Z104" i="1"/>
  <c r="BP148" i="1"/>
  <c r="BN148" i="1"/>
  <c r="Z148" i="1"/>
  <c r="BP180" i="1"/>
  <c r="BN180" i="1"/>
  <c r="Z180" i="1"/>
  <c r="BP209" i="1"/>
  <c r="BN209" i="1"/>
  <c r="Z209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87" i="1"/>
  <c r="BN87" i="1"/>
  <c r="BP95" i="1"/>
  <c r="BN95" i="1"/>
  <c r="Z95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BP150" i="1"/>
  <c r="BN150" i="1"/>
  <c r="Z150" i="1"/>
  <c r="BP174" i="1"/>
  <c r="BN174" i="1"/>
  <c r="Z174" i="1"/>
  <c r="Y188" i="1"/>
  <c r="BP184" i="1"/>
  <c r="BN184" i="1"/>
  <c r="Z184" i="1"/>
  <c r="BP207" i="1"/>
  <c r="BN207" i="1"/>
  <c r="Z207" i="1"/>
  <c r="BP218" i="1"/>
  <c r="BN218" i="1"/>
  <c r="Z218" i="1"/>
  <c r="BP228" i="1"/>
  <c r="BN228" i="1"/>
  <c r="Z228" i="1"/>
  <c r="BP241" i="1"/>
  <c r="BN241" i="1"/>
  <c r="Z241" i="1"/>
  <c r="BP266" i="1"/>
  <c r="BN266" i="1"/>
  <c r="Z266" i="1"/>
  <c r="BP282" i="1"/>
  <c r="BN282" i="1"/>
  <c r="Z282" i="1"/>
  <c r="Z22" i="1"/>
  <c r="BN22" i="1"/>
  <c r="Y25" i="1"/>
  <c r="Y33" i="1"/>
  <c r="Z30" i="1"/>
  <c r="BN30" i="1"/>
  <c r="C506" i="1"/>
  <c r="Z53" i="1"/>
  <c r="BN53" i="1"/>
  <c r="Z57" i="1"/>
  <c r="BN57" i="1"/>
  <c r="Z63" i="1"/>
  <c r="BN63" i="1"/>
  <c r="Z72" i="1"/>
  <c r="BN72" i="1"/>
  <c r="BP72" i="1"/>
  <c r="Z80" i="1"/>
  <c r="BN80" i="1"/>
  <c r="Z87" i="1"/>
  <c r="BP102" i="1"/>
  <c r="BN102" i="1"/>
  <c r="Z102" i="1"/>
  <c r="BP116" i="1"/>
  <c r="BN116" i="1"/>
  <c r="Z116" i="1"/>
  <c r="BP144" i="1"/>
  <c r="BN144" i="1"/>
  <c r="Z144" i="1"/>
  <c r="BP170" i="1"/>
  <c r="BN170" i="1"/>
  <c r="Z170" i="1"/>
  <c r="BP178" i="1"/>
  <c r="BN178" i="1"/>
  <c r="Z178" i="1"/>
  <c r="Y187" i="1"/>
  <c r="BP201" i="1"/>
  <c r="BN201" i="1"/>
  <c r="Z201" i="1"/>
  <c r="BP212" i="1"/>
  <c r="BN212" i="1"/>
  <c r="Z212" i="1"/>
  <c r="BP222" i="1"/>
  <c r="BN222" i="1"/>
  <c r="Z222" i="1"/>
  <c r="BP237" i="1"/>
  <c r="BN237" i="1"/>
  <c r="Z237" i="1"/>
  <c r="BP257" i="1"/>
  <c r="BN257" i="1"/>
  <c r="Z257" i="1"/>
  <c r="BP275" i="1"/>
  <c r="BN275" i="1"/>
  <c r="Z275" i="1"/>
  <c r="BP293" i="1"/>
  <c r="BN293" i="1"/>
  <c r="Z293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113" i="1"/>
  <c r="Y154" i="1"/>
  <c r="Y182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U50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Y340" i="1"/>
  <c r="Y339" i="1"/>
  <c r="Y420" i="1"/>
  <c r="Y449" i="1"/>
  <c r="Y448" i="1"/>
  <c r="Y489" i="1"/>
  <c r="H9" i="1"/>
  <c r="A10" i="1"/>
  <c r="B506" i="1"/>
  <c r="X497" i="1"/>
  <c r="X498" i="1"/>
  <c r="Z23" i="1"/>
  <c r="Z24" i="1" s="1"/>
  <c r="BN23" i="1"/>
  <c r="BP23" i="1"/>
  <c r="Y24" i="1"/>
  <c r="X496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Z62" i="1"/>
  <c r="BN62" i="1"/>
  <c r="BP62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Y130" i="1"/>
  <c r="Y135" i="1"/>
  <c r="BP132" i="1"/>
  <c r="BN132" i="1"/>
  <c r="Z132" i="1"/>
  <c r="Z134" i="1" s="1"/>
  <c r="Y139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Y346" i="1"/>
  <c r="D506" i="1"/>
  <c r="F9" i="1"/>
  <c r="J9" i="1"/>
  <c r="Y4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BP117" i="1"/>
  <c r="BN117" i="1"/>
  <c r="Z117" i="1"/>
  <c r="BP138" i="1"/>
  <c r="BN138" i="1"/>
  <c r="Z138" i="1"/>
  <c r="Z139" i="1" s="1"/>
  <c r="Y140" i="1"/>
  <c r="H506" i="1"/>
  <c r="Y146" i="1"/>
  <c r="BP143" i="1"/>
  <c r="BN143" i="1"/>
  <c r="Z143" i="1"/>
  <c r="BP151" i="1"/>
  <c r="BN151" i="1"/>
  <c r="Z151" i="1"/>
  <c r="BP171" i="1"/>
  <c r="BN171" i="1"/>
  <c r="Z171" i="1"/>
  <c r="BP175" i="1"/>
  <c r="BN175" i="1"/>
  <c r="Z175" i="1"/>
  <c r="BP179" i="1"/>
  <c r="BN179" i="1"/>
  <c r="Z179" i="1"/>
  <c r="BP196" i="1"/>
  <c r="BN196" i="1"/>
  <c r="Z196" i="1"/>
  <c r="Z197" i="1" s="1"/>
  <c r="Y198" i="1"/>
  <c r="Y203" i="1"/>
  <c r="BP200" i="1"/>
  <c r="BN200" i="1"/>
  <c r="Z200" i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Y290" i="1"/>
  <c r="Y295" i="1"/>
  <c r="BP292" i="1"/>
  <c r="BN292" i="1"/>
  <c r="Z292" i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Y333" i="1"/>
  <c r="BP337" i="1"/>
  <c r="BN337" i="1"/>
  <c r="Z337" i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389" i="1" l="1"/>
  <c r="Z339" i="1"/>
  <c r="Z333" i="1"/>
  <c r="Z289" i="1"/>
  <c r="Z346" i="1"/>
  <c r="Z457" i="1"/>
  <c r="Z225" i="1"/>
  <c r="Y498" i="1"/>
  <c r="Y497" i="1"/>
  <c r="Z181" i="1"/>
  <c r="Z154" i="1"/>
  <c r="Z420" i="1"/>
  <c r="Z383" i="1"/>
  <c r="Z358" i="1"/>
  <c r="Z320" i="1"/>
  <c r="Z294" i="1"/>
  <c r="Z368" i="1"/>
  <c r="Z202" i="1"/>
  <c r="Z145" i="1"/>
  <c r="Z112" i="1"/>
  <c r="Z105" i="1"/>
  <c r="Z96" i="1"/>
  <c r="Y496" i="1"/>
  <c r="Z304" i="1"/>
  <c r="Z213" i="1"/>
  <c r="Z129" i="1"/>
  <c r="Z64" i="1"/>
  <c r="Z442" i="1"/>
  <c r="Z276" i="1"/>
  <c r="Z268" i="1"/>
  <c r="Z259" i="1"/>
  <c r="Z313" i="1"/>
  <c r="Z76" i="1"/>
  <c r="Z58" i="1"/>
  <c r="Z44" i="1"/>
  <c r="Z32" i="1"/>
  <c r="Y500" i="1"/>
  <c r="Z403" i="1"/>
  <c r="Z470" i="1"/>
  <c r="Z326" i="1"/>
  <c r="Z243" i="1"/>
  <c r="Z119" i="1"/>
  <c r="Z89" i="1"/>
  <c r="X499" i="1"/>
  <c r="Y499" i="1" l="1"/>
  <c r="Z501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<sst xmlns="http://schemas.openxmlformats.org/spreadsheetml/2006/main" count="2386" uniqueCount="785">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</sst>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1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351" sqref="AA35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810" t="s">
        <v>0</v>
      </c>
      <c r="E1" s="592"/>
      <c r="F1" s="592"/>
      <c r="G1" s="12" t="s">
        <v>1</v>
      </c>
      <c r="H1" s="810" t="s">
        <v>2</v>
      </c>
      <c r="I1" s="592"/>
      <c r="J1" s="592"/>
      <c r="K1" s="592"/>
      <c r="L1" s="592"/>
      <c r="M1" s="592"/>
      <c r="N1" s="592"/>
      <c r="O1" s="592"/>
      <c r="P1" s="592"/>
      <c r="Q1" s="592"/>
      <c r="R1" s="875" t="s">
        <v>3</v>
      </c>
      <c r="S1" s="592"/>
      <c r="T1" s="5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773" t="s">
        <v>8</v>
      </c>
      <c r="B5" s="572"/>
      <c r="C5" s="573"/>
      <c r="D5" s="665"/>
      <c r="E5" s="667"/>
      <c r="F5" s="620" t="s">
        <v>9</v>
      </c>
      <c r="G5" s="573"/>
      <c r="H5" s="665" t="s">
        <v>784</v>
      </c>
      <c r="I5" s="666"/>
      <c r="J5" s="666"/>
      <c r="K5" s="666"/>
      <c r="L5" s="666"/>
      <c r="M5" s="667"/>
      <c r="N5" s="58"/>
      <c r="P5" s="24" t="s">
        <v>10</v>
      </c>
      <c r="Q5" s="598">
        <v>46036</v>
      </c>
      <c r="R5" s="599"/>
      <c r="T5" s="732" t="s">
        <v>11</v>
      </c>
      <c r="U5" s="641"/>
      <c r="V5" s="733" t="s">
        <v>12</v>
      </c>
      <c r="W5" s="599"/>
      <c r="AB5" s="51"/>
      <c r="AC5" s="51"/>
      <c r="AD5" s="51"/>
      <c r="AE5" s="51"/>
    </row>
    <row r="6" spans="1:32" s="549" customFormat="1" ht="24" customHeight="1" x14ac:dyDescent="0.2">
      <c r="A6" s="773" t="s">
        <v>13</v>
      </c>
      <c r="B6" s="572"/>
      <c r="C6" s="573"/>
      <c r="D6" s="669" t="s">
        <v>14</v>
      </c>
      <c r="E6" s="670"/>
      <c r="F6" s="670"/>
      <c r="G6" s="670"/>
      <c r="H6" s="670"/>
      <c r="I6" s="670"/>
      <c r="J6" s="670"/>
      <c r="K6" s="670"/>
      <c r="L6" s="670"/>
      <c r="M6" s="599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Среда</v>
      </c>
      <c r="R6" s="563"/>
      <c r="T6" s="736" t="s">
        <v>16</v>
      </c>
      <c r="U6" s="641"/>
      <c r="V6" s="675" t="s">
        <v>17</v>
      </c>
      <c r="W6" s="676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848" t="str">
        <f>IFERROR(VLOOKUP(DeliveryAddress,Table,3,0),1)</f>
        <v>1</v>
      </c>
      <c r="E7" s="849"/>
      <c r="F7" s="849"/>
      <c r="G7" s="849"/>
      <c r="H7" s="849"/>
      <c r="I7" s="849"/>
      <c r="J7" s="849"/>
      <c r="K7" s="849"/>
      <c r="L7" s="849"/>
      <c r="M7" s="735"/>
      <c r="N7" s="60"/>
      <c r="P7" s="24"/>
      <c r="Q7" s="42"/>
      <c r="R7" s="42"/>
      <c r="T7" s="569"/>
      <c r="U7" s="641"/>
      <c r="V7" s="677"/>
      <c r="W7" s="678"/>
      <c r="AB7" s="51"/>
      <c r="AC7" s="51"/>
      <c r="AD7" s="51"/>
      <c r="AE7" s="51"/>
    </row>
    <row r="8" spans="1:32" s="549" customFormat="1" ht="25.5" customHeight="1" x14ac:dyDescent="0.2">
      <c r="A8" s="559" t="s">
        <v>18</v>
      </c>
      <c r="B8" s="560"/>
      <c r="C8" s="561"/>
      <c r="D8" s="858" t="s">
        <v>19</v>
      </c>
      <c r="E8" s="859"/>
      <c r="F8" s="859"/>
      <c r="G8" s="859"/>
      <c r="H8" s="859"/>
      <c r="I8" s="859"/>
      <c r="J8" s="859"/>
      <c r="K8" s="859"/>
      <c r="L8" s="859"/>
      <c r="M8" s="860"/>
      <c r="N8" s="61"/>
      <c r="P8" s="24" t="s">
        <v>20</v>
      </c>
      <c r="Q8" s="734">
        <v>0.45833333333333331</v>
      </c>
      <c r="R8" s="735"/>
      <c r="T8" s="569"/>
      <c r="U8" s="641"/>
      <c r="V8" s="677"/>
      <c r="W8" s="678"/>
      <c r="AB8" s="51"/>
      <c r="AC8" s="51"/>
      <c r="AD8" s="51"/>
      <c r="AE8" s="51"/>
    </row>
    <row r="9" spans="1:32" s="54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636"/>
      <c r="E9" s="637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547"/>
      <c r="P9" s="26" t="s">
        <v>21</v>
      </c>
      <c r="Q9" s="808"/>
      <c r="R9" s="624"/>
      <c r="T9" s="569"/>
      <c r="U9" s="641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636"/>
      <c r="E10" s="637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692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37"/>
      <c r="R10" s="738"/>
      <c r="U10" s="24" t="s">
        <v>23</v>
      </c>
      <c r="V10" s="864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99"/>
      <c r="U11" s="24" t="s">
        <v>27</v>
      </c>
      <c r="V11" s="623" t="s">
        <v>28</v>
      </c>
      <c r="W11" s="624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15" t="s">
        <v>29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3"/>
      <c r="N12" s="62"/>
      <c r="P12" s="24" t="s">
        <v>30</v>
      </c>
      <c r="Q12" s="734"/>
      <c r="R12" s="735"/>
      <c r="S12" s="23"/>
      <c r="U12" s="24"/>
      <c r="V12" s="592"/>
      <c r="W12" s="569"/>
      <c r="AB12" s="51"/>
      <c r="AC12" s="51"/>
      <c r="AD12" s="51"/>
      <c r="AE12" s="51"/>
    </row>
    <row r="13" spans="1:32" s="549" customFormat="1" ht="23.25" customHeight="1" x14ac:dyDescent="0.2">
      <c r="A13" s="715" t="s">
        <v>31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3"/>
      <c r="N13" s="62"/>
      <c r="O13" s="26"/>
      <c r="P13" s="26" t="s">
        <v>32</v>
      </c>
      <c r="Q13" s="623"/>
      <c r="R13" s="6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15" t="s">
        <v>33</v>
      </c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18" t="s">
        <v>34</v>
      </c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3"/>
      <c r="N15" s="63"/>
      <c r="P15" s="796" t="s">
        <v>35</v>
      </c>
      <c r="Q15" s="592"/>
      <c r="R15" s="592"/>
      <c r="S15" s="592"/>
      <c r="T15" s="5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7"/>
      <c r="Q16" s="797"/>
      <c r="R16" s="797"/>
      <c r="S16" s="797"/>
      <c r="T16" s="7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36</v>
      </c>
      <c r="B17" s="646" t="s">
        <v>37</v>
      </c>
      <c r="C17" s="779" t="s">
        <v>38</v>
      </c>
      <c r="D17" s="646" t="s">
        <v>39</v>
      </c>
      <c r="E17" s="654"/>
      <c r="F17" s="646" t="s">
        <v>40</v>
      </c>
      <c r="G17" s="646" t="s">
        <v>41</v>
      </c>
      <c r="H17" s="646" t="s">
        <v>42</v>
      </c>
      <c r="I17" s="646" t="s">
        <v>43</v>
      </c>
      <c r="J17" s="646" t="s">
        <v>44</v>
      </c>
      <c r="K17" s="646" t="s">
        <v>45</v>
      </c>
      <c r="L17" s="646" t="s">
        <v>46</v>
      </c>
      <c r="M17" s="646" t="s">
        <v>47</v>
      </c>
      <c r="N17" s="646" t="s">
        <v>48</v>
      </c>
      <c r="O17" s="646" t="s">
        <v>49</v>
      </c>
      <c r="P17" s="646" t="s">
        <v>50</v>
      </c>
      <c r="Q17" s="813"/>
      <c r="R17" s="813"/>
      <c r="S17" s="813"/>
      <c r="T17" s="654"/>
      <c r="U17" s="653" t="s">
        <v>51</v>
      </c>
      <c r="V17" s="573"/>
      <c r="W17" s="646" t="s">
        <v>52</v>
      </c>
      <c r="X17" s="646" t="s">
        <v>53</v>
      </c>
      <c r="Y17" s="651" t="s">
        <v>54</v>
      </c>
      <c r="Z17" s="699" t="s">
        <v>55</v>
      </c>
      <c r="AA17" s="614" t="s">
        <v>56</v>
      </c>
      <c r="AB17" s="614" t="s">
        <v>57</v>
      </c>
      <c r="AC17" s="614" t="s">
        <v>58</v>
      </c>
      <c r="AD17" s="614" t="s">
        <v>59</v>
      </c>
      <c r="AE17" s="615"/>
      <c r="AF17" s="616"/>
      <c r="AG17" s="66"/>
      <c r="BD17" s="65" t="s">
        <v>60</v>
      </c>
    </row>
    <row r="18" spans="1:68" ht="14.25" customHeight="1" x14ac:dyDescent="0.2">
      <c r="A18" s="647"/>
      <c r="B18" s="647"/>
      <c r="C18" s="647"/>
      <c r="D18" s="655"/>
      <c r="E18" s="656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5"/>
      <c r="Q18" s="814"/>
      <c r="R18" s="814"/>
      <c r="S18" s="814"/>
      <c r="T18" s="656"/>
      <c r="U18" s="67" t="s">
        <v>61</v>
      </c>
      <c r="V18" s="67" t="s">
        <v>62</v>
      </c>
      <c r="W18" s="647"/>
      <c r="X18" s="647"/>
      <c r="Y18" s="652"/>
      <c r="Z18" s="700"/>
      <c r="AA18" s="691"/>
      <c r="AB18" s="691"/>
      <c r="AC18" s="691"/>
      <c r="AD18" s="617"/>
      <c r="AE18" s="618"/>
      <c r="AF18" s="619"/>
      <c r="AG18" s="66"/>
      <c r="BD18" s="65"/>
    </row>
    <row r="19" spans="1:68" ht="27.75" hidden="1" customHeight="1" x14ac:dyDescent="0.2">
      <c r="A19" s="609" t="s">
        <v>63</v>
      </c>
      <c r="B19" s="610"/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  <c r="P19" s="610"/>
      <c r="Q19" s="610"/>
      <c r="R19" s="610"/>
      <c r="S19" s="610"/>
      <c r="T19" s="610"/>
      <c r="U19" s="610"/>
      <c r="V19" s="610"/>
      <c r="W19" s="610"/>
      <c r="X19" s="610"/>
      <c r="Y19" s="610"/>
      <c r="Z19" s="610"/>
      <c r="AA19" s="48"/>
      <c r="AB19" s="48"/>
      <c r="AC19" s="48"/>
    </row>
    <row r="20" spans="1:68" ht="16.5" hidden="1" customHeight="1" x14ac:dyDescent="0.25">
      <c r="A20" s="577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hidden="1" customHeight="1" x14ac:dyDescent="0.25">
      <c r="A21" s="576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8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70"/>
      <c r="P24" s="567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  <c r="P25" s="567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76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8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6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8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70"/>
      <c r="P32" s="567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  <c r="P33" s="567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76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8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70"/>
      <c r="P36" s="567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  <c r="P37" s="567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609" t="s">
        <v>101</v>
      </c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0"/>
      <c r="P38" s="610"/>
      <c r="Q38" s="610"/>
      <c r="R38" s="610"/>
      <c r="S38" s="610"/>
      <c r="T38" s="610"/>
      <c r="U38" s="610"/>
      <c r="V38" s="610"/>
      <c r="W38" s="610"/>
      <c r="X38" s="610"/>
      <c r="Y38" s="610"/>
      <c r="Z38" s="610"/>
      <c r="AA38" s="48"/>
      <c r="AB38" s="48"/>
      <c r="AC38" s="48"/>
    </row>
    <row r="39" spans="1:68" ht="16.5" hidden="1" customHeight="1" x14ac:dyDescent="0.25">
      <c r="A39" s="577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hidden="1" customHeight="1" x14ac:dyDescent="0.25">
      <c r="A40" s="576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8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70"/>
      <c r="P44" s="567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hidden="1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70"/>
      <c r="P45" s="567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hidden="1" customHeight="1" x14ac:dyDescent="0.25">
      <c r="A46" s="576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8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70"/>
      <c r="P48" s="567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0"/>
      <c r="P49" s="567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77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hidden="1" customHeight="1" x14ac:dyDescent="0.25">
      <c r="A51" s="576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8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3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2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8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70"/>
      <c r="P58" s="567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hidden="1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70"/>
      <c r="P59" s="567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hidden="1" customHeight="1" x14ac:dyDescent="0.25">
      <c r="A60" s="576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8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70"/>
      <c r="P64" s="567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hidden="1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70"/>
      <c r="P65" s="567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hidden="1" customHeight="1" x14ac:dyDescent="0.25">
      <c r="A66" s="576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8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70"/>
      <c r="P69" s="567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70"/>
      <c r="P70" s="567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76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8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70"/>
      <c r="P76" s="567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70"/>
      <c r="P77" s="567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76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8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70"/>
      <c r="P81" s="567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70"/>
      <c r="P82" s="567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77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hidden="1" customHeight="1" x14ac:dyDescent="0.25">
      <c r="A84" s="576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6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8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70"/>
      <c r="P89" s="567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hidden="1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70"/>
      <c r="P90" s="567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hidden="1" customHeight="1" x14ac:dyDescent="0.25">
      <c r="A91" s="576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5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5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79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8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70"/>
      <c r="P96" s="567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70"/>
      <c r="P97" s="567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77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hidden="1" customHeight="1" x14ac:dyDescent="0.25">
      <c r="A99" s="576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3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5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8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70"/>
      <c r="P105" s="567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70"/>
      <c r="P106" s="567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76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9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6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8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70"/>
      <c r="P112" s="567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70"/>
      <c r="P113" s="567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76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8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70"/>
      <c r="P119" s="567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hidden="1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70"/>
      <c r="P120" s="567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hidden="1" customHeight="1" x14ac:dyDescent="0.25">
      <c r="A121" s="576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5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8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70"/>
      <c r="P123" s="567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70"/>
      <c r="P124" s="567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77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hidden="1" customHeight="1" x14ac:dyDescent="0.25">
      <c r="A126" s="576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8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70"/>
      <c r="P129" s="567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70"/>
      <c r="P130" s="567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76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8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70"/>
      <c r="P134" s="567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70"/>
      <c r="P135" s="567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76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82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8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70"/>
      <c r="P139" s="567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70"/>
      <c r="P140" s="567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77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hidden="1" customHeight="1" x14ac:dyDescent="0.25">
      <c r="A142" s="576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1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8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70"/>
      <c r="P145" s="567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70"/>
      <c r="P146" s="567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76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5"/>
      <c r="R148" s="565"/>
      <c r="S148" s="565"/>
      <c r="T148" s="566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8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5"/>
      <c r="R149" s="565"/>
      <c r="S149" s="565"/>
      <c r="T149" s="566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5"/>
      <c r="R150" s="565"/>
      <c r="S150" s="565"/>
      <c r="T150" s="566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5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5"/>
      <c r="R151" s="565"/>
      <c r="S151" s="565"/>
      <c r="T151" s="566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87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5"/>
      <c r="R153" s="565"/>
      <c r="S153" s="565"/>
      <c r="T153" s="566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8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70"/>
      <c r="P154" s="567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70"/>
      <c r="P155" s="567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76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8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8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70"/>
      <c r="P158" s="567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70"/>
      <c r="P159" s="567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609" t="s">
        <v>268</v>
      </c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  <c r="Q160" s="610"/>
      <c r="R160" s="610"/>
      <c r="S160" s="610"/>
      <c r="T160" s="610"/>
      <c r="U160" s="610"/>
      <c r="V160" s="610"/>
      <c r="W160" s="610"/>
      <c r="X160" s="610"/>
      <c r="Y160" s="610"/>
      <c r="Z160" s="610"/>
      <c r="AA160" s="48"/>
      <c r="AB160" s="48"/>
      <c r="AC160" s="48"/>
    </row>
    <row r="161" spans="1:68" ht="16.5" hidden="1" customHeight="1" x14ac:dyDescent="0.25">
      <c r="A161" s="577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hidden="1" customHeight="1" x14ac:dyDescent="0.25">
      <c r="A162" s="576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8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70"/>
      <c r="P164" s="567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70"/>
      <c r="P165" s="567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76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83" t="s">
        <v>276</v>
      </c>
      <c r="Q167" s="565"/>
      <c r="R167" s="565"/>
      <c r="S167" s="565"/>
      <c r="T167" s="566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18" t="s">
        <v>281</v>
      </c>
      <c r="Q168" s="565"/>
      <c r="R168" s="565"/>
      <c r="S168" s="565"/>
      <c r="T168" s="566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5"/>
      <c r="R169" s="565"/>
      <c r="S169" s="565"/>
      <c r="T169" s="566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8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5"/>
      <c r="R170" s="565"/>
      <c r="S170" s="565"/>
      <c r="T170" s="566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5"/>
      <c r="R171" s="565"/>
      <c r="S171" s="565"/>
      <c r="T171" s="566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5"/>
      <c r="R173" s="565"/>
      <c r="S173" s="565"/>
      <c r="T173" s="566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5"/>
      <c r="R175" s="565"/>
      <c r="S175" s="565"/>
      <c r="T175" s="566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5"/>
      <c r="R176" s="565"/>
      <c r="S176" s="565"/>
      <c r="T176" s="566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67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5"/>
      <c r="R177" s="565"/>
      <c r="S177" s="565"/>
      <c r="T177" s="566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5"/>
      <c r="R178" s="565"/>
      <c r="S178" s="565"/>
      <c r="T178" s="566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5"/>
      <c r="R179" s="565"/>
      <c r="S179" s="565"/>
      <c r="T179" s="566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8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5"/>
      <c r="R180" s="565"/>
      <c r="S180" s="565"/>
      <c r="T180" s="566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8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70"/>
      <c r="P181" s="567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70"/>
      <c r="P182" s="567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76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5"/>
      <c r="R185" s="565"/>
      <c r="S185" s="565"/>
      <c r="T185" s="566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5"/>
      <c r="R186" s="565"/>
      <c r="S186" s="565"/>
      <c r="T186" s="566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8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70"/>
      <c r="P187" s="567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70"/>
      <c r="P188" s="567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76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5"/>
      <c r="R190" s="565"/>
      <c r="S190" s="565"/>
      <c r="T190" s="566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8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70"/>
      <c r="P191" s="567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70"/>
      <c r="P192" s="567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77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hidden="1" customHeight="1" x14ac:dyDescent="0.25">
      <c r="A194" s="576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5"/>
      <c r="R195" s="565"/>
      <c r="S195" s="565"/>
      <c r="T195" s="566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5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5"/>
      <c r="R196" s="565"/>
      <c r="S196" s="565"/>
      <c r="T196" s="566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8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70"/>
      <c r="P197" s="567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70"/>
      <c r="P198" s="567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76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5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5"/>
      <c r="R200" s="565"/>
      <c r="S200" s="565"/>
      <c r="T200" s="566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6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5"/>
      <c r="R201" s="565"/>
      <c r="S201" s="565"/>
      <c r="T201" s="566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8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70"/>
      <c r="P202" s="567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70"/>
      <c r="P203" s="567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76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9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5"/>
      <c r="R211" s="565"/>
      <c r="S211" s="565"/>
      <c r="T211" s="566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5"/>
      <c r="R212" s="565"/>
      <c r="S212" s="565"/>
      <c r="T212" s="566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8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70"/>
      <c r="P213" s="567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70"/>
      <c r="P214" s="567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76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5"/>
      <c r="R217" s="565"/>
      <c r="S217" s="565"/>
      <c r="T217" s="566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5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5"/>
      <c r="R221" s="565"/>
      <c r="S221" s="565"/>
      <c r="T221" s="566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5"/>
      <c r="R223" s="565"/>
      <c r="S223" s="565"/>
      <c r="T223" s="566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2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5"/>
      <c r="R224" s="565"/>
      <c r="S224" s="565"/>
      <c r="T224" s="566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8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70"/>
      <c r="P225" s="567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hidden="1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70"/>
      <c r="P226" s="567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hidden="1" customHeight="1" x14ac:dyDescent="0.25">
      <c r="A227" s="576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6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5"/>
      <c r="R228" s="565"/>
      <c r="S228" s="565"/>
      <c r="T228" s="566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1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5"/>
      <c r="R229" s="565"/>
      <c r="S229" s="565"/>
      <c r="T229" s="566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8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70"/>
      <c r="P230" s="567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70"/>
      <c r="P231" s="567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77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hidden="1" customHeight="1" x14ac:dyDescent="0.25">
      <c r="A233" s="576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6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85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8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6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8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5"/>
      <c r="R242" s="565"/>
      <c r="S242" s="565"/>
      <c r="T242" s="566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8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70"/>
      <c r="P243" s="567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70"/>
      <c r="P244" s="567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76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5"/>
      <c r="R246" s="565"/>
      <c r="S246" s="565"/>
      <c r="T246" s="566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8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70"/>
      <c r="P247" s="567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70"/>
      <c r="P248" s="567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76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5"/>
      <c r="R250" s="565"/>
      <c r="S250" s="565"/>
      <c r="T250" s="566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8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70"/>
      <c r="P251" s="567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70"/>
      <c r="P252" s="567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76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81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5"/>
      <c r="R257" s="565"/>
      <c r="S257" s="565"/>
      <c r="T257" s="566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2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5"/>
      <c r="R258" s="565"/>
      <c r="S258" s="565"/>
      <c r="T258" s="566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8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70"/>
      <c r="P259" s="567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70"/>
      <c r="P260" s="567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77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hidden="1" customHeight="1" x14ac:dyDescent="0.25">
      <c r="A262" s="576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6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8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5"/>
      <c r="R266" s="565"/>
      <c r="S266" s="565"/>
      <c r="T266" s="566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5"/>
      <c r="R267" s="565"/>
      <c r="S267" s="565"/>
      <c r="T267" s="566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8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70"/>
      <c r="P268" s="567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hidden="1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70"/>
      <c r="P269" s="567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hidden="1" customHeight="1" x14ac:dyDescent="0.25">
      <c r="A270" s="577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hidden="1" customHeight="1" x14ac:dyDescent="0.25">
      <c r="A271" s="576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82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5"/>
      <c r="R272" s="565"/>
      <c r="S272" s="565"/>
      <c r="T272" s="566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8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68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5"/>
      <c r="R274" s="565"/>
      <c r="S274" s="565"/>
      <c r="T274" s="566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88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5"/>
      <c r="R275" s="565"/>
      <c r="S275" s="565"/>
      <c r="T275" s="566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8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70"/>
      <c r="P276" s="567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70"/>
      <c r="P277" s="567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77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hidden="1" customHeight="1" x14ac:dyDescent="0.25">
      <c r="A279" s="576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5"/>
      <c r="R280" s="565"/>
      <c r="S280" s="565"/>
      <c r="T280" s="566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5"/>
      <c r="R281" s="565"/>
      <c r="S281" s="565"/>
      <c r="T281" s="566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6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5"/>
      <c r="R282" s="565"/>
      <c r="S282" s="565"/>
      <c r="T282" s="566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8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70"/>
      <c r="P283" s="567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70"/>
      <c r="P284" s="567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77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hidden="1" customHeight="1" x14ac:dyDescent="0.25">
      <c r="A286" s="576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5"/>
      <c r="R287" s="565"/>
      <c r="S287" s="565"/>
      <c r="T287" s="566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5"/>
      <c r="R288" s="565"/>
      <c r="S288" s="565"/>
      <c r="T288" s="566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8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70"/>
      <c r="P289" s="567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70"/>
      <c r="P290" s="567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76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5"/>
      <c r="R292" s="565"/>
      <c r="S292" s="565"/>
      <c r="T292" s="566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5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5"/>
      <c r="R293" s="565"/>
      <c r="S293" s="565"/>
      <c r="T293" s="566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8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70"/>
      <c r="P294" s="567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70"/>
      <c r="P295" s="567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77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hidden="1" customHeight="1" x14ac:dyDescent="0.25">
      <c r="A297" s="576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63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2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77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5"/>
      <c r="R301" s="565"/>
      <c r="S301" s="565"/>
      <c r="T301" s="566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5"/>
      <c r="R302" s="565"/>
      <c r="S302" s="565"/>
      <c r="T302" s="566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5"/>
      <c r="R303" s="565"/>
      <c r="S303" s="565"/>
      <c r="T303" s="566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68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70"/>
      <c r="P304" s="567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70"/>
      <c r="P305" s="567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76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83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5"/>
      <c r="R310" s="565"/>
      <c r="S310" s="565"/>
      <c r="T310" s="566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5"/>
      <c r="R311" s="565"/>
      <c r="S311" s="565"/>
      <c r="T311" s="566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8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5"/>
      <c r="R312" s="565"/>
      <c r="S312" s="565"/>
      <c r="T312" s="566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68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70"/>
      <c r="P313" s="567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70"/>
      <c r="P314" s="567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76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8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5"/>
      <c r="R316" s="565"/>
      <c r="S316" s="565"/>
      <c r="T316" s="566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6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5"/>
      <c r="R317" s="565"/>
      <c r="S317" s="565"/>
      <c r="T317" s="566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5"/>
      <c r="R318" s="565"/>
      <c r="S318" s="565"/>
      <c r="T318" s="566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5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5"/>
      <c r="R319" s="565"/>
      <c r="S319" s="565"/>
      <c r="T319" s="566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68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70"/>
      <c r="P320" s="567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70"/>
      <c r="P321" s="567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76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5"/>
      <c r="R323" s="565"/>
      <c r="S323" s="565"/>
      <c r="T323" s="566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6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5"/>
      <c r="R324" s="565"/>
      <c r="S324" s="565"/>
      <c r="T324" s="566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5"/>
      <c r="R325" s="565"/>
      <c r="S325" s="565"/>
      <c r="T325" s="566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68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70"/>
      <c r="P326" s="567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hidden="1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70"/>
      <c r="P327" s="567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hidden="1" customHeight="1" x14ac:dyDescent="0.25">
      <c r="A328" s="576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0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5"/>
      <c r="R330" s="565"/>
      <c r="S330" s="565"/>
      <c r="T330" s="566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5"/>
      <c r="R331" s="565"/>
      <c r="S331" s="565"/>
      <c r="T331" s="566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5"/>
      <c r="R332" s="565"/>
      <c r="S332" s="565"/>
      <c r="T332" s="566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68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70"/>
      <c r="P333" s="567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70"/>
      <c r="P334" s="567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76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6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5"/>
      <c r="R336" s="565"/>
      <c r="S336" s="565"/>
      <c r="T336" s="566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8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5"/>
      <c r="R337" s="565"/>
      <c r="S337" s="565"/>
      <c r="T337" s="566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5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5"/>
      <c r="R338" s="565"/>
      <c r="S338" s="565"/>
      <c r="T338" s="566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8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70"/>
      <c r="P339" s="567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70"/>
      <c r="P340" s="567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77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hidden="1" customHeight="1" x14ac:dyDescent="0.25">
      <c r="A342" s="576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6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5"/>
      <c r="R343" s="565"/>
      <c r="S343" s="565"/>
      <c r="T343" s="566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6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5"/>
      <c r="R344" s="565"/>
      <c r="S344" s="565"/>
      <c r="T344" s="566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5"/>
      <c r="R345" s="565"/>
      <c r="S345" s="565"/>
      <c r="T345" s="566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568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70"/>
      <c r="P346" s="567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hidden="1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70"/>
      <c r="P347" s="567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hidden="1" customHeight="1" x14ac:dyDescent="0.2">
      <c r="A348" s="609" t="s">
        <v>562</v>
      </c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0"/>
      <c r="O348" s="610"/>
      <c r="P348" s="610"/>
      <c r="Q348" s="610"/>
      <c r="R348" s="610"/>
      <c r="S348" s="610"/>
      <c r="T348" s="610"/>
      <c r="U348" s="610"/>
      <c r="V348" s="610"/>
      <c r="W348" s="610"/>
      <c r="X348" s="610"/>
      <c r="Y348" s="610"/>
      <c r="Z348" s="610"/>
      <c r="AA348" s="48"/>
      <c r="AB348" s="48"/>
      <c r="AC348" s="48"/>
    </row>
    <row r="349" spans="1:68" ht="16.5" hidden="1" customHeight="1" x14ac:dyDescent="0.25">
      <c r="A349" s="577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hidden="1" customHeight="1" x14ac:dyDescent="0.25">
      <c r="A350" s="576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55">
        <v>3000</v>
      </c>
      <c r="Y351" s="556">
        <f t="shared" ref="Y351:Y357" si="41">IFERROR(IF(X351="",0,CEILING((X351/$H351),1)*$H351),"")</f>
        <v>3000</v>
      </c>
      <c r="Z351" s="36">
        <f>IFERROR(IF(Y351=0,"",ROUNDUP(Y351/H351,0)*0.02175),"")</f>
        <v>4.3499999999999996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3094</v>
      </c>
      <c r="BN351" s="64">
        <f t="shared" ref="BN351:BN357" si="43">IFERROR(Y351*I351/H351,"0")</f>
        <v>3094</v>
      </c>
      <c r="BO351" s="64">
        <f t="shared" ref="BO351:BO357" si="44">IFERROR(1/J351*(X351/H351),"0")</f>
        <v>4.1666666666666661</v>
      </c>
      <c r="BP351" s="64">
        <f t="shared" ref="BP351:BP357" si="45">IFERROR(1/J351*(Y351/H351),"0")</f>
        <v>4.1666666666666661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5"/>
      <c r="R352" s="565"/>
      <c r="S352" s="565"/>
      <c r="T352" s="566"/>
      <c r="U352" s="34"/>
      <c r="V352" s="34"/>
      <c r="W352" s="35" t="s">
        <v>69</v>
      </c>
      <c r="X352" s="555">
        <v>1500</v>
      </c>
      <c r="Y352" s="556">
        <f t="shared" si="41"/>
        <v>1500</v>
      </c>
      <c r="Z352" s="36">
        <f>IFERROR(IF(Y352=0,"",ROUNDUP(Y352/H352,0)*0.02175),"")</f>
        <v>2.1749999999999998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1547</v>
      </c>
      <c r="BN352" s="64">
        <f t="shared" si="43"/>
        <v>1547</v>
      </c>
      <c r="BO352" s="64">
        <f t="shared" si="44"/>
        <v>2.083333333333333</v>
      </c>
      <c r="BP352" s="64">
        <f t="shared" si="45"/>
        <v>2.083333333333333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5"/>
      <c r="R353" s="565"/>
      <c r="S353" s="565"/>
      <c r="T353" s="566"/>
      <c r="U353" s="34"/>
      <c r="V353" s="34"/>
      <c r="W353" s="35" t="s">
        <v>69</v>
      </c>
      <c r="X353" s="555">
        <v>4000</v>
      </c>
      <c r="Y353" s="556">
        <f t="shared" si="41"/>
        <v>4005</v>
      </c>
      <c r="Z353" s="36">
        <f>IFERROR(IF(Y353=0,"",ROUNDUP(Y353/H353,0)*0.02175),"")</f>
        <v>5.8072499999999998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4125.333333333333</v>
      </c>
      <c r="BN353" s="64">
        <f t="shared" si="43"/>
        <v>4130.4900000000007</v>
      </c>
      <c r="BO353" s="64">
        <f t="shared" si="44"/>
        <v>5.5555555555555554</v>
      </c>
      <c r="BP353" s="64">
        <f t="shared" si="45"/>
        <v>5.5625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64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6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5"/>
      <c r="R355" s="565"/>
      <c r="S355" s="565"/>
      <c r="T355" s="566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5"/>
      <c r="R356" s="565"/>
      <c r="S356" s="565"/>
      <c r="T356" s="566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6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5"/>
      <c r="R357" s="565"/>
      <c r="S357" s="565"/>
      <c r="T357" s="566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68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70"/>
      <c r="P358" s="567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566.66666666666674</v>
      </c>
      <c r="Y358" s="557">
        <f>IFERROR(Y351/H351,"0")+IFERROR(Y352/H352,"0")+IFERROR(Y353/H353,"0")+IFERROR(Y354/H354,"0")+IFERROR(Y355/H355,"0")+IFERROR(Y356/H356,"0")+IFERROR(Y357/H357,"0")</f>
        <v>567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12.332249999999998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70"/>
      <c r="P359" s="567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8500</v>
      </c>
      <c r="Y359" s="557">
        <f>IFERROR(SUM(Y351:Y357),"0")</f>
        <v>8505</v>
      </c>
      <c r="Z359" s="37"/>
      <c r="AA359" s="558"/>
      <c r="AB359" s="558"/>
      <c r="AC359" s="558"/>
    </row>
    <row r="360" spans="1:68" ht="14.25" hidden="1" customHeight="1" x14ac:dyDescent="0.25">
      <c r="A360" s="576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5"/>
      <c r="R361" s="565"/>
      <c r="S361" s="565"/>
      <c r="T361" s="566"/>
      <c r="U361" s="34"/>
      <c r="V361" s="34"/>
      <c r="W361" s="35" t="s">
        <v>69</v>
      </c>
      <c r="X361" s="555">
        <v>3000</v>
      </c>
      <c r="Y361" s="556">
        <f>IFERROR(IF(X361="",0,CEILING((X361/$H361),1)*$H361),"")</f>
        <v>3000</v>
      </c>
      <c r="Z361" s="36">
        <f>IFERROR(IF(Y361=0,"",ROUNDUP(Y361/H361,0)*0.02175),"")</f>
        <v>4.3499999999999996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3094</v>
      </c>
      <c r="BN361" s="64">
        <f>IFERROR(Y361*I361/H361,"0")</f>
        <v>3094</v>
      </c>
      <c r="BO361" s="64">
        <f>IFERROR(1/J361*(X361/H361),"0")</f>
        <v>4.1666666666666661</v>
      </c>
      <c r="BP361" s="64">
        <f>IFERROR(1/J361*(Y361/H361),"0")</f>
        <v>4.1666666666666661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6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5"/>
      <c r="R362" s="565"/>
      <c r="S362" s="565"/>
      <c r="T362" s="566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70"/>
      <c r="P363" s="567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200</v>
      </c>
      <c r="Y363" s="557">
        <f>IFERROR(Y361/H361,"0")+IFERROR(Y362/H362,"0")</f>
        <v>200</v>
      </c>
      <c r="Z363" s="557">
        <f>IFERROR(IF(Z361="",0,Z361),"0")+IFERROR(IF(Z362="",0,Z362),"0")</f>
        <v>4.3499999999999996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70"/>
      <c r="P364" s="567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3000</v>
      </c>
      <c r="Y364" s="557">
        <f>IFERROR(SUM(Y361:Y362),"0")</f>
        <v>3000</v>
      </c>
      <c r="Z364" s="37"/>
      <c r="AA364" s="558"/>
      <c r="AB364" s="558"/>
      <c r="AC364" s="558"/>
    </row>
    <row r="365" spans="1:68" ht="14.25" hidden="1" customHeight="1" x14ac:dyDescent="0.25">
      <c r="A365" s="576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8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5"/>
      <c r="R366" s="565"/>
      <c r="S366" s="565"/>
      <c r="T366" s="566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6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5"/>
      <c r="R367" s="565"/>
      <c r="S367" s="565"/>
      <c r="T367" s="566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68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70"/>
      <c r="P368" s="567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70"/>
      <c r="P369" s="567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76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5"/>
      <c r="R371" s="565"/>
      <c r="S371" s="565"/>
      <c r="T371" s="566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68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70"/>
      <c r="P372" s="567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70"/>
      <c r="P373" s="567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77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hidden="1" customHeight="1" x14ac:dyDescent="0.25">
      <c r="A375" s="576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79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5"/>
      <c r="R376" s="565"/>
      <c r="S376" s="565"/>
      <c r="T376" s="566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5"/>
      <c r="R377" s="565"/>
      <c r="S377" s="565"/>
      <c r="T377" s="566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8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70"/>
      <c r="P378" s="567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70"/>
      <c r="P379" s="567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76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5"/>
      <c r="R381" s="565"/>
      <c r="S381" s="565"/>
      <c r="T381" s="566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8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5"/>
      <c r="R382" s="565"/>
      <c r="S382" s="565"/>
      <c r="T382" s="566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68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70"/>
      <c r="P383" s="567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70"/>
      <c r="P384" s="567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76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8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5"/>
      <c r="R386" s="565"/>
      <c r="S386" s="565"/>
      <c r="T386" s="566"/>
      <c r="U386" s="34"/>
      <c r="V386" s="34"/>
      <c r="W386" s="35" t="s">
        <v>69</v>
      </c>
      <c r="X386" s="555">
        <v>1000</v>
      </c>
      <c r="Y386" s="556">
        <f>IFERROR(IF(X386="",0,CEILING((X386/$H386),1)*$H386),"")</f>
        <v>1008</v>
      </c>
      <c r="Z386" s="36">
        <f>IFERROR(IF(Y386=0,"",ROUNDUP(Y386/H386,0)*0.01898),"")</f>
        <v>2.1257600000000001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1054.8888888888889</v>
      </c>
      <c r="BN386" s="64">
        <f>IFERROR(Y386*I386/H386,"0")</f>
        <v>1063.328</v>
      </c>
      <c r="BO386" s="64">
        <f>IFERROR(1/J386*(X386/H386),"0")</f>
        <v>1.7361111111111112</v>
      </c>
      <c r="BP386" s="64">
        <f>IFERROR(1/J386*(Y386/H386),"0")</f>
        <v>1.75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5"/>
      <c r="R387" s="565"/>
      <c r="S387" s="565"/>
      <c r="T387" s="566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5"/>
      <c r="R388" s="565"/>
      <c r="S388" s="565"/>
      <c r="T388" s="566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68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70"/>
      <c r="P389" s="567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111.11111111111111</v>
      </c>
      <c r="Y389" s="557">
        <f>IFERROR(Y386/H386,"0")+IFERROR(Y387/H387,"0")+IFERROR(Y388/H388,"0")</f>
        <v>112</v>
      </c>
      <c r="Z389" s="557">
        <f>IFERROR(IF(Z386="",0,Z386),"0")+IFERROR(IF(Z387="",0,Z387),"0")+IFERROR(IF(Z388="",0,Z388),"0")</f>
        <v>2.1257600000000001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70"/>
      <c r="P390" s="567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1000</v>
      </c>
      <c r="Y390" s="557">
        <f>IFERROR(SUM(Y386:Y388),"0")</f>
        <v>1008</v>
      </c>
      <c r="Z390" s="37"/>
      <c r="AA390" s="558"/>
      <c r="AB390" s="558"/>
      <c r="AC390" s="558"/>
    </row>
    <row r="391" spans="1:68" ht="27.75" hidden="1" customHeight="1" x14ac:dyDescent="0.2">
      <c r="A391" s="609" t="s">
        <v>616</v>
      </c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0"/>
      <c r="O391" s="610"/>
      <c r="P391" s="610"/>
      <c r="Q391" s="610"/>
      <c r="R391" s="610"/>
      <c r="S391" s="610"/>
      <c r="T391" s="610"/>
      <c r="U391" s="610"/>
      <c r="V391" s="610"/>
      <c r="W391" s="610"/>
      <c r="X391" s="610"/>
      <c r="Y391" s="610"/>
      <c r="Z391" s="610"/>
      <c r="AA391" s="48"/>
      <c r="AB391" s="48"/>
      <c r="AC391" s="48"/>
    </row>
    <row r="392" spans="1:68" ht="16.5" hidden="1" customHeight="1" x14ac:dyDescent="0.25">
      <c r="A392" s="577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hidden="1" customHeight="1" x14ac:dyDescent="0.25">
      <c r="A393" s="576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0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5"/>
      <c r="R395" s="565"/>
      <c r="S395" s="565"/>
      <c r="T395" s="566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5"/>
      <c r="R396" s="565"/>
      <c r="S396" s="565"/>
      <c r="T396" s="566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9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5"/>
      <c r="R400" s="565"/>
      <c r="S400" s="565"/>
      <c r="T400" s="566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5"/>
      <c r="R401" s="565"/>
      <c r="S401" s="565"/>
      <c r="T401" s="566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8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5"/>
      <c r="R402" s="565"/>
      <c r="S402" s="565"/>
      <c r="T402" s="566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68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70"/>
      <c r="P403" s="567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70"/>
      <c r="P404" s="567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76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5"/>
      <c r="R406" s="565"/>
      <c r="S406" s="565"/>
      <c r="T406" s="566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8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5"/>
      <c r="R407" s="565"/>
      <c r="S407" s="565"/>
      <c r="T407" s="566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8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70"/>
      <c r="P408" s="567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70"/>
      <c r="P409" s="567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77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hidden="1" customHeight="1" x14ac:dyDescent="0.25">
      <c r="A411" s="576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6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5"/>
      <c r="R412" s="565"/>
      <c r="S412" s="565"/>
      <c r="T412" s="566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68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70"/>
      <c r="P413" s="567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70"/>
      <c r="P414" s="567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76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7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5"/>
      <c r="R416" s="565"/>
      <c r="S416" s="565"/>
      <c r="T416" s="566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59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5"/>
      <c r="R417" s="565"/>
      <c r="S417" s="565"/>
      <c r="T417" s="566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5"/>
      <c r="R418" s="565"/>
      <c r="S418" s="565"/>
      <c r="T418" s="566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5"/>
      <c r="R419" s="565"/>
      <c r="S419" s="565"/>
      <c r="T419" s="566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8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70"/>
      <c r="P420" s="567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70"/>
      <c r="P421" s="567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77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hidden="1" customHeight="1" x14ac:dyDescent="0.25">
      <c r="A423" s="576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5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5"/>
      <c r="R424" s="565"/>
      <c r="S424" s="565"/>
      <c r="T424" s="566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68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70"/>
      <c r="P425" s="567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70"/>
      <c r="P426" s="567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609" t="s">
        <v>667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48"/>
      <c r="AB427" s="48"/>
      <c r="AC427" s="48"/>
    </row>
    <row r="428" spans="1:68" ht="16.5" hidden="1" customHeight="1" x14ac:dyDescent="0.25">
      <c r="A428" s="577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hidden="1" customHeight="1" x14ac:dyDescent="0.25">
      <c r="A429" s="576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5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5"/>
      <c r="R430" s="565"/>
      <c r="S430" s="565"/>
      <c r="T430" s="566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7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5"/>
      <c r="R431" s="565"/>
      <c r="S431" s="565"/>
      <c r="T431" s="566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87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5"/>
      <c r="R432" s="565"/>
      <c r="S432" s="565"/>
      <c r="T432" s="566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6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6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5"/>
      <c r="R434" s="565"/>
      <c r="S434" s="565"/>
      <c r="T434" s="566"/>
      <c r="U434" s="34"/>
      <c r="V434" s="34"/>
      <c r="W434" s="35" t="s">
        <v>69</v>
      </c>
      <c r="X434" s="555">
        <v>1000</v>
      </c>
      <c r="Y434" s="556">
        <f t="shared" si="52"/>
        <v>1003.2</v>
      </c>
      <c r="Z434" s="36">
        <f t="shared" si="53"/>
        <v>2.2724000000000002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1066.2878787878788</v>
      </c>
      <c r="BN434" s="64">
        <f t="shared" si="55"/>
        <v>1069.7</v>
      </c>
      <c r="BO434" s="64">
        <f t="shared" si="56"/>
        <v>1.821095571095571</v>
      </c>
      <c r="BP434" s="64">
        <f t="shared" si="57"/>
        <v>1.8269230769230771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6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5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87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5"/>
      <c r="R437" s="565"/>
      <c r="S437" s="565"/>
      <c r="T437" s="566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5"/>
      <c r="R439" s="565"/>
      <c r="S439" s="565"/>
      <c r="T439" s="566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5"/>
      <c r="R440" s="565"/>
      <c r="S440" s="565"/>
      <c r="T440" s="566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5"/>
      <c r="R441" s="565"/>
      <c r="S441" s="565"/>
      <c r="T441" s="566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70"/>
      <c r="P442" s="567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189.39393939393938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190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2.2724000000000002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70"/>
      <c r="P443" s="567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1000</v>
      </c>
      <c r="Y443" s="557">
        <f>IFERROR(SUM(Y430:Y441),"0")</f>
        <v>1003.2</v>
      </c>
      <c r="Z443" s="37"/>
      <c r="AA443" s="558"/>
      <c r="AB443" s="558"/>
      <c r="AC443" s="558"/>
    </row>
    <row r="444" spans="1:68" ht="14.25" hidden="1" customHeight="1" x14ac:dyDescent="0.25">
      <c r="A444" s="576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6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5"/>
      <c r="R445" s="565"/>
      <c r="S445" s="565"/>
      <c r="T445" s="566"/>
      <c r="U445" s="34"/>
      <c r="V445" s="34"/>
      <c r="W445" s="35" t="s">
        <v>69</v>
      </c>
      <c r="X445" s="555">
        <v>1000</v>
      </c>
      <c r="Y445" s="556">
        <f>IFERROR(IF(X445="",0,CEILING((X445/$H445),1)*$H445),"")</f>
        <v>1003.2</v>
      </c>
      <c r="Z445" s="36">
        <f>IFERROR(IF(Y445=0,"",ROUNDUP(Y445/H445,0)*0.01196),"")</f>
        <v>2.2724000000000002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1066.2878787878788</v>
      </c>
      <c r="BN445" s="64">
        <f>IFERROR(Y445*I445/H445,"0")</f>
        <v>1069.7</v>
      </c>
      <c r="BO445" s="64">
        <f>IFERROR(1/J445*(X445/H445),"0")</f>
        <v>1.821095571095571</v>
      </c>
      <c r="BP445" s="64">
        <f>IFERROR(1/J445*(Y445/H445),"0")</f>
        <v>1.8269230769230771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2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5"/>
      <c r="R446" s="565"/>
      <c r="S446" s="565"/>
      <c r="T446" s="566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5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5"/>
      <c r="R447" s="565"/>
      <c r="S447" s="565"/>
      <c r="T447" s="566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70"/>
      <c r="P448" s="567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189.39393939393938</v>
      </c>
      <c r="Y448" s="557">
        <f>IFERROR(Y445/H445,"0")+IFERROR(Y446/H446,"0")+IFERROR(Y447/H447,"0")</f>
        <v>190</v>
      </c>
      <c r="Z448" s="557">
        <f>IFERROR(IF(Z445="",0,Z445),"0")+IFERROR(IF(Z446="",0,Z446),"0")+IFERROR(IF(Z447="",0,Z447),"0")</f>
        <v>2.2724000000000002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70"/>
      <c r="P449" s="567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1000</v>
      </c>
      <c r="Y449" s="557">
        <f>IFERROR(SUM(Y445:Y447),"0")</f>
        <v>1003.2</v>
      </c>
      <c r="Z449" s="37"/>
      <c r="AA449" s="558"/>
      <c r="AB449" s="558"/>
      <c r="AC449" s="558"/>
    </row>
    <row r="450" spans="1:68" ht="14.25" hidden="1" customHeight="1" x14ac:dyDescent="0.25">
      <c r="A450" s="576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5"/>
      <c r="R452" s="565"/>
      <c r="S452" s="565"/>
      <c r="T452" s="566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83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5"/>
      <c r="R453" s="565"/>
      <c r="S453" s="565"/>
      <c r="T453" s="566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8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5"/>
      <c r="R454" s="565"/>
      <c r="S454" s="565"/>
      <c r="T454" s="566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5"/>
      <c r="R455" s="565"/>
      <c r="S455" s="565"/>
      <c r="T455" s="566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8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5"/>
      <c r="R456" s="565"/>
      <c r="S456" s="565"/>
      <c r="T456" s="566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70"/>
      <c r="P457" s="567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70"/>
      <c r="P458" s="567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76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68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5"/>
      <c r="R460" s="565"/>
      <c r="S460" s="565"/>
      <c r="T460" s="566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70"/>
      <c r="P461" s="567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70"/>
      <c r="P462" s="567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609" t="s">
        <v>722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48"/>
      <c r="AB463" s="48"/>
      <c r="AC463" s="48"/>
    </row>
    <row r="464" spans="1:68" ht="16.5" hidden="1" customHeight="1" x14ac:dyDescent="0.25">
      <c r="A464" s="577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hidden="1" customHeight="1" x14ac:dyDescent="0.25">
      <c r="A465" s="576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5"/>
      <c r="R467" s="565"/>
      <c r="S467" s="565"/>
      <c r="T467" s="566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86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5"/>
      <c r="R468" s="565"/>
      <c r="S468" s="565"/>
      <c r="T468" s="566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82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5"/>
      <c r="R469" s="565"/>
      <c r="S469" s="565"/>
      <c r="T469" s="566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70"/>
      <c r="P470" s="567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70"/>
      <c r="P471" s="567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76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5"/>
      <c r="R473" s="565"/>
      <c r="S473" s="565"/>
      <c r="T473" s="566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8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5"/>
      <c r="R474" s="565"/>
      <c r="S474" s="565"/>
      <c r="T474" s="566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70"/>
      <c r="P475" s="567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70"/>
      <c r="P476" s="567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76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5"/>
      <c r="R478" s="565"/>
      <c r="S478" s="565"/>
      <c r="T478" s="566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82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70"/>
      <c r="P480" s="567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70"/>
      <c r="P481" s="567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76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70"/>
      <c r="P484" s="567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70"/>
      <c r="P485" s="567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76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5"/>
      <c r="R487" s="565"/>
      <c r="S487" s="565"/>
      <c r="T487" s="566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0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5"/>
      <c r="R488" s="565"/>
      <c r="S488" s="565"/>
      <c r="T488" s="566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70"/>
      <c r="P489" s="567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70"/>
      <c r="P490" s="567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77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hidden="1" customHeight="1" x14ac:dyDescent="0.25">
      <c r="A492" s="576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82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5"/>
      <c r="R493" s="565"/>
      <c r="S493" s="565"/>
      <c r="T493" s="566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70"/>
      <c r="P494" s="567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70"/>
      <c r="P495" s="567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640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641"/>
      <c r="P496" s="571" t="s">
        <v>758</v>
      </c>
      <c r="Q496" s="572"/>
      <c r="R496" s="572"/>
      <c r="S496" s="572"/>
      <c r="T496" s="572"/>
      <c r="U496" s="572"/>
      <c r="V496" s="573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14500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14519.400000000001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641"/>
      <c r="P497" s="571" t="s">
        <v>759</v>
      </c>
      <c r="Q497" s="572"/>
      <c r="R497" s="572"/>
      <c r="S497" s="572"/>
      <c r="T497" s="572"/>
      <c r="U497" s="572"/>
      <c r="V497" s="573"/>
      <c r="W497" s="37" t="s">
        <v>69</v>
      </c>
      <c r="X497" s="557">
        <f>IFERROR(SUM(BM22:BM493),"0")</f>
        <v>15047.797979797977</v>
      </c>
      <c r="Y497" s="557">
        <f>IFERROR(SUM(BN22:BN493),"0")</f>
        <v>15068.218000000003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641"/>
      <c r="P498" s="571" t="s">
        <v>760</v>
      </c>
      <c r="Q498" s="572"/>
      <c r="R498" s="572"/>
      <c r="S498" s="572"/>
      <c r="T498" s="572"/>
      <c r="U498" s="572"/>
      <c r="V498" s="573"/>
      <c r="W498" s="37" t="s">
        <v>761</v>
      </c>
      <c r="X498" s="38">
        <f>ROUNDUP(SUM(BO22:BO493),0)</f>
        <v>22</v>
      </c>
      <c r="Y498" s="38">
        <f>ROUNDUP(SUM(BP22:BP493),0)</f>
        <v>22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641"/>
      <c r="P499" s="571" t="s">
        <v>762</v>
      </c>
      <c r="Q499" s="572"/>
      <c r="R499" s="572"/>
      <c r="S499" s="572"/>
      <c r="T499" s="572"/>
      <c r="U499" s="572"/>
      <c r="V499" s="573"/>
      <c r="W499" s="37" t="s">
        <v>69</v>
      </c>
      <c r="X499" s="557">
        <f>GrossWeightTotal+PalletQtyTotal*25</f>
        <v>15597.797979797977</v>
      </c>
      <c r="Y499" s="557">
        <f>GrossWeightTotalR+PalletQtyTotalR*25</f>
        <v>15618.218000000003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641"/>
      <c r="P500" s="571" t="s">
        <v>763</v>
      </c>
      <c r="Q500" s="572"/>
      <c r="R500" s="572"/>
      <c r="S500" s="572"/>
      <c r="T500" s="572"/>
      <c r="U500" s="572"/>
      <c r="V500" s="573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1256.5656565656568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1259</v>
      </c>
      <c r="Z500" s="37"/>
      <c r="AA500" s="558"/>
      <c r="AB500" s="558"/>
      <c r="AC500" s="558"/>
    </row>
    <row r="501" spans="1:32" ht="14.25" hidden="1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641"/>
      <c r="P501" s="571" t="s">
        <v>764</v>
      </c>
      <c r="Q501" s="572"/>
      <c r="R501" s="572"/>
      <c r="S501" s="572"/>
      <c r="T501" s="572"/>
      <c r="U501" s="572"/>
      <c r="V501" s="573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23.352809999999998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79" t="s">
        <v>101</v>
      </c>
      <c r="D503" s="581"/>
      <c r="E503" s="581"/>
      <c r="F503" s="581"/>
      <c r="G503" s="581"/>
      <c r="H503" s="582"/>
      <c r="I503" s="579" t="s">
        <v>268</v>
      </c>
      <c r="J503" s="581"/>
      <c r="K503" s="581"/>
      <c r="L503" s="581"/>
      <c r="M503" s="581"/>
      <c r="N503" s="581"/>
      <c r="O503" s="581"/>
      <c r="P503" s="581"/>
      <c r="Q503" s="581"/>
      <c r="R503" s="582"/>
      <c r="S503" s="579" t="s">
        <v>562</v>
      </c>
      <c r="T503" s="582"/>
      <c r="U503" s="579" t="s">
        <v>616</v>
      </c>
      <c r="V503" s="581"/>
      <c r="W503" s="582"/>
      <c r="X503" s="552" t="s">
        <v>667</v>
      </c>
      <c r="Y503" s="579" t="s">
        <v>722</v>
      </c>
      <c r="Z503" s="582"/>
      <c r="AB503" s="52"/>
      <c r="AC503" s="52"/>
      <c r="AF503" s="553"/>
    </row>
    <row r="504" spans="1:32" ht="14.25" customHeight="1" thickTop="1" x14ac:dyDescent="0.2">
      <c r="A504" s="708" t="s">
        <v>767</v>
      </c>
      <c r="B504" s="579" t="s">
        <v>63</v>
      </c>
      <c r="C504" s="579" t="s">
        <v>102</v>
      </c>
      <c r="D504" s="579" t="s">
        <v>119</v>
      </c>
      <c r="E504" s="579" t="s">
        <v>170</v>
      </c>
      <c r="F504" s="579" t="s">
        <v>192</v>
      </c>
      <c r="G504" s="579" t="s">
        <v>229</v>
      </c>
      <c r="H504" s="579" t="s">
        <v>101</v>
      </c>
      <c r="I504" s="579" t="s">
        <v>269</v>
      </c>
      <c r="J504" s="579" t="s">
        <v>327</v>
      </c>
      <c r="K504" s="579" t="s">
        <v>387</v>
      </c>
      <c r="L504" s="579" t="s">
        <v>428</v>
      </c>
      <c r="M504" s="579" t="s">
        <v>444</v>
      </c>
      <c r="N504" s="553"/>
      <c r="O504" s="579" t="s">
        <v>455</v>
      </c>
      <c r="P504" s="579" t="s">
        <v>464</v>
      </c>
      <c r="Q504" s="579" t="s">
        <v>477</v>
      </c>
      <c r="R504" s="579" t="s">
        <v>552</v>
      </c>
      <c r="S504" s="579" t="s">
        <v>563</v>
      </c>
      <c r="T504" s="579" t="s">
        <v>598</v>
      </c>
      <c r="U504" s="579" t="s">
        <v>617</v>
      </c>
      <c r="V504" s="579" t="s">
        <v>648</v>
      </c>
      <c r="W504" s="579" t="s">
        <v>663</v>
      </c>
      <c r="X504" s="579" t="s">
        <v>667</v>
      </c>
      <c r="Y504" s="579" t="s">
        <v>722</v>
      </c>
      <c r="Z504" s="579" t="s">
        <v>754</v>
      </c>
      <c r="AB504" s="52"/>
      <c r="AC504" s="52"/>
      <c r="AF504" s="553"/>
    </row>
    <row r="505" spans="1:32" ht="13.5" customHeight="1" thickBot="1" x14ac:dyDescent="0.25">
      <c r="A505" s="709"/>
      <c r="B505" s="580"/>
      <c r="C505" s="580"/>
      <c r="D505" s="580"/>
      <c r="E505" s="580"/>
      <c r="F505" s="580"/>
      <c r="G505" s="580"/>
      <c r="H505" s="580"/>
      <c r="I505" s="580"/>
      <c r="J505" s="580"/>
      <c r="K505" s="580"/>
      <c r="L505" s="580"/>
      <c r="M505" s="580"/>
      <c r="N505" s="553"/>
      <c r="O505" s="580"/>
      <c r="P505" s="580"/>
      <c r="Q505" s="580"/>
      <c r="R505" s="580"/>
      <c r="S505" s="580"/>
      <c r="T505" s="580"/>
      <c r="U505" s="580"/>
      <c r="V505" s="580"/>
      <c r="W505" s="580"/>
      <c r="X505" s="580"/>
      <c r="Y505" s="580"/>
      <c r="Z505" s="580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11505</v>
      </c>
      <c r="T506" s="46">
        <f>IFERROR(Y376*1,"0")+IFERROR(Y377*1,"0")+IFERROR(Y381*1,"0")+IFERROR(Y382*1,"0")+IFERROR(Y386*1,"0")+IFERROR(Y387*1,"0")+IFERROR(Y388*1,"0")</f>
        <v>1008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2006.4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56,57"/>
        <filter val="1 500,00"/>
        <filter val="111,11"/>
        <filter val="14 500,00"/>
        <filter val="15 047,80"/>
        <filter val="15 597,80"/>
        <filter val="189,39"/>
        <filter val="200,00"/>
        <filter val="22"/>
        <filter val="3 000,00"/>
        <filter val="4 000,00"/>
        <filter val="566,67"/>
        <filter val="8 500,00"/>
      </filters>
    </filterColumn>
    <filterColumn colId="29" showButton="0"/>
    <filterColumn colId="30" showButton="0"/>
  </autoFilter>
  <mergeCells count="888"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