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FA63CE-BCBF-43A5-971D-43B6A3D342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8" i="1" l="1"/>
  <c r="Z383" i="1"/>
  <c r="Z363" i="1"/>
  <c r="Z230" i="1"/>
  <c r="Z304" i="1"/>
  <c r="Z134" i="1"/>
  <c r="Z105" i="1"/>
  <c r="Z457" i="1"/>
  <c r="Z225" i="1"/>
  <c r="Z213" i="1"/>
  <c r="Z76" i="1"/>
  <c r="Z420" i="1"/>
  <c r="Z408" i="1"/>
  <c r="Z358" i="1"/>
  <c r="Z320" i="1"/>
  <c r="Z480" i="1"/>
  <c r="Z368" i="1"/>
  <c r="Z202" i="1"/>
  <c r="Z181" i="1"/>
  <c r="Z145" i="1"/>
  <c r="Z96" i="1"/>
  <c r="Z81" i="1"/>
  <c r="Z64" i="1"/>
  <c r="Z58" i="1"/>
  <c r="Z32" i="1"/>
  <c r="Z346" i="1"/>
  <c r="Z187" i="1"/>
  <c r="Z154" i="1"/>
  <c r="Z89" i="1"/>
  <c r="Z442" i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<sst xmlns="http://schemas.openxmlformats.org/spreadsheetml/2006/main" count="2386" uniqueCount="785">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</sst>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46036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Среда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30</v>
      </c>
      <c r="Y41" s="556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31.138888888888889</v>
      </c>
      <c r="BN41" s="64">
        <f>IFERROR(Y41*I41/H41,"0")</f>
        <v>33.630000000000003</v>
      </c>
      <c r="BO41" s="64">
        <f>IFERROR(1/J41*(X41/H41),"0")</f>
        <v>4.3402777777777776E-2</v>
      </c>
      <c r="BP41" s="64">
        <f>IFERROR(1/J41*(Y41/H41),"0")</f>
        <v>4.6875000000000007E-2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2.7777777777777777</v>
      </c>
      <c r="Y44" s="557">
        <f>IFERROR(Y41/H41,"0")+IFERROR(Y42/H42,"0")+IFERROR(Y43/H43,"0")</f>
        <v>3.0000000000000004</v>
      </c>
      <c r="Z44" s="557">
        <f>IFERROR(IF(Z41="",0,Z41),"0")+IFERROR(IF(Z42="",0,Z42),"0")+IFERROR(IF(Z43="",0,Z43),"0")</f>
        <v>5.6940000000000004E-2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30</v>
      </c>
      <c r="Y45" s="557">
        <f>IFERROR(SUM(Y41:Y43),"0")</f>
        <v>32.400000000000006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200</v>
      </c>
      <c r="Y53" s="55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54</v>
      </c>
      <c r="Y57" s="556">
        <f t="shared" si="0"/>
        <v>54</v>
      </c>
      <c r="Z57" s="36">
        <f>IFERROR(IF(Y57=0,"",ROUNDUP(Y57/H57,0)*0.00902),"")</f>
        <v>0.10824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56.28</v>
      </c>
      <c r="BN57" s="64">
        <f t="shared" si="2"/>
        <v>56.28</v>
      </c>
      <c r="BO57" s="64">
        <f t="shared" si="3"/>
        <v>9.0909090909090912E-2</v>
      </c>
      <c r="BP57" s="64">
        <f t="shared" si="4"/>
        <v>9.0909090909090912E-2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30.518518518518519</v>
      </c>
      <c r="Y58" s="557">
        <f>IFERROR(Y52/H52,"0")+IFERROR(Y53/H53,"0")+IFERROR(Y54/H54,"0")+IFERROR(Y55/H55,"0")+IFERROR(Y56/H56,"0")+IFERROR(Y57/H57,"0")</f>
        <v>31</v>
      </c>
      <c r="Z58" s="557">
        <f>IFERROR(IF(Z52="",0,Z52),"0")+IFERROR(IF(Z53="",0,Z53),"0")+IFERROR(IF(Z54="",0,Z54),"0")+IFERROR(IF(Z55="",0,Z55),"0")+IFERROR(IF(Z56="",0,Z56),"0")+IFERROR(IF(Z57="",0,Z57),"0")</f>
        <v>0.46886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254</v>
      </c>
      <c r="Y59" s="557">
        <f>IFERROR(SUM(Y52:Y57),"0")</f>
        <v>259.20000000000005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120</v>
      </c>
      <c r="Y61" s="556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22.5</v>
      </c>
      <c r="Y63" s="556">
        <f>IFERROR(IF(X63="",0,CEILING((X63/$H63),1)*$H63),"")</f>
        <v>24.3</v>
      </c>
      <c r="Z63" s="36">
        <f>IFERROR(IF(Y63=0,"",ROUNDUP(Y63/H63,0)*0.00651),"")</f>
        <v>5.8590000000000003E-2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23.999999999999996</v>
      </c>
      <c r="BN63" s="64">
        <f>IFERROR(Y63*I63/H63,"0")</f>
        <v>25.919999999999995</v>
      </c>
      <c r="BO63" s="64">
        <f>IFERROR(1/J63*(X63/H63),"0")</f>
        <v>4.5787545787545784E-2</v>
      </c>
      <c r="BP63" s="64">
        <f>IFERROR(1/J63*(Y63/H63),"0")</f>
        <v>4.9450549450549455E-2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19.444444444444443</v>
      </c>
      <c r="Y64" s="557">
        <f>IFERROR(Y61/H61,"0")+IFERROR(Y62/H62,"0")+IFERROR(Y63/H63,"0")</f>
        <v>21</v>
      </c>
      <c r="Z64" s="557">
        <f>IFERROR(IF(Z61="",0,Z61),"0")+IFERROR(IF(Z62="",0,Z62),"0")+IFERROR(IF(Z63="",0,Z63),"0")</f>
        <v>0.28634999999999999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142.5</v>
      </c>
      <c r="Y65" s="557">
        <f>IFERROR(SUM(Y61:Y63),"0")</f>
        <v>153.90000000000003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20</v>
      </c>
      <c r="Y85" s="556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20.75925925925926</v>
      </c>
      <c r="BN85" s="64">
        <f>IFERROR(Y85*I85/H85,"0")</f>
        <v>22.42</v>
      </c>
      <c r="BO85" s="64">
        <f>IFERROR(1/J85*(X85/H85),"0")</f>
        <v>2.8935185185185182E-2</v>
      </c>
      <c r="BP85" s="64">
        <f>IFERROR(1/J85*(Y85/H85),"0")</f>
        <v>3.125E-2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9</v>
      </c>
      <c r="Y88" s="55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3.8518518518518516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5.6000000000000001E-2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29</v>
      </c>
      <c r="Y90" s="557">
        <f>IFERROR(SUM(Y85:Y88),"0")</f>
        <v>30.6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10</v>
      </c>
      <c r="Y92" s="556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10.609876543209877</v>
      </c>
      <c r="BN92" s="64">
        <f>IFERROR(Y92*I92/H92,"0")</f>
        <v>17.187999999999999</v>
      </c>
      <c r="BO92" s="64">
        <f>IFERROR(1/J92*(X92/H92),"0")</f>
        <v>1.9290123456790126E-2</v>
      </c>
      <c r="BP92" s="64">
        <f>IFERROR(1/J92*(Y92/H92),"0")</f>
        <v>3.125E-2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1.2345679012345681</v>
      </c>
      <c r="Y96" s="557">
        <f>IFERROR(Y92/H92,"0")+IFERROR(Y93/H93,"0")+IFERROR(Y94/H94,"0")+IFERROR(Y95/H95,"0")</f>
        <v>2</v>
      </c>
      <c r="Z96" s="557">
        <f>IFERROR(IF(Z92="",0,Z92),"0")+IFERROR(IF(Z93="",0,Z93),"0")+IFERROR(IF(Z94="",0,Z94),"0")+IFERROR(IF(Z95="",0,Z95),"0")</f>
        <v>3.7960000000000001E-2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10</v>
      </c>
      <c r="Y97" s="557">
        <f>IFERROR(SUM(Y92:Y95),"0")</f>
        <v>16.2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7.5</v>
      </c>
      <c r="Y102" s="556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2</v>
      </c>
      <c r="Y105" s="557">
        <f>IFERROR(Y100/H100,"0")+IFERROR(Y101/H101,"0")+IFERROR(Y102/H102,"0")+IFERROR(Y103/H103,"0")+IFERROR(Y104/H104,"0")</f>
        <v>2</v>
      </c>
      <c r="Z105" s="557">
        <f>IFERROR(IF(Z100="",0,Z100),"0")+IFERROR(IF(Z101="",0,Z101),"0")+IFERROR(IF(Z102="",0,Z102),"0")+IFERROR(IF(Z103="",0,Z103),"0")+IFERROR(IF(Z104="",0,Z104),"0")</f>
        <v>1.804E-2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7.5</v>
      </c>
      <c r="Y106" s="557">
        <f>IFERROR(SUM(Y100:Y104),"0")</f>
        <v>7.5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15</v>
      </c>
      <c r="Y115" s="556">
        <f>IFERROR(IF(X115="",0,CEILING((X115/$H115),1)*$H115),"")</f>
        <v>16.2</v>
      </c>
      <c r="Z115" s="36">
        <f>IFERROR(IF(Y115=0,"",ROUNDUP(Y115/H115,0)*0.01898),"")</f>
        <v>3.7960000000000001E-2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15.903703703703703</v>
      </c>
      <c r="BN115" s="64">
        <f>IFERROR(Y115*I115/H115,"0")</f>
        <v>17.175999999999998</v>
      </c>
      <c r="BO115" s="64">
        <f>IFERROR(1/J115*(X115/H115),"0")</f>
        <v>2.8935185185185185E-2</v>
      </c>
      <c r="BP115" s="64">
        <f>IFERROR(1/J115*(Y115/H115),"0")</f>
        <v>3.125E-2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5.4</v>
      </c>
      <c r="Y117" s="556">
        <f>IFERROR(IF(X117="",0,CEILING((X117/$H117),1)*$H117),"")</f>
        <v>5.4</v>
      </c>
      <c r="Z117" s="36">
        <f>IFERROR(IF(Y117=0,"",ROUNDUP(Y117/H117,0)*0.00651),"")</f>
        <v>1.302E-2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5.9039999999999999</v>
      </c>
      <c r="BN117" s="64">
        <f>IFERROR(Y117*I117/H117,"0")</f>
        <v>5.9039999999999999</v>
      </c>
      <c r="BO117" s="64">
        <f>IFERROR(1/J117*(X117/H117),"0")</f>
        <v>1.098901098901099E-2</v>
      </c>
      <c r="BP117" s="64">
        <f>IFERROR(1/J117*(Y117/H117),"0")</f>
        <v>1.098901098901099E-2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3.8518518518518521</v>
      </c>
      <c r="Y119" s="557">
        <f>IFERROR(Y115/H115,"0")+IFERROR(Y116/H116,"0")+IFERROR(Y117/H117,"0")+IFERROR(Y118/H118,"0")</f>
        <v>4</v>
      </c>
      <c r="Z119" s="557">
        <f>IFERROR(IF(Z115="",0,Z115),"0")+IFERROR(IF(Z116="",0,Z116),"0")+IFERROR(IF(Z117="",0,Z117),"0")+IFERROR(IF(Z118="",0,Z118),"0")</f>
        <v>5.0979999999999998E-2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20.399999999999999</v>
      </c>
      <c r="Y120" s="557">
        <f>IFERROR(SUM(Y115:Y118),"0")</f>
        <v>21.6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12</v>
      </c>
      <c r="Y127" s="556">
        <f>IFERROR(IF(X127="",0,CEILING((X127/$H127),1)*$H127),"")</f>
        <v>12.8</v>
      </c>
      <c r="Z127" s="36">
        <f>IFERROR(IF(Y127=0,"",ROUNDUP(Y127/H127,0)*0.00651),"")</f>
        <v>2.6040000000000001E-2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12.675000000000001</v>
      </c>
      <c r="BN127" s="64">
        <f>IFERROR(Y127*I127/H127,"0")</f>
        <v>13.52</v>
      </c>
      <c r="BO127" s="64">
        <f>IFERROR(1/J127*(X127/H127),"0")</f>
        <v>2.0604395604395608E-2</v>
      </c>
      <c r="BP127" s="64">
        <f>IFERROR(1/J127*(Y127/H127),"0")</f>
        <v>2.197802197802198E-2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3.75</v>
      </c>
      <c r="Y129" s="557">
        <f>IFERROR(Y127/H127,"0")+IFERROR(Y128/H128,"0")</f>
        <v>4</v>
      </c>
      <c r="Z129" s="557">
        <f>IFERROR(IF(Z127="",0,Z127),"0")+IFERROR(IF(Z128="",0,Z128),"0")</f>
        <v>2.6040000000000001E-2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12</v>
      </c>
      <c r="Y130" s="557">
        <f>IFERROR(SUM(Y127:Y128),"0")</f>
        <v>12.8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8</v>
      </c>
      <c r="Y169" s="556">
        <f t="shared" si="10"/>
        <v>8.4</v>
      </c>
      <c r="Z169" s="36">
        <f>IFERROR(IF(Y169=0,"",ROUNDUP(Y169/H169,0)*0.00902),"")</f>
        <v>1.804E-2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8.4761904761904763</v>
      </c>
      <c r="BN169" s="64">
        <f t="shared" si="12"/>
        <v>8.9</v>
      </c>
      <c r="BO169" s="64">
        <f t="shared" si="13"/>
        <v>1.443001443001443E-2</v>
      </c>
      <c r="BP169" s="64">
        <f t="shared" si="14"/>
        <v>1.5151515151515152E-2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1.9047619047619047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1.804E-2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8</v>
      </c>
      <c r="Y182" s="557">
        <f>IFERROR(SUM(Y167:Y180),"0")</f>
        <v>8.4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20</v>
      </c>
      <c r="Y263" s="556">
        <f>IFERROR(IF(X263="",0,CEILING((X263/$H263),1)*$H263),"")</f>
        <v>21.6</v>
      </c>
      <c r="Z263" s="36">
        <f>IFERROR(IF(Y263=0,"",ROUNDUP(Y263/H263,0)*0.01898),"")</f>
        <v>3.7960000000000001E-2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20.75925925925926</v>
      </c>
      <c r="BN263" s="64">
        <f>IFERROR(Y263*I263/H263,"0")</f>
        <v>22.42</v>
      </c>
      <c r="BO263" s="64">
        <f>IFERROR(1/J263*(X263/H263),"0")</f>
        <v>2.8935185185185182E-2</v>
      </c>
      <c r="BP263" s="64">
        <f>IFERROR(1/J263*(Y263/H263),"0")</f>
        <v>3.125E-2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6.481481481481481</v>
      </c>
      <c r="Y268" s="557">
        <f>IFERROR(Y263/H263,"0")+IFERROR(Y264/H264,"0")+IFERROR(Y265/H265,"0")+IFERROR(Y266/H266,"0")+IFERROR(Y267/H267,"0")</f>
        <v>7</v>
      </c>
      <c r="Z268" s="557">
        <f>IFERROR(IF(Z263="",0,Z263),"0")+IFERROR(IF(Z264="",0,Z264),"0")+IFERROR(IF(Z265="",0,Z265),"0")+IFERROR(IF(Z266="",0,Z266),"0")+IFERROR(IF(Z267="",0,Z267),"0")</f>
        <v>0.13286000000000001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70</v>
      </c>
      <c r="Y269" s="557">
        <f>IFERROR(SUM(Y263:Y267),"0")</f>
        <v>75.599999999999994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40</v>
      </c>
      <c r="Y299" s="556">
        <f t="shared" si="31"/>
        <v>43.2</v>
      </c>
      <c r="Z299" s="36">
        <f>IFERROR(IF(Y299=0,"",ROUNDUP(Y299/H299,0)*0.01898),"")</f>
        <v>7.5920000000000001E-2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41.518518518518519</v>
      </c>
      <c r="BN299" s="64">
        <f t="shared" si="33"/>
        <v>44.84</v>
      </c>
      <c r="BO299" s="64">
        <f t="shared" si="34"/>
        <v>5.7870370370370364E-2</v>
      </c>
      <c r="BP299" s="64">
        <f t="shared" si="35"/>
        <v>6.25E-2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30</v>
      </c>
      <c r="Y300" s="556">
        <f t="shared" si="31"/>
        <v>32.400000000000006</v>
      </c>
      <c r="Z300" s="36">
        <f>IFERROR(IF(Y300=0,"",ROUNDUP(Y300/H300,0)*0.01898),"")</f>
        <v>5.6940000000000004E-2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31.138888888888889</v>
      </c>
      <c r="BN300" s="64">
        <f t="shared" si="33"/>
        <v>33.630000000000003</v>
      </c>
      <c r="BO300" s="64">
        <f t="shared" si="34"/>
        <v>4.3402777777777776E-2</v>
      </c>
      <c r="BP300" s="64">
        <f t="shared" si="35"/>
        <v>4.6875000000000007E-2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200</v>
      </c>
      <c r="Y301" s="556">
        <f t="shared" si="31"/>
        <v>205.20000000000002</v>
      </c>
      <c r="Z301" s="36">
        <f>IFERROR(IF(Y301=0,"",ROUNDUP(Y301/H301,0)*0.01898),"")</f>
        <v>0.36062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207.59259259259258</v>
      </c>
      <c r="BN301" s="64">
        <f t="shared" si="33"/>
        <v>212.99</v>
      </c>
      <c r="BO301" s="64">
        <f t="shared" si="34"/>
        <v>0.28935185185185186</v>
      </c>
      <c r="BP301" s="64">
        <f t="shared" si="35"/>
        <v>0.296875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16</v>
      </c>
      <c r="Y302" s="556">
        <f t="shared" si="31"/>
        <v>16</v>
      </c>
      <c r="Z302" s="36">
        <f>IFERROR(IF(Y302=0,"",ROUNDUP(Y302/H302,0)*0.00902),"")</f>
        <v>3.6080000000000001E-2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16.760000000000002</v>
      </c>
      <c r="BN302" s="64">
        <f t="shared" si="33"/>
        <v>16.760000000000002</v>
      </c>
      <c r="BO302" s="64">
        <f t="shared" si="34"/>
        <v>3.0303030303030304E-2</v>
      </c>
      <c r="BP302" s="64">
        <f t="shared" si="35"/>
        <v>3.0303030303030304E-2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20</v>
      </c>
      <c r="Y303" s="556">
        <f t="shared" si="31"/>
        <v>20</v>
      </c>
      <c r="Z303" s="36">
        <f>IFERROR(IF(Y303=0,"",ROUNDUP(Y303/H303,0)*0.00902),"")</f>
        <v>4.5100000000000001E-2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20.950000000000003</v>
      </c>
      <c r="BN303" s="64">
        <f t="shared" si="33"/>
        <v>20.950000000000003</v>
      </c>
      <c r="BO303" s="64">
        <f t="shared" si="34"/>
        <v>3.787878787878788E-2</v>
      </c>
      <c r="BP303" s="64">
        <f t="shared" si="35"/>
        <v>3.787878787878788E-2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34</v>
      </c>
      <c r="Y304" s="557">
        <f>IFERROR(Y298/H298,"0")+IFERROR(Y299/H299,"0")+IFERROR(Y300/H300,"0")+IFERROR(Y301/H301,"0")+IFERROR(Y302/H302,"0")+IFERROR(Y303/H303,"0")</f>
        <v>35</v>
      </c>
      <c r="Z304" s="557">
        <f>IFERROR(IF(Z298="",0,Z298),"0")+IFERROR(IF(Z299="",0,Z299),"0")+IFERROR(IF(Z300="",0,Z300),"0")+IFERROR(IF(Z301="",0,Z301),"0")+IFERROR(IF(Z302="",0,Z302),"0")+IFERROR(IF(Z303="",0,Z303),"0")</f>
        <v>0.57466000000000006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306</v>
      </c>
      <c r="Y305" s="557">
        <f>IFERROR(SUM(Y298:Y303),"0")</f>
        <v>316.8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40</v>
      </c>
      <c r="Y307" s="556">
        <f t="shared" ref="Y307:Y312" si="36">IFERROR(IF(X307="",0,CEILING((X307/$H307),1)*$H307),"")</f>
        <v>42</v>
      </c>
      <c r="Z307" s="36">
        <f>IFERROR(IF(Y307=0,"",ROUNDUP(Y307/H307,0)*0.00902),"")</f>
        <v>9.0200000000000002E-2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42.38095238095238</v>
      </c>
      <c r="BN307" s="64">
        <f t="shared" ref="BN307:BN312" si="38">IFERROR(Y307*I307/H307,"0")</f>
        <v>44.5</v>
      </c>
      <c r="BO307" s="64">
        <f t="shared" ref="BO307:BO312" si="39">IFERROR(1/J307*(X307/H307),"0")</f>
        <v>7.2150072150072145E-2</v>
      </c>
      <c r="BP307" s="64">
        <f t="shared" ref="BP307:BP312" si="40">IFERROR(1/J307*(Y307/H307),"0")</f>
        <v>7.575757575757576E-2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100</v>
      </c>
      <c r="Y308" s="556">
        <f t="shared" si="36"/>
        <v>100.80000000000001</v>
      </c>
      <c r="Z308" s="36">
        <f>IFERROR(IF(Y308=0,"",ROUNDUP(Y308/H308,0)*0.00902),"")</f>
        <v>0.21648000000000001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105.95238095238095</v>
      </c>
      <c r="BN308" s="64">
        <f t="shared" si="38"/>
        <v>106.80000000000001</v>
      </c>
      <c r="BO308" s="64">
        <f t="shared" si="39"/>
        <v>0.18037518037518038</v>
      </c>
      <c r="BP308" s="64">
        <f t="shared" si="40"/>
        <v>0.18181818181818182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8.3999999999999986</v>
      </c>
      <c r="Y310" s="556">
        <f t="shared" si="36"/>
        <v>8.4</v>
      </c>
      <c r="Z310" s="36">
        <f>IFERROR(IF(Y310=0,"",ROUNDUP(Y310/H310,0)*0.00502),"")</f>
        <v>2.0080000000000001E-2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8.9199999999999982</v>
      </c>
      <c r="BN310" s="64">
        <f t="shared" si="38"/>
        <v>8.92</v>
      </c>
      <c r="BO310" s="64">
        <f t="shared" si="39"/>
        <v>1.7094017094017092E-2</v>
      </c>
      <c r="BP310" s="64">
        <f t="shared" si="40"/>
        <v>1.7094017094017096E-2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37.333333333333336</v>
      </c>
      <c r="Y313" s="557">
        <f>IFERROR(Y307/H307,"0")+IFERROR(Y308/H308,"0")+IFERROR(Y309/H309,"0")+IFERROR(Y310/H310,"0")+IFERROR(Y311/H311,"0")+IFERROR(Y312/H312,"0")</f>
        <v>38</v>
      </c>
      <c r="Z313" s="557">
        <f>IFERROR(IF(Z307="",0,Z307),"0")+IFERROR(IF(Z308="",0,Z308),"0")+IFERROR(IF(Z309="",0,Z309),"0")+IFERROR(IF(Z310="",0,Z310),"0")+IFERROR(IF(Z311="",0,Z311),"0")+IFERROR(IF(Z312="",0,Z312),"0")</f>
        <v>0.32675999999999999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148.4</v>
      </c>
      <c r="Y314" s="557">
        <f>IFERROR(SUM(Y307:Y312),"0")</f>
        <v>151.20000000000002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500</v>
      </c>
      <c r="Y316" s="556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531.28205128205127</v>
      </c>
      <c r="BN316" s="64">
        <f>IFERROR(Y316*I316/H316,"0")</f>
        <v>538.72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64.102564102564102</v>
      </c>
      <c r="Y320" s="557">
        <f>IFERROR(Y316/H316,"0")+IFERROR(Y317/H317,"0")+IFERROR(Y318/H318,"0")+IFERROR(Y319/H319,"0")</f>
        <v>65</v>
      </c>
      <c r="Z320" s="557">
        <f>IFERROR(IF(Z316="",0,Z316),"0")+IFERROR(IF(Z317="",0,Z317),"0")+IFERROR(IF(Z318="",0,Z318),"0")+IFERROR(IF(Z319="",0,Z319),"0")</f>
        <v>1.2337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500</v>
      </c>
      <c r="Y321" s="557">
        <f>IFERROR(SUM(Y316:Y319),"0")</f>
        <v>507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40</v>
      </c>
      <c r="Y324" s="556">
        <f>IFERROR(IF(X324="",0,CEILING((X324/$H324),1)*$H324),"")</f>
        <v>46.8</v>
      </c>
      <c r="Z324" s="36">
        <f>IFERROR(IF(Y324=0,"",ROUNDUP(Y324/H324,0)*0.01898),"")</f>
        <v>0.11388000000000001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42.533333333333331</v>
      </c>
      <c r="BN324" s="64">
        <f>IFERROR(Y324*I324/H324,"0")</f>
        <v>49.764000000000003</v>
      </c>
      <c r="BO324" s="64">
        <f>IFERROR(1/J324*(X324/H324),"0")</f>
        <v>8.0128205128205135E-2</v>
      </c>
      <c r="BP324" s="64">
        <f>IFERROR(1/J324*(Y324/H324),"0")</f>
        <v>9.375E-2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30</v>
      </c>
      <c r="Y325" s="556">
        <f>IFERROR(IF(X325="",0,CEILING((X325/$H325),1)*$H325),"")</f>
        <v>33.6</v>
      </c>
      <c r="Z325" s="36">
        <f>IFERROR(IF(Y325=0,"",ROUNDUP(Y325/H325,0)*0.01898),"")</f>
        <v>7.5920000000000001E-2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31.764285714285712</v>
      </c>
      <c r="BN325" s="64">
        <f>IFERROR(Y325*I325/H325,"0")</f>
        <v>35.576000000000001</v>
      </c>
      <c r="BO325" s="64">
        <f>IFERROR(1/J325*(X325/H325),"0")</f>
        <v>5.5803571428571425E-2</v>
      </c>
      <c r="BP325" s="64">
        <f>IFERROR(1/J325*(Y325/H325),"0")</f>
        <v>6.25E-2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8.6996336996337007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70</v>
      </c>
      <c r="Y327" s="557">
        <f>IFERROR(SUM(Y323:Y325),"0")</f>
        <v>80.400000000000006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1</v>
      </c>
      <c r="Y333" s="557">
        <f>IFERROR(Y329/H329,"0")+IFERROR(Y330/H330,"0")+IFERROR(Y331/H331,"0")+IFERROR(Y332/H332,"0")</f>
        <v>1</v>
      </c>
      <c r="Z333" s="557">
        <f>IFERROR(IF(Z329="",0,Z329),"0")+IFERROR(IF(Z330="",0,Z330),"0")+IFERROR(IF(Z331="",0,Z331),"0")+IFERROR(IF(Z332="",0,Z332),"0")</f>
        <v>6.5100000000000002E-3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2.5499999999999998</v>
      </c>
      <c r="Y334" s="557">
        <f>IFERROR(SUM(Y329:Y332),"0")</f>
        <v>2.5499999999999998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16</v>
      </c>
      <c r="Y343" s="556">
        <f>IFERROR(IF(X343="",0,CEILING((X343/$H343),1)*$H343),"")</f>
        <v>16.2</v>
      </c>
      <c r="Z343" s="36">
        <f>IFERROR(IF(Y343=0,"",ROUNDUP(Y343/H343,0)*0.01898),"")</f>
        <v>3.7960000000000001E-2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16.975802469135804</v>
      </c>
      <c r="BN343" s="64">
        <f>IFERROR(Y343*I343/H343,"0")</f>
        <v>17.187999999999999</v>
      </c>
      <c r="BO343" s="64">
        <f>IFERROR(1/J343*(X343/H343),"0")</f>
        <v>3.0864197530864199E-2</v>
      </c>
      <c r="BP343" s="64">
        <f>IFERROR(1/J343*(Y343/H343),"0")</f>
        <v>3.125E-2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4.1999999999999993</v>
      </c>
      <c r="Y344" s="556">
        <f>IFERROR(IF(X344="",0,CEILING((X344/$H344),1)*$H344),"")</f>
        <v>4.2</v>
      </c>
      <c r="Z344" s="36">
        <f>IFERROR(IF(Y344=0,"",ROUNDUP(Y344/H344,0)*0.00651),"")</f>
        <v>1.302E-2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4.7039999999999988</v>
      </c>
      <c r="BN344" s="64">
        <f>IFERROR(Y344*I344/H344,"0")</f>
        <v>4.7039999999999997</v>
      </c>
      <c r="BO344" s="64">
        <f>IFERROR(1/J344*(X344/H344),"0")</f>
        <v>1.0989010989010988E-2</v>
      </c>
      <c r="BP344" s="64">
        <f>IFERROR(1/J344*(Y344/H344),"0")</f>
        <v>1.098901098901099E-2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2.1</v>
      </c>
      <c r="Y345" s="556">
        <f>IFERROR(IF(X345="",0,CEILING((X345/$H345),1)*$H345),"")</f>
        <v>2.1</v>
      </c>
      <c r="Z345" s="36">
        <f>IFERROR(IF(Y345=0,"",ROUNDUP(Y345/H345,0)*0.00651),"")</f>
        <v>6.5100000000000002E-3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2.34</v>
      </c>
      <c r="BN345" s="64">
        <f>IFERROR(Y345*I345/H345,"0")</f>
        <v>2.34</v>
      </c>
      <c r="BO345" s="64">
        <f>IFERROR(1/J345*(X345/H345),"0")</f>
        <v>5.4945054945054949E-3</v>
      </c>
      <c r="BP345" s="64">
        <f>IFERROR(1/J345*(Y345/H345),"0")</f>
        <v>5.4945054945054949E-3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4.9753086419753085</v>
      </c>
      <c r="Y346" s="557">
        <f>IFERROR(Y343/H343,"0")+IFERROR(Y344/H344,"0")+IFERROR(Y345/H345,"0")</f>
        <v>5</v>
      </c>
      <c r="Z346" s="557">
        <f>IFERROR(IF(Z343="",0,Z343),"0")+IFERROR(IF(Z344="",0,Z344),"0")+IFERROR(IF(Z345="",0,Z345),"0")</f>
        <v>5.7489999999999999E-2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22.3</v>
      </c>
      <c r="Y347" s="557">
        <f>IFERROR(SUM(Y343:Y345),"0")</f>
        <v>22.5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30</v>
      </c>
      <c r="Y351" s="556">
        <f t="shared" ref="Y351:Y357" si="41">IFERROR(IF(X351="",0,CEILING((X351/$H351),1)*$H351),"")</f>
        <v>30</v>
      </c>
      <c r="Z351" s="36">
        <f>IFERROR(IF(Y351=0,"",ROUNDUP(Y351/H351,0)*0.02175),"")</f>
        <v>4.3499999999999997E-2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30.94</v>
      </c>
      <c r="BN351" s="64">
        <f t="shared" ref="BN351:BN357" si="43">IFERROR(Y351*I351/H351,"0")</f>
        <v>30.94</v>
      </c>
      <c r="BO351" s="64">
        <f t="shared" ref="BO351:BO357" si="44">IFERROR(1/J351*(X351/H351),"0")</f>
        <v>4.1666666666666664E-2</v>
      </c>
      <c r="BP351" s="64">
        <f t="shared" ref="BP351:BP357" si="45">IFERROR(1/J351*(Y351/H351),"0")</f>
        <v>4.1666666666666664E-2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100</v>
      </c>
      <c r="Y352" s="556">
        <f t="shared" si="41"/>
        <v>105</v>
      </c>
      <c r="Z352" s="36">
        <f>IFERROR(IF(Y352=0,"",ROUNDUP(Y352/H352,0)*0.02175),"")</f>
        <v>0.15225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103.13333333333334</v>
      </c>
      <c r="BN352" s="64">
        <f t="shared" si="43"/>
        <v>108.29</v>
      </c>
      <c r="BO352" s="64">
        <f t="shared" si="44"/>
        <v>0.1388888888888889</v>
      </c>
      <c r="BP352" s="64">
        <f t="shared" si="45"/>
        <v>0.14583333333333331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150</v>
      </c>
      <c r="Y354" s="556">
        <f t="shared" si="41"/>
        <v>150</v>
      </c>
      <c r="Z354" s="36">
        <f>IFERROR(IF(Y354=0,"",ROUNDUP(Y354/H354,0)*0.02175),"")</f>
        <v>0.21749999999999997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154.69999999999999</v>
      </c>
      <c r="BN354" s="64">
        <f t="shared" si="43"/>
        <v>154.69999999999999</v>
      </c>
      <c r="BO354" s="64">
        <f t="shared" si="44"/>
        <v>0.20833333333333331</v>
      </c>
      <c r="BP354" s="64">
        <f t="shared" si="45"/>
        <v>0.20833333333333331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18.666666666666668</v>
      </c>
      <c r="Y358" s="557">
        <f>IFERROR(Y351/H351,"0")+IFERROR(Y352/H352,"0")+IFERROR(Y353/H353,"0")+IFERROR(Y354/H354,"0")+IFERROR(Y355/H355,"0")+IFERROR(Y356/H356,"0")+IFERROR(Y357/H357,"0")</f>
        <v>19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0.41324999999999995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280</v>
      </c>
      <c r="Y359" s="557">
        <f>IFERROR(SUM(Y351:Y357),"0")</f>
        <v>285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300</v>
      </c>
      <c r="Y361" s="556">
        <f>IFERROR(IF(X361="",0,CEILING((X361/$H361),1)*$H361),"")</f>
        <v>300</v>
      </c>
      <c r="Z361" s="36">
        <f>IFERROR(IF(Y361=0,"",ROUNDUP(Y361/H361,0)*0.02175),"")</f>
        <v>0.43499999999999994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309.39999999999998</v>
      </c>
      <c r="BN361" s="64">
        <f>IFERROR(Y361*I361/H361,"0")</f>
        <v>309.39999999999998</v>
      </c>
      <c r="BO361" s="64">
        <f>IFERROR(1/J361*(X361/H361),"0")</f>
        <v>0.41666666666666663</v>
      </c>
      <c r="BP361" s="64">
        <f>IFERROR(1/J361*(Y361/H361),"0")</f>
        <v>0.41666666666666663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20</v>
      </c>
      <c r="Y363" s="557">
        <f>IFERROR(Y361/H361,"0")+IFERROR(Y362/H362,"0")</f>
        <v>20</v>
      </c>
      <c r="Z363" s="557">
        <f>IFERROR(IF(Z361="",0,Z361),"0")+IFERROR(IF(Z362="",0,Z362),"0")</f>
        <v>0.43499999999999994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300</v>
      </c>
      <c r="Y364" s="557">
        <f>IFERROR(SUM(Y361:Y362),"0")</f>
        <v>300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5</v>
      </c>
      <c r="Y436" s="556">
        <f t="shared" si="52"/>
        <v>5.28</v>
      </c>
      <c r="Z436" s="36">
        <f t="shared" si="53"/>
        <v>1.196E-2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5.3314393939393936</v>
      </c>
      <c r="BN436" s="64">
        <f t="shared" si="55"/>
        <v>5.63</v>
      </c>
      <c r="BO436" s="64">
        <f t="shared" si="56"/>
        <v>9.1054778554778559E-3</v>
      </c>
      <c r="BP436" s="64">
        <f t="shared" si="57"/>
        <v>9.6153846153846159E-3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0.94696969696969691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1.196E-2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5</v>
      </c>
      <c r="Y443" s="557">
        <f>IFERROR(SUM(Y430:Y441),"0")</f>
        <v>5.28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40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42.38095238095238</v>
      </c>
      <c r="BN478" s="64">
        <f>IFERROR(Y478*I478/H478,"0")</f>
        <v>44.5</v>
      </c>
      <c r="BO478" s="64">
        <f>IFERROR(1/J478*(X478/H478),"0")</f>
        <v>7.2150072150072145E-2</v>
      </c>
      <c r="BP478" s="64">
        <f>IFERROR(1/J478*(Y478/H478),"0")</f>
        <v>7.575757575757576E-2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9.5238095238095237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40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2257.6499999999996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2330.9300000000003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2361.3910056671725</v>
      </c>
      <c r="Y497" s="557">
        <f>IFERROR(SUM(BN22:BN493),"0")</f>
        <v>2438.2000000000003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4</v>
      </c>
      <c r="Y498" s="38">
        <f>ROUNDUP(SUM(BP22:BP493),0)</f>
        <v>4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2461.3910056671725</v>
      </c>
      <c r="Y499" s="557">
        <f>GrossWeightTotalR+PalletQtyTotalR*25</f>
        <v>2538.2000000000003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275.06354139687471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284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4.4914000000000014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32.400000000000006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413.10000000000008</v>
      </c>
      <c r="E506" s="46">
        <f>IFERROR(Y85*1,"0")+IFERROR(Y86*1,"0")+IFERROR(Y87*1,"0")+IFERROR(Y88*1,"0")+IFERROR(Y92*1,"0")+IFERROR(Y93*1,"0")+IFERROR(Y94*1,"0")+IFERROR(Y95*1,"0")</f>
        <v>46.8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29.1</v>
      </c>
      <c r="G506" s="46">
        <f>IFERROR(Y127*1,"0")+IFERROR(Y128*1,"0")+IFERROR(Y132*1,"0")+IFERROR(Y133*1,"0")+IFERROR(Y137*1,"0")+IFERROR(Y138*1,"0")</f>
        <v>12.8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8.4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75.599999999999994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1057.9499999999998</v>
      </c>
      <c r="R506" s="46">
        <f>IFERROR(Y343*1,"0")+IFERROR(Y344*1,"0")+IFERROR(Y345*1,"0")</f>
        <v>22.5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585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5.28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42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,00"/>
        <filter val="1,23"/>
        <filter val="1,90"/>
        <filter val="10,00"/>
        <filter val="100,00"/>
        <filter val="12,00"/>
        <filter val="120,00"/>
        <filter val="142,50"/>
        <filter val="148,40"/>
        <filter val="15,00"/>
        <filter val="150,00"/>
        <filter val="16,00"/>
        <filter val="18,67"/>
        <filter val="19,44"/>
        <filter val="2 257,65"/>
        <filter val="2 361,39"/>
        <filter val="2 461,39"/>
        <filter val="2,00"/>
        <filter val="2,10"/>
        <filter val="2,55"/>
        <filter val="2,78"/>
        <filter val="20,00"/>
        <filter val="20,40"/>
        <filter val="200,00"/>
        <filter val="22,30"/>
        <filter val="22,50"/>
        <filter val="254,00"/>
        <filter val="275,06"/>
        <filter val="280,00"/>
        <filter val="29,00"/>
        <filter val="3,75"/>
        <filter val="3,85"/>
        <filter val="30,00"/>
        <filter val="30,52"/>
        <filter val="300,00"/>
        <filter val="306,00"/>
        <filter val="34,00"/>
        <filter val="37,33"/>
        <filter val="4"/>
        <filter val="4,20"/>
        <filter val="4,98"/>
        <filter val="40,00"/>
        <filter val="5,00"/>
        <filter val="5,40"/>
        <filter val="50,00"/>
        <filter val="500,00"/>
        <filter val="54,00"/>
        <filter val="6,48"/>
        <filter val="64,10"/>
        <filter val="7,50"/>
        <filter val="70,00"/>
        <filter val="8,00"/>
        <filter val="8,40"/>
        <filter val="8,70"/>
        <filter val="9,00"/>
        <filter val="9,52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2026-01-12T11:28:34Z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