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D1C785-B643-4F8D-873C-4A61B7668D4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Z75" i="1" s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Z224" i="1" s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446" i="1"/>
  <c r="Z361" i="1"/>
  <c r="Z406" i="1"/>
  <c r="Z144" i="1"/>
  <c r="Z104" i="1"/>
  <c r="Z95" i="1"/>
  <c r="Z80" i="1"/>
  <c r="Z43" i="1"/>
  <c r="Z24" i="1"/>
  <c r="Z356" i="1"/>
  <c r="Z57" i="1"/>
  <c r="Y494" i="1"/>
  <c r="Z311" i="1"/>
  <c r="Z153" i="1"/>
  <c r="Z88" i="1"/>
  <c r="Z440" i="1"/>
  <c r="Z401" i="1"/>
  <c r="Z212" i="1"/>
  <c r="Y495" i="1"/>
  <c r="Z31" i="1"/>
  <c r="X496" i="1"/>
  <c r="Z302" i="1"/>
  <c r="Y496" i="1"/>
  <c r="Z275" i="1"/>
  <c r="Z258" i="1"/>
  <c r="Z318" i="1"/>
  <c r="Z180" i="1"/>
  <c r="Z455" i="1"/>
  <c r="Z418" i="1"/>
  <c r="Z337" i="1"/>
  <c r="Z267" i="1"/>
  <c r="Z242" i="1"/>
  <c r="Y497" i="1"/>
  <c r="Z118" i="1"/>
  <c r="Z63" i="1"/>
  <c r="Z498" i="1" s="1"/>
  <c r="Y493" i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<sst xmlns="http://schemas.openxmlformats.org/spreadsheetml/2006/main" count="2275" uniqueCount="774">
  <si>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</si>
  <si>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</si>
  <si>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</si>
  <si>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</si>
  <si>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</si>
  <si>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</si>
  <si>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</si>
  <si>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</si>
  <si>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</si>
  <si>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</si>
  <si>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</si>
  <si>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</si>
  <si>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</si>
  <si>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</si>
  <si>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</si>
  <si>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</si>
  <si>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</si>
  <si>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</si>
  <si>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</si>
  <si>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</si>
  <si>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</si>
  <si>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</si>
  <si>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</si>
  <si>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</si>
  <si>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</si>
  <si>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</si>
  <si>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</si>
  <si>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</si>
  <si>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</si>
  <si>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</si>
  <si>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</si>
  <si>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</si>
  <si>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</si>
  <si>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</si>
  <si>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</si>
  <si>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</si>
  <si>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</si>
  <si>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</si>
  <si>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</si>
  <si>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</si>
  <si>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</si>
  <si>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</si>
  <si>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</si>
  <si>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</si>
  <si>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</si>
  <si>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</si>
  <si>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</si>
  <si>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</si>
  <si>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</si>
  <si>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</si>
  <si>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</si>
  <si>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</si>
  <si>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</si>
  <si>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</si>
  <si>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</si>
  <si>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</si>
  <si>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</si>
  <si>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</si>
  <si>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</si>
  <si>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</si>
  <si>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</si>
  <si>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</si>
  <si>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</si>
  <si>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</si>
  <si>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</si>
  <si>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</si>
  <si>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</si>
  <si>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</si>
  <si>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</si>
  <si>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</si>
  <si>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</si>
  <si>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</si>
  <si>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</si>
  <si>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</si>
  <si>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</si>
  <si>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</si>
  <si>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</si>
  <si>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</si>
  <si>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</si>
  <si>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</si>
  <si>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</si>
  <si>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</si>
  <si>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</si>
  <si>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</si>
  <si>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</si>
  <si>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</si>
  <si>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</si>
  <si>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</si>
  <si>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</si>
  <si>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</si>
  <si>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</si>
  <si>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</si>
  <si>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</si>
  <si>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</si>
  <si>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</si>
  <si>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</si>
  <si>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</si>
  <si>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</si>
  <si>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</si>
  <si>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</si>
  <si>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</si>
  <si>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</si>
  <si>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</si>
  <si>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</si>
  <si>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</si>
  <si>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</si>
  <si>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</si>
  <si>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</si>
  <si>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</si>
  <si>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</si>
  <si>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</si>
  <si>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</si>
  <si>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</si>
  <si>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</si>
  <si>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</si>
  <si>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</si>
  <si>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</si>
  <si>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</si>
  <si>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</si>
  <si>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</si>
  <si>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</si>
  <si>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</si>
  <si>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</si>
  <si>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</si>
  <si>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</si>
  <si>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</si>
  <si>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</si>
  <si>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</si>
  <si>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</si>
  <si>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</si>
  <si>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</si>
  <si>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</si>
  <si>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</si>
  <si>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</si>
  <si>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</si>
  <si>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</si>
  <si>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</si>
  <si>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</si>
  <si>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</si>
  <si>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</si>
  <si>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</si>
  <si>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</si>
  <si>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</si>
  <si>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</si>
  <si>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</si>
  <si>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</si>
  <si>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</si>
  <si>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</si>
  <si>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</si>
  <si>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</si>
  <si>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</si>
  <si>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</si>
  <si>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</si>
  <si>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</si>
  <si>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</si>
  <si>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</si>
  <si>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</si>
  <si>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</si>
  <si>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</si>
  <si>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</si>
  <si>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</si>
  <si>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</si>
  <si>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</si>
  <si>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</si>
  <si>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</si>
  <si>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</si>
  <si>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</si>
  <si>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</si>
  <si>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</si>
  <si>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</si>
  <si>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</si>
  <si>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</si>
  <si>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</si>
  <si>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</si>
  <si>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</si>
  <si>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</si>
  <si>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</si>
  <si>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</si>
  <si>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</si>
  <si>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</si>
  <si>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</si>
  <si>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</si>
  <si>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</si>
  <si>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</si>
  <si>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</si>
  <si>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</si>
  <si>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</si>
  <si>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</si>
  <si>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</si>
  <si>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</si>
  <si>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</si>
  <si>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</si>
  <si>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</si>
  <si>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</si>
  <si>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</si>
  <si>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</si>
  <si>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</si>
  <si>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</si>
  <si>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</si>
  <si>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</si>
  <si>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</si>
  <si>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</si>
  <si>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</si>
  <si>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</si>
  <si>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</si>
  <si>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</si>
  <si>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</si>
  <si>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</si>
  <si>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</si>
  <si>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</si>
  <si>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</si>
  <si>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</si>
  <si>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</si>
  <si>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</si>
  <si>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</si>
  <si>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</si>
  <si>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</si>
  <si>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</si>
  <si>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</si>
  <si>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</si>
  <si>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</si>
  <si>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</si>
  <si>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</si>
  <si>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</si>
  <si>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</si>
  <si>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</si>
  <si>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</si>
  <si>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</si>
  <si>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</si>
  <si>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</si>
  <si>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</si>
  <si>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</si>
  <si>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</si>
  <si>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</si>
  <si>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</si>
  <si>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</si>
  <si>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</si>
  <si>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</si>
  <si>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</si>
  <si>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</si>
  <si>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</si>
  <si>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</si>
  <si>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</si>
  <si>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</si>
  <si>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</si>
  <si>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</si>
  <si>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</si>
  <si>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</si>
  <si>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</si>
  <si>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</si>
  <si>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</si>
  <si>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</si>
  <si>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</si>
  <si>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</si>
  <si>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</si>
  <si>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</si>
  <si>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</si>
  <si>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</si>
  <si>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</si>
  <si>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</si>
  <si>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</si>
  <si>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</si>
  <si>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</si>
  <si>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</si>
  <si>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</si>
  <si>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</si>
  <si>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</si>
  <si>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</si>
  <si>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</si>
  <si>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</si>
  <si>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</si>
  <si>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</si>
  <si>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</si>
  <si>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</si>
  <si>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</si>
  <si>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</si>
  <si>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</si>
  <si>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</si>
  <si>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</si>
  <si>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</si>
  <si>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</si>
  <si>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</si>
  <si>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</si>
  <si>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</si>
  <si>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</si>
  <si>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</si>
  <si>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</si>
  <si>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</si>
  <si>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</si>
  <si>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</si>
  <si>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</si>
  <si>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</si>
  <si>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</si>
  <si>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</si>
  <si>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</si>
  <si>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</si>
  <si>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</si>
  <si>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</si>
  <si>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</si>
  <si>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</si>
  <si>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</si>
  <si>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</si>
  <si>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</si>
  <si>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</si>
  <si>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</si>
  <si>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</si>
  <si>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</si>
  <si>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</si>
  <si>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</si>
  <si>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</si>
  <si>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</si>
  <si>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</si>
  <si>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</si>
  <si>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</si>
  <si>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</si>
  <si>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</si>
  <si>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</si>
  <si>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</si>
  <si>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</si>
  <si>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</si>
  <si>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</si>
  <si>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</si>
  <si>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</si>
  <si>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</si>
  <si>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</si>
  <si>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</si>
  <si>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</si>
  <si>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</si>
  <si>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</si>
  <si>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</si>
  <si>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</si>
  <si>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</si>
  <si>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</si>
  <si>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</si>
  <si>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</si>
  <si>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</si>
  <si>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</si>
  <si>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</si>
  <si>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</si>
  <si>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</si>
  <si>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</si>
  <si>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</si>
  <si>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</si>
  <si>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</si>
  <si>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</si>
  <si>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</si>
  <si>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</si>
  <si>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</si>
  <si>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</si>
  <si>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</si>
  <si>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</si>
  <si>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</si>
  <si>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</si>
  <si>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</si>
  <si>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</si>
  <si>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</si>
  <si>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</si>
  <si>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</si>
  <si>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</si>
  <si>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</si>
  <si>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</si>
  <si>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</si>
  <si>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</si>
  <si>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</si>
  <si>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</si>
  <si>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</si>
  <si>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</si>
  <si>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</si>
  <si>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</si>
  <si>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</si>
  <si>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</si>
  <si>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</si>
  <si>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</si>
  <si>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</si>
  <si>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</si>
  <si>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</si>
  <si>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</si>
  <si>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</si>
  <si>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</si>
  <si>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</si>
  <si>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</si>
  <si>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</si>
  <si>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</si>
  <si>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</si>
  <si>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</si>
  <si>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</si>
  <si>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</si>
  <si>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</si>
  <si>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</si>
  <si>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</si>
  <si>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</si>
  <si>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</si>
  <si>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</si>
  <si>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</si>
  <si>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</si>
  <si>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</si>
  <si>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</si>
  <si>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</si>
  <si>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</si>
  <si>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</si>
  <si>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</si>
  <si>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</si>
  <si>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</si>
  <si>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</si>
  <si>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</si>
  <si>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</si>
  <si>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</si>
  <si>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</si>
  <si>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</si>
  <si>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</si>
  <si>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</si>
  <si>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</si>
  <si>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</si>
  <si>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</si>
  <si>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</si>
  <si>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</si>
  <si>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</si>
  <si>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</si>
  <si>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</si>
  <si>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</si>
  <si>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</si>
  <si>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</si>
  <si>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</si>
  <si>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</si>
  <si>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</si>
  <si>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</si>
  <si>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</si>
  <si>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</si>
  <si>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</si>
  <si>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</si>
  <si>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</si>
  <si>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</si>
  <si>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</si>
  <si>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</si>
  <si>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</si>
  <si>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</si>
  <si>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</si>
  <si>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</si>
  <si>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</si>
  <si>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</si>
  <si>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</si>
  <si>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</si>
  <si>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</si>
  <si>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</si>
  <si>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</si>
  <si>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</si>
  <si>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</si>
  <si>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</si>
  <si>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</si>
  <si>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</si>
  <si>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</si>
  <si>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</si>
  <si>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</si>
  <si>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</si>
  <si>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</si>
  <si>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</si>
  <si>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</si>
  <si>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</si>
  <si>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</si>
  <si>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</si>
  <si>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</si>
  <si>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</si>
  <si>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</si>
  <si>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</si>
  <si>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</si>
  <si>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</si>
  <si>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</si>
  <si>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</si>
  <si>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</si>
  <si>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</si>
  <si>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</si>
  <si>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</si>
  <si>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</si>
  <si>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</si>
  <si>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</si>
  <si>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</si>
  <si>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</si>
  <si>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</si>
  <si>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</si>
  <si>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</si>
  <si>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</si>
  <si>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</si>
  <si>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</si>
  <si>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</si>
  <si>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</si>
  <si>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</si>
  <si>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</si>
  <si>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</si>
  <si>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</si>
  <si>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</si>
  <si>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</si>
  <si>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</si>
  <si>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</si>
  <si>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</si>
  <si>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</si>
  <si>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</si>
  <si>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</si>
  <si>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</si>
  <si>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</si>
  <si>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</si>
  <si>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</si>
  <si>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</si>
  <si>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</si>
  <si>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</si>
  <si>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</si>
  <si>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</si>
  <si>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</si>
  <si>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</si>
  <si>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</si>
  <si>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</si>
  <si>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</si>
  <si>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</si>
  <si>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</si>
  <si>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</si>
  <si>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</si>
  <si>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</si>
  <si>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</si>
  <si>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</si>
  <si>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</si>
  <si>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</si>
  <si>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</si>
  <si>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</si>
  <si>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</si>
  <si>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</si>
  <si>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</si>
  <si>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</si>
  <si>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</si>
  <si>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</si>
  <si>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</si>
  <si>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</si>
  <si>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</si>
  <si>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</si>
  <si>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</si>
  <si>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</si>
  <si>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</si>
  <si>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</si>
  <si>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</si>
  <si>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</si>
  <si>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</si>
  <si>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</si>
  <si>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</si>
  <si>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</si>
  <si>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</si>
  <si>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</si>
  <si>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</si>
  <si>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</si>
  <si>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</si>
  <si>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</si>
  <si>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</si>
  <si>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</si>
  <si>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</si>
  <si>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</si>
  <si>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</si>
  <si>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</si>
  <si>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</si>
  <si>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</si>
  <si>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</si>
  <si>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</si>
  <si>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</si>
  <si>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</si>
  <si>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</si>
  <si>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</si>
  <si>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</si>
  <si>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</si>
  <si>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</si>
  <si>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</si>
  <si>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</si>
  <si>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</si>
  <si>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</si>
  <si>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</si>
  <si>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</si>
  <si>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</si>
  <si>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</si>
  <si>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</si>
  <si>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</si>
  <si>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</si>
  <si>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</si>
  <si>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</si>
  <si>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</si>
  <si>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</si>
  <si>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</si>
  <si>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</si>
  <si>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</si>
  <si>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</si>
  <si>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</si>
  <si>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</si>
  <si>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</si>
  <si>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</si>
  <si>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</si>
  <si>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</si>
  <si>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</si>
  <si>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</si>
  <si>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</si>
  <si>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</si>
  <si>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</si>
  <si>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</si>
  <si>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</si>
  <si>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</si>
  <si>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</si>
  <si>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</si>
  <si>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</si>
  <si>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</si>
  <si>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</si>
  <si>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</si>
  <si>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</si>
  <si>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</si>
  <si>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</si>
  <si>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</si>
  <si>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</si>
  <si>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</si>
  <si>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</si>
  <si>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</si>
  <si>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</si>
  <si>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</si>
  <si>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</si>
  <si>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</si>
  <si>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</si>
  <si>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</si>
  <si>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</si>
  <si>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</si>
  <si>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</si>
  <si>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</si>
  <si>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</si>
  <si>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</si>
  <si>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</si>
  <si>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</si>
  <si>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</si>
  <si>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</si>
  <si>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</si>
  <si>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</si>
  <si>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</si>
  <si>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</si>
  <si>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</si>
  <si>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</si>
  <si>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</si>
  <si>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</si>
  <si>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</si>
  <si>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</si>
  <si>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</si>
  <si>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</si>
  <si>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</si>
  <si>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</si>
  <si>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</si>
  <si>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</si>
  <si>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</si>
  <si>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</si>
  <si>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</si>
  <si>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</si>
  <si>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</si>
  <si>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</si>
  <si>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</si>
  <si>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</si>
  <si>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</si>
  <si>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</si>
  <si>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</si>
  <si>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</si>
  <si>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</si>
  <si>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</si>
  <si>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</si>
  <si>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</si>
  <si>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</si>
  <si>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</si>
  <si>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</si>
  <si>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</si>
  <si>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</si>
  <si>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</si>
  <si>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</si>
  <si>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</si>
  <si>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</si>
  <si>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</si>
  <si>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</si>
  <si>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</si>
  <si>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</si>
  <si>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</si>
  <si>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</si>
  <si>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</si>
  <si>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</si>
  <si>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</si>
  <si>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</si>
  <si>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</si>
  <si>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</si>
  <si>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</si>
  <si>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</si>
  <si>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</si>
  <si>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</si>
  <si>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</si>
  <si>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</si>
  <si>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</si>
  <si>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</si>
  <si>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</si>
  <si>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</si>
  <si>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</si>
  <si>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</si>
  <si>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</si>
  <si>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</si>
  <si>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</si>
  <si>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</si>
  <si>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</si>
  <si>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</si>
  <si>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</si>
  <si>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</si>
  <si>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</si>
  <si>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</si>
  <si>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</si>
  <si>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</si>
  <si>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</si>
  <si>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</si>
  <si>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</si>
  <si>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</si>
  <si>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</si>
  <si>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</si>
  <si>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</si>
  <si>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</si>
  <si>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</si>
  <si>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</si>
  <si>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</si>
  <si>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</si>
  <si>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</si>
  <si>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</si>
  <si>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</si>
  <si>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</si>
  <si>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</si>
  <si>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</si>
  <si>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</si>
  <si>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</si>
  <si>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</si>
  <si>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</si>
  <si>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</si>
  <si>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</si>
  <si>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</si>
  <si>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</si>
  <si>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</si>
  <si>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</si>
  <si>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</si>
  <si>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</si>
  <si>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</si>
  <si>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</si>
  <si>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</si>
  <si>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</si>
  <si>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</si>
  <si>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</si>
  <si>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</si>
  <si>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</si>
  <si>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</si>
  <si>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</si>
  <si>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</si>
  <si>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</si>
  <si>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</si>
  <si>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</si>
  <si>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</si>
  <si>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</si>
  <si>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</si>
  <si>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</si>
  <si>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</si>
  <si>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</si>
  <si>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</si>
  <si>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</si>
  <si>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</si>
  <si>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</si>
  <si>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</si>
  <si>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</si>
  <si>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</si>
  <si>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</si>
  <si>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</si>
  <si>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</si>
  <si>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</si>
  <si>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</si>
  <si>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</si>
  <si>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</si>
  <si>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</si>
  <si>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</si>
  <si>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</si>
  <si>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</si>
  <si>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13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</si>
</sst>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46040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Воскресенье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0.41666666666666669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24</v>
      </c>
      <c r="Y42" s="550">
        <f>IFERROR(IF(X42="",0,CEILING((X42/$H42),1)*$H42),"")</f>
        <v>25.900000000000002</v>
      </c>
      <c r="Z42" s="36">
        <f>IFERROR(IF(Y42=0,"",ROUNDUP(Y42/H42,0)*0.00902),"")</f>
        <v>6.3140000000000002E-2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25.232432432432432</v>
      </c>
      <c r="BN42" s="64">
        <f>IFERROR(Y42*I42/H42,"0")</f>
        <v>27.23</v>
      </c>
      <c r="BO42" s="64">
        <f>IFERROR(1/J42*(X42/H42),"0")</f>
        <v>4.9140049140049137E-2</v>
      </c>
      <c r="BP42" s="64">
        <f>IFERROR(1/J42*(Y42/H42),"0")</f>
        <v>5.3030303030303032E-2</v>
      </c>
    </row>
    <row r="43" spans="1:68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6.486486486486486</v>
      </c>
      <c r="Y43" s="551">
        <f>IFERROR(Y40/H40,"0")+IFERROR(Y41/H41,"0")+IFERROR(Y42/H42,"0")</f>
        <v>7</v>
      </c>
      <c r="Z43" s="551">
        <f>IFERROR(IF(Z40="",0,Z40),"0")+IFERROR(IF(Z41="",0,Z41),"0")+IFERROR(IF(Z42="",0,Z42),"0")</f>
        <v>6.3140000000000002E-2</v>
      </c>
      <c r="AA43" s="552"/>
      <c r="AB43" s="552"/>
      <c r="AC43" s="552"/>
    </row>
    <row r="44" spans="1:68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24</v>
      </c>
      <c r="Y44" s="551">
        <f>IFERROR(SUM(Y40:Y42),"0")</f>
        <v>25.900000000000002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143</v>
      </c>
      <c r="Y51" s="550">
        <f t="shared" ref="Y51:Y56" si="0">IFERROR(IF(X51="",0,CEILING((X51/$H51),1)*$H51),"")</f>
        <v>145.6</v>
      </c>
      <c r="Z51" s="36">
        <f>IFERROR(IF(Y51=0,"",ROUNDUP(Y51/H51,0)*0.01898),"")</f>
        <v>0.24674000000000001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148.23482142857145</v>
      </c>
      <c r="BN51" s="64">
        <f t="shared" ref="BN51:BN56" si="2">IFERROR(Y51*I51/H51,"0")</f>
        <v>150.93</v>
      </c>
      <c r="BO51" s="64">
        <f t="shared" ref="BO51:BO56" si="3">IFERROR(1/J51*(X51/H51),"0")</f>
        <v>0.19949776785714288</v>
      </c>
      <c r="BP51" s="64">
        <f t="shared" ref="BP51:BP56" si="4">IFERROR(1/J51*(Y51/H51),"0")</f>
        <v>0.203125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12.767857142857144</v>
      </c>
      <c r="Y57" s="551">
        <f>IFERROR(Y51/H51,"0")+IFERROR(Y52/H52,"0")+IFERROR(Y53/H53,"0")+IFERROR(Y54/H54,"0")+IFERROR(Y55/H55,"0")+IFERROR(Y56/H56,"0")</f>
        <v>13</v>
      </c>
      <c r="Z57" s="551">
        <f>IFERROR(IF(Z51="",0,Z51),"0")+IFERROR(IF(Z52="",0,Z52),"0")+IFERROR(IF(Z53="",0,Z53),"0")+IFERROR(IF(Z54="",0,Z54),"0")+IFERROR(IF(Z55="",0,Z55),"0")+IFERROR(IF(Z56="",0,Z56),"0")</f>
        <v>0.24674000000000001</v>
      </c>
      <c r="AA57" s="552"/>
      <c r="AB57" s="552"/>
      <c r="AC57" s="552"/>
    </row>
    <row r="58" spans="1:68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143</v>
      </c>
      <c r="Y58" s="551">
        <f>IFERROR(SUM(Y51:Y56),"0")</f>
        <v>145.6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70</v>
      </c>
      <c r="Y78" s="550">
        <f>IFERROR(IF(X78="",0,CEILING((X78/$H78),1)*$H78),"")</f>
        <v>70.2</v>
      </c>
      <c r="Z78" s="36">
        <f>IFERROR(IF(Y78=0,"",ROUNDUP(Y78/H78,0)*0.01898),"")</f>
        <v>0.17082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73.679487179487182</v>
      </c>
      <c r="BN78" s="64">
        <f>IFERROR(Y78*I78/H78,"0")</f>
        <v>73.890000000000015</v>
      </c>
      <c r="BO78" s="64">
        <f>IFERROR(1/J78*(X78/H78),"0")</f>
        <v>0.14022435897435898</v>
      </c>
      <c r="BP78" s="64">
        <f>IFERROR(1/J78*(Y78/H78),"0")</f>
        <v>0.140625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21</v>
      </c>
      <c r="Y79" s="550">
        <f>IFERROR(IF(X79="",0,CEILING((X79/$H79),1)*$H79),"")</f>
        <v>21.599999999999998</v>
      </c>
      <c r="Z79" s="36">
        <f>IFERROR(IF(Y79=0,"",ROUNDUP(Y79/H79,0)*0.00902),"")</f>
        <v>8.1180000000000002E-2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22.662500000000001</v>
      </c>
      <c r="BN79" s="64">
        <f>IFERROR(Y79*I79/H79,"0")</f>
        <v>23.309999999999995</v>
      </c>
      <c r="BO79" s="64">
        <f>IFERROR(1/J79*(X79/H79),"0")</f>
        <v>6.6287878787878785E-2</v>
      </c>
      <c r="BP79" s="64">
        <f>IFERROR(1/J79*(Y79/H79),"0")</f>
        <v>6.8181818181818177E-2</v>
      </c>
    </row>
    <row r="80" spans="1:68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17.724358974358974</v>
      </c>
      <c r="Y80" s="551">
        <f>IFERROR(Y78/H78,"0")+IFERROR(Y79/H79,"0")</f>
        <v>18</v>
      </c>
      <c r="Z80" s="551">
        <f>IFERROR(IF(Z78="",0,Z78),"0")+IFERROR(IF(Z79="",0,Z79),"0")</f>
        <v>0.252</v>
      </c>
      <c r="AA80" s="552"/>
      <c r="AB80" s="552"/>
      <c r="AC80" s="552"/>
    </row>
    <row r="81" spans="1:68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91</v>
      </c>
      <c r="Y81" s="551">
        <f>IFERROR(SUM(Y78:Y79),"0")</f>
        <v>91.8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hidden="1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236</v>
      </c>
      <c r="Y91" s="55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250.3930864197531</v>
      </c>
      <c r="BN91" s="64">
        <f>IFERROR(Y91*I91/H91,"0")</f>
        <v>257.82</v>
      </c>
      <c r="BO91" s="64">
        <f>IFERROR(1/J91*(X91/H91),"0")</f>
        <v>0.45524691358024694</v>
      </c>
      <c r="BP91" s="64">
        <f>IFERROR(1/J91*(Y91/H91),"0")</f>
        <v>0.46875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111</v>
      </c>
      <c r="Y93" s="550">
        <f>IFERROR(IF(X93="",0,CEILING((X93/$H93),1)*$H93),"")</f>
        <v>113.4</v>
      </c>
      <c r="Z93" s="36">
        <f>IFERROR(IF(Y93=0,"",ROUNDUP(Y93/H93,0)*0.00651),"")</f>
        <v>0.27342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121.35999999999999</v>
      </c>
      <c r="BN93" s="64">
        <f>IFERROR(Y93*I93/H93,"0")</f>
        <v>123.98399999999999</v>
      </c>
      <c r="BO93" s="64">
        <f>IFERROR(1/J93*(X93/H93),"0")</f>
        <v>0.22588522588522589</v>
      </c>
      <c r="BP93" s="64">
        <f>IFERROR(1/J93*(Y93/H93),"0")</f>
        <v>0.23076923076923078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70.246913580246911</v>
      </c>
      <c r="Y95" s="551">
        <f>IFERROR(Y91/H91,"0")+IFERROR(Y92/H92,"0")+IFERROR(Y93/H93,"0")+IFERROR(Y94/H94,"0")</f>
        <v>72</v>
      </c>
      <c r="Z95" s="551">
        <f>IFERROR(IF(Z91="",0,Z91),"0")+IFERROR(IF(Z92="",0,Z92),"0")+IFERROR(IF(Z93="",0,Z93),"0")+IFERROR(IF(Z94="",0,Z94),"0")</f>
        <v>0.84282000000000001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347</v>
      </c>
      <c r="Y96" s="551">
        <f>IFERROR(SUM(Y91:Y94),"0")</f>
        <v>356.4</v>
      </c>
      <c r="Z96" s="37"/>
      <c r="AA96" s="552"/>
      <c r="AB96" s="552"/>
      <c r="AC96" s="552"/>
    </row>
    <row r="97" spans="1:68" ht="16.5" hidden="1" customHeight="1" x14ac:dyDescent="0.25">
      <c r="A97" s="565" t="s">
        <v>189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8</v>
      </c>
      <c r="Y102" s="550">
        <f>IFERROR(IF(X102="",0,CEILING((X102/$H102),1)*$H102),"")</f>
        <v>9</v>
      </c>
      <c r="Z102" s="36">
        <f>IFERROR(IF(Y102=0,"",ROUNDUP(Y102/H102,0)*0.00902),"")</f>
        <v>1.804E-2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8.3377777777777791</v>
      </c>
      <c r="BN102" s="64">
        <f>IFERROR(Y102*I102/H102,"0")</f>
        <v>9.3800000000000008</v>
      </c>
      <c r="BO102" s="64">
        <f>IFERROR(1/J102*(X102/H102),"0")</f>
        <v>1.3468013468013467E-2</v>
      </c>
      <c r="BP102" s="64">
        <f>IFERROR(1/J102*(Y102/H102),"0")</f>
        <v>1.5151515151515152E-2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1.7777777777777777</v>
      </c>
      <c r="Y104" s="551">
        <f>IFERROR(Y99/H99,"0")+IFERROR(Y100/H100,"0")+IFERROR(Y101/H101,"0")+IFERROR(Y102/H102,"0")+IFERROR(Y103/H103,"0")</f>
        <v>2</v>
      </c>
      <c r="Z104" s="551">
        <f>IFERROR(IF(Z99="",0,Z99),"0")+IFERROR(IF(Z100="",0,Z100),"0")+IFERROR(IF(Z101="",0,Z101),"0")+IFERROR(IF(Z102="",0,Z102),"0")+IFERROR(IF(Z103="",0,Z103),"0")</f>
        <v>1.804E-2</v>
      </c>
      <c r="AA104" s="552"/>
      <c r="AB104" s="552"/>
      <c r="AC104" s="552"/>
    </row>
    <row r="105" spans="1:68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8</v>
      </c>
      <c r="Y105" s="551">
        <f>IFERROR(SUM(Y99:Y103),"0")</f>
        <v>9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266</v>
      </c>
      <c r="Y114" s="550">
        <f>IFERROR(IF(X114="",0,CEILING((X114/$H114),1)*$H114),"")</f>
        <v>267.3</v>
      </c>
      <c r="Z114" s="36">
        <f>IFERROR(IF(Y114=0,"",ROUNDUP(Y114/H114,0)*0.01898),"")</f>
        <v>0.62634000000000001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282.02567901234568</v>
      </c>
      <c r="BN114" s="64">
        <f>IFERROR(Y114*I114/H114,"0")</f>
        <v>283.404</v>
      </c>
      <c r="BO114" s="64">
        <f>IFERROR(1/J114*(X114/H114),"0")</f>
        <v>0.51311728395061729</v>
      </c>
      <c r="BP114" s="64">
        <f>IFERROR(1/J114*(Y114/H114),"0")</f>
        <v>0.515625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127</v>
      </c>
      <c r="Y116" s="550">
        <f>IFERROR(IF(X116="",0,CEILING((X116/$H116),1)*$H116),"")</f>
        <v>129.60000000000002</v>
      </c>
      <c r="Z116" s="36">
        <f>IFERROR(IF(Y116=0,"",ROUNDUP(Y116/H116,0)*0.00651),"")</f>
        <v>0.31247999999999998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138.85333333333332</v>
      </c>
      <c r="BN116" s="64">
        <f>IFERROR(Y116*I116/H116,"0")</f>
        <v>141.69600000000003</v>
      </c>
      <c r="BO116" s="64">
        <f>IFERROR(1/J116*(X116/H116),"0")</f>
        <v>0.25844525844525845</v>
      </c>
      <c r="BP116" s="64">
        <f>IFERROR(1/J116*(Y116/H116),"0")</f>
        <v>0.2637362637362638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79.87654320987653</v>
      </c>
      <c r="Y118" s="551">
        <f>IFERROR(Y114/H114,"0")+IFERROR(Y115/H115,"0")+IFERROR(Y116/H116,"0")+IFERROR(Y117/H117,"0")</f>
        <v>81</v>
      </c>
      <c r="Z118" s="551">
        <f>IFERROR(IF(Z114="",0,Z114),"0")+IFERROR(IF(Z115="",0,Z115),"0")+IFERROR(IF(Z116="",0,Z116),"0")+IFERROR(IF(Z117="",0,Z117),"0")</f>
        <v>0.93881999999999999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393</v>
      </c>
      <c r="Y119" s="551">
        <f>IFERROR(SUM(Y114:Y117),"0")</f>
        <v>396.90000000000003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61</v>
      </c>
      <c r="Y166" s="550">
        <f t="shared" ref="Y166:Y179" si="10">IFERROR(IF(X166="",0,CEILING((X166/$H166),1)*$H166),"")</f>
        <v>63</v>
      </c>
      <c r="Z166" s="36">
        <f>IFERROR(IF(Y166=0,"",ROUNDUP(Y166/H166,0)*0.00902),"")</f>
        <v>0.1353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64.63095238095238</v>
      </c>
      <c r="BN166" s="64">
        <f t="shared" ref="BN166:BN179" si="12">IFERROR(Y166*I166/H166,"0")</f>
        <v>66.75</v>
      </c>
      <c r="BO166" s="64">
        <f t="shared" ref="BO166:BO179" si="13">IFERROR(1/J166*(X166/H166),"0")</f>
        <v>0.11002886002886003</v>
      </c>
      <c r="BP166" s="64">
        <f t="shared" ref="BP166:BP179" si="14">IFERROR(1/J166*(Y166/H166),"0")</f>
        <v>0.11363636363636365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123</v>
      </c>
      <c r="Y168" s="550">
        <f t="shared" si="10"/>
        <v>126</v>
      </c>
      <c r="Z168" s="36">
        <f>IFERROR(IF(Y168=0,"",ROUNDUP(Y168/H168,0)*0.00902),"")</f>
        <v>0.27060000000000001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128.56428571428569</v>
      </c>
      <c r="BN168" s="64">
        <f t="shared" si="12"/>
        <v>131.69999999999999</v>
      </c>
      <c r="BO168" s="64">
        <f t="shared" si="13"/>
        <v>0.22186147186147187</v>
      </c>
      <c r="BP168" s="64">
        <f t="shared" si="14"/>
        <v>0.22727272727272729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77</v>
      </c>
      <c r="Y170" s="550">
        <f t="shared" si="10"/>
        <v>77.7</v>
      </c>
      <c r="Z170" s="36">
        <f>IFERROR(IF(Y170=0,"",ROUNDUP(Y170/H170,0)*0.00502),"")</f>
        <v>0.18574000000000002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81.766666666666666</v>
      </c>
      <c r="BN170" s="64">
        <f t="shared" si="12"/>
        <v>82.51</v>
      </c>
      <c r="BO170" s="64">
        <f t="shared" si="13"/>
        <v>0.15669515669515671</v>
      </c>
      <c r="BP170" s="64">
        <f t="shared" si="14"/>
        <v>0.15811965811965814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19</v>
      </c>
      <c r="Y175" s="550">
        <f t="shared" si="10"/>
        <v>19.8</v>
      </c>
      <c r="Z175" s="36">
        <f>IFERROR(IF(Y175=0,"",ROUNDUP(Y175/H175,0)*0.00502),"")</f>
        <v>5.5220000000000005E-2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20.372222222222224</v>
      </c>
      <c r="BN175" s="64">
        <f t="shared" si="12"/>
        <v>21.23</v>
      </c>
      <c r="BO175" s="64">
        <f t="shared" si="13"/>
        <v>4.5109211775878448E-2</v>
      </c>
      <c r="BP175" s="64">
        <f t="shared" si="14"/>
        <v>4.7008547008547015E-2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81</v>
      </c>
      <c r="Y177" s="550">
        <f t="shared" si="10"/>
        <v>81.900000000000006</v>
      </c>
      <c r="Z177" s="36">
        <f>IFERROR(IF(Y177=0,"",ROUNDUP(Y177/H177,0)*0.00502),"")</f>
        <v>0.19578000000000001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84.857142857142861</v>
      </c>
      <c r="BN177" s="64">
        <f t="shared" si="12"/>
        <v>85.800000000000011</v>
      </c>
      <c r="BO177" s="64">
        <f t="shared" si="13"/>
        <v>0.16483516483516483</v>
      </c>
      <c r="BP177" s="64">
        <f t="shared" si="14"/>
        <v>0.16666666666666669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129.60317460317461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132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0.84264000000000006</v>
      </c>
      <c r="AA180" s="552"/>
      <c r="AB180" s="552"/>
      <c r="AC180" s="552"/>
    </row>
    <row r="181" spans="1:68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361</v>
      </c>
      <c r="Y181" s="551">
        <f>IFERROR(SUM(Y166:Y179),"0")</f>
        <v>368.4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191</v>
      </c>
      <c r="Y205" s="550">
        <f t="shared" si="15"/>
        <v>194.4</v>
      </c>
      <c r="Z205" s="36">
        <f>IFERROR(IF(Y205=0,"",ROUNDUP(Y205/H205,0)*0.00902),"")</f>
        <v>0.32472000000000001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197.72037037037038</v>
      </c>
      <c r="BN205" s="64">
        <f t="shared" si="17"/>
        <v>201.23999999999998</v>
      </c>
      <c r="BO205" s="64">
        <f t="shared" si="18"/>
        <v>0.2679573512906846</v>
      </c>
      <c r="BP205" s="64">
        <f t="shared" si="19"/>
        <v>0.27272727272727271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53</v>
      </c>
      <c r="Y207" s="550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54.864814814814807</v>
      </c>
      <c r="BN207" s="64">
        <f t="shared" si="17"/>
        <v>55.9</v>
      </c>
      <c r="BO207" s="64">
        <f t="shared" si="18"/>
        <v>7.435465768799103E-2</v>
      </c>
      <c r="BP207" s="64">
        <f t="shared" si="19"/>
        <v>7.575757575757576E-2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38</v>
      </c>
      <c r="Y208" s="550">
        <f t="shared" si="15"/>
        <v>39.6</v>
      </c>
      <c r="Z208" s="36">
        <f>IFERROR(IF(Y208=0,"",ROUNDUP(Y208/H208,0)*0.00502),"")</f>
        <v>0.11044000000000001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40.744444444444447</v>
      </c>
      <c r="BN208" s="64">
        <f t="shared" si="17"/>
        <v>42.46</v>
      </c>
      <c r="BO208" s="64">
        <f t="shared" si="18"/>
        <v>9.0218423551756896E-2</v>
      </c>
      <c r="BP208" s="64">
        <f t="shared" si="19"/>
        <v>9.401709401709403E-2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45</v>
      </c>
      <c r="Y209" s="550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47.5</v>
      </c>
      <c r="BN209" s="64">
        <f t="shared" si="17"/>
        <v>47.5</v>
      </c>
      <c r="BO209" s="64">
        <f t="shared" si="18"/>
        <v>0.10683760683760685</v>
      </c>
      <c r="BP209" s="64">
        <f t="shared" si="19"/>
        <v>0.10683760683760685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43</v>
      </c>
      <c r="Y211" s="550">
        <f t="shared" si="15"/>
        <v>43.2</v>
      </c>
      <c r="Z211" s="36">
        <f>IFERROR(IF(Y211=0,"",ROUNDUP(Y211/H211,0)*0.00502),"")</f>
        <v>0.12048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45.388888888888893</v>
      </c>
      <c r="BN211" s="64">
        <f t="shared" si="17"/>
        <v>45.6</v>
      </c>
      <c r="BO211" s="64">
        <f t="shared" si="18"/>
        <v>0.10208926875593544</v>
      </c>
      <c r="BP211" s="64">
        <f t="shared" si="19"/>
        <v>0.10256410256410257</v>
      </c>
    </row>
    <row r="212" spans="1:68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115.18518518518518</v>
      </c>
      <c r="Y212" s="551">
        <f>IFERROR(Y204/H204,"0")+IFERROR(Y205/H205,"0")+IFERROR(Y206/H206,"0")+IFERROR(Y207/H207,"0")+IFERROR(Y208/H208,"0")+IFERROR(Y209/H209,"0")+IFERROR(Y210/H210,"0")+IFERROR(Y211/H211,"0")</f>
        <v>117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0.77134000000000003</v>
      </c>
      <c r="AA212" s="552"/>
      <c r="AB212" s="552"/>
      <c r="AC212" s="552"/>
    </row>
    <row r="213" spans="1:68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370</v>
      </c>
      <c r="Y213" s="551">
        <f>IFERROR(SUM(Y204:Y211),"0")</f>
        <v>376.2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17</v>
      </c>
      <c r="Y215" s="550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18.03679012345679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3.279320987654321E-2</v>
      </c>
      <c r="BP215" s="64">
        <f t="shared" ref="BP215:BP223" si="24">IFERROR(1/J215*(Y215/H215),"0")</f>
        <v>4.6875E-2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19</v>
      </c>
      <c r="Y216" s="550">
        <f t="shared" si="20"/>
        <v>24.299999999999997</v>
      </c>
      <c r="Z216" s="36">
        <f>IFERROR(IF(Y216=0,"",ROUNDUP(Y216/H216,0)*0.01898),"")</f>
        <v>5.6940000000000004E-2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20.116543209876546</v>
      </c>
      <c r="BN216" s="64">
        <f t="shared" si="22"/>
        <v>25.727999999999998</v>
      </c>
      <c r="BO216" s="64">
        <f t="shared" si="23"/>
        <v>3.6651234567901238E-2</v>
      </c>
      <c r="BP216" s="64">
        <f t="shared" si="24"/>
        <v>4.6875E-2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193</v>
      </c>
      <c r="Y217" s="550">
        <f t="shared" si="20"/>
        <v>200.1</v>
      </c>
      <c r="Z217" s="36">
        <f>IFERROR(IF(Y217=0,"",ROUNDUP(Y217/H217,0)*0.01898),"")</f>
        <v>0.43653999999999998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203.9588505747127</v>
      </c>
      <c r="BN217" s="64">
        <f t="shared" si="22"/>
        <v>211.46200000000005</v>
      </c>
      <c r="BO217" s="64">
        <f t="shared" si="23"/>
        <v>0.34662356321839083</v>
      </c>
      <c r="BP217" s="64">
        <f t="shared" si="24"/>
        <v>0.359375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168</v>
      </c>
      <c r="Y218" s="550">
        <f t="shared" si="20"/>
        <v>168</v>
      </c>
      <c r="Z218" s="36">
        <f t="shared" ref="Z218:Z223" si="25">IFERROR(IF(Y218=0,"",ROUNDUP(Y218/H218,0)*0.00651),"")</f>
        <v>0.45569999999999999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186.9</v>
      </c>
      <c r="BN218" s="64">
        <f t="shared" si="22"/>
        <v>186.9</v>
      </c>
      <c r="BO218" s="64">
        <f t="shared" si="23"/>
        <v>0.38461538461538464</v>
      </c>
      <c r="BP218" s="64">
        <f t="shared" si="24"/>
        <v>0.38461538461538464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429</v>
      </c>
      <c r="Y220" s="550">
        <f t="shared" si="20"/>
        <v>429.59999999999997</v>
      </c>
      <c r="Z220" s="36">
        <f t="shared" si="25"/>
        <v>1.1652899999999999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474.04500000000007</v>
      </c>
      <c r="BN220" s="64">
        <f t="shared" si="22"/>
        <v>474.70799999999997</v>
      </c>
      <c r="BO220" s="64">
        <f t="shared" si="23"/>
        <v>0.98214285714285721</v>
      </c>
      <c r="BP220" s="64">
        <f t="shared" si="24"/>
        <v>0.98351648351648358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258</v>
      </c>
      <c r="Y221" s="550">
        <f t="shared" si="20"/>
        <v>259.2</v>
      </c>
      <c r="Z221" s="36">
        <f t="shared" si="25"/>
        <v>0.70308000000000004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285.09000000000003</v>
      </c>
      <c r="BN221" s="64">
        <f t="shared" si="22"/>
        <v>286.41600000000005</v>
      </c>
      <c r="BO221" s="64">
        <f t="shared" si="23"/>
        <v>0.59065934065934067</v>
      </c>
      <c r="BP221" s="64">
        <f t="shared" si="24"/>
        <v>0.59340659340659341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102</v>
      </c>
      <c r="Y222" s="550">
        <f t="shared" si="20"/>
        <v>103.2</v>
      </c>
      <c r="Z222" s="36">
        <f t="shared" si="25"/>
        <v>0.27993000000000001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112.71000000000001</v>
      </c>
      <c r="BN222" s="64">
        <f t="shared" si="22"/>
        <v>114.03600000000003</v>
      </c>
      <c r="BO222" s="64">
        <f t="shared" si="23"/>
        <v>0.23351648351648355</v>
      </c>
      <c r="BP222" s="64">
        <f t="shared" si="24"/>
        <v>0.23626373626373628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146</v>
      </c>
      <c r="Y223" s="550">
        <f t="shared" si="20"/>
        <v>146.4</v>
      </c>
      <c r="Z223" s="36">
        <f t="shared" si="25"/>
        <v>0.39711000000000002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161.69499999999999</v>
      </c>
      <c r="BN223" s="64">
        <f t="shared" si="22"/>
        <v>162.13800000000001</v>
      </c>
      <c r="BO223" s="64">
        <f t="shared" si="23"/>
        <v>0.33424908424908428</v>
      </c>
      <c r="BP223" s="64">
        <f t="shared" si="24"/>
        <v>0.33516483516483525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486.21168582375475</v>
      </c>
      <c r="Y224" s="551">
        <f>IFERROR(Y215/H215,"0")+IFERROR(Y216/H216,"0")+IFERROR(Y217/H217,"0")+IFERROR(Y218/H218,"0")+IFERROR(Y219/H219,"0")+IFERROR(Y220/H220,"0")+IFERROR(Y221/H221,"0")+IFERROR(Y222/H222,"0")+IFERROR(Y223/H223,"0")</f>
        <v>490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3.5515300000000001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1332</v>
      </c>
      <c r="Y225" s="551">
        <f>IFERROR(SUM(Y215:Y223),"0")</f>
        <v>1355.1000000000001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17</v>
      </c>
      <c r="Y227" s="550">
        <f>IFERROR(IF(X227="",0,CEILING((X227/$H227),1)*$H227),"")</f>
        <v>19.2</v>
      </c>
      <c r="Z227" s="36">
        <f>IFERROR(IF(Y227=0,"",ROUNDUP(Y227/H227,0)*0.00651),"")</f>
        <v>5.2080000000000001E-2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18.785000000000004</v>
      </c>
      <c r="BN227" s="64">
        <f>IFERROR(Y227*I227/H227,"0")</f>
        <v>21.216000000000001</v>
      </c>
      <c r="BO227" s="64">
        <f>IFERROR(1/J227*(X227/H227),"0")</f>
        <v>3.8919413919413927E-2</v>
      </c>
      <c r="BP227" s="64">
        <f>IFERROR(1/J227*(Y227/H227),"0")</f>
        <v>4.3956043956043959E-2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34</v>
      </c>
      <c r="Y228" s="550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37.570000000000007</v>
      </c>
      <c r="BN228" s="64">
        <f>IFERROR(Y228*I228/H228,"0")</f>
        <v>39.780000000000008</v>
      </c>
      <c r="BO228" s="64">
        <f>IFERROR(1/J228*(X228/H228),"0")</f>
        <v>7.7838827838827854E-2</v>
      </c>
      <c r="BP228" s="64">
        <f>IFERROR(1/J228*(Y228/H228),"0")</f>
        <v>8.241758241758243E-2</v>
      </c>
    </row>
    <row r="229" spans="1:68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21.25</v>
      </c>
      <c r="Y229" s="551">
        <f>IFERROR(Y227/H227,"0")+IFERROR(Y228/H228,"0")</f>
        <v>23</v>
      </c>
      <c r="Z229" s="551">
        <f>IFERROR(IF(Z227="",0,Z227),"0")+IFERROR(IF(Z228="",0,Z228),"0")</f>
        <v>0.14973</v>
      </c>
      <c r="AA229" s="552"/>
      <c r="AB229" s="552"/>
      <c r="AC229" s="552"/>
    </row>
    <row r="230" spans="1:68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51</v>
      </c>
      <c r="Y230" s="551">
        <f>IFERROR(SUM(Y227:Y228),"0")</f>
        <v>55.2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4301011824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1</v>
      </c>
      <c r="Y249" s="550">
        <f>IFERROR(IF(X249="",0,CEILING((X249/$H249),1)*$H249),"")</f>
        <v>1.8</v>
      </c>
      <c r="Z249" s="36">
        <f>IFERROR(IF(Y249=0,"",ROUNDUP(Y249/H249,0)*0.0059),"")</f>
        <v>5.8999999999999999E-3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1.0972222222222223</v>
      </c>
      <c r="BN249" s="64">
        <f>IFERROR(Y249*I249/H249,"0")</f>
        <v>1.9750000000000001</v>
      </c>
      <c r="BO249" s="64">
        <f>IFERROR(1/J249*(X249/H249),"0")</f>
        <v>2.5720164609053498E-3</v>
      </c>
      <c r="BP249" s="64">
        <f>IFERROR(1/J249*(Y249/H249),"0")</f>
        <v>4.6296296296296294E-3</v>
      </c>
    </row>
    <row r="250" spans="1:68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0.55555555555555558</v>
      </c>
      <c r="Y250" s="551">
        <f>IFERROR(Y249/H249,"0")</f>
        <v>1</v>
      </c>
      <c r="Z250" s="551">
        <f>IFERROR(IF(Z249="",0,Z249),"0")</f>
        <v>5.8999999999999999E-3</v>
      </c>
      <c r="AA250" s="552"/>
      <c r="AB250" s="552"/>
      <c r="AC250" s="552"/>
    </row>
    <row r="251" spans="1:68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1</v>
      </c>
      <c r="Y251" s="551">
        <f>IFERROR(SUM(Y249:Y249),"0")</f>
        <v>1.8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6</v>
      </c>
      <c r="Y280" s="550">
        <f>IFERROR(IF(X280="",0,CEILING((X280/$H280),1)*$H280),"")</f>
        <v>7.1999999999999993</v>
      </c>
      <c r="Z280" s="36">
        <f>IFERROR(IF(Y280=0,"",ROUNDUP(Y280/H280,0)*0.00651),"")</f>
        <v>1.9529999999999999E-2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6.6300000000000008</v>
      </c>
      <c r="BN280" s="64">
        <f>IFERROR(Y280*I280/H280,"0")</f>
        <v>7.9560000000000004</v>
      </c>
      <c r="BO280" s="64">
        <f>IFERROR(1/J280*(X280/H280),"0")</f>
        <v>1.3736263736263738E-2</v>
      </c>
      <c r="BP280" s="64">
        <f>IFERROR(1/J280*(Y280/H280),"0")</f>
        <v>1.6483516483516484E-2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22</v>
      </c>
      <c r="Y281" s="550">
        <f>IFERROR(IF(X281="",0,CEILING((X281/$H281),1)*$H281),"")</f>
        <v>24</v>
      </c>
      <c r="Z281" s="36">
        <f>IFERROR(IF(Y281=0,"",ROUNDUP(Y281/H281,0)*0.00651),"")</f>
        <v>6.5100000000000005E-2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23.650000000000002</v>
      </c>
      <c r="BN281" s="64">
        <f>IFERROR(Y281*I281/H281,"0")</f>
        <v>25.8</v>
      </c>
      <c r="BO281" s="64">
        <f>IFERROR(1/J281*(X281/H281),"0")</f>
        <v>5.0366300366300375E-2</v>
      </c>
      <c r="BP281" s="64">
        <f>IFERROR(1/J281*(Y281/H281),"0")</f>
        <v>5.4945054945054951E-2</v>
      </c>
    </row>
    <row r="282" spans="1:68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11.666666666666668</v>
      </c>
      <c r="Y282" s="551">
        <f>IFERROR(Y279/H279,"0")+IFERROR(Y280/H280,"0")+IFERROR(Y281/H281,"0")</f>
        <v>13</v>
      </c>
      <c r="Z282" s="551">
        <f>IFERROR(IF(Z279="",0,Z279),"0")+IFERROR(IF(Z280="",0,Z280),"0")+IFERROR(IF(Z281="",0,Z281),"0")</f>
        <v>8.4630000000000011E-2</v>
      </c>
      <c r="AA282" s="552"/>
      <c r="AB282" s="552"/>
      <c r="AC282" s="552"/>
    </row>
    <row r="283" spans="1:68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28</v>
      </c>
      <c r="Y283" s="551">
        <f>IFERROR(SUM(Y279:Y281),"0")</f>
        <v>31.2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132</v>
      </c>
      <c r="Y321" s="550">
        <f>IFERROR(IF(X321="",0,CEILING((X321/$H321),1)*$H321),"")</f>
        <v>134.4</v>
      </c>
      <c r="Z321" s="36">
        <f>IFERROR(IF(Y321=0,"",ROUNDUP(Y321/H321,0)*0.01898),"")</f>
        <v>0.30368000000000001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139.76285714285714</v>
      </c>
      <c r="BN321" s="64">
        <f>IFERROR(Y321*I321/H321,"0")</f>
        <v>142.304</v>
      </c>
      <c r="BO321" s="64">
        <f>IFERROR(1/J321*(X321/H321),"0")</f>
        <v>0.24553571428571427</v>
      </c>
      <c r="BP321" s="64">
        <f>IFERROR(1/J321*(Y321/H321),"0")</f>
        <v>0.25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415</v>
      </c>
      <c r="Y322" s="550">
        <f>IFERROR(IF(X322="",0,CEILING((X322/$H322),1)*$H322),"")</f>
        <v>421.2</v>
      </c>
      <c r="Z322" s="36">
        <f>IFERROR(IF(Y322=0,"",ROUNDUP(Y322/H322,0)*0.01898),"")</f>
        <v>1.0249200000000001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441.28333333333336</v>
      </c>
      <c r="BN322" s="64">
        <f>IFERROR(Y322*I322/H322,"0")</f>
        <v>447.87600000000003</v>
      </c>
      <c r="BO322" s="64">
        <f>IFERROR(1/J322*(X322/H322),"0")</f>
        <v>0.83133012820512819</v>
      </c>
      <c r="BP322" s="64">
        <f>IFERROR(1/J322*(Y322/H322),"0")</f>
        <v>0.84375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159</v>
      </c>
      <c r="Y323" s="550">
        <f>IFERROR(IF(X323="",0,CEILING((X323/$H323),1)*$H323),"")</f>
        <v>159.6</v>
      </c>
      <c r="Z323" s="36">
        <f>IFERROR(IF(Y323=0,"",ROUNDUP(Y323/H323,0)*0.01898),"")</f>
        <v>0.36062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168.35071428571428</v>
      </c>
      <c r="BN323" s="64">
        <f>IFERROR(Y323*I323/H323,"0")</f>
        <v>168.98599999999999</v>
      </c>
      <c r="BO323" s="64">
        <f>IFERROR(1/J323*(X323/H323),"0")</f>
        <v>0.29575892857142855</v>
      </c>
      <c r="BP323" s="64">
        <f>IFERROR(1/J323*(Y323/H323),"0")</f>
        <v>0.296875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87.847985347985343</v>
      </c>
      <c r="Y324" s="551">
        <f>IFERROR(Y321/H321,"0")+IFERROR(Y322/H322,"0")+IFERROR(Y323/H323,"0")</f>
        <v>89</v>
      </c>
      <c r="Z324" s="551">
        <f>IFERROR(IF(Z321="",0,Z321),"0")+IFERROR(IF(Z322="",0,Z322),"0")+IFERROR(IF(Z323="",0,Z323),"0")</f>
        <v>1.6892199999999999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706</v>
      </c>
      <c r="Y325" s="551">
        <f>IFERROR(SUM(Y321:Y323),"0")</f>
        <v>715.2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29</v>
      </c>
      <c r="Y329" s="550">
        <f>IFERROR(IF(X329="",0,CEILING((X329/$H329),1)*$H329),"")</f>
        <v>30.599999999999998</v>
      </c>
      <c r="Z329" s="36">
        <f>IFERROR(IF(Y329=0,"",ROUNDUP(Y329/H329,0)*0.00651),"")</f>
        <v>7.8119999999999995E-2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33.60588235294118</v>
      </c>
      <c r="BN329" s="64">
        <f>IFERROR(Y329*I329/H329,"0")</f>
        <v>35.46</v>
      </c>
      <c r="BO329" s="64">
        <f>IFERROR(1/J329*(X329/H329),"0")</f>
        <v>6.2486533074768376E-2</v>
      </c>
      <c r="BP329" s="64">
        <f>IFERROR(1/J329*(Y329/H329),"0")</f>
        <v>6.5934065934065936E-2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35</v>
      </c>
      <c r="Y330" s="550">
        <f>IFERROR(IF(X330="",0,CEILING((X330/$H330),1)*$H330),"")</f>
        <v>35.699999999999996</v>
      </c>
      <c r="Z330" s="36">
        <f>IFERROR(IF(Y330=0,"",ROUNDUP(Y330/H330,0)*0.00651),"")</f>
        <v>9.1139999999999999E-2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39.529411764705884</v>
      </c>
      <c r="BN330" s="64">
        <f>IFERROR(Y330*I330/H330,"0")</f>
        <v>40.32</v>
      </c>
      <c r="BO330" s="64">
        <f>IFERROR(1/J330*(X330/H330),"0")</f>
        <v>7.5414781297134248E-2</v>
      </c>
      <c r="BP330" s="64">
        <f>IFERROR(1/J330*(Y330/H330),"0")</f>
        <v>7.6923076923076927E-2</v>
      </c>
    </row>
    <row r="331" spans="1:68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25.098039215686278</v>
      </c>
      <c r="Y331" s="551">
        <f>IFERROR(Y327/H327,"0")+IFERROR(Y328/H328,"0")+IFERROR(Y329/H329,"0")+IFERROR(Y330/H330,"0")</f>
        <v>26</v>
      </c>
      <c r="Z331" s="551">
        <f>IFERROR(IF(Z327="",0,Z327),"0")+IFERROR(IF(Z328="",0,Z328),"0")+IFERROR(IF(Z329="",0,Z329),"0")+IFERROR(IF(Z330="",0,Z330),"0")</f>
        <v>0.16925999999999999</v>
      </c>
      <c r="AA331" s="552"/>
      <c r="AB331" s="552"/>
      <c r="AC331" s="552"/>
    </row>
    <row r="332" spans="1:68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64</v>
      </c>
      <c r="Y332" s="551">
        <f>IFERROR(SUM(Y327:Y330),"0")</f>
        <v>66.3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3</v>
      </c>
      <c r="Y335" s="550">
        <f>IFERROR(IF(X335="",0,CEILING((X335/$H335),1)*$H335),"")</f>
        <v>4</v>
      </c>
      <c r="Z335" s="36">
        <f>IFERROR(IF(Y335=0,"",ROUNDUP(Y335/H335,0)*0.00474),"")</f>
        <v>9.4800000000000006E-3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3.3600000000000003</v>
      </c>
      <c r="BN335" s="64">
        <f>IFERROR(Y335*I335/H335,"0")</f>
        <v>4.4800000000000004</v>
      </c>
      <c r="BO335" s="64">
        <f>IFERROR(1/J335*(X335/H335),"0")</f>
        <v>6.3025210084033615E-3</v>
      </c>
      <c r="BP335" s="64">
        <f>IFERROR(1/J335*(Y335/H335),"0")</f>
        <v>8.4033613445378148E-3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7</v>
      </c>
      <c r="Y336" s="550">
        <f>IFERROR(IF(X336="",0,CEILING((X336/$H336),1)*$H336),"")</f>
        <v>8</v>
      </c>
      <c r="Z336" s="36">
        <f>IFERROR(IF(Y336=0,"",ROUNDUP(Y336/H336,0)*0.00474),"")</f>
        <v>1.8960000000000001E-2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7.8400000000000007</v>
      </c>
      <c r="BN336" s="64">
        <f>IFERROR(Y336*I336/H336,"0")</f>
        <v>8.9600000000000009</v>
      </c>
      <c r="BO336" s="64">
        <f>IFERROR(1/J336*(X336/H336),"0")</f>
        <v>1.4705882352941176E-2</v>
      </c>
      <c r="BP336" s="64">
        <f>IFERROR(1/J336*(Y336/H336),"0")</f>
        <v>1.680672268907563E-2</v>
      </c>
    </row>
    <row r="337" spans="1:68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5</v>
      </c>
      <c r="Y337" s="551">
        <f>IFERROR(Y334/H334,"0")+IFERROR(Y335/H335,"0")+IFERROR(Y336/H336,"0")</f>
        <v>6</v>
      </c>
      <c r="Z337" s="551">
        <f>IFERROR(IF(Z334="",0,Z334),"0")+IFERROR(IF(Z335="",0,Z335),"0")+IFERROR(IF(Z336="",0,Z336),"0")</f>
        <v>2.844E-2</v>
      </c>
      <c r="AA337" s="552"/>
      <c r="AB337" s="552"/>
      <c r="AC337" s="552"/>
    </row>
    <row r="338" spans="1:68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10</v>
      </c>
      <c r="Y338" s="551">
        <f>IFERROR(SUM(Y334:Y336),"0")</f>
        <v>12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10</v>
      </c>
      <c r="Y341" s="550">
        <f>IFERROR(IF(X341="",0,CEILING((X341/$H341),1)*$H341),"")</f>
        <v>16.2</v>
      </c>
      <c r="Z341" s="36">
        <f>IFERROR(IF(Y341=0,"",ROUNDUP(Y341/H341,0)*0.01898),"")</f>
        <v>3.7960000000000001E-2</v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10.609876543209877</v>
      </c>
      <c r="BN341" s="64">
        <f>IFERROR(Y341*I341/H341,"0")</f>
        <v>17.187999999999999</v>
      </c>
      <c r="BO341" s="64">
        <f>IFERROR(1/J341*(X341/H341),"0")</f>
        <v>1.9290123456790126E-2</v>
      </c>
      <c r="BP341" s="64">
        <f>IFERROR(1/J341*(Y341/H341),"0")</f>
        <v>3.125E-2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1.2345679012345681</v>
      </c>
      <c r="Y344" s="551">
        <f>IFERROR(Y341/H341,"0")+IFERROR(Y342/H342,"0")+IFERROR(Y343/H343,"0")</f>
        <v>2</v>
      </c>
      <c r="Z344" s="551">
        <f>IFERROR(IF(Z341="",0,Z341),"0")+IFERROR(IF(Z342="",0,Z342),"0")+IFERROR(IF(Z343="",0,Z343),"0")</f>
        <v>3.7960000000000001E-2</v>
      </c>
      <c r="AA344" s="552"/>
      <c r="AB344" s="552"/>
      <c r="AC344" s="552"/>
    </row>
    <row r="345" spans="1:68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10</v>
      </c>
      <c r="Y345" s="551">
        <f>IFERROR(SUM(Y341:Y343),"0")</f>
        <v>16.2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380</v>
      </c>
      <c r="Y350" s="550">
        <f t="shared" si="36"/>
        <v>390</v>
      </c>
      <c r="Z350" s="36">
        <f>IFERROR(IF(Y350=0,"",ROUNDUP(Y350/H350,0)*0.02175),"")</f>
        <v>0.5655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391.90666666666669</v>
      </c>
      <c r="BN350" s="64">
        <f t="shared" si="38"/>
        <v>402.22</v>
      </c>
      <c r="BO350" s="64">
        <f t="shared" si="39"/>
        <v>0.52777777777777768</v>
      </c>
      <c r="BP350" s="64">
        <f t="shared" si="40"/>
        <v>0.54166666666666663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8">
        <v>4680115887046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422</v>
      </c>
      <c r="Y352" s="550">
        <f t="shared" si="36"/>
        <v>435</v>
      </c>
      <c r="Z352" s="36">
        <f>IFERROR(IF(Y352=0,"",ROUNDUP(Y352/H352,0)*0.02175),"")</f>
        <v>0.63074999999999992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435.22266666666667</v>
      </c>
      <c r="BN352" s="64">
        <f t="shared" si="38"/>
        <v>448.63000000000005</v>
      </c>
      <c r="BO352" s="64">
        <f t="shared" si="39"/>
        <v>0.58611111111111103</v>
      </c>
      <c r="BP352" s="64">
        <f t="shared" si="40"/>
        <v>0.60416666666666663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53.466666666666669</v>
      </c>
      <c r="Y356" s="551">
        <f>IFERROR(Y349/H349,"0")+IFERROR(Y350/H350,"0")+IFERROR(Y351/H351,"0")+IFERROR(Y352/H352,"0")+IFERROR(Y353/H353,"0")+IFERROR(Y354/H354,"0")+IFERROR(Y355/H355,"0")</f>
        <v>55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1.19625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802</v>
      </c>
      <c r="Y357" s="551">
        <f>IFERROR(SUM(Y349:Y355),"0")</f>
        <v>825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553</v>
      </c>
      <c r="Y359" s="550">
        <f>IFERROR(IF(X359="",0,CEILING((X359/$H359),1)*$H359),"")</f>
        <v>555</v>
      </c>
      <c r="Z359" s="36">
        <f>IFERROR(IF(Y359=0,"",ROUNDUP(Y359/H359,0)*0.02175),"")</f>
        <v>0.80474999999999997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570.32733333333329</v>
      </c>
      <c r="BN359" s="64">
        <f>IFERROR(Y359*I359/H359,"0")</f>
        <v>572.39</v>
      </c>
      <c r="BO359" s="64">
        <f>IFERROR(1/J359*(X359/H359),"0")</f>
        <v>0.76805555555555549</v>
      </c>
      <c r="BP359" s="64">
        <f>IFERROR(1/J359*(Y359/H359),"0")</f>
        <v>0.77083333333333326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36.866666666666667</v>
      </c>
      <c r="Y361" s="551">
        <f>IFERROR(Y359/H359,"0")+IFERROR(Y360/H360,"0")</f>
        <v>37</v>
      </c>
      <c r="Z361" s="551">
        <f>IFERROR(IF(Z359="",0,Z359),"0")+IFERROR(IF(Z360="",0,Z360),"0")</f>
        <v>0.80474999999999997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553</v>
      </c>
      <c r="Y362" s="551">
        <f>IFERROR(SUM(Y359:Y360),"0")</f>
        <v>555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12</v>
      </c>
      <c r="Y365" s="550">
        <f>IFERROR(IF(X365="",0,CEILING((X365/$H365),1)*$H365),"")</f>
        <v>18</v>
      </c>
      <c r="Z365" s="36">
        <f>IFERROR(IF(Y365=0,"",ROUNDUP(Y365/H365,0)*0.01898),"")</f>
        <v>3.7960000000000001E-2</v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12.658666666666667</v>
      </c>
      <c r="BN365" s="64">
        <f>IFERROR(Y365*I365/H365,"0")</f>
        <v>18.988</v>
      </c>
      <c r="BO365" s="64">
        <f>IFERROR(1/J365*(X365/H365),"0")</f>
        <v>2.0833333333333332E-2</v>
      </c>
      <c r="BP365" s="64">
        <f>IFERROR(1/J365*(Y365/H365),"0")</f>
        <v>3.125E-2</v>
      </c>
    </row>
    <row r="366" spans="1:68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1.3333333333333333</v>
      </c>
      <c r="Y366" s="551">
        <f>IFERROR(Y364/H364,"0")+IFERROR(Y365/H365,"0")</f>
        <v>2</v>
      </c>
      <c r="Z366" s="551">
        <f>IFERROR(IF(Z364="",0,Z364),"0")+IFERROR(IF(Z365="",0,Z365),"0")</f>
        <v>3.7960000000000001E-2</v>
      </c>
      <c r="AA366" s="552"/>
      <c r="AB366" s="552"/>
      <c r="AC366" s="552"/>
    </row>
    <row r="367" spans="1:68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12</v>
      </c>
      <c r="Y367" s="551">
        <f>IFERROR(SUM(Y364:Y365),"0")</f>
        <v>18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157</v>
      </c>
      <c r="Y369" s="550">
        <f>IFERROR(IF(X369="",0,CEILING((X369/$H369),1)*$H369),"")</f>
        <v>162</v>
      </c>
      <c r="Z369" s="36">
        <f>IFERROR(IF(Y369=0,"",ROUNDUP(Y369/H369,0)*0.01898),"")</f>
        <v>0.34164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165.61755555555555</v>
      </c>
      <c r="BN369" s="64">
        <f>IFERROR(Y369*I369/H369,"0")</f>
        <v>170.892</v>
      </c>
      <c r="BO369" s="64">
        <f>IFERROR(1/J369*(X369/H369),"0")</f>
        <v>0.27256944444444442</v>
      </c>
      <c r="BP369" s="64">
        <f>IFERROR(1/J369*(Y369/H369),"0")</f>
        <v>0.28125</v>
      </c>
    </row>
    <row r="370" spans="1:68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17.444444444444443</v>
      </c>
      <c r="Y370" s="551">
        <f>IFERROR(Y369/H369,"0")</f>
        <v>18</v>
      </c>
      <c r="Z370" s="551">
        <f>IFERROR(IF(Z369="",0,Z369),"0")</f>
        <v>0.34164</v>
      </c>
      <c r="AA370" s="552"/>
      <c r="AB370" s="552"/>
      <c r="AC370" s="552"/>
    </row>
    <row r="371" spans="1:68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157</v>
      </c>
      <c r="Y371" s="551">
        <f>IFERROR(SUM(Y369:Y369),"0")</f>
        <v>162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9</v>
      </c>
      <c r="Y374" s="550">
        <f>IFERROR(IF(X374="",0,CEILING((X374/$H374),1)*$H374),"")</f>
        <v>12</v>
      </c>
      <c r="Z374" s="36">
        <f>IFERROR(IF(Y374=0,"",ROUNDUP(Y374/H374,0)*0.01898),"")</f>
        <v>1.898E-2</v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9.3074999999999992</v>
      </c>
      <c r="BN374" s="64">
        <f>IFERROR(Y374*I374/H374,"0")</f>
        <v>12.410000000000002</v>
      </c>
      <c r="BO374" s="64">
        <f>IFERROR(1/J374*(X374/H374),"0")</f>
        <v>1.171875E-2</v>
      </c>
      <c r="BP374" s="64">
        <f>IFERROR(1/J374*(Y374/H374),"0")</f>
        <v>1.5625E-2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0.75</v>
      </c>
      <c r="Y376" s="551">
        <f>IFERROR(Y374/H374,"0")+IFERROR(Y375/H375,"0")</f>
        <v>1</v>
      </c>
      <c r="Z376" s="551">
        <f>IFERROR(IF(Z374="",0,Z374),"0")+IFERROR(IF(Z375="",0,Z375),"0")</f>
        <v>1.898E-2</v>
      </c>
      <c r="AA376" s="552"/>
      <c r="AB376" s="552"/>
      <c r="AC376" s="552"/>
    </row>
    <row r="377" spans="1:68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9</v>
      </c>
      <c r="Y377" s="551">
        <f>IFERROR(SUM(Y374:Y375),"0")</f>
        <v>12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8">
        <v>4607091384802</v>
      </c>
      <c r="E379" s="559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8">
        <v>4607091384802</v>
      </c>
      <c r="E380" s="559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902</v>
      </c>
      <c r="Y384" s="550">
        <f>IFERROR(IF(X384="",0,CEILING((X384/$H384),1)*$H384),"")</f>
        <v>909</v>
      </c>
      <c r="Z384" s="36">
        <f>IFERROR(IF(Y384=0,"",ROUNDUP(Y384/H384,0)*0.01898),"")</f>
        <v>1.9169800000000001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951.5097777777778</v>
      </c>
      <c r="BN384" s="64">
        <f>IFERROR(Y384*I384/H384,"0")</f>
        <v>958.89400000000001</v>
      </c>
      <c r="BO384" s="64">
        <f>IFERROR(1/J384*(X384/H384),"0")</f>
        <v>1.5659722222222223</v>
      </c>
      <c r="BP384" s="64">
        <f>IFERROR(1/J384*(Y384/H384),"0")</f>
        <v>1.578125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606</v>
      </c>
      <c r="C386" s="31">
        <v>4301051660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100.22222222222223</v>
      </c>
      <c r="Y387" s="551">
        <f>IFERROR(Y384/H384,"0")+IFERROR(Y385/H385,"0")+IFERROR(Y386/H386,"0")</f>
        <v>101</v>
      </c>
      <c r="Z387" s="551">
        <f>IFERROR(IF(Z384="",0,Z384),"0")+IFERROR(IF(Z385="",0,Z385),"0")+IFERROR(IF(Z386="",0,Z386),"0")</f>
        <v>1.9169800000000001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902</v>
      </c>
      <c r="Y388" s="551">
        <f>IFERROR(SUM(Y384:Y386),"0")</f>
        <v>909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40</v>
      </c>
      <c r="Y428" s="550">
        <f t="shared" ref="Y428:Y439" si="47">IFERROR(IF(X428="",0,CEILING((X428/$H428),1)*$H428),"")</f>
        <v>42.24</v>
      </c>
      <c r="Z428" s="36">
        <f t="shared" ref="Z428:Z434" si="48">IFERROR(IF(Y428=0,"",ROUNDUP(Y428/H428,0)*0.01196),"")</f>
        <v>9.5680000000000001E-2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42.651515151515149</v>
      </c>
      <c r="BN428" s="64">
        <f t="shared" ref="BN428:BN439" si="50">IFERROR(Y428*I428/H428,"0")</f>
        <v>45.04</v>
      </c>
      <c r="BO428" s="64">
        <f t="shared" ref="BO428:BO439" si="51">IFERROR(1/J428*(X428/H428),"0")</f>
        <v>7.2843822843822847E-2</v>
      </c>
      <c r="BP428" s="64">
        <f t="shared" ref="BP428:BP439" si="52">IFERROR(1/J428*(Y428/H428),"0")</f>
        <v>7.6923076923076927E-2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106</v>
      </c>
      <c r="Y431" s="550">
        <f t="shared" si="47"/>
        <v>110.88000000000001</v>
      </c>
      <c r="Z431" s="36">
        <f t="shared" si="48"/>
        <v>0.25115999999999999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113.02651515151514</v>
      </c>
      <c r="BN431" s="64">
        <f t="shared" si="50"/>
        <v>118.23</v>
      </c>
      <c r="BO431" s="64">
        <f t="shared" si="51"/>
        <v>0.19303613053613053</v>
      </c>
      <c r="BP431" s="64">
        <f t="shared" si="52"/>
        <v>0.20192307692307693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37</v>
      </c>
      <c r="Y436" s="550">
        <f t="shared" si="47"/>
        <v>38.4</v>
      </c>
      <c r="Z436" s="36">
        <f>IFERROR(IF(Y436=0,"",ROUNDUP(Y436/H436,0)*0.00902),"")</f>
        <v>7.2160000000000002E-2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53.264583333333341</v>
      </c>
      <c r="BN436" s="64">
        <f t="shared" si="50"/>
        <v>55.28</v>
      </c>
      <c r="BO436" s="64">
        <f t="shared" si="51"/>
        <v>5.8396464646464655E-2</v>
      </c>
      <c r="BP436" s="64">
        <f t="shared" si="52"/>
        <v>6.0606060606060608E-2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3</v>
      </c>
      <c r="Y439" s="550">
        <f t="shared" si="47"/>
        <v>4.8</v>
      </c>
      <c r="Z439" s="36">
        <f>IFERROR(IF(Y439=0,"",ROUNDUP(Y439/H439,0)*0.00902),"")</f>
        <v>9.0200000000000002E-3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4.3187500000000005</v>
      </c>
      <c r="BN439" s="64">
        <f t="shared" si="50"/>
        <v>6.91</v>
      </c>
      <c r="BO439" s="64">
        <f t="shared" si="51"/>
        <v>4.734848484848485E-3</v>
      </c>
      <c r="BP439" s="64">
        <f t="shared" si="52"/>
        <v>7.575757575757576E-3</v>
      </c>
    </row>
    <row r="440" spans="1:68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35.984848484848484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38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0.42801999999999996</v>
      </c>
      <c r="AA440" s="552"/>
      <c r="AB440" s="552"/>
      <c r="AC440" s="552"/>
    </row>
    <row r="441" spans="1:68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186</v>
      </c>
      <c r="Y441" s="551">
        <f>IFERROR(SUM(Y428:Y439),"0")</f>
        <v>196.32000000000002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64</v>
      </c>
      <c r="Y449" s="550">
        <f t="shared" ref="Y449:Y454" si="53">IFERROR(IF(X449="",0,CEILING((X449/$H449),1)*$H449),"")</f>
        <v>68.64</v>
      </c>
      <c r="Z449" s="36">
        <f>IFERROR(IF(Y449=0,"",ROUNDUP(Y449/H449,0)*0.01196),"")</f>
        <v>0.15548000000000001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68.242424242424235</v>
      </c>
      <c r="BN449" s="64">
        <f t="shared" ref="BN449:BN454" si="55">IFERROR(Y449*I449/H449,"0")</f>
        <v>73.19</v>
      </c>
      <c r="BO449" s="64">
        <f t="shared" ref="BO449:BO454" si="56">IFERROR(1/J449*(X449/H449),"0")</f>
        <v>0.11655011655011656</v>
      </c>
      <c r="BP449" s="64">
        <f t="shared" ref="BP449:BP454" si="57">IFERROR(1/J449*(Y449/H449),"0")</f>
        <v>0.125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71</v>
      </c>
      <c r="Y450" s="550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75.706439393939391</v>
      </c>
      <c r="BN450" s="64">
        <f t="shared" si="55"/>
        <v>78.819999999999993</v>
      </c>
      <c r="BO450" s="64">
        <f t="shared" si="56"/>
        <v>0.12929778554778554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203</v>
      </c>
      <c r="Y451" s="550">
        <f t="shared" si="53"/>
        <v>205.92000000000002</v>
      </c>
      <c r="Z451" s="36">
        <f>IFERROR(IF(Y451=0,"",ROUNDUP(Y451/H451,0)*0.01196),"")</f>
        <v>0.46644000000000002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216.45643939393935</v>
      </c>
      <c r="BN451" s="64">
        <f t="shared" si="55"/>
        <v>219.57</v>
      </c>
      <c r="BO451" s="64">
        <f t="shared" si="56"/>
        <v>0.36968240093240096</v>
      </c>
      <c r="BP451" s="64">
        <f t="shared" si="57"/>
        <v>0.375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64.015151515151516</v>
      </c>
      <c r="Y455" s="551">
        <f>IFERROR(Y449/H449,"0")+IFERROR(Y450/H450,"0")+IFERROR(Y451/H451,"0")+IFERROR(Y452/H452,"0")+IFERROR(Y453/H453,"0")+IFERROR(Y454/H454,"0")</f>
        <v>66</v>
      </c>
      <c r="Z455" s="551">
        <f>IFERROR(IF(Z449="",0,Z449),"0")+IFERROR(IF(Z450="",0,Z450),"0")+IFERROR(IF(Z451="",0,Z451),"0")+IFERROR(IF(Z452="",0,Z452),"0")+IFERROR(IF(Z453="",0,Z453),"0")+IFERROR(IF(Z454="",0,Z454),"0")</f>
        <v>0.78936000000000006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338</v>
      </c>
      <c r="Y456" s="551">
        <f>IFERROR(SUM(Y449:Y454),"0")</f>
        <v>348.48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6898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7049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7342.032220829853</v>
      </c>
      <c r="Y494" s="551">
        <f>IFERROR(SUM(BN22:BN490),"0")</f>
        <v>7503.2690000000002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13</v>
      </c>
      <c r="Y495" s="38">
        <f>ROUNDUP(SUM(BP22:BP490),0)</f>
        <v>13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7667.032220829853</v>
      </c>
      <c r="Y496" s="551">
        <f>GrossWeightTotalR+PalletQtyTotalR*25</f>
        <v>7828.2690000000002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1382.6161308041796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1410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15.226150000000001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189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25.900000000000002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237.4</v>
      </c>
      <c r="E503" s="46">
        <f>IFERROR(Y84*1,"0")+IFERROR(Y85*1,"0")+IFERROR(Y86*1,"0")+IFERROR(Y87*1,"0")+IFERROR(Y91*1,"0")+IFERROR(Y92*1,"0")+IFERROR(Y93*1,"0")+IFERROR(Y94*1,"0")</f>
        <v>356.4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405.90000000000003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368.4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1786.5000000000002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31.2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793.50000000000011</v>
      </c>
      <c r="R503" s="46">
        <f>IFERROR(Y341*1,"0")+IFERROR(Y342*1,"0")+IFERROR(Y343*1,"0")</f>
        <v>16.2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1560</v>
      </c>
      <c r="T503" s="46">
        <f>IFERROR(Y374*1,"0")+IFERROR(Y375*1,"0")+IFERROR(Y379*1,"0")+IFERROR(Y380*1,"0")+IFERROR(Y384*1,"0")+IFERROR(Y385*1,"0")+IFERROR(Y386*1,"0")</f>
        <v>921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544.80000000000007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5"/>
        <filter val="1 332,00"/>
        <filter val="1 382,62"/>
        <filter val="1,00"/>
        <filter val="1,23"/>
        <filter val="1,33"/>
        <filter val="1,78"/>
        <filter val="10,00"/>
        <filter val="100,22"/>
        <filter val="102,00"/>
        <filter val="106,00"/>
        <filter val="11,67"/>
        <filter val="111,00"/>
        <filter val="115,19"/>
        <filter val="12,00"/>
        <filter val="12,77"/>
        <filter val="123,00"/>
        <filter val="127,00"/>
        <filter val="129,60"/>
        <filter val="13"/>
        <filter val="132,00"/>
        <filter val="143,00"/>
        <filter val="146,00"/>
        <filter val="157,00"/>
        <filter val="159,00"/>
        <filter val="168,00"/>
        <filter val="17,00"/>
        <filter val="17,44"/>
        <filter val="17,72"/>
        <filter val="186,00"/>
        <filter val="19,00"/>
        <filter val="191,00"/>
        <filter val="193,00"/>
        <filter val="203,00"/>
        <filter val="21,00"/>
        <filter val="21,25"/>
        <filter val="22,00"/>
        <filter val="236,00"/>
        <filter val="24,00"/>
        <filter val="25,10"/>
        <filter val="258,00"/>
        <filter val="266,00"/>
        <filter val="28,00"/>
        <filter val="29,00"/>
        <filter val="3,00"/>
        <filter val="338,00"/>
        <filter val="34,00"/>
        <filter val="347,00"/>
        <filter val="35,00"/>
        <filter val="35,98"/>
        <filter val="36,87"/>
        <filter val="361,00"/>
        <filter val="37,00"/>
        <filter val="370,00"/>
        <filter val="38,00"/>
        <filter val="380,00"/>
        <filter val="393,00"/>
        <filter val="40,00"/>
        <filter val="415,00"/>
        <filter val="422,00"/>
        <filter val="429,00"/>
        <filter val="43,00"/>
        <filter val="45,00"/>
        <filter val="486,21"/>
        <filter val="5,00"/>
        <filter val="51,00"/>
        <filter val="53,00"/>
        <filter val="53,47"/>
        <filter val="553,00"/>
        <filter val="6 898,00"/>
        <filter val="6,00"/>
        <filter val="6,49"/>
        <filter val="61,00"/>
        <filter val="64,00"/>
        <filter val="64,02"/>
        <filter val="7 342,03"/>
        <filter val="7 667,03"/>
        <filter val="7,00"/>
        <filter val="70,00"/>
        <filter val="70,25"/>
        <filter val="706,00"/>
        <filter val="71,00"/>
        <filter val="77,00"/>
        <filter val="79,88"/>
        <filter val="8,00"/>
        <filter val="802,00"/>
        <filter val="81,00"/>
        <filter val="87,85"/>
        <filter val="9,00"/>
        <filter val="902,00"/>
        <filter val="91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