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97DBD31-C42E-4A1B-987A-1E08357A4B7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U505" i="1" s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N288" i="1"/>
  <c r="BM288" i="1"/>
  <c r="Z288" i="1"/>
  <c r="Y288" i="1"/>
  <c r="BP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BP229" i="1" s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Y192" i="1" s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Y164" i="1" s="1"/>
  <c r="P163" i="1"/>
  <c r="X159" i="1"/>
  <c r="X158" i="1"/>
  <c r="BO157" i="1"/>
  <c r="BM157" i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Y112" i="1" s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N57" i="1"/>
  <c r="BM57" i="1"/>
  <c r="Z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73" i="1" l="1"/>
  <c r="BN73" i="1"/>
  <c r="Z73" i="1"/>
  <c r="BP103" i="1"/>
  <c r="BN103" i="1"/>
  <c r="Z103" i="1"/>
  <c r="BP149" i="1"/>
  <c r="BN149" i="1"/>
  <c r="Z149" i="1"/>
  <c r="BP179" i="1"/>
  <c r="BN179" i="1"/>
  <c r="Z179" i="1"/>
  <c r="BP219" i="1"/>
  <c r="BN219" i="1"/>
  <c r="Z219" i="1"/>
  <c r="BP242" i="1"/>
  <c r="BN242" i="1"/>
  <c r="Z242" i="1"/>
  <c r="BP274" i="1"/>
  <c r="BN274" i="1"/>
  <c r="Z274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22" i="1"/>
  <c r="BN22" i="1"/>
  <c r="Y32" i="1"/>
  <c r="Z53" i="1"/>
  <c r="BN53" i="1"/>
  <c r="BP88" i="1"/>
  <c r="BN88" i="1"/>
  <c r="Z88" i="1"/>
  <c r="BP117" i="1"/>
  <c r="BN117" i="1"/>
  <c r="Z117" i="1"/>
  <c r="BP171" i="1"/>
  <c r="BN171" i="1"/>
  <c r="Z171" i="1"/>
  <c r="BP206" i="1"/>
  <c r="BN206" i="1"/>
  <c r="Z206" i="1"/>
  <c r="BP207" i="1"/>
  <c r="BN207" i="1"/>
  <c r="Z207" i="1"/>
  <c r="BP234" i="1"/>
  <c r="BN234" i="1"/>
  <c r="Z234" i="1"/>
  <c r="BP263" i="1"/>
  <c r="BN263" i="1"/>
  <c r="Z263" i="1"/>
  <c r="Z268" i="1" s="1"/>
  <c r="BP307" i="1"/>
  <c r="BN307" i="1"/>
  <c r="Z307" i="1"/>
  <c r="BP335" i="1"/>
  <c r="BN335" i="1"/>
  <c r="Z335" i="1"/>
  <c r="Z338" i="1" s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Y96" i="1"/>
  <c r="Y260" i="1"/>
  <c r="Y277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J9" i="1"/>
  <c r="X499" i="1"/>
  <c r="Z28" i="1"/>
  <c r="BN28" i="1"/>
  <c r="Z42" i="1"/>
  <c r="BN42" i="1"/>
  <c r="Y59" i="1"/>
  <c r="Z55" i="1"/>
  <c r="BN55" i="1"/>
  <c r="Z61" i="1"/>
  <c r="BN61" i="1"/>
  <c r="BP61" i="1"/>
  <c r="Z67" i="1"/>
  <c r="BN6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Z128" i="1"/>
  <c r="BN128" i="1"/>
  <c r="Z132" i="1"/>
  <c r="BN132" i="1"/>
  <c r="Y135" i="1"/>
  <c r="Z143" i="1"/>
  <c r="BN143" i="1"/>
  <c r="Z151" i="1"/>
  <c r="BN151" i="1"/>
  <c r="Z157" i="1"/>
  <c r="Z158" i="1" s="1"/>
  <c r="BN157" i="1"/>
  <c r="BP157" i="1"/>
  <c r="Y158" i="1"/>
  <c r="Z163" i="1"/>
  <c r="Z164" i="1" s="1"/>
  <c r="BN163" i="1"/>
  <c r="BP163" i="1"/>
  <c r="Z169" i="1"/>
  <c r="BN169" i="1"/>
  <c r="Z173" i="1"/>
  <c r="BN173" i="1"/>
  <c r="Z177" i="1"/>
  <c r="BN177" i="1"/>
  <c r="Z185" i="1"/>
  <c r="BN185" i="1"/>
  <c r="Y188" i="1"/>
  <c r="Z200" i="1"/>
  <c r="BN200" i="1"/>
  <c r="BP200" i="1"/>
  <c r="Z209" i="1"/>
  <c r="BN209" i="1"/>
  <c r="Z217" i="1"/>
  <c r="BN217" i="1"/>
  <c r="Z221" i="1"/>
  <c r="BN221" i="1"/>
  <c r="Z229" i="1"/>
  <c r="BN229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BP254" i="1"/>
  <c r="Z258" i="1"/>
  <c r="BN258" i="1"/>
  <c r="Y269" i="1"/>
  <c r="Z265" i="1"/>
  <c r="BN265" i="1"/>
  <c r="Z272" i="1"/>
  <c r="BN272" i="1"/>
  <c r="Z281" i="1"/>
  <c r="BN281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339" i="1"/>
  <c r="Y338" i="1"/>
  <c r="Y419" i="1"/>
  <c r="Y448" i="1"/>
  <c r="Y447" i="1"/>
  <c r="Y488" i="1"/>
  <c r="Y25" i="1"/>
  <c r="Y45" i="1"/>
  <c r="Y49" i="1"/>
  <c r="Y58" i="1"/>
  <c r="Y64" i="1"/>
  <c r="BP74" i="1"/>
  <c r="BN74" i="1"/>
  <c r="Z74" i="1"/>
  <c r="BP95" i="1"/>
  <c r="BN95" i="1"/>
  <c r="Z95" i="1"/>
  <c r="F505" i="1"/>
  <c r="Y105" i="1"/>
  <c r="BP100" i="1"/>
  <c r="BN100" i="1"/>
  <c r="Z100" i="1"/>
  <c r="BP104" i="1"/>
  <c r="BN104" i="1"/>
  <c r="Z104" i="1"/>
  <c r="Y106" i="1"/>
  <c r="BP116" i="1"/>
  <c r="BN116" i="1"/>
  <c r="Z116" i="1"/>
  <c r="BP170" i="1"/>
  <c r="BN170" i="1"/>
  <c r="Z170" i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Y230" i="1"/>
  <c r="BP257" i="1"/>
  <c r="BN257" i="1"/>
  <c r="Z25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Y345" i="1"/>
  <c r="D505" i="1"/>
  <c r="Y33" i="1"/>
  <c r="Y37" i="1"/>
  <c r="BP87" i="1"/>
  <c r="BN87" i="1"/>
  <c r="Z87" i="1"/>
  <c r="Y97" i="1"/>
  <c r="Y113" i="1"/>
  <c r="BP108" i="1"/>
  <c r="BN108" i="1"/>
  <c r="Z108" i="1"/>
  <c r="BP133" i="1"/>
  <c r="BN133" i="1"/>
  <c r="Z133" i="1"/>
  <c r="Z134" i="1" s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4" i="1"/>
  <c r="BN174" i="1"/>
  <c r="Z174" i="1"/>
  <c r="BP178" i="1"/>
  <c r="BN178" i="1"/>
  <c r="Z178" i="1"/>
  <c r="BP186" i="1"/>
  <c r="BN186" i="1"/>
  <c r="Z186" i="1"/>
  <c r="Y191" i="1"/>
  <c r="BP190" i="1"/>
  <c r="BN190" i="1"/>
  <c r="Z190" i="1"/>
  <c r="Z191" i="1" s="1"/>
  <c r="J505" i="1"/>
  <c r="Y198" i="1"/>
  <c r="BP195" i="1"/>
  <c r="BN195" i="1"/>
  <c r="Z195" i="1"/>
  <c r="Z197" i="1" s="1"/>
  <c r="BP275" i="1"/>
  <c r="BN275" i="1"/>
  <c r="Z27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BN62" i="1"/>
  <c r="Y69" i="1"/>
  <c r="Z68" i="1"/>
  <c r="BN68" i="1"/>
  <c r="Y70" i="1"/>
  <c r="Y77" i="1"/>
  <c r="BP72" i="1"/>
  <c r="BN72" i="1"/>
  <c r="Z72" i="1"/>
  <c r="Y76" i="1"/>
  <c r="BP80" i="1"/>
  <c r="BN80" i="1"/>
  <c r="Z80" i="1"/>
  <c r="Z81" i="1" s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19" i="1" l="1"/>
  <c r="Z362" i="1"/>
  <c r="Z332" i="1"/>
  <c r="Z259" i="1"/>
  <c r="Z96" i="1"/>
  <c r="Z89" i="1"/>
  <c r="Z76" i="1"/>
  <c r="Z69" i="1"/>
  <c r="Z58" i="1"/>
  <c r="Z345" i="1"/>
  <c r="Z230" i="1"/>
  <c r="Y496" i="1"/>
  <c r="Z388" i="1"/>
  <c r="Z357" i="1"/>
  <c r="Z319" i="1"/>
  <c r="Z276" i="1"/>
  <c r="Z243" i="1"/>
  <c r="Z456" i="1"/>
  <c r="Z202" i="1"/>
  <c r="Z187" i="1"/>
  <c r="Z64" i="1"/>
  <c r="Y497" i="1"/>
  <c r="Z119" i="1"/>
  <c r="Y498" i="1"/>
  <c r="Z441" i="1"/>
  <c r="Z469" i="1"/>
  <c r="Z325" i="1"/>
  <c r="Z154" i="1"/>
  <c r="Z44" i="1"/>
  <c r="Z32" i="1"/>
  <c r="Y499" i="1"/>
  <c r="X498" i="1"/>
  <c r="Z181" i="1"/>
  <c r="Z105" i="1"/>
  <c r="Z402" i="1"/>
  <c r="Z213" i="1"/>
  <c r="Z112" i="1"/>
  <c r="Z312" i="1"/>
  <c r="Z303" i="1"/>
  <c r="Z283" i="1"/>
  <c r="Z225" i="1"/>
  <c r="Y495" i="1"/>
  <c r="Z500" i="1" l="1"/>
</calcChain>
</file>

<file path=xl/sharedStrings.xml><?xml version="1.0" encoding="utf-8"?>
<sst xmlns="http://schemas.openxmlformats.org/spreadsheetml/2006/main" count="2359" uniqueCount="782">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</sst>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46032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0.5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82</v>
      </c>
      <c r="Y42" s="554">
        <f>IFERROR(IF(X42="",0,CEILING((X42/$H42),1)*$H42),"")</f>
        <v>85.100000000000009</v>
      </c>
      <c r="Z42" s="36">
        <f>IFERROR(IF(Y42=0,"",ROUNDUP(Y42/H42,0)*0.00902),"")</f>
        <v>0.20746000000000001</v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86.210810810810813</v>
      </c>
      <c r="BN42" s="64">
        <f>IFERROR(Y42*I42/H42,"0")</f>
        <v>89.470000000000013</v>
      </c>
      <c r="BO42" s="64">
        <f>IFERROR(1/J42*(X42/H42),"0")</f>
        <v>0.1678951678951679</v>
      </c>
      <c r="BP42" s="64">
        <f>IFERROR(1/J42*(Y42/H42),"0")</f>
        <v>0.17424242424242425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22.162162162162161</v>
      </c>
      <c r="Y44" s="555">
        <f>IFERROR(Y41/H41,"0")+IFERROR(Y42/H42,"0")+IFERROR(Y43/H43,"0")</f>
        <v>23</v>
      </c>
      <c r="Z44" s="555">
        <f>IFERROR(IF(Z41="",0,Z41),"0")+IFERROR(IF(Z42="",0,Z42),"0")+IFERROR(IF(Z43="",0,Z43),"0")</f>
        <v>0.20746000000000001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82</v>
      </c>
      <c r="Y45" s="555">
        <f>IFERROR(SUM(Y41:Y43),"0")</f>
        <v>85.100000000000009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hidden="1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22</v>
      </c>
      <c r="Y88" s="554">
        <f>IFERROR(IF(X88="",0,CEILING((X88/$H88),1)*$H88),"")</f>
        <v>22.5</v>
      </c>
      <c r="Z88" s="36">
        <f>IFERROR(IF(Y88=0,"",ROUNDUP(Y88/H88,0)*0.00902),"")</f>
        <v>4.5100000000000001E-2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22.928888888888892</v>
      </c>
      <c r="BN88" s="64">
        <f>IFERROR(Y88*I88/H88,"0")</f>
        <v>23.450000000000003</v>
      </c>
      <c r="BO88" s="64">
        <f>IFERROR(1/J88*(X88/H88),"0")</f>
        <v>3.7037037037037042E-2</v>
      </c>
      <c r="BP88" s="64">
        <f>IFERROR(1/J88*(Y88/H88),"0")</f>
        <v>3.787878787878788E-2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4.8888888888888893</v>
      </c>
      <c r="Y89" s="555">
        <f>IFERROR(Y85/H85,"0")+IFERROR(Y86/H86,"0")+IFERROR(Y87/H87,"0")+IFERROR(Y88/H88,"0")</f>
        <v>5</v>
      </c>
      <c r="Z89" s="555">
        <f>IFERROR(IF(Z85="",0,Z85),"0")+IFERROR(IF(Z86="",0,Z86),"0")+IFERROR(IF(Z87="",0,Z87),"0")+IFERROR(IF(Z88="",0,Z88),"0")</f>
        <v>4.5100000000000001E-2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22</v>
      </c>
      <c r="Y90" s="555">
        <f>IFERROR(SUM(Y85:Y88),"0")</f>
        <v>22.5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hidden="1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18</v>
      </c>
      <c r="Y94" s="554">
        <f>IFERROR(IF(X94="",0,CEILING((X94/$H94),1)*$H94),"")</f>
        <v>18.900000000000002</v>
      </c>
      <c r="Z94" s="36">
        <f>IFERROR(IF(Y94=0,"",ROUNDUP(Y94/H94,0)*0.00651),"")</f>
        <v>4.5569999999999999E-2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19.679999999999996</v>
      </c>
      <c r="BN94" s="64">
        <f>IFERROR(Y94*I94/H94,"0")</f>
        <v>20.664000000000001</v>
      </c>
      <c r="BO94" s="64">
        <f>IFERROR(1/J94*(X94/H94),"0")</f>
        <v>3.6630036630036632E-2</v>
      </c>
      <c r="BP94" s="64">
        <f>IFERROR(1/J94*(Y94/H94),"0")</f>
        <v>3.8461538461538464E-2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6.6666666666666661</v>
      </c>
      <c r="Y96" s="555">
        <f>IFERROR(Y92/H92,"0")+IFERROR(Y93/H93,"0")+IFERROR(Y94/H94,"0")+IFERROR(Y95/H95,"0")</f>
        <v>7</v>
      </c>
      <c r="Z96" s="555">
        <f>IFERROR(IF(Z92="",0,Z92),"0")+IFERROR(IF(Z93="",0,Z93),"0")+IFERROR(IF(Z94="",0,Z94),"0")+IFERROR(IF(Z95="",0,Z95),"0")</f>
        <v>4.5569999999999999E-2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18</v>
      </c>
      <c r="Y97" s="555">
        <f>IFERROR(SUM(Y92:Y95),"0")</f>
        <v>18.900000000000002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24</v>
      </c>
      <c r="Y100" s="554">
        <f>IFERROR(IF(X100="",0,CEILING((X100/$H100),1)*$H100),"")</f>
        <v>32.400000000000006</v>
      </c>
      <c r="Z100" s="36">
        <f>IFERROR(IF(Y100=0,"",ROUNDUP(Y100/H100,0)*0.01898),"")</f>
        <v>5.6940000000000004E-2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24.911111111111111</v>
      </c>
      <c r="BN100" s="64">
        <f>IFERROR(Y100*I100/H100,"0")</f>
        <v>33.630000000000003</v>
      </c>
      <c r="BO100" s="64">
        <f>IFERROR(1/J100*(X100/H100),"0")</f>
        <v>3.4722222222222217E-2</v>
      </c>
      <c r="BP100" s="64">
        <f>IFERROR(1/J100*(Y100/H100),"0")</f>
        <v>4.6875000000000007E-2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2.2222222222222219</v>
      </c>
      <c r="Y105" s="555">
        <f>IFERROR(Y100/H100,"0")+IFERROR(Y101/H101,"0")+IFERROR(Y102/H102,"0")+IFERROR(Y103/H103,"0")+IFERROR(Y104/H104,"0")</f>
        <v>3.0000000000000004</v>
      </c>
      <c r="Z105" s="555">
        <f>IFERROR(IF(Z100="",0,Z100),"0")+IFERROR(IF(Z101="",0,Z101),"0")+IFERROR(IF(Z102="",0,Z102),"0")+IFERROR(IF(Z103="",0,Z103),"0")+IFERROR(IF(Z104="",0,Z104),"0")</f>
        <v>5.6940000000000004E-2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24</v>
      </c>
      <c r="Y106" s="555">
        <f>IFERROR(SUM(Y100:Y104),"0")</f>
        <v>32.400000000000006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14</v>
      </c>
      <c r="Y108" s="554">
        <f>IFERROR(IF(X108="",0,CEILING((X108/$H108),1)*$H108),"")</f>
        <v>21.6</v>
      </c>
      <c r="Z108" s="36">
        <f>IFERROR(IF(Y108=0,"",ROUNDUP(Y108/H108,0)*0.01898),"")</f>
        <v>3.7960000000000001E-2</v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14.53148148148148</v>
      </c>
      <c r="BN108" s="64">
        <f>IFERROR(Y108*I108/H108,"0")</f>
        <v>22.42</v>
      </c>
      <c r="BO108" s="64">
        <f>IFERROR(1/J108*(X108/H108),"0")</f>
        <v>2.0254629629629629E-2</v>
      </c>
      <c r="BP108" s="64">
        <f>IFERROR(1/J108*(Y108/H108),"0")</f>
        <v>3.125E-2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188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1.2962962962962963</v>
      </c>
      <c r="Y112" s="555">
        <f>IFERROR(Y108/H108,"0")+IFERROR(Y109/H109,"0")+IFERROR(Y110/H110,"0")+IFERROR(Y111/H111,"0")</f>
        <v>2</v>
      </c>
      <c r="Z112" s="555">
        <f>IFERROR(IF(Z108="",0,Z108),"0")+IFERROR(IF(Z109="",0,Z109),"0")+IFERROR(IF(Z110="",0,Z110),"0")+IFERROR(IF(Z111="",0,Z111),"0")</f>
        <v>3.7960000000000001E-2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14</v>
      </c>
      <c r="Y113" s="555">
        <f>IFERROR(SUM(Y108:Y111),"0")</f>
        <v>21.6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hidden="1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6</v>
      </c>
      <c r="Y169" s="554">
        <f t="shared" si="10"/>
        <v>8.4</v>
      </c>
      <c r="Z169" s="36">
        <f>IFERROR(IF(Y169=0,"",ROUNDUP(Y169/H169,0)*0.00902),"")</f>
        <v>1.804E-2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6.3571428571428577</v>
      </c>
      <c r="BN169" s="64">
        <f t="shared" si="12"/>
        <v>8.9</v>
      </c>
      <c r="BO169" s="64">
        <f t="shared" si="13"/>
        <v>1.0822510822510824E-2</v>
      </c>
      <c r="BP169" s="64">
        <f t="shared" si="14"/>
        <v>1.5151515151515152E-2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10</v>
      </c>
      <c r="Y173" s="554">
        <f t="shared" si="10"/>
        <v>10.5</v>
      </c>
      <c r="Z173" s="36">
        <f>IFERROR(IF(Y173=0,"",ROUNDUP(Y173/H173,0)*0.00502),"")</f>
        <v>2.5100000000000001E-2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10.619047619047619</v>
      </c>
      <c r="BN173" s="64">
        <f t="shared" si="12"/>
        <v>11.149999999999999</v>
      </c>
      <c r="BO173" s="64">
        <f t="shared" si="13"/>
        <v>2.0350020350020353E-2</v>
      </c>
      <c r="BP173" s="64">
        <f t="shared" si="14"/>
        <v>2.1367521367521368E-2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6.1904761904761907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7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4.3139999999999998E-2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16</v>
      </c>
      <c r="Y182" s="555">
        <f>IFERROR(SUM(Y167:Y180),"0")</f>
        <v>18.899999999999999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188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112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4</v>
      </c>
      <c r="Y209" s="554">
        <f t="shared" si="15"/>
        <v>5.4</v>
      </c>
      <c r="Z209" s="36">
        <f>IFERROR(IF(Y209=0,"",ROUNDUP(Y209/H209,0)*0.00502),"")</f>
        <v>1.506E-2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4.2888888888888888</v>
      </c>
      <c r="BN209" s="64">
        <f t="shared" si="17"/>
        <v>5.79</v>
      </c>
      <c r="BO209" s="64">
        <f t="shared" si="18"/>
        <v>9.4966761633428314E-3</v>
      </c>
      <c r="BP209" s="64">
        <f t="shared" si="19"/>
        <v>1.2820512820512822E-2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18</v>
      </c>
      <c r="Y210" s="554">
        <f t="shared" si="15"/>
        <v>18</v>
      </c>
      <c r="Z210" s="36">
        <f>IFERROR(IF(Y210=0,"",ROUNDUP(Y210/H210,0)*0.00502),"")</f>
        <v>5.0200000000000002E-2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18.999999999999996</v>
      </c>
      <c r="BN210" s="64">
        <f t="shared" si="17"/>
        <v>18.999999999999996</v>
      </c>
      <c r="BO210" s="64">
        <f t="shared" si="18"/>
        <v>4.2735042735042736E-2</v>
      </c>
      <c r="BP210" s="64">
        <f t="shared" si="19"/>
        <v>4.2735042735042736E-2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12.222222222222221</v>
      </c>
      <c r="Y213" s="555">
        <f>IFERROR(Y205/H205,"0")+IFERROR(Y206/H206,"0")+IFERROR(Y207/H207,"0")+IFERROR(Y208/H208,"0")+IFERROR(Y209/H209,"0")+IFERROR(Y210/H210,"0")+IFERROR(Y211/H211,"0")+IFERROR(Y212/H212,"0")</f>
        <v>13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6.5259999999999999E-2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22</v>
      </c>
      <c r="Y214" s="555">
        <f>IFERROR(SUM(Y205:Y212),"0")</f>
        <v>23.4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5</v>
      </c>
      <c r="Y223" s="554">
        <f t="shared" si="20"/>
        <v>7.1999999999999993</v>
      </c>
      <c r="Z223" s="36">
        <f t="shared" si="25"/>
        <v>1.9529999999999999E-2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5.5250000000000012</v>
      </c>
      <c r="BN223" s="64">
        <f t="shared" si="22"/>
        <v>7.9560000000000004</v>
      </c>
      <c r="BO223" s="64">
        <f t="shared" si="23"/>
        <v>1.1446886446886448E-2</v>
      </c>
      <c r="BP223" s="64">
        <f t="shared" si="24"/>
        <v>1.6483516483516484E-2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2.0833333333333335</v>
      </c>
      <c r="Y225" s="555">
        <f>IFERROR(Y216/H216,"0")+IFERROR(Y217/H217,"0")+IFERROR(Y218/H218,"0")+IFERROR(Y219/H219,"0")+IFERROR(Y220/H220,"0")+IFERROR(Y221/H221,"0")+IFERROR(Y222/H222,"0")+IFERROR(Y223/H223,"0")+IFERROR(Y224/H224,"0")</f>
        <v>3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1.9529999999999999E-2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5</v>
      </c>
      <c r="Y226" s="555">
        <f>IFERROR(SUM(Y216:Y224),"0")</f>
        <v>7.1999999999999993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188</v>
      </c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188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27</v>
      </c>
      <c r="Y234" s="554">
        <f t="shared" ref="Y234:Y242" si="26">IFERROR(IF(X234="",0,CEILING((X234/$H234),1)*$H234),"")</f>
        <v>34.799999999999997</v>
      </c>
      <c r="Z234" s="36">
        <f>IFERROR(IF(Y234=0,"",ROUNDUP(Y234/H234,0)*0.01898),"")</f>
        <v>5.6940000000000004E-2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27.954310344827586</v>
      </c>
      <c r="BN234" s="64">
        <f t="shared" ref="BN234:BN242" si="28">IFERROR(Y234*I234/H234,"0")</f>
        <v>36.03</v>
      </c>
      <c r="BO234" s="64">
        <f t="shared" ref="BO234:BO242" si="29">IFERROR(1/J234*(X234/H234),"0")</f>
        <v>3.6368534482758619E-2</v>
      </c>
      <c r="BP234" s="64">
        <f t="shared" ref="BP234:BP242" si="30">IFERROR(1/J234*(Y234/H234),"0")</f>
        <v>4.6875E-2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2.3275862068965516</v>
      </c>
      <c r="Y243" s="555">
        <f>IFERROR(Y234/H234,"0")+IFERROR(Y235/H235,"0")+IFERROR(Y236/H236,"0")+IFERROR(Y237/H237,"0")+IFERROR(Y238/H238,"0")+IFERROR(Y239/H239,"0")+IFERROR(Y240/H240,"0")+IFERROR(Y241/H241,"0")+IFERROR(Y242/H242,"0")</f>
        <v>3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5.6940000000000004E-2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27</v>
      </c>
      <c r="Y244" s="555">
        <f>IFERROR(SUM(Y234:Y242),"0")</f>
        <v>34.799999999999997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2</v>
      </c>
      <c r="Y256" s="554">
        <f>IFERROR(IF(X256="",0,CEILING((X256/$H256),1)*$H256),"")</f>
        <v>2.7</v>
      </c>
      <c r="Z256" s="36">
        <f>IFERROR(IF(Y256=0,"",ROUNDUP(Y256/H256,0)*0.0059),"")</f>
        <v>1.77E-2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2.4222222222222225</v>
      </c>
      <c r="BN256" s="64">
        <f>IFERROR(Y256*I256/H256,"0")</f>
        <v>3.2700000000000005</v>
      </c>
      <c r="BO256" s="64">
        <f>IFERROR(1/J256*(X256/H256),"0")</f>
        <v>1.0288065843621399E-2</v>
      </c>
      <c r="BP256" s="64">
        <f>IFERROR(1/J256*(Y256/H256),"0")</f>
        <v>1.3888888888888888E-2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2.2222222222222223</v>
      </c>
      <c r="Y259" s="555">
        <f>IFERROR(Y254/H254,"0")+IFERROR(Y255/H255,"0")+IFERROR(Y256/H256,"0")+IFERROR(Y257/H257,"0")+IFERROR(Y258/H258,"0")</f>
        <v>3</v>
      </c>
      <c r="Z259" s="555">
        <f>IFERROR(IF(Z254="",0,Z254),"0")+IFERROR(IF(Z255="",0,Z255),"0")+IFERROR(IF(Z256="",0,Z256),"0")+IFERROR(IF(Z257="",0,Z257),"0")+IFERROR(IF(Z258="",0,Z258),"0")</f>
        <v>1.77E-2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2</v>
      </c>
      <c r="Y260" s="555">
        <f>IFERROR(SUM(Y254:Y258),"0")</f>
        <v>2.7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112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55</v>
      </c>
      <c r="Y323" s="554">
        <f>IFERROR(IF(X323="",0,CEILING((X323/$H323),1)*$H323),"")</f>
        <v>62.4</v>
      </c>
      <c r="Z323" s="36">
        <f>IFERROR(IF(Y323=0,"",ROUNDUP(Y323/H323,0)*0.01898),"")</f>
        <v>0.15184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58.483333333333334</v>
      </c>
      <c r="BN323" s="64">
        <f>IFERROR(Y323*I323/H323,"0")</f>
        <v>66.352000000000004</v>
      </c>
      <c r="BO323" s="64">
        <f>IFERROR(1/J323*(X323/H323),"0")</f>
        <v>0.11017628205128205</v>
      </c>
      <c r="BP323" s="64">
        <f>IFERROR(1/J323*(Y323/H323),"0")</f>
        <v>0.125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7.0512820512820511</v>
      </c>
      <c r="Y325" s="555">
        <f>IFERROR(Y322/H322,"0")+IFERROR(Y323/H323,"0")+IFERROR(Y324/H324,"0")</f>
        <v>8</v>
      </c>
      <c r="Z325" s="555">
        <f>IFERROR(IF(Z322="",0,Z322),"0")+IFERROR(IF(Z323="",0,Z323),"0")+IFERROR(IF(Z324="",0,Z324),"0")</f>
        <v>0.15184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55</v>
      </c>
      <c r="Y326" s="555">
        <f>IFERROR(SUM(Y322:Y324),"0")</f>
        <v>62.4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6</v>
      </c>
      <c r="Y328" s="554">
        <f>IFERROR(IF(X328="",0,CEILING((X328/$H328),1)*$H328),"")</f>
        <v>6.08</v>
      </c>
      <c r="Z328" s="36">
        <f>IFERROR(IF(Y328=0,"",ROUNDUP(Y328/H328,0)*0.00902),"")</f>
        <v>1.804E-2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6.5328947368421053</v>
      </c>
      <c r="BN328" s="64">
        <f>IFERROR(Y328*I328/H328,"0")</f>
        <v>6.62</v>
      </c>
      <c r="BO328" s="64">
        <f>IFERROR(1/J328*(X328/H328),"0")</f>
        <v>1.4952153110047847E-2</v>
      </c>
      <c r="BP328" s="64">
        <f>IFERROR(1/J328*(Y328/H328),"0")</f>
        <v>1.5151515151515152E-2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3</v>
      </c>
      <c r="Y331" s="554">
        <f>IFERROR(IF(X331="",0,CEILING((X331/$H331),1)*$H331),"")</f>
        <v>5.0999999999999996</v>
      </c>
      <c r="Z331" s="36">
        <f>IFERROR(IF(Y331=0,"",ROUNDUP(Y331/H331,0)*0.00651),"")</f>
        <v>1.302E-2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3.3882352941176475</v>
      </c>
      <c r="BN331" s="64">
        <f>IFERROR(Y331*I331/H331,"0")</f>
        <v>5.76</v>
      </c>
      <c r="BO331" s="64">
        <f>IFERROR(1/J331*(X331/H331),"0")</f>
        <v>6.4641241111829352E-3</v>
      </c>
      <c r="BP331" s="64">
        <f>IFERROR(1/J331*(Y331/H331),"0")</f>
        <v>1.098901098901099E-2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3.1501547987616099</v>
      </c>
      <c r="Y332" s="555">
        <f>IFERROR(Y328/H328,"0")+IFERROR(Y329/H329,"0")+IFERROR(Y330/H330,"0")+IFERROR(Y331/H331,"0")</f>
        <v>4</v>
      </c>
      <c r="Z332" s="555">
        <f>IFERROR(IF(Z328="",0,Z328),"0")+IFERROR(IF(Z329="",0,Z329),"0")+IFERROR(IF(Z330="",0,Z330),"0")+IFERROR(IF(Z331="",0,Z331),"0")</f>
        <v>3.1060000000000001E-2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9</v>
      </c>
      <c r="Y333" s="555">
        <f>IFERROR(SUM(Y328:Y331),"0")</f>
        <v>11.18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188</v>
      </c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 t="s">
        <v>188</v>
      </c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 t="s">
        <v>108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188</v>
      </c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216</v>
      </c>
      <c r="Y350" s="554">
        <f t="shared" ref="Y350:Y356" si="36">IFERROR(IF(X350="",0,CEILING((X350/$H350),1)*$H350),"")</f>
        <v>225</v>
      </c>
      <c r="Z350" s="36">
        <f>IFERROR(IF(Y350=0,"",ROUNDUP(Y350/H350,0)*0.02175),"")</f>
        <v>0.32624999999999998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222.768</v>
      </c>
      <c r="BN350" s="64">
        <f t="shared" ref="BN350:BN356" si="38">IFERROR(Y350*I350/H350,"0")</f>
        <v>232.05</v>
      </c>
      <c r="BO350" s="64">
        <f t="shared" ref="BO350:BO356" si="39">IFERROR(1/J350*(X350/H350),"0")</f>
        <v>0.3</v>
      </c>
      <c r="BP350" s="64">
        <f t="shared" ref="BP350:BP356" si="40">IFERROR(1/J350*(Y350/H350),"0")</f>
        <v>0.3125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99</v>
      </c>
      <c r="Y351" s="554">
        <f t="shared" si="36"/>
        <v>105</v>
      </c>
      <c r="Z351" s="36">
        <f>IFERROR(IF(Y351=0,"",ROUNDUP(Y351/H351,0)*0.02175),"")</f>
        <v>0.15225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102.102</v>
      </c>
      <c r="BN351" s="64">
        <f t="shared" si="38"/>
        <v>108.29</v>
      </c>
      <c r="BO351" s="64">
        <f t="shared" si="39"/>
        <v>0.13749999999999998</v>
      </c>
      <c r="BP351" s="64">
        <f t="shared" si="40"/>
        <v>0.14583333333333331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78</v>
      </c>
      <c r="Y352" s="554">
        <f t="shared" si="36"/>
        <v>90</v>
      </c>
      <c r="Z352" s="36">
        <f>IFERROR(IF(Y352=0,"",ROUNDUP(Y352/H352,0)*0.02175),"")</f>
        <v>0.1305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80.444000000000003</v>
      </c>
      <c r="BN352" s="64">
        <f t="shared" si="38"/>
        <v>92.82</v>
      </c>
      <c r="BO352" s="64">
        <f t="shared" si="39"/>
        <v>0.10833333333333334</v>
      </c>
      <c r="BP352" s="64">
        <f t="shared" si="40"/>
        <v>0.125</v>
      </c>
    </row>
    <row r="353" spans="1:68" ht="27" hidden="1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26.2</v>
      </c>
      <c r="Y357" s="555">
        <f>IFERROR(Y350/H350,"0")+IFERROR(Y351/H351,"0")+IFERROR(Y352/H352,"0")+IFERROR(Y353/H353,"0")+IFERROR(Y354/H354,"0")+IFERROR(Y355/H355,"0")+IFERROR(Y356/H356,"0")</f>
        <v>28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0.60899999999999999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393</v>
      </c>
      <c r="Y358" s="555">
        <f>IFERROR(SUM(Y350:Y356),"0")</f>
        <v>420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hidden="1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idden="1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hidden="1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5</v>
      </c>
      <c r="Y370" s="554">
        <f>IFERROR(IF(X370="",0,CEILING((X370/$H370),1)*$H370),"")</f>
        <v>9</v>
      </c>
      <c r="Z370" s="36">
        <f>IFERROR(IF(Y370=0,"",ROUNDUP(Y370/H370,0)*0.01898),"")</f>
        <v>1.898E-2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5.2744444444444447</v>
      </c>
      <c r="BN370" s="64">
        <f>IFERROR(Y370*I370/H370,"0")</f>
        <v>9.4939999999999998</v>
      </c>
      <c r="BO370" s="64">
        <f>IFERROR(1/J370*(X370/H370),"0")</f>
        <v>8.6805555555555559E-3</v>
      </c>
      <c r="BP370" s="64">
        <f>IFERROR(1/J370*(Y370/H370),"0")</f>
        <v>1.5625E-2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0.55555555555555558</v>
      </c>
      <c r="Y371" s="555">
        <f>IFERROR(Y370/H370,"0")</f>
        <v>1</v>
      </c>
      <c r="Z371" s="555">
        <f>IFERROR(IF(Z370="",0,Z370),"0")</f>
        <v>1.898E-2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5</v>
      </c>
      <c r="Y372" s="555">
        <f>IFERROR(SUM(Y370:Y370),"0")</f>
        <v>9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 t="s">
        <v>112</v>
      </c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108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hidden="1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hidden="1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112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112</v>
      </c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248</v>
      </c>
      <c r="Y429" s="554">
        <f t="shared" ref="Y429:Y440" si="47">IFERROR(IF(X429="",0,CEILING((X429/$H429),1)*$H429),"")</f>
        <v>248.16000000000003</v>
      </c>
      <c r="Z429" s="36">
        <f t="shared" ref="Z429:Z435" si="48">IFERROR(IF(Y429=0,"",ROUNDUP(Y429/H429,0)*0.01196),"")</f>
        <v>0.56211999999999995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264.43939393939394</v>
      </c>
      <c r="BN429" s="64">
        <f t="shared" ref="BN429:BN440" si="50">IFERROR(Y429*I429/H429,"0")</f>
        <v>264.61</v>
      </c>
      <c r="BO429" s="64">
        <f t="shared" ref="BO429:BO440" si="51">IFERROR(1/J429*(X429/H429),"0")</f>
        <v>0.45163170163170163</v>
      </c>
      <c r="BP429" s="64">
        <f t="shared" ref="BP429:BP440" si="52">IFERROR(1/J429*(Y429/H429),"0")</f>
        <v>0.45192307692307693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79</v>
      </c>
      <c r="Y435" s="554">
        <f t="shared" si="47"/>
        <v>79.2</v>
      </c>
      <c r="Z435" s="36">
        <f t="shared" si="48"/>
        <v>0.1794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84.236742424242422</v>
      </c>
      <c r="BN435" s="64">
        <f t="shared" si="50"/>
        <v>84.45</v>
      </c>
      <c r="BO435" s="64">
        <f t="shared" si="51"/>
        <v>0.14386655011655011</v>
      </c>
      <c r="BP435" s="64">
        <f t="shared" si="52"/>
        <v>0.14423076923076925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 t="s">
        <v>112</v>
      </c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5</v>
      </c>
      <c r="Y440" s="554">
        <f t="shared" si="47"/>
        <v>9.6</v>
      </c>
      <c r="Z440" s="36">
        <f>IFERROR(IF(Y440=0,"",ROUNDUP(Y440/H440,0)*0.00902),"")</f>
        <v>1.804E-2</v>
      </c>
      <c r="AA440" s="56"/>
      <c r="AB440" s="57"/>
      <c r="AC440" s="499" t="s">
        <v>682</v>
      </c>
      <c r="AG440" s="64"/>
      <c r="AJ440" s="68" t="s">
        <v>108</v>
      </c>
      <c r="AK440" s="68">
        <v>57.6</v>
      </c>
      <c r="BB440" s="500" t="s">
        <v>1</v>
      </c>
      <c r="BM440" s="64">
        <f t="shared" si="49"/>
        <v>7.1979166666666661</v>
      </c>
      <c r="BN440" s="64">
        <f t="shared" si="50"/>
        <v>13.82</v>
      </c>
      <c r="BO440" s="64">
        <f t="shared" si="51"/>
        <v>7.8914141414141419E-3</v>
      </c>
      <c r="BP440" s="64">
        <f t="shared" si="52"/>
        <v>1.5151515151515152E-2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62.973484848484844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64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0.75956000000000001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332</v>
      </c>
      <c r="Y442" s="555">
        <f>IFERROR(SUM(Y429:Y440),"0")</f>
        <v>336.96000000000004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hidden="1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hidden="1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83</v>
      </c>
      <c r="Y482" s="554">
        <f>IFERROR(IF(X482="",0,CEILING((X482/$H482),1)*$H482),"")</f>
        <v>90</v>
      </c>
      <c r="Z482" s="36">
        <f>IFERROR(IF(Y482=0,"",ROUNDUP(Y482/H482,0)*0.01898),"")</f>
        <v>0.1898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87.555777777777777</v>
      </c>
      <c r="BN482" s="64">
        <f>IFERROR(Y482*I482/H482,"0")</f>
        <v>94.94</v>
      </c>
      <c r="BO482" s="64">
        <f>IFERROR(1/J482*(X482/H482),"0")</f>
        <v>0.14409722222222221</v>
      </c>
      <c r="BP482" s="64">
        <f>IFERROR(1/J482*(Y482/H482),"0")</f>
        <v>0.15625</v>
      </c>
    </row>
    <row r="483" spans="1:68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9.2222222222222214</v>
      </c>
      <c r="Y483" s="555">
        <f>IFERROR(Y482/H482,"0")</f>
        <v>10</v>
      </c>
      <c r="Z483" s="555">
        <f>IFERROR(IF(Z482="",0,Z482),"0")</f>
        <v>0.1898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83</v>
      </c>
      <c r="Y484" s="555">
        <f>IFERROR(SUM(Y482:Y482),"0")</f>
        <v>90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1109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1197.04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1166.8516428412399</v>
      </c>
      <c r="Y496" s="555">
        <f>IFERROR(SUM(BN22:BN492),"0")</f>
        <v>1260.9359999999999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2</v>
      </c>
      <c r="Y497" s="38">
        <f>ROUNDUP(SUM(BP22:BP492),0)</f>
        <v>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1216.8516428412399</v>
      </c>
      <c r="Y498" s="555">
        <f>GrossWeightTotalR+PalletQtyTotalR*25</f>
        <v>1335.9359999999999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171.43477588769304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184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2.3558400000000002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85.100000000000009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41.400000000000006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54.000000000000007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18.899999999999999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30.599999999999998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37.5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73.58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429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336.96000000000004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90</v>
      </c>
      <c r="Z505" s="46">
        <f>IFERROR(Y492*1,"0")</f>
        <v>0</v>
      </c>
      <c r="AB505" s="52"/>
      <c r="AC505" s="52"/>
      <c r="AF505" s="551"/>
    </row>
  </sheetData>
  <sheetProtection algorithmName="SHA-512" hashValue="c+68ISYYFw2zS4rq/0HWb5AewSPz3ZyJv7n855dcRmQSabe3r/I/UvqtG6U2T2qpFXivbpv4gJ8f6z+5hG1Q5Q==" saltValue="uFHpCVSX++Q5XxW1UP2kF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109,00"/>
        <filter val="1 166,85"/>
        <filter val="1 216,85"/>
        <filter val="1,30"/>
        <filter val="10,00"/>
        <filter val="12,22"/>
        <filter val="14,00"/>
        <filter val="16,00"/>
        <filter val="171,43"/>
        <filter val="18,00"/>
        <filter val="2"/>
        <filter val="2,00"/>
        <filter val="2,08"/>
        <filter val="2,22"/>
        <filter val="2,33"/>
        <filter val="216,00"/>
        <filter val="22,00"/>
        <filter val="22,16"/>
        <filter val="24,00"/>
        <filter val="248,00"/>
        <filter val="26,20"/>
        <filter val="27,00"/>
        <filter val="3,00"/>
        <filter val="3,15"/>
        <filter val="332,00"/>
        <filter val="393,00"/>
        <filter val="4,00"/>
        <filter val="4,89"/>
        <filter val="5,00"/>
        <filter val="55,00"/>
        <filter val="6,00"/>
        <filter val="6,19"/>
        <filter val="6,67"/>
        <filter val="62,97"/>
        <filter val="7,05"/>
        <filter val="78,00"/>
        <filter val="79,00"/>
        <filter val="82,00"/>
        <filter val="83,00"/>
        <filter val="9,00"/>
        <filter val="9,22"/>
        <filter val="99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9 X171 X173 X176 X178 X201 X205:X210 X212 X216:X219 X221:X224 X228:X229 X234 X263 X281:X282 X307 X310 X315 X322:X324 X330:X331 X335:X337 X342:X344 X350:X352 X360 X366 X375 X380 X385:X386 X393 X395 X400 X415 X429 X432:X433 X435 X440 X444 X446 X450:X452 X467 X47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b4n4CKUzFYTjl7JRS2UnVizbihmuuzK9sjcj1460OUrM/8eW1OR8fIBMDFRnhFCm1fYN6nDGGVuY3MRK7rpJ1w==" saltValue="IQAXNvq3MhgK3U1Vxdzd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2026-01-07T10:52:19Z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