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9D79D57-CBE4-449B-B960-5D94D95B495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Y203" i="1" s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Z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O87" i="1"/>
  <c r="BN87" i="1"/>
  <c r="BM87" i="1"/>
  <c r="Z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7" i="1" s="1"/>
  <c r="BM22" i="1"/>
  <c r="Y22" i="1"/>
  <c r="B505" i="1" s="1"/>
  <c r="P22" i="1"/>
  <c r="H10" i="1"/>
  <c r="A9" i="1"/>
  <c r="F10" i="1" s="1"/>
  <c r="D7" i="1"/>
  <c r="Q6" i="1"/>
  <c r="P2" i="1"/>
  <c r="BP133" i="1" l="1"/>
  <c r="BN133" i="1"/>
  <c r="Z133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Z27" i="1"/>
  <c r="BN27" i="1"/>
  <c r="Z43" i="1"/>
  <c r="BN43" i="1"/>
  <c r="D505" i="1"/>
  <c r="Z62" i="1"/>
  <c r="BN62" i="1"/>
  <c r="Z80" i="1"/>
  <c r="BN80" i="1"/>
  <c r="BP110" i="1"/>
  <c r="BN110" i="1"/>
  <c r="Z110" i="1"/>
  <c r="BP150" i="1"/>
  <c r="BN150" i="1"/>
  <c r="Z150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J505" i="1"/>
  <c r="X496" i="1"/>
  <c r="X498" i="1" s="1"/>
  <c r="Z23" i="1"/>
  <c r="BN23" i="1"/>
  <c r="X495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Y76" i="1"/>
  <c r="Z74" i="1"/>
  <c r="BN74" i="1"/>
  <c r="Z85" i="1"/>
  <c r="BN85" i="1"/>
  <c r="Z93" i="1"/>
  <c r="BN93" i="1"/>
  <c r="Z100" i="1"/>
  <c r="BN100" i="1"/>
  <c r="BP102" i="1"/>
  <c r="BN102" i="1"/>
  <c r="Y112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Y154" i="1"/>
  <c r="BP148" i="1"/>
  <c r="BN148" i="1"/>
  <c r="Z148" i="1"/>
  <c r="Y182" i="1"/>
  <c r="BP171" i="1"/>
  <c r="BN171" i="1"/>
  <c r="Z171" i="1"/>
  <c r="BP179" i="1"/>
  <c r="BN179" i="1"/>
  <c r="Z179" i="1"/>
  <c r="Y213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BP116" i="1"/>
  <c r="BN116" i="1"/>
  <c r="Z116" i="1"/>
  <c r="Y139" i="1"/>
  <c r="BP137" i="1"/>
  <c r="BN137" i="1"/>
  <c r="Z137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H505" i="1"/>
  <c r="Y188" i="1"/>
  <c r="Y202" i="1"/>
  <c r="Y260" i="1"/>
  <c r="Y284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12" i="1"/>
  <c r="Y339" i="1"/>
  <c r="Y338" i="1"/>
  <c r="Y345" i="1"/>
  <c r="Y419" i="1"/>
  <c r="Y448" i="1"/>
  <c r="Y447" i="1"/>
  <c r="Y488" i="1"/>
  <c r="H9" i="1"/>
  <c r="A10" i="1"/>
  <c r="Y65" i="1"/>
  <c r="Y69" i="1"/>
  <c r="Y81" i="1"/>
  <c r="Y96" i="1"/>
  <c r="Y105" i="1"/>
  <c r="Y113" i="1"/>
  <c r="Y119" i="1"/>
  <c r="Y130" i="1"/>
  <c r="Y134" i="1"/>
  <c r="Y140" i="1"/>
  <c r="Y145" i="1"/>
  <c r="Z152" i="1"/>
  <c r="BN152" i="1"/>
  <c r="Y155" i="1"/>
  <c r="I505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Z186" i="1"/>
  <c r="BN186" i="1"/>
  <c r="Y187" i="1"/>
  <c r="Z190" i="1"/>
  <c r="Z191" i="1" s="1"/>
  <c r="BN190" i="1"/>
  <c r="BP190" i="1"/>
  <c r="Y191" i="1"/>
  <c r="Z195" i="1"/>
  <c r="Z197" i="1" s="1"/>
  <c r="BN195" i="1"/>
  <c r="BP195" i="1"/>
  <c r="Y198" i="1"/>
  <c r="Z201" i="1"/>
  <c r="Z202" i="1" s="1"/>
  <c r="BN201" i="1"/>
  <c r="BP201" i="1"/>
  <c r="Z205" i="1"/>
  <c r="BN205" i="1"/>
  <c r="BP20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Y24" i="1"/>
  <c r="Y32" i="1"/>
  <c r="Y44" i="1"/>
  <c r="Y59" i="1"/>
  <c r="Y77" i="1"/>
  <c r="Y90" i="1"/>
  <c r="F9" i="1"/>
  <c r="J9" i="1"/>
  <c r="Z22" i="1"/>
  <c r="BN22" i="1"/>
  <c r="BP22" i="1"/>
  <c r="X499" i="1"/>
  <c r="Y25" i="1"/>
  <c r="Z28" i="1"/>
  <c r="BN28" i="1"/>
  <c r="Z30" i="1"/>
  <c r="BN30" i="1"/>
  <c r="C505" i="1"/>
  <c r="Z42" i="1"/>
  <c r="BN42" i="1"/>
  <c r="Y4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Z81" i="1" s="1"/>
  <c r="BN79" i="1"/>
  <c r="BP79" i="1"/>
  <c r="E505" i="1"/>
  <c r="Z86" i="1"/>
  <c r="BN86" i="1"/>
  <c r="Z88" i="1"/>
  <c r="BN88" i="1"/>
  <c r="Y89" i="1"/>
  <c r="Z92" i="1"/>
  <c r="Z96" i="1" s="1"/>
  <c r="BN92" i="1"/>
  <c r="BP92" i="1"/>
  <c r="Z94" i="1"/>
  <c r="BN94" i="1"/>
  <c r="F505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Y197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Z243" i="1" s="1"/>
  <c r="BP241" i="1"/>
  <c r="BN241" i="1"/>
  <c r="Z241" i="1"/>
  <c r="BP257" i="1"/>
  <c r="BN257" i="1"/>
  <c r="Z257" i="1"/>
  <c r="Z259" i="1" s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Z283" i="1" s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Z345" i="1"/>
  <c r="BP343" i="1"/>
  <c r="BN343" i="1"/>
  <c r="Z343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82" i="1"/>
  <c r="Z129" i="1"/>
  <c r="Z112" i="1"/>
  <c r="Z89" i="1"/>
  <c r="Z44" i="1"/>
  <c r="Z24" i="1"/>
  <c r="Z338" i="1"/>
  <c r="Z105" i="1"/>
  <c r="Z58" i="1"/>
  <c r="Z32" i="1"/>
  <c r="Z357" i="1"/>
  <c r="Z319" i="1"/>
  <c r="Z268" i="1"/>
  <c r="Z456" i="1"/>
  <c r="Z154" i="1"/>
  <c r="Z76" i="1"/>
  <c r="Z225" i="1"/>
  <c r="Y496" i="1"/>
  <c r="Z276" i="1"/>
  <c r="Z213" i="1"/>
  <c r="Z441" i="1"/>
  <c r="Z419" i="1"/>
  <c r="Z469" i="1"/>
  <c r="Z312" i="1"/>
  <c r="Z303" i="1"/>
  <c r="Z119" i="1"/>
  <c r="Z64" i="1"/>
  <c r="Y495" i="1"/>
  <c r="Y497" i="1"/>
  <c r="Y499" i="1"/>
  <c r="Z402" i="1"/>
  <c r="Z332" i="1"/>
  <c r="Z187" i="1"/>
  <c r="Z181" i="1"/>
  <c r="Z500" i="1" l="1"/>
  <c r="Y498" i="1"/>
</calcChain>
</file>

<file path=xl/sharedStrings.xml><?xml version="1.0" encoding="utf-8"?>
<sst xmlns="http://schemas.openxmlformats.org/spreadsheetml/2006/main" count="2245" uniqueCount="782">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</sst>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350" sqref="AA350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118</v>
      </c>
      <c r="B52" s="54" t="s">
        <v>119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137</v>
      </c>
      <c r="B61" s="54" t="s">
        <v>138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169</v>
      </c>
      <c r="B85" s="54" t="s">
        <v>170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180</v>
      </c>
      <c r="B92" s="54" t="s">
        <v>181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187</v>
      </c>
      <c r="B95" s="54" t="s">
        <v>188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191</v>
      </c>
      <c r="B100" s="54" t="s">
        <v>192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194</v>
      </c>
      <c r="B101" s="54" t="s">
        <v>195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1000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1031.3333333333333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1.3888888888888888</v>
      </c>
      <c r="BP350" s="64">
        <f t="shared" ref="BP350:BP356" si="40">IFERROR(1/J350*(Y350/H350),"0")</f>
        <v>1.3958333333333333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200</v>
      </c>
      <c r="Y352" s="554">
        <f t="shared" si="36"/>
        <v>210</v>
      </c>
      <c r="Z352" s="36">
        <f>IFERROR(IF(Y352=0,"",ROUNDUP(Y352/H352,0)*0.02175),"")</f>
        <v>0.30449999999999999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206.26666666666668</v>
      </c>
      <c r="BN352" s="64">
        <f t="shared" si="38"/>
        <v>216.58</v>
      </c>
      <c r="BO352" s="64">
        <f t="shared" si="39"/>
        <v>0.27777777777777779</v>
      </c>
      <c r="BP352" s="64">
        <f t="shared" si="40"/>
        <v>0.29166666666666663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80</v>
      </c>
      <c r="Y357" s="555">
        <f>IFERROR(Y350/H350,"0")+IFERROR(Y351/H351,"0")+IFERROR(Y352/H352,"0")+IFERROR(Y353/H353,"0")+IFERROR(Y354/H354,"0")+IFERROR(Y355/H355,"0")+IFERROR(Y356/H356,"0")</f>
        <v>81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1.7617499999999999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1200</v>
      </c>
      <c r="Y358" s="555">
        <f>IFERROR(SUM(Y350:Y356),"0")</f>
        <v>1215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800</v>
      </c>
      <c r="Y360" s="554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53.333333333333336</v>
      </c>
      <c r="Y362" s="555">
        <f>IFERROR(Y360/H360,"0")+IFERROR(Y361/H361,"0")</f>
        <v>54</v>
      </c>
      <c r="Z362" s="555">
        <f>IFERROR(IF(Z360="",0,Z360),"0")+IFERROR(IF(Z361="",0,Z361),"0")</f>
        <v>1.1744999999999999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800</v>
      </c>
      <c r="Y363" s="555">
        <f>IFERROR(SUM(Y360:Y361),"0")</f>
        <v>810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hidden="1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hidden="1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2025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2062.6666666666665</v>
      </c>
      <c r="Y496" s="555">
        <f>IFERROR(SUM(BN22:BN492),"0")</f>
        <v>2088.4499999999998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2137.6666666666665</v>
      </c>
      <c r="Y498" s="555">
        <f>GrossWeightTotalR+PalletQtyTotalR*25</f>
        <v>2163.4499999999998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133.33333333333334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2.9362499999999998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117</v>
      </c>
      <c r="E503" s="595" t="s">
        <v>168</v>
      </c>
      <c r="F503" s="595" t="s">
        <v>190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2025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33,33"/>
        <filter val="2 000,00"/>
        <filter val="2 062,67"/>
        <filter val="2 137,67"/>
        <filter val="200,00"/>
        <filter val="3"/>
        <filter val="53,33"/>
        <filter val="80,00"/>
        <filter val="800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