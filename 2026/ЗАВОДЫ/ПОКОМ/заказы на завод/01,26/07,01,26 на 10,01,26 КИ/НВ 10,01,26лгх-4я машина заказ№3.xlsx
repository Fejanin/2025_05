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39AA832-5089-4E9A-8681-374D4C52981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U505" i="1" s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Y164" i="1" s="1"/>
  <c r="P163" i="1"/>
  <c r="X159" i="1"/>
  <c r="X158" i="1"/>
  <c r="BO157" i="1"/>
  <c r="BM157" i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30" i="1"/>
  <c r="X129" i="1"/>
  <c r="BO128" i="1"/>
  <c r="BM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73" i="1" l="1"/>
  <c r="BN73" i="1"/>
  <c r="Z73" i="1"/>
  <c r="BP103" i="1"/>
  <c r="BN103" i="1"/>
  <c r="Z103" i="1"/>
  <c r="BP149" i="1"/>
  <c r="BN149" i="1"/>
  <c r="Z149" i="1"/>
  <c r="BP179" i="1"/>
  <c r="BN179" i="1"/>
  <c r="Z179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BP88" i="1"/>
  <c r="BN88" i="1"/>
  <c r="Z88" i="1"/>
  <c r="BP117" i="1"/>
  <c r="BN117" i="1"/>
  <c r="Z117" i="1"/>
  <c r="BP171" i="1"/>
  <c r="BN171" i="1"/>
  <c r="Z171" i="1"/>
  <c r="BP206" i="1"/>
  <c r="BN206" i="1"/>
  <c r="Z206" i="1"/>
  <c r="BP207" i="1"/>
  <c r="BN207" i="1"/>
  <c r="Z207" i="1"/>
  <c r="BP234" i="1"/>
  <c r="BN234" i="1"/>
  <c r="Z234" i="1"/>
  <c r="BP263" i="1"/>
  <c r="BN263" i="1"/>
  <c r="Z263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Y96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Z75" i="1"/>
  <c r="BN75" i="1"/>
  <c r="Y81" i="1"/>
  <c r="Z86" i="1"/>
  <c r="BN86" i="1"/>
  <c r="Z92" i="1"/>
  <c r="BN92" i="1"/>
  <c r="BP92" i="1"/>
  <c r="Z101" i="1"/>
  <c r="BN101" i="1"/>
  <c r="Z109" i="1"/>
  <c r="BN109" i="1"/>
  <c r="Z115" i="1"/>
  <c r="BN115" i="1"/>
  <c r="Z128" i="1"/>
  <c r="BN128" i="1"/>
  <c r="Z132" i="1"/>
  <c r="BN132" i="1"/>
  <c r="Z143" i="1"/>
  <c r="BN143" i="1"/>
  <c r="Z151" i="1"/>
  <c r="BN151" i="1"/>
  <c r="Z157" i="1"/>
  <c r="Z158" i="1" s="1"/>
  <c r="BN157" i="1"/>
  <c r="BP157" i="1"/>
  <c r="Y158" i="1"/>
  <c r="Z163" i="1"/>
  <c r="Z164" i="1" s="1"/>
  <c r="BN163" i="1"/>
  <c r="BP163" i="1"/>
  <c r="Z169" i="1"/>
  <c r="BN169" i="1"/>
  <c r="Z173" i="1"/>
  <c r="BN173" i="1"/>
  <c r="Z177" i="1"/>
  <c r="BN177" i="1"/>
  <c r="Z185" i="1"/>
  <c r="BN185" i="1"/>
  <c r="Z200" i="1"/>
  <c r="BN200" i="1"/>
  <c r="BP200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Y269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338" i="1" l="1"/>
  <c r="Z243" i="1"/>
  <c r="Z479" i="1"/>
  <c r="Z367" i="1"/>
  <c r="Z96" i="1"/>
  <c r="Z76" i="1"/>
  <c r="Z357" i="1"/>
  <c r="Z456" i="1"/>
  <c r="Z325" i="1"/>
  <c r="Z154" i="1"/>
  <c r="Z44" i="1"/>
  <c r="Y496" i="1"/>
  <c r="Y497" i="1"/>
  <c r="Z32" i="1"/>
  <c r="X498" i="1"/>
  <c r="Z441" i="1"/>
  <c r="Z469" i="1"/>
  <c r="Y499" i="1"/>
  <c r="Z388" i="1"/>
  <c r="Z402" i="1"/>
  <c r="Z332" i="1"/>
  <c r="Z213" i="1"/>
  <c r="Z89" i="1"/>
  <c r="Z58" i="1"/>
  <c r="Z312" i="1"/>
  <c r="Z303" i="1"/>
  <c r="Z283" i="1"/>
  <c r="Z225" i="1"/>
  <c r="Z181" i="1"/>
  <c r="Z112" i="1"/>
  <c r="Z105" i="1"/>
  <c r="Y495" i="1"/>
  <c r="Y498" i="1" l="1"/>
  <c r="Z500" i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<sst xmlns="http://schemas.openxmlformats.org/spreadsheetml/2006/main" count="2295" uniqueCount="782">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</sst>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46032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700</v>
      </c>
      <c r="Y41" s="554">
        <f>IFERROR(IF(X41="",0,CEILING((X41/$H41),1)*$H41),"")</f>
        <v>702</v>
      </c>
      <c r="Z41" s="36">
        <f>IFERROR(IF(Y41=0,"",ROUNDUP(Y41/H41,0)*0.01898),"")</f>
        <v>1.2337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726.57407407407413</v>
      </c>
      <c r="BN41" s="64">
        <f>IFERROR(Y41*I41/H41,"0")</f>
        <v>728.65000000000009</v>
      </c>
      <c r="BO41" s="64">
        <f>IFERROR(1/J41*(X41/H41),"0")</f>
        <v>1.0127314814814814</v>
      </c>
      <c r="BP41" s="64">
        <f>IFERROR(1/J41*(Y41/H41),"0")</f>
        <v>1.015625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140</v>
      </c>
      <c r="Y42" s="554">
        <f>IFERROR(IF(X42="",0,CEILING((X42/$H42),1)*$H42),"")</f>
        <v>140.6</v>
      </c>
      <c r="Z42" s="36">
        <f>IFERROR(IF(Y42=0,"",ROUNDUP(Y42/H42,0)*0.00902),"")</f>
        <v>0.34276000000000001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147.18918918918919</v>
      </c>
      <c r="BN42" s="64">
        <f>IFERROR(Y42*I42/H42,"0")</f>
        <v>147.82</v>
      </c>
      <c r="BO42" s="64">
        <f>IFERROR(1/J42*(X42/H42),"0")</f>
        <v>0.28665028665028669</v>
      </c>
      <c r="BP42" s="64">
        <f>IFERROR(1/J42*(Y42/H42),"0")</f>
        <v>0.2878787878787879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102.65265265265265</v>
      </c>
      <c r="Y44" s="555">
        <f>IFERROR(Y41/H41,"0")+IFERROR(Y42/H42,"0")+IFERROR(Y43/H43,"0")</f>
        <v>103</v>
      </c>
      <c r="Z44" s="555">
        <f>IFERROR(IF(Z41="",0,Z41),"0")+IFERROR(IF(Z42="",0,Z42),"0")+IFERROR(IF(Z43="",0,Z43),"0")</f>
        <v>1.57646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840</v>
      </c>
      <c r="Y45" s="555">
        <f>IFERROR(SUM(Y41:Y43),"0")</f>
        <v>842.6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117</v>
      </c>
      <c r="Y52" s="554">
        <f t="shared" ref="Y52:Y57" si="0">IFERROR(IF(X52="",0,CEILING((X52/$H52),1)*$H52),"")</f>
        <v>123.19999999999999</v>
      </c>
      <c r="Z52" s="36">
        <f>IFERROR(IF(Y52=0,"",ROUNDUP(Y52/H52,0)*0.01898),"")</f>
        <v>0.20877999999999999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121.28303571428572</v>
      </c>
      <c r="BN52" s="64">
        <f t="shared" ref="BN52:BN57" si="2">IFERROR(Y52*I52/H52,"0")</f>
        <v>127.71</v>
      </c>
      <c r="BO52" s="64">
        <f t="shared" ref="BO52:BO57" si="3">IFERROR(1/J52*(X52/H52),"0")</f>
        <v>0.16322544642857145</v>
      </c>
      <c r="BP52" s="64">
        <f t="shared" ref="BP52:BP57" si="4">IFERROR(1/J52*(Y52/H52),"0")</f>
        <v>0.171875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449</v>
      </c>
      <c r="Y53" s="554">
        <f t="shared" si="0"/>
        <v>453.6</v>
      </c>
      <c r="Z53" s="36">
        <f>IFERROR(IF(Y53=0,"",ROUNDUP(Y53/H53,0)*0.01898),"")</f>
        <v>0.79715999999999998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466.04537037037034</v>
      </c>
      <c r="BN53" s="64">
        <f t="shared" si="2"/>
        <v>470.82000000000005</v>
      </c>
      <c r="BO53" s="64">
        <f t="shared" si="3"/>
        <v>0.64959490740740733</v>
      </c>
      <c r="BP53" s="64">
        <f t="shared" si="4"/>
        <v>0.65625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320</v>
      </c>
      <c r="Y55" s="554">
        <f t="shared" si="0"/>
        <v>320</v>
      </c>
      <c r="Z55" s="36">
        <f>IFERROR(IF(Y55=0,"",ROUNDUP(Y55/H55,0)*0.00902),"")</f>
        <v>0.72160000000000002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335.20000000000005</v>
      </c>
      <c r="BN55" s="64">
        <f t="shared" si="2"/>
        <v>335.20000000000005</v>
      </c>
      <c r="BO55" s="64">
        <f t="shared" si="3"/>
        <v>0.60606060606060608</v>
      </c>
      <c r="BP55" s="64">
        <f t="shared" si="4"/>
        <v>0.60606060606060608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132.02050264550263</v>
      </c>
      <c r="Y58" s="555">
        <f>IFERROR(Y52/H52,"0")+IFERROR(Y53/H53,"0")+IFERROR(Y54/H54,"0")+IFERROR(Y55/H55,"0")+IFERROR(Y56/H56,"0")+IFERROR(Y57/H57,"0")</f>
        <v>133</v>
      </c>
      <c r="Z58" s="555">
        <f>IFERROR(IF(Z52="",0,Z52),"0")+IFERROR(IF(Z53="",0,Z53),"0")+IFERROR(IF(Z54="",0,Z54),"0")+IFERROR(IF(Z55="",0,Z55),"0")+IFERROR(IF(Z56="",0,Z56),"0")+IFERROR(IF(Z57="",0,Z57),"0")</f>
        <v>1.7275400000000001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886</v>
      </c>
      <c r="Y59" s="555">
        <f>IFERROR(SUM(Y52:Y57),"0")</f>
        <v>896.8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468</v>
      </c>
      <c r="Y61" s="554">
        <f>IFERROR(IF(X61="",0,CEILING((X61/$H61),1)*$H61),"")</f>
        <v>475.20000000000005</v>
      </c>
      <c r="Z61" s="36">
        <f>IFERROR(IF(Y61=0,"",ROUNDUP(Y61/H61,0)*0.01898),"")</f>
        <v>0.83511999999999997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485.76666666666671</v>
      </c>
      <c r="BN61" s="64">
        <f>IFERROR(Y61*I61/H61,"0")</f>
        <v>493.24000000000007</v>
      </c>
      <c r="BO61" s="64">
        <f>IFERROR(1/J61*(X61/H61),"0")</f>
        <v>0.67708333333333326</v>
      </c>
      <c r="BP61" s="64">
        <f>IFERROR(1/J61*(Y61/H61),"0")</f>
        <v>0.6875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43.333333333333329</v>
      </c>
      <c r="Y64" s="555">
        <f>IFERROR(Y61/H61,"0")+IFERROR(Y62/H62,"0")+IFERROR(Y63/H63,"0")</f>
        <v>44</v>
      </c>
      <c r="Z64" s="555">
        <f>IFERROR(IF(Z61="",0,Z61),"0")+IFERROR(IF(Z62="",0,Z62),"0")+IFERROR(IF(Z63="",0,Z63),"0")</f>
        <v>0.83511999999999997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468</v>
      </c>
      <c r="Y65" s="555">
        <f>IFERROR(SUM(Y61:Y63),"0")</f>
        <v>475.20000000000005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25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26.314102564102569</v>
      </c>
      <c r="BN79" s="64">
        <f>IFERROR(Y79*I79/H79,"0")</f>
        <v>32.840000000000003</v>
      </c>
      <c r="BO79" s="64">
        <f>IFERROR(1/J79*(X79/H79),"0")</f>
        <v>5.0080128205128208E-2</v>
      </c>
      <c r="BP79" s="64">
        <f>IFERROR(1/J79*(Y79/H79),"0")</f>
        <v>6.25E-2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3.2051282051282053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25</v>
      </c>
      <c r="Y82" s="555">
        <f>IFERROR(SUM(Y79:Y80),"0")</f>
        <v>31.2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713</v>
      </c>
      <c r="Y85" s="554">
        <f>IFERROR(IF(X85="",0,CEILING((X85/$H85),1)*$H85),"")</f>
        <v>723.6</v>
      </c>
      <c r="Z85" s="36">
        <f>IFERROR(IF(Y85=0,"",ROUNDUP(Y85/H85,0)*0.01898),"")</f>
        <v>1.27166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740.06759259259263</v>
      </c>
      <c r="BN85" s="64">
        <f>IFERROR(Y85*I85/H85,"0")</f>
        <v>751.07</v>
      </c>
      <c r="BO85" s="64">
        <f>IFERROR(1/J85*(X85/H85),"0")</f>
        <v>1.0315393518518519</v>
      </c>
      <c r="BP85" s="64">
        <f>IFERROR(1/J85*(Y85/H85),"0")</f>
        <v>1.046875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181</v>
      </c>
      <c r="Y88" s="554">
        <f>IFERROR(IF(X88="",0,CEILING((X88/$H88),1)*$H88),"")</f>
        <v>184.5</v>
      </c>
      <c r="Z88" s="36">
        <f>IFERROR(IF(Y88=0,"",ROUNDUP(Y88/H88,0)*0.00902),"")</f>
        <v>0.36982000000000004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188.64222222222224</v>
      </c>
      <c r="BN88" s="64">
        <f>IFERROR(Y88*I88/H88,"0")</f>
        <v>192.29000000000002</v>
      </c>
      <c r="BO88" s="64">
        <f>IFERROR(1/J88*(X88/H88),"0")</f>
        <v>0.30471380471380471</v>
      </c>
      <c r="BP88" s="64">
        <f>IFERROR(1/J88*(Y88/H88),"0")</f>
        <v>0.31060606060606061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106.24074074074073</v>
      </c>
      <c r="Y89" s="555">
        <f>IFERROR(Y85/H85,"0")+IFERROR(Y86/H86,"0")+IFERROR(Y87/H87,"0")+IFERROR(Y88/H88,"0")</f>
        <v>108</v>
      </c>
      <c r="Z89" s="555">
        <f>IFERROR(IF(Z85="",0,Z85),"0")+IFERROR(IF(Z86="",0,Z86),"0")+IFERROR(IF(Z87="",0,Z87),"0")+IFERROR(IF(Z88="",0,Z88),"0")</f>
        <v>1.6414800000000001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894</v>
      </c>
      <c r="Y90" s="555">
        <f>IFERROR(SUM(Y85:Y88),"0")</f>
        <v>908.1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265</v>
      </c>
      <c r="Y92" s="554">
        <f>IFERROR(IF(X92="",0,CEILING((X92/$H92),1)*$H92),"")</f>
        <v>267.3</v>
      </c>
      <c r="Z92" s="36">
        <f>IFERROR(IF(Y92=0,"",ROUNDUP(Y92/H92,0)*0.01898),"")</f>
        <v>0.62634000000000001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281.16172839506174</v>
      </c>
      <c r="BN92" s="64">
        <f>IFERROR(Y92*I92/H92,"0")</f>
        <v>283.60199999999998</v>
      </c>
      <c r="BO92" s="64">
        <f>IFERROR(1/J92*(X92/H92),"0")</f>
        <v>0.51118827160493829</v>
      </c>
      <c r="BP92" s="64">
        <f>IFERROR(1/J92*(Y92/H92),"0")</f>
        <v>0.515625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32.716049382716051</v>
      </c>
      <c r="Y96" s="555">
        <f>IFERROR(Y92/H92,"0")+IFERROR(Y93/H93,"0")+IFERROR(Y94/H94,"0")+IFERROR(Y95/H95,"0")</f>
        <v>33</v>
      </c>
      <c r="Z96" s="555">
        <f>IFERROR(IF(Z92="",0,Z92),"0")+IFERROR(IF(Z93="",0,Z93),"0")+IFERROR(IF(Z94="",0,Z94),"0")+IFERROR(IF(Z95="",0,Z95),"0")</f>
        <v>0.62634000000000001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265</v>
      </c>
      <c r="Y97" s="555">
        <f>IFERROR(SUM(Y92:Y95),"0")</f>
        <v>267.3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597</v>
      </c>
      <c r="Y100" s="554">
        <f>IFERROR(IF(X100="",0,CEILING((X100/$H100),1)*$H100),"")</f>
        <v>604.80000000000007</v>
      </c>
      <c r="Z100" s="36">
        <f>IFERROR(IF(Y100=0,"",ROUNDUP(Y100/H100,0)*0.01898),"")</f>
        <v>1.06288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619.66388888888889</v>
      </c>
      <c r="BN100" s="64">
        <f>IFERROR(Y100*I100/H100,"0")</f>
        <v>627.76</v>
      </c>
      <c r="BO100" s="64">
        <f>IFERROR(1/J100*(X100/H100),"0")</f>
        <v>0.86371527777777768</v>
      </c>
      <c r="BP100" s="64">
        <f>IFERROR(1/J100*(Y100/H100),"0")</f>
        <v>0.875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55.277777777777771</v>
      </c>
      <c r="Y105" s="555">
        <f>IFERROR(Y100/H100,"0")+IFERROR(Y101/H101,"0")+IFERROR(Y102/H102,"0")+IFERROR(Y103/H103,"0")+IFERROR(Y104/H104,"0")</f>
        <v>56</v>
      </c>
      <c r="Z105" s="555">
        <f>IFERROR(IF(Z100="",0,Z100),"0")+IFERROR(IF(Z101="",0,Z101),"0")+IFERROR(IF(Z102="",0,Z102),"0")+IFERROR(IF(Z103="",0,Z103),"0")+IFERROR(IF(Z104="",0,Z104),"0")</f>
        <v>1.06288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597</v>
      </c>
      <c r="Y106" s="555">
        <f>IFERROR(SUM(Y100:Y104),"0")</f>
        <v>604.80000000000007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144</v>
      </c>
      <c r="Y108" s="554">
        <f>IFERROR(IF(X108="",0,CEILING((X108/$H108),1)*$H108),"")</f>
        <v>151.20000000000002</v>
      </c>
      <c r="Z108" s="36">
        <f>IFERROR(IF(Y108=0,"",ROUNDUP(Y108/H108,0)*0.01898),"")</f>
        <v>0.26572000000000001</v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149.46666666666667</v>
      </c>
      <c r="BN108" s="64">
        <f>IFERROR(Y108*I108/H108,"0")</f>
        <v>156.94</v>
      </c>
      <c r="BO108" s="64">
        <f>IFERROR(1/J108*(X108/H108),"0")</f>
        <v>0.20833333333333331</v>
      </c>
      <c r="BP108" s="64">
        <f>IFERROR(1/J108*(Y108/H108),"0")</f>
        <v>0.21875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184</v>
      </c>
      <c r="Y111" s="554">
        <f>IFERROR(IF(X111="",0,CEILING((X111/$H111),1)*$H111),"")</f>
        <v>184.79999999999998</v>
      </c>
      <c r="Z111" s="36">
        <f>IFERROR(IF(Y111=0,"",ROUNDUP(Y111/H111,0)*0.00651),"")</f>
        <v>0.50126999999999999</v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197.8</v>
      </c>
      <c r="BN111" s="64">
        <f>IFERROR(Y111*I111/H111,"0")</f>
        <v>198.66</v>
      </c>
      <c r="BO111" s="64">
        <f>IFERROR(1/J111*(X111/H111),"0")</f>
        <v>0.4212454212454213</v>
      </c>
      <c r="BP111" s="64">
        <f>IFERROR(1/J111*(Y111/H111),"0")</f>
        <v>0.42307692307692313</v>
      </c>
    </row>
    <row r="112" spans="1:68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90</v>
      </c>
      <c r="Y112" s="555">
        <f>IFERROR(Y108/H108,"0")+IFERROR(Y109/H109,"0")+IFERROR(Y110/H110,"0")+IFERROR(Y111/H111,"0")</f>
        <v>91</v>
      </c>
      <c r="Z112" s="555">
        <f>IFERROR(IF(Z108="",0,Z108),"0")+IFERROR(IF(Z109="",0,Z109),"0")+IFERROR(IF(Z110="",0,Z110),"0")+IFERROR(IF(Z111="",0,Z111),"0")</f>
        <v>0.76699000000000006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328</v>
      </c>
      <c r="Y113" s="555">
        <f>IFERROR(SUM(Y108:Y111),"0")</f>
        <v>336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74</v>
      </c>
      <c r="Y115" s="554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78.458271604938261</v>
      </c>
      <c r="BN115" s="64">
        <f>IFERROR(Y115*I115/H115,"0")</f>
        <v>85.88</v>
      </c>
      <c r="BO115" s="64">
        <f>IFERROR(1/J115*(X115/H115),"0")</f>
        <v>0.14274691358024691</v>
      </c>
      <c r="BP115" s="64">
        <f>IFERROR(1/J115*(Y115/H115),"0")</f>
        <v>0.15625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9.1358024691358022</v>
      </c>
      <c r="Y119" s="555">
        <f>IFERROR(Y115/H115,"0")+IFERROR(Y116/H116,"0")+IFERROR(Y117/H117,"0")+IFERROR(Y118/H118,"0")</f>
        <v>10</v>
      </c>
      <c r="Z119" s="555">
        <f>IFERROR(IF(Z115="",0,Z115),"0")+IFERROR(IF(Z116="",0,Z116),"0")+IFERROR(IF(Z117="",0,Z117),"0")+IFERROR(IF(Z118="",0,Z118),"0")</f>
        <v>0.1898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74</v>
      </c>
      <c r="Y120" s="555">
        <f>IFERROR(SUM(Y115:Y118),"0")</f>
        <v>81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184</v>
      </c>
      <c r="Y169" s="554">
        <f t="shared" si="10"/>
        <v>184.8</v>
      </c>
      <c r="Z169" s="36">
        <f>IFERROR(IF(Y169=0,"",ROUNDUP(Y169/H169,0)*0.00902),"")</f>
        <v>0.39688000000000001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194.95238095238096</v>
      </c>
      <c r="BN169" s="64">
        <f t="shared" si="12"/>
        <v>195.8</v>
      </c>
      <c r="BO169" s="64">
        <f t="shared" si="13"/>
        <v>0.3318903318903319</v>
      </c>
      <c r="BP169" s="64">
        <f t="shared" si="14"/>
        <v>0.33333333333333337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248</v>
      </c>
      <c r="Y171" s="554">
        <f t="shared" si="10"/>
        <v>252</v>
      </c>
      <c r="Z171" s="36">
        <f>IFERROR(IF(Y171=0,"",ROUNDUP(Y171/H171,0)*0.00902),"")</f>
        <v>0.54120000000000001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259.21904761904761</v>
      </c>
      <c r="BN171" s="64">
        <f t="shared" si="12"/>
        <v>263.39999999999998</v>
      </c>
      <c r="BO171" s="64">
        <f t="shared" si="13"/>
        <v>0.4473304473304473</v>
      </c>
      <c r="BP171" s="64">
        <f t="shared" si="14"/>
        <v>0.45454545454545459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50</v>
      </c>
      <c r="Y176" s="554">
        <f t="shared" si="10"/>
        <v>50.4</v>
      </c>
      <c r="Z176" s="36">
        <f>IFERROR(IF(Y176=0,"",ROUNDUP(Y176/H176,0)*0.00502),"")</f>
        <v>0.14056000000000002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53.611111111111107</v>
      </c>
      <c r="BN176" s="64">
        <f t="shared" si="12"/>
        <v>54.039999999999992</v>
      </c>
      <c r="BO176" s="64">
        <f t="shared" si="13"/>
        <v>0.11870845204178539</v>
      </c>
      <c r="BP176" s="64">
        <f t="shared" si="14"/>
        <v>0.11965811965811968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354</v>
      </c>
      <c r="Y178" s="554">
        <f t="shared" si="10"/>
        <v>354.90000000000003</v>
      </c>
      <c r="Z178" s="36">
        <f>IFERROR(IF(Y178=0,"",ROUNDUP(Y178/H178,0)*0.00502),"")</f>
        <v>0.84838000000000002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370.85714285714289</v>
      </c>
      <c r="BN178" s="64">
        <f t="shared" si="12"/>
        <v>371.8</v>
      </c>
      <c r="BO178" s="64">
        <f t="shared" si="13"/>
        <v>0.72039072039072038</v>
      </c>
      <c r="BP178" s="64">
        <f t="shared" si="14"/>
        <v>0.72222222222222232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332.53968253968253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335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2.0977000000000001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906</v>
      </c>
      <c r="Y182" s="555">
        <f>IFERROR(SUM(Y167:Y180),"0")</f>
        <v>913.5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8</v>
      </c>
      <c r="Y185" s="554">
        <f>IFERROR(IF(X185="",0,CEILING((X185/$H185),1)*$H185),"")</f>
        <v>8.82</v>
      </c>
      <c r="Z185" s="36">
        <f>IFERROR(IF(Y185=0,"",ROUNDUP(Y185/H185,0)*0.0059),"")</f>
        <v>4.1299999999999996E-2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9.2063492063492056</v>
      </c>
      <c r="BN185" s="64">
        <f>IFERROR(Y185*I185/H185,"0")</f>
        <v>10.15</v>
      </c>
      <c r="BO185" s="64">
        <f>IFERROR(1/J185*(X185/H185),"0")</f>
        <v>2.9394473838918279E-2</v>
      </c>
      <c r="BP185" s="64">
        <f>IFERROR(1/J185*(Y185/H185),"0")</f>
        <v>3.2407407407407406E-2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7</v>
      </c>
      <c r="Y186" s="554">
        <f>IFERROR(IF(X186="",0,CEILING((X186/$H186),1)*$H186),"")</f>
        <v>7.5600000000000005</v>
      </c>
      <c r="Z186" s="36">
        <f>IFERROR(IF(Y186=0,"",ROUNDUP(Y186/H186,0)*0.0059),"")</f>
        <v>3.5400000000000001E-2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8.0555555555555554</v>
      </c>
      <c r="BN186" s="64">
        <f>IFERROR(Y186*I186/H186,"0")</f>
        <v>8.6999999999999993</v>
      </c>
      <c r="BO186" s="64">
        <f>IFERROR(1/J186*(X186/H186),"0")</f>
        <v>2.5720164609053495E-2</v>
      </c>
      <c r="BP186" s="64">
        <f>IFERROR(1/J186*(Y186/H186),"0")</f>
        <v>2.7777777777777776E-2</v>
      </c>
    </row>
    <row r="187" spans="1:68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11.904761904761905</v>
      </c>
      <c r="Y187" s="555">
        <f>IFERROR(Y184/H184,"0")+IFERROR(Y185/H185,"0")+IFERROR(Y186/H186,"0")</f>
        <v>13</v>
      </c>
      <c r="Z187" s="555">
        <f>IFERROR(IF(Z184="",0,Z184),"0")+IFERROR(IF(Z185="",0,Z185),"0")+IFERROR(IF(Z186="",0,Z186),"0")</f>
        <v>7.669999999999999E-2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15</v>
      </c>
      <c r="Y188" s="555">
        <f>IFERROR(SUM(Y184:Y186),"0")</f>
        <v>16.380000000000003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9</v>
      </c>
      <c r="Y190" s="554">
        <f>IFERROR(IF(X190="",0,CEILING((X190/$H190),1)*$H190),"")</f>
        <v>10.08</v>
      </c>
      <c r="Z190" s="36">
        <f>IFERROR(IF(Y190=0,"",ROUNDUP(Y190/H190,0)*0.0059),"")</f>
        <v>4.7199999999999999E-2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10.357142857142856</v>
      </c>
      <c r="BN190" s="64">
        <f>IFERROR(Y190*I190/H190,"0")</f>
        <v>11.6</v>
      </c>
      <c r="BO190" s="64">
        <f>IFERROR(1/J190*(X190/H190),"0")</f>
        <v>3.3068783068783067E-2</v>
      </c>
      <c r="BP190" s="64">
        <f>IFERROR(1/J190*(Y190/H190),"0")</f>
        <v>3.7037037037037035E-2</v>
      </c>
    </row>
    <row r="191" spans="1:68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7.1428571428571432</v>
      </c>
      <c r="Y191" s="555">
        <f>IFERROR(Y190/H190,"0")</f>
        <v>8</v>
      </c>
      <c r="Z191" s="555">
        <f>IFERROR(IF(Z190="",0,Z190),"0")</f>
        <v>4.7199999999999999E-2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9</v>
      </c>
      <c r="Y192" s="555">
        <f>IFERROR(SUM(Y190:Y190),"0")</f>
        <v>10.08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537</v>
      </c>
      <c r="Y205" s="554">
        <f t="shared" ref="Y205:Y212" si="15">IFERROR(IF(X205="",0,CEILING((X205/$H205),1)*$H205),"")</f>
        <v>540</v>
      </c>
      <c r="Z205" s="36">
        <f>IFERROR(IF(Y205=0,"",ROUNDUP(Y205/H205,0)*0.00902),"")</f>
        <v>0.90200000000000002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555.89444444444439</v>
      </c>
      <c r="BN205" s="64">
        <f t="shared" ref="BN205:BN212" si="17">IFERROR(Y205*I205/H205,"0")</f>
        <v>559</v>
      </c>
      <c r="BO205" s="64">
        <f t="shared" ref="BO205:BO212" si="18">IFERROR(1/J205*(X205/H205),"0")</f>
        <v>0.75336700336700335</v>
      </c>
      <c r="BP205" s="64">
        <f t="shared" ref="BP205:BP212" si="19">IFERROR(1/J205*(Y205/H205),"0")</f>
        <v>0.75757575757575757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501</v>
      </c>
      <c r="Y206" s="554">
        <f t="shared" si="15"/>
        <v>502.20000000000005</v>
      </c>
      <c r="Z206" s="36">
        <f>IFERROR(IF(Y206=0,"",ROUNDUP(Y206/H206,0)*0.00902),"")</f>
        <v>0.83886000000000005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518.62777777777774</v>
      </c>
      <c r="BN206" s="64">
        <f t="shared" si="17"/>
        <v>519.87</v>
      </c>
      <c r="BO206" s="64">
        <f t="shared" si="18"/>
        <v>0.70286195286195285</v>
      </c>
      <c r="BP206" s="64">
        <f t="shared" si="19"/>
        <v>0.70454545454545459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616</v>
      </c>
      <c r="Y208" s="554">
        <f t="shared" si="15"/>
        <v>621</v>
      </c>
      <c r="Z208" s="36">
        <f>IFERROR(IF(Y208=0,"",ROUNDUP(Y208/H208,0)*0.00902),"")</f>
        <v>1.0373000000000001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637.67407407407404</v>
      </c>
      <c r="BN208" s="64">
        <f t="shared" si="17"/>
        <v>642.84999999999991</v>
      </c>
      <c r="BO208" s="64">
        <f t="shared" si="18"/>
        <v>0.86419753086419748</v>
      </c>
      <c r="BP208" s="64">
        <f t="shared" si="19"/>
        <v>0.8712121212121211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91</v>
      </c>
      <c r="Y209" s="554">
        <f t="shared" si="15"/>
        <v>91.8</v>
      </c>
      <c r="Z209" s="36">
        <f>IFERROR(IF(Y209=0,"",ROUNDUP(Y209/H209,0)*0.00502),"")</f>
        <v>0.25602000000000003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97.572222222222223</v>
      </c>
      <c r="BN209" s="64">
        <f t="shared" si="17"/>
        <v>98.429999999999978</v>
      </c>
      <c r="BO209" s="64">
        <f t="shared" si="18"/>
        <v>0.2160493827160494</v>
      </c>
      <c r="BP209" s="64">
        <f t="shared" si="19"/>
        <v>0.21794871794871798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77</v>
      </c>
      <c r="Y210" s="554">
        <f t="shared" si="15"/>
        <v>77.400000000000006</v>
      </c>
      <c r="Z210" s="36">
        <f>IFERROR(IF(Y210=0,"",ROUNDUP(Y210/H210,0)*0.00502),"")</f>
        <v>0.21586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81.277777777777771</v>
      </c>
      <c r="BN210" s="64">
        <f t="shared" si="17"/>
        <v>81.7</v>
      </c>
      <c r="BO210" s="64">
        <f t="shared" si="18"/>
        <v>0.1828110161443495</v>
      </c>
      <c r="BP210" s="64">
        <f t="shared" si="19"/>
        <v>0.18376068376068377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75</v>
      </c>
      <c r="Y212" s="554">
        <f t="shared" si="15"/>
        <v>75.600000000000009</v>
      </c>
      <c r="Z212" s="36">
        <f>IFERROR(IF(Y212=0,"",ROUNDUP(Y212/H212,0)*0.00502),"")</f>
        <v>0.21084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79.166666666666671</v>
      </c>
      <c r="BN212" s="64">
        <f t="shared" si="17"/>
        <v>79.800000000000011</v>
      </c>
      <c r="BO212" s="64">
        <f t="shared" si="18"/>
        <v>0.17806267806267806</v>
      </c>
      <c r="BP212" s="64">
        <f t="shared" si="19"/>
        <v>0.17948717948717954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441.2962962962963</v>
      </c>
      <c r="Y213" s="555">
        <f>IFERROR(Y205/H205,"0")+IFERROR(Y206/H206,"0")+IFERROR(Y207/H207,"0")+IFERROR(Y208/H208,"0")+IFERROR(Y209/H209,"0")+IFERROR(Y210/H210,"0")+IFERROR(Y211/H211,"0")+IFERROR(Y212/H212,"0")</f>
        <v>444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3.4608800000000004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1897</v>
      </c>
      <c r="Y214" s="555">
        <f>IFERROR(SUM(Y205:Y212),"0")</f>
        <v>1908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39</v>
      </c>
      <c r="Y216" s="554">
        <f t="shared" ref="Y216:Y224" si="20">IFERROR(IF(X216="",0,CEILING((X216/$H216),1)*$H216),"")</f>
        <v>40.5</v>
      </c>
      <c r="Z216" s="36">
        <f>IFERROR(IF(Y216=0,"",ROUNDUP(Y216/H216,0)*0.01898),"")</f>
        <v>9.4899999999999998E-2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41.378518518518518</v>
      </c>
      <c r="BN216" s="64">
        <f t="shared" ref="BN216:BN224" si="22">IFERROR(Y216*I216/H216,"0")</f>
        <v>42.97</v>
      </c>
      <c r="BO216" s="64">
        <f t="shared" ref="BO216:BO224" si="23">IFERROR(1/J216*(X216/H216),"0")</f>
        <v>7.5231481481481483E-2</v>
      </c>
      <c r="BP216" s="64">
        <f t="shared" ref="BP216:BP224" si="24">IFERROR(1/J216*(Y216/H216),"0")</f>
        <v>7.8125E-2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35</v>
      </c>
      <c r="Y217" s="554">
        <f t="shared" si="20"/>
        <v>40.5</v>
      </c>
      <c r="Z217" s="36">
        <f>IFERROR(IF(Y217=0,"",ROUNDUP(Y217/H217,0)*0.01898),"")</f>
        <v>9.4899999999999998E-2</v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37.056790123456793</v>
      </c>
      <c r="BN217" s="64">
        <f t="shared" si="22"/>
        <v>42.88</v>
      </c>
      <c r="BO217" s="64">
        <f t="shared" si="23"/>
        <v>6.751543209876544E-2</v>
      </c>
      <c r="BP217" s="64">
        <f t="shared" si="24"/>
        <v>7.8125E-2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100</v>
      </c>
      <c r="Y218" s="554">
        <f t="shared" si="20"/>
        <v>104.39999999999999</v>
      </c>
      <c r="Z218" s="36">
        <f>IFERROR(IF(Y218=0,"",ROUNDUP(Y218/H218,0)*0.01898),"")</f>
        <v>0.22776000000000002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105.67816091954025</v>
      </c>
      <c r="BN218" s="64">
        <f t="shared" si="22"/>
        <v>110.32800000000002</v>
      </c>
      <c r="BO218" s="64">
        <f t="shared" si="23"/>
        <v>0.1795977011494253</v>
      </c>
      <c r="BP218" s="64">
        <f t="shared" si="24"/>
        <v>0.1875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206</v>
      </c>
      <c r="Y219" s="554">
        <f t="shared" si="20"/>
        <v>206.4</v>
      </c>
      <c r="Z219" s="36">
        <f t="shared" ref="Z219:Z224" si="25">IFERROR(IF(Y219=0,"",ROUNDUP(Y219/H219,0)*0.00651),"")</f>
        <v>0.55986000000000002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229.17500000000001</v>
      </c>
      <c r="BN219" s="64">
        <f t="shared" si="22"/>
        <v>229.62</v>
      </c>
      <c r="BO219" s="64">
        <f t="shared" si="23"/>
        <v>0.47161172161172171</v>
      </c>
      <c r="BP219" s="64">
        <f t="shared" si="24"/>
        <v>0.47252747252747257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10</v>
      </c>
      <c r="Y223" s="554">
        <f t="shared" si="20"/>
        <v>12</v>
      </c>
      <c r="Z223" s="36">
        <f t="shared" si="25"/>
        <v>3.2550000000000003E-2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11.050000000000002</v>
      </c>
      <c r="BN223" s="64">
        <f t="shared" si="22"/>
        <v>13.260000000000002</v>
      </c>
      <c r="BO223" s="64">
        <f t="shared" si="23"/>
        <v>2.2893772893772896E-2</v>
      </c>
      <c r="BP223" s="64">
        <f t="shared" si="24"/>
        <v>2.7472527472527476E-2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38</v>
      </c>
      <c r="Y224" s="554">
        <f t="shared" si="20"/>
        <v>38.4</v>
      </c>
      <c r="Z224" s="36">
        <f t="shared" si="25"/>
        <v>0.10416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42.085000000000001</v>
      </c>
      <c r="BN224" s="64">
        <f t="shared" si="22"/>
        <v>42.527999999999999</v>
      </c>
      <c r="BO224" s="64">
        <f t="shared" si="23"/>
        <v>8.6996336996337006E-2</v>
      </c>
      <c r="BP224" s="64">
        <f t="shared" si="24"/>
        <v>8.7912087912087919E-2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126.46338867603237</v>
      </c>
      <c r="Y225" s="555">
        <f>IFERROR(Y216/H216,"0")+IFERROR(Y217/H217,"0")+IFERROR(Y218/H218,"0")+IFERROR(Y219/H219,"0")+IFERROR(Y220/H220,"0")+IFERROR(Y221/H221,"0")+IFERROR(Y222/H222,"0")+IFERROR(Y223/H223,"0")+IFERROR(Y224/H224,"0")</f>
        <v>129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1.1141300000000001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428</v>
      </c>
      <c r="Y226" s="555">
        <f>IFERROR(SUM(Y216:Y224),"0")</f>
        <v>442.19999999999993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385</v>
      </c>
      <c r="Y234" s="554">
        <f t="shared" ref="Y234:Y242" si="26">IFERROR(IF(X234="",0,CEILING((X234/$H234),1)*$H234),"")</f>
        <v>394.4</v>
      </c>
      <c r="Z234" s="36">
        <f>IFERROR(IF(Y234=0,"",ROUNDUP(Y234/H234,0)*0.01898),"")</f>
        <v>0.64532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398.60775862068971</v>
      </c>
      <c r="BN234" s="64">
        <f t="shared" ref="BN234:BN242" si="28">IFERROR(Y234*I234/H234,"0")</f>
        <v>408.34</v>
      </c>
      <c r="BO234" s="64">
        <f t="shared" ref="BO234:BO242" si="29">IFERROR(1/J234*(X234/H234),"0")</f>
        <v>0.51858836206896552</v>
      </c>
      <c r="BP234" s="64">
        <f t="shared" ref="BP234:BP242" si="30">IFERROR(1/J234*(Y234/H234),"0")</f>
        <v>0.53125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8</v>
      </c>
      <c r="Y237" s="554">
        <f t="shared" si="26"/>
        <v>8</v>
      </c>
      <c r="Z237" s="36">
        <f>IFERROR(IF(Y237=0,"",ROUNDUP(Y237/H237,0)*0.00902),"")</f>
        <v>1.804E-2</v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8.3800000000000008</v>
      </c>
      <c r="BN237" s="64">
        <f t="shared" si="28"/>
        <v>8.3800000000000008</v>
      </c>
      <c r="BO237" s="64">
        <f t="shared" si="29"/>
        <v>1.5151515151515152E-2</v>
      </c>
      <c r="BP237" s="64">
        <f t="shared" si="30"/>
        <v>1.5151515151515152E-2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35.189655172413794</v>
      </c>
      <c r="Y243" s="555">
        <f>IFERROR(Y234/H234,"0")+IFERROR(Y235/H235,"0")+IFERROR(Y236/H236,"0")+IFERROR(Y237/H237,"0")+IFERROR(Y238/H238,"0")+IFERROR(Y239/H239,"0")+IFERROR(Y240/H240,"0")+IFERROR(Y241/H241,"0")+IFERROR(Y242/H242,"0")</f>
        <v>36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0.66335999999999995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393</v>
      </c>
      <c r="Y244" s="555">
        <f>IFERROR(SUM(Y234:Y242),"0")</f>
        <v>402.4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6</v>
      </c>
      <c r="Y256" s="554">
        <f>IFERROR(IF(X256="",0,CEILING((X256/$H256),1)*$H256),"")</f>
        <v>6.3</v>
      </c>
      <c r="Z256" s="36">
        <f>IFERROR(IF(Y256=0,"",ROUNDUP(Y256/H256,0)*0.0059),"")</f>
        <v>4.1299999999999996E-2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7.2666666666666675</v>
      </c>
      <c r="BN256" s="64">
        <f>IFERROR(Y256*I256/H256,"0")</f>
        <v>7.63</v>
      </c>
      <c r="BO256" s="64">
        <f>IFERROR(1/J256*(X256/H256),"0")</f>
        <v>3.0864197530864192E-2</v>
      </c>
      <c r="BP256" s="64">
        <f>IFERROR(1/J256*(Y256/H256),"0")</f>
        <v>3.2407407407407406E-2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5</v>
      </c>
      <c r="Y257" s="554">
        <f>IFERROR(IF(X257="",0,CEILING((X257/$H257),1)*$H257),"")</f>
        <v>5.9399999999999995</v>
      </c>
      <c r="Z257" s="36">
        <f>IFERROR(IF(Y257=0,"",ROUNDUP(Y257/H257,0)*0.0059),"")</f>
        <v>3.5400000000000001E-2</v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5.9595959595959593</v>
      </c>
      <c r="BN257" s="64">
        <f>IFERROR(Y257*I257/H257,"0")</f>
        <v>7.0799999999999992</v>
      </c>
      <c r="BO257" s="64">
        <f>IFERROR(1/J257*(X257/H257),"0")</f>
        <v>2.3381967826412269E-2</v>
      </c>
      <c r="BP257" s="64">
        <f>IFERROR(1/J257*(Y257/H257),"0")</f>
        <v>2.7777777777777773E-2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8</v>
      </c>
      <c r="Y258" s="554">
        <f>IFERROR(IF(X258="",0,CEILING((X258/$H258),1)*$H258),"")</f>
        <v>8.91</v>
      </c>
      <c r="Z258" s="36">
        <f>IFERROR(IF(Y258=0,"",ROUNDUP(Y258/H258,0)*0.0059),"")</f>
        <v>5.3100000000000001E-2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9.5353535353535346</v>
      </c>
      <c r="BN258" s="64">
        <f>IFERROR(Y258*I258/H258,"0")</f>
        <v>10.62</v>
      </c>
      <c r="BO258" s="64">
        <f>IFERROR(1/J258*(X258/H258),"0")</f>
        <v>3.7411148522259637E-2</v>
      </c>
      <c r="BP258" s="64">
        <f>IFERROR(1/J258*(Y258/H258),"0")</f>
        <v>4.1666666666666664E-2</v>
      </c>
    </row>
    <row r="259" spans="1:68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19.797979797979799</v>
      </c>
      <c r="Y259" s="555">
        <f>IFERROR(Y254/H254,"0")+IFERROR(Y255/H255,"0")+IFERROR(Y256/H256,"0")+IFERROR(Y257/H257,"0")+IFERROR(Y258/H258,"0")</f>
        <v>22</v>
      </c>
      <c r="Z259" s="555">
        <f>IFERROR(IF(Z254="",0,Z254),"0")+IFERROR(IF(Z255="",0,Z255),"0")+IFERROR(IF(Z256="",0,Z256),"0")+IFERROR(IF(Z257="",0,Z257),"0")+IFERROR(IF(Z258="",0,Z258),"0")</f>
        <v>0.1298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19</v>
      </c>
      <c r="Y260" s="555">
        <f>IFERROR(SUM(Y254:Y258),"0")</f>
        <v>21.15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10</v>
      </c>
      <c r="Y311" s="554">
        <f t="shared" si="31"/>
        <v>10.8</v>
      </c>
      <c r="Z311" s="36">
        <f>IFERROR(IF(Y311=0,"",ROUNDUP(Y311/H311,0)*0.00651),"")</f>
        <v>3.9059999999999997E-2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11.266666666666667</v>
      </c>
      <c r="BN311" s="64">
        <f t="shared" si="33"/>
        <v>12.167999999999999</v>
      </c>
      <c r="BO311" s="64">
        <f t="shared" si="34"/>
        <v>3.0525030525030528E-2</v>
      </c>
      <c r="BP311" s="64">
        <f t="shared" si="35"/>
        <v>3.2967032967032968E-2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5.5555555555555554</v>
      </c>
      <c r="Y312" s="555">
        <f>IFERROR(Y306/H306,"0")+IFERROR(Y307/H307,"0")+IFERROR(Y308/H308,"0")+IFERROR(Y309/H309,"0")+IFERROR(Y310/H310,"0")+IFERROR(Y311/H311,"0")</f>
        <v>6</v>
      </c>
      <c r="Z312" s="555">
        <f>IFERROR(IF(Z306="",0,Z306),"0")+IFERROR(IF(Z307="",0,Z307),"0")+IFERROR(IF(Z308="",0,Z308),"0")+IFERROR(IF(Z309="",0,Z309),"0")+IFERROR(IF(Z310="",0,Z310),"0")+IFERROR(IF(Z311="",0,Z311),"0")</f>
        <v>3.9059999999999997E-2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10</v>
      </c>
      <c r="Y313" s="555">
        <f>IFERROR(SUM(Y306:Y311),"0")</f>
        <v>10.8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147</v>
      </c>
      <c r="Y322" s="554">
        <f>IFERROR(IF(X322="",0,CEILING((X322/$H322),1)*$H322),"")</f>
        <v>151.20000000000002</v>
      </c>
      <c r="Z322" s="36">
        <f>IFERROR(IF(Y322=0,"",ROUNDUP(Y322/H322,0)*0.01898),"")</f>
        <v>0.34164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155.64500000000001</v>
      </c>
      <c r="BN322" s="64">
        <f>IFERROR(Y322*I322/H322,"0")</f>
        <v>160.09200000000001</v>
      </c>
      <c r="BO322" s="64">
        <f>IFERROR(1/J322*(X322/H322),"0")</f>
        <v>0.2734375</v>
      </c>
      <c r="BP322" s="64">
        <f>IFERROR(1/J322*(Y322/H322),"0")</f>
        <v>0.28125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118</v>
      </c>
      <c r="Y323" s="554">
        <f>IFERROR(IF(X323="",0,CEILING((X323/$H323),1)*$H323),"")</f>
        <v>124.8</v>
      </c>
      <c r="Z323" s="36">
        <f>IFERROR(IF(Y323=0,"",ROUNDUP(Y323/H323,0)*0.01898),"")</f>
        <v>0.30368000000000001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125.47333333333334</v>
      </c>
      <c r="BN323" s="64">
        <f>IFERROR(Y323*I323/H323,"0")</f>
        <v>132.70400000000001</v>
      </c>
      <c r="BO323" s="64">
        <f>IFERROR(1/J323*(X323/H323),"0")</f>
        <v>0.23637820512820512</v>
      </c>
      <c r="BP323" s="64">
        <f>IFERROR(1/J323*(Y323/H323),"0")</f>
        <v>0.25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49</v>
      </c>
      <c r="Y324" s="554">
        <f>IFERROR(IF(X324="",0,CEILING((X324/$H324),1)*$H324),"")</f>
        <v>50.400000000000006</v>
      </c>
      <c r="Z324" s="36">
        <f>IFERROR(IF(Y324=0,"",ROUNDUP(Y324/H324,0)*0.01898),"")</f>
        <v>0.11388000000000001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51.881666666666661</v>
      </c>
      <c r="BN324" s="64">
        <f>IFERROR(Y324*I324/H324,"0")</f>
        <v>53.364000000000004</v>
      </c>
      <c r="BO324" s="64">
        <f>IFERROR(1/J324*(X324/H324),"0")</f>
        <v>9.1145833333333329E-2</v>
      </c>
      <c r="BP324" s="64">
        <f>IFERROR(1/J324*(Y324/H324),"0")</f>
        <v>9.375E-2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38.46153846153846</v>
      </c>
      <c r="Y325" s="555">
        <f>IFERROR(Y322/H322,"0")+IFERROR(Y323/H323,"0")+IFERROR(Y324/H324,"0")</f>
        <v>40</v>
      </c>
      <c r="Z325" s="555">
        <f>IFERROR(IF(Z322="",0,Z322),"0")+IFERROR(IF(Z323="",0,Z323),"0")+IFERROR(IF(Z324="",0,Z324),"0")</f>
        <v>0.75919999999999999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314</v>
      </c>
      <c r="Y326" s="555">
        <f>IFERROR(SUM(Y322:Y324),"0")</f>
        <v>326.39999999999998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4</v>
      </c>
      <c r="Y328" s="554">
        <f>IFERROR(IF(X328="",0,CEILING((X328/$H328),1)*$H328),"")</f>
        <v>6.08</v>
      </c>
      <c r="Z328" s="36">
        <f>IFERROR(IF(Y328=0,"",ROUNDUP(Y328/H328,0)*0.00902),"")</f>
        <v>1.804E-2</v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4.3552631578947372</v>
      </c>
      <c r="BN328" s="64">
        <f>IFERROR(Y328*I328/H328,"0")</f>
        <v>6.62</v>
      </c>
      <c r="BO328" s="64">
        <f>IFERROR(1/J328*(X328/H328),"0")</f>
        <v>9.9681020733652318E-3</v>
      </c>
      <c r="BP328" s="64">
        <f>IFERROR(1/J328*(Y328/H328),"0")</f>
        <v>1.5151515151515152E-2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12</v>
      </c>
      <c r="Y329" s="554">
        <f>IFERROR(IF(X329="",0,CEILING((X329/$H329),1)*$H329),"")</f>
        <v>12.16</v>
      </c>
      <c r="Z329" s="36">
        <f>IFERROR(IF(Y329=0,"",ROUNDUP(Y329/H329,0)*0.00902),"")</f>
        <v>3.6080000000000001E-2</v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12.907894736842106</v>
      </c>
      <c r="BN329" s="64">
        <f>IFERROR(Y329*I329/H329,"0")</f>
        <v>13.079999999999998</v>
      </c>
      <c r="BO329" s="64">
        <f>IFERROR(1/J329*(X329/H329),"0")</f>
        <v>2.9904306220095694E-2</v>
      </c>
      <c r="BP329" s="64">
        <f>IFERROR(1/J329*(Y329/H329),"0")</f>
        <v>3.0303030303030304E-2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56</v>
      </c>
      <c r="Y330" s="554">
        <f>IFERROR(IF(X330="",0,CEILING((X330/$H330),1)*$H330),"")</f>
        <v>56.099999999999994</v>
      </c>
      <c r="Z330" s="36">
        <f>IFERROR(IF(Y330=0,"",ROUNDUP(Y330/H330,0)*0.00651),"")</f>
        <v>0.14322000000000001</v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64.894117647058835</v>
      </c>
      <c r="BN330" s="64">
        <f>IFERROR(Y330*I330/H330,"0")</f>
        <v>65.010000000000005</v>
      </c>
      <c r="BO330" s="64">
        <f>IFERROR(1/J330*(X330/H330),"0")</f>
        <v>0.1206636500754148</v>
      </c>
      <c r="BP330" s="64">
        <f>IFERROR(1/J330*(Y330/H330),"0")</f>
        <v>0.12087912087912089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27.223942208462333</v>
      </c>
      <c r="Y332" s="555">
        <f>IFERROR(Y328/H328,"0")+IFERROR(Y329/H329,"0")+IFERROR(Y330/H330,"0")+IFERROR(Y331/H331,"0")</f>
        <v>28</v>
      </c>
      <c r="Z332" s="555">
        <f>IFERROR(IF(Z328="",0,Z328),"0")+IFERROR(IF(Z329="",0,Z329),"0")+IFERROR(IF(Z330="",0,Z330),"0")+IFERROR(IF(Z331="",0,Z331),"0")</f>
        <v>0.19734000000000002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72</v>
      </c>
      <c r="Y333" s="555">
        <f>IFERROR(SUM(Y328:Y331),"0")</f>
        <v>74.34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4</v>
      </c>
      <c r="Y336" s="554">
        <f>IFERROR(IF(X336="",0,CEILING((X336/$H336),1)*$H336),"")</f>
        <v>4</v>
      </c>
      <c r="Z336" s="36">
        <f>IFERROR(IF(Y336=0,"",ROUNDUP(Y336/H336,0)*0.00474),"")</f>
        <v>9.4800000000000006E-3</v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4.4800000000000004</v>
      </c>
      <c r="BN336" s="64">
        <f>IFERROR(Y336*I336/H336,"0")</f>
        <v>4.4800000000000004</v>
      </c>
      <c r="BO336" s="64">
        <f>IFERROR(1/J336*(X336/H336),"0")</f>
        <v>8.4033613445378148E-3</v>
      </c>
      <c r="BP336" s="64">
        <f>IFERROR(1/J336*(Y336/H336),"0")</f>
        <v>8.4033613445378148E-3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2</v>
      </c>
      <c r="Y338" s="555">
        <f>IFERROR(Y335/H335,"0")+IFERROR(Y336/H336,"0")+IFERROR(Y337/H337,"0")</f>
        <v>2</v>
      </c>
      <c r="Z338" s="555">
        <f>IFERROR(IF(Z335="",0,Z335),"0")+IFERROR(IF(Z336="",0,Z336),"0")+IFERROR(IF(Z337="",0,Z337),"0")</f>
        <v>9.4800000000000006E-3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4</v>
      </c>
      <c r="Y339" s="555">
        <f>IFERROR(SUM(Y335:Y337),"0")</f>
        <v>4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968</v>
      </c>
      <c r="Y350" s="554">
        <f t="shared" ref="Y350:Y356" si="36">IFERROR(IF(X350="",0,CEILING((X350/$H350),1)*$H350),"")</f>
        <v>975</v>
      </c>
      <c r="Z350" s="36">
        <f>IFERROR(IF(Y350=0,"",ROUNDUP(Y350/H350,0)*0.02175),"")</f>
        <v>1.4137499999999998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998.33066666666673</v>
      </c>
      <c r="BN350" s="64">
        <f t="shared" ref="BN350:BN356" si="38">IFERROR(Y350*I350/H350,"0")</f>
        <v>1005.55</v>
      </c>
      <c r="BO350" s="64">
        <f t="shared" ref="BO350:BO356" si="39">IFERROR(1/J350*(X350/H350),"0")</f>
        <v>1.3444444444444443</v>
      </c>
      <c r="BP350" s="64">
        <f t="shared" ref="BP350:BP356" si="40">IFERROR(1/J350*(Y350/H350),"0")</f>
        <v>1.3541666666666665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442</v>
      </c>
      <c r="Y351" s="554">
        <f t="shared" si="36"/>
        <v>450</v>
      </c>
      <c r="Z351" s="36">
        <f>IFERROR(IF(Y351=0,"",ROUNDUP(Y351/H351,0)*0.02175),"")</f>
        <v>0.65249999999999997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455.84933333333339</v>
      </c>
      <c r="BN351" s="64">
        <f t="shared" si="38"/>
        <v>464.1</v>
      </c>
      <c r="BO351" s="64">
        <f t="shared" si="39"/>
        <v>0.61388888888888882</v>
      </c>
      <c r="BP351" s="64">
        <f t="shared" si="40"/>
        <v>0.625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542</v>
      </c>
      <c r="Y352" s="554">
        <f t="shared" si="36"/>
        <v>555</v>
      </c>
      <c r="Z352" s="36">
        <f>IFERROR(IF(Y352=0,"",ROUNDUP(Y352/H352,0)*0.02175),"")</f>
        <v>0.80474999999999997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558.98266666666666</v>
      </c>
      <c r="BN352" s="64">
        <f t="shared" si="38"/>
        <v>572.39</v>
      </c>
      <c r="BO352" s="64">
        <f t="shared" si="39"/>
        <v>0.75277777777777777</v>
      </c>
      <c r="BP352" s="64">
        <f t="shared" si="40"/>
        <v>0.77083333333333326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762</v>
      </c>
      <c r="Y353" s="554">
        <f t="shared" si="36"/>
        <v>765</v>
      </c>
      <c r="Z353" s="36">
        <f>IFERROR(IF(Y353=0,"",ROUNDUP(Y353/H353,0)*0.02175),"")</f>
        <v>1.1092499999999998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785.87600000000009</v>
      </c>
      <c r="BN353" s="64">
        <f t="shared" si="38"/>
        <v>788.97</v>
      </c>
      <c r="BO353" s="64">
        <f t="shared" si="39"/>
        <v>1.0583333333333331</v>
      </c>
      <c r="BP353" s="64">
        <f t="shared" si="40"/>
        <v>1.0625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180.93333333333334</v>
      </c>
      <c r="Y357" s="555">
        <f>IFERROR(Y350/H350,"0")+IFERROR(Y351/H351,"0")+IFERROR(Y352/H352,"0")+IFERROR(Y353/H353,"0")+IFERROR(Y354/H354,"0")+IFERROR(Y355/H355,"0")+IFERROR(Y356/H356,"0")</f>
        <v>183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3.9802499999999994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2714</v>
      </c>
      <c r="Y358" s="555">
        <f>IFERROR(SUM(Y350:Y356),"0")</f>
        <v>2745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587</v>
      </c>
      <c r="Y360" s="554">
        <f>IFERROR(IF(X360="",0,CEILING((X360/$H360),1)*$H360),"")</f>
        <v>600</v>
      </c>
      <c r="Z360" s="36">
        <f>IFERROR(IF(Y360=0,"",ROUNDUP(Y360/H360,0)*0.02175),"")</f>
        <v>0.86999999999999988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605.39266666666674</v>
      </c>
      <c r="BN360" s="64">
        <f>IFERROR(Y360*I360/H360,"0")</f>
        <v>618.79999999999995</v>
      </c>
      <c r="BO360" s="64">
        <f>IFERROR(1/J360*(X360/H360),"0")</f>
        <v>0.81527777777777777</v>
      </c>
      <c r="BP360" s="64">
        <f>IFERROR(1/J360*(Y360/H360),"0")</f>
        <v>0.83333333333333326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39.133333333333333</v>
      </c>
      <c r="Y362" s="555">
        <f>IFERROR(Y360/H360,"0")+IFERROR(Y361/H361,"0")</f>
        <v>40</v>
      </c>
      <c r="Z362" s="555">
        <f>IFERROR(IF(Z360="",0,Z360),"0")+IFERROR(IF(Z361="",0,Z361),"0")</f>
        <v>0.86999999999999988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587</v>
      </c>
      <c r="Y363" s="555">
        <f>IFERROR(SUM(Y360:Y361),"0")</f>
        <v>600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126</v>
      </c>
      <c r="Y370" s="554">
        <f>IFERROR(IF(X370="",0,CEILING((X370/$H370),1)*$H370),"")</f>
        <v>126</v>
      </c>
      <c r="Z370" s="36">
        <f>IFERROR(IF(Y370=0,"",ROUNDUP(Y370/H370,0)*0.01898),"")</f>
        <v>0.26572000000000001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132.916</v>
      </c>
      <c r="BN370" s="64">
        <f>IFERROR(Y370*I370/H370,"0")</f>
        <v>132.916</v>
      </c>
      <c r="BO370" s="64">
        <f>IFERROR(1/J370*(X370/H370),"0")</f>
        <v>0.21875</v>
      </c>
      <c r="BP370" s="64">
        <f>IFERROR(1/J370*(Y370/H370),"0")</f>
        <v>0.21875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14</v>
      </c>
      <c r="Y371" s="555">
        <f>IFERROR(Y370/H370,"0")</f>
        <v>14</v>
      </c>
      <c r="Z371" s="555">
        <f>IFERROR(IF(Z370="",0,Z370),"0")</f>
        <v>0.26572000000000001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126</v>
      </c>
      <c r="Y372" s="555">
        <f>IFERROR(SUM(Y370:Y370),"0")</f>
        <v>126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14</v>
      </c>
      <c r="Y375" s="554">
        <f>IFERROR(IF(X375="",0,CEILING((X375/$H375),1)*$H375),"")</f>
        <v>24</v>
      </c>
      <c r="Z375" s="36">
        <f>IFERROR(IF(Y375=0,"",ROUNDUP(Y375/H375,0)*0.01898),"")</f>
        <v>3.7960000000000001E-2</v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14.478333333333333</v>
      </c>
      <c r="BN375" s="64">
        <f>IFERROR(Y375*I375/H375,"0")</f>
        <v>24.820000000000004</v>
      </c>
      <c r="BO375" s="64">
        <f>IFERROR(1/J375*(X375/H375),"0")</f>
        <v>1.8229166666666668E-2</v>
      </c>
      <c r="BP375" s="64">
        <f>IFERROR(1/J375*(Y375/H375),"0")</f>
        <v>3.125E-2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1.1666666666666667</v>
      </c>
      <c r="Y377" s="555">
        <f>IFERROR(Y375/H375,"0")+IFERROR(Y376/H376,"0")</f>
        <v>2</v>
      </c>
      <c r="Z377" s="555">
        <f>IFERROR(IF(Z375="",0,Z375),"0")+IFERROR(IF(Z376="",0,Z376),"0")</f>
        <v>3.7960000000000001E-2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14</v>
      </c>
      <c r="Y378" s="555">
        <f>IFERROR(SUM(Y375:Y376),"0")</f>
        <v>24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24</v>
      </c>
      <c r="Y385" s="554">
        <f>IFERROR(IF(X385="",0,CEILING((X385/$H385),1)*$H385),"")</f>
        <v>27</v>
      </c>
      <c r="Z385" s="36">
        <f>IFERROR(IF(Y385=0,"",ROUNDUP(Y385/H385,0)*0.01898),"")</f>
        <v>5.6940000000000004E-2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25.317333333333334</v>
      </c>
      <c r="BN385" s="64">
        <f>IFERROR(Y385*I385/H385,"0")</f>
        <v>28.481999999999996</v>
      </c>
      <c r="BO385" s="64">
        <f>IFERROR(1/J385*(X385/H385),"0")</f>
        <v>4.1666666666666664E-2</v>
      </c>
      <c r="BP385" s="64">
        <f>IFERROR(1/J385*(Y385/H385),"0")</f>
        <v>4.6875E-2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2.6666666666666665</v>
      </c>
      <c r="Y388" s="555">
        <f>IFERROR(Y385/H385,"0")+IFERROR(Y386/H386,"0")+IFERROR(Y387/H387,"0")</f>
        <v>3</v>
      </c>
      <c r="Z388" s="555">
        <f>IFERROR(IF(Z385="",0,Z385),"0")+IFERROR(IF(Z386="",0,Z386),"0")+IFERROR(IF(Z387="",0,Z387),"0")</f>
        <v>5.6940000000000004E-2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24</v>
      </c>
      <c r="Y389" s="555">
        <f>IFERROR(SUM(Y385:Y387),"0")</f>
        <v>27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147</v>
      </c>
      <c r="Y429" s="554">
        <f t="shared" ref="Y429:Y440" si="47">IFERROR(IF(X429="",0,CEILING((X429/$H429),1)*$H429),"")</f>
        <v>147.84</v>
      </c>
      <c r="Z429" s="36">
        <f t="shared" ref="Z429:Z435" si="48">IFERROR(IF(Y429=0,"",ROUNDUP(Y429/H429,0)*0.01196),"")</f>
        <v>0.33488000000000001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156.74431818181819</v>
      </c>
      <c r="BN429" s="64">
        <f t="shared" ref="BN429:BN440" si="50">IFERROR(Y429*I429/H429,"0")</f>
        <v>157.63999999999999</v>
      </c>
      <c r="BO429" s="64">
        <f t="shared" ref="BO429:BO440" si="51">IFERROR(1/J429*(X429/H429),"0")</f>
        <v>0.26770104895104896</v>
      </c>
      <c r="BP429" s="64">
        <f t="shared" ref="BP429:BP440" si="52">IFERROR(1/J429*(Y429/H429),"0")</f>
        <v>0.26923076923076927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869</v>
      </c>
      <c r="Y433" s="554">
        <f t="shared" si="47"/>
        <v>871.2</v>
      </c>
      <c r="Z433" s="36">
        <f t="shared" si="48"/>
        <v>1.9734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926.60416666666663</v>
      </c>
      <c r="BN433" s="64">
        <f t="shared" si="50"/>
        <v>928.94999999999993</v>
      </c>
      <c r="BO433" s="64">
        <f t="shared" si="51"/>
        <v>1.5825320512820511</v>
      </c>
      <c r="BP433" s="64">
        <f t="shared" si="52"/>
        <v>1.5865384615384617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565</v>
      </c>
      <c r="Y435" s="554">
        <f t="shared" si="47"/>
        <v>570.24</v>
      </c>
      <c r="Z435" s="36">
        <f t="shared" si="48"/>
        <v>1.2916799999999999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602.4526515151515</v>
      </c>
      <c r="BN435" s="64">
        <f t="shared" si="50"/>
        <v>608.04</v>
      </c>
      <c r="BO435" s="64">
        <f t="shared" si="51"/>
        <v>1.0289189976689976</v>
      </c>
      <c r="BP435" s="64">
        <f t="shared" si="52"/>
        <v>1.0384615384615385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10</v>
      </c>
      <c r="Y437" s="554">
        <f t="shared" si="47"/>
        <v>14.399999999999999</v>
      </c>
      <c r="Z437" s="36">
        <f>IFERROR(IF(Y437=0,"",ROUNDUP(Y437/H437,0)*0.00902),"")</f>
        <v>2.7060000000000001E-2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14.395833333333332</v>
      </c>
      <c r="BN437" s="64">
        <f t="shared" si="50"/>
        <v>20.73</v>
      </c>
      <c r="BO437" s="64">
        <f t="shared" si="51"/>
        <v>1.5782828282828284E-2</v>
      </c>
      <c r="BP437" s="64">
        <f t="shared" si="52"/>
        <v>2.2727272727272728E-2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301.51515151515144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304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3.6270199999999999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1591</v>
      </c>
      <c r="Y442" s="555">
        <f>IFERROR(SUM(Y429:Y440),"0")</f>
        <v>1603.6800000000003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188</v>
      </c>
      <c r="Y444" s="554">
        <f>IFERROR(IF(X444="",0,CEILING((X444/$H444),1)*$H444),"")</f>
        <v>190.08</v>
      </c>
      <c r="Z444" s="36">
        <f>IFERROR(IF(Y444=0,"",ROUNDUP(Y444/H444,0)*0.01196),"")</f>
        <v>0.43056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200.46212121212122</v>
      </c>
      <c r="BN444" s="64">
        <f>IFERROR(Y444*I444/H444,"0")</f>
        <v>202.67999999999998</v>
      </c>
      <c r="BO444" s="64">
        <f>IFERROR(1/J444*(X444/H444),"0")</f>
        <v>0.34236596736596736</v>
      </c>
      <c r="BP444" s="64">
        <f>IFERROR(1/J444*(Y444/H444),"0")</f>
        <v>0.34615384615384615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35.606060606060602</v>
      </c>
      <c r="Y447" s="555">
        <f>IFERROR(Y444/H444,"0")+IFERROR(Y445/H445,"0")+IFERROR(Y446/H446,"0")</f>
        <v>36</v>
      </c>
      <c r="Z447" s="555">
        <f>IFERROR(IF(Z444="",0,Z444),"0")+IFERROR(IF(Z445="",0,Z445),"0")+IFERROR(IF(Z446="",0,Z446),"0")</f>
        <v>0.43056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188</v>
      </c>
      <c r="Y448" s="555">
        <f>IFERROR(SUM(Y444:Y446),"0")</f>
        <v>190.08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156</v>
      </c>
      <c r="Y450" s="554">
        <f t="shared" ref="Y450:Y455" si="53">IFERROR(IF(X450="",0,CEILING((X450/$H450),1)*$H450),"")</f>
        <v>158.4</v>
      </c>
      <c r="Z450" s="36">
        <f>IFERROR(IF(Y450=0,"",ROUNDUP(Y450/H450,0)*0.01196),"")</f>
        <v>0.35880000000000001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166.34090909090907</v>
      </c>
      <c r="BN450" s="64">
        <f t="shared" ref="BN450:BN455" si="55">IFERROR(Y450*I450/H450,"0")</f>
        <v>168.9</v>
      </c>
      <c r="BO450" s="64">
        <f t="shared" ref="BO450:BO455" si="56">IFERROR(1/J450*(X450/H450),"0")</f>
        <v>0.28409090909090906</v>
      </c>
      <c r="BP450" s="64">
        <f t="shared" ref="BP450:BP455" si="57">IFERROR(1/J450*(Y450/H450),"0")</f>
        <v>0.28846153846153849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141</v>
      </c>
      <c r="Y451" s="554">
        <f t="shared" si="53"/>
        <v>142.56</v>
      </c>
      <c r="Z451" s="36">
        <f>IFERROR(IF(Y451=0,"",ROUNDUP(Y451/H451,0)*0.01196),"")</f>
        <v>0.32291999999999998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150.34659090909091</v>
      </c>
      <c r="BN451" s="64">
        <f t="shared" si="55"/>
        <v>152.01</v>
      </c>
      <c r="BO451" s="64">
        <f t="shared" si="56"/>
        <v>0.25677447552447552</v>
      </c>
      <c r="BP451" s="64">
        <f t="shared" si="57"/>
        <v>0.25961538461538464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56.25</v>
      </c>
      <c r="Y456" s="555">
        <f>IFERROR(Y450/H450,"0")+IFERROR(Y451/H451,"0")+IFERROR(Y452/H452,"0")+IFERROR(Y453/H453,"0")+IFERROR(Y454/H454,"0")+IFERROR(Y455/H455,"0")</f>
        <v>57</v>
      </c>
      <c r="Z456" s="555">
        <f>IFERROR(IF(Z450="",0,Z450),"0")+IFERROR(IF(Z451="",0,Z451),"0")+IFERROR(IF(Z452="",0,Z452),"0")+IFERROR(IF(Z453="",0,Z453),"0")+IFERROR(IF(Z454="",0,Z454),"0")+IFERROR(IF(Z455="",0,Z455),"0")</f>
        <v>0.68171999999999999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297</v>
      </c>
      <c r="Y457" s="555">
        <f>IFERROR(SUM(Y450:Y455),"0")</f>
        <v>300.96000000000004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13985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14188.970000000001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14636.004212865457</v>
      </c>
      <c r="Y496" s="555">
        <f>IFERROR(SUM(BN22:BN492),"0")</f>
        <v>14851.573999999997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23</v>
      </c>
      <c r="Y497" s="38">
        <f>ROUNDUP(SUM(BP22:BP492),0)</f>
        <v>23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15211.004212865457</v>
      </c>
      <c r="Y498" s="555">
        <f>GrossWeightTotalR+PalletQtyTotalR*25</f>
        <v>15426.573999999997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2253.4288570837798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2284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27.047550000000001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842.6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1403.2</v>
      </c>
      <c r="E505" s="46">
        <f>IFERROR(Y85*1,"0")+IFERROR(Y86*1,"0")+IFERROR(Y87*1,"0")+IFERROR(Y88*1,"0")+IFERROR(Y92*1,"0")+IFERROR(Y93*1,"0")+IFERROR(Y94*1,"0")+IFERROR(Y95*1,"0")</f>
        <v>1175.4000000000001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1021.8000000000001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939.96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2350.2000000000003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423.55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415.54000000000008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3471</v>
      </c>
      <c r="T505" s="46">
        <f>IFERROR(Y375*1,"0")+IFERROR(Y376*1,"0")+IFERROR(Y380*1,"0")+IFERROR(Y381*1,"0")+IFERROR(Y385*1,"0")+IFERROR(Y386*1,"0")+IFERROR(Y387*1,"0")</f>
        <v>51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2094.7200000000003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91,00"/>
        <filter val="1 897,00"/>
        <filter val="1,17"/>
        <filter val="10,00"/>
        <filter val="100,00"/>
        <filter val="102,65"/>
        <filter val="106,24"/>
        <filter val="11,90"/>
        <filter val="117,00"/>
        <filter val="118,00"/>
        <filter val="12,00"/>
        <filter val="126,00"/>
        <filter val="126,46"/>
        <filter val="13 985,00"/>
        <filter val="132,02"/>
        <filter val="14 636,00"/>
        <filter val="14,00"/>
        <filter val="140,00"/>
        <filter val="141,00"/>
        <filter val="144,00"/>
        <filter val="147,00"/>
        <filter val="15 211,00"/>
        <filter val="15,00"/>
        <filter val="156,00"/>
        <filter val="180,93"/>
        <filter val="181,00"/>
        <filter val="184,00"/>
        <filter val="188,00"/>
        <filter val="19,00"/>
        <filter val="19,80"/>
        <filter val="2 253,43"/>
        <filter val="2 714,00"/>
        <filter val="2,00"/>
        <filter val="2,67"/>
        <filter val="206,00"/>
        <filter val="23"/>
        <filter val="24,00"/>
        <filter val="248,00"/>
        <filter val="25,00"/>
        <filter val="265,00"/>
        <filter val="27,22"/>
        <filter val="297,00"/>
        <filter val="3,21"/>
        <filter val="301,52"/>
        <filter val="314,00"/>
        <filter val="32,72"/>
        <filter val="320,00"/>
        <filter val="328,00"/>
        <filter val="332,54"/>
        <filter val="35,00"/>
        <filter val="35,19"/>
        <filter val="35,61"/>
        <filter val="354,00"/>
        <filter val="38,00"/>
        <filter val="38,46"/>
        <filter val="385,00"/>
        <filter val="39,00"/>
        <filter val="39,13"/>
        <filter val="393,00"/>
        <filter val="4,00"/>
        <filter val="428,00"/>
        <filter val="43,33"/>
        <filter val="441,30"/>
        <filter val="442,00"/>
        <filter val="449,00"/>
        <filter val="468,00"/>
        <filter val="49,00"/>
        <filter val="5,00"/>
        <filter val="5,56"/>
        <filter val="50,00"/>
        <filter val="501,00"/>
        <filter val="537,00"/>
        <filter val="542,00"/>
        <filter val="55,28"/>
        <filter val="56,00"/>
        <filter val="56,25"/>
        <filter val="565,00"/>
        <filter val="587,00"/>
        <filter val="597,00"/>
        <filter val="6,00"/>
        <filter val="616,00"/>
        <filter val="7,00"/>
        <filter val="7,14"/>
        <filter val="70,00"/>
        <filter val="700,00"/>
        <filter val="713,00"/>
        <filter val="72,00"/>
        <filter val="74,00"/>
        <filter val="75,00"/>
        <filter val="762,00"/>
        <filter val="77,00"/>
        <filter val="8,00"/>
        <filter val="840,00"/>
        <filter val="869,00"/>
        <filter val="886,00"/>
        <filter val="894,00"/>
        <filter val="9,00"/>
        <filter val="9,14"/>
        <filter val="90,00"/>
        <filter val="906,00"/>
        <filter val="91,00"/>
        <filter val="968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