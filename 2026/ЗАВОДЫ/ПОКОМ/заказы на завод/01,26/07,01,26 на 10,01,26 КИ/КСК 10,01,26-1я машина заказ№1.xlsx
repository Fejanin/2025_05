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1D42D82-8FAB-4ACA-BCEC-E0D92C1EFA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Z63" i="1" l="1"/>
  <c r="BN63" i="1"/>
  <c r="Z344" i="1"/>
  <c r="BN344" i="1"/>
  <c r="J9" i="1"/>
  <c r="Z138" i="1"/>
  <c r="BN138" i="1"/>
  <c r="Z267" i="1"/>
  <c r="BN267" i="1"/>
  <c r="Z430" i="1"/>
  <c r="BN430" i="1"/>
  <c r="Z22" i="1"/>
  <c r="BN22" i="1"/>
  <c r="Z94" i="1"/>
  <c r="BN94" i="1"/>
  <c r="Z175" i="1"/>
  <c r="BN175" i="1"/>
  <c r="Z238" i="1"/>
  <c r="BN238" i="1"/>
  <c r="Z311" i="1"/>
  <c r="BN311" i="1"/>
  <c r="Z386" i="1"/>
  <c r="BN386" i="1"/>
  <c r="Z452" i="1"/>
  <c r="BN452" i="1"/>
  <c r="Z53" i="1"/>
  <c r="BN53" i="1"/>
  <c r="Z79" i="1"/>
  <c r="BN79" i="1"/>
  <c r="Z111" i="1"/>
  <c r="BN111" i="1"/>
  <c r="Z153" i="1"/>
  <c r="BN153" i="1"/>
  <c r="Z196" i="1"/>
  <c r="BN196" i="1"/>
  <c r="Z223" i="1"/>
  <c r="BN223" i="1"/>
  <c r="Z256" i="1"/>
  <c r="BN256" i="1"/>
  <c r="Z288" i="1"/>
  <c r="BN288" i="1"/>
  <c r="Z299" i="1"/>
  <c r="BN299" i="1"/>
  <c r="Z329" i="1"/>
  <c r="BN329" i="1"/>
  <c r="Z356" i="1"/>
  <c r="BN356" i="1"/>
  <c r="Z400" i="1"/>
  <c r="BN400" i="1"/>
  <c r="Z438" i="1"/>
  <c r="BN438" i="1"/>
  <c r="Z472" i="1"/>
  <c r="BN472" i="1"/>
  <c r="BP57" i="1"/>
  <c r="BN57" i="1"/>
  <c r="BP73" i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30" i="1"/>
  <c r="BN30" i="1"/>
  <c r="Z57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260" i="1"/>
  <c r="Y96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362" i="1"/>
  <c r="Z289" i="1"/>
  <c r="Z81" i="1"/>
  <c r="Z197" i="1"/>
  <c r="Z345" i="1"/>
  <c r="Z187" i="1"/>
  <c r="Z154" i="1"/>
  <c r="Z129" i="1"/>
  <c r="Z44" i="1"/>
  <c r="Z32" i="1"/>
  <c r="X498" i="1"/>
  <c r="Z230" i="1"/>
  <c r="Z134" i="1"/>
  <c r="Z456" i="1"/>
  <c r="Z325" i="1"/>
  <c r="Z419" i="1"/>
  <c r="Z407" i="1"/>
  <c r="Z357" i="1"/>
  <c r="Z319" i="1"/>
  <c r="Z276" i="1"/>
  <c r="Z268" i="1"/>
  <c r="Z259" i="1"/>
  <c r="Z479" i="1"/>
  <c r="Z367" i="1"/>
  <c r="Z76" i="1"/>
  <c r="Z69" i="1"/>
  <c r="Z294" i="1"/>
  <c r="Z119" i="1"/>
  <c r="Y496" i="1"/>
  <c r="Y497" i="1"/>
  <c r="Z338" i="1"/>
  <c r="Z243" i="1"/>
  <c r="Z96" i="1"/>
  <c r="Z469" i="1"/>
  <c r="Y499" i="1"/>
  <c r="Y495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Z441" i="1"/>
  <c r="Z500" i="1" l="1"/>
  <c r="Y498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<sst xmlns="http://schemas.openxmlformats.org/spreadsheetml/2006/main" count="2319" uniqueCount="782">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</sst>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6" t="s">
        <v>0</v>
      </c>
      <c r="E1" s="591"/>
      <c r="F1" s="591"/>
      <c r="G1" s="12" t="s">
        <v>1</v>
      </c>
      <c r="H1" s="786" t="s">
        <v>2</v>
      </c>
      <c r="I1" s="591"/>
      <c r="J1" s="591"/>
      <c r="K1" s="591"/>
      <c r="L1" s="591"/>
      <c r="M1" s="591"/>
      <c r="N1" s="591"/>
      <c r="O1" s="591"/>
      <c r="P1" s="591"/>
      <c r="Q1" s="591"/>
      <c r="R1" s="863" t="s">
        <v>3</v>
      </c>
      <c r="S1" s="591"/>
      <c r="T1" s="59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6" t="s">
        <v>8</v>
      </c>
      <c r="B5" s="580"/>
      <c r="C5" s="581"/>
      <c r="D5" s="663"/>
      <c r="E5" s="665"/>
      <c r="F5" s="628" t="s">
        <v>9</v>
      </c>
      <c r="G5" s="581"/>
      <c r="H5" s="663" t="s">
        <v>781</v>
      </c>
      <c r="I5" s="664"/>
      <c r="J5" s="664"/>
      <c r="K5" s="664"/>
      <c r="L5" s="664"/>
      <c r="M5" s="665"/>
      <c r="N5" s="58"/>
      <c r="P5" s="24" t="s">
        <v>10</v>
      </c>
      <c r="Q5" s="600">
        <v>46032</v>
      </c>
      <c r="R5" s="601"/>
      <c r="T5" s="724" t="s">
        <v>11</v>
      </c>
      <c r="U5" s="648"/>
      <c r="V5" s="725" t="s">
        <v>12</v>
      </c>
      <c r="W5" s="601"/>
      <c r="AB5" s="51"/>
      <c r="AC5" s="51"/>
      <c r="AD5" s="51"/>
      <c r="AE5" s="51"/>
    </row>
    <row r="6" spans="1:32" s="547" customFormat="1" ht="24" customHeight="1" x14ac:dyDescent="0.2">
      <c r="A6" s="756" t="s">
        <v>13</v>
      </c>
      <c r="B6" s="580"/>
      <c r="C6" s="581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01"/>
      <c r="N6" s="59"/>
      <c r="P6" s="24" t="s">
        <v>15</v>
      </c>
      <c r="Q6" s="609" t="str">
        <f>IF(Q5=0," ",CHOOSE(WEEKDAY(Q5,2),"Понедельник","Вторник","Среда","Четверг","Пятница","Суббота","Воскресенье"))</f>
        <v>Суббота</v>
      </c>
      <c r="R6" s="562"/>
      <c r="T6" s="732" t="s">
        <v>16</v>
      </c>
      <c r="U6" s="648"/>
      <c r="V6" s="674" t="s">
        <v>17</v>
      </c>
      <c r="W6" s="675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8" t="str">
        <f>IFERROR(VLOOKUP(DeliveryAddress,Table,3,0),1)</f>
        <v>1</v>
      </c>
      <c r="E7" s="839"/>
      <c r="F7" s="839"/>
      <c r="G7" s="839"/>
      <c r="H7" s="839"/>
      <c r="I7" s="839"/>
      <c r="J7" s="839"/>
      <c r="K7" s="839"/>
      <c r="L7" s="839"/>
      <c r="M7" s="728"/>
      <c r="N7" s="60"/>
      <c r="P7" s="24"/>
      <c r="Q7" s="42"/>
      <c r="R7" s="42"/>
      <c r="T7" s="560"/>
      <c r="U7" s="648"/>
      <c r="V7" s="676"/>
      <c r="W7" s="677"/>
      <c r="AB7" s="51"/>
      <c r="AC7" s="51"/>
      <c r="AD7" s="51"/>
      <c r="AE7" s="51"/>
    </row>
    <row r="8" spans="1:32" s="547" customFormat="1" ht="25.5" customHeight="1" x14ac:dyDescent="0.2">
      <c r="A8" s="576" t="s">
        <v>18</v>
      </c>
      <c r="B8" s="564"/>
      <c r="C8" s="565"/>
      <c r="D8" s="848" t="s">
        <v>19</v>
      </c>
      <c r="E8" s="849"/>
      <c r="F8" s="849"/>
      <c r="G8" s="849"/>
      <c r="H8" s="849"/>
      <c r="I8" s="849"/>
      <c r="J8" s="849"/>
      <c r="K8" s="849"/>
      <c r="L8" s="849"/>
      <c r="M8" s="850"/>
      <c r="N8" s="61"/>
      <c r="P8" s="24" t="s">
        <v>20</v>
      </c>
      <c r="Q8" s="727">
        <v>0.375</v>
      </c>
      <c r="R8" s="728"/>
      <c r="T8" s="560"/>
      <c r="U8" s="648"/>
      <c r="V8" s="676"/>
      <c r="W8" s="677"/>
      <c r="AB8" s="51"/>
      <c r="AC8" s="51"/>
      <c r="AD8" s="51"/>
      <c r="AE8" s="51"/>
    </row>
    <row r="9" spans="1:32" s="54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4"/>
      <c r="E9" s="645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545"/>
      <c r="P9" s="26" t="s">
        <v>21</v>
      </c>
      <c r="Q9" s="771"/>
      <c r="R9" s="632"/>
      <c r="T9" s="560"/>
      <c r="U9" s="648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4"/>
      <c r="E10" s="645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1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5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01"/>
      <c r="U11" s="24" t="s">
        <v>27</v>
      </c>
      <c r="V11" s="631" t="s">
        <v>28</v>
      </c>
      <c r="W11" s="632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2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27"/>
      <c r="R12" s="728"/>
      <c r="S12" s="23"/>
      <c r="U12" s="24"/>
      <c r="V12" s="591"/>
      <c r="W12" s="560"/>
      <c r="AB12" s="51"/>
      <c r="AC12" s="51"/>
      <c r="AD12" s="51"/>
      <c r="AE12" s="51"/>
    </row>
    <row r="13" spans="1:32" s="547" customFormat="1" ht="23.25" customHeight="1" x14ac:dyDescent="0.2">
      <c r="A13" s="712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31"/>
      <c r="R13" s="6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2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5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722" t="s">
        <v>35</v>
      </c>
      <c r="Q15" s="591"/>
      <c r="R15" s="591"/>
      <c r="S15" s="591"/>
      <c r="T15" s="59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3"/>
      <c r="Q16" s="723"/>
      <c r="R16" s="723"/>
      <c r="S16" s="723"/>
      <c r="T16" s="72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770" t="s">
        <v>38</v>
      </c>
      <c r="D17" s="586" t="s">
        <v>39</v>
      </c>
      <c r="E17" s="587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788"/>
      <c r="R17" s="788"/>
      <c r="S17" s="788"/>
      <c r="T17" s="587"/>
      <c r="U17" s="593" t="s">
        <v>51</v>
      </c>
      <c r="V17" s="581"/>
      <c r="W17" s="586" t="s">
        <v>52</v>
      </c>
      <c r="X17" s="586" t="s">
        <v>53</v>
      </c>
      <c r="Y17" s="595" t="s">
        <v>54</v>
      </c>
      <c r="Z17" s="686" t="s">
        <v>55</v>
      </c>
      <c r="AA17" s="622" t="s">
        <v>56</v>
      </c>
      <c r="AB17" s="622" t="s">
        <v>57</v>
      </c>
      <c r="AC17" s="622" t="s">
        <v>58</v>
      </c>
      <c r="AD17" s="622" t="s">
        <v>59</v>
      </c>
      <c r="AE17" s="623"/>
      <c r="AF17" s="624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588"/>
      <c r="E18" s="589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88"/>
      <c r="Q18" s="789"/>
      <c r="R18" s="789"/>
      <c r="S18" s="789"/>
      <c r="T18" s="589"/>
      <c r="U18" s="67" t="s">
        <v>61</v>
      </c>
      <c r="V18" s="67" t="s">
        <v>62</v>
      </c>
      <c r="W18" s="590"/>
      <c r="X18" s="590"/>
      <c r="Y18" s="596"/>
      <c r="Z18" s="687"/>
      <c r="AA18" s="690"/>
      <c r="AB18" s="690"/>
      <c r="AC18" s="690"/>
      <c r="AD18" s="625"/>
      <c r="AE18" s="626"/>
      <c r="AF18" s="627"/>
      <c r="AG18" s="66"/>
      <c r="BD18" s="65"/>
    </row>
    <row r="19" spans="1:68" ht="27.75" hidden="1" customHeight="1" x14ac:dyDescent="0.2">
      <c r="A19" s="582" t="s">
        <v>63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48"/>
      <c r="AB19" s="48"/>
      <c r="AC19" s="48"/>
    </row>
    <row r="20" spans="1:68" ht="16.5" hidden="1" customHeight="1" x14ac:dyDescent="0.25">
      <c r="A20" s="592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82" t="s">
        <v>99</v>
      </c>
      <c r="B38" s="583"/>
      <c r="C38" s="583"/>
      <c r="D38" s="583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48"/>
      <c r="AB38" s="48"/>
      <c r="AC38" s="48"/>
    </row>
    <row r="39" spans="1:68" ht="16.5" hidden="1" customHeight="1" x14ac:dyDescent="0.25">
      <c r="A39" s="592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hidden="1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250</v>
      </c>
      <c r="Y41" s="554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400</v>
      </c>
      <c r="Y43" s="554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123.14814814814815</v>
      </c>
      <c r="Y44" s="555">
        <f>IFERROR(Y41/H41,"0")+IFERROR(Y42/H42,"0")+IFERROR(Y43/H43,"0")</f>
        <v>124</v>
      </c>
      <c r="Z44" s="555">
        <f>IFERROR(IF(Z41="",0,Z41),"0")+IFERROR(IF(Z42="",0,Z42),"0")+IFERROR(IF(Z43="",0,Z43),"0")</f>
        <v>1.3575200000000001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650</v>
      </c>
      <c r="Y45" s="555">
        <f>IFERROR(SUM(Y41:Y43),"0")</f>
        <v>659.2</v>
      </c>
      <c r="Z45" s="37"/>
      <c r="AA45" s="556"/>
      <c r="AB45" s="556"/>
      <c r="AC45" s="556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92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hidden="1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118.51851851851852</v>
      </c>
      <c r="Y58" s="555">
        <f>IFERROR(Y52/H52,"0")+IFERROR(Y53/H53,"0")+IFERROR(Y54/H54,"0")+IFERROR(Y55/H55,"0")+IFERROR(Y56/H56,"0")+IFERROR(Y57/H57,"0")</f>
        <v>119</v>
      </c>
      <c r="Z58" s="555">
        <f>IFERROR(IF(Z52="",0,Z52),"0")+IFERROR(IF(Z53="",0,Z53),"0")+IFERROR(IF(Z54="",0,Z54),"0")+IFERROR(IF(Z55="",0,Z55),"0")+IFERROR(IF(Z56="",0,Z56),"0")+IFERROR(IF(Z57="",0,Z57),"0")</f>
        <v>1.2626200000000001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650</v>
      </c>
      <c r="Y59" s="555">
        <f>IFERROR(SUM(Y52:Y57),"0")</f>
        <v>655.20000000000005</v>
      </c>
      <c r="Z59" s="37"/>
      <c r="AA59" s="556"/>
      <c r="AB59" s="556"/>
      <c r="AC59" s="556"/>
    </row>
    <row r="60" spans="1:68" ht="14.25" hidden="1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61.111111111111114</v>
      </c>
      <c r="Y64" s="555">
        <f>IFERROR(Y61/H61,"0")+IFERROR(Y62/H62,"0")+IFERROR(Y63/H63,"0")</f>
        <v>62</v>
      </c>
      <c r="Z64" s="555">
        <f>IFERROR(IF(Z61="",0,Z61),"0")+IFERROR(IF(Z62="",0,Z62),"0")+IFERROR(IF(Z63="",0,Z63),"0")</f>
        <v>0.55326000000000009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255</v>
      </c>
      <c r="Y65" s="555">
        <f>IFERROR(SUM(Y61:Y63),"0")</f>
        <v>264.60000000000002</v>
      </c>
      <c r="Z65" s="37"/>
      <c r="AA65" s="556"/>
      <c r="AB65" s="556"/>
      <c r="AC65" s="556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7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70</v>
      </c>
      <c r="Y79" s="554">
        <f>IFERROR(IF(X79="",0,CEILING((X79/$H79),1)*$H79),"")</f>
        <v>70.2</v>
      </c>
      <c r="Z79" s="36">
        <f>IFERROR(IF(Y79=0,"",ROUNDUP(Y79/H79,0)*0.01898),"")</f>
        <v>0.17082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73.679487179487182</v>
      </c>
      <c r="BN79" s="64">
        <f>IFERROR(Y79*I79/H79,"0")</f>
        <v>73.890000000000015</v>
      </c>
      <c r="BO79" s="64">
        <f>IFERROR(1/J79*(X79/H79),"0")</f>
        <v>0.14022435897435898</v>
      </c>
      <c r="BP79" s="64">
        <f>IFERROR(1/J79*(Y79/H79),"0")</f>
        <v>0.140625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8.9743589743589745</v>
      </c>
      <c r="Y81" s="555">
        <f>IFERROR(Y79/H79,"0")+IFERROR(Y80/H80,"0")</f>
        <v>9</v>
      </c>
      <c r="Z81" s="555">
        <f>IFERROR(IF(Z79="",0,Z79),"0")+IFERROR(IF(Z80="",0,Z80),"0")</f>
        <v>0.17082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70</v>
      </c>
      <c r="Y82" s="555">
        <f>IFERROR(SUM(Y79:Y80),"0")</f>
        <v>70.2</v>
      </c>
      <c r="Z82" s="37"/>
      <c r="AA82" s="556"/>
      <c r="AB82" s="556"/>
      <c r="AC82" s="556"/>
    </row>
    <row r="83" spans="1:68" ht="16.5" hidden="1" customHeight="1" x14ac:dyDescent="0.25">
      <c r="A83" s="592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hidden="1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250</v>
      </c>
      <c r="Y85" s="554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123.14814814814815</v>
      </c>
      <c r="Y89" s="555">
        <f>IFERROR(Y85/H85,"0")+IFERROR(Y86/H86,"0")+IFERROR(Y87/H87,"0")+IFERROR(Y88/H88,"0")</f>
        <v>124</v>
      </c>
      <c r="Z89" s="555">
        <f>IFERROR(IF(Z85="",0,Z85),"0")+IFERROR(IF(Z86="",0,Z86),"0")+IFERROR(IF(Z87="",0,Z87),"0")+IFERROR(IF(Z88="",0,Z88),"0")</f>
        <v>1.3575200000000001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700</v>
      </c>
      <c r="Y90" s="555">
        <f>IFERROR(SUM(Y85:Y88),"0")</f>
        <v>709.2</v>
      </c>
      <c r="Z90" s="37"/>
      <c r="AA90" s="556"/>
      <c r="AB90" s="556"/>
      <c r="AC90" s="556"/>
    </row>
    <row r="91" spans="1:68" ht="14.25" hidden="1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/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450</v>
      </c>
      <c r="Y94" s="554">
        <f>IFERROR(IF(X94="",0,CEILING((X94/$H94),1)*$H94),"")</f>
        <v>450.90000000000003</v>
      </c>
      <c r="Z94" s="36">
        <f>IFERROR(IF(Y94=0,"",ROUNDUP(Y94/H94,0)*0.00651),"")</f>
        <v>1.08717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492</v>
      </c>
      <c r="BN94" s="64">
        <f>IFERROR(Y94*I94/H94,"0")</f>
        <v>492.98399999999998</v>
      </c>
      <c r="BO94" s="64">
        <f>IFERROR(1/J94*(X94/H94),"0")</f>
        <v>0.91575091575091572</v>
      </c>
      <c r="BP94" s="64">
        <f>IFERROR(1/J94*(Y94/H94),"0")</f>
        <v>0.91758241758241765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203.7037037037037</v>
      </c>
      <c r="Y96" s="555">
        <f>IFERROR(Y92/H92,"0")+IFERROR(Y93/H93,"0")+IFERROR(Y94/H94,"0")+IFERROR(Y95/H95,"0")</f>
        <v>205</v>
      </c>
      <c r="Z96" s="555">
        <f>IFERROR(IF(Z92="",0,Z92),"0")+IFERROR(IF(Z93="",0,Z93),"0")+IFERROR(IF(Z94="",0,Z94),"0")+IFERROR(IF(Z95="",0,Z95),"0")</f>
        <v>1.8084099999999999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750</v>
      </c>
      <c r="Y97" s="555">
        <f>IFERROR(SUM(Y92:Y95),"0")</f>
        <v>758.7</v>
      </c>
      <c r="Z97" s="37"/>
      <c r="AA97" s="556"/>
      <c r="AB97" s="556"/>
      <c r="AC97" s="556"/>
    </row>
    <row r="98" spans="1:68" ht="16.5" hidden="1" customHeight="1" x14ac:dyDescent="0.25">
      <c r="A98" s="592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hidden="1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450</v>
      </c>
      <c r="Y103" s="554">
        <f>IFERROR(IF(X103="",0,CEILING((X103/$H103),1)*$H103),"")</f>
        <v>450</v>
      </c>
      <c r="Z103" s="36">
        <f>IFERROR(IF(Y103=0,"",ROUNDUP(Y103/H103,0)*0.00902),"")</f>
        <v>0.90200000000000002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469</v>
      </c>
      <c r="BN103" s="64">
        <f>IFERROR(Y103*I103/H103,"0")</f>
        <v>469</v>
      </c>
      <c r="BO103" s="64">
        <f>IFERROR(1/J103*(X103/H103),"0")</f>
        <v>0.75757575757575757</v>
      </c>
      <c r="BP103" s="64">
        <f>IFERROR(1/J103*(Y103/H103),"0")</f>
        <v>0.75757575757575757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104.62962962962963</v>
      </c>
      <c r="Y105" s="555">
        <f>IFERROR(Y100/H100,"0")+IFERROR(Y101/H101,"0")+IFERROR(Y102/H102,"0")+IFERROR(Y103/H103,"0")+IFERROR(Y104/H104,"0")</f>
        <v>105</v>
      </c>
      <c r="Z105" s="555">
        <f>IFERROR(IF(Z100="",0,Z100),"0")+IFERROR(IF(Z101="",0,Z101),"0")+IFERROR(IF(Z102="",0,Z102),"0")+IFERROR(IF(Z103="",0,Z103),"0")+IFERROR(IF(Z104="",0,Z104),"0")</f>
        <v>0.99690000000000001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500</v>
      </c>
      <c r="Y106" s="555">
        <f>IFERROR(SUM(Y100:Y104),"0")</f>
        <v>504</v>
      </c>
      <c r="Z106" s="37"/>
      <c r="AA106" s="556"/>
      <c r="AB106" s="556"/>
      <c r="AC106" s="556"/>
    </row>
    <row r="107" spans="1:68" ht="14.25" hidden="1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5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1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450</v>
      </c>
      <c r="Y117" s="554">
        <f>IFERROR(IF(X117="",0,CEILING((X117/$H117),1)*$H117),"")</f>
        <v>450.90000000000003</v>
      </c>
      <c r="Z117" s="36">
        <f>IFERROR(IF(Y117=0,"",ROUNDUP(Y117/H117,0)*0.00651),"")</f>
        <v>1.08717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492</v>
      </c>
      <c r="BN117" s="64">
        <f>IFERROR(Y117*I117/H117,"0")</f>
        <v>492.98399999999998</v>
      </c>
      <c r="BO117" s="64">
        <f>IFERROR(1/J117*(X117/H117),"0")</f>
        <v>0.91575091575091572</v>
      </c>
      <c r="BP117" s="64">
        <f>IFERROR(1/J117*(Y117/H117),"0")</f>
        <v>0.91758241758241765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18</v>
      </c>
      <c r="Y118" s="554">
        <f>IFERROR(IF(X118="",0,CEILING((X118/$H118),1)*$H118),"")</f>
        <v>18</v>
      </c>
      <c r="Z118" s="36">
        <f>IFERROR(IF(Y118=0,"",ROUNDUP(Y118/H118,0)*0.00651),"")</f>
        <v>6.5100000000000005E-2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19.8</v>
      </c>
      <c r="BN118" s="64">
        <f>IFERROR(Y118*I118/H118,"0")</f>
        <v>19.8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226.04938271604937</v>
      </c>
      <c r="Y119" s="555">
        <f>IFERROR(Y115/H115,"0")+IFERROR(Y116/H116,"0")+IFERROR(Y117/H117,"0")+IFERROR(Y118/H118,"0")</f>
        <v>227</v>
      </c>
      <c r="Z119" s="555">
        <f>IFERROR(IF(Z115="",0,Z115),"0")+IFERROR(IF(Z116="",0,Z116),"0")+IFERROR(IF(Z117="",0,Z117),"0")+IFERROR(IF(Z118="",0,Z118),"0")</f>
        <v>2.1012700000000004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868</v>
      </c>
      <c r="Y120" s="555">
        <f>IFERROR(SUM(Y115:Y118),"0")</f>
        <v>873.90000000000009</v>
      </c>
      <c r="Z120" s="37"/>
      <c r="AA120" s="556"/>
      <c r="AB120" s="556"/>
      <c r="AC120" s="556"/>
    </row>
    <row r="121" spans="1:68" ht="14.25" hidden="1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26.4</v>
      </c>
      <c r="Y122" s="554">
        <f>IFERROR(IF(X122="",0,CEILING((X122/$H122),1)*$H122),"")</f>
        <v>27.72</v>
      </c>
      <c r="Z122" s="36">
        <f>IFERROR(IF(Y122=0,"",ROUNDUP(Y122/H122,0)*0.00651),"")</f>
        <v>9.1139999999999999E-2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29.84</v>
      </c>
      <c r="BN122" s="64">
        <f>IFERROR(Y122*I122/H122,"0")</f>
        <v>31.332000000000001</v>
      </c>
      <c r="BO122" s="64">
        <f>IFERROR(1/J122*(X122/H122),"0")</f>
        <v>7.3260073260073263E-2</v>
      </c>
      <c r="BP122" s="64">
        <f>IFERROR(1/J122*(Y122/H122),"0")</f>
        <v>7.6923076923076927E-2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13.333333333333332</v>
      </c>
      <c r="Y123" s="555">
        <f>IFERROR(Y122/H122,"0")</f>
        <v>14</v>
      </c>
      <c r="Z123" s="555">
        <f>IFERROR(IF(Z122="",0,Z122),"0")</f>
        <v>9.1139999999999999E-2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26.4</v>
      </c>
      <c r="Y124" s="555">
        <f>IFERROR(SUM(Y122:Y122),"0")</f>
        <v>27.72</v>
      </c>
      <c r="Z124" s="37"/>
      <c r="AA124" s="556"/>
      <c r="AB124" s="556"/>
      <c r="AC124" s="556"/>
    </row>
    <row r="125" spans="1:68" ht="16.5" hidden="1" customHeight="1" x14ac:dyDescent="0.25">
      <c r="A125" s="592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hidden="1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hidden="1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hidden="1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hidden="1" customHeight="1" x14ac:dyDescent="0.25">
      <c r="A141" s="592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hidden="1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50</v>
      </c>
      <c r="Y149" s="554">
        <f t="shared" si="5"/>
        <v>50.400000000000006</v>
      </c>
      <c r="Z149" s="36">
        <f>IFERROR(IF(Y149=0,"",ROUNDUP(Y149/H149,0)*0.00902),"")</f>
        <v>0.10824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52.261904761904752</v>
      </c>
      <c r="BN149" s="64">
        <f t="shared" si="7"/>
        <v>52.68</v>
      </c>
      <c r="BO149" s="64">
        <f t="shared" si="8"/>
        <v>9.0187590187590191E-2</v>
      </c>
      <c r="BP149" s="64">
        <f t="shared" si="9"/>
        <v>9.0909090909090912E-2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50</v>
      </c>
      <c r="Y151" s="554">
        <f t="shared" si="5"/>
        <v>50.400000000000006</v>
      </c>
      <c r="Z151" s="36">
        <f>IFERROR(IF(Y151=0,"",ROUNDUP(Y151/H151,0)*0.00902),"")</f>
        <v>0.10824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52.261904761904752</v>
      </c>
      <c r="BN151" s="64">
        <f t="shared" si="7"/>
        <v>52.68</v>
      </c>
      <c r="BO151" s="64">
        <f t="shared" si="8"/>
        <v>9.0187590187590191E-2</v>
      </c>
      <c r="BP151" s="64">
        <f t="shared" si="9"/>
        <v>9.0909090909090912E-2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35.714285714285715</v>
      </c>
      <c r="Y154" s="555">
        <f>IFERROR(Y148/H148,"0")+IFERROR(Y149/H149,"0")+IFERROR(Y150/H150,"0")+IFERROR(Y151/H151,"0")+IFERROR(Y152/H152,"0")+IFERROR(Y153/H153,"0")</f>
        <v>36</v>
      </c>
      <c r="Z154" s="555">
        <f>IFERROR(IF(Z148="",0,Z148),"0")+IFERROR(IF(Z149="",0,Z149),"0")+IFERROR(IF(Z150="",0,Z150),"0")+IFERROR(IF(Z151="",0,Z151),"0")+IFERROR(IF(Z152="",0,Z152),"0")+IFERROR(IF(Z153="",0,Z153),"0")</f>
        <v>0.32472000000000001</v>
      </c>
      <c r="AA154" s="556"/>
      <c r="AB154" s="556"/>
      <c r="AC154" s="556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150</v>
      </c>
      <c r="Y155" s="555">
        <f>IFERROR(SUM(Y148:Y153),"0")</f>
        <v>151.20000000000002</v>
      </c>
      <c r="Z155" s="37"/>
      <c r="AA155" s="556"/>
      <c r="AB155" s="556"/>
      <c r="AC155" s="556"/>
    </row>
    <row r="156" spans="1:68" ht="14.25" hidden="1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0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82" t="s">
        <v>268</v>
      </c>
      <c r="B160" s="583"/>
      <c r="C160" s="583"/>
      <c r="D160" s="583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  <c r="P160" s="583"/>
      <c r="Q160" s="583"/>
      <c r="R160" s="583"/>
      <c r="S160" s="583"/>
      <c r="T160" s="583"/>
      <c r="U160" s="583"/>
      <c r="V160" s="583"/>
      <c r="W160" s="583"/>
      <c r="X160" s="583"/>
      <c r="Y160" s="583"/>
      <c r="Z160" s="583"/>
      <c r="AA160" s="48"/>
      <c r="AB160" s="48"/>
      <c r="AC160" s="48"/>
    </row>
    <row r="161" spans="1:68" ht="16.5" hidden="1" customHeight="1" x14ac:dyDescent="0.25">
      <c r="A161" s="592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hidden="1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4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80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6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192.85714285714283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1.1549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495</v>
      </c>
      <c r="Y182" s="555">
        <f>IFERROR(SUM(Y167:Y180),"0")</f>
        <v>501.90000000000009</v>
      </c>
      <c r="Z182" s="37"/>
      <c r="AA182" s="556"/>
      <c r="AB182" s="556"/>
      <c r="AC182" s="556"/>
    </row>
    <row r="183" spans="1:68" ht="14.25" hidden="1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7.0000000000000009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2.5720164609053499E-2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30</v>
      </c>
      <c r="Z187" s="555">
        <f>IFERROR(IF(Z184="",0,Z184),"0")+IFERROR(IF(Z185="",0,Z185),"0")+IFERROR(IF(Z186="",0,Z186),"0")</f>
        <v>0.17699999999999999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35</v>
      </c>
      <c r="Y188" s="555">
        <f>IFERROR(SUM(Y184:Y186),"0")</f>
        <v>37.799999999999997</v>
      </c>
      <c r="Z188" s="37"/>
      <c r="AA188" s="556"/>
      <c r="AB188" s="556"/>
      <c r="AC188" s="556"/>
    </row>
    <row r="189" spans="1:68" ht="14.25" hidden="1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hidden="1" customHeight="1" x14ac:dyDescent="0.25">
      <c r="A193" s="592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hidden="1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90</v>
      </c>
      <c r="Y205" s="554">
        <f t="shared" ref="Y205:Y212" si="15">IFERROR(IF(X205="",0,CEILING((X205/$H205),1)*$H205),"")</f>
        <v>91.800000000000011</v>
      </c>
      <c r="Z205" s="36">
        <f>IFERROR(IF(Y205=0,"",ROUNDUP(Y205/H205,0)*0.00902),"")</f>
        <v>0.15334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93.166666666666657</v>
      </c>
      <c r="BN205" s="64">
        <f t="shared" ref="BN205:BN212" si="17">IFERROR(Y205*I205/H205,"0")</f>
        <v>95.03</v>
      </c>
      <c r="BO205" s="64">
        <f t="shared" ref="BO205:BO212" si="18">IFERROR(1/J205*(X205/H205),"0")</f>
        <v>0.12626262626262624</v>
      </c>
      <c r="BP205" s="64">
        <f t="shared" ref="BP205:BP212" si="19">IFERROR(1/J205*(Y205/H205),"0")</f>
        <v>0.12878787878787878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30</v>
      </c>
      <c r="Y206" s="554">
        <f t="shared" si="15"/>
        <v>32.400000000000006</v>
      </c>
      <c r="Z206" s="36">
        <f>IFERROR(IF(Y206=0,"",ROUNDUP(Y206/H206,0)*0.00902),"")</f>
        <v>5.4120000000000001E-2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31.05555555555555</v>
      </c>
      <c r="BN206" s="64">
        <f t="shared" si="17"/>
        <v>33.54</v>
      </c>
      <c r="BO206" s="64">
        <f t="shared" si="18"/>
        <v>4.208754208754209E-2</v>
      </c>
      <c r="BP206" s="64">
        <f t="shared" si="19"/>
        <v>4.5454545454545463E-2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300</v>
      </c>
      <c r="Y207" s="554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45</v>
      </c>
      <c r="Y212" s="554">
        <f t="shared" si="15"/>
        <v>45</v>
      </c>
      <c r="Z212" s="36">
        <f>IFERROR(IF(Y212=0,"",ROUNDUP(Y212/H212,0)*0.00502),"")</f>
        <v>0.1255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47.5</v>
      </c>
      <c r="BN212" s="64">
        <f t="shared" si="17"/>
        <v>47.5</v>
      </c>
      <c r="BO212" s="64">
        <f t="shared" si="18"/>
        <v>0.10683760683760685</v>
      </c>
      <c r="BP212" s="64">
        <f t="shared" si="19"/>
        <v>0.10683760683760685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230.55555555555554</v>
      </c>
      <c r="Y213" s="555">
        <f>IFERROR(Y205/H205,"0")+IFERROR(Y206/H206,"0")+IFERROR(Y207/H207,"0")+IFERROR(Y208/H208,"0")+IFERROR(Y209/H209,"0")+IFERROR(Y210/H210,"0")+IFERROR(Y211/H211,"0")+IFERROR(Y212/H212,"0")</f>
        <v>233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1.5336599999999998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735</v>
      </c>
      <c r="Y214" s="555">
        <f>IFERROR(SUM(Y205:Y212),"0")</f>
        <v>747.00000000000011</v>
      </c>
      <c r="Z214" s="37"/>
      <c r="AA214" s="556"/>
      <c r="AB214" s="556"/>
      <c r="AC214" s="556"/>
    </row>
    <row r="215" spans="1:68" ht="14.25" hidden="1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150</v>
      </c>
      <c r="Y218" s="554">
        <f t="shared" si="20"/>
        <v>156.6</v>
      </c>
      <c r="Z218" s="36">
        <f>IFERROR(IF(Y218=0,"",ROUNDUP(Y218/H218,0)*0.01898),"")</f>
        <v>0.34164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158.51724137931038</v>
      </c>
      <c r="BN218" s="64">
        <f t="shared" si="22"/>
        <v>165.49200000000002</v>
      </c>
      <c r="BO218" s="64">
        <f t="shared" si="23"/>
        <v>0.26939655172413796</v>
      </c>
      <c r="BP218" s="64">
        <f t="shared" si="24"/>
        <v>0.28125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320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356</v>
      </c>
      <c r="BN219" s="64">
        <f t="shared" si="22"/>
        <v>357.78</v>
      </c>
      <c r="BO219" s="64">
        <f t="shared" si="23"/>
        <v>0.73260073260073266</v>
      </c>
      <c r="BP219" s="64">
        <f t="shared" si="24"/>
        <v>0.73626373626373631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1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433.90804597701151</v>
      </c>
      <c r="Y225" s="555">
        <f>IFERROR(Y216/H216,"0")+IFERROR(Y217/H217,"0")+IFERROR(Y218/H218,"0")+IFERROR(Y219/H219,"0")+IFERROR(Y220/H220,"0")+IFERROR(Y221/H221,"0")+IFERROR(Y222/H222,"0")+IFERROR(Y223/H223,"0")+IFERROR(Y224/H224,"0")</f>
        <v>436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3.0628200000000003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1150</v>
      </c>
      <c r="Y226" s="555">
        <f>IFERROR(SUM(Y216:Y224),"0")</f>
        <v>1159.8</v>
      </c>
      <c r="Z226" s="37"/>
      <c r="AA226" s="556"/>
      <c r="AB226" s="556"/>
      <c r="AC226" s="556"/>
    </row>
    <row r="227" spans="1:68" ht="14.25" hidden="1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12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5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12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hidden="1" customHeight="1" x14ac:dyDescent="0.25">
      <c r="A232" s="592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hidden="1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50</v>
      </c>
      <c r="Y234" s="554">
        <f t="shared" ref="Y234:Y242" si="26">IFERROR(IF(X234="",0,CEILING((X234/$H234),1)*$H234),"")</f>
        <v>58</v>
      </c>
      <c r="Z234" s="36">
        <f>IFERROR(IF(Y234=0,"",ROUNDUP(Y234/H234,0)*0.01898),"")</f>
        <v>9.4899999999999998E-2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51.767241379310349</v>
      </c>
      <c r="BN234" s="64">
        <f t="shared" ref="BN234:BN242" si="28">IFERROR(Y234*I234/H234,"0")</f>
        <v>60.050000000000004</v>
      </c>
      <c r="BO234" s="64">
        <f t="shared" ref="BO234:BO242" si="29">IFERROR(1/J234*(X234/H234),"0")</f>
        <v>6.7349137931034489E-2</v>
      </c>
      <c r="BP234" s="64">
        <f t="shared" ref="BP234:BP242" si="30">IFERROR(1/J234*(Y234/H234),"0")</f>
        <v>7.8125E-2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32</v>
      </c>
      <c r="Y237" s="554">
        <f t="shared" si="26"/>
        <v>32</v>
      </c>
      <c r="Z237" s="36">
        <f>IFERROR(IF(Y237=0,"",ROUNDUP(Y237/H237,0)*0.00902),"")</f>
        <v>7.2160000000000002E-2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33.520000000000003</v>
      </c>
      <c r="BN237" s="64">
        <f t="shared" si="28"/>
        <v>33.520000000000003</v>
      </c>
      <c r="BO237" s="64">
        <f t="shared" si="29"/>
        <v>6.0606060606060608E-2</v>
      </c>
      <c r="BP237" s="64">
        <f t="shared" si="30"/>
        <v>6.0606060606060608E-2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60</v>
      </c>
      <c r="Y241" s="554">
        <f t="shared" si="26"/>
        <v>60</v>
      </c>
      <c r="Z241" s="36">
        <f>IFERROR(IF(Y241=0,"",ROUNDUP(Y241/H241,0)*0.00902),"")</f>
        <v>0.1353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62.850000000000009</v>
      </c>
      <c r="BN241" s="64">
        <f t="shared" si="28"/>
        <v>62.850000000000009</v>
      </c>
      <c r="BO241" s="64">
        <f t="shared" si="29"/>
        <v>0.11363636363636365</v>
      </c>
      <c r="BP241" s="64">
        <f t="shared" si="30"/>
        <v>0.11363636363636365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33.344827586206897</v>
      </c>
      <c r="Y243" s="555">
        <f>IFERROR(Y234/H234,"0")+IFERROR(Y235/H235,"0")+IFERROR(Y236/H236,"0")+IFERROR(Y237/H237,"0")+IFERROR(Y238/H238,"0")+IFERROR(Y239/H239,"0")+IFERROR(Y240/H240,"0")+IFERROR(Y241/H241,"0")+IFERROR(Y242/H242,"0")</f>
        <v>35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0.43522000000000005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212</v>
      </c>
      <c r="Y244" s="555">
        <f>IFERROR(SUM(Y234:Y242),"0")</f>
        <v>231.2</v>
      </c>
      <c r="Z244" s="37"/>
      <c r="AA244" s="556"/>
      <c r="AB244" s="556"/>
      <c r="AC244" s="556"/>
    </row>
    <row r="245" spans="1:68" ht="14.25" hidden="1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7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hidden="1" customHeight="1" x14ac:dyDescent="0.25">
      <c r="A261" s="592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hidden="1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92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hidden="1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8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92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hidden="1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80</v>
      </c>
      <c r="Y281" s="554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88.40000000000002</v>
      </c>
      <c r="BN281" s="64">
        <f>IFERROR(Y281*I281/H281,"0")</f>
        <v>90.168000000000006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160</v>
      </c>
      <c r="Y282" s="554">
        <f>IFERROR(IF(X282="",0,CEILING((X282/$H282),1)*$H282),"")</f>
        <v>160.79999999999998</v>
      </c>
      <c r="Z282" s="36">
        <f>IFERROR(IF(Y282=0,"",ROUNDUP(Y282/H282,0)*0.00651),"")</f>
        <v>0.43617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172</v>
      </c>
      <c r="BN282" s="64">
        <f>IFERROR(Y282*I282/H282,"0")</f>
        <v>172.85999999999999</v>
      </c>
      <c r="BO282" s="64">
        <f>IFERROR(1/J282*(X282/H282),"0")</f>
        <v>0.36630036630036633</v>
      </c>
      <c r="BP282" s="64">
        <f>IFERROR(1/J282*(Y282/H282),"0")</f>
        <v>0.36813186813186816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100</v>
      </c>
      <c r="Y283" s="555">
        <f>IFERROR(Y280/H280,"0")+IFERROR(Y281/H281,"0")+IFERROR(Y282/H282,"0")</f>
        <v>101</v>
      </c>
      <c r="Z283" s="555">
        <f>IFERROR(IF(Z280="",0,Z280),"0")+IFERROR(IF(Z281="",0,Z281),"0")+IFERROR(IF(Z282="",0,Z282),"0")</f>
        <v>0.65751000000000004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240</v>
      </c>
      <c r="Y284" s="555">
        <f>IFERROR(SUM(Y280:Y282),"0")</f>
        <v>242.39999999999998</v>
      </c>
      <c r="Z284" s="37"/>
      <c r="AA284" s="556"/>
      <c r="AB284" s="556"/>
      <c r="AC284" s="556"/>
    </row>
    <row r="285" spans="1:68" ht="16.5" hidden="1" customHeight="1" x14ac:dyDescent="0.25">
      <c r="A285" s="592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hidden="1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92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hidden="1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105</v>
      </c>
      <c r="Y310" s="554">
        <f t="shared" si="31"/>
        <v>105</v>
      </c>
      <c r="Z310" s="36">
        <f>IFERROR(IF(Y310=0,"",ROUNDUP(Y310/H310,0)*0.00502),"")</f>
        <v>0.251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110.00000000000001</v>
      </c>
      <c r="BN310" s="64">
        <f t="shared" si="33"/>
        <v>110.00000000000001</v>
      </c>
      <c r="BO310" s="64">
        <f t="shared" si="34"/>
        <v>0.21367521367521369</v>
      </c>
      <c r="BP310" s="64">
        <f t="shared" si="35"/>
        <v>0.21367521367521369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21</v>
      </c>
      <c r="Y311" s="554">
        <f t="shared" si="31"/>
        <v>21.6</v>
      </c>
      <c r="Z311" s="36">
        <f>IFERROR(IF(Y311=0,"",ROUNDUP(Y311/H311,0)*0.00651),"")</f>
        <v>7.8119999999999995E-2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23.66</v>
      </c>
      <c r="BN311" s="64">
        <f t="shared" si="33"/>
        <v>24.335999999999999</v>
      </c>
      <c r="BO311" s="64">
        <f t="shared" si="34"/>
        <v>6.4102564102564111E-2</v>
      </c>
      <c r="BP311" s="64">
        <f t="shared" si="35"/>
        <v>6.5934065934065936E-2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61.666666666666664</v>
      </c>
      <c r="Y312" s="555">
        <f>IFERROR(Y306/H306,"0")+IFERROR(Y307/H307,"0")+IFERROR(Y308/H308,"0")+IFERROR(Y309/H309,"0")+IFERROR(Y310/H310,"0")+IFERROR(Y311/H311,"0")</f>
        <v>62</v>
      </c>
      <c r="Z312" s="555">
        <f>IFERROR(IF(Z306="",0,Z306),"0")+IFERROR(IF(Z307="",0,Z307),"0")+IFERROR(IF(Z308="",0,Z308),"0")+IFERROR(IF(Z309="",0,Z309),"0")+IFERROR(IF(Z310="",0,Z310),"0")+IFERROR(IF(Z311="",0,Z311),"0")</f>
        <v>0.32911999999999997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126</v>
      </c>
      <c r="Y313" s="555">
        <f>IFERROR(SUM(Y306:Y311),"0")</f>
        <v>126.6</v>
      </c>
      <c r="Z313" s="37"/>
      <c r="AA313" s="556"/>
      <c r="AB313" s="556"/>
      <c r="AC313" s="556"/>
    </row>
    <row r="314" spans="1:68" ht="14.25" hidden="1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450</v>
      </c>
      <c r="Y323" s="554">
        <f>IFERROR(IF(X323="",0,CEILING((X323/$H323),1)*$H323),"")</f>
        <v>452.4</v>
      </c>
      <c r="Z323" s="36">
        <f>IFERROR(IF(Y323=0,"",ROUNDUP(Y323/H323,0)*0.01898),"")</f>
        <v>1.10084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478.50000000000006</v>
      </c>
      <c r="BN323" s="64">
        <f>IFERROR(Y323*I323/H323,"0")</f>
        <v>481.05200000000002</v>
      </c>
      <c r="BO323" s="64">
        <f>IFERROR(1/J323*(X323/H323),"0")</f>
        <v>0.90144230769230771</v>
      </c>
      <c r="BP323" s="64">
        <f>IFERROR(1/J323*(Y323/H323),"0")</f>
        <v>0.90625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250</v>
      </c>
      <c r="Y324" s="554">
        <f>IFERROR(IF(X324="",0,CEILING((X324/$H324),1)*$H324),"")</f>
        <v>252</v>
      </c>
      <c r="Z324" s="36">
        <f>IFERROR(IF(Y324=0,"",ROUNDUP(Y324/H324,0)*0.01898),"")</f>
        <v>0.56940000000000002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264.70238095238096</v>
      </c>
      <c r="BN324" s="64">
        <f>IFERROR(Y324*I324/H324,"0")</f>
        <v>266.82</v>
      </c>
      <c r="BO324" s="64">
        <f>IFERROR(1/J324*(X324/H324),"0")</f>
        <v>0.46502976190476186</v>
      </c>
      <c r="BP324" s="64">
        <f>IFERROR(1/J324*(Y324/H324),"0")</f>
        <v>0.46875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89.835164835164832</v>
      </c>
      <c r="Y325" s="555">
        <f>IFERROR(Y322/H322,"0")+IFERROR(Y323/H323,"0")+IFERROR(Y324/H324,"0")</f>
        <v>91</v>
      </c>
      <c r="Z325" s="555">
        <f>IFERROR(IF(Z322="",0,Z322),"0")+IFERROR(IF(Z323="",0,Z323),"0")+IFERROR(IF(Z324="",0,Z324),"0")</f>
        <v>1.7271800000000002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720</v>
      </c>
      <c r="Y326" s="555">
        <f>IFERROR(SUM(Y322:Y324),"0")</f>
        <v>729.59999999999991</v>
      </c>
      <c r="Z326" s="37"/>
      <c r="AA326" s="556"/>
      <c r="AB326" s="556"/>
      <c r="AC326" s="556"/>
    </row>
    <row r="327" spans="1:68" ht="14.25" hidden="1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85</v>
      </c>
      <c r="Y330" s="554">
        <f>IFERROR(IF(X330="",0,CEILING((X330/$H330),1)*$H330),"")</f>
        <v>86.699999999999989</v>
      </c>
      <c r="Z330" s="36">
        <f>IFERROR(IF(Y330=0,"",ROUNDUP(Y330/H330,0)*0.00651),"")</f>
        <v>0.22134000000000001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98.500000000000014</v>
      </c>
      <c r="BN330" s="64">
        <f>IFERROR(Y330*I330/H330,"0")</f>
        <v>100.47</v>
      </c>
      <c r="BO330" s="64">
        <f>IFERROR(1/J330*(X330/H330),"0")</f>
        <v>0.18315018315018317</v>
      </c>
      <c r="BP330" s="64">
        <f>IFERROR(1/J330*(Y330/H330),"0")</f>
        <v>0.18681318681318682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170</v>
      </c>
      <c r="Y331" s="554">
        <f>IFERROR(IF(X331="",0,CEILING((X331/$H331),1)*$H331),"")</f>
        <v>170.85</v>
      </c>
      <c r="Z331" s="36">
        <f>IFERROR(IF(Y331=0,"",ROUNDUP(Y331/H331,0)*0.00651),"")</f>
        <v>0.43617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192</v>
      </c>
      <c r="BN331" s="64">
        <f>IFERROR(Y331*I331/H331,"0")</f>
        <v>192.95999999999998</v>
      </c>
      <c r="BO331" s="64">
        <f>IFERROR(1/J331*(X331/H331),"0")</f>
        <v>0.36630036630036633</v>
      </c>
      <c r="BP331" s="64">
        <f>IFERROR(1/J331*(Y331/H331),"0")</f>
        <v>0.36813186813186816</v>
      </c>
    </row>
    <row r="332" spans="1:68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100</v>
      </c>
      <c r="Y332" s="555">
        <f>IFERROR(Y328/H328,"0")+IFERROR(Y329/H329,"0")+IFERROR(Y330/H330,"0")+IFERROR(Y331/H331,"0")</f>
        <v>101</v>
      </c>
      <c r="Z332" s="555">
        <f>IFERROR(IF(Z328="",0,Z328),"0")+IFERROR(IF(Z329="",0,Z329),"0")+IFERROR(IF(Z330="",0,Z330),"0")+IFERROR(IF(Z331="",0,Z331),"0")</f>
        <v>0.65751000000000004</v>
      </c>
      <c r="AA332" s="556"/>
      <c r="AB332" s="556"/>
      <c r="AC332" s="556"/>
    </row>
    <row r="333" spans="1:68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255</v>
      </c>
      <c r="Y333" s="555">
        <f>IFERROR(SUM(Y328:Y331),"0")</f>
        <v>257.54999999999995</v>
      </c>
      <c r="Z333" s="37"/>
      <c r="AA333" s="556"/>
      <c r="AB333" s="556"/>
      <c r="AC333" s="556"/>
    </row>
    <row r="334" spans="1:68" ht="14.25" hidden="1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92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hidden="1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525</v>
      </c>
      <c r="Y344" s="554">
        <f>IFERROR(IF(X344="",0,CEILING((X344/$H344),1)*$H344),"")</f>
        <v>525</v>
      </c>
      <c r="Z344" s="36">
        <f>IFERROR(IF(Y344=0,"",ROUNDUP(Y344/H344,0)*0.00651),"")</f>
        <v>1.6274999999999999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585</v>
      </c>
      <c r="BN344" s="64">
        <f>IFERROR(Y344*I344/H344,"0")</f>
        <v>585</v>
      </c>
      <c r="BO344" s="64">
        <f>IFERROR(1/J344*(X344/H344),"0")</f>
        <v>1.3736263736263736</v>
      </c>
      <c r="BP344" s="64">
        <f>IFERROR(1/J344*(Y344/H344),"0")</f>
        <v>1.3736263736263736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550</v>
      </c>
      <c r="Y345" s="555">
        <f>IFERROR(Y342/H342,"0")+IFERROR(Y343/H343,"0")+IFERROR(Y344/H344,"0")</f>
        <v>550</v>
      </c>
      <c r="Z345" s="555">
        <f>IFERROR(IF(Z342="",0,Z342),"0")+IFERROR(IF(Z343="",0,Z343),"0")+IFERROR(IF(Z344="",0,Z344),"0")</f>
        <v>3.5804999999999998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1155</v>
      </c>
      <c r="Y346" s="555">
        <f>IFERROR(SUM(Y342:Y344),"0")</f>
        <v>1155</v>
      </c>
      <c r="Z346" s="37"/>
      <c r="AA346" s="556"/>
      <c r="AB346" s="556"/>
      <c r="AC346" s="556"/>
    </row>
    <row r="347" spans="1:68" ht="27.75" hidden="1" customHeight="1" x14ac:dyDescent="0.2">
      <c r="A347" s="582" t="s">
        <v>559</v>
      </c>
      <c r="B347" s="583"/>
      <c r="C347" s="583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  <c r="P347" s="583"/>
      <c r="Q347" s="583"/>
      <c r="R347" s="583"/>
      <c r="S347" s="583"/>
      <c r="T347" s="583"/>
      <c r="U347" s="583"/>
      <c r="V347" s="583"/>
      <c r="W347" s="583"/>
      <c r="X347" s="583"/>
      <c r="Y347" s="583"/>
      <c r="Z347" s="583"/>
      <c r="AA347" s="48"/>
      <c r="AB347" s="48"/>
      <c r="AC347" s="48"/>
    </row>
    <row r="348" spans="1:68" ht="16.5" hidden="1" customHeight="1" x14ac:dyDescent="0.25">
      <c r="A348" s="592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hidden="1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1100</v>
      </c>
      <c r="Y350" s="554">
        <f t="shared" ref="Y350:Y356" si="36">IFERROR(IF(X350="",0,CEILING((X350/$H350),1)*$H350),"")</f>
        <v>1110</v>
      </c>
      <c r="Z350" s="36">
        <f>IFERROR(IF(Y350=0,"",ROUNDUP(Y350/H350,0)*0.02175),"")</f>
        <v>1.6094999999999999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1134.4666666666667</v>
      </c>
      <c r="BN350" s="64">
        <f t="shared" ref="BN350:BN356" si="38">IFERROR(Y350*I350/H350,"0")</f>
        <v>1144.78</v>
      </c>
      <c r="BO350" s="64">
        <f t="shared" ref="BO350:BO356" si="39">IFERROR(1/J350*(X350/H350),"0")</f>
        <v>1.5277777777777777</v>
      </c>
      <c r="BP350" s="64">
        <f t="shared" ref="BP350:BP356" si="40">IFERROR(1/J350*(Y350/H350),"0")</f>
        <v>1.5416666666666665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1000</v>
      </c>
      <c r="Y351" s="554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5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240.00000000000003</v>
      </c>
      <c r="Y357" s="555">
        <f>IFERROR(Y350/H350,"0")+IFERROR(Y351/H351,"0")+IFERROR(Y352/H352,"0")+IFERROR(Y353/H353,"0")+IFERROR(Y354/H354,"0")+IFERROR(Y355/H355,"0")+IFERROR(Y356/H356,"0")</f>
        <v>242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5.2634999999999996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3600</v>
      </c>
      <c r="Y358" s="555">
        <f>IFERROR(SUM(Y350:Y356),"0")</f>
        <v>3630</v>
      </c>
      <c r="Z358" s="37"/>
      <c r="AA358" s="556"/>
      <c r="AB358" s="556"/>
      <c r="AC358" s="556"/>
    </row>
    <row r="359" spans="1:68" ht="14.25" hidden="1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92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hidden="1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82" t="s">
        <v>613</v>
      </c>
      <c r="B390" s="583"/>
      <c r="C390" s="583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48"/>
      <c r="AB390" s="48"/>
      <c r="AC390" s="48"/>
    </row>
    <row r="391" spans="1:68" ht="16.5" hidden="1" customHeight="1" x14ac:dyDescent="0.25">
      <c r="A391" s="592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hidden="1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28.333333333333332</v>
      </c>
      <c r="Y402" s="555">
        <f>IFERROR(Y393/H393,"0")+IFERROR(Y394/H394,"0")+IFERROR(Y395/H395,"0")+IFERROR(Y396/H396,"0")+IFERROR(Y397/H397,"0")+IFERROR(Y398/H398,"0")+IFERROR(Y399/H399,"0")+IFERROR(Y400/H400,"0")+IFERROR(Y401/H401,"0")</f>
        <v>29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0.14557999999999999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59.5</v>
      </c>
      <c r="Y403" s="555">
        <f>IFERROR(SUM(Y393:Y401),"0")</f>
        <v>60.900000000000006</v>
      </c>
      <c r="Z403" s="37"/>
      <c r="AA403" s="556"/>
      <c r="AB403" s="556"/>
      <c r="AC403" s="556"/>
    </row>
    <row r="404" spans="1:68" ht="14.25" hidden="1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92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hidden="1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92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hidden="1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79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40</v>
      </c>
      <c r="Y423" s="554">
        <f>IFERROR(IF(X423="",0,CEILING((X423/$H423),1)*$H423),"")</f>
        <v>40.799999999999997</v>
      </c>
      <c r="Z423" s="36">
        <f>IFERROR(IF(Y423=0,"",ROUNDUP(Y423/H423,0)*0.00651),"")</f>
        <v>0.22134000000000001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70</v>
      </c>
      <c r="BN423" s="64">
        <f>IFERROR(Y423*I423/H423,"0")</f>
        <v>71.399999999999991</v>
      </c>
      <c r="BO423" s="64">
        <f>IFERROR(1/J423*(X423/H423),"0")</f>
        <v>0.18315018315018317</v>
      </c>
      <c r="BP423" s="64">
        <f>IFERROR(1/J423*(Y423/H423),"0")</f>
        <v>0.18681318681318682</v>
      </c>
    </row>
    <row r="424" spans="1:68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33.333333333333336</v>
      </c>
      <c r="Y424" s="555">
        <f>IFERROR(Y423/H423,"0")</f>
        <v>34</v>
      </c>
      <c r="Z424" s="555">
        <f>IFERROR(IF(Z423="",0,Z423),"0")</f>
        <v>0.22134000000000001</v>
      </c>
      <c r="AA424" s="556"/>
      <c r="AB424" s="556"/>
      <c r="AC424" s="556"/>
    </row>
    <row r="425" spans="1:68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40</v>
      </c>
      <c r="Y425" s="555">
        <f>IFERROR(SUM(Y423:Y423),"0")</f>
        <v>40.799999999999997</v>
      </c>
      <c r="Z425" s="37"/>
      <c r="AA425" s="556"/>
      <c r="AB425" s="556"/>
      <c r="AC425" s="556"/>
    </row>
    <row r="426" spans="1:68" ht="27.75" hidden="1" customHeight="1" x14ac:dyDescent="0.2">
      <c r="A426" s="582" t="s">
        <v>664</v>
      </c>
      <c r="B426" s="583"/>
      <c r="C426" s="583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48"/>
      <c r="AB426" s="48"/>
      <c r="AC426" s="48"/>
    </row>
    <row r="427" spans="1:68" ht="16.5" hidden="1" customHeight="1" x14ac:dyDescent="0.25">
      <c r="A427" s="592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hidden="1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150</v>
      </c>
      <c r="Y429" s="554">
        <f t="shared" ref="Y429:Y440" si="47">IFERROR(IF(X429="",0,CEILING((X429/$H429),1)*$H429),"")</f>
        <v>153.12</v>
      </c>
      <c r="Z429" s="36">
        <f t="shared" ref="Z429:Z435" si="48">IFERROR(IF(Y429=0,"",ROUNDUP(Y429/H429,0)*0.01196),"")</f>
        <v>0.34683999999999998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159.94318181818181</v>
      </c>
      <c r="BN429" s="64">
        <f t="shared" ref="BN429:BN440" si="50">IFERROR(Y429*I429/H429,"0")</f>
        <v>163.26999999999998</v>
      </c>
      <c r="BO429" s="64">
        <f t="shared" ref="BO429:BO440" si="51">IFERROR(1/J429*(X429/H429),"0")</f>
        <v>0.27316433566433568</v>
      </c>
      <c r="BP429" s="64">
        <f t="shared" ref="BP429:BP440" si="52">IFERROR(1/J429*(Y429/H429),"0")</f>
        <v>0.27884615384615385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2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150</v>
      </c>
      <c r="Y435" s="554">
        <f t="shared" si="47"/>
        <v>153.12</v>
      </c>
      <c r="Z435" s="36">
        <f t="shared" si="48"/>
        <v>0.34683999999999998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159.94318181818181</v>
      </c>
      <c r="BN435" s="64">
        <f t="shared" si="50"/>
        <v>163.26999999999998</v>
      </c>
      <c r="BO435" s="64">
        <f t="shared" si="51"/>
        <v>0.27316433566433568</v>
      </c>
      <c r="BP435" s="64">
        <f t="shared" si="52"/>
        <v>0.27884615384615385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150</v>
      </c>
      <c r="Y440" s="554">
        <f t="shared" si="47"/>
        <v>153.6</v>
      </c>
      <c r="Z440" s="36">
        <f>IFERROR(IF(Y440=0,"",ROUNDUP(Y440/H440,0)*0.00902),"")</f>
        <v>0.28864000000000001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215.9375</v>
      </c>
      <c r="BN440" s="64">
        <f t="shared" si="50"/>
        <v>221.12</v>
      </c>
      <c r="BO440" s="64">
        <f t="shared" si="51"/>
        <v>0.23674242424242425</v>
      </c>
      <c r="BP440" s="64">
        <f t="shared" si="52"/>
        <v>0.24242424242424243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132.00757575757575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134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1.43506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670</v>
      </c>
      <c r="Y442" s="555">
        <f>IFERROR(SUM(Y429:Y440),"0")</f>
        <v>680.16</v>
      </c>
      <c r="Z442" s="37"/>
      <c r="AA442" s="556"/>
      <c r="AB442" s="556"/>
      <c r="AC442" s="556"/>
    </row>
    <row r="443" spans="1:68" ht="14.25" hidden="1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60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63.977272727272727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0.10926573426573427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1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100</v>
      </c>
      <c r="Y452" s="554">
        <f t="shared" si="53"/>
        <v>100.32000000000001</v>
      </c>
      <c r="Z452" s="36">
        <f>IFERROR(IF(Y452=0,"",ROUNDUP(Y452/H452,0)*0.01196),"")</f>
        <v>0.22724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106.62878787878788</v>
      </c>
      <c r="BN452" s="64">
        <f t="shared" si="55"/>
        <v>106.97</v>
      </c>
      <c r="BO452" s="64">
        <f t="shared" si="56"/>
        <v>0.18210955710955709</v>
      </c>
      <c r="BP452" s="64">
        <f t="shared" si="57"/>
        <v>0.18269230769230771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71.742424242424235</v>
      </c>
      <c r="Y456" s="555">
        <f>IFERROR(Y450/H450,"0")+IFERROR(Y451/H451,"0")+IFERROR(Y452/H452,"0")+IFERROR(Y453/H453,"0")+IFERROR(Y454/H454,"0")+IFERROR(Y455/H455,"0")</f>
        <v>73</v>
      </c>
      <c r="Z456" s="555">
        <f>IFERROR(IF(Z450="",0,Z450),"0")+IFERROR(IF(Z451="",0,Z451),"0")+IFERROR(IF(Z452="",0,Z452),"0")+IFERROR(IF(Z453="",0,Z453),"0")+IFERROR(IF(Z454="",0,Z454),"0")+IFERROR(IF(Z455="",0,Z455),"0")</f>
        <v>0.80545999999999995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368</v>
      </c>
      <c r="Y457" s="555">
        <f>IFERROR(SUM(Y450:Y455),"0")</f>
        <v>374.4</v>
      </c>
      <c r="Z457" s="37"/>
      <c r="AA457" s="556"/>
      <c r="AB457" s="556"/>
      <c r="AC457" s="556"/>
    </row>
    <row r="458" spans="1:68" ht="14.25" hidden="1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82" t="s">
        <v>719</v>
      </c>
      <c r="B462" s="583"/>
      <c r="C462" s="583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  <c r="P462" s="583"/>
      <c r="Q462" s="583"/>
      <c r="R462" s="583"/>
      <c r="S462" s="583"/>
      <c r="T462" s="583"/>
      <c r="U462" s="583"/>
      <c r="V462" s="583"/>
      <c r="W462" s="583"/>
      <c r="X462" s="583"/>
      <c r="Y462" s="583"/>
      <c r="Z462" s="583"/>
      <c r="AA462" s="48"/>
      <c r="AB462" s="48"/>
      <c r="AC462" s="48"/>
    </row>
    <row r="463" spans="1:68" ht="16.5" hidden="1" customHeight="1" x14ac:dyDescent="0.25">
      <c r="A463" s="592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hidden="1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hidden="1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1200</v>
      </c>
      <c r="Y482" s="554">
        <f>IFERROR(IF(X482="",0,CEILING((X482/$H482),1)*$H482),"")</f>
        <v>1206</v>
      </c>
      <c r="Z482" s="36">
        <f>IFERROR(IF(Y482=0,"",ROUNDUP(Y482/H482,0)*0.01898),"")</f>
        <v>2.54332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1265.8666666666666</v>
      </c>
      <c r="BN482" s="64">
        <f>IFERROR(Y482*I482/H482,"0")</f>
        <v>1272.1959999999999</v>
      </c>
      <c r="BO482" s="64">
        <f>IFERROR(1/J482*(X482/H482),"0")</f>
        <v>2.0833333333333335</v>
      </c>
      <c r="BP482" s="64">
        <f>IFERROR(1/J482*(Y482/H482),"0")</f>
        <v>2.09375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133.33333333333334</v>
      </c>
      <c r="Y483" s="555">
        <f>IFERROR(Y482/H482,"0")</f>
        <v>134</v>
      </c>
      <c r="Z483" s="555">
        <f>IFERROR(IF(Z482="",0,Z482),"0")</f>
        <v>2.54332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1200</v>
      </c>
      <c r="Y484" s="555">
        <f>IFERROR(SUM(Y482:Y482),"0")</f>
        <v>1206</v>
      </c>
      <c r="Z484" s="37"/>
      <c r="AA484" s="556"/>
      <c r="AB484" s="556"/>
      <c r="AC484" s="556"/>
    </row>
    <row r="485" spans="1:68" ht="14.25" hidden="1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92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hidden="1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7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8"/>
      <c r="P495" s="579" t="s">
        <v>755</v>
      </c>
      <c r="Q495" s="580"/>
      <c r="R495" s="580"/>
      <c r="S495" s="580"/>
      <c r="T495" s="580"/>
      <c r="U495" s="580"/>
      <c r="V495" s="581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17009.400000000001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17206.269999999997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8"/>
      <c r="P496" s="579" t="s">
        <v>756</v>
      </c>
      <c r="Q496" s="580"/>
      <c r="R496" s="580"/>
      <c r="S496" s="580"/>
      <c r="T496" s="580"/>
      <c r="U496" s="580"/>
      <c r="V496" s="581"/>
      <c r="W496" s="37" t="s">
        <v>69</v>
      </c>
      <c r="X496" s="555">
        <f>IFERROR(SUM(BM22:BM492),"0")</f>
        <v>18177.951124142997</v>
      </c>
      <c r="Y496" s="555">
        <f>IFERROR(SUM(BN22:BN492),"0")</f>
        <v>18387.674999999999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8"/>
      <c r="P497" s="579" t="s">
        <v>757</v>
      </c>
      <c r="Q497" s="580"/>
      <c r="R497" s="580"/>
      <c r="S497" s="580"/>
      <c r="T497" s="580"/>
      <c r="U497" s="580"/>
      <c r="V497" s="581"/>
      <c r="W497" s="37" t="s">
        <v>758</v>
      </c>
      <c r="X497" s="38">
        <f>ROUNDUP(SUM(BO22:BO492),0)</f>
        <v>31</v>
      </c>
      <c r="Y497" s="38">
        <f>ROUNDUP(SUM(BP22:BP492),0)</f>
        <v>31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8"/>
      <c r="P498" s="579" t="s">
        <v>759</v>
      </c>
      <c r="Q498" s="580"/>
      <c r="R498" s="580"/>
      <c r="S498" s="580"/>
      <c r="T498" s="580"/>
      <c r="U498" s="580"/>
      <c r="V498" s="581"/>
      <c r="W498" s="37" t="s">
        <v>69</v>
      </c>
      <c r="X498" s="555">
        <f>GrossWeightTotal+PalletQtyTotal*25</f>
        <v>18952.951124142997</v>
      </c>
      <c r="Y498" s="555">
        <f>GrossWeightTotalR+PalletQtyTotalR*25</f>
        <v>19162.674999999999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8"/>
      <c r="P499" s="579" t="s">
        <v>760</v>
      </c>
      <c r="Q499" s="580"/>
      <c r="R499" s="580"/>
      <c r="S499" s="580"/>
      <c r="T499" s="580"/>
      <c r="U499" s="580"/>
      <c r="V499" s="581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3635.270750747763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3667</v>
      </c>
      <c r="Z499" s="37"/>
      <c r="AA499" s="556"/>
      <c r="AB499" s="556"/>
      <c r="AC499" s="556"/>
    </row>
    <row r="500" spans="1:32" ht="14.25" hidden="1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8"/>
      <c r="P500" s="579" t="s">
        <v>761</v>
      </c>
      <c r="Q500" s="580"/>
      <c r="R500" s="580"/>
      <c r="S500" s="580"/>
      <c r="T500" s="580"/>
      <c r="U500" s="580"/>
      <c r="V500" s="581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36.010029999999986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7"/>
      <c r="E502" s="617"/>
      <c r="F502" s="617"/>
      <c r="G502" s="617"/>
      <c r="H502" s="618"/>
      <c r="I502" s="557" t="s">
        <v>268</v>
      </c>
      <c r="J502" s="617"/>
      <c r="K502" s="617"/>
      <c r="L502" s="617"/>
      <c r="M502" s="617"/>
      <c r="N502" s="617"/>
      <c r="O502" s="617"/>
      <c r="P502" s="617"/>
      <c r="Q502" s="617"/>
      <c r="R502" s="618"/>
      <c r="S502" s="557" t="s">
        <v>559</v>
      </c>
      <c r="T502" s="618"/>
      <c r="U502" s="557" t="s">
        <v>613</v>
      </c>
      <c r="V502" s="617"/>
      <c r="W502" s="618"/>
      <c r="X502" s="550" t="s">
        <v>664</v>
      </c>
      <c r="Y502" s="557" t="s">
        <v>719</v>
      </c>
      <c r="Z502" s="618"/>
      <c r="AB502" s="52"/>
      <c r="AC502" s="52"/>
      <c r="AF502" s="551"/>
    </row>
    <row r="503" spans="1:32" ht="14.25" customHeight="1" thickTop="1" x14ac:dyDescent="0.2">
      <c r="A503" s="856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7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659.2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990.00000000000011</v>
      </c>
      <c r="E505" s="46">
        <f>IFERROR(Y85*1,"0")+IFERROR(Y86*1,"0")+IFERROR(Y87*1,"0")+IFERROR(Y88*1,"0")+IFERROR(Y92*1,"0")+IFERROR(Y93*1,"0")+IFERROR(Y94*1,"0")+IFERROR(Y95*1,"0")</f>
        <v>1467.9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1405.6200000000001</v>
      </c>
      <c r="G505" s="46">
        <f>IFERROR(Y127*1,"0")+IFERROR(Y128*1,"0")+IFERROR(Y132*1,"0")+IFERROR(Y133*1,"0")+IFERROR(Y137*1,"0")+IFERROR(Y138*1,"0")</f>
        <v>134.56</v>
      </c>
      <c r="H505" s="46">
        <f>IFERROR(Y143*1,"0")+IFERROR(Y144*1,"0")+IFERROR(Y148*1,"0")+IFERROR(Y149*1,"0")+IFERROR(Y150*1,"0")+IFERROR(Y151*1,"0")+IFERROR(Y152*1,"0")+IFERROR(Y153*1,"0")+IFERROR(Y157*1,"0")</f>
        <v>151.20000000000002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547.26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1918.8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250.99999999999997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242.39999999999998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1113.75</v>
      </c>
      <c r="R505" s="46">
        <f>IFERROR(Y342*1,"0")+IFERROR(Y343*1,"0")+IFERROR(Y344*1,"0")</f>
        <v>1155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4671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60.900000000000006</v>
      </c>
      <c r="V505" s="46">
        <f>IFERROR(Y411*1,"0")+IFERROR(Y415*1,"0")+IFERROR(Y416*1,"0")+IFERROR(Y417*1,"0")+IFERROR(Y418*1,"0")</f>
        <v>0</v>
      </c>
      <c r="W505" s="46">
        <f>IFERROR(Y423*1,"0")</f>
        <v>40.799999999999997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1154.8800000000001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1242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50,00"/>
        <filter val="1 155,00"/>
        <filter val="1 200,00"/>
        <filter val="100,00"/>
        <filter val="104,63"/>
        <filter val="105,00"/>
        <filter val="118,52"/>
        <filter val="12,00"/>
        <filter val="12,50"/>
        <filter val="120,00"/>
        <filter val="123,15"/>
        <filter val="126,00"/>
        <filter val="13,33"/>
        <filter val="132,01"/>
        <filter val="133,33"/>
        <filter val="135,00"/>
        <filter val="14,00"/>
        <filter val="140,00"/>
        <filter val="15,00"/>
        <filter val="150,00"/>
        <filter val="160,00"/>
        <filter val="17 009,40"/>
        <filter val="17,50"/>
        <filter val="170,00"/>
        <filter val="18 177,95"/>
        <filter val="18 952,95"/>
        <filter val="18,00"/>
        <filter val="18,75"/>
        <filter val="18,94"/>
        <filter val="192,86"/>
        <filter val="2,50"/>
        <filter val="20,00"/>
        <filter val="200,00"/>
        <filter val="203,70"/>
        <filter val="21,00"/>
        <filter val="212,00"/>
        <filter val="226,05"/>
        <filter val="230,56"/>
        <filter val="240,00"/>
        <filter val="250,00"/>
        <filter val="255,00"/>
        <filter val="26,40"/>
        <filter val="27,78"/>
        <filter val="28,33"/>
        <filter val="280,00"/>
        <filter val="3 600,00"/>
        <filter val="3 635,27"/>
        <filter val="3,33"/>
        <filter val="30,00"/>
        <filter val="300,00"/>
        <filter val="31"/>
        <filter val="32,00"/>
        <filter val="320,00"/>
        <filter val="33,33"/>
        <filter val="33,34"/>
        <filter val="35,00"/>
        <filter val="35,71"/>
        <filter val="368,00"/>
        <filter val="40,00"/>
        <filter val="400,00"/>
        <filter val="42,00"/>
        <filter val="433,91"/>
        <filter val="45,00"/>
        <filter val="450,00"/>
        <filter val="48,00"/>
        <filter val="49,50"/>
        <filter val="495,00"/>
        <filter val="5,00"/>
        <filter val="5,56"/>
        <filter val="50,00"/>
        <filter val="500,00"/>
        <filter val="525,00"/>
        <filter val="550,00"/>
        <filter val="59,50"/>
        <filter val="6,00"/>
        <filter val="6,67"/>
        <filter val="60,00"/>
        <filter val="61,11"/>
        <filter val="61,67"/>
        <filter val="630,00"/>
        <filter val="650,00"/>
        <filter val="66,67"/>
        <filter val="670,00"/>
        <filter val="7,00"/>
        <filter val="70,00"/>
        <filter val="700,00"/>
        <filter val="71,74"/>
        <filter val="720,00"/>
        <filter val="735,00"/>
        <filter val="75,00"/>
        <filter val="750,00"/>
        <filter val="8,97"/>
        <filter val="80,00"/>
        <filter val="85,00"/>
        <filter val="868,00"/>
        <filter val="89,84"/>
        <filter val="90,00"/>
      </filters>
    </filterColumn>
    <filterColumn colId="29" showButton="0"/>
    <filterColumn colId="30" showButton="0"/>
  </autoFilter>
  <mergeCells count="886"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D172:E172"/>
    <mergeCell ref="P202:V202"/>
    <mergeCell ref="P395:T395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315:T315"/>
    <mergeCell ref="P144:T144"/>
    <mergeCell ref="D423:E423"/>
    <mergeCell ref="P302:T302"/>
    <mergeCell ref="D174:E174"/>
    <mergeCell ref="A83:Z83"/>
    <mergeCell ref="P88:T88"/>
    <mergeCell ref="P401:T401"/>
    <mergeCell ref="D211:E211"/>
    <mergeCell ref="P168:T168"/>
    <mergeCell ref="P130:V130"/>
    <mergeCell ref="A123:O124"/>
    <mergeCell ref="P153:T153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A34:Z34"/>
    <mergeCell ref="A270:Z270"/>
    <mergeCell ref="P24:V24"/>
    <mergeCell ref="D281:E281"/>
    <mergeCell ref="P260:V260"/>
    <mergeCell ref="P89:V89"/>
    <mergeCell ref="A334:Z334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P454:T454"/>
    <mergeCell ref="P259:V259"/>
    <mergeCell ref="A78:Z78"/>
    <mergeCell ref="D263:E263"/>
    <mergeCell ref="P220:T220"/>
    <mergeCell ref="D238:E238"/>
    <mergeCell ref="A50:Z50"/>
    <mergeCell ref="P437:T437"/>
    <mergeCell ref="D472:E472"/>
    <mergeCell ref="A469:O470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H9:I9"/>
    <mergeCell ref="P28:T28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D473:E473"/>
    <mergeCell ref="D352:E352"/>
    <mergeCell ref="P219:T219"/>
    <mergeCell ref="D328:E328"/>
    <mergeCell ref="D436:E436"/>
    <mergeCell ref="A340:Z340"/>
    <mergeCell ref="A373:Z373"/>
    <mergeCell ref="D365:E365"/>
    <mergeCell ref="P236:T236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D221:E221"/>
    <mergeCell ref="P469:V469"/>
    <mergeCell ref="P486:T486"/>
    <mergeCell ref="P75:T75"/>
    <mergeCell ref="P342:T342"/>
    <mergeCell ref="P317:T317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A36:O37"/>
    <mergeCell ref="V11:W11"/>
    <mergeCell ref="P57:T57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01:T10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A262:Z262"/>
    <mergeCell ref="P283:V283"/>
    <mergeCell ref="P252:V252"/>
    <mergeCell ref="P105:V105"/>
    <mergeCell ref="A464:Z464"/>
    <mergeCell ref="A160:Z160"/>
    <mergeCell ref="A71:Z71"/>
    <mergeCell ref="P79:T79"/>
    <mergeCell ref="D116:E116"/>
    <mergeCell ref="D67:E67"/>
    <mergeCell ref="D79:E79"/>
    <mergeCell ref="P92:T92"/>
    <mergeCell ref="P394:T394"/>
    <mergeCell ref="D315:E315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51:Z5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