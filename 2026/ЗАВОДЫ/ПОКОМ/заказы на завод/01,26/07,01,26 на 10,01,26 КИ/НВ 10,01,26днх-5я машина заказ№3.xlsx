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FFD25E9-15C8-48E4-8CC3-7ABD6A9C62E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U505" i="1" s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N288" i="1"/>
  <c r="BM288" i="1"/>
  <c r="Z288" i="1"/>
  <c r="Y288" i="1"/>
  <c r="BP288" i="1" s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BP272" i="1" s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Y252" i="1" s="1"/>
  <c r="P250" i="1"/>
  <c r="X248" i="1"/>
  <c r="X247" i="1"/>
  <c r="BO246" i="1"/>
  <c r="BM246" i="1"/>
  <c r="Y246" i="1"/>
  <c r="Y248" i="1" s="1"/>
  <c r="P246" i="1"/>
  <c r="X244" i="1"/>
  <c r="X243" i="1"/>
  <c r="BO242" i="1"/>
  <c r="BM242" i="1"/>
  <c r="Y242" i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P234" i="1"/>
  <c r="X231" i="1"/>
  <c r="X230" i="1"/>
  <c r="BO229" i="1"/>
  <c r="BM229" i="1"/>
  <c r="Y229" i="1"/>
  <c r="BP229" i="1" s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O200" i="1"/>
  <c r="BM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BO167" i="1"/>
  <c r="BM167" i="1"/>
  <c r="Y167" i="1"/>
  <c r="X165" i="1"/>
  <c r="X164" i="1"/>
  <c r="BO163" i="1"/>
  <c r="BM163" i="1"/>
  <c r="Y163" i="1"/>
  <c r="Y164" i="1" s="1"/>
  <c r="P163" i="1"/>
  <c r="X159" i="1"/>
  <c r="X158" i="1"/>
  <c r="BO157" i="1"/>
  <c r="BM157" i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O143" i="1"/>
  <c r="BM143" i="1"/>
  <c r="Y143" i="1"/>
  <c r="BP143" i="1" s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BP132" i="1" s="1"/>
  <c r="P132" i="1"/>
  <c r="X130" i="1"/>
  <c r="X129" i="1"/>
  <c r="BO128" i="1"/>
  <c r="BM128" i="1"/>
  <c r="Y128" i="1"/>
  <c r="BP128" i="1" s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O115" i="1"/>
  <c r="BM115" i="1"/>
  <c r="Y115" i="1"/>
  <c r="BP115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O61" i="1"/>
  <c r="BM61" i="1"/>
  <c r="Y61" i="1"/>
  <c r="Y65" i="1" s="1"/>
  <c r="P61" i="1"/>
  <c r="X59" i="1"/>
  <c r="X58" i="1"/>
  <c r="BO57" i="1"/>
  <c r="BN57" i="1"/>
  <c r="BM57" i="1"/>
  <c r="Z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BP73" i="1" l="1"/>
  <c r="BN73" i="1"/>
  <c r="Z73" i="1"/>
  <c r="BP103" i="1"/>
  <c r="BN103" i="1"/>
  <c r="Z103" i="1"/>
  <c r="BP149" i="1"/>
  <c r="BN149" i="1"/>
  <c r="Z149" i="1"/>
  <c r="BP179" i="1"/>
  <c r="BN179" i="1"/>
  <c r="Z179" i="1"/>
  <c r="BP219" i="1"/>
  <c r="BN219" i="1"/>
  <c r="Z219" i="1"/>
  <c r="BP242" i="1"/>
  <c r="BN242" i="1"/>
  <c r="Z242" i="1"/>
  <c r="BP274" i="1"/>
  <c r="BN274" i="1"/>
  <c r="Z274" i="1"/>
  <c r="BP317" i="1"/>
  <c r="BN317" i="1"/>
  <c r="Z317" i="1"/>
  <c r="BP352" i="1"/>
  <c r="BN352" i="1"/>
  <c r="Z352" i="1"/>
  <c r="BP396" i="1"/>
  <c r="BN396" i="1"/>
  <c r="Z396" i="1"/>
  <c r="BP434" i="1"/>
  <c r="BN434" i="1"/>
  <c r="Z434" i="1"/>
  <c r="BP466" i="1"/>
  <c r="BN466" i="1"/>
  <c r="Z466" i="1"/>
  <c r="Z22" i="1"/>
  <c r="BN22" i="1"/>
  <c r="Y32" i="1"/>
  <c r="Z53" i="1"/>
  <c r="BN53" i="1"/>
  <c r="BP88" i="1"/>
  <c r="BN88" i="1"/>
  <c r="Z88" i="1"/>
  <c r="BP117" i="1"/>
  <c r="BN117" i="1"/>
  <c r="Z117" i="1"/>
  <c r="BP171" i="1"/>
  <c r="BN171" i="1"/>
  <c r="Z171" i="1"/>
  <c r="BP206" i="1"/>
  <c r="BN206" i="1"/>
  <c r="Z206" i="1"/>
  <c r="BP207" i="1"/>
  <c r="BN207" i="1"/>
  <c r="Z207" i="1"/>
  <c r="BP234" i="1"/>
  <c r="BN234" i="1"/>
  <c r="Z234" i="1"/>
  <c r="BP263" i="1"/>
  <c r="BN263" i="1"/>
  <c r="Z263" i="1"/>
  <c r="BP307" i="1"/>
  <c r="BN307" i="1"/>
  <c r="Z307" i="1"/>
  <c r="BP335" i="1"/>
  <c r="BN335" i="1"/>
  <c r="Z335" i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Y484" i="1"/>
  <c r="Y483" i="1"/>
  <c r="BP482" i="1"/>
  <c r="BN482" i="1"/>
  <c r="Z482" i="1"/>
  <c r="Z483" i="1" s="1"/>
  <c r="BP486" i="1"/>
  <c r="BN486" i="1"/>
  <c r="Z486" i="1"/>
  <c r="Y96" i="1"/>
  <c r="Y260" i="1"/>
  <c r="BP301" i="1"/>
  <c r="BN301" i="1"/>
  <c r="Z301" i="1"/>
  <c r="Y319" i="1"/>
  <c r="BP315" i="1"/>
  <c r="BN315" i="1"/>
  <c r="Z315" i="1"/>
  <c r="BP331" i="1"/>
  <c r="BN331" i="1"/>
  <c r="Z331" i="1"/>
  <c r="BP350" i="1"/>
  <c r="BN350" i="1"/>
  <c r="Z350" i="1"/>
  <c r="BP361" i="1"/>
  <c r="BN361" i="1"/>
  <c r="Z361" i="1"/>
  <c r="BP365" i="1"/>
  <c r="BN365" i="1"/>
  <c r="Z365" i="1"/>
  <c r="BP394" i="1"/>
  <c r="BN394" i="1"/>
  <c r="Z394" i="1"/>
  <c r="BP406" i="1"/>
  <c r="BN406" i="1"/>
  <c r="Z406" i="1"/>
  <c r="BP432" i="1"/>
  <c r="BN432" i="1"/>
  <c r="Z432" i="1"/>
  <c r="BP440" i="1"/>
  <c r="BN440" i="1"/>
  <c r="Z440" i="1"/>
  <c r="BP454" i="1"/>
  <c r="BN454" i="1"/>
  <c r="Z454" i="1"/>
  <c r="BP478" i="1"/>
  <c r="BN478" i="1"/>
  <c r="Z478" i="1"/>
  <c r="J9" i="1"/>
  <c r="X499" i="1"/>
  <c r="Z28" i="1"/>
  <c r="BN28" i="1"/>
  <c r="Z42" i="1"/>
  <c r="BN42" i="1"/>
  <c r="Y59" i="1"/>
  <c r="Z55" i="1"/>
  <c r="BN55" i="1"/>
  <c r="Z61" i="1"/>
  <c r="BN61" i="1"/>
  <c r="BP61" i="1"/>
  <c r="Z67" i="1"/>
  <c r="BN67" i="1"/>
  <c r="Z75" i="1"/>
  <c r="BN75" i="1"/>
  <c r="Y81" i="1"/>
  <c r="Z86" i="1"/>
  <c r="BN86" i="1"/>
  <c r="Z92" i="1"/>
  <c r="BN92" i="1"/>
  <c r="BP92" i="1"/>
  <c r="Z101" i="1"/>
  <c r="BN101" i="1"/>
  <c r="Z109" i="1"/>
  <c r="BN109" i="1"/>
  <c r="Z115" i="1"/>
  <c r="BN115" i="1"/>
  <c r="Z128" i="1"/>
  <c r="BN128" i="1"/>
  <c r="Z132" i="1"/>
  <c r="BN132" i="1"/>
  <c r="Z143" i="1"/>
  <c r="BN143" i="1"/>
  <c r="Z151" i="1"/>
  <c r="BN151" i="1"/>
  <c r="Z157" i="1"/>
  <c r="Z158" i="1" s="1"/>
  <c r="BN157" i="1"/>
  <c r="BP157" i="1"/>
  <c r="Y158" i="1"/>
  <c r="Z163" i="1"/>
  <c r="Z164" i="1" s="1"/>
  <c r="BN163" i="1"/>
  <c r="BP163" i="1"/>
  <c r="Z169" i="1"/>
  <c r="BN169" i="1"/>
  <c r="Z173" i="1"/>
  <c r="BN173" i="1"/>
  <c r="Z177" i="1"/>
  <c r="BN177" i="1"/>
  <c r="Z185" i="1"/>
  <c r="BN185" i="1"/>
  <c r="Z200" i="1"/>
  <c r="BN200" i="1"/>
  <c r="BP200" i="1"/>
  <c r="Z209" i="1"/>
  <c r="BN209" i="1"/>
  <c r="Z217" i="1"/>
  <c r="BN217" i="1"/>
  <c r="Z221" i="1"/>
  <c r="BN221" i="1"/>
  <c r="Z229" i="1"/>
  <c r="BN229" i="1"/>
  <c r="Z236" i="1"/>
  <c r="BN236" i="1"/>
  <c r="Z240" i="1"/>
  <c r="BN240" i="1"/>
  <c r="Z246" i="1"/>
  <c r="Z247" i="1" s="1"/>
  <c r="BN246" i="1"/>
  <c r="BP246" i="1"/>
  <c r="Y247" i="1"/>
  <c r="Z250" i="1"/>
  <c r="Z251" i="1" s="1"/>
  <c r="BN250" i="1"/>
  <c r="BP250" i="1"/>
  <c r="Y251" i="1"/>
  <c r="Z254" i="1"/>
  <c r="BN254" i="1"/>
  <c r="BP254" i="1"/>
  <c r="Z258" i="1"/>
  <c r="BN258" i="1"/>
  <c r="Y269" i="1"/>
  <c r="Z265" i="1"/>
  <c r="BN265" i="1"/>
  <c r="Z272" i="1"/>
  <c r="BN272" i="1"/>
  <c r="Z281" i="1"/>
  <c r="BN281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82" i="1"/>
  <c r="BP380" i="1"/>
  <c r="BN380" i="1"/>
  <c r="Z380" i="1"/>
  <c r="BP398" i="1"/>
  <c r="BN398" i="1"/>
  <c r="Z398" i="1"/>
  <c r="BP417" i="1"/>
  <c r="BN417" i="1"/>
  <c r="Z417" i="1"/>
  <c r="BP436" i="1"/>
  <c r="BN436" i="1"/>
  <c r="Z436" i="1"/>
  <c r="BP446" i="1"/>
  <c r="BN446" i="1"/>
  <c r="Z446" i="1"/>
  <c r="BP450" i="1"/>
  <c r="BN450" i="1"/>
  <c r="Z450" i="1"/>
  <c r="BP468" i="1"/>
  <c r="BN468" i="1"/>
  <c r="Z468" i="1"/>
  <c r="Y339" i="1"/>
  <c r="Y338" i="1"/>
  <c r="Y419" i="1"/>
  <c r="Y448" i="1"/>
  <c r="Y447" i="1"/>
  <c r="Y488" i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Z119" i="1" s="1"/>
  <c r="BP133" i="1"/>
  <c r="BN133" i="1"/>
  <c r="Z133" i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Y345" i="1"/>
  <c r="D505" i="1"/>
  <c r="H9" i="1"/>
  <c r="B505" i="1"/>
  <c r="X496" i="1"/>
  <c r="X497" i="1"/>
  <c r="Z23" i="1"/>
  <c r="Z24" i="1" s="1"/>
  <c r="BN23" i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Z62" i="1"/>
  <c r="Z64" i="1" s="1"/>
  <c r="BN62" i="1"/>
  <c r="Y69" i="1"/>
  <c r="Z68" i="1"/>
  <c r="BN68" i="1"/>
  <c r="Y70" i="1"/>
  <c r="Y77" i="1"/>
  <c r="BP72" i="1"/>
  <c r="BN72" i="1"/>
  <c r="Z72" i="1"/>
  <c r="Y76" i="1"/>
  <c r="BP80" i="1"/>
  <c r="BN80" i="1"/>
  <c r="Z80" i="1"/>
  <c r="Z81" i="1" s="1"/>
  <c r="Y82" i="1"/>
  <c r="E505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Y259" i="1"/>
  <c r="BP264" i="1"/>
  <c r="BN264" i="1"/>
  <c r="Z264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Y332" i="1"/>
  <c r="BP336" i="1"/>
  <c r="BN336" i="1"/>
  <c r="Z336" i="1"/>
  <c r="Z338" i="1" s="1"/>
  <c r="BP351" i="1"/>
  <c r="BN351" i="1"/>
  <c r="Z351" i="1"/>
  <c r="BP355" i="1"/>
  <c r="BN355" i="1"/>
  <c r="Z355" i="1"/>
  <c r="Z357" i="1" s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Y367" i="1"/>
  <c r="BP381" i="1"/>
  <c r="BN381" i="1"/>
  <c r="Z381" i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Z447" i="1" l="1"/>
  <c r="Z382" i="1"/>
  <c r="Z407" i="1"/>
  <c r="Z268" i="1"/>
  <c r="Z479" i="1"/>
  <c r="Z367" i="1"/>
  <c r="Z89" i="1"/>
  <c r="Z303" i="1"/>
  <c r="Z105" i="1"/>
  <c r="Z362" i="1"/>
  <c r="Z332" i="1"/>
  <c r="Z259" i="1"/>
  <c r="Z145" i="1"/>
  <c r="Z96" i="1"/>
  <c r="Z76" i="1"/>
  <c r="Z69" i="1"/>
  <c r="Z58" i="1"/>
  <c r="Y497" i="1"/>
  <c r="Y496" i="1"/>
  <c r="Z345" i="1"/>
  <c r="Z230" i="1"/>
  <c r="Z134" i="1"/>
  <c r="Y498" i="1"/>
  <c r="Z402" i="1"/>
  <c r="Z213" i="1"/>
  <c r="Z312" i="1"/>
  <c r="Z283" i="1"/>
  <c r="Z225" i="1"/>
  <c r="Z181" i="1"/>
  <c r="Z112" i="1"/>
  <c r="Z441" i="1"/>
  <c r="Z419" i="1"/>
  <c r="Z319" i="1"/>
  <c r="Z276" i="1"/>
  <c r="Z469" i="1"/>
  <c r="Z325" i="1"/>
  <c r="Z187" i="1"/>
  <c r="Z154" i="1"/>
  <c r="Z44" i="1"/>
  <c r="Z32" i="1"/>
  <c r="Y499" i="1"/>
  <c r="X498" i="1"/>
  <c r="Y495" i="1"/>
  <c r="Z500" i="1" l="1"/>
</calcChain>
</file>

<file path=xl/sharedStrings.xml><?xml version="1.0" encoding="utf-8"?>
<sst xmlns="http://schemas.openxmlformats.org/spreadsheetml/2006/main" count="2321" uniqueCount="782">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</sst>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100" sqref="AA100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46032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Суббота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0.54166666666666663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hidden="1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112</v>
      </c>
      <c r="B43" s="54" t="s">
        <v>113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0</v>
      </c>
      <c r="Y44" s="555">
        <f>IFERROR(Y41/H41,"0")+IFERROR(Y42/H42,"0")+IFERROR(Y43/H43,"0")</f>
        <v>0</v>
      </c>
      <c r="Z44" s="555">
        <f>IFERROR(IF(Z41="",0,Z41),"0")+IFERROR(IF(Z42="",0,Z42),"0")+IFERROR(IF(Z43="",0,Z43),"0")</f>
        <v>0</v>
      </c>
      <c r="AA44" s="556"/>
      <c r="AB44" s="556"/>
      <c r="AC44" s="556"/>
    </row>
    <row r="45" spans="1:68" hidden="1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0</v>
      </c>
      <c r="Y45" s="555">
        <f>IFERROR(SUM(Y41:Y43),"0")</f>
        <v>0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114</v>
      </c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114</v>
      </c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0</v>
      </c>
      <c r="Y58" s="555">
        <f>IFERROR(Y52/H52,"0")+IFERROR(Y53/H53,"0")+IFERROR(Y54/H54,"0")+IFERROR(Y55/H55,"0")+IFERROR(Y56/H56,"0")+IFERROR(Y57/H57,"0")</f>
        <v>0</v>
      </c>
      <c r="Z58" s="555">
        <f>IFERROR(IF(Z52="",0,Z52),"0")+IFERROR(IF(Z53="",0,Z53),"0")+IFERROR(IF(Z54="",0,Z54),"0")+IFERROR(IF(Z55="",0,Z55),"0")+IFERROR(IF(Z56="",0,Z56),"0")+IFERROR(IF(Z57="",0,Z57),"0")</f>
        <v>0</v>
      </c>
      <c r="AA58" s="556"/>
      <c r="AB58" s="556"/>
      <c r="AC58" s="556"/>
    </row>
    <row r="59" spans="1:68" hidden="1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0</v>
      </c>
      <c r="Y59" s="555">
        <f>IFERROR(SUM(Y52:Y57),"0")</f>
        <v>0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hidden="1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hidden="1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hidden="1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hidden="1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0</v>
      </c>
      <c r="Y85" s="55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 t="s">
        <v>114</v>
      </c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108</v>
      </c>
      <c r="AK87" s="68">
        <v>48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114</v>
      </c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0</v>
      </c>
      <c r="Y89" s="555">
        <f>IFERROR(Y85/H85,"0")+IFERROR(Y86/H86,"0")+IFERROR(Y87/H87,"0")+IFERROR(Y88/H88,"0")</f>
        <v>0</v>
      </c>
      <c r="Z89" s="555">
        <f>IFERROR(IF(Z85="",0,Z85),"0")+IFERROR(IF(Z86="",0,Z86),"0")+IFERROR(IF(Z87="",0,Z87),"0")+IFERROR(IF(Z88="",0,Z88),"0")</f>
        <v>0</v>
      </c>
      <c r="AA89" s="556"/>
      <c r="AB89" s="556"/>
      <c r="AC89" s="556"/>
    </row>
    <row r="90" spans="1:68" hidden="1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0</v>
      </c>
      <c r="Y90" s="555">
        <f>IFERROR(SUM(Y85:Y88),"0")</f>
        <v>0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hidden="1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0</v>
      </c>
      <c r="Y92" s="55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0</v>
      </c>
      <c r="Y96" s="555">
        <f>IFERROR(Y92/H92,"0")+IFERROR(Y93/H93,"0")+IFERROR(Y94/H94,"0")+IFERROR(Y95/H95,"0")</f>
        <v>0</v>
      </c>
      <c r="Z96" s="555">
        <f>IFERROR(IF(Z92="",0,Z92),"0")+IFERROR(IF(Z93="",0,Z93),"0")+IFERROR(IF(Z94="",0,Z94),"0")+IFERROR(IF(Z95="",0,Z95),"0")</f>
        <v>0</v>
      </c>
      <c r="AA96" s="556"/>
      <c r="AB96" s="556"/>
      <c r="AC96" s="556"/>
    </row>
    <row r="97" spans="1:68" hidden="1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0</v>
      </c>
      <c r="Y97" s="555">
        <f>IFERROR(SUM(Y92:Y95),"0")</f>
        <v>0</v>
      </c>
      <c r="Z97" s="37"/>
      <c r="AA97" s="556"/>
      <c r="AB97" s="556"/>
      <c r="AC97" s="556"/>
    </row>
    <row r="98" spans="1:68" ht="16.5" hidden="1" customHeight="1" x14ac:dyDescent="0.25">
      <c r="A98" s="578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1000</v>
      </c>
      <c r="Y100" s="554">
        <f>IFERROR(IF(X100="",0,CEILING((X100/$H100),1)*$H100),"")</f>
        <v>1004.4000000000001</v>
      </c>
      <c r="Z100" s="36">
        <f>IFERROR(IF(Y100=0,"",ROUNDUP(Y100/H100,0)*0.01898),"")</f>
        <v>1.7651399999999999</v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1037.9629629629628</v>
      </c>
      <c r="BN100" s="64">
        <f>IFERROR(Y100*I100/H100,"0")</f>
        <v>1042.5300000000002</v>
      </c>
      <c r="BO100" s="64">
        <f>IFERROR(1/J100*(X100/H100),"0")</f>
        <v>1.4467592592592591</v>
      </c>
      <c r="BP100" s="64">
        <f>IFERROR(1/J100*(Y100/H100),"0")</f>
        <v>1.453125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114</v>
      </c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92.592592592592581</v>
      </c>
      <c r="Y105" s="555">
        <f>IFERROR(Y100/H100,"0")+IFERROR(Y101/H101,"0")+IFERROR(Y102/H102,"0")+IFERROR(Y103/H103,"0")+IFERROR(Y104/H104,"0")</f>
        <v>93</v>
      </c>
      <c r="Z105" s="555">
        <f>IFERROR(IF(Z100="",0,Z100),"0")+IFERROR(IF(Z101="",0,Z101),"0")+IFERROR(IF(Z102="",0,Z102),"0")+IFERROR(IF(Z103="",0,Z103),"0")+IFERROR(IF(Z104="",0,Z104),"0")</f>
        <v>1.7651399999999999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1000</v>
      </c>
      <c r="Y106" s="555">
        <f>IFERROR(SUM(Y100:Y104),"0")</f>
        <v>1004.4000000000001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hidden="1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hidden="1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idden="1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0</v>
      </c>
      <c r="Y119" s="555">
        <f>IFERROR(Y115/H115,"0")+IFERROR(Y116/H116,"0")+IFERROR(Y117/H117,"0")+IFERROR(Y118/H118,"0")</f>
        <v>0</v>
      </c>
      <c r="Z119" s="555">
        <f>IFERROR(IF(Z115="",0,Z115),"0")+IFERROR(IF(Z116="",0,Z116),"0")+IFERROR(IF(Z117="",0,Z117),"0")+IFERROR(IF(Z118="",0,Z118),"0")</f>
        <v>0</v>
      </c>
      <c r="AA119" s="556"/>
      <c r="AB119" s="556"/>
      <c r="AC119" s="556"/>
    </row>
    <row r="120" spans="1:68" hidden="1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0</v>
      </c>
      <c r="Y120" s="555">
        <f>IFERROR(SUM(Y115:Y118),"0")</f>
        <v>0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4301031450</v>
      </c>
      <c r="D148" s="562">
        <v>4680115887428</v>
      </c>
      <c r="E148" s="563"/>
      <c r="F148" s="552">
        <v>0.7</v>
      </c>
      <c r="G148" s="32">
        <v>6</v>
      </c>
      <c r="H148" s="552">
        <v>4.2</v>
      </c>
      <c r="I148" s="552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4301030895</v>
      </c>
      <c r="D149" s="562">
        <v>4607091387667</v>
      </c>
      <c r="E149" s="563"/>
      <c r="F149" s="552">
        <v>0.9</v>
      </c>
      <c r="G149" s="32">
        <v>10</v>
      </c>
      <c r="H149" s="552">
        <v>9</v>
      </c>
      <c r="I149" s="552">
        <v>9.56</v>
      </c>
      <c r="J149" s="32">
        <v>64</v>
      </c>
      <c r="K149" s="32" t="s">
        <v>104</v>
      </c>
      <c r="L149" s="32"/>
      <c r="M149" s="33" t="s">
        <v>106</v>
      </c>
      <c r="N149" s="33"/>
      <c r="O149" s="32">
        <v>40</v>
      </c>
      <c r="P149" s="88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/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idden="1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6"/>
      <c r="AB181" s="556"/>
      <c r="AC181" s="556"/>
    </row>
    <row r="182" spans="1:68" hidden="1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0</v>
      </c>
      <c r="Y182" s="555">
        <f>IFERROR(SUM(Y167:Y180),"0")</f>
        <v>0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hidden="1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hidden="1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 t="s">
        <v>188</v>
      </c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108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hidden="1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idden="1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0</v>
      </c>
      <c r="Y213" s="555">
        <f>IFERROR(Y205/H205,"0")+IFERROR(Y206/H206,"0")+IFERROR(Y207/H207,"0")+IFERROR(Y208/H208,"0")+IFERROR(Y209/H209,"0")+IFERROR(Y210/H210,"0")+IFERROR(Y211/H211,"0")+IFERROR(Y212/H212,"0")</f>
        <v>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6"/>
      <c r="AB213" s="556"/>
      <c r="AC213" s="556"/>
    </row>
    <row r="214" spans="1:68" hidden="1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0</v>
      </c>
      <c r="Y214" s="555">
        <f>IFERROR(SUM(Y205:Y212),"0")</f>
        <v>0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hidden="1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0</v>
      </c>
      <c r="Y219" s="554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0</v>
      </c>
      <c r="Y221" s="554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hidden="1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hidden="1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0</v>
      </c>
      <c r="Y225" s="555">
        <f>IFERROR(Y216/H216,"0")+IFERROR(Y217/H217,"0")+IFERROR(Y218/H218,"0")+IFERROR(Y219/H219,"0")+IFERROR(Y220/H220,"0")+IFERROR(Y221/H221,"0")+IFERROR(Y222/H222,"0")+IFERROR(Y223/H223,"0")+IFERROR(Y224/H224,"0")</f>
        <v>0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556"/>
      <c r="AB225" s="556"/>
      <c r="AC225" s="556"/>
    </row>
    <row r="226" spans="1:68" hidden="1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0</v>
      </c>
      <c r="Y226" s="555">
        <f>IFERROR(SUM(Y216:Y224),"0")</f>
        <v>0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hidden="1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hidden="1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hidden="1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hidden="1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 t="s">
        <v>105</v>
      </c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108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hidden="1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114</v>
      </c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hidden="1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hidden="1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hidden="1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0</v>
      </c>
      <c r="Y323" s="554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16.5" hidden="1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0</v>
      </c>
      <c r="Y325" s="555">
        <f>IFERROR(Y322/H322,"0")+IFERROR(Y323/H323,"0")+IFERROR(Y324/H324,"0")</f>
        <v>0</v>
      </c>
      <c r="Z325" s="555">
        <f>IFERROR(IF(Z322="",0,Z322),"0")+IFERROR(IF(Z323="",0,Z323),"0")+IFERROR(IF(Z324="",0,Z324),"0")</f>
        <v>0</v>
      </c>
      <c r="AA325" s="556"/>
      <c r="AB325" s="556"/>
      <c r="AC325" s="556"/>
    </row>
    <row r="326" spans="1:68" hidden="1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0</v>
      </c>
      <c r="Y326" s="555">
        <f>IFERROR(SUM(Y322:Y324),"0")</f>
        <v>0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hidden="1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hidden="1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1200</v>
      </c>
      <c r="Y350" s="554">
        <f t="shared" ref="Y350:Y356" si="36">IFERROR(IF(X350="",0,CEILING((X350/$H350),1)*$H350),"")</f>
        <v>1200</v>
      </c>
      <c r="Z350" s="36">
        <f>IFERROR(IF(Y350=0,"",ROUNDUP(Y350/H350,0)*0.02175),"")</f>
        <v>1.7399999999999998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1237.5999999999999</v>
      </c>
      <c r="BN350" s="64">
        <f t="shared" ref="BN350:BN356" si="38">IFERROR(Y350*I350/H350,"0")</f>
        <v>1237.5999999999999</v>
      </c>
      <c r="BO350" s="64">
        <f t="shared" ref="BO350:BO356" si="39">IFERROR(1/J350*(X350/H350),"0")</f>
        <v>1.6666666666666665</v>
      </c>
      <c r="BP350" s="64">
        <f t="shared" ref="BP350:BP356" si="40">IFERROR(1/J350*(Y350/H350),"0")</f>
        <v>1.6666666666666665</v>
      </c>
    </row>
    <row r="351" spans="1:68" ht="27" hidden="1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0</v>
      </c>
      <c r="Y351" s="554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hidden="1" customHeight="1" x14ac:dyDescent="0.25">
      <c r="A352" s="54" t="s">
        <v>567</v>
      </c>
      <c r="B352" s="54" t="s">
        <v>568</v>
      </c>
      <c r="C352" s="31">
        <v>4301012215</v>
      </c>
      <c r="D352" s="562">
        <v>4680115887046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9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0</v>
      </c>
      <c r="Y352" s="554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 t="s">
        <v>105</v>
      </c>
      <c r="M353" s="33" t="s">
        <v>68</v>
      </c>
      <c r="N353" s="33"/>
      <c r="O353" s="32">
        <v>60</v>
      </c>
      <c r="P353" s="7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1290</v>
      </c>
      <c r="Y353" s="554">
        <f t="shared" si="36"/>
        <v>1290</v>
      </c>
      <c r="Z353" s="36">
        <f>IFERROR(IF(Y353=0,"",ROUNDUP(Y353/H353,0)*0.02175),"")</f>
        <v>1.8704999999999998</v>
      </c>
      <c r="AA353" s="56"/>
      <c r="AB353" s="57"/>
      <c r="AC353" s="411" t="s">
        <v>572</v>
      </c>
      <c r="AG353" s="64"/>
      <c r="AJ353" s="68" t="s">
        <v>108</v>
      </c>
      <c r="AK353" s="68">
        <v>120</v>
      </c>
      <c r="BB353" s="412" t="s">
        <v>1</v>
      </c>
      <c r="BM353" s="64">
        <f t="shared" si="37"/>
        <v>1330.4199999999998</v>
      </c>
      <c r="BN353" s="64">
        <f t="shared" si="38"/>
        <v>1330.4199999999998</v>
      </c>
      <c r="BO353" s="64">
        <f t="shared" si="39"/>
        <v>1.7916666666666665</v>
      </c>
      <c r="BP353" s="64">
        <f t="shared" si="40"/>
        <v>1.7916666666666665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572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166</v>
      </c>
      <c r="Y357" s="555">
        <f>IFERROR(Y350/H350,"0")+IFERROR(Y351/H351,"0")+IFERROR(Y352/H352,"0")+IFERROR(Y353/H353,"0")+IFERROR(Y354/H354,"0")+IFERROR(Y355/H355,"0")+IFERROR(Y356/H356,"0")</f>
        <v>166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3.6104999999999996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2490</v>
      </c>
      <c r="Y358" s="555">
        <f>IFERROR(SUM(Y350:Y356),"0")</f>
        <v>2490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1000</v>
      </c>
      <c r="Y360" s="554">
        <f>IFERROR(IF(X360="",0,CEILING((X360/$H360),1)*$H360),"")</f>
        <v>1005</v>
      </c>
      <c r="Z360" s="36">
        <f>IFERROR(IF(Y360=0,"",ROUNDUP(Y360/H360,0)*0.02175),"")</f>
        <v>1.4572499999999999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1031.3333333333333</v>
      </c>
      <c r="BN360" s="64">
        <f>IFERROR(Y360*I360/H360,"0")</f>
        <v>1036.49</v>
      </c>
      <c r="BO360" s="64">
        <f>IFERROR(1/J360*(X360/H360),"0")</f>
        <v>1.3888888888888888</v>
      </c>
      <c r="BP360" s="64">
        <f>IFERROR(1/J360*(Y360/H360),"0")</f>
        <v>1.3958333333333333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66.666666666666671</v>
      </c>
      <c r="Y362" s="555">
        <f>IFERROR(Y360/H360,"0")+IFERROR(Y361/H361,"0")</f>
        <v>67</v>
      </c>
      <c r="Z362" s="555">
        <f>IFERROR(IF(Z360="",0,Z360),"0")+IFERROR(IF(Z361="",0,Z361),"0")</f>
        <v>1.4572499999999999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1000</v>
      </c>
      <c r="Y363" s="555">
        <f>IFERROR(SUM(Y360:Y361),"0")</f>
        <v>1005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hidden="1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hidden="1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hidden="1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4301031457</v>
      </c>
      <c r="D380" s="562">
        <v>4607091384802</v>
      </c>
      <c r="E380" s="563"/>
      <c r="F380" s="552">
        <v>0.7</v>
      </c>
      <c r="G380" s="32">
        <v>6</v>
      </c>
      <c r="H380" s="552">
        <v>4.2</v>
      </c>
      <c r="I380" s="552">
        <v>4.45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50</v>
      </c>
      <c r="P380" s="6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4301031303</v>
      </c>
      <c r="D381" s="562">
        <v>4607091384802</v>
      </c>
      <c r="E381" s="563"/>
      <c r="F381" s="552">
        <v>0.73</v>
      </c>
      <c r="G381" s="32">
        <v>6</v>
      </c>
      <c r="H381" s="552">
        <v>4.38</v>
      </c>
      <c r="I381" s="552">
        <v>4.63</v>
      </c>
      <c r="J381" s="32">
        <v>132</v>
      </c>
      <c r="K381" s="32" t="s">
        <v>111</v>
      </c>
      <c r="L381" s="32" t="s">
        <v>114</v>
      </c>
      <c r="M381" s="33" t="s">
        <v>68</v>
      </c>
      <c r="N381" s="33"/>
      <c r="O381" s="32">
        <v>35</v>
      </c>
      <c r="P381" s="60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 t="s">
        <v>108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hidden="1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0</v>
      </c>
      <c r="Y385" s="55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0</v>
      </c>
      <c r="Y388" s="555">
        <f>IFERROR(Y385/H385,"0")+IFERROR(Y386/H386,"0")+IFERROR(Y387/H387,"0")</f>
        <v>0</v>
      </c>
      <c r="Z388" s="555">
        <f>IFERROR(IF(Z385="",0,Z385),"0")+IFERROR(IF(Z386="",0,Z386),"0")+IFERROR(IF(Z387="",0,Z387),"0")</f>
        <v>0</v>
      </c>
      <c r="AA388" s="556"/>
      <c r="AB388" s="556"/>
      <c r="AC388" s="556"/>
    </row>
    <row r="389" spans="1:68" hidden="1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0</v>
      </c>
      <c r="Y389" s="555">
        <f>IFERROR(SUM(Y385:Y387),"0")</f>
        <v>0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114</v>
      </c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hidden="1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hidden="1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hidden="1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1000</v>
      </c>
      <c r="Y433" s="554">
        <f t="shared" si="47"/>
        <v>1003.2</v>
      </c>
      <c r="Z433" s="36">
        <f t="shared" si="48"/>
        <v>2.2724000000000002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1066.2878787878788</v>
      </c>
      <c r="BN433" s="64">
        <f t="shared" si="50"/>
        <v>1069.7</v>
      </c>
      <c r="BO433" s="64">
        <f t="shared" si="51"/>
        <v>1.821095571095571</v>
      </c>
      <c r="BP433" s="64">
        <f t="shared" si="52"/>
        <v>1.8269230769230771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1000</v>
      </c>
      <c r="Y435" s="554">
        <f t="shared" si="47"/>
        <v>1003.2</v>
      </c>
      <c r="Z435" s="36">
        <f t="shared" si="48"/>
        <v>2.2724000000000002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1066.2878787878788</v>
      </c>
      <c r="BN435" s="64">
        <f t="shared" si="50"/>
        <v>1069.7</v>
      </c>
      <c r="BO435" s="64">
        <f t="shared" si="51"/>
        <v>1.821095571095571</v>
      </c>
      <c r="BP435" s="64">
        <f t="shared" si="52"/>
        <v>1.8269230769230771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378.78787878787875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380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4.5448000000000004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2000</v>
      </c>
      <c r="Y442" s="555">
        <f>IFERROR(SUM(Y429:Y440),"0")</f>
        <v>2006.4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hidden="1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114</v>
      </c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hidden="1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hidden="1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hidden="1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hidden="1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0</v>
      </c>
      <c r="Y456" s="555">
        <f>IFERROR(Y450/H450,"0")+IFERROR(Y451/H451,"0")+IFERROR(Y452/H452,"0")+IFERROR(Y453/H453,"0")+IFERROR(Y454/H454,"0")+IFERROR(Y455/H455,"0")</f>
        <v>0</v>
      </c>
      <c r="Z456" s="555">
        <f>IFERROR(IF(Z450="",0,Z450),"0")+IFERROR(IF(Z451="",0,Z451),"0")+IFERROR(IF(Z452="",0,Z452),"0")+IFERROR(IF(Z453="",0,Z453),"0")+IFERROR(IF(Z454="",0,Z454),"0")+IFERROR(IF(Z455="",0,Z455),"0")</f>
        <v>0</v>
      </c>
      <c r="AA456" s="556"/>
      <c r="AB456" s="556"/>
      <c r="AC456" s="556"/>
    </row>
    <row r="457" spans="1:68" hidden="1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0</v>
      </c>
      <c r="Y457" s="555">
        <f>IFERROR(SUM(Y450:Y455),"0")</f>
        <v>0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hidden="1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hidden="1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6490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6505.7999999999993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6769.892053872054</v>
      </c>
      <c r="Y496" s="555">
        <f>IFERROR(SUM(BN22:BN492),"0")</f>
        <v>6786.44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10</v>
      </c>
      <c r="Y497" s="38">
        <f>ROUNDUP(SUM(BP22:BP492),0)</f>
        <v>10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7019.892053872054</v>
      </c>
      <c r="Y498" s="555">
        <f>GrossWeightTotalR+PalletQtyTotalR*25</f>
        <v>7036.44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704.04713804713811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706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11.377690000000001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192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0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5" s="46">
        <f>IFERROR(Y85*1,"0")+IFERROR(Y86*1,"0")+IFERROR(Y87*1,"0")+IFERROR(Y88*1,"0")+IFERROR(Y92*1,"0")+IFERROR(Y93*1,"0")+IFERROR(Y94*1,"0")+IFERROR(Y95*1,"0")</f>
        <v>0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1004.4000000000001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0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0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3495</v>
      </c>
      <c r="T505" s="46">
        <f>IFERROR(Y375*1,"0")+IFERROR(Y376*1,"0")+IFERROR(Y380*1,"0")+IFERROR(Y381*1,"0")+IFERROR(Y385*1,"0")+IFERROR(Y386*1,"0")+IFERROR(Y387*1,"0")</f>
        <v>0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2006.4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OIdBivsy7GagamAGCD98cl2VVFt7ZSWVMkWebHjC5fabhfhNwLHpKZZK8RsssfOxiZmCx2i03rG8e+cm50yJTA==" saltValue="OyFsd7TRa+7FtVkkwKHhQg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00,00"/>
        <filter val="1 290,00"/>
        <filter val="10"/>
        <filter val="166,00"/>
        <filter val="2 000,00"/>
        <filter val="2 490,00"/>
        <filter val="378,79"/>
        <filter val="6 490,00"/>
        <filter val="6 769,89"/>
        <filter val="66,67"/>
        <filter val="7 019,89"/>
        <filter val="704,05"/>
        <filter val="92,59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79 X85 X87:X88 X92 X94:X95 X100 X102:X103 X108 X115 X117 X127:X128 X133 X171 X173 X178 X196 X205:X210 X212 X216:X219 X221:X224 X241 X263 X265 X281:X282 X307 X315 X323 X330:X331 X343:X344 X350:X351 X353 X360 X375 X381 X385:X386 X395 X429 X432:X433 X435 X444 X446 X450:X452 X46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qGLxP4OxwZjQU/bPLmGJAS27X7QwZITd6Kl3P2F/ND2yj186BtBryQ7rKHdVDEsrkfnkCPJQrxXZmWIMVIDlvw==" saltValue="fKgdUmbNws9zKIQclLD7k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2026-01-07T10:54:49Z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