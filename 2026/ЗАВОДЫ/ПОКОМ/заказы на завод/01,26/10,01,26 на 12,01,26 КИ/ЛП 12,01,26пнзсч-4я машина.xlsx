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CF3822-1006-4E77-A015-AA29D630A80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Z506" i="1" s="1"/>
  <c r="P493" i="1"/>
  <c r="X490" i="1"/>
  <c r="X489" i="1"/>
  <c r="BO488" i="1"/>
  <c r="BM488" i="1"/>
  <c r="Y488" i="1"/>
  <c r="BN488" i="1" s="1"/>
  <c r="P488" i="1"/>
  <c r="BO487" i="1"/>
  <c r="BM487" i="1"/>
  <c r="Y487" i="1"/>
  <c r="BN487" i="1" s="1"/>
  <c r="P487" i="1"/>
  <c r="X485" i="1"/>
  <c r="X484" i="1"/>
  <c r="BO483" i="1"/>
  <c r="BM483" i="1"/>
  <c r="Y483" i="1"/>
  <c r="BN483" i="1" s="1"/>
  <c r="P483" i="1"/>
  <c r="X481" i="1"/>
  <c r="X480" i="1"/>
  <c r="BO479" i="1"/>
  <c r="BM479" i="1"/>
  <c r="Y479" i="1"/>
  <c r="BP479" i="1" s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BP469" i="1" s="1"/>
  <c r="P469" i="1"/>
  <c r="BO468" i="1"/>
  <c r="BM468" i="1"/>
  <c r="Y468" i="1"/>
  <c r="Z468" i="1" s="1"/>
  <c r="P468" i="1"/>
  <c r="BO467" i="1"/>
  <c r="BM467" i="1"/>
  <c r="Y467" i="1"/>
  <c r="BP467" i="1" s="1"/>
  <c r="P467" i="1"/>
  <c r="BO466" i="1"/>
  <c r="BM466" i="1"/>
  <c r="Y466" i="1"/>
  <c r="P466" i="1"/>
  <c r="Y462" i="1"/>
  <c r="X462" i="1"/>
  <c r="X461" i="1"/>
  <c r="BP460" i="1"/>
  <c r="BO460" i="1"/>
  <c r="BM460" i="1"/>
  <c r="Y460" i="1"/>
  <c r="Z460" i="1" s="1"/>
  <c r="Z461" i="1" s="1"/>
  <c r="P460" i="1"/>
  <c r="X458" i="1"/>
  <c r="X457" i="1"/>
  <c r="BO456" i="1"/>
  <c r="BM456" i="1"/>
  <c r="Y456" i="1"/>
  <c r="BN456" i="1" s="1"/>
  <c r="P456" i="1"/>
  <c r="BO455" i="1"/>
  <c r="BM455" i="1"/>
  <c r="Y455" i="1"/>
  <c r="BP455" i="1" s="1"/>
  <c r="P455" i="1"/>
  <c r="BP454" i="1"/>
  <c r="BO454" i="1"/>
  <c r="BM454" i="1"/>
  <c r="Y454" i="1"/>
  <c r="Z454" i="1" s="1"/>
  <c r="P454" i="1"/>
  <c r="BO453" i="1"/>
  <c r="BM453" i="1"/>
  <c r="Y453" i="1"/>
  <c r="BN453" i="1" s="1"/>
  <c r="P453" i="1"/>
  <c r="BP452" i="1"/>
  <c r="BO452" i="1"/>
  <c r="BM452" i="1"/>
  <c r="Y452" i="1"/>
  <c r="BN452" i="1" s="1"/>
  <c r="P452" i="1"/>
  <c r="BO451" i="1"/>
  <c r="BM451" i="1"/>
  <c r="Y451" i="1"/>
  <c r="BN451" i="1" s="1"/>
  <c r="P451" i="1"/>
  <c r="X449" i="1"/>
  <c r="X448" i="1"/>
  <c r="BO447" i="1"/>
  <c r="BM447" i="1"/>
  <c r="Y447" i="1"/>
  <c r="BP447" i="1" s="1"/>
  <c r="P447" i="1"/>
  <c r="BO446" i="1"/>
  <c r="BM446" i="1"/>
  <c r="Y446" i="1"/>
  <c r="Z446" i="1" s="1"/>
  <c r="P446" i="1"/>
  <c r="BP445" i="1"/>
  <c r="BO445" i="1"/>
  <c r="BN445" i="1"/>
  <c r="BM445" i="1"/>
  <c r="Y445" i="1"/>
  <c r="P445" i="1"/>
  <c r="X443" i="1"/>
  <c r="X442" i="1"/>
  <c r="BO441" i="1"/>
  <c r="BN441" i="1"/>
  <c r="BM441" i="1"/>
  <c r="Y441" i="1"/>
  <c r="Z441" i="1" s="1"/>
  <c r="P441" i="1"/>
  <c r="BO440" i="1"/>
  <c r="BM440" i="1"/>
  <c r="Y440" i="1"/>
  <c r="BN440" i="1" s="1"/>
  <c r="P440" i="1"/>
  <c r="BO439" i="1"/>
  <c r="BM439" i="1"/>
  <c r="Z439" i="1"/>
  <c r="Y439" i="1"/>
  <c r="BP439" i="1" s="1"/>
  <c r="P439" i="1"/>
  <c r="BO438" i="1"/>
  <c r="BM438" i="1"/>
  <c r="Y438" i="1"/>
  <c r="Z438" i="1" s="1"/>
  <c r="P438" i="1"/>
  <c r="BP437" i="1"/>
  <c r="BO437" i="1"/>
  <c r="BM437" i="1"/>
  <c r="Y437" i="1"/>
  <c r="Z437" i="1" s="1"/>
  <c r="P437" i="1"/>
  <c r="BO436" i="1"/>
  <c r="BM436" i="1"/>
  <c r="Y436" i="1"/>
  <c r="BN436" i="1" s="1"/>
  <c r="P436" i="1"/>
  <c r="BO435" i="1"/>
  <c r="BM435" i="1"/>
  <c r="Y435" i="1"/>
  <c r="BN435" i="1" s="1"/>
  <c r="P435" i="1"/>
  <c r="BO434" i="1"/>
  <c r="BM434" i="1"/>
  <c r="Y434" i="1"/>
  <c r="BP434" i="1" s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Z431" i="1" s="1"/>
  <c r="P431" i="1"/>
  <c r="BO430" i="1"/>
  <c r="BM430" i="1"/>
  <c r="Y430" i="1"/>
  <c r="Z430" i="1" s="1"/>
  <c r="P430" i="1"/>
  <c r="X426" i="1"/>
  <c r="X425" i="1"/>
  <c r="BP424" i="1"/>
  <c r="BO424" i="1"/>
  <c r="BN424" i="1"/>
  <c r="BM424" i="1"/>
  <c r="Y424" i="1"/>
  <c r="W506" i="1" s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M417" i="1"/>
  <c r="Y417" i="1"/>
  <c r="BN417" i="1" s="1"/>
  <c r="P417" i="1"/>
  <c r="BP416" i="1"/>
  <c r="BO416" i="1"/>
  <c r="BN416" i="1"/>
  <c r="BM416" i="1"/>
  <c r="Y416" i="1"/>
  <c r="Z416" i="1" s="1"/>
  <c r="P416" i="1"/>
  <c r="X414" i="1"/>
  <c r="X413" i="1"/>
  <c r="BO412" i="1"/>
  <c r="BM412" i="1"/>
  <c r="Y412" i="1"/>
  <c r="Y414" i="1" s="1"/>
  <c r="P412" i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X404" i="1"/>
  <c r="X403" i="1"/>
  <c r="BO402" i="1"/>
  <c r="BM402" i="1"/>
  <c r="Y402" i="1"/>
  <c r="P402" i="1"/>
  <c r="BP401" i="1"/>
  <c r="BO401" i="1"/>
  <c r="BM401" i="1"/>
  <c r="Y401" i="1"/>
  <c r="BN401" i="1" s="1"/>
  <c r="P401" i="1"/>
  <c r="BO400" i="1"/>
  <c r="BM400" i="1"/>
  <c r="Y400" i="1"/>
  <c r="BN400" i="1" s="1"/>
  <c r="P400" i="1"/>
  <c r="BO399" i="1"/>
  <c r="BM399" i="1"/>
  <c r="Y399" i="1"/>
  <c r="BP399" i="1" s="1"/>
  <c r="P399" i="1"/>
  <c r="BO398" i="1"/>
  <c r="BM398" i="1"/>
  <c r="Y398" i="1"/>
  <c r="BP398" i="1" s="1"/>
  <c r="P398" i="1"/>
  <c r="BO397" i="1"/>
  <c r="BM397" i="1"/>
  <c r="Y397" i="1"/>
  <c r="BP397" i="1" s="1"/>
  <c r="P397" i="1"/>
  <c r="BO396" i="1"/>
  <c r="BM396" i="1"/>
  <c r="Y396" i="1"/>
  <c r="BN396" i="1" s="1"/>
  <c r="P396" i="1"/>
  <c r="BO395" i="1"/>
  <c r="BN395" i="1"/>
  <c r="BM395" i="1"/>
  <c r="Y395" i="1"/>
  <c r="BP395" i="1" s="1"/>
  <c r="P395" i="1"/>
  <c r="BO394" i="1"/>
  <c r="BM394" i="1"/>
  <c r="Y394" i="1"/>
  <c r="Z394" i="1" s="1"/>
  <c r="P394" i="1"/>
  <c r="X390" i="1"/>
  <c r="X389" i="1"/>
  <c r="BO388" i="1"/>
  <c r="BM388" i="1"/>
  <c r="Y388" i="1"/>
  <c r="BP388" i="1" s="1"/>
  <c r="P388" i="1"/>
  <c r="BO387" i="1"/>
  <c r="BM387" i="1"/>
  <c r="Y387" i="1"/>
  <c r="BP387" i="1" s="1"/>
  <c r="P387" i="1"/>
  <c r="BP386" i="1"/>
  <c r="BO386" i="1"/>
  <c r="BM386" i="1"/>
  <c r="Y386" i="1"/>
  <c r="BN386" i="1" s="1"/>
  <c r="P386" i="1"/>
  <c r="X384" i="1"/>
  <c r="X383" i="1"/>
  <c r="BO382" i="1"/>
  <c r="BM382" i="1"/>
  <c r="Y382" i="1"/>
  <c r="BN382" i="1" s="1"/>
  <c r="P382" i="1"/>
  <c r="BO381" i="1"/>
  <c r="BM381" i="1"/>
  <c r="Y381" i="1"/>
  <c r="BP381" i="1" s="1"/>
  <c r="P381" i="1"/>
  <c r="X379" i="1"/>
  <c r="X378" i="1"/>
  <c r="BO377" i="1"/>
  <c r="BM377" i="1"/>
  <c r="Y377" i="1"/>
  <c r="BP377" i="1" s="1"/>
  <c r="P377" i="1"/>
  <c r="BO376" i="1"/>
  <c r="BM376" i="1"/>
  <c r="Y376" i="1"/>
  <c r="BN376" i="1" s="1"/>
  <c r="P376" i="1"/>
  <c r="X373" i="1"/>
  <c r="X372" i="1"/>
  <c r="BO371" i="1"/>
  <c r="BM371" i="1"/>
  <c r="Y371" i="1"/>
  <c r="Z371" i="1" s="1"/>
  <c r="Z372" i="1" s="1"/>
  <c r="P371" i="1"/>
  <c r="Y369" i="1"/>
  <c r="X369" i="1"/>
  <c r="X368" i="1"/>
  <c r="BO367" i="1"/>
  <c r="BM367" i="1"/>
  <c r="Y367" i="1"/>
  <c r="BN367" i="1" s="1"/>
  <c r="P367" i="1"/>
  <c r="BO366" i="1"/>
  <c r="BM366" i="1"/>
  <c r="Y366" i="1"/>
  <c r="BP366" i="1" s="1"/>
  <c r="P366" i="1"/>
  <c r="X364" i="1"/>
  <c r="X363" i="1"/>
  <c r="BO362" i="1"/>
  <c r="BN362" i="1"/>
  <c r="BM362" i="1"/>
  <c r="Y362" i="1"/>
  <c r="BP362" i="1" s="1"/>
  <c r="P362" i="1"/>
  <c r="BP361" i="1"/>
  <c r="BO361" i="1"/>
  <c r="BM361" i="1"/>
  <c r="Y361" i="1"/>
  <c r="P361" i="1"/>
  <c r="X359" i="1"/>
  <c r="X358" i="1"/>
  <c r="BP357" i="1"/>
  <c r="BO357" i="1"/>
  <c r="BM357" i="1"/>
  <c r="Y357" i="1"/>
  <c r="BN357" i="1" s="1"/>
  <c r="P357" i="1"/>
  <c r="BO356" i="1"/>
  <c r="BM356" i="1"/>
  <c r="Y356" i="1"/>
  <c r="BP356" i="1" s="1"/>
  <c r="P356" i="1"/>
  <c r="BO355" i="1"/>
  <c r="BM355" i="1"/>
  <c r="Y355" i="1"/>
  <c r="Z355" i="1" s="1"/>
  <c r="P355" i="1"/>
  <c r="BO354" i="1"/>
  <c r="BM354" i="1"/>
  <c r="Y354" i="1"/>
  <c r="BP354" i="1" s="1"/>
  <c r="P354" i="1"/>
  <c r="BO353" i="1"/>
  <c r="BM353" i="1"/>
  <c r="Y353" i="1"/>
  <c r="BN353" i="1" s="1"/>
  <c r="P353" i="1"/>
  <c r="BO352" i="1"/>
  <c r="BM352" i="1"/>
  <c r="Y352" i="1"/>
  <c r="P352" i="1"/>
  <c r="BP351" i="1"/>
  <c r="BO351" i="1"/>
  <c r="BM351" i="1"/>
  <c r="Y351" i="1"/>
  <c r="Z351" i="1" s="1"/>
  <c r="P351" i="1"/>
  <c r="X347" i="1"/>
  <c r="X346" i="1"/>
  <c r="BO345" i="1"/>
  <c r="BM345" i="1"/>
  <c r="Y345" i="1"/>
  <c r="Z345" i="1" s="1"/>
  <c r="P345" i="1"/>
  <c r="BP344" i="1"/>
  <c r="BO344" i="1"/>
  <c r="BM344" i="1"/>
  <c r="Y344" i="1"/>
  <c r="BN344" i="1" s="1"/>
  <c r="P344" i="1"/>
  <c r="BO343" i="1"/>
  <c r="BM343" i="1"/>
  <c r="Y343" i="1"/>
  <c r="BP343" i="1" s="1"/>
  <c r="P343" i="1"/>
  <c r="X340" i="1"/>
  <c r="X339" i="1"/>
  <c r="BO338" i="1"/>
  <c r="BM338" i="1"/>
  <c r="Y338" i="1"/>
  <c r="BN338" i="1" s="1"/>
  <c r="P338" i="1"/>
  <c r="BO337" i="1"/>
  <c r="BM337" i="1"/>
  <c r="Y337" i="1"/>
  <c r="BP337" i="1" s="1"/>
  <c r="P337" i="1"/>
  <c r="BO336" i="1"/>
  <c r="BM336" i="1"/>
  <c r="Y336" i="1"/>
  <c r="BP336" i="1" s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O330" i="1"/>
  <c r="BM330" i="1"/>
  <c r="Y330" i="1"/>
  <c r="BN330" i="1" s="1"/>
  <c r="P330" i="1"/>
  <c r="BO329" i="1"/>
  <c r="BN329" i="1"/>
  <c r="BM329" i="1"/>
  <c r="Y329" i="1"/>
  <c r="BP329" i="1" s="1"/>
  <c r="P329" i="1"/>
  <c r="X327" i="1"/>
  <c r="X326" i="1"/>
  <c r="BO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BP323" i="1" s="1"/>
  <c r="P323" i="1"/>
  <c r="X321" i="1"/>
  <c r="X320" i="1"/>
  <c r="BP319" i="1"/>
  <c r="BO319" i="1"/>
  <c r="BM319" i="1"/>
  <c r="Z319" i="1"/>
  <c r="Y319" i="1"/>
  <c r="BN319" i="1" s="1"/>
  <c r="P319" i="1"/>
  <c r="BO318" i="1"/>
  <c r="BM318" i="1"/>
  <c r="Y318" i="1"/>
  <c r="Z318" i="1" s="1"/>
  <c r="P318" i="1"/>
  <c r="BO317" i="1"/>
  <c r="BM317" i="1"/>
  <c r="Y317" i="1"/>
  <c r="BP317" i="1" s="1"/>
  <c r="P317" i="1"/>
  <c r="BO316" i="1"/>
  <c r="BM316" i="1"/>
  <c r="Y316" i="1"/>
  <c r="BP316" i="1" s="1"/>
  <c r="P316" i="1"/>
  <c r="X314" i="1"/>
  <c r="X313" i="1"/>
  <c r="BO312" i="1"/>
  <c r="BM312" i="1"/>
  <c r="Y312" i="1"/>
  <c r="P312" i="1"/>
  <c r="BO311" i="1"/>
  <c r="BM311" i="1"/>
  <c r="Y311" i="1"/>
  <c r="BN311" i="1" s="1"/>
  <c r="P311" i="1"/>
  <c r="BO310" i="1"/>
  <c r="BM310" i="1"/>
  <c r="Y310" i="1"/>
  <c r="P310" i="1"/>
  <c r="BO309" i="1"/>
  <c r="BN309" i="1"/>
  <c r="BM309" i="1"/>
  <c r="Y309" i="1"/>
  <c r="BP309" i="1" s="1"/>
  <c r="P309" i="1"/>
  <c r="BO308" i="1"/>
  <c r="BM308" i="1"/>
  <c r="Y308" i="1"/>
  <c r="BP308" i="1" s="1"/>
  <c r="P308" i="1"/>
  <c r="BO307" i="1"/>
  <c r="BM307" i="1"/>
  <c r="Y307" i="1"/>
  <c r="BP307" i="1" s="1"/>
  <c r="P307" i="1"/>
  <c r="X305" i="1"/>
  <c r="X304" i="1"/>
  <c r="BO303" i="1"/>
  <c r="BM303" i="1"/>
  <c r="Y303" i="1"/>
  <c r="BN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BP300" i="1" s="1"/>
  <c r="P300" i="1"/>
  <c r="BO299" i="1"/>
  <c r="BN299" i="1"/>
  <c r="BM299" i="1"/>
  <c r="Y299" i="1"/>
  <c r="BP299" i="1" s="1"/>
  <c r="P299" i="1"/>
  <c r="BO298" i="1"/>
  <c r="BM298" i="1"/>
  <c r="Y298" i="1"/>
  <c r="BN298" i="1" s="1"/>
  <c r="P298" i="1"/>
  <c r="X295" i="1"/>
  <c r="X294" i="1"/>
  <c r="BO293" i="1"/>
  <c r="BM293" i="1"/>
  <c r="Y293" i="1"/>
  <c r="Z293" i="1" s="1"/>
  <c r="P293" i="1"/>
  <c r="BO292" i="1"/>
  <c r="BM292" i="1"/>
  <c r="Y292" i="1"/>
  <c r="BP292" i="1" s="1"/>
  <c r="P292" i="1"/>
  <c r="X290" i="1"/>
  <c r="X289" i="1"/>
  <c r="BO288" i="1"/>
  <c r="BM288" i="1"/>
  <c r="Y288" i="1"/>
  <c r="Z288" i="1" s="1"/>
  <c r="P288" i="1"/>
  <c r="BO287" i="1"/>
  <c r="BM287" i="1"/>
  <c r="Y287" i="1"/>
  <c r="BN287" i="1" s="1"/>
  <c r="P287" i="1"/>
  <c r="X284" i="1"/>
  <c r="X283" i="1"/>
  <c r="BO282" i="1"/>
  <c r="BM282" i="1"/>
  <c r="Y282" i="1"/>
  <c r="P282" i="1"/>
  <c r="BO281" i="1"/>
  <c r="BM281" i="1"/>
  <c r="Y281" i="1"/>
  <c r="BN281" i="1" s="1"/>
  <c r="P281" i="1"/>
  <c r="BO280" i="1"/>
  <c r="BM280" i="1"/>
  <c r="Y280" i="1"/>
  <c r="BP280" i="1" s="1"/>
  <c r="P280" i="1"/>
  <c r="X277" i="1"/>
  <c r="X276" i="1"/>
  <c r="BO275" i="1"/>
  <c r="BM275" i="1"/>
  <c r="Y275" i="1"/>
  <c r="BN275" i="1" s="1"/>
  <c r="P275" i="1"/>
  <c r="BP274" i="1"/>
  <c r="BO274" i="1"/>
  <c r="BN274" i="1"/>
  <c r="BM274" i="1"/>
  <c r="Y274" i="1"/>
  <c r="Z274" i="1" s="1"/>
  <c r="P274" i="1"/>
  <c r="BO273" i="1"/>
  <c r="BM273" i="1"/>
  <c r="Y273" i="1"/>
  <c r="P273" i="1"/>
  <c r="BO272" i="1"/>
  <c r="BM272" i="1"/>
  <c r="Y272" i="1"/>
  <c r="BN272" i="1" s="1"/>
  <c r="P272" i="1"/>
  <c r="X269" i="1"/>
  <c r="X268" i="1"/>
  <c r="BO267" i="1"/>
  <c r="BM267" i="1"/>
  <c r="Y267" i="1"/>
  <c r="BP267" i="1" s="1"/>
  <c r="P267" i="1"/>
  <c r="BP266" i="1"/>
  <c r="BO266" i="1"/>
  <c r="BM266" i="1"/>
  <c r="Y266" i="1"/>
  <c r="BN266" i="1" s="1"/>
  <c r="P266" i="1"/>
  <c r="BP265" i="1"/>
  <c r="BO265" i="1"/>
  <c r="BM265" i="1"/>
  <c r="Y265" i="1"/>
  <c r="Z265" i="1" s="1"/>
  <c r="P265" i="1"/>
  <c r="BO264" i="1"/>
  <c r="BM264" i="1"/>
  <c r="Y264" i="1"/>
  <c r="P264" i="1"/>
  <c r="BO263" i="1"/>
  <c r="BM263" i="1"/>
  <c r="Z263" i="1"/>
  <c r="Y263" i="1"/>
  <c r="BN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BN257" i="1" s="1"/>
  <c r="P257" i="1"/>
  <c r="BO256" i="1"/>
  <c r="BM256" i="1"/>
  <c r="Y256" i="1"/>
  <c r="Z256" i="1" s="1"/>
  <c r="P256" i="1"/>
  <c r="BO255" i="1"/>
  <c r="BM255" i="1"/>
  <c r="Y255" i="1"/>
  <c r="P255" i="1"/>
  <c r="BO254" i="1"/>
  <c r="BM254" i="1"/>
  <c r="Z254" i="1"/>
  <c r="Y254" i="1"/>
  <c r="BN254" i="1" s="1"/>
  <c r="P254" i="1"/>
  <c r="X252" i="1"/>
  <c r="X251" i="1"/>
  <c r="BO250" i="1"/>
  <c r="BM250" i="1"/>
  <c r="Y250" i="1"/>
  <c r="Y252" i="1" s="1"/>
  <c r="P250" i="1"/>
  <c r="X248" i="1"/>
  <c r="X247" i="1"/>
  <c r="BP246" i="1"/>
  <c r="BO246" i="1"/>
  <c r="BN246" i="1"/>
  <c r="BM246" i="1"/>
  <c r="Y246" i="1"/>
  <c r="Y247" i="1" s="1"/>
  <c r="P246" i="1"/>
  <c r="X244" i="1"/>
  <c r="X243" i="1"/>
  <c r="BO242" i="1"/>
  <c r="BN242" i="1"/>
  <c r="BM242" i="1"/>
  <c r="Y242" i="1"/>
  <c r="BP242" i="1" s="1"/>
  <c r="P242" i="1"/>
  <c r="BP241" i="1"/>
  <c r="BO241" i="1"/>
  <c r="BM241" i="1"/>
  <c r="Y241" i="1"/>
  <c r="BN241" i="1" s="1"/>
  <c r="P241" i="1"/>
  <c r="BO240" i="1"/>
  <c r="BM240" i="1"/>
  <c r="Y240" i="1"/>
  <c r="BP240" i="1" s="1"/>
  <c r="P240" i="1"/>
  <c r="BO239" i="1"/>
  <c r="BM239" i="1"/>
  <c r="Y239" i="1"/>
  <c r="Z239" i="1" s="1"/>
  <c r="P239" i="1"/>
  <c r="BP238" i="1"/>
  <c r="BO238" i="1"/>
  <c r="BM238" i="1"/>
  <c r="Y238" i="1"/>
  <c r="BN238" i="1" s="1"/>
  <c r="P238" i="1"/>
  <c r="BO237" i="1"/>
  <c r="BM237" i="1"/>
  <c r="Y237" i="1"/>
  <c r="BP237" i="1" s="1"/>
  <c r="P237" i="1"/>
  <c r="BO236" i="1"/>
  <c r="BM236" i="1"/>
  <c r="Y236" i="1"/>
  <c r="Z236" i="1" s="1"/>
  <c r="P236" i="1"/>
  <c r="BO235" i="1"/>
  <c r="BN235" i="1"/>
  <c r="BM235" i="1"/>
  <c r="Z235" i="1"/>
  <c r="Y235" i="1"/>
  <c r="BP235" i="1" s="1"/>
  <c r="P235" i="1"/>
  <c r="BO234" i="1"/>
  <c r="BM234" i="1"/>
  <c r="Y234" i="1"/>
  <c r="BP234" i="1" s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N224" i="1" s="1"/>
  <c r="P224" i="1"/>
  <c r="BO223" i="1"/>
  <c r="BN223" i="1"/>
  <c r="BM223" i="1"/>
  <c r="Y223" i="1"/>
  <c r="BP223" i="1" s="1"/>
  <c r="P223" i="1"/>
  <c r="BP222" i="1"/>
  <c r="BO222" i="1"/>
  <c r="BM222" i="1"/>
  <c r="Y222" i="1"/>
  <c r="Z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Z219" i="1" s="1"/>
  <c r="P219" i="1"/>
  <c r="BP218" i="1"/>
  <c r="BO218" i="1"/>
  <c r="BM218" i="1"/>
  <c r="Y218" i="1"/>
  <c r="BN218" i="1" s="1"/>
  <c r="P218" i="1"/>
  <c r="BO217" i="1"/>
  <c r="BM217" i="1"/>
  <c r="Y217" i="1"/>
  <c r="BP217" i="1" s="1"/>
  <c r="P217" i="1"/>
  <c r="BO216" i="1"/>
  <c r="BM216" i="1"/>
  <c r="Z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Z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N208" i="1" s="1"/>
  <c r="P208" i="1"/>
  <c r="BP207" i="1"/>
  <c r="BO207" i="1"/>
  <c r="BN207" i="1"/>
  <c r="BM207" i="1"/>
  <c r="Y207" i="1"/>
  <c r="Z207" i="1" s="1"/>
  <c r="P207" i="1"/>
  <c r="BO206" i="1"/>
  <c r="BM206" i="1"/>
  <c r="Y206" i="1"/>
  <c r="Z206" i="1" s="1"/>
  <c r="P206" i="1"/>
  <c r="BO205" i="1"/>
  <c r="BM205" i="1"/>
  <c r="Y205" i="1"/>
  <c r="BN205" i="1" s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BP190" i="1" s="1"/>
  <c r="P190" i="1"/>
  <c r="X188" i="1"/>
  <c r="X187" i="1"/>
  <c r="BO186" i="1"/>
  <c r="BN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Z184" i="1"/>
  <c r="Y184" i="1"/>
  <c r="BN184" i="1" s="1"/>
  <c r="P184" i="1"/>
  <c r="X182" i="1"/>
  <c r="X181" i="1"/>
  <c r="BP180" i="1"/>
  <c r="BO180" i="1"/>
  <c r="BM180" i="1"/>
  <c r="Y180" i="1"/>
  <c r="BN180" i="1" s="1"/>
  <c r="P180" i="1"/>
  <c r="BO179" i="1"/>
  <c r="BM179" i="1"/>
  <c r="Z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N176" i="1"/>
  <c r="BM176" i="1"/>
  <c r="Y176" i="1"/>
  <c r="Z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Z173" i="1" s="1"/>
  <c r="P173" i="1"/>
  <c r="BO172" i="1"/>
  <c r="BM172" i="1"/>
  <c r="Y172" i="1"/>
  <c r="BN172" i="1" s="1"/>
  <c r="P172" i="1"/>
  <c r="BO171" i="1"/>
  <c r="BM171" i="1"/>
  <c r="Y171" i="1"/>
  <c r="BP171" i="1" s="1"/>
  <c r="P171" i="1"/>
  <c r="BO170" i="1"/>
  <c r="BN170" i="1"/>
  <c r="BM170" i="1"/>
  <c r="Y170" i="1"/>
  <c r="Z170" i="1" s="1"/>
  <c r="P170" i="1"/>
  <c r="BO169" i="1"/>
  <c r="BN169" i="1"/>
  <c r="BM169" i="1"/>
  <c r="Z169" i="1"/>
  <c r="Y169" i="1"/>
  <c r="BP169" i="1" s="1"/>
  <c r="P169" i="1"/>
  <c r="BO168" i="1"/>
  <c r="BM168" i="1"/>
  <c r="Y168" i="1"/>
  <c r="BO167" i="1"/>
  <c r="BM167" i="1"/>
  <c r="Y167" i="1"/>
  <c r="Z167" i="1" s="1"/>
  <c r="X165" i="1"/>
  <c r="X164" i="1"/>
  <c r="BO163" i="1"/>
  <c r="BM163" i="1"/>
  <c r="Y163" i="1"/>
  <c r="Y164" i="1" s="1"/>
  <c r="P163" i="1"/>
  <c r="X159" i="1"/>
  <c r="X158" i="1"/>
  <c r="BO157" i="1"/>
  <c r="BN157" i="1"/>
  <c r="BM157" i="1"/>
  <c r="Y157" i="1"/>
  <c r="Y158" i="1" s="1"/>
  <c r="P157" i="1"/>
  <c r="X155" i="1"/>
  <c r="X154" i="1"/>
  <c r="BO153" i="1"/>
  <c r="BM153" i="1"/>
  <c r="Y153" i="1"/>
  <c r="Z153" i="1" s="1"/>
  <c r="P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Z150" i="1" s="1"/>
  <c r="P150" i="1"/>
  <c r="BO149" i="1"/>
  <c r="BM149" i="1"/>
  <c r="Y149" i="1"/>
  <c r="BN149" i="1" s="1"/>
  <c r="P149" i="1"/>
  <c r="BO148" i="1"/>
  <c r="BM148" i="1"/>
  <c r="Y148" i="1"/>
  <c r="BN148" i="1" s="1"/>
  <c r="P148" i="1"/>
  <c r="X146" i="1"/>
  <c r="X145" i="1"/>
  <c r="BP144" i="1"/>
  <c r="BO144" i="1"/>
  <c r="BM144" i="1"/>
  <c r="Y144" i="1"/>
  <c r="BN144" i="1" s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O137" i="1"/>
  <c r="BM137" i="1"/>
  <c r="Y137" i="1"/>
  <c r="Z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BN132" i="1" s="1"/>
  <c r="P132" i="1"/>
  <c r="X130" i="1"/>
  <c r="X129" i="1"/>
  <c r="BO128" i="1"/>
  <c r="BM128" i="1"/>
  <c r="Y128" i="1"/>
  <c r="Z128" i="1" s="1"/>
  <c r="P128" i="1"/>
  <c r="BO127" i="1"/>
  <c r="BM127" i="1"/>
  <c r="Y127" i="1"/>
  <c r="BP127" i="1" s="1"/>
  <c r="P127" i="1"/>
  <c r="Y124" i="1"/>
  <c r="X124" i="1"/>
  <c r="X123" i="1"/>
  <c r="BP122" i="1"/>
  <c r="BO122" i="1"/>
  <c r="BN122" i="1"/>
  <c r="BM122" i="1"/>
  <c r="Z122" i="1"/>
  <c r="Z123" i="1" s="1"/>
  <c r="Y122" i="1"/>
  <c r="Y123" i="1" s="1"/>
  <c r="P122" i="1"/>
  <c r="X120" i="1"/>
  <c r="X119" i="1"/>
  <c r="BO118" i="1"/>
  <c r="BM118" i="1"/>
  <c r="Y118" i="1"/>
  <c r="BN118" i="1" s="1"/>
  <c r="P118" i="1"/>
  <c r="BO117" i="1"/>
  <c r="BM117" i="1"/>
  <c r="Y117" i="1"/>
  <c r="BP117" i="1" s="1"/>
  <c r="P117" i="1"/>
  <c r="BO116" i="1"/>
  <c r="BN116" i="1"/>
  <c r="BM116" i="1"/>
  <c r="Y116" i="1"/>
  <c r="BP116" i="1" s="1"/>
  <c r="P116" i="1"/>
  <c r="BO115" i="1"/>
  <c r="BM115" i="1"/>
  <c r="Y115" i="1"/>
  <c r="BP115" i="1" s="1"/>
  <c r="P115" i="1"/>
  <c r="X113" i="1"/>
  <c r="X112" i="1"/>
  <c r="BO111" i="1"/>
  <c r="BM111" i="1"/>
  <c r="Y111" i="1"/>
  <c r="BN111" i="1" s="1"/>
  <c r="P111" i="1"/>
  <c r="BO110" i="1"/>
  <c r="BM110" i="1"/>
  <c r="Y110" i="1"/>
  <c r="BN110" i="1" s="1"/>
  <c r="P110" i="1"/>
  <c r="BO109" i="1"/>
  <c r="BM109" i="1"/>
  <c r="Y109" i="1"/>
  <c r="BP109" i="1" s="1"/>
  <c r="P109" i="1"/>
  <c r="BO108" i="1"/>
  <c r="BN108" i="1"/>
  <c r="BM108" i="1"/>
  <c r="Y108" i="1"/>
  <c r="BP108" i="1" s="1"/>
  <c r="P108" i="1"/>
  <c r="X106" i="1"/>
  <c r="X105" i="1"/>
  <c r="BO104" i="1"/>
  <c r="BM104" i="1"/>
  <c r="Y104" i="1"/>
  <c r="Z104" i="1" s="1"/>
  <c r="P104" i="1"/>
  <c r="BO103" i="1"/>
  <c r="BM103" i="1"/>
  <c r="Y103" i="1"/>
  <c r="P103" i="1"/>
  <c r="BP102" i="1"/>
  <c r="BO102" i="1"/>
  <c r="BM102" i="1"/>
  <c r="Y102" i="1"/>
  <c r="BN102" i="1" s="1"/>
  <c r="P102" i="1"/>
  <c r="BO101" i="1"/>
  <c r="BM101" i="1"/>
  <c r="Z101" i="1"/>
  <c r="Y101" i="1"/>
  <c r="BN101" i="1" s="1"/>
  <c r="P101" i="1"/>
  <c r="BO100" i="1"/>
  <c r="BM100" i="1"/>
  <c r="Y100" i="1"/>
  <c r="BP100" i="1" s="1"/>
  <c r="P100" i="1"/>
  <c r="X97" i="1"/>
  <c r="X96" i="1"/>
  <c r="BO95" i="1"/>
  <c r="BM95" i="1"/>
  <c r="Z95" i="1"/>
  <c r="Y95" i="1"/>
  <c r="P95" i="1"/>
  <c r="BO94" i="1"/>
  <c r="BM94" i="1"/>
  <c r="Y94" i="1"/>
  <c r="BN94" i="1" s="1"/>
  <c r="P94" i="1"/>
  <c r="BO93" i="1"/>
  <c r="BM93" i="1"/>
  <c r="Y93" i="1"/>
  <c r="BN93" i="1" s="1"/>
  <c r="P93" i="1"/>
  <c r="BO92" i="1"/>
  <c r="BM92" i="1"/>
  <c r="Y92" i="1"/>
  <c r="Z92" i="1" s="1"/>
  <c r="P92" i="1"/>
  <c r="X90" i="1"/>
  <c r="X89" i="1"/>
  <c r="BO88" i="1"/>
  <c r="BM88" i="1"/>
  <c r="Y88" i="1"/>
  <c r="BP88" i="1" s="1"/>
  <c r="P88" i="1"/>
  <c r="BO87" i="1"/>
  <c r="BM87" i="1"/>
  <c r="Y87" i="1"/>
  <c r="Z87" i="1" s="1"/>
  <c r="P87" i="1"/>
  <c r="BO86" i="1"/>
  <c r="BM86" i="1"/>
  <c r="Y86" i="1"/>
  <c r="BN86" i="1" s="1"/>
  <c r="P86" i="1"/>
  <c r="BO85" i="1"/>
  <c r="BM85" i="1"/>
  <c r="Z85" i="1"/>
  <c r="Y85" i="1"/>
  <c r="BP85" i="1" s="1"/>
  <c r="P85" i="1"/>
  <c r="X82" i="1"/>
  <c r="X81" i="1"/>
  <c r="BO80" i="1"/>
  <c r="BM80" i="1"/>
  <c r="Y80" i="1"/>
  <c r="BN80" i="1" s="1"/>
  <c r="P80" i="1"/>
  <c r="BO79" i="1"/>
  <c r="BM79" i="1"/>
  <c r="Y79" i="1"/>
  <c r="BP79" i="1" s="1"/>
  <c r="P79" i="1"/>
  <c r="X77" i="1"/>
  <c r="X76" i="1"/>
  <c r="BO75" i="1"/>
  <c r="BM75" i="1"/>
  <c r="Y75" i="1"/>
  <c r="BN75" i="1" s="1"/>
  <c r="P75" i="1"/>
  <c r="BO74" i="1"/>
  <c r="BM74" i="1"/>
  <c r="Y74" i="1"/>
  <c r="Z74" i="1" s="1"/>
  <c r="P74" i="1"/>
  <c r="BO73" i="1"/>
  <c r="BM73" i="1"/>
  <c r="Y73" i="1"/>
  <c r="P73" i="1"/>
  <c r="BO72" i="1"/>
  <c r="BM72" i="1"/>
  <c r="Y72" i="1"/>
  <c r="BN72" i="1" s="1"/>
  <c r="P72" i="1"/>
  <c r="X70" i="1"/>
  <c r="X69" i="1"/>
  <c r="BO68" i="1"/>
  <c r="BM68" i="1"/>
  <c r="Y68" i="1"/>
  <c r="BN68" i="1" s="1"/>
  <c r="P68" i="1"/>
  <c r="BP67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N62" i="1"/>
  <c r="BM62" i="1"/>
  <c r="Y62" i="1"/>
  <c r="Y65" i="1" s="1"/>
  <c r="P62" i="1"/>
  <c r="BO61" i="1"/>
  <c r="BM61" i="1"/>
  <c r="Z61" i="1"/>
  <c r="Y61" i="1"/>
  <c r="BP61" i="1" s="1"/>
  <c r="P61" i="1"/>
  <c r="X59" i="1"/>
  <c r="X58" i="1"/>
  <c r="BO57" i="1"/>
  <c r="BN57" i="1"/>
  <c r="BM57" i="1"/>
  <c r="Y57" i="1"/>
  <c r="Z57" i="1" s="1"/>
  <c r="P57" i="1"/>
  <c r="BO56" i="1"/>
  <c r="BM56" i="1"/>
  <c r="Z56" i="1"/>
  <c r="Y56" i="1"/>
  <c r="BP56" i="1" s="1"/>
  <c r="P56" i="1"/>
  <c r="BO55" i="1"/>
  <c r="BM55" i="1"/>
  <c r="Y55" i="1"/>
  <c r="BP55" i="1" s="1"/>
  <c r="P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BN5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Y36" i="1"/>
  <c r="X36" i="1"/>
  <c r="BO35" i="1"/>
  <c r="BM35" i="1"/>
  <c r="Y35" i="1"/>
  <c r="BP35" i="1" s="1"/>
  <c r="P35" i="1"/>
  <c r="X33" i="1"/>
  <c r="X32" i="1"/>
  <c r="BO31" i="1"/>
  <c r="BM31" i="1"/>
  <c r="Y31" i="1"/>
  <c r="BN31" i="1" s="1"/>
  <c r="P31" i="1"/>
  <c r="BO30" i="1"/>
  <c r="BN30" i="1"/>
  <c r="BM30" i="1"/>
  <c r="Y30" i="1"/>
  <c r="P30" i="1"/>
  <c r="BO29" i="1"/>
  <c r="BM29" i="1"/>
  <c r="Y29" i="1"/>
  <c r="BN29" i="1" s="1"/>
  <c r="P29" i="1"/>
  <c r="BO28" i="1"/>
  <c r="BM28" i="1"/>
  <c r="Y28" i="1"/>
  <c r="Z28" i="1" s="1"/>
  <c r="P28" i="1"/>
  <c r="BO27" i="1"/>
  <c r="BM27" i="1"/>
  <c r="Z27" i="1"/>
  <c r="Y27" i="1"/>
  <c r="BP27" i="1" s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D7" i="1"/>
  <c r="Q6" i="1"/>
  <c r="P2" i="1"/>
  <c r="Z325" i="1" l="1"/>
  <c r="Z132" i="1"/>
  <c r="Z292" i="1"/>
  <c r="Z307" i="1"/>
  <c r="Y37" i="1"/>
  <c r="BP176" i="1"/>
  <c r="Z238" i="1"/>
  <c r="BN325" i="1"/>
  <c r="BN355" i="1"/>
  <c r="Z412" i="1"/>
  <c r="Z413" i="1" s="1"/>
  <c r="Z453" i="1"/>
  <c r="BN468" i="1"/>
  <c r="BP172" i="1"/>
  <c r="BN307" i="1"/>
  <c r="BN351" i="1"/>
  <c r="BP487" i="1"/>
  <c r="C506" i="1"/>
  <c r="Z109" i="1"/>
  <c r="BP132" i="1"/>
  <c r="Z208" i="1"/>
  <c r="Z242" i="1"/>
  <c r="BP355" i="1"/>
  <c r="BP436" i="1"/>
  <c r="BP468" i="1"/>
  <c r="Y326" i="1"/>
  <c r="BP453" i="1"/>
  <c r="BP440" i="1"/>
  <c r="Z488" i="1"/>
  <c r="BN56" i="1"/>
  <c r="BP208" i="1"/>
  <c r="Z356" i="1"/>
  <c r="BN394" i="1"/>
  <c r="Z479" i="1"/>
  <c r="Y198" i="1"/>
  <c r="BN437" i="1"/>
  <c r="Y461" i="1"/>
  <c r="Z144" i="1"/>
  <c r="BP184" i="1"/>
  <c r="BP224" i="1"/>
  <c r="BP254" i="1"/>
  <c r="Y321" i="1"/>
  <c r="Z344" i="1"/>
  <c r="BP394" i="1"/>
  <c r="Z399" i="1"/>
  <c r="Y489" i="1"/>
  <c r="BP195" i="1"/>
  <c r="BP239" i="1"/>
  <c r="Z455" i="1"/>
  <c r="BN128" i="1"/>
  <c r="BN137" i="1"/>
  <c r="Y145" i="1"/>
  <c r="Z407" i="1"/>
  <c r="BN438" i="1"/>
  <c r="BP451" i="1"/>
  <c r="BN240" i="1"/>
  <c r="Z272" i="1"/>
  <c r="Z276" i="1" s="1"/>
  <c r="BP298" i="1"/>
  <c r="Z367" i="1"/>
  <c r="Y426" i="1"/>
  <c r="Y448" i="1"/>
  <c r="Z43" i="1"/>
  <c r="BP137" i="1"/>
  <c r="Y165" i="1"/>
  <c r="BP330" i="1"/>
  <c r="Z354" i="1"/>
  <c r="BN387" i="1"/>
  <c r="BN407" i="1"/>
  <c r="BP438" i="1"/>
  <c r="BN43" i="1"/>
  <c r="Y231" i="1"/>
  <c r="BN35" i="1"/>
  <c r="Y130" i="1"/>
  <c r="Z180" i="1"/>
  <c r="BP272" i="1"/>
  <c r="Y334" i="1"/>
  <c r="Y364" i="1"/>
  <c r="BP367" i="1"/>
  <c r="Z401" i="1"/>
  <c r="Y421" i="1"/>
  <c r="Y485" i="1"/>
  <c r="Y495" i="1"/>
  <c r="Z418" i="1"/>
  <c r="BP23" i="1"/>
  <c r="Z299" i="1"/>
  <c r="Z309" i="1"/>
  <c r="Z362" i="1"/>
  <c r="Y368" i="1"/>
  <c r="Z387" i="1"/>
  <c r="BN412" i="1"/>
  <c r="BN455" i="1"/>
  <c r="BP62" i="1"/>
  <c r="Z100" i="1"/>
  <c r="Z110" i="1"/>
  <c r="BN173" i="1"/>
  <c r="BN219" i="1"/>
  <c r="Y44" i="1"/>
  <c r="Z72" i="1"/>
  <c r="BN229" i="1"/>
  <c r="BN236" i="1"/>
  <c r="BN331" i="1"/>
  <c r="BN337" i="1"/>
  <c r="Z395" i="1"/>
  <c r="X500" i="1"/>
  <c r="BN53" i="1"/>
  <c r="Z93" i="1"/>
  <c r="BN100" i="1"/>
  <c r="Z148" i="1"/>
  <c r="Z152" i="1"/>
  <c r="BP173" i="1"/>
  <c r="Y187" i="1"/>
  <c r="BP205" i="1"/>
  <c r="BP219" i="1"/>
  <c r="Z223" i="1"/>
  <c r="Z240" i="1"/>
  <c r="Z246" i="1"/>
  <c r="Z247" i="1" s="1"/>
  <c r="BP281" i="1"/>
  <c r="Z303" i="1"/>
  <c r="BN418" i="1"/>
  <c r="Y425" i="1"/>
  <c r="BN446" i="1"/>
  <c r="Z331" i="1"/>
  <c r="X496" i="1"/>
  <c r="BP229" i="1"/>
  <c r="Z381" i="1"/>
  <c r="Y413" i="1"/>
  <c r="BP418" i="1"/>
  <c r="BP446" i="1"/>
  <c r="Z41" i="1"/>
  <c r="Z47" i="1"/>
  <c r="Z48" i="1" s="1"/>
  <c r="BP57" i="1"/>
  <c r="BP93" i="1"/>
  <c r="Y112" i="1"/>
  <c r="BP148" i="1"/>
  <c r="BP152" i="1"/>
  <c r="BP170" i="1"/>
  <c r="Z174" i="1"/>
  <c r="Z210" i="1"/>
  <c r="BN292" i="1"/>
  <c r="BP303" i="1"/>
  <c r="Y327" i="1"/>
  <c r="BN356" i="1"/>
  <c r="BN399" i="1"/>
  <c r="Z434" i="1"/>
  <c r="BN479" i="1"/>
  <c r="Z337" i="1"/>
  <c r="BP331" i="1"/>
  <c r="BN41" i="1"/>
  <c r="Z118" i="1"/>
  <c r="Z178" i="1"/>
  <c r="Z317" i="1"/>
  <c r="Z323" i="1"/>
  <c r="BP338" i="1"/>
  <c r="BP353" i="1"/>
  <c r="BN434" i="1"/>
  <c r="Z447" i="1"/>
  <c r="BP456" i="1"/>
  <c r="Z467" i="1"/>
  <c r="Z329" i="1"/>
  <c r="BP345" i="1"/>
  <c r="BN419" i="1"/>
  <c r="BN473" i="1"/>
  <c r="Z229" i="1"/>
  <c r="BP29" i="1"/>
  <c r="Z53" i="1"/>
  <c r="Y313" i="1"/>
  <c r="BN381" i="1"/>
  <c r="BN47" i="1"/>
  <c r="Z80" i="1"/>
  <c r="Z127" i="1"/>
  <c r="BN174" i="1"/>
  <c r="Z190" i="1"/>
  <c r="Z191" i="1" s="1"/>
  <c r="BN210" i="1"/>
  <c r="BN27" i="1"/>
  <c r="BP47" i="1"/>
  <c r="Z108" i="1"/>
  <c r="BN127" i="1"/>
  <c r="BN178" i="1"/>
  <c r="BN190" i="1"/>
  <c r="Y248" i="1"/>
  <c r="BN256" i="1"/>
  <c r="BP263" i="1"/>
  <c r="BN317" i="1"/>
  <c r="BN323" i="1"/>
  <c r="BP396" i="1"/>
  <c r="BP441" i="1"/>
  <c r="BN447" i="1"/>
  <c r="BN467" i="1"/>
  <c r="BP488" i="1"/>
  <c r="BP118" i="1"/>
  <c r="Y49" i="1"/>
  <c r="BN61" i="1"/>
  <c r="BN74" i="1"/>
  <c r="Y81" i="1"/>
  <c r="Z102" i="1"/>
  <c r="Z172" i="1"/>
  <c r="Y191" i="1"/>
  <c r="Z218" i="1"/>
  <c r="Z301" i="1"/>
  <c r="Y339" i="1"/>
  <c r="R506" i="1"/>
  <c r="BN354" i="1"/>
  <c r="Y390" i="1"/>
  <c r="Z397" i="1"/>
  <c r="BN431" i="1"/>
  <c r="Z205" i="1"/>
  <c r="BP72" i="1"/>
  <c r="Y188" i="1"/>
  <c r="BP80" i="1"/>
  <c r="Y458" i="1"/>
  <c r="BP256" i="1"/>
  <c r="Z311" i="1"/>
  <c r="Y347" i="1"/>
  <c r="Z129" i="1"/>
  <c r="BP175" i="1"/>
  <c r="Y490" i="1"/>
  <c r="BN345" i="1"/>
  <c r="Y340" i="1"/>
  <c r="BP419" i="1"/>
  <c r="BP473" i="1"/>
  <c r="Z483" i="1"/>
  <c r="Z484" i="1" s="1"/>
  <c r="Y120" i="1"/>
  <c r="Y449" i="1"/>
  <c r="Z35" i="1"/>
  <c r="Z36" i="1" s="1"/>
  <c r="BP74" i="1"/>
  <c r="Y192" i="1"/>
  <c r="BP211" i="1"/>
  <c r="Y230" i="1"/>
  <c r="Z257" i="1"/>
  <c r="BN301" i="1"/>
  <c r="BP311" i="1"/>
  <c r="BN336" i="1"/>
  <c r="BN397" i="1"/>
  <c r="Y408" i="1"/>
  <c r="BP431" i="1"/>
  <c r="BP435" i="1"/>
  <c r="Z445" i="1"/>
  <c r="Z448" i="1" s="1"/>
  <c r="BN454" i="1"/>
  <c r="BN460" i="1"/>
  <c r="BP483" i="1"/>
  <c r="BP110" i="1"/>
  <c r="Y363" i="1"/>
  <c r="Z281" i="1"/>
  <c r="Y409" i="1"/>
  <c r="Z424" i="1"/>
  <c r="Z425" i="1" s="1"/>
  <c r="Y484" i="1"/>
  <c r="Z29" i="1"/>
  <c r="Z116" i="1"/>
  <c r="BP128" i="1"/>
  <c r="Z186" i="1"/>
  <c r="BN222" i="1"/>
  <c r="BN239" i="1"/>
  <c r="BP257" i="1"/>
  <c r="BN265" i="1"/>
  <c r="Z377" i="1"/>
  <c r="BP417" i="1"/>
  <c r="BN439" i="1"/>
  <c r="V506" i="1"/>
  <c r="Y225" i="1"/>
  <c r="BN216" i="1"/>
  <c r="BP288" i="1"/>
  <c r="BN288" i="1"/>
  <c r="BN117" i="1"/>
  <c r="BN200" i="1"/>
  <c r="Y203" i="1"/>
  <c r="Y202" i="1"/>
  <c r="Y506" i="1"/>
  <c r="BP466" i="1"/>
  <c r="BN466" i="1"/>
  <c r="Z466" i="1"/>
  <c r="Y471" i="1"/>
  <c r="Y470" i="1"/>
  <c r="BP302" i="1"/>
  <c r="BN302" i="1"/>
  <c r="BP206" i="1"/>
  <c r="BN206" i="1"/>
  <c r="Z138" i="1"/>
  <c r="Z139" i="1" s="1"/>
  <c r="Z200" i="1"/>
  <c r="Y32" i="1"/>
  <c r="BP28" i="1"/>
  <c r="BP75" i="1"/>
  <c r="E506" i="1"/>
  <c r="BP95" i="1"/>
  <c r="BN95" i="1"/>
  <c r="BN179" i="1"/>
  <c r="Z302" i="1"/>
  <c r="B506" i="1"/>
  <c r="BP22" i="1"/>
  <c r="Z22" i="1"/>
  <c r="Y25" i="1"/>
  <c r="Y24" i="1"/>
  <c r="BP31" i="1"/>
  <c r="BN54" i="1"/>
  <c r="G506" i="1"/>
  <c r="BP216" i="1"/>
  <c r="BP236" i="1"/>
  <c r="Z266" i="1"/>
  <c r="BP318" i="1"/>
  <c r="BN318" i="1"/>
  <c r="BP273" i="1"/>
  <c r="Y277" i="1"/>
  <c r="BN273" i="1"/>
  <c r="Y276" i="1"/>
  <c r="Z273" i="1"/>
  <c r="BP312" i="1"/>
  <c r="Z312" i="1"/>
  <c r="BN22" i="1"/>
  <c r="BN28" i="1"/>
  <c r="BP54" i="1"/>
  <c r="Y97" i="1"/>
  <c r="Y96" i="1"/>
  <c r="BP92" i="1"/>
  <c r="BN42" i="1"/>
  <c r="Z42" i="1"/>
  <c r="Z44" i="1" s="1"/>
  <c r="Y45" i="1"/>
  <c r="Y76" i="1"/>
  <c r="BP200" i="1"/>
  <c r="Z133" i="1"/>
  <c r="Z134" i="1" s="1"/>
  <c r="Y135" i="1"/>
  <c r="Y134" i="1"/>
  <c r="F10" i="1"/>
  <c r="H9" i="1"/>
  <c r="A10" i="1"/>
  <c r="J9" i="1"/>
  <c r="F9" i="1"/>
  <c r="BN138" i="1"/>
  <c r="Y140" i="1"/>
  <c r="X497" i="1"/>
  <c r="Y77" i="1"/>
  <c r="BP73" i="1"/>
  <c r="BN73" i="1"/>
  <c r="BP103" i="1"/>
  <c r="Z103" i="1"/>
  <c r="Z195" i="1"/>
  <c r="Y197" i="1"/>
  <c r="J506" i="1"/>
  <c r="Z294" i="1"/>
  <c r="Y260" i="1"/>
  <c r="BP255" i="1"/>
  <c r="BN255" i="1"/>
  <c r="Z255" i="1"/>
  <c r="Z259" i="1" s="1"/>
  <c r="BN312" i="1"/>
  <c r="BP42" i="1"/>
  <c r="BN109" i="1"/>
  <c r="BN133" i="1"/>
  <c r="BN211" i="1"/>
  <c r="BP282" i="1"/>
  <c r="BN282" i="1"/>
  <c r="Z282" i="1"/>
  <c r="S506" i="1"/>
  <c r="BP376" i="1"/>
  <c r="T506" i="1"/>
  <c r="Z376" i="1"/>
  <c r="Z378" i="1" s="1"/>
  <c r="Y379" i="1"/>
  <c r="Y378" i="1"/>
  <c r="Z75" i="1"/>
  <c r="Z31" i="1"/>
  <c r="X498" i="1"/>
  <c r="Y139" i="1"/>
  <c r="BP201" i="1"/>
  <c r="BN201" i="1"/>
  <c r="Z201" i="1"/>
  <c r="BN67" i="1"/>
  <c r="Y70" i="1"/>
  <c r="Y69" i="1"/>
  <c r="Z73" i="1"/>
  <c r="BP86" i="1"/>
  <c r="Y89" i="1"/>
  <c r="Z86" i="1"/>
  <c r="BN92" i="1"/>
  <c r="Y119" i="1"/>
  <c r="Z23" i="1"/>
  <c r="D506" i="1"/>
  <c r="Y59" i="1"/>
  <c r="BP52" i="1"/>
  <c r="Y58" i="1"/>
  <c r="Z52" i="1"/>
  <c r="Z58" i="1" s="1"/>
  <c r="Z67" i="1"/>
  <c r="Z69" i="1" s="1"/>
  <c r="BN103" i="1"/>
  <c r="BP149" i="1"/>
  <c r="Z149" i="1"/>
  <c r="Z154" i="1" s="1"/>
  <c r="Y155" i="1"/>
  <c r="Y154" i="1"/>
  <c r="BP153" i="1"/>
  <c r="BN153" i="1"/>
  <c r="BN195" i="1"/>
  <c r="BP474" i="1"/>
  <c r="BN474" i="1"/>
  <c r="Z474" i="1"/>
  <c r="Y476" i="1"/>
  <c r="Y181" i="1"/>
  <c r="Z275" i="1"/>
  <c r="BP104" i="1"/>
  <c r="BN104" i="1"/>
  <c r="Y226" i="1"/>
  <c r="Y269" i="1"/>
  <c r="BP264" i="1"/>
  <c r="BN264" i="1"/>
  <c r="Z264" i="1"/>
  <c r="Z268" i="1" s="1"/>
  <c r="BP293" i="1"/>
  <c r="BN293" i="1"/>
  <c r="Y304" i="1"/>
  <c r="Y182" i="1"/>
  <c r="BN310" i="1"/>
  <c r="BP310" i="1"/>
  <c r="Z105" i="1"/>
  <c r="Z62" i="1"/>
  <c r="Y64" i="1"/>
  <c r="BP68" i="1"/>
  <c r="Z68" i="1"/>
  <c r="BP150" i="1"/>
  <c r="BN150" i="1"/>
  <c r="BN167" i="1"/>
  <c r="BP275" i="1"/>
  <c r="BP287" i="1"/>
  <c r="Z287" i="1"/>
  <c r="Z289" i="1" s="1"/>
  <c r="P506" i="1"/>
  <c r="Y290" i="1"/>
  <c r="Y289" i="1"/>
  <c r="Y305" i="1"/>
  <c r="Z310" i="1"/>
  <c r="Y320" i="1"/>
  <c r="BP432" i="1"/>
  <c r="BN432" i="1"/>
  <c r="Z432" i="1"/>
  <c r="BP87" i="1"/>
  <c r="BN87" i="1"/>
  <c r="BP30" i="1"/>
  <c r="Z30" i="1"/>
  <c r="Y105" i="1"/>
  <c r="BP101" i="1"/>
  <c r="BP209" i="1"/>
  <c r="BN209" i="1"/>
  <c r="Z209" i="1"/>
  <c r="Y359" i="1"/>
  <c r="BP352" i="1"/>
  <c r="Y358" i="1"/>
  <c r="Z352" i="1"/>
  <c r="BP157" i="1"/>
  <c r="Z157" i="1"/>
  <c r="Z158" i="1" s="1"/>
  <c r="Y159" i="1"/>
  <c r="BP167" i="1"/>
  <c r="BP402" i="1"/>
  <c r="BN402" i="1"/>
  <c r="Z402" i="1"/>
  <c r="BP94" i="1"/>
  <c r="Z94" i="1"/>
  <c r="Z96" i="1" s="1"/>
  <c r="BP111" i="1"/>
  <c r="Z111" i="1"/>
  <c r="Z117" i="1"/>
  <c r="BP168" i="1"/>
  <c r="BN168" i="1"/>
  <c r="Z168" i="1"/>
  <c r="Y214" i="1"/>
  <c r="BN352" i="1"/>
  <c r="Y113" i="1"/>
  <c r="Z217" i="1"/>
  <c r="Z234" i="1"/>
  <c r="Z250" i="1"/>
  <c r="Z251" i="1" s="1"/>
  <c r="Z258" i="1"/>
  <c r="Z267" i="1"/>
  <c r="Y314" i="1"/>
  <c r="Z366" i="1"/>
  <c r="BN377" i="1"/>
  <c r="Y404" i="1"/>
  <c r="Z433" i="1"/>
  <c r="F506" i="1"/>
  <c r="Z55" i="1"/>
  <c r="Z63" i="1"/>
  <c r="Y82" i="1"/>
  <c r="Y129" i="1"/>
  <c r="Y146" i="1"/>
  <c r="Z171" i="1"/>
  <c r="Z196" i="1"/>
  <c r="Z212" i="1"/>
  <c r="Z220" i="1"/>
  <c r="Z228" i="1"/>
  <c r="Z230" i="1" s="1"/>
  <c r="Z237" i="1"/>
  <c r="Z343" i="1"/>
  <c r="Z346" i="1" s="1"/>
  <c r="Y346" i="1"/>
  <c r="Z353" i="1"/>
  <c r="Z361" i="1"/>
  <c r="Z363" i="1" s="1"/>
  <c r="BN371" i="1"/>
  <c r="BP382" i="1"/>
  <c r="BP400" i="1"/>
  <c r="Z417" i="1"/>
  <c r="Z420" i="1" s="1"/>
  <c r="Y420" i="1"/>
  <c r="BN430" i="1"/>
  <c r="Z436" i="1"/>
  <c r="Z452" i="1"/>
  <c r="Y481" i="1"/>
  <c r="Y494" i="1"/>
  <c r="H506" i="1"/>
  <c r="BN217" i="1"/>
  <c r="BN234" i="1"/>
  <c r="Y243" i="1"/>
  <c r="BN250" i="1"/>
  <c r="BN258" i="1"/>
  <c r="BN267" i="1"/>
  <c r="BN366" i="1"/>
  <c r="BN433" i="1"/>
  <c r="Y442" i="1"/>
  <c r="BN55" i="1"/>
  <c r="BN63" i="1"/>
  <c r="Z115" i="1"/>
  <c r="Z163" i="1"/>
  <c r="Z164" i="1" s="1"/>
  <c r="BN171" i="1"/>
  <c r="Z177" i="1"/>
  <c r="Z185" i="1"/>
  <c r="Z187" i="1" s="1"/>
  <c r="BN196" i="1"/>
  <c r="BN212" i="1"/>
  <c r="BN220" i="1"/>
  <c r="BN228" i="1"/>
  <c r="BN237" i="1"/>
  <c r="Y294" i="1"/>
  <c r="Z300" i="1"/>
  <c r="Z308" i="1"/>
  <c r="Z313" i="1" s="1"/>
  <c r="Z316" i="1"/>
  <c r="Z320" i="1" s="1"/>
  <c r="Z324" i="1"/>
  <c r="Z326" i="1" s="1"/>
  <c r="Z332" i="1"/>
  <c r="BN343" i="1"/>
  <c r="BN361" i="1"/>
  <c r="BP371" i="1"/>
  <c r="Y383" i="1"/>
  <c r="Z388" i="1"/>
  <c r="Z398" i="1"/>
  <c r="Z406" i="1"/>
  <c r="Z408" i="1" s="1"/>
  <c r="BP430" i="1"/>
  <c r="I506" i="1"/>
  <c r="Z79" i="1"/>
  <c r="Z81" i="1" s="1"/>
  <c r="Z88" i="1"/>
  <c r="BN115" i="1"/>
  <c r="Z143" i="1"/>
  <c r="BN177" i="1"/>
  <c r="BP228" i="1"/>
  <c r="Z478" i="1"/>
  <c r="Z480" i="1" s="1"/>
  <c r="K506" i="1"/>
  <c r="BP250" i="1"/>
  <c r="Z151" i="1"/>
  <c r="BN163" i="1"/>
  <c r="BN185" i="1"/>
  <c r="Y244" i="1"/>
  <c r="Z280" i="1"/>
  <c r="Z283" i="1" s="1"/>
  <c r="Y283" i="1"/>
  <c r="BN300" i="1"/>
  <c r="BN308" i="1"/>
  <c r="BN316" i="1"/>
  <c r="BN324" i="1"/>
  <c r="BN332" i="1"/>
  <c r="Y372" i="1"/>
  <c r="BN388" i="1"/>
  <c r="BN398" i="1"/>
  <c r="BN406" i="1"/>
  <c r="Y443" i="1"/>
  <c r="BP41" i="1"/>
  <c r="BN85" i="1"/>
  <c r="Y251" i="1"/>
  <c r="Y259" i="1"/>
  <c r="Y268" i="1"/>
  <c r="Y295" i="1"/>
  <c r="Y384" i="1"/>
  <c r="BP412" i="1"/>
  <c r="Z473" i="1"/>
  <c r="L506" i="1"/>
  <c r="Y33" i="1"/>
  <c r="BN79" i="1"/>
  <c r="BN88" i="1"/>
  <c r="Y106" i="1"/>
  <c r="BN143" i="1"/>
  <c r="BN151" i="1"/>
  <c r="BP163" i="1"/>
  <c r="Y213" i="1"/>
  <c r="BN280" i="1"/>
  <c r="BN478" i="1"/>
  <c r="M506" i="1"/>
  <c r="Y284" i="1"/>
  <c r="Y373" i="1"/>
  <c r="O506" i="1"/>
  <c r="Z175" i="1"/>
  <c r="Z224" i="1"/>
  <c r="Z241" i="1"/>
  <c r="Z298" i="1"/>
  <c r="Z330" i="1"/>
  <c r="Y333" i="1"/>
  <c r="Z338" i="1"/>
  <c r="Z357" i="1"/>
  <c r="Z386" i="1"/>
  <c r="Z389" i="1" s="1"/>
  <c r="Y389" i="1"/>
  <c r="Z396" i="1"/>
  <c r="Z440" i="1"/>
  <c r="Z456" i="1"/>
  <c r="BP478" i="1"/>
  <c r="Q506" i="1"/>
  <c r="Y90" i="1"/>
  <c r="Z435" i="1"/>
  <c r="Z451" i="1"/>
  <c r="Z457" i="1" s="1"/>
  <c r="Z469" i="1"/>
  <c r="U506" i="1"/>
  <c r="Z336" i="1"/>
  <c r="Z339" i="1" s="1"/>
  <c r="Y457" i="1"/>
  <c r="Z493" i="1"/>
  <c r="Z494" i="1" s="1"/>
  <c r="BN469" i="1"/>
  <c r="Z487" i="1"/>
  <c r="Z489" i="1" s="1"/>
  <c r="Z382" i="1"/>
  <c r="Z383" i="1" s="1"/>
  <c r="Z400" i="1"/>
  <c r="Y403" i="1"/>
  <c r="BN493" i="1"/>
  <c r="X506" i="1"/>
  <c r="BP493" i="1"/>
  <c r="Z145" i="1" l="1"/>
  <c r="Z213" i="1"/>
  <c r="Z403" i="1"/>
  <c r="Z112" i="1"/>
  <c r="Z76" i="1"/>
  <c r="Z368" i="1"/>
  <c r="Z181" i="1"/>
  <c r="Z32" i="1"/>
  <c r="Z442" i="1"/>
  <c r="Z475" i="1"/>
  <c r="Z243" i="1"/>
  <c r="X499" i="1"/>
  <c r="Y500" i="1"/>
  <c r="Z225" i="1"/>
  <c r="Z358" i="1"/>
  <c r="Y496" i="1"/>
  <c r="Y497" i="1"/>
  <c r="Z24" i="1"/>
  <c r="Y498" i="1"/>
  <c r="Z470" i="1"/>
  <c r="Z119" i="1"/>
  <c r="Z64" i="1"/>
  <c r="Z197" i="1"/>
  <c r="Z202" i="1"/>
  <c r="Z89" i="1"/>
  <c r="Z333" i="1"/>
  <c r="Z304" i="1"/>
  <c r="Z501" i="1" l="1"/>
  <c r="Y499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<sst xmlns="http://schemas.openxmlformats.org/spreadsheetml/2006/main" count="2386" uniqueCount="785">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</sst>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23" t="s">
        <v>0</v>
      </c>
      <c r="E1" s="581"/>
      <c r="F1" s="581"/>
      <c r="G1" s="14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0"/>
      <c r="Q3" s="570"/>
      <c r="R3" s="570"/>
      <c r="S3" s="570"/>
      <c r="T3" s="570"/>
      <c r="U3" s="570"/>
      <c r="V3" s="570"/>
      <c r="W3" s="5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69"/>
      <c r="P5" s="26" t="s">
        <v>10</v>
      </c>
      <c r="Q5" s="864">
        <v>46034</v>
      </c>
      <c r="R5" s="673"/>
      <c r="T5" s="736" t="s">
        <v>11</v>
      </c>
      <c r="U5" s="737"/>
      <c r="V5" s="738" t="s">
        <v>12</v>
      </c>
      <c r="W5" s="673"/>
      <c r="AB5" s="57"/>
      <c r="AC5" s="57"/>
      <c r="AD5" s="57"/>
      <c r="AE5" s="57"/>
    </row>
    <row r="6" spans="1:32" s="17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70"/>
      <c r="P6" s="26" t="s">
        <v>15</v>
      </c>
      <c r="Q6" s="872" t="str">
        <f>IF(Q5=0," ",CHOOSE(WEEKDAY(Q5,2),"Понедельник","Вторник","Среда","Четверг","Пятница","Суббота","Воскресенье"))</f>
        <v>Понедельник</v>
      </c>
      <c r="R6" s="565"/>
      <c r="T6" s="739" t="s">
        <v>16</v>
      </c>
      <c r="U6" s="737"/>
      <c r="V6" s="790" t="s">
        <v>17</v>
      </c>
      <c r="W6" s="59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71"/>
      <c r="P7" s="26"/>
      <c r="Q7" s="46"/>
      <c r="R7" s="46"/>
      <c r="T7" s="570"/>
      <c r="U7" s="737"/>
      <c r="V7" s="791"/>
      <c r="W7" s="792"/>
      <c r="AB7" s="57"/>
      <c r="AC7" s="57"/>
      <c r="AD7" s="57"/>
      <c r="AE7" s="57"/>
    </row>
    <row r="8" spans="1:32" s="17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72"/>
      <c r="P8" s="26" t="s">
        <v>20</v>
      </c>
      <c r="Q8" s="691">
        <v>0.5</v>
      </c>
      <c r="R8" s="608"/>
      <c r="T8" s="570"/>
      <c r="U8" s="737"/>
      <c r="V8" s="791"/>
      <c r="W8" s="792"/>
      <c r="AB8" s="57"/>
      <c r="AC8" s="57"/>
      <c r="AD8" s="57"/>
      <c r="AE8" s="57"/>
    </row>
    <row r="9" spans="1:32" s="17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67"/>
      <c r="P9" s="29" t="s">
        <v>21</v>
      </c>
      <c r="Q9" s="669"/>
      <c r="R9" s="670"/>
      <c r="T9" s="570"/>
      <c r="U9" s="737"/>
      <c r="V9" s="793"/>
      <c r="W9" s="79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68"/>
      <c r="P10" s="29" t="s">
        <v>22</v>
      </c>
      <c r="Q10" s="740"/>
      <c r="R10" s="741"/>
      <c r="U10" s="26" t="s">
        <v>23</v>
      </c>
      <c r="V10" s="592" t="s">
        <v>24</v>
      </c>
      <c r="W10" s="59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672"/>
      <c r="R11" s="673"/>
      <c r="U11" s="26" t="s">
        <v>27</v>
      </c>
      <c r="V11" s="815" t="s">
        <v>28</v>
      </c>
      <c r="W11" s="67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73"/>
      <c r="P12" s="26" t="s">
        <v>30</v>
      </c>
      <c r="Q12" s="691"/>
      <c r="R12" s="608"/>
      <c r="S12" s="27"/>
      <c r="U12" s="26"/>
      <c r="V12" s="581"/>
      <c r="W12" s="570"/>
      <c r="AB12" s="57"/>
      <c r="AC12" s="57"/>
      <c r="AD12" s="57"/>
      <c r="AE12" s="57"/>
    </row>
    <row r="13" spans="1:32" s="17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73"/>
      <c r="O13" s="29"/>
      <c r="P13" s="29" t="s">
        <v>32</v>
      </c>
      <c r="Q13" s="815"/>
      <c r="R13" s="670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74"/>
      <c r="P15" s="706" t="s">
        <v>35</v>
      </c>
      <c r="Q15" s="581"/>
      <c r="R15" s="581"/>
      <c r="S15" s="581"/>
      <c r="T15" s="581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7"/>
      <c r="Q16" s="707"/>
      <c r="R16" s="707"/>
      <c r="S16" s="707"/>
      <c r="T16" s="7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77"/>
      <c r="BD17" s="76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78" t="s">
        <v>61</v>
      </c>
      <c r="V18" s="78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77"/>
      <c r="BD18" s="76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52"/>
      <c r="AB19" s="52"/>
      <c r="AC19" s="52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2"/>
      <c r="AB20" s="62"/>
      <c r="AC20" s="62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63"/>
      <c r="AB21" s="63"/>
      <c r="AC21" s="63"/>
    </row>
    <row r="22" spans="1:68" ht="27" hidden="1" customHeight="1" x14ac:dyDescent="0.25">
      <c r="A22" s="60" t="s">
        <v>65</v>
      </c>
      <c r="B22" s="60" t="s">
        <v>66</v>
      </c>
      <c r="C22" s="34">
        <v>4301031446</v>
      </c>
      <c r="D22" s="564">
        <v>4680115887510</v>
      </c>
      <c r="E22" s="56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67</v>
      </c>
      <c r="L22" s="35"/>
      <c r="M22" s="36" t="s">
        <v>68</v>
      </c>
      <c r="N22" s="36"/>
      <c r="O22" s="35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7"/>
      <c r="V22" s="37"/>
      <c r="W22" s="38" t="s">
        <v>69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/>
      <c r="AB22" s="66"/>
      <c r="AC22" s="81" t="s">
        <v>70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71</v>
      </c>
      <c r="B23" s="60" t="s">
        <v>72</v>
      </c>
      <c r="C23" s="34">
        <v>4301031278</v>
      </c>
      <c r="D23" s="564">
        <v>4680115886643</v>
      </c>
      <c r="E23" s="56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73</v>
      </c>
      <c r="L23" s="35"/>
      <c r="M23" s="36" t="s">
        <v>68</v>
      </c>
      <c r="N23" s="36"/>
      <c r="O23" s="35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7"/>
      <c r="V23" s="37"/>
      <c r="W23" s="38" t="s">
        <v>69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74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40" t="s">
        <v>76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40" t="s">
        <v>69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63"/>
      <c r="AB26" s="63"/>
      <c r="AC26" s="63"/>
    </row>
    <row r="27" spans="1:68" ht="27" hidden="1" customHeight="1" x14ac:dyDescent="0.25">
      <c r="A27" s="60" t="s">
        <v>78</v>
      </c>
      <c r="B27" s="60" t="s">
        <v>79</v>
      </c>
      <c r="C27" s="34">
        <v>4301051866</v>
      </c>
      <c r="D27" s="564">
        <v>4680115885912</v>
      </c>
      <c r="E27" s="56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67</v>
      </c>
      <c r="L27" s="35"/>
      <c r="M27" s="36" t="s">
        <v>80</v>
      </c>
      <c r="N27" s="36"/>
      <c r="O27" s="35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7"/>
      <c r="V27" s="37"/>
      <c r="W27" s="38" t="s">
        <v>69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81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82</v>
      </c>
      <c r="B28" s="60" t="s">
        <v>83</v>
      </c>
      <c r="C28" s="34">
        <v>4301051776</v>
      </c>
      <c r="D28" s="564">
        <v>4607091388237</v>
      </c>
      <c r="E28" s="56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67</v>
      </c>
      <c r="L28" s="35"/>
      <c r="M28" s="36" t="s">
        <v>80</v>
      </c>
      <c r="N28" s="36"/>
      <c r="O28" s="35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7"/>
      <c r="V28" s="37"/>
      <c r="W28" s="38" t="s">
        <v>69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81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84</v>
      </c>
      <c r="B29" s="60" t="s">
        <v>85</v>
      </c>
      <c r="C29" s="34">
        <v>4301052063</v>
      </c>
      <c r="D29" s="564">
        <v>4680115887350</v>
      </c>
      <c r="E29" s="56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67</v>
      </c>
      <c r="L29" s="35"/>
      <c r="M29" s="36" t="s">
        <v>86</v>
      </c>
      <c r="N29" s="36"/>
      <c r="O29" s="35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7"/>
      <c r="V29" s="37"/>
      <c r="W29" s="38" t="s">
        <v>69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87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88</v>
      </c>
      <c r="B30" s="60" t="s">
        <v>89</v>
      </c>
      <c r="C30" s="34">
        <v>4301051863</v>
      </c>
      <c r="D30" s="564">
        <v>4680115885905</v>
      </c>
      <c r="E30" s="56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67</v>
      </c>
      <c r="L30" s="35" t="s">
        <v>90</v>
      </c>
      <c r="M30" s="36" t="s">
        <v>86</v>
      </c>
      <c r="N30" s="36"/>
      <c r="O30" s="35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7"/>
      <c r="V30" s="37"/>
      <c r="W30" s="38" t="s">
        <v>69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91</v>
      </c>
      <c r="AG30" s="75"/>
      <c r="AJ30" s="79" t="s">
        <v>92</v>
      </c>
      <c r="AK30" s="79">
        <v>25.2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93</v>
      </c>
      <c r="B31" s="60" t="s">
        <v>94</v>
      </c>
      <c r="C31" s="34">
        <v>4301051851</v>
      </c>
      <c r="D31" s="564">
        <v>4607091388244</v>
      </c>
      <c r="E31" s="565"/>
      <c r="F31" s="59">
        <v>0.42</v>
      </c>
      <c r="G31" s="35">
        <v>6</v>
      </c>
      <c r="H31" s="59">
        <v>2.52</v>
      </c>
      <c r="I31" s="59">
        <v>2.766</v>
      </c>
      <c r="J31" s="35">
        <v>182</v>
      </c>
      <c r="K31" s="35" t="s">
        <v>67</v>
      </c>
      <c r="L31" s="35" t="s">
        <v>90</v>
      </c>
      <c r="M31" s="36" t="s">
        <v>86</v>
      </c>
      <c r="N31" s="36"/>
      <c r="O31" s="35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7"/>
      <c r="V31" s="37"/>
      <c r="W31" s="38" t="s">
        <v>69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 t="s">
        <v>92</v>
      </c>
      <c r="AK31" s="79">
        <v>35.28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40" t="s">
        <v>76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40" t="s">
        <v>69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63"/>
      <c r="AB34" s="63"/>
      <c r="AC34" s="63"/>
    </row>
    <row r="35" spans="1:68" ht="27" hidden="1" customHeight="1" x14ac:dyDescent="0.25">
      <c r="A35" s="60" t="s">
        <v>96</v>
      </c>
      <c r="B35" s="60" t="s">
        <v>97</v>
      </c>
      <c r="C35" s="34">
        <v>4301032013</v>
      </c>
      <c r="D35" s="564">
        <v>4607091388503</v>
      </c>
      <c r="E35" s="565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67</v>
      </c>
      <c r="L35" s="35"/>
      <c r="M35" s="36" t="s">
        <v>98</v>
      </c>
      <c r="N35" s="36"/>
      <c r="O35" s="35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7"/>
      <c r="V35" s="37"/>
      <c r="W35" s="38" t="s">
        <v>69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99</v>
      </c>
      <c r="AG35" s="75"/>
      <c r="AJ35" s="79"/>
      <c r="AK35" s="79">
        <v>0</v>
      </c>
      <c r="BB35" s="96" t="s">
        <v>100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40" t="s">
        <v>76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40" t="s">
        <v>69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52"/>
      <c r="AB38" s="52"/>
      <c r="AC38" s="52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62"/>
      <c r="AB39" s="62"/>
      <c r="AC39" s="62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63"/>
      <c r="AB40" s="63"/>
      <c r="AC40" s="63"/>
    </row>
    <row r="41" spans="1:68" ht="16.5" customHeight="1" x14ac:dyDescent="0.25">
      <c r="A41" s="60" t="s">
        <v>104</v>
      </c>
      <c r="B41" s="60" t="s">
        <v>105</v>
      </c>
      <c r="C41" s="34">
        <v>4301011380</v>
      </c>
      <c r="D41" s="564">
        <v>4607091385670</v>
      </c>
      <c r="E41" s="565"/>
      <c r="F41" s="59">
        <v>1.35</v>
      </c>
      <c r="G41" s="35">
        <v>8</v>
      </c>
      <c r="H41" s="59">
        <v>10.8</v>
      </c>
      <c r="I41" s="59">
        <v>11.21</v>
      </c>
      <c r="J41" s="35">
        <v>64</v>
      </c>
      <c r="K41" s="35" t="s">
        <v>106</v>
      </c>
      <c r="L41" s="35" t="s">
        <v>107</v>
      </c>
      <c r="M41" s="36" t="s">
        <v>108</v>
      </c>
      <c r="N41" s="36"/>
      <c r="O41" s="35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7"/>
      <c r="V41" s="37"/>
      <c r="W41" s="38" t="s">
        <v>69</v>
      </c>
      <c r="X41" s="56">
        <v>2550</v>
      </c>
      <c r="Y41" s="53">
        <f>IFERROR(IF(X41="",0,CEILING((X41/$H41),1)*$H41),"")</f>
        <v>2559.6000000000004</v>
      </c>
      <c r="Z41" s="39">
        <f>IFERROR(IF(Y41=0,"",ROUNDUP(Y41/H41,0)*0.01898),"")</f>
        <v>4.4982600000000001</v>
      </c>
      <c r="AA41" s="65"/>
      <c r="AB41" s="66"/>
      <c r="AC41" s="97" t="s">
        <v>109</v>
      </c>
      <c r="AG41" s="75"/>
      <c r="AJ41" s="79" t="s">
        <v>92</v>
      </c>
      <c r="AK41" s="79">
        <v>86.4</v>
      </c>
      <c r="BB41" s="98" t="s">
        <v>1</v>
      </c>
      <c r="BM41" s="75">
        <f>IFERROR(X41*I41/H41,"0")</f>
        <v>2646.8055555555557</v>
      </c>
      <c r="BN41" s="75">
        <f>IFERROR(Y41*I41/H41,"0")</f>
        <v>2656.7700000000004</v>
      </c>
      <c r="BO41" s="75">
        <f>IFERROR(1/J41*(X41/H41),"0")</f>
        <v>3.6892361111111107</v>
      </c>
      <c r="BP41" s="75">
        <f>IFERROR(1/J41*(Y41/H41),"0")</f>
        <v>3.7031250000000004</v>
      </c>
    </row>
    <row r="42" spans="1:68" ht="27" hidden="1" customHeight="1" x14ac:dyDescent="0.25">
      <c r="A42" s="60" t="s">
        <v>110</v>
      </c>
      <c r="B42" s="60" t="s">
        <v>111</v>
      </c>
      <c r="C42" s="34">
        <v>4301011565</v>
      </c>
      <c r="D42" s="564">
        <v>4680115882539</v>
      </c>
      <c r="E42" s="565"/>
      <c r="F42" s="59">
        <v>0.37</v>
      </c>
      <c r="G42" s="35">
        <v>10</v>
      </c>
      <c r="H42" s="59">
        <v>3.7</v>
      </c>
      <c r="I42" s="59">
        <v>3.89</v>
      </c>
      <c r="J42" s="35">
        <v>132</v>
      </c>
      <c r="K42" s="35" t="s">
        <v>112</v>
      </c>
      <c r="L42" s="35"/>
      <c r="M42" s="36" t="s">
        <v>80</v>
      </c>
      <c r="N42" s="36"/>
      <c r="O42" s="35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7"/>
      <c r="V42" s="37"/>
      <c r="W42" s="38" t="s">
        <v>69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/>
      <c r="AB42" s="66"/>
      <c r="AC42" s="99" t="s">
        <v>109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113</v>
      </c>
      <c r="B43" s="60" t="s">
        <v>114</v>
      </c>
      <c r="C43" s="34">
        <v>4301011382</v>
      </c>
      <c r="D43" s="564">
        <v>4607091385687</v>
      </c>
      <c r="E43" s="565"/>
      <c r="F43" s="59">
        <v>0.4</v>
      </c>
      <c r="G43" s="35">
        <v>10</v>
      </c>
      <c r="H43" s="59">
        <v>4</v>
      </c>
      <c r="I43" s="59">
        <v>4.1900000000000004</v>
      </c>
      <c r="J43" s="35">
        <v>132</v>
      </c>
      <c r="K43" s="35" t="s">
        <v>112</v>
      </c>
      <c r="L43" s="35" t="s">
        <v>115</v>
      </c>
      <c r="M43" s="36" t="s">
        <v>80</v>
      </c>
      <c r="N43" s="36"/>
      <c r="O43" s="35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7"/>
      <c r="V43" s="37"/>
      <c r="W43" s="38" t="s">
        <v>69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/>
      <c r="AB43" s="66"/>
      <c r="AC43" s="101" t="s">
        <v>109</v>
      </c>
      <c r="AG43" s="75"/>
      <c r="AJ43" s="79" t="s">
        <v>92</v>
      </c>
      <c r="AK43" s="79">
        <v>48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40" t="s">
        <v>76</v>
      </c>
      <c r="X44" s="41">
        <f>IFERROR(X41/H41,"0")+IFERROR(X42/H42,"0")+IFERROR(X43/H43,"0")</f>
        <v>236.11111111111109</v>
      </c>
      <c r="Y44" s="41">
        <f>IFERROR(Y41/H41,"0")+IFERROR(Y42/H42,"0")+IFERROR(Y43/H43,"0")</f>
        <v>237.00000000000003</v>
      </c>
      <c r="Z44" s="41">
        <f>IFERROR(IF(Z41="",0,Z41),"0")+IFERROR(IF(Z42="",0,Z42),"0")+IFERROR(IF(Z43="",0,Z43),"0")</f>
        <v>4.4982600000000001</v>
      </c>
      <c r="AA44" s="64"/>
      <c r="AB44" s="64"/>
      <c r="AC44" s="64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40" t="s">
        <v>69</v>
      </c>
      <c r="X45" s="41">
        <f>IFERROR(SUM(X41:X43),"0")</f>
        <v>2550</v>
      </c>
      <c r="Y45" s="41">
        <f>IFERROR(SUM(Y41:Y43),"0")</f>
        <v>2559.6000000000004</v>
      </c>
      <c r="Z45" s="40"/>
      <c r="AA45" s="64"/>
      <c r="AB45" s="64"/>
      <c r="AC45" s="64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63"/>
      <c r="AB46" s="63"/>
      <c r="AC46" s="63"/>
    </row>
    <row r="47" spans="1:68" ht="16.5" hidden="1" customHeight="1" x14ac:dyDescent="0.25">
      <c r="A47" s="60" t="s">
        <v>116</v>
      </c>
      <c r="B47" s="60" t="s">
        <v>117</v>
      </c>
      <c r="C47" s="34">
        <v>4301051820</v>
      </c>
      <c r="D47" s="564">
        <v>4680115884915</v>
      </c>
      <c r="E47" s="565"/>
      <c r="F47" s="59">
        <v>0.3</v>
      </c>
      <c r="G47" s="35">
        <v>6</v>
      </c>
      <c r="H47" s="59">
        <v>1.8</v>
      </c>
      <c r="I47" s="59">
        <v>1.98</v>
      </c>
      <c r="J47" s="35">
        <v>182</v>
      </c>
      <c r="K47" s="35" t="s">
        <v>67</v>
      </c>
      <c r="L47" s="35" t="s">
        <v>90</v>
      </c>
      <c r="M47" s="36" t="s">
        <v>80</v>
      </c>
      <c r="N47" s="36"/>
      <c r="O47" s="35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7"/>
      <c r="V47" s="37"/>
      <c r="W47" s="38" t="s">
        <v>69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/>
      <c r="AB47" s="66"/>
      <c r="AC47" s="103" t="s">
        <v>118</v>
      </c>
      <c r="AG47" s="75"/>
      <c r="AJ47" s="79" t="s">
        <v>92</v>
      </c>
      <c r="AK47" s="79">
        <v>25.2</v>
      </c>
      <c r="BB47" s="104" t="s">
        <v>1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40" t="s">
        <v>76</v>
      </c>
      <c r="X48" s="41">
        <f>IFERROR(X47/H47,"0")</f>
        <v>0</v>
      </c>
      <c r="Y48" s="41">
        <f>IFERROR(Y47/H47,"0")</f>
        <v>0</v>
      </c>
      <c r="Z48" s="41">
        <f>IFERROR(IF(Z47="",0,Z47),"0")</f>
        <v>0</v>
      </c>
      <c r="AA48" s="64"/>
      <c r="AB48" s="64"/>
      <c r="AC48" s="64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40" t="s">
        <v>69</v>
      </c>
      <c r="X49" s="41">
        <f>IFERROR(SUM(X47:X47),"0")</f>
        <v>0</v>
      </c>
      <c r="Y49" s="41">
        <f>IFERROR(SUM(Y47:Y47),"0")</f>
        <v>0</v>
      </c>
      <c r="Z49" s="40"/>
      <c r="AA49" s="64"/>
      <c r="AB49" s="64"/>
      <c r="AC49" s="64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62"/>
      <c r="AB50" s="62"/>
      <c r="AC50" s="62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63"/>
      <c r="AB51" s="63"/>
      <c r="AC51" s="63"/>
    </row>
    <row r="52" spans="1:68" ht="27" customHeight="1" x14ac:dyDescent="0.25">
      <c r="A52" s="60" t="s">
        <v>120</v>
      </c>
      <c r="B52" s="60" t="s">
        <v>121</v>
      </c>
      <c r="C52" s="34">
        <v>4301012030</v>
      </c>
      <c r="D52" s="564">
        <v>4680115885882</v>
      </c>
      <c r="E52" s="565"/>
      <c r="F52" s="59">
        <v>1.4</v>
      </c>
      <c r="G52" s="35">
        <v>8</v>
      </c>
      <c r="H52" s="59">
        <v>11.2</v>
      </c>
      <c r="I52" s="59">
        <v>11.61</v>
      </c>
      <c r="J52" s="35">
        <v>64</v>
      </c>
      <c r="K52" s="35" t="s">
        <v>106</v>
      </c>
      <c r="L52" s="35" t="s">
        <v>107</v>
      </c>
      <c r="M52" s="36" t="s">
        <v>80</v>
      </c>
      <c r="N52" s="36"/>
      <c r="O52" s="35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7"/>
      <c r="V52" s="37"/>
      <c r="W52" s="38" t="s">
        <v>69</v>
      </c>
      <c r="X52" s="56">
        <v>150</v>
      </c>
      <c r="Y52" s="53">
        <f t="shared" ref="Y52:Y57" si="0">IFERROR(IF(X52="",0,CEILING((X52/$H52),1)*$H52),"")</f>
        <v>156.79999999999998</v>
      </c>
      <c r="Z52" s="39">
        <f>IFERROR(IF(Y52=0,"",ROUNDUP(Y52/H52,0)*0.01898),"")</f>
        <v>0.26572000000000001</v>
      </c>
      <c r="AA52" s="65"/>
      <c r="AB52" s="66"/>
      <c r="AC52" s="105" t="s">
        <v>122</v>
      </c>
      <c r="AG52" s="75"/>
      <c r="AJ52" s="79" t="s">
        <v>92</v>
      </c>
      <c r="AK52" s="79">
        <v>89.6</v>
      </c>
      <c r="BB52" s="106" t="s">
        <v>1</v>
      </c>
      <c r="BM52" s="75">
        <f t="shared" ref="BM52:BM57" si="1">IFERROR(X52*I52/H52,"0")</f>
        <v>155.49107142857144</v>
      </c>
      <c r="BN52" s="75">
        <f t="shared" ref="BN52:BN57" si="2">IFERROR(Y52*I52/H52,"0")</f>
        <v>162.54</v>
      </c>
      <c r="BO52" s="75">
        <f t="shared" ref="BO52:BO57" si="3">IFERROR(1/J52*(X52/H52),"0")</f>
        <v>0.20926339285714288</v>
      </c>
      <c r="BP52" s="75">
        <f t="shared" ref="BP52:BP57" si="4">IFERROR(1/J52*(Y52/H52),"0")</f>
        <v>0.21875</v>
      </c>
    </row>
    <row r="53" spans="1:68" ht="27" customHeight="1" x14ac:dyDescent="0.25">
      <c r="A53" s="60" t="s">
        <v>123</v>
      </c>
      <c r="B53" s="60" t="s">
        <v>124</v>
      </c>
      <c r="C53" s="34">
        <v>4301011816</v>
      </c>
      <c r="D53" s="564">
        <v>4680115881426</v>
      </c>
      <c r="E53" s="565"/>
      <c r="F53" s="59">
        <v>1.35</v>
      </c>
      <c r="G53" s="35">
        <v>8</v>
      </c>
      <c r="H53" s="59">
        <v>10.8</v>
      </c>
      <c r="I53" s="59">
        <v>11.21</v>
      </c>
      <c r="J53" s="35">
        <v>64</v>
      </c>
      <c r="K53" s="35" t="s">
        <v>106</v>
      </c>
      <c r="L53" s="35"/>
      <c r="M53" s="36" t="s">
        <v>108</v>
      </c>
      <c r="N53" s="36"/>
      <c r="O53" s="35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7"/>
      <c r="V53" s="37"/>
      <c r="W53" s="38" t="s">
        <v>69</v>
      </c>
      <c r="X53" s="56">
        <v>200</v>
      </c>
      <c r="Y53" s="53">
        <f t="shared" si="0"/>
        <v>205.20000000000002</v>
      </c>
      <c r="Z53" s="39">
        <f>IFERROR(IF(Y53=0,"",ROUNDUP(Y53/H53,0)*0.01898),"")</f>
        <v>0.36062</v>
      </c>
      <c r="AA53" s="65"/>
      <c r="AB53" s="66"/>
      <c r="AC53" s="107" t="s">
        <v>125</v>
      </c>
      <c r="AG53" s="75"/>
      <c r="AJ53" s="79"/>
      <c r="AK53" s="79">
        <v>0</v>
      </c>
      <c r="BB53" s="108" t="s">
        <v>1</v>
      </c>
      <c r="BM53" s="75">
        <f t="shared" si="1"/>
        <v>207.59259259259258</v>
      </c>
      <c r="BN53" s="75">
        <f t="shared" si="2"/>
        <v>212.99</v>
      </c>
      <c r="BO53" s="75">
        <f t="shared" si="3"/>
        <v>0.28935185185185186</v>
      </c>
      <c r="BP53" s="75">
        <f t="shared" si="4"/>
        <v>0.296875</v>
      </c>
    </row>
    <row r="54" spans="1:68" ht="27" hidden="1" customHeight="1" x14ac:dyDescent="0.25">
      <c r="A54" s="60" t="s">
        <v>126</v>
      </c>
      <c r="B54" s="60" t="s">
        <v>127</v>
      </c>
      <c r="C54" s="34">
        <v>4301011386</v>
      </c>
      <c r="D54" s="564">
        <v>4680115880283</v>
      </c>
      <c r="E54" s="565"/>
      <c r="F54" s="59">
        <v>0.6</v>
      </c>
      <c r="G54" s="35">
        <v>8</v>
      </c>
      <c r="H54" s="59">
        <v>4.8</v>
      </c>
      <c r="I54" s="59">
        <v>4.99</v>
      </c>
      <c r="J54" s="35">
        <v>132</v>
      </c>
      <c r="K54" s="35" t="s">
        <v>112</v>
      </c>
      <c r="L54" s="35"/>
      <c r="M54" s="36" t="s">
        <v>108</v>
      </c>
      <c r="N54" s="36"/>
      <c r="O54" s="35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7"/>
      <c r="V54" s="37"/>
      <c r="W54" s="38" t="s">
        <v>69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/>
      <c r="AB54" s="66"/>
      <c r="AC54" s="109" t="s">
        <v>128</v>
      </c>
      <c r="AG54" s="75"/>
      <c r="AJ54" s="79"/>
      <c r="AK54" s="79">
        <v>0</v>
      </c>
      <c r="BB54" s="110" t="s">
        <v>1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16.5" hidden="1" customHeight="1" x14ac:dyDescent="0.25">
      <c r="A55" s="60" t="s">
        <v>129</v>
      </c>
      <c r="B55" s="60" t="s">
        <v>130</v>
      </c>
      <c r="C55" s="34">
        <v>4301011806</v>
      </c>
      <c r="D55" s="564">
        <v>4680115881525</v>
      </c>
      <c r="E55" s="565"/>
      <c r="F55" s="59">
        <v>0.4</v>
      </c>
      <c r="G55" s="35">
        <v>10</v>
      </c>
      <c r="H55" s="59">
        <v>4</v>
      </c>
      <c r="I55" s="59">
        <v>4.1900000000000004</v>
      </c>
      <c r="J55" s="35">
        <v>132</v>
      </c>
      <c r="K55" s="35" t="s">
        <v>112</v>
      </c>
      <c r="L55" s="35"/>
      <c r="M55" s="36" t="s">
        <v>108</v>
      </c>
      <c r="N55" s="36"/>
      <c r="O55" s="35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7"/>
      <c r="V55" s="37"/>
      <c r="W55" s="38" t="s">
        <v>69</v>
      </c>
      <c r="X55" s="56">
        <v>0</v>
      </c>
      <c r="Y55" s="53">
        <f t="shared" si="0"/>
        <v>0</v>
      </c>
      <c r="Z55" s="39" t="str">
        <f>IFERROR(IF(Y55=0,"",ROUNDUP(Y55/H55,0)*0.00902),"")</f>
        <v/>
      </c>
      <c r="AA55" s="65"/>
      <c r="AB55" s="66"/>
      <c r="AC55" s="111" t="s">
        <v>131</v>
      </c>
      <c r="AG55" s="75"/>
      <c r="AJ55" s="79"/>
      <c r="AK55" s="79">
        <v>0</v>
      </c>
      <c r="BB55" s="112" t="s">
        <v>1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132</v>
      </c>
      <c r="B56" s="60" t="s">
        <v>133</v>
      </c>
      <c r="C56" s="34">
        <v>4301011589</v>
      </c>
      <c r="D56" s="564">
        <v>4680115885899</v>
      </c>
      <c r="E56" s="565"/>
      <c r="F56" s="59">
        <v>0.35</v>
      </c>
      <c r="G56" s="35">
        <v>6</v>
      </c>
      <c r="H56" s="59">
        <v>2.1</v>
      </c>
      <c r="I56" s="59">
        <v>2.2799999999999998</v>
      </c>
      <c r="J56" s="35">
        <v>182</v>
      </c>
      <c r="K56" s="35" t="s">
        <v>67</v>
      </c>
      <c r="L56" s="35" t="s">
        <v>90</v>
      </c>
      <c r="M56" s="36" t="s">
        <v>86</v>
      </c>
      <c r="N56" s="36"/>
      <c r="O56" s="35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7"/>
      <c r="V56" s="37"/>
      <c r="W56" s="38" t="s">
        <v>69</v>
      </c>
      <c r="X56" s="56">
        <v>0</v>
      </c>
      <c r="Y56" s="53">
        <f t="shared" si="0"/>
        <v>0</v>
      </c>
      <c r="Z56" s="39" t="str">
        <f>IFERROR(IF(Y56=0,"",ROUNDUP(Y56/H56,0)*0.00651),"")</f>
        <v/>
      </c>
      <c r="AA56" s="65"/>
      <c r="AB56" s="66"/>
      <c r="AC56" s="113" t="s">
        <v>134</v>
      </c>
      <c r="AG56" s="75"/>
      <c r="AJ56" s="79" t="s">
        <v>92</v>
      </c>
      <c r="AK56" s="79">
        <v>29.4</v>
      </c>
      <c r="BB56" s="114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135</v>
      </c>
      <c r="B57" s="60" t="s">
        <v>136</v>
      </c>
      <c r="C57" s="34">
        <v>4301011801</v>
      </c>
      <c r="D57" s="564">
        <v>4680115881419</v>
      </c>
      <c r="E57" s="565"/>
      <c r="F57" s="59">
        <v>0.45</v>
      </c>
      <c r="G57" s="35">
        <v>10</v>
      </c>
      <c r="H57" s="59">
        <v>4.5</v>
      </c>
      <c r="I57" s="59">
        <v>4.6900000000000004</v>
      </c>
      <c r="J57" s="35">
        <v>132</v>
      </c>
      <c r="K57" s="35" t="s">
        <v>112</v>
      </c>
      <c r="L57" s="35"/>
      <c r="M57" s="36" t="s">
        <v>108</v>
      </c>
      <c r="N57" s="36"/>
      <c r="O57" s="35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7"/>
      <c r="V57" s="37"/>
      <c r="W57" s="38" t="s">
        <v>69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/>
      <c r="AB57" s="66"/>
      <c r="AC57" s="115" t="s">
        <v>137</v>
      </c>
      <c r="AG57" s="75"/>
      <c r="AJ57" s="79"/>
      <c r="AK57" s="79">
        <v>0</v>
      </c>
      <c r="BB57" s="116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40" t="s">
        <v>76</v>
      </c>
      <c r="X58" s="41">
        <f>IFERROR(X52/H52,"0")+IFERROR(X53/H53,"0")+IFERROR(X54/H54,"0")+IFERROR(X55/H55,"0")+IFERROR(X56/H56,"0")+IFERROR(X57/H57,"0")</f>
        <v>31.911375661375665</v>
      </c>
      <c r="Y58" s="41">
        <f>IFERROR(Y52/H52,"0")+IFERROR(Y53/H53,"0")+IFERROR(Y54/H54,"0")+IFERROR(Y55/H55,"0")+IFERROR(Y56/H56,"0")+IFERROR(Y57/H57,"0")</f>
        <v>33</v>
      </c>
      <c r="Z58" s="41">
        <f>IFERROR(IF(Z52="",0,Z52),"0")+IFERROR(IF(Z53="",0,Z53),"0")+IFERROR(IF(Z54="",0,Z54),"0")+IFERROR(IF(Z55="",0,Z55),"0")+IFERROR(IF(Z56="",0,Z56),"0")+IFERROR(IF(Z57="",0,Z57),"0")</f>
        <v>0.62634000000000001</v>
      </c>
      <c r="AA58" s="64"/>
      <c r="AB58" s="64"/>
      <c r="AC58" s="64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40" t="s">
        <v>69</v>
      </c>
      <c r="X59" s="41">
        <f>IFERROR(SUM(X52:X57),"0")</f>
        <v>350</v>
      </c>
      <c r="Y59" s="41">
        <f>IFERROR(SUM(Y52:Y57),"0")</f>
        <v>362</v>
      </c>
      <c r="Z59" s="40"/>
      <c r="AA59" s="64"/>
      <c r="AB59" s="64"/>
      <c r="AC59" s="64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63"/>
      <c r="AB60" s="63"/>
      <c r="AC60" s="63"/>
    </row>
    <row r="61" spans="1:68" ht="16.5" hidden="1" customHeight="1" x14ac:dyDescent="0.25">
      <c r="A61" s="60" t="s">
        <v>139</v>
      </c>
      <c r="B61" s="60" t="s">
        <v>140</v>
      </c>
      <c r="C61" s="34">
        <v>4301020298</v>
      </c>
      <c r="D61" s="564">
        <v>4680115881440</v>
      </c>
      <c r="E61" s="565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106</v>
      </c>
      <c r="L61" s="35" t="s">
        <v>107</v>
      </c>
      <c r="M61" s="36" t="s">
        <v>108</v>
      </c>
      <c r="N61" s="36"/>
      <c r="O61" s="35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7"/>
      <c r="V61" s="37"/>
      <c r="W61" s="38" t="s">
        <v>69</v>
      </c>
      <c r="X61" s="56">
        <v>0</v>
      </c>
      <c r="Y61" s="53">
        <f>IFERROR(IF(X61="",0,CEILING((X61/$H61),1)*$H61),"")</f>
        <v>0</v>
      </c>
      <c r="Z61" s="39" t="str">
        <f>IFERROR(IF(Y61=0,"",ROUNDUP(Y61/H61,0)*0.01898),"")</f>
        <v/>
      </c>
      <c r="AA61" s="65"/>
      <c r="AB61" s="66"/>
      <c r="AC61" s="117" t="s">
        <v>141</v>
      </c>
      <c r="AG61" s="75"/>
      <c r="AJ61" s="79" t="s">
        <v>92</v>
      </c>
      <c r="AK61" s="79">
        <v>86.4</v>
      </c>
      <c r="BB61" s="118" t="s">
        <v>1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16.5" hidden="1" customHeight="1" x14ac:dyDescent="0.25">
      <c r="A62" s="60" t="s">
        <v>142</v>
      </c>
      <c r="B62" s="60" t="s">
        <v>143</v>
      </c>
      <c r="C62" s="34">
        <v>4301020358</v>
      </c>
      <c r="D62" s="564">
        <v>4680115885950</v>
      </c>
      <c r="E62" s="565"/>
      <c r="F62" s="59">
        <v>0.37</v>
      </c>
      <c r="G62" s="35">
        <v>6</v>
      </c>
      <c r="H62" s="59">
        <v>2.2200000000000002</v>
      </c>
      <c r="I62" s="59">
        <v>2.4</v>
      </c>
      <c r="J62" s="35">
        <v>182</v>
      </c>
      <c r="K62" s="35" t="s">
        <v>67</v>
      </c>
      <c r="L62" s="35"/>
      <c r="M62" s="36" t="s">
        <v>80</v>
      </c>
      <c r="N62" s="36"/>
      <c r="O62" s="35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7"/>
      <c r="V62" s="37"/>
      <c r="W62" s="38" t="s">
        <v>69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/>
      <c r="AB62" s="66"/>
      <c r="AC62" s="119" t="s">
        <v>141</v>
      </c>
      <c r="AG62" s="75"/>
      <c r="AJ62" s="79"/>
      <c r="AK62" s="79">
        <v>0</v>
      </c>
      <c r="BB62" s="120" t="s">
        <v>1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ht="27" hidden="1" customHeight="1" x14ac:dyDescent="0.25">
      <c r="A63" s="60" t="s">
        <v>144</v>
      </c>
      <c r="B63" s="60" t="s">
        <v>145</v>
      </c>
      <c r="C63" s="34">
        <v>4301020296</v>
      </c>
      <c r="D63" s="564">
        <v>4680115881433</v>
      </c>
      <c r="E63" s="565"/>
      <c r="F63" s="59">
        <v>0.45</v>
      </c>
      <c r="G63" s="35">
        <v>6</v>
      </c>
      <c r="H63" s="59">
        <v>2.7</v>
      </c>
      <c r="I63" s="59">
        <v>2.88</v>
      </c>
      <c r="J63" s="35">
        <v>182</v>
      </c>
      <c r="K63" s="35" t="s">
        <v>67</v>
      </c>
      <c r="L63" s="35"/>
      <c r="M63" s="36" t="s">
        <v>108</v>
      </c>
      <c r="N63" s="36"/>
      <c r="O63" s="35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7"/>
      <c r="V63" s="37"/>
      <c r="W63" s="38" t="s">
        <v>69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/>
      <c r="AB63" s="66"/>
      <c r="AC63" s="121" t="s">
        <v>141</v>
      </c>
      <c r="AG63" s="75"/>
      <c r="AJ63" s="79"/>
      <c r="AK63" s="79">
        <v>0</v>
      </c>
      <c r="BB63" s="122" t="s">
        <v>1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idden="1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40" t="s">
        <v>76</v>
      </c>
      <c r="X64" s="41">
        <f>IFERROR(X61/H61,"0")+IFERROR(X62/H62,"0")+IFERROR(X63/H63,"0")</f>
        <v>0</v>
      </c>
      <c r="Y64" s="41">
        <f>IFERROR(Y61/H61,"0")+IFERROR(Y62/H62,"0")+IFERROR(Y63/H63,"0")</f>
        <v>0</v>
      </c>
      <c r="Z64" s="41">
        <f>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40" t="s">
        <v>69</v>
      </c>
      <c r="X65" s="41">
        <f>IFERROR(SUM(X61:X63),"0")</f>
        <v>0</v>
      </c>
      <c r="Y65" s="41">
        <f>IFERROR(SUM(Y61:Y63),"0")</f>
        <v>0</v>
      </c>
      <c r="Z65" s="40"/>
      <c r="AA65" s="64"/>
      <c r="AB65" s="64"/>
      <c r="AC65" s="64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63"/>
      <c r="AB66" s="63"/>
      <c r="AC66" s="63"/>
    </row>
    <row r="67" spans="1:68" ht="27" hidden="1" customHeight="1" x14ac:dyDescent="0.25">
      <c r="A67" s="60" t="s">
        <v>146</v>
      </c>
      <c r="B67" s="60" t="s">
        <v>147</v>
      </c>
      <c r="C67" s="34">
        <v>4301031243</v>
      </c>
      <c r="D67" s="564">
        <v>4680115885073</v>
      </c>
      <c r="E67" s="565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73</v>
      </c>
      <c r="L67" s="35"/>
      <c r="M67" s="36" t="s">
        <v>68</v>
      </c>
      <c r="N67" s="36"/>
      <c r="O67" s="35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7"/>
      <c r="V67" s="37"/>
      <c r="W67" s="38" t="s">
        <v>69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/>
      <c r="AB67" s="66"/>
      <c r="AC67" s="123" t="s">
        <v>148</v>
      </c>
      <c r="AG67" s="75"/>
      <c r="AJ67" s="79"/>
      <c r="AK67" s="79">
        <v>0</v>
      </c>
      <c r="BB67" s="124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149</v>
      </c>
      <c r="B68" s="60" t="s">
        <v>150</v>
      </c>
      <c r="C68" s="34">
        <v>4301031316</v>
      </c>
      <c r="D68" s="564">
        <v>4680115885097</v>
      </c>
      <c r="E68" s="565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73</v>
      </c>
      <c r="L68" s="35"/>
      <c r="M68" s="36" t="s">
        <v>68</v>
      </c>
      <c r="N68" s="36"/>
      <c r="O68" s="35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7"/>
      <c r="V68" s="37"/>
      <c r="W68" s="38" t="s">
        <v>69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/>
      <c r="AB68" s="66"/>
      <c r="AC68" s="125" t="s">
        <v>151</v>
      </c>
      <c r="AG68" s="75"/>
      <c r="AJ68" s="79"/>
      <c r="AK68" s="79">
        <v>0</v>
      </c>
      <c r="BB68" s="126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40" t="s">
        <v>76</v>
      </c>
      <c r="X69" s="41">
        <f>IFERROR(X67/H67,"0")+IFERROR(X68/H68,"0")</f>
        <v>0</v>
      </c>
      <c r="Y69" s="41">
        <f>IFERROR(Y67/H67,"0")+IFERROR(Y68/H68,"0")</f>
        <v>0</v>
      </c>
      <c r="Z69" s="41">
        <f>IFERROR(IF(Z67="",0,Z67),"0")+IFERROR(IF(Z68="",0,Z68),"0")</f>
        <v>0</v>
      </c>
      <c r="AA69" s="64"/>
      <c r="AB69" s="64"/>
      <c r="AC69" s="64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40" t="s">
        <v>69</v>
      </c>
      <c r="X70" s="41">
        <f>IFERROR(SUM(X67:X68),"0")</f>
        <v>0</v>
      </c>
      <c r="Y70" s="41">
        <f>IFERROR(SUM(Y67:Y68),"0")</f>
        <v>0</v>
      </c>
      <c r="Z70" s="40"/>
      <c r="AA70" s="64"/>
      <c r="AB70" s="64"/>
      <c r="AC70" s="64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63"/>
      <c r="AB71" s="63"/>
      <c r="AC71" s="63"/>
    </row>
    <row r="72" spans="1:68" ht="27" hidden="1" customHeight="1" x14ac:dyDescent="0.25">
      <c r="A72" s="60" t="s">
        <v>152</v>
      </c>
      <c r="B72" s="60" t="s">
        <v>153</v>
      </c>
      <c r="C72" s="34">
        <v>4301051846</v>
      </c>
      <c r="D72" s="564">
        <v>4680115885769</v>
      </c>
      <c r="E72" s="565"/>
      <c r="F72" s="59">
        <v>1.4</v>
      </c>
      <c r="G72" s="35">
        <v>6</v>
      </c>
      <c r="H72" s="59">
        <v>8.4</v>
      </c>
      <c r="I72" s="59">
        <v>8.81</v>
      </c>
      <c r="J72" s="35">
        <v>64</v>
      </c>
      <c r="K72" s="35" t="s">
        <v>106</v>
      </c>
      <c r="L72" s="35"/>
      <c r="M72" s="36" t="s">
        <v>80</v>
      </c>
      <c r="N72" s="36"/>
      <c r="O72" s="35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7"/>
      <c r="V72" s="37"/>
      <c r="W72" s="38" t="s">
        <v>69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/>
      <c r="AB72" s="66"/>
      <c r="AC72" s="127" t="s">
        <v>154</v>
      </c>
      <c r="AG72" s="75"/>
      <c r="AJ72" s="79"/>
      <c r="AK72" s="79">
        <v>0</v>
      </c>
      <c r="BB72" s="128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16.5" hidden="1" customHeight="1" x14ac:dyDescent="0.25">
      <c r="A73" s="60" t="s">
        <v>155</v>
      </c>
      <c r="B73" s="60" t="s">
        <v>156</v>
      </c>
      <c r="C73" s="34">
        <v>4301051837</v>
      </c>
      <c r="D73" s="564">
        <v>4680115884311</v>
      </c>
      <c r="E73" s="565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67</v>
      </c>
      <c r="L73" s="35" t="s">
        <v>90</v>
      </c>
      <c r="M73" s="36" t="s">
        <v>80</v>
      </c>
      <c r="N73" s="36"/>
      <c r="O73" s="35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7"/>
      <c r="V73" s="37"/>
      <c r="W73" s="38" t="s">
        <v>69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29" t="s">
        <v>157</v>
      </c>
      <c r="AG73" s="75"/>
      <c r="AJ73" s="79" t="s">
        <v>92</v>
      </c>
      <c r="AK73" s="79">
        <v>25.2</v>
      </c>
      <c r="BB73" s="130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158</v>
      </c>
      <c r="B74" s="60" t="s">
        <v>159</v>
      </c>
      <c r="C74" s="34">
        <v>4301051844</v>
      </c>
      <c r="D74" s="564">
        <v>4680115885929</v>
      </c>
      <c r="E74" s="565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67</v>
      </c>
      <c r="L74" s="35"/>
      <c r="M74" s="36" t="s">
        <v>80</v>
      </c>
      <c r="N74" s="36"/>
      <c r="O74" s="35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7"/>
      <c r="V74" s="37"/>
      <c r="W74" s="38" t="s">
        <v>69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1" t="s">
        <v>154</v>
      </c>
      <c r="AG74" s="75"/>
      <c r="AJ74" s="79"/>
      <c r="AK74" s="79">
        <v>0</v>
      </c>
      <c r="BB74" s="132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160</v>
      </c>
      <c r="B75" s="60" t="s">
        <v>161</v>
      </c>
      <c r="C75" s="34">
        <v>4301051929</v>
      </c>
      <c r="D75" s="564">
        <v>4680115884403</v>
      </c>
      <c r="E75" s="565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67</v>
      </c>
      <c r="L75" s="35" t="s">
        <v>90</v>
      </c>
      <c r="M75" s="36" t="s">
        <v>80</v>
      </c>
      <c r="N75" s="36"/>
      <c r="O75" s="35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7"/>
      <c r="V75" s="37"/>
      <c r="W75" s="38" t="s">
        <v>69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/>
      <c r="AB75" s="66"/>
      <c r="AC75" s="133" t="s">
        <v>162</v>
      </c>
      <c r="AG75" s="75"/>
      <c r="AJ75" s="79" t="s">
        <v>92</v>
      </c>
      <c r="AK75" s="79">
        <v>25.2</v>
      </c>
      <c r="BB75" s="134" t="s">
        <v>1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40" t="s">
        <v>76</v>
      </c>
      <c r="X76" s="41">
        <f>IFERROR(X72/H72,"0")+IFERROR(X73/H73,"0")+IFERROR(X74/H74,"0")+IFERROR(X75/H75,"0")</f>
        <v>0</v>
      </c>
      <c r="Y76" s="41">
        <f>IFERROR(Y72/H72,"0")+IFERROR(Y73/H73,"0")+IFERROR(Y74/H74,"0")+IFERROR(Y75/H75,"0")</f>
        <v>0</v>
      </c>
      <c r="Z76" s="41">
        <f>IFERROR(IF(Z72="",0,Z72),"0")+IFERROR(IF(Z73="",0,Z73),"0")+IFERROR(IF(Z74="",0,Z74),"0")+IFERROR(IF(Z75="",0,Z75),"0")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40" t="s">
        <v>69</v>
      </c>
      <c r="X77" s="41">
        <f>IFERROR(SUM(X72:X75),"0")</f>
        <v>0</v>
      </c>
      <c r="Y77" s="41">
        <f>IFERROR(SUM(Y72:Y75),"0")</f>
        <v>0</v>
      </c>
      <c r="Z77" s="40"/>
      <c r="AA77" s="64"/>
      <c r="AB77" s="64"/>
      <c r="AC77" s="64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63"/>
      <c r="AB78" s="63"/>
      <c r="AC78" s="63"/>
    </row>
    <row r="79" spans="1:68" ht="27" hidden="1" customHeight="1" x14ac:dyDescent="0.25">
      <c r="A79" s="60" t="s">
        <v>164</v>
      </c>
      <c r="B79" s="60" t="s">
        <v>165</v>
      </c>
      <c r="C79" s="34">
        <v>4301060455</v>
      </c>
      <c r="D79" s="564">
        <v>4680115881532</v>
      </c>
      <c r="E79" s="565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106</v>
      </c>
      <c r="L79" s="35" t="s">
        <v>107</v>
      </c>
      <c r="M79" s="36" t="s">
        <v>86</v>
      </c>
      <c r="N79" s="36"/>
      <c r="O79" s="35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7"/>
      <c r="V79" s="37"/>
      <c r="W79" s="38" t="s">
        <v>69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/>
      <c r="AB79" s="66"/>
      <c r="AC79" s="135" t="s">
        <v>166</v>
      </c>
      <c r="AG79" s="75"/>
      <c r="AJ79" s="79" t="s">
        <v>92</v>
      </c>
      <c r="AK79" s="79">
        <v>62.4</v>
      </c>
      <c r="BB79" s="136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167</v>
      </c>
      <c r="B80" s="60" t="s">
        <v>168</v>
      </c>
      <c r="C80" s="34">
        <v>4301060351</v>
      </c>
      <c r="D80" s="564">
        <v>4680115881464</v>
      </c>
      <c r="E80" s="565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112</v>
      </c>
      <c r="L80" s="35" t="s">
        <v>115</v>
      </c>
      <c r="M80" s="36" t="s">
        <v>80</v>
      </c>
      <c r="N80" s="36"/>
      <c r="O80" s="35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7"/>
      <c r="V80" s="37"/>
      <c r="W80" s="38" t="s">
        <v>69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/>
      <c r="AB80" s="66"/>
      <c r="AC80" s="137" t="s">
        <v>169</v>
      </c>
      <c r="AG80" s="75"/>
      <c r="AJ80" s="79" t="s">
        <v>92</v>
      </c>
      <c r="AK80" s="79">
        <v>28.8</v>
      </c>
      <c r="BB80" s="138" t="s">
        <v>1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40" t="s">
        <v>76</v>
      </c>
      <c r="X81" s="41">
        <f>IFERROR(X79/H79,"0")+IFERROR(X80/H80,"0")</f>
        <v>0</v>
      </c>
      <c r="Y81" s="41">
        <f>IFERROR(Y79/H79,"0")+IFERROR(Y80/H80,"0")</f>
        <v>0</v>
      </c>
      <c r="Z81" s="41">
        <f>IFERROR(IF(Z79="",0,Z79),"0")+IFERROR(IF(Z80="",0,Z80),"0")</f>
        <v>0</v>
      </c>
      <c r="AA81" s="64"/>
      <c r="AB81" s="64"/>
      <c r="AC81" s="64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40" t="s">
        <v>69</v>
      </c>
      <c r="X82" s="41">
        <f>IFERROR(SUM(X79:X80),"0")</f>
        <v>0</v>
      </c>
      <c r="Y82" s="41">
        <f>IFERROR(SUM(Y79:Y80),"0")</f>
        <v>0</v>
      </c>
      <c r="Z82" s="40"/>
      <c r="AA82" s="64"/>
      <c r="AB82" s="64"/>
      <c r="AC82" s="64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62"/>
      <c r="AB83" s="62"/>
      <c r="AC83" s="62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63"/>
      <c r="AB84" s="63"/>
      <c r="AC84" s="63"/>
    </row>
    <row r="85" spans="1:68" ht="27" customHeight="1" x14ac:dyDescent="0.25">
      <c r="A85" s="60" t="s">
        <v>171</v>
      </c>
      <c r="B85" s="60" t="s">
        <v>172</v>
      </c>
      <c r="C85" s="34">
        <v>4301011468</v>
      </c>
      <c r="D85" s="564">
        <v>4680115881327</v>
      </c>
      <c r="E85" s="565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106</v>
      </c>
      <c r="L85" s="35" t="s">
        <v>107</v>
      </c>
      <c r="M85" s="36" t="s">
        <v>86</v>
      </c>
      <c r="N85" s="36"/>
      <c r="O85" s="35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7"/>
      <c r="V85" s="37"/>
      <c r="W85" s="38" t="s">
        <v>69</v>
      </c>
      <c r="X85" s="56">
        <v>500</v>
      </c>
      <c r="Y85" s="53">
        <f>IFERROR(IF(X85="",0,CEILING((X85/$H85),1)*$H85),"")</f>
        <v>507.6</v>
      </c>
      <c r="Z85" s="39">
        <f>IFERROR(IF(Y85=0,"",ROUNDUP(Y85/H85,0)*0.01898),"")</f>
        <v>0.89205999999999996</v>
      </c>
      <c r="AA85" s="65"/>
      <c r="AB85" s="66"/>
      <c r="AC85" s="139" t="s">
        <v>173</v>
      </c>
      <c r="AG85" s="75"/>
      <c r="AJ85" s="79" t="s">
        <v>92</v>
      </c>
      <c r="AK85" s="79">
        <v>86.4</v>
      </c>
      <c r="BB85" s="140" t="s">
        <v>1</v>
      </c>
      <c r="BM85" s="75">
        <f>IFERROR(X85*I85/H85,"0")</f>
        <v>518.98148148148141</v>
      </c>
      <c r="BN85" s="75">
        <f>IFERROR(Y85*I85/H85,"0")</f>
        <v>526.87</v>
      </c>
      <c r="BO85" s="75">
        <f>IFERROR(1/J85*(X85/H85),"0")</f>
        <v>0.72337962962962954</v>
      </c>
      <c r="BP85" s="75">
        <f>IFERROR(1/J85*(Y85/H85),"0")</f>
        <v>0.734375</v>
      </c>
    </row>
    <row r="86" spans="1:68" ht="27" hidden="1" customHeight="1" x14ac:dyDescent="0.25">
      <c r="A86" s="60" t="s">
        <v>174</v>
      </c>
      <c r="B86" s="60" t="s">
        <v>175</v>
      </c>
      <c r="C86" s="34">
        <v>4301011261</v>
      </c>
      <c r="D86" s="564">
        <v>4680115887732</v>
      </c>
      <c r="E86" s="565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176</v>
      </c>
      <c r="L86" s="35"/>
      <c r="M86" s="36" t="s">
        <v>68</v>
      </c>
      <c r="N86" s="36"/>
      <c r="O86" s="35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7"/>
      <c r="V86" s="37"/>
      <c r="W86" s="38" t="s">
        <v>69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/>
      <c r="AB86" s="66"/>
      <c r="AC86" s="141" t="s">
        <v>177</v>
      </c>
      <c r="AG86" s="75"/>
      <c r="AJ86" s="79"/>
      <c r="AK86" s="79">
        <v>0</v>
      </c>
      <c r="BB86" s="142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178</v>
      </c>
      <c r="B87" s="60" t="s">
        <v>179</v>
      </c>
      <c r="C87" s="34">
        <v>4301011476</v>
      </c>
      <c r="D87" s="564">
        <v>4680115881518</v>
      </c>
      <c r="E87" s="565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112</v>
      </c>
      <c r="L87" s="35"/>
      <c r="M87" s="36" t="s">
        <v>80</v>
      </c>
      <c r="N87" s="36"/>
      <c r="O87" s="35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7"/>
      <c r="V87" s="37"/>
      <c r="W87" s="38" t="s">
        <v>69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43" t="s">
        <v>173</v>
      </c>
      <c r="AG87" s="75"/>
      <c r="AJ87" s="79"/>
      <c r="AK87" s="79">
        <v>0</v>
      </c>
      <c r="BB87" s="144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180</v>
      </c>
      <c r="B88" s="60" t="s">
        <v>181</v>
      </c>
      <c r="C88" s="34">
        <v>4301011443</v>
      </c>
      <c r="D88" s="564">
        <v>4680115881303</v>
      </c>
      <c r="E88" s="565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112</v>
      </c>
      <c r="L88" s="35" t="s">
        <v>115</v>
      </c>
      <c r="M88" s="36" t="s">
        <v>86</v>
      </c>
      <c r="N88" s="36"/>
      <c r="O88" s="35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7"/>
      <c r="V88" s="37"/>
      <c r="W88" s="38" t="s">
        <v>69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/>
      <c r="AB88" s="66"/>
      <c r="AC88" s="145" t="s">
        <v>173</v>
      </c>
      <c r="AG88" s="75"/>
      <c r="AJ88" s="79" t="s">
        <v>92</v>
      </c>
      <c r="AK88" s="79">
        <v>54</v>
      </c>
      <c r="BB88" s="146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40" t="s">
        <v>76</v>
      </c>
      <c r="X89" s="41">
        <f>IFERROR(X85/H85,"0")+IFERROR(X86/H86,"0")+IFERROR(X87/H87,"0")+IFERROR(X88/H88,"0")</f>
        <v>46.296296296296291</v>
      </c>
      <c r="Y89" s="41">
        <f>IFERROR(Y85/H85,"0")+IFERROR(Y86/H86,"0")+IFERROR(Y87/H87,"0")+IFERROR(Y88/H88,"0")</f>
        <v>47</v>
      </c>
      <c r="Z89" s="41">
        <f>IFERROR(IF(Z85="",0,Z85),"0")+IFERROR(IF(Z86="",0,Z86),"0")+IFERROR(IF(Z87="",0,Z87),"0")+IFERROR(IF(Z88="",0,Z88),"0")</f>
        <v>0.89205999999999996</v>
      </c>
      <c r="AA89" s="64"/>
      <c r="AB89" s="64"/>
      <c r="AC89" s="64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40" t="s">
        <v>69</v>
      </c>
      <c r="X90" s="41">
        <f>IFERROR(SUM(X85:X88),"0")</f>
        <v>500</v>
      </c>
      <c r="Y90" s="41">
        <f>IFERROR(SUM(Y85:Y88),"0")</f>
        <v>507.6</v>
      </c>
      <c r="Z90" s="40"/>
      <c r="AA90" s="64"/>
      <c r="AB90" s="64"/>
      <c r="AC90" s="64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63"/>
      <c r="AB91" s="63"/>
      <c r="AC91" s="63"/>
    </row>
    <row r="92" spans="1:68" ht="27" customHeight="1" x14ac:dyDescent="0.25">
      <c r="A92" s="60" t="s">
        <v>182</v>
      </c>
      <c r="B92" s="60" t="s">
        <v>183</v>
      </c>
      <c r="C92" s="34">
        <v>4301051712</v>
      </c>
      <c r="D92" s="564">
        <v>4607091386967</v>
      </c>
      <c r="E92" s="565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106</v>
      </c>
      <c r="L92" s="35" t="s">
        <v>107</v>
      </c>
      <c r="M92" s="36" t="s">
        <v>86</v>
      </c>
      <c r="N92" s="36"/>
      <c r="O92" s="35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7"/>
      <c r="V92" s="37"/>
      <c r="W92" s="38" t="s">
        <v>69</v>
      </c>
      <c r="X92" s="56">
        <v>120</v>
      </c>
      <c r="Y92" s="53">
        <f>IFERROR(IF(X92="",0,CEILING((X92/$H92),1)*$H92),"")</f>
        <v>121.5</v>
      </c>
      <c r="Z92" s="39">
        <f>IFERROR(IF(Y92=0,"",ROUNDUP(Y92/H92,0)*0.01898),"")</f>
        <v>0.28470000000000001</v>
      </c>
      <c r="AA92" s="65"/>
      <c r="AB92" s="66"/>
      <c r="AC92" s="147" t="s">
        <v>184</v>
      </c>
      <c r="AG92" s="75"/>
      <c r="AJ92" s="79" t="s">
        <v>92</v>
      </c>
      <c r="AK92" s="79">
        <v>64.8</v>
      </c>
      <c r="BB92" s="148" t="s">
        <v>1</v>
      </c>
      <c r="BM92" s="75">
        <f>IFERROR(X92*I92/H92,"0")</f>
        <v>127.31851851851852</v>
      </c>
      <c r="BN92" s="75">
        <f>IFERROR(Y92*I92/H92,"0")</f>
        <v>128.91</v>
      </c>
      <c r="BO92" s="75">
        <f>IFERROR(1/J92*(X92/H92),"0")</f>
        <v>0.23148148148148148</v>
      </c>
      <c r="BP92" s="75">
        <f>IFERROR(1/J92*(Y92/H92),"0")</f>
        <v>0.234375</v>
      </c>
    </row>
    <row r="93" spans="1:68" ht="27" hidden="1" customHeight="1" x14ac:dyDescent="0.25">
      <c r="A93" s="60" t="s">
        <v>185</v>
      </c>
      <c r="B93" s="60" t="s">
        <v>186</v>
      </c>
      <c r="C93" s="34">
        <v>4301051788</v>
      </c>
      <c r="D93" s="564">
        <v>4680115884953</v>
      </c>
      <c r="E93" s="565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67</v>
      </c>
      <c r="L93" s="35"/>
      <c r="M93" s="36" t="s">
        <v>80</v>
      </c>
      <c r="N93" s="36"/>
      <c r="O93" s="35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7"/>
      <c r="V93" s="37"/>
      <c r="W93" s="38" t="s">
        <v>69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49" t="s">
        <v>184</v>
      </c>
      <c r="AG93" s="75"/>
      <c r="AJ93" s="79"/>
      <c r="AK93" s="79">
        <v>0</v>
      </c>
      <c r="BB93" s="150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187</v>
      </c>
      <c r="B94" s="60" t="s">
        <v>188</v>
      </c>
      <c r="C94" s="34">
        <v>4301051718</v>
      </c>
      <c r="D94" s="564">
        <v>4607091385731</v>
      </c>
      <c r="E94" s="565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67</v>
      </c>
      <c r="L94" s="35"/>
      <c r="M94" s="36" t="s">
        <v>86</v>
      </c>
      <c r="N94" s="36"/>
      <c r="O94" s="35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7"/>
      <c r="V94" s="37"/>
      <c r="W94" s="38" t="s">
        <v>69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1" t="s">
        <v>184</v>
      </c>
      <c r="AG94" s="75"/>
      <c r="AJ94" s="79"/>
      <c r="AK94" s="79">
        <v>0</v>
      </c>
      <c r="BB94" s="152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hidden="1" customHeight="1" x14ac:dyDescent="0.25">
      <c r="A95" s="60" t="s">
        <v>189</v>
      </c>
      <c r="B95" s="60" t="s">
        <v>190</v>
      </c>
      <c r="C95" s="34">
        <v>4301051438</v>
      </c>
      <c r="D95" s="564">
        <v>4680115880894</v>
      </c>
      <c r="E95" s="565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67</v>
      </c>
      <c r="L95" s="35" t="s">
        <v>90</v>
      </c>
      <c r="M95" s="36" t="s">
        <v>80</v>
      </c>
      <c r="N95" s="36"/>
      <c r="O95" s="35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7"/>
      <c r="V95" s="37"/>
      <c r="W95" s="38" t="s">
        <v>69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3" t="s">
        <v>191</v>
      </c>
      <c r="AG95" s="75"/>
      <c r="AJ95" s="79" t="s">
        <v>92</v>
      </c>
      <c r="AK95" s="79">
        <v>27.72</v>
      </c>
      <c r="BB95" s="154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40" t="s">
        <v>76</v>
      </c>
      <c r="X96" s="41">
        <f>IFERROR(X92/H92,"0")+IFERROR(X93/H93,"0")+IFERROR(X94/H94,"0")+IFERROR(X95/H95,"0")</f>
        <v>14.814814814814815</v>
      </c>
      <c r="Y96" s="41">
        <f>IFERROR(Y92/H92,"0")+IFERROR(Y93/H93,"0")+IFERROR(Y94/H94,"0")+IFERROR(Y95/H95,"0")</f>
        <v>15</v>
      </c>
      <c r="Z96" s="41">
        <f>IFERROR(IF(Z92="",0,Z92),"0")+IFERROR(IF(Z93="",0,Z93),"0")+IFERROR(IF(Z94="",0,Z94),"0")+IFERROR(IF(Z95="",0,Z95),"0")</f>
        <v>0.28470000000000001</v>
      </c>
      <c r="AA96" s="64"/>
      <c r="AB96" s="64"/>
      <c r="AC96" s="64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40" t="s">
        <v>69</v>
      </c>
      <c r="X97" s="41">
        <f>IFERROR(SUM(X92:X95),"0")</f>
        <v>120</v>
      </c>
      <c r="Y97" s="41">
        <f>IFERROR(SUM(Y92:Y95),"0")</f>
        <v>121.5</v>
      </c>
      <c r="Z97" s="40"/>
      <c r="AA97" s="64"/>
      <c r="AB97" s="64"/>
      <c r="AC97" s="64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62"/>
      <c r="AB98" s="62"/>
      <c r="AC98" s="62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63"/>
      <c r="AB99" s="63"/>
      <c r="AC99" s="63"/>
    </row>
    <row r="100" spans="1:68" ht="37.5" customHeight="1" x14ac:dyDescent="0.25">
      <c r="A100" s="60" t="s">
        <v>193</v>
      </c>
      <c r="B100" s="60" t="s">
        <v>194</v>
      </c>
      <c r="C100" s="34">
        <v>4301011514</v>
      </c>
      <c r="D100" s="564">
        <v>4680115882133</v>
      </c>
      <c r="E100" s="565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106</v>
      </c>
      <c r="L100" s="35" t="s">
        <v>107</v>
      </c>
      <c r="M100" s="36" t="s">
        <v>108</v>
      </c>
      <c r="N100" s="36"/>
      <c r="O100" s="35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7"/>
      <c r="V100" s="37"/>
      <c r="W100" s="38" t="s">
        <v>69</v>
      </c>
      <c r="X100" s="56">
        <v>350</v>
      </c>
      <c r="Y100" s="53">
        <f>IFERROR(IF(X100="",0,CEILING((X100/$H100),1)*$H100),"")</f>
        <v>356.40000000000003</v>
      </c>
      <c r="Z100" s="39">
        <f>IFERROR(IF(Y100=0,"",ROUNDUP(Y100/H100,0)*0.01898),"")</f>
        <v>0.62634000000000001</v>
      </c>
      <c r="AA100" s="65"/>
      <c r="AB100" s="66"/>
      <c r="AC100" s="155" t="s">
        <v>195</v>
      </c>
      <c r="AG100" s="75"/>
      <c r="AJ100" s="79" t="s">
        <v>92</v>
      </c>
      <c r="AK100" s="79">
        <v>86.4</v>
      </c>
      <c r="BB100" s="156" t="s">
        <v>1</v>
      </c>
      <c r="BM100" s="75">
        <f>IFERROR(X100*I100/H100,"0")</f>
        <v>363.28703703703707</v>
      </c>
      <c r="BN100" s="75">
        <f>IFERROR(Y100*I100/H100,"0")</f>
        <v>369.93</v>
      </c>
      <c r="BO100" s="75">
        <f>IFERROR(1/J100*(X100/H100),"0")</f>
        <v>0.5063657407407407</v>
      </c>
      <c r="BP100" s="75">
        <f>IFERROR(1/J100*(Y100/H100),"0")</f>
        <v>0.515625</v>
      </c>
    </row>
    <row r="101" spans="1:68" ht="27" hidden="1" customHeight="1" x14ac:dyDescent="0.25">
      <c r="A101" s="60" t="s">
        <v>196</v>
      </c>
      <c r="B101" s="60" t="s">
        <v>197</v>
      </c>
      <c r="C101" s="34">
        <v>4301012051</v>
      </c>
      <c r="D101" s="564">
        <v>4680115887718</v>
      </c>
      <c r="E101" s="565"/>
      <c r="F101" s="59">
        <v>0.11</v>
      </c>
      <c r="G101" s="35">
        <v>10</v>
      </c>
      <c r="H101" s="59">
        <v>1.1000000000000001</v>
      </c>
      <c r="I101" s="59">
        <v>1.31</v>
      </c>
      <c r="J101" s="35">
        <v>192</v>
      </c>
      <c r="K101" s="35" t="s">
        <v>176</v>
      </c>
      <c r="L101" s="35"/>
      <c r="M101" s="36" t="s">
        <v>68</v>
      </c>
      <c r="N101" s="36"/>
      <c r="O101" s="35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7"/>
      <c r="V101" s="37"/>
      <c r="W101" s="38" t="s">
        <v>69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IFERROR(IF(Y101=0,"",ROUNDUP(Y101/H101,0)*0.00726),"")</f>
        <v/>
      </c>
      <c r="AA101" s="65"/>
      <c r="AB101" s="66"/>
      <c r="AC101" s="157" t="s">
        <v>198</v>
      </c>
      <c r="AG101" s="75"/>
      <c r="AJ101" s="79"/>
      <c r="AK101" s="79">
        <v>0</v>
      </c>
      <c r="BB101" s="158" t="s">
        <v>1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hidden="1" customHeight="1" x14ac:dyDescent="0.25">
      <c r="A102" s="60" t="s">
        <v>199</v>
      </c>
      <c r="B102" s="60" t="s">
        <v>200</v>
      </c>
      <c r="C102" s="34">
        <v>4301011417</v>
      </c>
      <c r="D102" s="564">
        <v>4680115880269</v>
      </c>
      <c r="E102" s="565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112</v>
      </c>
      <c r="L102" s="35" t="s">
        <v>115</v>
      </c>
      <c r="M102" s="36" t="s">
        <v>80</v>
      </c>
      <c r="N102" s="36"/>
      <c r="O102" s="35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7"/>
      <c r="V102" s="37"/>
      <c r="W102" s="38" t="s">
        <v>69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/>
      <c r="AB102" s="66"/>
      <c r="AC102" s="159" t="s">
        <v>195</v>
      </c>
      <c r="AG102" s="75"/>
      <c r="AJ102" s="79" t="s">
        <v>92</v>
      </c>
      <c r="AK102" s="79">
        <v>45</v>
      </c>
      <c r="BB102" s="160" t="s">
        <v>1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201</v>
      </c>
      <c r="B103" s="60" t="s">
        <v>202</v>
      </c>
      <c r="C103" s="34">
        <v>4301011415</v>
      </c>
      <c r="D103" s="564">
        <v>4680115880429</v>
      </c>
      <c r="E103" s="565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112</v>
      </c>
      <c r="L103" s="35" t="s">
        <v>115</v>
      </c>
      <c r="M103" s="36" t="s">
        <v>80</v>
      </c>
      <c r="N103" s="36"/>
      <c r="O103" s="35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7"/>
      <c r="V103" s="37"/>
      <c r="W103" s="38" t="s">
        <v>69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/>
      <c r="AB103" s="66"/>
      <c r="AC103" s="161" t="s">
        <v>195</v>
      </c>
      <c r="AG103" s="75"/>
      <c r="AJ103" s="79" t="s">
        <v>92</v>
      </c>
      <c r="AK103" s="79">
        <v>54</v>
      </c>
      <c r="BB103" s="162" t="s">
        <v>1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203</v>
      </c>
      <c r="B104" s="60" t="s">
        <v>204</v>
      </c>
      <c r="C104" s="34">
        <v>4301011462</v>
      </c>
      <c r="D104" s="564">
        <v>4680115881457</v>
      </c>
      <c r="E104" s="565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112</v>
      </c>
      <c r="L104" s="35"/>
      <c r="M104" s="36" t="s">
        <v>80</v>
      </c>
      <c r="N104" s="36"/>
      <c r="O104" s="35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7"/>
      <c r="V104" s="37"/>
      <c r="W104" s="38" t="s">
        <v>69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/>
      <c r="AB104" s="66"/>
      <c r="AC104" s="163" t="s">
        <v>195</v>
      </c>
      <c r="AG104" s="75"/>
      <c r="AJ104" s="79"/>
      <c r="AK104" s="79">
        <v>0</v>
      </c>
      <c r="BB104" s="164" t="s">
        <v>1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40" t="s">
        <v>76</v>
      </c>
      <c r="X105" s="41">
        <f>IFERROR(X100/H100,"0")+IFERROR(X101/H101,"0")+IFERROR(X102/H102,"0")+IFERROR(X103/H103,"0")+IFERROR(X104/H104,"0")</f>
        <v>32.407407407407405</v>
      </c>
      <c r="Y105" s="41">
        <f>IFERROR(Y100/H100,"0")+IFERROR(Y101/H101,"0")+IFERROR(Y102/H102,"0")+IFERROR(Y103/H103,"0")+IFERROR(Y104/H104,"0")</f>
        <v>33</v>
      </c>
      <c r="Z105" s="41">
        <f>IFERROR(IF(Z100="",0,Z100),"0")+IFERROR(IF(Z101="",0,Z101),"0")+IFERROR(IF(Z102="",0,Z102),"0")+IFERROR(IF(Z103="",0,Z103),"0")+IFERROR(IF(Z104="",0,Z104),"0")</f>
        <v>0.62634000000000001</v>
      </c>
      <c r="AA105" s="64"/>
      <c r="AB105" s="64"/>
      <c r="AC105" s="64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40" t="s">
        <v>69</v>
      </c>
      <c r="X106" s="41">
        <f>IFERROR(SUM(X100:X104),"0")</f>
        <v>350</v>
      </c>
      <c r="Y106" s="41">
        <f>IFERROR(SUM(Y100:Y104),"0")</f>
        <v>356.40000000000003</v>
      </c>
      <c r="Z106" s="40"/>
      <c r="AA106" s="64"/>
      <c r="AB106" s="64"/>
      <c r="AC106" s="64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63"/>
      <c r="AB107" s="63"/>
      <c r="AC107" s="63"/>
    </row>
    <row r="108" spans="1:68" ht="16.5" hidden="1" customHeight="1" x14ac:dyDescent="0.25">
      <c r="A108" s="60" t="s">
        <v>205</v>
      </c>
      <c r="B108" s="60" t="s">
        <v>206</v>
      </c>
      <c r="C108" s="34">
        <v>4301020345</v>
      </c>
      <c r="D108" s="564">
        <v>4680115881488</v>
      </c>
      <c r="E108" s="565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106</v>
      </c>
      <c r="L108" s="35"/>
      <c r="M108" s="36" t="s">
        <v>108</v>
      </c>
      <c r="N108" s="36"/>
      <c r="O108" s="35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7"/>
      <c r="V108" s="37"/>
      <c r="W108" s="38" t="s">
        <v>69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/>
      <c r="AB108" s="66"/>
      <c r="AC108" s="165" t="s">
        <v>207</v>
      </c>
      <c r="AG108" s="75"/>
      <c r="AJ108" s="79"/>
      <c r="AK108" s="79">
        <v>0</v>
      </c>
      <c r="BB108" s="166" t="s">
        <v>1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hidden="1" customHeight="1" x14ac:dyDescent="0.25">
      <c r="A109" s="60" t="s">
        <v>208</v>
      </c>
      <c r="B109" s="60" t="s">
        <v>209</v>
      </c>
      <c r="C109" s="34">
        <v>4301020186</v>
      </c>
      <c r="D109" s="564">
        <v>4680115887664</v>
      </c>
      <c r="E109" s="565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210</v>
      </c>
      <c r="L109" s="35"/>
      <c r="M109" s="36" t="s">
        <v>68</v>
      </c>
      <c r="N109" s="36"/>
      <c r="O109" s="35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7"/>
      <c r="V109" s="37"/>
      <c r="W109" s="38" t="s">
        <v>69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/>
      <c r="AB109" s="66"/>
      <c r="AC109" s="167" t="s">
        <v>211</v>
      </c>
      <c r="AG109" s="75"/>
      <c r="AJ109" s="79"/>
      <c r="AK109" s="79">
        <v>0</v>
      </c>
      <c r="BB109" s="168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16.5" hidden="1" customHeight="1" x14ac:dyDescent="0.25">
      <c r="A110" s="60" t="s">
        <v>212</v>
      </c>
      <c r="B110" s="60" t="s">
        <v>213</v>
      </c>
      <c r="C110" s="34">
        <v>4301020346</v>
      </c>
      <c r="D110" s="564">
        <v>4680115882775</v>
      </c>
      <c r="E110" s="565"/>
      <c r="F110" s="59">
        <v>0.3</v>
      </c>
      <c r="G110" s="35">
        <v>8</v>
      </c>
      <c r="H110" s="59">
        <v>2.4</v>
      </c>
      <c r="I110" s="59">
        <v>2.5</v>
      </c>
      <c r="J110" s="35">
        <v>234</v>
      </c>
      <c r="K110" s="35" t="s">
        <v>73</v>
      </c>
      <c r="L110" s="35"/>
      <c r="M110" s="36" t="s">
        <v>108</v>
      </c>
      <c r="N110" s="36"/>
      <c r="O110" s="35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7"/>
      <c r="V110" s="37"/>
      <c r="W110" s="38" t="s">
        <v>69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IFERROR(IF(Y110=0,"",ROUNDUP(Y110/H110,0)*0.00502),"")</f>
        <v/>
      </c>
      <c r="AA110" s="65"/>
      <c r="AB110" s="66"/>
      <c r="AC110" s="169" t="s">
        <v>207</v>
      </c>
      <c r="AG110" s="75"/>
      <c r="AJ110" s="79"/>
      <c r="AK110" s="79">
        <v>0</v>
      </c>
      <c r="BB110" s="170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214</v>
      </c>
      <c r="B111" s="60" t="s">
        <v>215</v>
      </c>
      <c r="C111" s="34">
        <v>4301020344</v>
      </c>
      <c r="D111" s="564">
        <v>4680115880658</v>
      </c>
      <c r="E111" s="565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67</v>
      </c>
      <c r="L111" s="35"/>
      <c r="M111" s="36" t="s">
        <v>108</v>
      </c>
      <c r="N111" s="36"/>
      <c r="O111" s="35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7"/>
      <c r="V111" s="37"/>
      <c r="W111" s="38" t="s">
        <v>69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IFERROR(IF(Y111=0,"",ROUNDUP(Y111/H111,0)*0.00651),"")</f>
        <v/>
      </c>
      <c r="AA111" s="65"/>
      <c r="AB111" s="66"/>
      <c r="AC111" s="171" t="s">
        <v>207</v>
      </c>
      <c r="AG111" s="75"/>
      <c r="AJ111" s="79"/>
      <c r="AK111" s="79">
        <v>0</v>
      </c>
      <c r="BB111" s="172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40" t="s">
        <v>76</v>
      </c>
      <c r="X112" s="41">
        <f>IFERROR(X108/H108,"0")+IFERROR(X109/H109,"0")+IFERROR(X110/H110,"0")+IFERROR(X111/H111,"0")</f>
        <v>0</v>
      </c>
      <c r="Y112" s="41">
        <f>IFERROR(Y108/H108,"0")+IFERROR(Y109/H109,"0")+IFERROR(Y110/H110,"0")+IFERROR(Y111/H111,"0")</f>
        <v>0</v>
      </c>
      <c r="Z112" s="41">
        <f>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40" t="s">
        <v>69</v>
      </c>
      <c r="X113" s="41">
        <f>IFERROR(SUM(X108:X111),"0")</f>
        <v>0</v>
      </c>
      <c r="Y113" s="41">
        <f>IFERROR(SUM(Y108:Y111),"0")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63"/>
      <c r="AB114" s="63"/>
      <c r="AC114" s="63"/>
    </row>
    <row r="115" spans="1:68" ht="27" customHeight="1" x14ac:dyDescent="0.25">
      <c r="A115" s="60" t="s">
        <v>216</v>
      </c>
      <c r="B115" s="60" t="s">
        <v>217</v>
      </c>
      <c r="C115" s="34">
        <v>4301051724</v>
      </c>
      <c r="D115" s="564">
        <v>4607091385168</v>
      </c>
      <c r="E115" s="565"/>
      <c r="F115" s="59">
        <v>1.35</v>
      </c>
      <c r="G115" s="35">
        <v>6</v>
      </c>
      <c r="H115" s="59">
        <v>8.1</v>
      </c>
      <c r="I115" s="59">
        <v>8.5879999999999992</v>
      </c>
      <c r="J115" s="35">
        <v>64</v>
      </c>
      <c r="K115" s="35" t="s">
        <v>106</v>
      </c>
      <c r="L115" s="35" t="s">
        <v>107</v>
      </c>
      <c r="M115" s="36" t="s">
        <v>86</v>
      </c>
      <c r="N115" s="36"/>
      <c r="O115" s="35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7"/>
      <c r="V115" s="37"/>
      <c r="W115" s="38" t="s">
        <v>69</v>
      </c>
      <c r="X115" s="56">
        <v>450</v>
      </c>
      <c r="Y115" s="53">
        <f>IFERROR(IF(X115="",0,CEILING((X115/$H115),1)*$H115),"")</f>
        <v>453.59999999999997</v>
      </c>
      <c r="Z115" s="39">
        <f>IFERROR(IF(Y115=0,"",ROUNDUP(Y115/H115,0)*0.01898),"")</f>
        <v>1.06288</v>
      </c>
      <c r="AA115" s="65"/>
      <c r="AB115" s="66"/>
      <c r="AC115" s="173" t="s">
        <v>218</v>
      </c>
      <c r="AG115" s="75"/>
      <c r="AJ115" s="79" t="s">
        <v>92</v>
      </c>
      <c r="AK115" s="79">
        <v>64.8</v>
      </c>
      <c r="BB115" s="174" t="s">
        <v>1</v>
      </c>
      <c r="BM115" s="75">
        <f>IFERROR(X115*I115/H115,"0")</f>
        <v>477.11111111111109</v>
      </c>
      <c r="BN115" s="75">
        <f>IFERROR(Y115*I115/H115,"0")</f>
        <v>480.92799999999994</v>
      </c>
      <c r="BO115" s="75">
        <f>IFERROR(1/J115*(X115/H115),"0")</f>
        <v>0.86805555555555558</v>
      </c>
      <c r="BP115" s="75">
        <f>IFERROR(1/J115*(Y115/H115),"0")</f>
        <v>0.875</v>
      </c>
    </row>
    <row r="116" spans="1:68" ht="27" hidden="1" customHeight="1" x14ac:dyDescent="0.25">
      <c r="A116" s="60" t="s">
        <v>219</v>
      </c>
      <c r="B116" s="60" t="s">
        <v>220</v>
      </c>
      <c r="C116" s="34">
        <v>4301051730</v>
      </c>
      <c r="D116" s="564">
        <v>4607091383256</v>
      </c>
      <c r="E116" s="565"/>
      <c r="F116" s="59">
        <v>0.33</v>
      </c>
      <c r="G116" s="35">
        <v>6</v>
      </c>
      <c r="H116" s="59">
        <v>1.98</v>
      </c>
      <c r="I116" s="59">
        <v>2.226</v>
      </c>
      <c r="J116" s="35">
        <v>182</v>
      </c>
      <c r="K116" s="35" t="s">
        <v>67</v>
      </c>
      <c r="L116" s="35" t="s">
        <v>90</v>
      </c>
      <c r="M116" s="36" t="s">
        <v>86</v>
      </c>
      <c r="N116" s="36"/>
      <c r="O116" s="35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7"/>
      <c r="V116" s="37"/>
      <c r="W116" s="38" t="s">
        <v>69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75" t="s">
        <v>218</v>
      </c>
      <c r="AG116" s="75"/>
      <c r="AJ116" s="79" t="s">
        <v>92</v>
      </c>
      <c r="AK116" s="79">
        <v>27.72</v>
      </c>
      <c r="BB116" s="176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221</v>
      </c>
      <c r="B117" s="60" t="s">
        <v>222</v>
      </c>
      <c r="C117" s="34">
        <v>4301051721</v>
      </c>
      <c r="D117" s="564">
        <v>4607091385748</v>
      </c>
      <c r="E117" s="565"/>
      <c r="F117" s="59">
        <v>0.45</v>
      </c>
      <c r="G117" s="35">
        <v>6</v>
      </c>
      <c r="H117" s="59">
        <v>2.7</v>
      </c>
      <c r="I117" s="59">
        <v>2.952</v>
      </c>
      <c r="J117" s="35">
        <v>182</v>
      </c>
      <c r="K117" s="35" t="s">
        <v>67</v>
      </c>
      <c r="L117" s="35" t="s">
        <v>90</v>
      </c>
      <c r="M117" s="36" t="s">
        <v>86</v>
      </c>
      <c r="N117" s="36"/>
      <c r="O117" s="35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7"/>
      <c r="V117" s="37"/>
      <c r="W117" s="38" t="s">
        <v>69</v>
      </c>
      <c r="X117" s="56">
        <v>90</v>
      </c>
      <c r="Y117" s="53">
        <f>IFERROR(IF(X117="",0,CEILING((X117/$H117),1)*$H117),"")</f>
        <v>91.800000000000011</v>
      </c>
      <c r="Z117" s="39">
        <f>IFERROR(IF(Y117=0,"",ROUNDUP(Y117/H117,0)*0.00651),"")</f>
        <v>0.22134000000000001</v>
      </c>
      <c r="AA117" s="65"/>
      <c r="AB117" s="66"/>
      <c r="AC117" s="177" t="s">
        <v>218</v>
      </c>
      <c r="AG117" s="75"/>
      <c r="AJ117" s="79" t="s">
        <v>92</v>
      </c>
      <c r="AK117" s="79">
        <v>37.799999999999997</v>
      </c>
      <c r="BB117" s="178" t="s">
        <v>1</v>
      </c>
      <c r="BM117" s="75">
        <f>IFERROR(X117*I117/H117,"0")</f>
        <v>98.399999999999991</v>
      </c>
      <c r="BN117" s="75">
        <f>IFERROR(Y117*I117/H117,"0")</f>
        <v>100.36799999999999</v>
      </c>
      <c r="BO117" s="75">
        <f>IFERROR(1/J117*(X117/H117),"0")</f>
        <v>0.18315018315018314</v>
      </c>
      <c r="BP117" s="75">
        <f>IFERROR(1/J117*(Y117/H117),"0")</f>
        <v>0.18681318681318682</v>
      </c>
    </row>
    <row r="118" spans="1:68" ht="16.5" hidden="1" customHeight="1" x14ac:dyDescent="0.25">
      <c r="A118" s="60" t="s">
        <v>223</v>
      </c>
      <c r="B118" s="60" t="s">
        <v>224</v>
      </c>
      <c r="C118" s="34">
        <v>4301051740</v>
      </c>
      <c r="D118" s="564">
        <v>4680115884533</v>
      </c>
      <c r="E118" s="565"/>
      <c r="F118" s="59">
        <v>0.3</v>
      </c>
      <c r="G118" s="35">
        <v>6</v>
      </c>
      <c r="H118" s="59">
        <v>1.8</v>
      </c>
      <c r="I118" s="59">
        <v>1.98</v>
      </c>
      <c r="J118" s="35">
        <v>182</v>
      </c>
      <c r="K118" s="35" t="s">
        <v>67</v>
      </c>
      <c r="L118" s="35" t="s">
        <v>90</v>
      </c>
      <c r="M118" s="36" t="s">
        <v>80</v>
      </c>
      <c r="N118" s="36"/>
      <c r="O118" s="35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7"/>
      <c r="V118" s="37"/>
      <c r="W118" s="38" t="s">
        <v>69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79" t="s">
        <v>225</v>
      </c>
      <c r="AG118" s="75"/>
      <c r="AJ118" s="79" t="s">
        <v>92</v>
      </c>
      <c r="AK118" s="79">
        <v>25.2</v>
      </c>
      <c r="BB118" s="180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40" t="s">
        <v>76</v>
      </c>
      <c r="X119" s="41">
        <f>IFERROR(X115/H115,"0")+IFERROR(X116/H116,"0")+IFERROR(X117/H117,"0")+IFERROR(X118/H118,"0")</f>
        <v>88.888888888888886</v>
      </c>
      <c r="Y119" s="41">
        <f>IFERROR(Y115/H115,"0")+IFERROR(Y116/H116,"0")+IFERROR(Y117/H117,"0")+IFERROR(Y118/H118,"0")</f>
        <v>90</v>
      </c>
      <c r="Z119" s="41">
        <f>IFERROR(IF(Z115="",0,Z115),"0")+IFERROR(IF(Z116="",0,Z116),"0")+IFERROR(IF(Z117="",0,Z117),"0")+IFERROR(IF(Z118="",0,Z118),"0")</f>
        <v>1.2842200000000001</v>
      </c>
      <c r="AA119" s="64"/>
      <c r="AB119" s="64"/>
      <c r="AC119" s="64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40" t="s">
        <v>69</v>
      </c>
      <c r="X120" s="41">
        <f>IFERROR(SUM(X115:X118),"0")</f>
        <v>540</v>
      </c>
      <c r="Y120" s="41">
        <f>IFERROR(SUM(Y115:Y118),"0")</f>
        <v>545.4</v>
      </c>
      <c r="Z120" s="40"/>
      <c r="AA120" s="64"/>
      <c r="AB120" s="64"/>
      <c r="AC120" s="64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63"/>
      <c r="AB121" s="63"/>
      <c r="AC121" s="63"/>
    </row>
    <row r="122" spans="1:68" ht="16.5" hidden="1" customHeight="1" x14ac:dyDescent="0.25">
      <c r="A122" s="60" t="s">
        <v>226</v>
      </c>
      <c r="B122" s="60" t="s">
        <v>227</v>
      </c>
      <c r="C122" s="34">
        <v>4301060317</v>
      </c>
      <c r="D122" s="564">
        <v>4680115880238</v>
      </c>
      <c r="E122" s="565"/>
      <c r="F122" s="59">
        <v>0.33</v>
      </c>
      <c r="G122" s="35">
        <v>6</v>
      </c>
      <c r="H122" s="59">
        <v>1.98</v>
      </c>
      <c r="I122" s="59">
        <v>2.238</v>
      </c>
      <c r="J122" s="35">
        <v>182</v>
      </c>
      <c r="K122" s="35" t="s">
        <v>67</v>
      </c>
      <c r="L122" s="35" t="s">
        <v>90</v>
      </c>
      <c r="M122" s="36" t="s">
        <v>80</v>
      </c>
      <c r="N122" s="36"/>
      <c r="O122" s="35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7"/>
      <c r="V122" s="37"/>
      <c r="W122" s="38" t="s">
        <v>69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1" t="s">
        <v>228</v>
      </c>
      <c r="AG122" s="75"/>
      <c r="AJ122" s="79" t="s">
        <v>92</v>
      </c>
      <c r="AK122" s="79">
        <v>27.72</v>
      </c>
      <c r="BB122" s="182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40" t="s">
        <v>76</v>
      </c>
      <c r="X123" s="41">
        <f>IFERROR(X122/H122,"0")</f>
        <v>0</v>
      </c>
      <c r="Y123" s="41">
        <f>IFERROR(Y122/H122,"0")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40" t="s">
        <v>69</v>
      </c>
      <c r="X124" s="41">
        <f>IFERROR(SUM(X122:X122),"0")</f>
        <v>0</v>
      </c>
      <c r="Y124" s="41">
        <f>IFERROR(SUM(Y122:Y122),"0")</f>
        <v>0</v>
      </c>
      <c r="Z124" s="40"/>
      <c r="AA124" s="64"/>
      <c r="AB124" s="64"/>
      <c r="AC124" s="64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62"/>
      <c r="AB125" s="62"/>
      <c r="AC125" s="62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63"/>
      <c r="AB126" s="63"/>
      <c r="AC126" s="63"/>
    </row>
    <row r="127" spans="1:68" ht="27" hidden="1" customHeight="1" x14ac:dyDescent="0.25">
      <c r="A127" s="60" t="s">
        <v>230</v>
      </c>
      <c r="B127" s="60" t="s">
        <v>231</v>
      </c>
      <c r="C127" s="34">
        <v>4301011562</v>
      </c>
      <c r="D127" s="564">
        <v>4680115882577</v>
      </c>
      <c r="E127" s="565"/>
      <c r="F127" s="59">
        <v>0.4</v>
      </c>
      <c r="G127" s="35">
        <v>8</v>
      </c>
      <c r="H127" s="59">
        <v>3.2</v>
      </c>
      <c r="I127" s="59">
        <v>3.38</v>
      </c>
      <c r="J127" s="35">
        <v>182</v>
      </c>
      <c r="K127" s="35" t="s">
        <v>67</v>
      </c>
      <c r="L127" s="35" t="s">
        <v>90</v>
      </c>
      <c r="M127" s="36" t="s">
        <v>98</v>
      </c>
      <c r="N127" s="36"/>
      <c r="O127" s="35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7"/>
      <c r="V127" s="37"/>
      <c r="W127" s="38" t="s">
        <v>69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83" t="s">
        <v>232</v>
      </c>
      <c r="AG127" s="75"/>
      <c r="AJ127" s="79" t="s">
        <v>92</v>
      </c>
      <c r="AK127" s="79">
        <v>44.8</v>
      </c>
      <c r="BB127" s="18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t="27" hidden="1" customHeight="1" x14ac:dyDescent="0.25">
      <c r="A128" s="60" t="s">
        <v>230</v>
      </c>
      <c r="B128" s="60" t="s">
        <v>233</v>
      </c>
      <c r="C128" s="34">
        <v>4301011564</v>
      </c>
      <c r="D128" s="564">
        <v>4680115882577</v>
      </c>
      <c r="E128" s="56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67</v>
      </c>
      <c r="L128" s="35" t="s">
        <v>90</v>
      </c>
      <c r="M128" s="36" t="s">
        <v>98</v>
      </c>
      <c r="N128" s="36"/>
      <c r="O128" s="35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7"/>
      <c r="V128" s="37"/>
      <c r="W128" s="38" t="s">
        <v>69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85" t="s">
        <v>232</v>
      </c>
      <c r="AG128" s="75"/>
      <c r="AJ128" s="79" t="s">
        <v>92</v>
      </c>
      <c r="AK128" s="79">
        <v>44.8</v>
      </c>
      <c r="BB128" s="18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40" t="s">
        <v>76</v>
      </c>
      <c r="X129" s="41">
        <f>IFERROR(X127/H127,"0")+IFERROR(X128/H128,"0")</f>
        <v>0</v>
      </c>
      <c r="Y129" s="41">
        <f>IFERROR(Y127/H127,"0")+IFERROR(Y128/H128,"0")</f>
        <v>0</v>
      </c>
      <c r="Z129" s="41">
        <f>IFERROR(IF(Z127="",0,Z127),"0")+IFERROR(IF(Z128="",0,Z128),"0")</f>
        <v>0</v>
      </c>
      <c r="AA129" s="64"/>
      <c r="AB129" s="64"/>
      <c r="AC129" s="64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40" t="s">
        <v>69</v>
      </c>
      <c r="X130" s="41">
        <f>IFERROR(SUM(X127:X128),"0")</f>
        <v>0</v>
      </c>
      <c r="Y130" s="41">
        <f>IFERROR(SUM(Y127:Y128),"0")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63"/>
      <c r="AB131" s="63"/>
      <c r="AC131" s="63"/>
    </row>
    <row r="132" spans="1:68" ht="27" hidden="1" customHeight="1" x14ac:dyDescent="0.25">
      <c r="A132" s="60" t="s">
        <v>234</v>
      </c>
      <c r="B132" s="60" t="s">
        <v>235</v>
      </c>
      <c r="C132" s="34">
        <v>4301031235</v>
      </c>
      <c r="D132" s="564">
        <v>4680115883444</v>
      </c>
      <c r="E132" s="565"/>
      <c r="F132" s="59">
        <v>0.35</v>
      </c>
      <c r="G132" s="35">
        <v>8</v>
      </c>
      <c r="H132" s="59">
        <v>2.8</v>
      </c>
      <c r="I132" s="59">
        <v>3.0680000000000001</v>
      </c>
      <c r="J132" s="35">
        <v>182</v>
      </c>
      <c r="K132" s="35" t="s">
        <v>67</v>
      </c>
      <c r="L132" s="35" t="s">
        <v>90</v>
      </c>
      <c r="M132" s="36" t="s">
        <v>98</v>
      </c>
      <c r="N132" s="36"/>
      <c r="O132" s="35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7"/>
      <c r="V132" s="37"/>
      <c r="W132" s="38" t="s">
        <v>69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87" t="s">
        <v>236</v>
      </c>
      <c r="AG132" s="75"/>
      <c r="AJ132" s="79" t="s">
        <v>92</v>
      </c>
      <c r="AK132" s="79">
        <v>39.200000000000003</v>
      </c>
      <c r="BB132" s="188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234</v>
      </c>
      <c r="B133" s="60" t="s">
        <v>237</v>
      </c>
      <c r="C133" s="34">
        <v>4301031234</v>
      </c>
      <c r="D133" s="564">
        <v>4680115883444</v>
      </c>
      <c r="E133" s="56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67</v>
      </c>
      <c r="L133" s="35" t="s">
        <v>90</v>
      </c>
      <c r="M133" s="36" t="s">
        <v>98</v>
      </c>
      <c r="N133" s="36"/>
      <c r="O133" s="35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7"/>
      <c r="V133" s="37"/>
      <c r="W133" s="38" t="s">
        <v>69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89" t="s">
        <v>236</v>
      </c>
      <c r="AG133" s="75"/>
      <c r="AJ133" s="79" t="s">
        <v>92</v>
      </c>
      <c r="AK133" s="79">
        <v>39.200000000000003</v>
      </c>
      <c r="BB133" s="190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40" t="s">
        <v>76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40" t="s">
        <v>69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63"/>
      <c r="AB136" s="63"/>
      <c r="AC136" s="63"/>
    </row>
    <row r="137" spans="1:68" ht="16.5" hidden="1" customHeight="1" x14ac:dyDescent="0.25">
      <c r="A137" s="60" t="s">
        <v>238</v>
      </c>
      <c r="B137" s="60" t="s">
        <v>239</v>
      </c>
      <c r="C137" s="34">
        <v>4301051477</v>
      </c>
      <c r="D137" s="564">
        <v>4680115882584</v>
      </c>
      <c r="E137" s="565"/>
      <c r="F137" s="59">
        <v>0.33</v>
      </c>
      <c r="G137" s="35">
        <v>8</v>
      </c>
      <c r="H137" s="59">
        <v>2.64</v>
      </c>
      <c r="I137" s="59">
        <v>2.9079999999999999</v>
      </c>
      <c r="J137" s="35">
        <v>182</v>
      </c>
      <c r="K137" s="35" t="s">
        <v>67</v>
      </c>
      <c r="L137" s="35"/>
      <c r="M137" s="36" t="s">
        <v>98</v>
      </c>
      <c r="N137" s="36"/>
      <c r="O137" s="35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7"/>
      <c r="V137" s="37"/>
      <c r="W137" s="38" t="s">
        <v>69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1" t="s">
        <v>232</v>
      </c>
      <c r="AG137" s="75"/>
      <c r="AJ137" s="79"/>
      <c r="AK137" s="79">
        <v>0</v>
      </c>
      <c r="BB137" s="192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238</v>
      </c>
      <c r="B138" s="60" t="s">
        <v>240</v>
      </c>
      <c r="C138" s="34">
        <v>4301051476</v>
      </c>
      <c r="D138" s="564">
        <v>4680115882584</v>
      </c>
      <c r="E138" s="56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67</v>
      </c>
      <c r="L138" s="35" t="s">
        <v>90</v>
      </c>
      <c r="M138" s="36" t="s">
        <v>98</v>
      </c>
      <c r="N138" s="36"/>
      <c r="O138" s="35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7"/>
      <c r="V138" s="37"/>
      <c r="W138" s="38" t="s">
        <v>69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193" t="s">
        <v>232</v>
      </c>
      <c r="AG138" s="75"/>
      <c r="AJ138" s="79" t="s">
        <v>92</v>
      </c>
      <c r="AK138" s="79">
        <v>36.96</v>
      </c>
      <c r="BB138" s="194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40" t="s">
        <v>76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40" t="s">
        <v>69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62"/>
      <c r="AB141" s="62"/>
      <c r="AC141" s="62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63"/>
      <c r="AB142" s="63"/>
      <c r="AC142" s="63"/>
    </row>
    <row r="143" spans="1:68" ht="27" hidden="1" customHeight="1" x14ac:dyDescent="0.25">
      <c r="A143" s="60" t="s">
        <v>241</v>
      </c>
      <c r="B143" s="60" t="s">
        <v>242</v>
      </c>
      <c r="C143" s="34">
        <v>4301012244</v>
      </c>
      <c r="D143" s="564">
        <v>4680115887374</v>
      </c>
      <c r="E143" s="565"/>
      <c r="F143" s="59">
        <v>1.6</v>
      </c>
      <c r="G143" s="35">
        <v>8</v>
      </c>
      <c r="H143" s="59">
        <v>12.8</v>
      </c>
      <c r="I143" s="59">
        <v>13.21</v>
      </c>
      <c r="J143" s="35">
        <v>64</v>
      </c>
      <c r="K143" s="35" t="s">
        <v>106</v>
      </c>
      <c r="L143" s="35"/>
      <c r="M143" s="36" t="s">
        <v>108</v>
      </c>
      <c r="N143" s="36"/>
      <c r="O143" s="35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7"/>
      <c r="V143" s="37"/>
      <c r="W143" s="38" t="s">
        <v>69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IFERROR(IF(Y143=0,"",ROUNDUP(Y143/H143,0)*0.01898),"")</f>
        <v/>
      </c>
      <c r="AA143" s="65"/>
      <c r="AB143" s="66"/>
      <c r="AC143" s="195" t="s">
        <v>243</v>
      </c>
      <c r="AG143" s="75"/>
      <c r="AJ143" s="79"/>
      <c r="AK143" s="79">
        <v>0</v>
      </c>
      <c r="BB143" s="19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244</v>
      </c>
      <c r="B144" s="60" t="s">
        <v>245</v>
      </c>
      <c r="C144" s="34">
        <v>4301011705</v>
      </c>
      <c r="D144" s="564">
        <v>4607091384604</v>
      </c>
      <c r="E144" s="565"/>
      <c r="F144" s="59">
        <v>0.4</v>
      </c>
      <c r="G144" s="35">
        <v>10</v>
      </c>
      <c r="H144" s="59">
        <v>4</v>
      </c>
      <c r="I144" s="59">
        <v>4.1900000000000004</v>
      </c>
      <c r="J144" s="35">
        <v>132</v>
      </c>
      <c r="K144" s="35" t="s">
        <v>112</v>
      </c>
      <c r="L144" s="35" t="s">
        <v>115</v>
      </c>
      <c r="M144" s="36" t="s">
        <v>108</v>
      </c>
      <c r="N144" s="36"/>
      <c r="O144" s="35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7"/>
      <c r="V144" s="37"/>
      <c r="W144" s="38" t="s">
        <v>69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IFERROR(IF(Y144=0,"",ROUNDUP(Y144/H144,0)*0.00902),"")</f>
        <v/>
      </c>
      <c r="AA144" s="65"/>
      <c r="AB144" s="66"/>
      <c r="AC144" s="197" t="s">
        <v>246</v>
      </c>
      <c r="AG144" s="75"/>
      <c r="AJ144" s="79" t="s">
        <v>92</v>
      </c>
      <c r="AK144" s="79">
        <v>48</v>
      </c>
      <c r="BB144" s="19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40" t="s">
        <v>76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40" t="s">
        <v>69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63"/>
      <c r="AB147" s="63"/>
      <c r="AC147" s="63"/>
    </row>
    <row r="148" spans="1:68" ht="16.5" hidden="1" customHeight="1" x14ac:dyDescent="0.25">
      <c r="A148" s="60" t="s">
        <v>247</v>
      </c>
      <c r="B148" s="60" t="s">
        <v>248</v>
      </c>
      <c r="C148" s="34">
        <v>4301030895</v>
      </c>
      <c r="D148" s="564">
        <v>4607091387667</v>
      </c>
      <c r="E148" s="565"/>
      <c r="F148" s="59">
        <v>0.9</v>
      </c>
      <c r="G148" s="35">
        <v>10</v>
      </c>
      <c r="H148" s="59">
        <v>9</v>
      </c>
      <c r="I148" s="59">
        <v>9.56</v>
      </c>
      <c r="J148" s="35">
        <v>64</v>
      </c>
      <c r="K148" s="35" t="s">
        <v>106</v>
      </c>
      <c r="L148" s="35" t="s">
        <v>107</v>
      </c>
      <c r="M148" s="36" t="s">
        <v>108</v>
      </c>
      <c r="N148" s="36"/>
      <c r="O148" s="35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7"/>
      <c r="V148" s="37"/>
      <c r="W148" s="38" t="s">
        <v>69</v>
      </c>
      <c r="X148" s="56">
        <v>0</v>
      </c>
      <c r="Y148" s="53">
        <f t="shared" ref="Y148:Y153" si="5">IFERROR(IF(X148="",0,CEILING((X148/$H148),1)*$H148),"")</f>
        <v>0</v>
      </c>
      <c r="Z148" s="39" t="str">
        <f>IFERROR(IF(Y148=0,"",ROUNDUP(Y148/H148,0)*0.01898),"")</f>
        <v/>
      </c>
      <c r="AA148" s="65"/>
      <c r="AB148" s="66"/>
      <c r="AC148" s="199" t="s">
        <v>249</v>
      </c>
      <c r="AG148" s="75"/>
      <c r="AJ148" s="79" t="s">
        <v>92</v>
      </c>
      <c r="AK148" s="79">
        <v>72</v>
      </c>
      <c r="BB148" s="200" t="s">
        <v>1</v>
      </c>
      <c r="BM148" s="75">
        <f t="shared" ref="BM148:BM153" si="6">IFERROR(X148*I148/H148,"0")</f>
        <v>0</v>
      </c>
      <c r="BN148" s="75">
        <f t="shared" ref="BN148:BN153" si="7">IFERROR(Y148*I148/H148,"0")</f>
        <v>0</v>
      </c>
      <c r="BO148" s="75">
        <f t="shared" ref="BO148:BO153" si="8">IFERROR(1/J148*(X148/H148),"0")</f>
        <v>0</v>
      </c>
      <c r="BP148" s="75">
        <f t="shared" ref="BP148:BP153" si="9">IFERROR(1/J148*(Y148/H148),"0")</f>
        <v>0</v>
      </c>
    </row>
    <row r="149" spans="1:68" ht="16.5" hidden="1" customHeight="1" x14ac:dyDescent="0.25">
      <c r="A149" s="60" t="s">
        <v>250</v>
      </c>
      <c r="B149" s="60" t="s">
        <v>251</v>
      </c>
      <c r="C149" s="34">
        <v>4301031450</v>
      </c>
      <c r="D149" s="564">
        <v>4680115887428</v>
      </c>
      <c r="E149" s="56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112</v>
      </c>
      <c r="L149" s="35"/>
      <c r="M149" s="36" t="s">
        <v>68</v>
      </c>
      <c r="N149" s="36"/>
      <c r="O149" s="35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7"/>
      <c r="V149" s="37"/>
      <c r="W149" s="38" t="s">
        <v>69</v>
      </c>
      <c r="X149" s="56">
        <v>0</v>
      </c>
      <c r="Y149" s="53">
        <f t="shared" si="5"/>
        <v>0</v>
      </c>
      <c r="Z149" s="39" t="str">
        <f>IFERROR(IF(Y149=0,"",ROUNDUP(Y149/H149,0)*0.00902),"")</f>
        <v/>
      </c>
      <c r="AA149" s="65"/>
      <c r="AB149" s="66"/>
      <c r="AC149" s="201" t="s">
        <v>252</v>
      </c>
      <c r="AG149" s="75"/>
      <c r="AJ149" s="79"/>
      <c r="AK149" s="79">
        <v>0</v>
      </c>
      <c r="BB149" s="202" t="s">
        <v>1</v>
      </c>
      <c r="BM149" s="75">
        <f t="shared" si="6"/>
        <v>0</v>
      </c>
      <c r="BN149" s="75">
        <f t="shared" si="7"/>
        <v>0</v>
      </c>
      <c r="BO149" s="75">
        <f t="shared" si="8"/>
        <v>0</v>
      </c>
      <c r="BP149" s="75">
        <f t="shared" si="9"/>
        <v>0</v>
      </c>
    </row>
    <row r="150" spans="1:68" ht="16.5" hidden="1" customHeight="1" x14ac:dyDescent="0.25">
      <c r="A150" s="60" t="s">
        <v>253</v>
      </c>
      <c r="B150" s="60" t="s">
        <v>254</v>
      </c>
      <c r="C150" s="34">
        <v>4301030961</v>
      </c>
      <c r="D150" s="564">
        <v>4607091387636</v>
      </c>
      <c r="E150" s="565"/>
      <c r="F150" s="59">
        <v>0.7</v>
      </c>
      <c r="G150" s="35">
        <v>6</v>
      </c>
      <c r="H150" s="59">
        <v>4.2</v>
      </c>
      <c r="I150" s="59">
        <v>4.47</v>
      </c>
      <c r="J150" s="35">
        <v>182</v>
      </c>
      <c r="K150" s="35" t="s">
        <v>67</v>
      </c>
      <c r="L150" s="35"/>
      <c r="M150" s="36" t="s">
        <v>68</v>
      </c>
      <c r="N150" s="36"/>
      <c r="O150" s="35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7"/>
      <c r="V150" s="37"/>
      <c r="W150" s="38" t="s">
        <v>69</v>
      </c>
      <c r="X150" s="56">
        <v>0</v>
      </c>
      <c r="Y150" s="53">
        <f t="shared" si="5"/>
        <v>0</v>
      </c>
      <c r="Z150" s="39" t="str">
        <f>IFERROR(IF(Y150=0,"",ROUNDUP(Y150/H150,0)*0.00651),"")</f>
        <v/>
      </c>
      <c r="AA150" s="65"/>
      <c r="AB150" s="66"/>
      <c r="AC150" s="203" t="s">
        <v>255</v>
      </c>
      <c r="AG150" s="75"/>
      <c r="AJ150" s="79"/>
      <c r="AK150" s="79">
        <v>0</v>
      </c>
      <c r="BB150" s="204" t="s">
        <v>1</v>
      </c>
      <c r="BM150" s="75">
        <f t="shared" si="6"/>
        <v>0</v>
      </c>
      <c r="BN150" s="75">
        <f t="shared" si="7"/>
        <v>0</v>
      </c>
      <c r="BO150" s="75">
        <f t="shared" si="8"/>
        <v>0</v>
      </c>
      <c r="BP150" s="75">
        <f t="shared" si="9"/>
        <v>0</v>
      </c>
    </row>
    <row r="151" spans="1:68" ht="27" hidden="1" customHeight="1" x14ac:dyDescent="0.25">
      <c r="A151" s="60" t="s">
        <v>256</v>
      </c>
      <c r="B151" s="60" t="s">
        <v>257</v>
      </c>
      <c r="C151" s="34">
        <v>4301031453</v>
      </c>
      <c r="D151" s="564">
        <v>4680115887336</v>
      </c>
      <c r="E151" s="565"/>
      <c r="F151" s="59">
        <v>0.7</v>
      </c>
      <c r="G151" s="35">
        <v>6</v>
      </c>
      <c r="H151" s="59">
        <v>4.2</v>
      </c>
      <c r="I151" s="59">
        <v>4.3899999999999997</v>
      </c>
      <c r="J151" s="35">
        <v>132</v>
      </c>
      <c r="K151" s="35" t="s">
        <v>112</v>
      </c>
      <c r="L151" s="35"/>
      <c r="M151" s="36" t="s">
        <v>68</v>
      </c>
      <c r="N151" s="36"/>
      <c r="O151" s="35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7"/>
      <c r="V151" s="37"/>
      <c r="W151" s="38" t="s">
        <v>69</v>
      </c>
      <c r="X151" s="56">
        <v>0</v>
      </c>
      <c r="Y151" s="53">
        <f t="shared" si="5"/>
        <v>0</v>
      </c>
      <c r="Z151" s="39" t="str">
        <f>IFERROR(IF(Y151=0,"",ROUNDUP(Y151/H151,0)*0.00902),"")</f>
        <v/>
      </c>
      <c r="AA151" s="65"/>
      <c r="AB151" s="66"/>
      <c r="AC151" s="205" t="s">
        <v>258</v>
      </c>
      <c r="AG151" s="75"/>
      <c r="AJ151" s="79"/>
      <c r="AK151" s="79">
        <v>0</v>
      </c>
      <c r="BB151" s="206" t="s">
        <v>1</v>
      </c>
      <c r="BM151" s="75">
        <f t="shared" si="6"/>
        <v>0</v>
      </c>
      <c r="BN151" s="75">
        <f t="shared" si="7"/>
        <v>0</v>
      </c>
      <c r="BO151" s="75">
        <f t="shared" si="8"/>
        <v>0</v>
      </c>
      <c r="BP151" s="75">
        <f t="shared" si="9"/>
        <v>0</v>
      </c>
    </row>
    <row r="152" spans="1:68" ht="27" hidden="1" customHeight="1" x14ac:dyDescent="0.25">
      <c r="A152" s="60" t="s">
        <v>259</v>
      </c>
      <c r="B152" s="60" t="s">
        <v>260</v>
      </c>
      <c r="C152" s="34">
        <v>4301030963</v>
      </c>
      <c r="D152" s="564">
        <v>4607091382426</v>
      </c>
      <c r="E152" s="565"/>
      <c r="F152" s="59">
        <v>0.9</v>
      </c>
      <c r="G152" s="35">
        <v>10</v>
      </c>
      <c r="H152" s="59">
        <v>9</v>
      </c>
      <c r="I152" s="59">
        <v>9.56</v>
      </c>
      <c r="J152" s="35">
        <v>64</v>
      </c>
      <c r="K152" s="35" t="s">
        <v>106</v>
      </c>
      <c r="L152" s="35" t="s">
        <v>107</v>
      </c>
      <c r="M152" s="36" t="s">
        <v>68</v>
      </c>
      <c r="N152" s="36"/>
      <c r="O152" s="35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7"/>
      <c r="V152" s="37"/>
      <c r="W152" s="38" t="s">
        <v>69</v>
      </c>
      <c r="X152" s="56">
        <v>0</v>
      </c>
      <c r="Y152" s="53">
        <f t="shared" si="5"/>
        <v>0</v>
      </c>
      <c r="Z152" s="39" t="str">
        <f>IFERROR(IF(Y152=0,"",ROUNDUP(Y152/H152,0)*0.01898),"")</f>
        <v/>
      </c>
      <c r="AA152" s="65"/>
      <c r="AB152" s="66"/>
      <c r="AC152" s="207" t="s">
        <v>261</v>
      </c>
      <c r="AG152" s="75"/>
      <c r="AJ152" s="79" t="s">
        <v>92</v>
      </c>
      <c r="AK152" s="79">
        <v>72</v>
      </c>
      <c r="BB152" s="208" t="s">
        <v>1</v>
      </c>
      <c r="BM152" s="75">
        <f t="shared" si="6"/>
        <v>0</v>
      </c>
      <c r="BN152" s="75">
        <f t="shared" si="7"/>
        <v>0</v>
      </c>
      <c r="BO152" s="75">
        <f t="shared" si="8"/>
        <v>0</v>
      </c>
      <c r="BP152" s="75">
        <f t="shared" si="9"/>
        <v>0</v>
      </c>
    </row>
    <row r="153" spans="1:68" ht="27" hidden="1" customHeight="1" x14ac:dyDescent="0.25">
      <c r="A153" s="60" t="s">
        <v>262</v>
      </c>
      <c r="B153" s="60" t="s">
        <v>263</v>
      </c>
      <c r="C153" s="34">
        <v>4301031456</v>
      </c>
      <c r="D153" s="564">
        <v>4680115887398</v>
      </c>
      <c r="E153" s="565"/>
      <c r="F153" s="59">
        <v>0.7</v>
      </c>
      <c r="G153" s="35">
        <v>6</v>
      </c>
      <c r="H153" s="59">
        <v>4.2</v>
      </c>
      <c r="I153" s="59">
        <v>4.3899999999999997</v>
      </c>
      <c r="J153" s="35">
        <v>132</v>
      </c>
      <c r="K153" s="35" t="s">
        <v>112</v>
      </c>
      <c r="L153" s="35"/>
      <c r="M153" s="36" t="s">
        <v>68</v>
      </c>
      <c r="N153" s="36"/>
      <c r="O153" s="35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7"/>
      <c r="V153" s="37"/>
      <c r="W153" s="38" t="s">
        <v>69</v>
      </c>
      <c r="X153" s="56">
        <v>0</v>
      </c>
      <c r="Y153" s="53">
        <f t="shared" si="5"/>
        <v>0</v>
      </c>
      <c r="Z153" s="39" t="str">
        <f>IFERROR(IF(Y153=0,"",ROUNDUP(Y153/H153,0)*0.00902),"")</f>
        <v/>
      </c>
      <c r="AA153" s="65"/>
      <c r="AB153" s="66"/>
      <c r="AC153" s="209" t="s">
        <v>264</v>
      </c>
      <c r="AG153" s="75"/>
      <c r="AJ153" s="79"/>
      <c r="AK153" s="79">
        <v>0</v>
      </c>
      <c r="BB153" s="210" t="s">
        <v>1</v>
      </c>
      <c r="BM153" s="75">
        <f t="shared" si="6"/>
        <v>0</v>
      </c>
      <c r="BN153" s="75">
        <f t="shared" si="7"/>
        <v>0</v>
      </c>
      <c r="BO153" s="75">
        <f t="shared" si="8"/>
        <v>0</v>
      </c>
      <c r="BP153" s="75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40" t="s">
        <v>76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40" t="s">
        <v>69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63"/>
      <c r="AB156" s="63"/>
      <c r="AC156" s="63"/>
    </row>
    <row r="157" spans="1:68" ht="27" hidden="1" customHeight="1" x14ac:dyDescent="0.25">
      <c r="A157" s="60" t="s">
        <v>265</v>
      </c>
      <c r="B157" s="60" t="s">
        <v>266</v>
      </c>
      <c r="C157" s="34">
        <v>4301052064</v>
      </c>
      <c r="D157" s="564">
        <v>4680115887459</v>
      </c>
      <c r="E157" s="56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67</v>
      </c>
      <c r="L157" s="35"/>
      <c r="M157" s="36" t="s">
        <v>80</v>
      </c>
      <c r="N157" s="36"/>
      <c r="O157" s="35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7"/>
      <c r="V157" s="37"/>
      <c r="W157" s="38" t="s">
        <v>69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/>
      <c r="AB157" s="66"/>
      <c r="AC157" s="211" t="s">
        <v>267</v>
      </c>
      <c r="AG157" s="75"/>
      <c r="AJ157" s="79"/>
      <c r="AK157" s="79">
        <v>0</v>
      </c>
      <c r="BB157" s="212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40" t="s">
        <v>76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40" t="s">
        <v>69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52"/>
      <c r="AB160" s="52"/>
      <c r="AC160" s="52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62"/>
      <c r="AB161" s="62"/>
      <c r="AC161" s="62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63"/>
      <c r="AB162" s="63"/>
      <c r="AC162" s="63"/>
    </row>
    <row r="163" spans="1:68" ht="27" hidden="1" customHeight="1" x14ac:dyDescent="0.25">
      <c r="A163" s="60" t="s">
        <v>270</v>
      </c>
      <c r="B163" s="60" t="s">
        <v>271</v>
      </c>
      <c r="C163" s="34">
        <v>4301020323</v>
      </c>
      <c r="D163" s="564">
        <v>4680115886223</v>
      </c>
      <c r="E163" s="56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73</v>
      </c>
      <c r="L163" s="35"/>
      <c r="M163" s="36" t="s">
        <v>68</v>
      </c>
      <c r="N163" s="36"/>
      <c r="O163" s="35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7"/>
      <c r="V163" s="37"/>
      <c r="W163" s="38" t="s">
        <v>69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/>
      <c r="AB163" s="66"/>
      <c r="AC163" s="213" t="s">
        <v>272</v>
      </c>
      <c r="AG163" s="75"/>
      <c r="AJ163" s="79"/>
      <c r="AK163" s="79">
        <v>0</v>
      </c>
      <c r="BB163" s="214" t="s">
        <v>1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40" t="s">
        <v>76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40" t="s">
        <v>69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63"/>
      <c r="AB166" s="63"/>
      <c r="AC166" s="63"/>
    </row>
    <row r="167" spans="1:68" ht="27" hidden="1" customHeight="1" x14ac:dyDescent="0.25">
      <c r="A167" s="60" t="s">
        <v>273</v>
      </c>
      <c r="B167" s="60" t="s">
        <v>274</v>
      </c>
      <c r="C167" s="34">
        <v>4301031463</v>
      </c>
      <c r="D167" s="564">
        <v>4680115887824</v>
      </c>
      <c r="E167" s="565"/>
      <c r="F167" s="59">
        <v>0.15</v>
      </c>
      <c r="G167" s="35">
        <v>16</v>
      </c>
      <c r="H167" s="59">
        <v>2.4</v>
      </c>
      <c r="I167" s="59">
        <v>2.58</v>
      </c>
      <c r="J167" s="35">
        <v>182</v>
      </c>
      <c r="K167" s="35" t="s">
        <v>67</v>
      </c>
      <c r="L167" s="35"/>
      <c r="M167" s="36" t="s">
        <v>275</v>
      </c>
      <c r="N167" s="36"/>
      <c r="O167" s="35">
        <v>60</v>
      </c>
      <c r="P167" s="686" t="s">
        <v>276</v>
      </c>
      <c r="Q167" s="567"/>
      <c r="R167" s="567"/>
      <c r="S167" s="567"/>
      <c r="T167" s="568"/>
      <c r="U167" s="37"/>
      <c r="V167" s="37"/>
      <c r="W167" s="38" t="s">
        <v>69</v>
      </c>
      <c r="X167" s="56">
        <v>0</v>
      </c>
      <c r="Y167" s="53">
        <f t="shared" ref="Y167:Y180" si="10">IFERROR(IF(X167="",0,CEILING((X167/$H167),1)*$H167),"")</f>
        <v>0</v>
      </c>
      <c r="Z167" s="39" t="str">
        <f>IFERROR(IF(Y167=0,"",ROUNDUP(Y167/H167,0)*0.00651),"")</f>
        <v/>
      </c>
      <c r="AA167" s="65"/>
      <c r="AB167" s="66" t="s">
        <v>277</v>
      </c>
      <c r="AC167" s="215" t="s">
        <v>278</v>
      </c>
      <c r="AG167" s="75"/>
      <c r="AJ167" s="79"/>
      <c r="AK167" s="79">
        <v>0</v>
      </c>
      <c r="BB167" s="216" t="s">
        <v>1</v>
      </c>
      <c r="BM167" s="75">
        <f t="shared" ref="BM167:BM180" si="11">IFERROR(X167*I167/H167,"0")</f>
        <v>0</v>
      </c>
      <c r="BN167" s="75">
        <f t="shared" ref="BN167:BN180" si="12">IFERROR(Y167*I167/H167,"0")</f>
        <v>0</v>
      </c>
      <c r="BO167" s="75">
        <f t="shared" ref="BO167:BO180" si="13">IFERROR(1/J167*(X167/H167),"0")</f>
        <v>0</v>
      </c>
      <c r="BP167" s="75">
        <f t="shared" ref="BP167:BP180" si="14">IFERROR(1/J167*(Y167/H167),"0")</f>
        <v>0</v>
      </c>
    </row>
    <row r="168" spans="1:68" ht="27" hidden="1" customHeight="1" x14ac:dyDescent="0.25">
      <c r="A168" s="60" t="s">
        <v>279</v>
      </c>
      <c r="B168" s="60" t="s">
        <v>280</v>
      </c>
      <c r="C168" s="34">
        <v>4301031464</v>
      </c>
      <c r="D168" s="564">
        <v>4680115887701</v>
      </c>
      <c r="E168" s="565"/>
      <c r="F168" s="59">
        <v>0.3</v>
      </c>
      <c r="G168" s="35">
        <v>8</v>
      </c>
      <c r="H168" s="59">
        <v>2.4</v>
      </c>
      <c r="I168" s="59">
        <v>2.58</v>
      </c>
      <c r="J168" s="35">
        <v>182</v>
      </c>
      <c r="K168" s="35" t="s">
        <v>67</v>
      </c>
      <c r="L168" s="35"/>
      <c r="M168" s="36" t="s">
        <v>275</v>
      </c>
      <c r="N168" s="36"/>
      <c r="O168" s="35">
        <v>60</v>
      </c>
      <c r="P168" s="645" t="s">
        <v>281</v>
      </c>
      <c r="Q168" s="567"/>
      <c r="R168" s="567"/>
      <c r="S168" s="567"/>
      <c r="T168" s="568"/>
      <c r="U168" s="37"/>
      <c r="V168" s="37"/>
      <c r="W168" s="38" t="s">
        <v>69</v>
      </c>
      <c r="X168" s="56">
        <v>0</v>
      </c>
      <c r="Y168" s="53">
        <f t="shared" si="10"/>
        <v>0</v>
      </c>
      <c r="Z168" s="39" t="str">
        <f>IFERROR(IF(Y168=0,"",ROUNDUP(Y168/H168,0)*0.00651),"")</f>
        <v/>
      </c>
      <c r="AA168" s="65"/>
      <c r="AB168" s="66" t="s">
        <v>277</v>
      </c>
      <c r="AC168" s="217" t="s">
        <v>278</v>
      </c>
      <c r="AG168" s="75"/>
      <c r="AJ168" s="79"/>
      <c r="AK168" s="79">
        <v>0</v>
      </c>
      <c r="BB168" s="21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282</v>
      </c>
      <c r="B169" s="60" t="s">
        <v>283</v>
      </c>
      <c r="C169" s="34">
        <v>4301031191</v>
      </c>
      <c r="D169" s="564">
        <v>4680115880993</v>
      </c>
      <c r="E169" s="565"/>
      <c r="F169" s="59">
        <v>0.7</v>
      </c>
      <c r="G169" s="35">
        <v>6</v>
      </c>
      <c r="H169" s="59">
        <v>4.2</v>
      </c>
      <c r="I169" s="59">
        <v>4.45</v>
      </c>
      <c r="J169" s="35">
        <v>132</v>
      </c>
      <c r="K169" s="35" t="s">
        <v>112</v>
      </c>
      <c r="L169" s="35" t="s">
        <v>115</v>
      </c>
      <c r="M169" s="36" t="s">
        <v>68</v>
      </c>
      <c r="N169" s="36"/>
      <c r="O169" s="35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7"/>
      <c r="V169" s="37"/>
      <c r="W169" s="38" t="s">
        <v>69</v>
      </c>
      <c r="X169" s="56">
        <v>50</v>
      </c>
      <c r="Y169" s="53">
        <f t="shared" si="10"/>
        <v>50.400000000000006</v>
      </c>
      <c r="Z169" s="39">
        <f>IFERROR(IF(Y169=0,"",ROUNDUP(Y169/H169,0)*0.00902),"")</f>
        <v>0.10824</v>
      </c>
      <c r="AA169" s="65"/>
      <c r="AB169" s="66"/>
      <c r="AC169" s="219" t="s">
        <v>284</v>
      </c>
      <c r="AG169" s="75"/>
      <c r="AJ169" s="79" t="s">
        <v>92</v>
      </c>
      <c r="AK169" s="79">
        <v>50.4</v>
      </c>
      <c r="BB169" s="220" t="s">
        <v>1</v>
      </c>
      <c r="BM169" s="75">
        <f t="shared" si="11"/>
        <v>52.976190476190474</v>
      </c>
      <c r="BN169" s="75">
        <f t="shared" si="12"/>
        <v>53.400000000000006</v>
      </c>
      <c r="BO169" s="75">
        <f t="shared" si="13"/>
        <v>9.0187590187590191E-2</v>
      </c>
      <c r="BP169" s="75">
        <f t="shared" si="14"/>
        <v>9.0909090909090912E-2</v>
      </c>
    </row>
    <row r="170" spans="1:68" ht="27" hidden="1" customHeight="1" x14ac:dyDescent="0.25">
      <c r="A170" s="60" t="s">
        <v>285</v>
      </c>
      <c r="B170" s="60" t="s">
        <v>286</v>
      </c>
      <c r="C170" s="34">
        <v>4301031204</v>
      </c>
      <c r="D170" s="564">
        <v>4680115881761</v>
      </c>
      <c r="E170" s="565"/>
      <c r="F170" s="59">
        <v>0.7</v>
      </c>
      <c r="G170" s="35">
        <v>6</v>
      </c>
      <c r="H170" s="59">
        <v>4.2</v>
      </c>
      <c r="I170" s="59">
        <v>4.45</v>
      </c>
      <c r="J170" s="35">
        <v>132</v>
      </c>
      <c r="K170" s="35" t="s">
        <v>112</v>
      </c>
      <c r="L170" s="35"/>
      <c r="M170" s="36" t="s">
        <v>68</v>
      </c>
      <c r="N170" s="36"/>
      <c r="O170" s="35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7"/>
      <c r="V170" s="37"/>
      <c r="W170" s="38" t="s">
        <v>69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/>
      <c r="AB170" s="66"/>
      <c r="AC170" s="221" t="s">
        <v>287</v>
      </c>
      <c r="AG170" s="75"/>
      <c r="AJ170" s="79"/>
      <c r="AK170" s="79">
        <v>0</v>
      </c>
      <c r="BB170" s="22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27" hidden="1" customHeight="1" x14ac:dyDescent="0.25">
      <c r="A171" s="60" t="s">
        <v>288</v>
      </c>
      <c r="B171" s="60" t="s">
        <v>289</v>
      </c>
      <c r="C171" s="34">
        <v>4301031201</v>
      </c>
      <c r="D171" s="564">
        <v>4680115881563</v>
      </c>
      <c r="E171" s="565"/>
      <c r="F171" s="59">
        <v>0.7</v>
      </c>
      <c r="G171" s="35">
        <v>6</v>
      </c>
      <c r="H171" s="59">
        <v>4.2</v>
      </c>
      <c r="I171" s="59">
        <v>4.3899999999999997</v>
      </c>
      <c r="J171" s="35">
        <v>132</v>
      </c>
      <c r="K171" s="35" t="s">
        <v>112</v>
      </c>
      <c r="L171" s="35" t="s">
        <v>115</v>
      </c>
      <c r="M171" s="36" t="s">
        <v>68</v>
      </c>
      <c r="N171" s="36"/>
      <c r="O171" s="35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7"/>
      <c r="V171" s="37"/>
      <c r="W171" s="38" t="s">
        <v>69</v>
      </c>
      <c r="X171" s="56">
        <v>0</v>
      </c>
      <c r="Y171" s="53">
        <f t="shared" si="10"/>
        <v>0</v>
      </c>
      <c r="Z171" s="39" t="str">
        <f>IFERROR(IF(Y171=0,"",ROUNDUP(Y171/H171,0)*0.00902),"")</f>
        <v/>
      </c>
      <c r="AA171" s="65"/>
      <c r="AB171" s="66"/>
      <c r="AC171" s="223" t="s">
        <v>290</v>
      </c>
      <c r="AG171" s="75"/>
      <c r="AJ171" s="79" t="s">
        <v>92</v>
      </c>
      <c r="AK171" s="79">
        <v>50.4</v>
      </c>
      <c r="BB171" s="22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37.5" hidden="1" customHeight="1" x14ac:dyDescent="0.25">
      <c r="A172" s="60" t="s">
        <v>291</v>
      </c>
      <c r="B172" s="60" t="s">
        <v>292</v>
      </c>
      <c r="C172" s="34">
        <v>4301031447</v>
      </c>
      <c r="D172" s="564">
        <v>4680115887565</v>
      </c>
      <c r="E172" s="565"/>
      <c r="F172" s="59">
        <v>0.08</v>
      </c>
      <c r="G172" s="35">
        <v>10</v>
      </c>
      <c r="H172" s="59">
        <v>0.8</v>
      </c>
      <c r="I172" s="59">
        <v>0.93</v>
      </c>
      <c r="J172" s="35">
        <v>216</v>
      </c>
      <c r="K172" s="35" t="s">
        <v>73</v>
      </c>
      <c r="L172" s="35"/>
      <c r="M172" s="36" t="s">
        <v>68</v>
      </c>
      <c r="N172" s="36"/>
      <c r="O172" s="35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7"/>
      <c r="V172" s="37"/>
      <c r="W172" s="38" t="s">
        <v>69</v>
      </c>
      <c r="X172" s="56">
        <v>0</v>
      </c>
      <c r="Y172" s="53">
        <f t="shared" si="10"/>
        <v>0</v>
      </c>
      <c r="Z172" s="39" t="str">
        <f>IFERROR(IF(Y172=0,"",ROUNDUP(Y172/H172,0)*0.00556),"")</f>
        <v/>
      </c>
      <c r="AA172" s="65"/>
      <c r="AB172" s="66"/>
      <c r="AC172" s="225" t="s">
        <v>293</v>
      </c>
      <c r="AG172" s="75"/>
      <c r="AJ172" s="79"/>
      <c r="AK172" s="79">
        <v>0</v>
      </c>
      <c r="BB172" s="22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4301031199</v>
      </c>
      <c r="D173" s="564">
        <v>4680115880986</v>
      </c>
      <c r="E173" s="56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73</v>
      </c>
      <c r="L173" s="35" t="s">
        <v>296</v>
      </c>
      <c r="M173" s="36" t="s">
        <v>68</v>
      </c>
      <c r="N173" s="36"/>
      <c r="O173" s="35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7"/>
      <c r="V173" s="37"/>
      <c r="W173" s="38" t="s">
        <v>69</v>
      </c>
      <c r="X173" s="56">
        <v>0</v>
      </c>
      <c r="Y173" s="53">
        <f t="shared" si="10"/>
        <v>0</v>
      </c>
      <c r="Z173" s="39" t="str">
        <f>IFERROR(IF(Y173=0,"",ROUNDUP(Y173/H173,0)*0.00502),"")</f>
        <v/>
      </c>
      <c r="AA173" s="65"/>
      <c r="AB173" s="66"/>
      <c r="AC173" s="227" t="s">
        <v>284</v>
      </c>
      <c r="AG173" s="75"/>
      <c r="AJ173" s="79" t="s">
        <v>92</v>
      </c>
      <c r="AK173" s="79">
        <v>37.799999999999997</v>
      </c>
      <c r="BB173" s="22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297</v>
      </c>
      <c r="B174" s="60" t="s">
        <v>298</v>
      </c>
      <c r="C174" s="34">
        <v>4301031443</v>
      </c>
      <c r="D174" s="564">
        <v>4680115887213</v>
      </c>
      <c r="E174" s="565"/>
      <c r="F174" s="59">
        <v>0.3</v>
      </c>
      <c r="G174" s="35">
        <v>6</v>
      </c>
      <c r="H174" s="59">
        <v>1.8</v>
      </c>
      <c r="I174" s="59">
        <v>1.9</v>
      </c>
      <c r="J174" s="35">
        <v>234</v>
      </c>
      <c r="K174" s="35" t="s">
        <v>73</v>
      </c>
      <c r="L174" s="35"/>
      <c r="M174" s="36" t="s">
        <v>68</v>
      </c>
      <c r="N174" s="36"/>
      <c r="O174" s="35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7"/>
      <c r="V174" s="37"/>
      <c r="W174" s="38" t="s">
        <v>69</v>
      </c>
      <c r="X174" s="56">
        <v>0</v>
      </c>
      <c r="Y174" s="53">
        <f t="shared" si="10"/>
        <v>0</v>
      </c>
      <c r="Z174" s="39" t="str">
        <f>IFERROR(IF(Y174=0,"",ROUNDUP(Y174/H174,0)*0.00502),"")</f>
        <v/>
      </c>
      <c r="AA174" s="65"/>
      <c r="AB174" s="66"/>
      <c r="AC174" s="229" t="s">
        <v>299</v>
      </c>
      <c r="AG174" s="75"/>
      <c r="AJ174" s="79"/>
      <c r="AK174" s="79">
        <v>0</v>
      </c>
      <c r="BB174" s="23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300</v>
      </c>
      <c r="B175" s="60" t="s">
        <v>301</v>
      </c>
      <c r="C175" s="34">
        <v>4301031205</v>
      </c>
      <c r="D175" s="564">
        <v>4680115881785</v>
      </c>
      <c r="E175" s="565"/>
      <c r="F175" s="59">
        <v>0.35</v>
      </c>
      <c r="G175" s="35">
        <v>6</v>
      </c>
      <c r="H175" s="59">
        <v>2.1</v>
      </c>
      <c r="I175" s="59">
        <v>2.23</v>
      </c>
      <c r="J175" s="35">
        <v>234</v>
      </c>
      <c r="K175" s="35" t="s">
        <v>73</v>
      </c>
      <c r="L175" s="35" t="s">
        <v>296</v>
      </c>
      <c r="M175" s="36" t="s">
        <v>68</v>
      </c>
      <c r="N175" s="36"/>
      <c r="O175" s="35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7"/>
      <c r="V175" s="37"/>
      <c r="W175" s="38" t="s">
        <v>69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31" t="s">
        <v>287</v>
      </c>
      <c r="AG175" s="75"/>
      <c r="AJ175" s="79" t="s">
        <v>92</v>
      </c>
      <c r="AK175" s="79">
        <v>37.799999999999997</v>
      </c>
      <c r="BB175" s="23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302</v>
      </c>
      <c r="B176" s="60" t="s">
        <v>303</v>
      </c>
      <c r="C176" s="34">
        <v>4301031399</v>
      </c>
      <c r="D176" s="564">
        <v>4680115886537</v>
      </c>
      <c r="E176" s="565"/>
      <c r="F176" s="59">
        <v>0.3</v>
      </c>
      <c r="G176" s="35">
        <v>6</v>
      </c>
      <c r="H176" s="59">
        <v>1.8</v>
      </c>
      <c r="I176" s="59">
        <v>1.93</v>
      </c>
      <c r="J176" s="35">
        <v>234</v>
      </c>
      <c r="K176" s="35" t="s">
        <v>73</v>
      </c>
      <c r="L176" s="35"/>
      <c r="M176" s="36" t="s">
        <v>68</v>
      </c>
      <c r="N176" s="36"/>
      <c r="O176" s="35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7"/>
      <c r="V176" s="37"/>
      <c r="W176" s="38" t="s">
        <v>69</v>
      </c>
      <c r="X176" s="56">
        <v>0</v>
      </c>
      <c r="Y176" s="53">
        <f t="shared" si="10"/>
        <v>0</v>
      </c>
      <c r="Z176" s="39" t="str">
        <f>IFERROR(IF(Y176=0,"",ROUNDUP(Y176/H176,0)*0.00502),"")</f>
        <v/>
      </c>
      <c r="AA176" s="65"/>
      <c r="AB176" s="66"/>
      <c r="AC176" s="233" t="s">
        <v>304</v>
      </c>
      <c r="AG176" s="75"/>
      <c r="AJ176" s="79"/>
      <c r="AK176" s="79">
        <v>0</v>
      </c>
      <c r="BB176" s="23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305</v>
      </c>
      <c r="B177" s="60" t="s">
        <v>306</v>
      </c>
      <c r="C177" s="34">
        <v>4301031279</v>
      </c>
      <c r="D177" s="564">
        <v>4680115887596</v>
      </c>
      <c r="E177" s="565"/>
      <c r="F177" s="59">
        <v>0.08</v>
      </c>
      <c r="G177" s="35">
        <v>10</v>
      </c>
      <c r="H177" s="59">
        <v>0.8</v>
      </c>
      <c r="I177" s="59">
        <v>1.01</v>
      </c>
      <c r="J177" s="35">
        <v>336</v>
      </c>
      <c r="K177" s="35" t="s">
        <v>176</v>
      </c>
      <c r="L177" s="35"/>
      <c r="M177" s="36" t="s">
        <v>68</v>
      </c>
      <c r="N177" s="36"/>
      <c r="O177" s="35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7"/>
      <c r="V177" s="37"/>
      <c r="W177" s="38" t="s">
        <v>69</v>
      </c>
      <c r="X177" s="56">
        <v>0</v>
      </c>
      <c r="Y177" s="53">
        <f t="shared" si="10"/>
        <v>0</v>
      </c>
      <c r="Z177" s="39" t="str">
        <f>IFERROR(IF(Y177=0,"",ROUNDUP(Y177/H177,0)*0.00417),"")</f>
        <v/>
      </c>
      <c r="AA177" s="65"/>
      <c r="AB177" s="66"/>
      <c r="AC177" s="235" t="s">
        <v>307</v>
      </c>
      <c r="AG177" s="75"/>
      <c r="AJ177" s="79"/>
      <c r="AK177" s="79">
        <v>0</v>
      </c>
      <c r="BB177" s="23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t="37.5" hidden="1" customHeight="1" x14ac:dyDescent="0.25">
      <c r="A178" s="60" t="s">
        <v>308</v>
      </c>
      <c r="B178" s="60" t="s">
        <v>309</v>
      </c>
      <c r="C178" s="34">
        <v>4301031202</v>
      </c>
      <c r="D178" s="564">
        <v>4680115881679</v>
      </c>
      <c r="E178" s="565"/>
      <c r="F178" s="59">
        <v>0.35</v>
      </c>
      <c r="G178" s="35">
        <v>6</v>
      </c>
      <c r="H178" s="59">
        <v>2.1</v>
      </c>
      <c r="I178" s="59">
        <v>2.2000000000000002</v>
      </c>
      <c r="J178" s="35">
        <v>234</v>
      </c>
      <c r="K178" s="35" t="s">
        <v>73</v>
      </c>
      <c r="L178" s="35" t="s">
        <v>296</v>
      </c>
      <c r="M178" s="36" t="s">
        <v>68</v>
      </c>
      <c r="N178" s="36"/>
      <c r="O178" s="35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7"/>
      <c r="V178" s="37"/>
      <c r="W178" s="38" t="s">
        <v>69</v>
      </c>
      <c r="X178" s="56">
        <v>0</v>
      </c>
      <c r="Y178" s="53">
        <f t="shared" si="10"/>
        <v>0</v>
      </c>
      <c r="Z178" s="39" t="str">
        <f>IFERROR(IF(Y178=0,"",ROUNDUP(Y178/H178,0)*0.00502),"")</f>
        <v/>
      </c>
      <c r="AA178" s="65"/>
      <c r="AB178" s="66"/>
      <c r="AC178" s="237" t="s">
        <v>290</v>
      </c>
      <c r="AG178" s="75"/>
      <c r="AJ178" s="79" t="s">
        <v>92</v>
      </c>
      <c r="AK178" s="79">
        <v>37.799999999999997</v>
      </c>
      <c r="BB178" s="238" t="s">
        <v>1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310</v>
      </c>
      <c r="B179" s="60" t="s">
        <v>311</v>
      </c>
      <c r="C179" s="34">
        <v>4301031158</v>
      </c>
      <c r="D179" s="564">
        <v>4680115880191</v>
      </c>
      <c r="E179" s="565"/>
      <c r="F179" s="59">
        <v>0.4</v>
      </c>
      <c r="G179" s="35">
        <v>6</v>
      </c>
      <c r="H179" s="59">
        <v>2.4</v>
      </c>
      <c r="I179" s="59">
        <v>2.58</v>
      </c>
      <c r="J179" s="35">
        <v>182</v>
      </c>
      <c r="K179" s="35" t="s">
        <v>67</v>
      </c>
      <c r="L179" s="35"/>
      <c r="M179" s="36" t="s">
        <v>68</v>
      </c>
      <c r="N179" s="36"/>
      <c r="O179" s="35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7"/>
      <c r="V179" s="37"/>
      <c r="W179" s="38" t="s">
        <v>69</v>
      </c>
      <c r="X179" s="56">
        <v>0</v>
      </c>
      <c r="Y179" s="53">
        <f t="shared" si="10"/>
        <v>0</v>
      </c>
      <c r="Z179" s="39" t="str">
        <f>IFERROR(IF(Y179=0,"",ROUNDUP(Y179/H179,0)*0.00651),"")</f>
        <v/>
      </c>
      <c r="AA179" s="65"/>
      <c r="AB179" s="66"/>
      <c r="AC179" s="239" t="s">
        <v>290</v>
      </c>
      <c r="AG179" s="75"/>
      <c r="AJ179" s="79"/>
      <c r="AK179" s="79">
        <v>0</v>
      </c>
      <c r="BB179" s="240" t="s">
        <v>1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312</v>
      </c>
      <c r="B180" s="60" t="s">
        <v>313</v>
      </c>
      <c r="C180" s="34">
        <v>4301031245</v>
      </c>
      <c r="D180" s="564">
        <v>4680115883963</v>
      </c>
      <c r="E180" s="565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73</v>
      </c>
      <c r="L180" s="35"/>
      <c r="M180" s="36" t="s">
        <v>68</v>
      </c>
      <c r="N180" s="36"/>
      <c r="O180" s="35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7"/>
      <c r="V180" s="37"/>
      <c r="W180" s="38" t="s">
        <v>69</v>
      </c>
      <c r="X180" s="56">
        <v>0</v>
      </c>
      <c r="Y180" s="53">
        <f t="shared" si="10"/>
        <v>0</v>
      </c>
      <c r="Z180" s="39" t="str">
        <f>IFERROR(IF(Y180=0,"",ROUNDUP(Y180/H180,0)*0.00502),"")</f>
        <v/>
      </c>
      <c r="AA180" s="65"/>
      <c r="AB180" s="66"/>
      <c r="AC180" s="241" t="s">
        <v>314</v>
      </c>
      <c r="AG180" s="75"/>
      <c r="AJ180" s="79"/>
      <c r="AK180" s="79">
        <v>0</v>
      </c>
      <c r="BB180" s="242" t="s">
        <v>1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40" t="s">
        <v>76</v>
      </c>
      <c r="X181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64"/>
      <c r="AB181" s="64"/>
      <c r="AC181" s="64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40" t="s">
        <v>69</v>
      </c>
      <c r="X182" s="41">
        <f>IFERROR(SUM(X167:X180),"0")</f>
        <v>50</v>
      </c>
      <c r="Y182" s="41">
        <f>IFERROR(SUM(Y167:Y180),"0")</f>
        <v>50.400000000000006</v>
      </c>
      <c r="Z182" s="40"/>
      <c r="AA182" s="64"/>
      <c r="AB182" s="64"/>
      <c r="AC182" s="64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63"/>
      <c r="AB183" s="63"/>
      <c r="AC183" s="63"/>
    </row>
    <row r="184" spans="1:68" ht="27" hidden="1" customHeight="1" x14ac:dyDescent="0.25">
      <c r="A184" s="60" t="s">
        <v>315</v>
      </c>
      <c r="B184" s="60" t="s">
        <v>316</v>
      </c>
      <c r="C184" s="34">
        <v>4301032053</v>
      </c>
      <c r="D184" s="564">
        <v>4680115886780</v>
      </c>
      <c r="E184" s="565"/>
      <c r="F184" s="59">
        <v>7.0000000000000007E-2</v>
      </c>
      <c r="G184" s="35">
        <v>18</v>
      </c>
      <c r="H184" s="59">
        <v>1.26</v>
      </c>
      <c r="I184" s="59">
        <v>1.45</v>
      </c>
      <c r="J184" s="35">
        <v>216</v>
      </c>
      <c r="K184" s="35" t="s">
        <v>317</v>
      </c>
      <c r="L184" s="35"/>
      <c r="M184" s="36" t="s">
        <v>275</v>
      </c>
      <c r="N184" s="36"/>
      <c r="O184" s="35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7"/>
      <c r="V184" s="37"/>
      <c r="W184" s="38" t="s">
        <v>69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IFERROR(IF(Y184=0,"",ROUNDUP(Y184/H184,0)*0.0059),"")</f>
        <v/>
      </c>
      <c r="AA184" s="65"/>
      <c r="AB184" s="66"/>
      <c r="AC184" s="243" t="s">
        <v>318</v>
      </c>
      <c r="AG184" s="75"/>
      <c r="AJ184" s="79"/>
      <c r="AK184" s="79">
        <v>0</v>
      </c>
      <c r="BB184" s="244" t="s">
        <v>1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27" hidden="1" customHeight="1" x14ac:dyDescent="0.25">
      <c r="A185" s="60" t="s">
        <v>319</v>
      </c>
      <c r="B185" s="60" t="s">
        <v>320</v>
      </c>
      <c r="C185" s="34">
        <v>4301032051</v>
      </c>
      <c r="D185" s="564">
        <v>4680115886742</v>
      </c>
      <c r="E185" s="56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317</v>
      </c>
      <c r="L185" s="35"/>
      <c r="M185" s="36" t="s">
        <v>275</v>
      </c>
      <c r="N185" s="36"/>
      <c r="O185" s="35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7"/>
      <c r="V185" s="37"/>
      <c r="W185" s="38" t="s">
        <v>69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5" t="s">
        <v>321</v>
      </c>
      <c r="AG185" s="75"/>
      <c r="AJ185" s="79"/>
      <c r="AK185" s="79">
        <v>0</v>
      </c>
      <c r="BB185" s="246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322</v>
      </c>
      <c r="B186" s="60" t="s">
        <v>323</v>
      </c>
      <c r="C186" s="34">
        <v>4301032052</v>
      </c>
      <c r="D186" s="564">
        <v>4680115886766</v>
      </c>
      <c r="E186" s="56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317</v>
      </c>
      <c r="L186" s="35"/>
      <c r="M186" s="36" t="s">
        <v>275</v>
      </c>
      <c r="N186" s="36"/>
      <c r="O186" s="35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7"/>
      <c r="V186" s="37"/>
      <c r="W186" s="38" t="s">
        <v>69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47" t="s">
        <v>321</v>
      </c>
      <c r="AG186" s="75"/>
      <c r="AJ186" s="79"/>
      <c r="AK186" s="79">
        <v>0</v>
      </c>
      <c r="BB186" s="248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40" t="s">
        <v>76</v>
      </c>
      <c r="X187" s="41">
        <f>IFERROR(X184/H184,"0")+IFERROR(X185/H185,"0")+IFERROR(X186/H186,"0")</f>
        <v>0</v>
      </c>
      <c r="Y187" s="41">
        <f>IFERROR(Y184/H184,"0")+IFERROR(Y185/H185,"0")+IFERROR(Y186/H186,"0")</f>
        <v>0</v>
      </c>
      <c r="Z187" s="41">
        <f>IFERROR(IF(Z184="",0,Z184),"0")+IFERROR(IF(Z185="",0,Z185),"0")+IFERROR(IF(Z186="",0,Z186),"0")</f>
        <v>0</v>
      </c>
      <c r="AA187" s="64"/>
      <c r="AB187" s="64"/>
      <c r="AC187" s="64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40" t="s">
        <v>69</v>
      </c>
      <c r="X188" s="41">
        <f>IFERROR(SUM(X184:X186),"0")</f>
        <v>0</v>
      </c>
      <c r="Y188" s="41">
        <f>IFERROR(SUM(Y184:Y186),"0")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63"/>
      <c r="AB189" s="63"/>
      <c r="AC189" s="63"/>
    </row>
    <row r="190" spans="1:68" ht="27" hidden="1" customHeight="1" x14ac:dyDescent="0.25">
      <c r="A190" s="60" t="s">
        <v>325</v>
      </c>
      <c r="B190" s="60" t="s">
        <v>326</v>
      </c>
      <c r="C190" s="34">
        <v>4301170013</v>
      </c>
      <c r="D190" s="564">
        <v>4680115886797</v>
      </c>
      <c r="E190" s="565"/>
      <c r="F190" s="59">
        <v>7.0000000000000007E-2</v>
      </c>
      <c r="G190" s="35">
        <v>18</v>
      </c>
      <c r="H190" s="59">
        <v>1.26</v>
      </c>
      <c r="I190" s="59">
        <v>1.45</v>
      </c>
      <c r="J190" s="35">
        <v>216</v>
      </c>
      <c r="K190" s="35" t="s">
        <v>317</v>
      </c>
      <c r="L190" s="35"/>
      <c r="M190" s="36" t="s">
        <v>275</v>
      </c>
      <c r="N190" s="36"/>
      <c r="O190" s="35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7"/>
      <c r="V190" s="37"/>
      <c r="W190" s="38" t="s">
        <v>69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49" t="s">
        <v>321</v>
      </c>
      <c r="AG190" s="75"/>
      <c r="AJ190" s="79"/>
      <c r="AK190" s="79">
        <v>0</v>
      </c>
      <c r="BB190" s="250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40" t="s">
        <v>76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40" t="s">
        <v>69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62"/>
      <c r="AB193" s="62"/>
      <c r="AC193" s="62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63"/>
      <c r="AB194" s="63"/>
      <c r="AC194" s="63"/>
    </row>
    <row r="195" spans="1:68" ht="27" hidden="1" customHeight="1" x14ac:dyDescent="0.25">
      <c r="A195" s="60" t="s">
        <v>328</v>
      </c>
      <c r="B195" s="60" t="s">
        <v>329</v>
      </c>
      <c r="C195" s="34">
        <v>4301011450</v>
      </c>
      <c r="D195" s="564">
        <v>4680115881402</v>
      </c>
      <c r="E195" s="565"/>
      <c r="F195" s="59">
        <v>1.35</v>
      </c>
      <c r="G195" s="35">
        <v>8</v>
      </c>
      <c r="H195" s="59">
        <v>10.8</v>
      </c>
      <c r="I195" s="59">
        <v>11.21</v>
      </c>
      <c r="J195" s="35">
        <v>64</v>
      </c>
      <c r="K195" s="35" t="s">
        <v>106</v>
      </c>
      <c r="L195" s="35"/>
      <c r="M195" s="36" t="s">
        <v>108</v>
      </c>
      <c r="N195" s="36"/>
      <c r="O195" s="35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7"/>
      <c r="V195" s="37"/>
      <c r="W195" s="38" t="s">
        <v>69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IFERROR(IF(Y195=0,"",ROUNDUP(Y195/H195,0)*0.01898),"")</f>
        <v/>
      </c>
      <c r="AA195" s="65"/>
      <c r="AB195" s="66"/>
      <c r="AC195" s="251" t="s">
        <v>330</v>
      </c>
      <c r="AG195" s="75"/>
      <c r="AJ195" s="79"/>
      <c r="AK195" s="79">
        <v>0</v>
      </c>
      <c r="BB195" s="252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331</v>
      </c>
      <c r="B196" s="60" t="s">
        <v>332</v>
      </c>
      <c r="C196" s="34">
        <v>4301011768</v>
      </c>
      <c r="D196" s="564">
        <v>4680115881396</v>
      </c>
      <c r="E196" s="565"/>
      <c r="F196" s="59">
        <v>0.45</v>
      </c>
      <c r="G196" s="35">
        <v>6</v>
      </c>
      <c r="H196" s="59">
        <v>2.7</v>
      </c>
      <c r="I196" s="59">
        <v>2.88</v>
      </c>
      <c r="J196" s="35">
        <v>182</v>
      </c>
      <c r="K196" s="35" t="s">
        <v>67</v>
      </c>
      <c r="L196" s="35" t="s">
        <v>90</v>
      </c>
      <c r="M196" s="36" t="s">
        <v>108</v>
      </c>
      <c r="N196" s="36"/>
      <c r="O196" s="35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7"/>
      <c r="V196" s="37"/>
      <c r="W196" s="38" t="s">
        <v>69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/>
      <c r="AB196" s="66"/>
      <c r="AC196" s="253" t="s">
        <v>330</v>
      </c>
      <c r="AG196" s="75"/>
      <c r="AJ196" s="79" t="s">
        <v>92</v>
      </c>
      <c r="AK196" s="79">
        <v>37.799999999999997</v>
      </c>
      <c r="BB196" s="254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40" t="s">
        <v>76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40" t="s">
        <v>69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63"/>
      <c r="AB199" s="63"/>
      <c r="AC199" s="63"/>
    </row>
    <row r="200" spans="1:68" ht="16.5" hidden="1" customHeight="1" x14ac:dyDescent="0.25">
      <c r="A200" s="60" t="s">
        <v>333</v>
      </c>
      <c r="B200" s="60" t="s">
        <v>334</v>
      </c>
      <c r="C200" s="34">
        <v>4301020261</v>
      </c>
      <c r="D200" s="564">
        <v>4680115882935</v>
      </c>
      <c r="E200" s="565"/>
      <c r="F200" s="59">
        <v>1.35</v>
      </c>
      <c r="G200" s="35">
        <v>8</v>
      </c>
      <c r="H200" s="59">
        <v>10.8</v>
      </c>
      <c r="I200" s="59">
        <v>11.21</v>
      </c>
      <c r="J200" s="35">
        <v>64</v>
      </c>
      <c r="K200" s="35" t="s">
        <v>106</v>
      </c>
      <c r="L200" s="35"/>
      <c r="M200" s="36" t="s">
        <v>108</v>
      </c>
      <c r="N200" s="36"/>
      <c r="O200" s="35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7"/>
      <c r="V200" s="37"/>
      <c r="W200" s="38" t="s">
        <v>69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/>
      <c r="AB200" s="66"/>
      <c r="AC200" s="255" t="s">
        <v>335</v>
      </c>
      <c r="AG200" s="75"/>
      <c r="AJ200" s="79"/>
      <c r="AK200" s="79">
        <v>0</v>
      </c>
      <c r="BB200" s="256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16.5" hidden="1" customHeight="1" x14ac:dyDescent="0.25">
      <c r="A201" s="60" t="s">
        <v>336</v>
      </c>
      <c r="B201" s="60" t="s">
        <v>337</v>
      </c>
      <c r="C201" s="34">
        <v>4301020220</v>
      </c>
      <c r="D201" s="564">
        <v>4680115880764</v>
      </c>
      <c r="E201" s="565"/>
      <c r="F201" s="59">
        <v>0.35</v>
      </c>
      <c r="G201" s="35">
        <v>6</v>
      </c>
      <c r="H201" s="59">
        <v>2.1</v>
      </c>
      <c r="I201" s="59">
        <v>2.2799999999999998</v>
      </c>
      <c r="J201" s="35">
        <v>182</v>
      </c>
      <c r="K201" s="35" t="s">
        <v>67</v>
      </c>
      <c r="L201" s="35"/>
      <c r="M201" s="36" t="s">
        <v>108</v>
      </c>
      <c r="N201" s="36"/>
      <c r="O201" s="35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7"/>
      <c r="V201" s="37"/>
      <c r="W201" s="38" t="s">
        <v>69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/>
      <c r="AB201" s="66"/>
      <c r="AC201" s="257" t="s">
        <v>335</v>
      </c>
      <c r="AG201" s="75"/>
      <c r="AJ201" s="79"/>
      <c r="AK201" s="79">
        <v>0</v>
      </c>
      <c r="BB201" s="258" t="s">
        <v>1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40" t="s">
        <v>76</v>
      </c>
      <c r="X202" s="41">
        <f>IFERROR(X200/H200,"0")+IFERROR(X201/H201,"0")</f>
        <v>0</v>
      </c>
      <c r="Y202" s="41">
        <f>IFERROR(Y200/H200,"0")+IFERROR(Y201/H201,"0")</f>
        <v>0</v>
      </c>
      <c r="Z202" s="41">
        <f>IFERROR(IF(Z200="",0,Z200),"0")+IFERROR(IF(Z201="",0,Z201),"0")</f>
        <v>0</v>
      </c>
      <c r="AA202" s="64"/>
      <c r="AB202" s="64"/>
      <c r="AC202" s="64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40" t="s">
        <v>69</v>
      </c>
      <c r="X203" s="41">
        <f>IFERROR(SUM(X200:X201),"0")</f>
        <v>0</v>
      </c>
      <c r="Y203" s="41">
        <f>IFERROR(SUM(Y200:Y201),"0")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63"/>
      <c r="AB204" s="63"/>
      <c r="AC204" s="63"/>
    </row>
    <row r="205" spans="1:68" ht="27" customHeight="1" x14ac:dyDescent="0.25">
      <c r="A205" s="60" t="s">
        <v>338</v>
      </c>
      <c r="B205" s="60" t="s">
        <v>339</v>
      </c>
      <c r="C205" s="34">
        <v>4301031224</v>
      </c>
      <c r="D205" s="564">
        <v>4680115882683</v>
      </c>
      <c r="E205" s="565"/>
      <c r="F205" s="59">
        <v>0.9</v>
      </c>
      <c r="G205" s="35">
        <v>6</v>
      </c>
      <c r="H205" s="59">
        <v>5.4</v>
      </c>
      <c r="I205" s="59">
        <v>5.59</v>
      </c>
      <c r="J205" s="35">
        <v>132</v>
      </c>
      <c r="K205" s="35" t="s">
        <v>112</v>
      </c>
      <c r="L205" s="35" t="s">
        <v>115</v>
      </c>
      <c r="M205" s="36" t="s">
        <v>68</v>
      </c>
      <c r="N205" s="36"/>
      <c r="O205" s="35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7"/>
      <c r="V205" s="37"/>
      <c r="W205" s="38" t="s">
        <v>69</v>
      </c>
      <c r="X205" s="56">
        <v>80</v>
      </c>
      <c r="Y205" s="53">
        <f t="shared" ref="Y205:Y212" si="15">IFERROR(IF(X205="",0,CEILING((X205/$H205),1)*$H205),"")</f>
        <v>81</v>
      </c>
      <c r="Z205" s="39">
        <f>IFERROR(IF(Y205=0,"",ROUNDUP(Y205/H205,0)*0.00902),"")</f>
        <v>0.1353</v>
      </c>
      <c r="AA205" s="65"/>
      <c r="AB205" s="66"/>
      <c r="AC205" s="259" t="s">
        <v>340</v>
      </c>
      <c r="AG205" s="75"/>
      <c r="AJ205" s="79" t="s">
        <v>92</v>
      </c>
      <c r="AK205" s="79">
        <v>64.8</v>
      </c>
      <c r="BB205" s="260" t="s">
        <v>1</v>
      </c>
      <c r="BM205" s="75">
        <f t="shared" ref="BM205:BM212" si="16">IFERROR(X205*I205/H205,"0")</f>
        <v>82.81481481481481</v>
      </c>
      <c r="BN205" s="75">
        <f t="shared" ref="BN205:BN212" si="17">IFERROR(Y205*I205/H205,"0")</f>
        <v>83.85</v>
      </c>
      <c r="BO205" s="75">
        <f t="shared" ref="BO205:BO212" si="18">IFERROR(1/J205*(X205/H205),"0")</f>
        <v>0.11223344556677889</v>
      </c>
      <c r="BP205" s="75">
        <f t="shared" ref="BP205:BP212" si="19">IFERROR(1/J205*(Y205/H205),"0")</f>
        <v>0.11363636363636363</v>
      </c>
    </row>
    <row r="206" spans="1:68" ht="27" customHeight="1" x14ac:dyDescent="0.25">
      <c r="A206" s="60" t="s">
        <v>341</v>
      </c>
      <c r="B206" s="60" t="s">
        <v>342</v>
      </c>
      <c r="C206" s="34">
        <v>4301031230</v>
      </c>
      <c r="D206" s="564">
        <v>4680115882690</v>
      </c>
      <c r="E206" s="56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112</v>
      </c>
      <c r="L206" s="35" t="s">
        <v>115</v>
      </c>
      <c r="M206" s="36" t="s">
        <v>68</v>
      </c>
      <c r="N206" s="36"/>
      <c r="O206" s="35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7"/>
      <c r="V206" s="37"/>
      <c r="W206" s="38" t="s">
        <v>69</v>
      </c>
      <c r="X206" s="56">
        <v>100</v>
      </c>
      <c r="Y206" s="53">
        <f t="shared" si="15"/>
        <v>102.60000000000001</v>
      </c>
      <c r="Z206" s="39">
        <f>IFERROR(IF(Y206=0,"",ROUNDUP(Y206/H206,0)*0.00902),"")</f>
        <v>0.17138</v>
      </c>
      <c r="AA206" s="65"/>
      <c r="AB206" s="66"/>
      <c r="AC206" s="261" t="s">
        <v>343</v>
      </c>
      <c r="AG206" s="75"/>
      <c r="AJ206" s="79" t="s">
        <v>92</v>
      </c>
      <c r="AK206" s="79">
        <v>64.8</v>
      </c>
      <c r="BB206" s="262" t="s">
        <v>1</v>
      </c>
      <c r="BM206" s="75">
        <f t="shared" si="16"/>
        <v>103.5185185185185</v>
      </c>
      <c r="BN206" s="75">
        <f t="shared" si="17"/>
        <v>106.21</v>
      </c>
      <c r="BO206" s="75">
        <f t="shared" si="18"/>
        <v>0.14029180695847362</v>
      </c>
      <c r="BP206" s="75">
        <f t="shared" si="19"/>
        <v>0.14393939393939395</v>
      </c>
    </row>
    <row r="207" spans="1:68" ht="27" hidden="1" customHeight="1" x14ac:dyDescent="0.25">
      <c r="A207" s="60" t="s">
        <v>344</v>
      </c>
      <c r="B207" s="60" t="s">
        <v>345</v>
      </c>
      <c r="C207" s="34">
        <v>4301031220</v>
      </c>
      <c r="D207" s="564">
        <v>4680115882669</v>
      </c>
      <c r="E207" s="56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112</v>
      </c>
      <c r="L207" s="35" t="s">
        <v>115</v>
      </c>
      <c r="M207" s="36" t="s">
        <v>68</v>
      </c>
      <c r="N207" s="36"/>
      <c r="O207" s="35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7"/>
      <c r="V207" s="37"/>
      <c r="W207" s="38" t="s">
        <v>69</v>
      </c>
      <c r="X207" s="56">
        <v>0</v>
      </c>
      <c r="Y207" s="53">
        <f t="shared" si="15"/>
        <v>0</v>
      </c>
      <c r="Z207" s="39" t="str">
        <f>IFERROR(IF(Y207=0,"",ROUNDUP(Y207/H207,0)*0.00902),"")</f>
        <v/>
      </c>
      <c r="AA207" s="65"/>
      <c r="AB207" s="66"/>
      <c r="AC207" s="263" t="s">
        <v>346</v>
      </c>
      <c r="AG207" s="75"/>
      <c r="AJ207" s="79" t="s">
        <v>92</v>
      </c>
      <c r="AK207" s="79">
        <v>64.8</v>
      </c>
      <c r="BB207" s="264" t="s">
        <v>1</v>
      </c>
      <c r="BM207" s="75">
        <f t="shared" si="16"/>
        <v>0</v>
      </c>
      <c r="BN207" s="75">
        <f t="shared" si="17"/>
        <v>0</v>
      </c>
      <c r="BO207" s="75">
        <f t="shared" si="18"/>
        <v>0</v>
      </c>
      <c r="BP207" s="75">
        <f t="shared" si="19"/>
        <v>0</v>
      </c>
    </row>
    <row r="208" spans="1:68" ht="27" customHeight="1" x14ac:dyDescent="0.25">
      <c r="A208" s="60" t="s">
        <v>347</v>
      </c>
      <c r="B208" s="60" t="s">
        <v>348</v>
      </c>
      <c r="C208" s="34">
        <v>4301031221</v>
      </c>
      <c r="D208" s="564">
        <v>4680115882676</v>
      </c>
      <c r="E208" s="56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112</v>
      </c>
      <c r="L208" s="35" t="s">
        <v>115</v>
      </c>
      <c r="M208" s="36" t="s">
        <v>68</v>
      </c>
      <c r="N208" s="36"/>
      <c r="O208" s="35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7"/>
      <c r="V208" s="37"/>
      <c r="W208" s="38" t="s">
        <v>69</v>
      </c>
      <c r="X208" s="56">
        <v>150</v>
      </c>
      <c r="Y208" s="53">
        <f t="shared" si="15"/>
        <v>151.20000000000002</v>
      </c>
      <c r="Z208" s="39">
        <f>IFERROR(IF(Y208=0,"",ROUNDUP(Y208/H208,0)*0.00902),"")</f>
        <v>0.25256000000000001</v>
      </c>
      <c r="AA208" s="65"/>
      <c r="AB208" s="66"/>
      <c r="AC208" s="265" t="s">
        <v>349</v>
      </c>
      <c r="AG208" s="75"/>
      <c r="AJ208" s="79" t="s">
        <v>92</v>
      </c>
      <c r="AK208" s="79">
        <v>64.8</v>
      </c>
      <c r="BB208" s="266" t="s">
        <v>1</v>
      </c>
      <c r="BM208" s="75">
        <f t="shared" si="16"/>
        <v>155.27777777777777</v>
      </c>
      <c r="BN208" s="75">
        <f t="shared" si="17"/>
        <v>156.52000000000001</v>
      </c>
      <c r="BO208" s="75">
        <f t="shared" si="18"/>
        <v>0.21043771043771042</v>
      </c>
      <c r="BP208" s="75">
        <f t="shared" si="19"/>
        <v>0.21212121212121213</v>
      </c>
    </row>
    <row r="209" spans="1:68" ht="27" hidden="1" customHeight="1" x14ac:dyDescent="0.25">
      <c r="A209" s="60" t="s">
        <v>350</v>
      </c>
      <c r="B209" s="60" t="s">
        <v>351</v>
      </c>
      <c r="C209" s="34">
        <v>4301031223</v>
      </c>
      <c r="D209" s="564">
        <v>4680115884014</v>
      </c>
      <c r="E209" s="565"/>
      <c r="F209" s="59">
        <v>0.3</v>
      </c>
      <c r="G209" s="35">
        <v>6</v>
      </c>
      <c r="H209" s="59">
        <v>1.8</v>
      </c>
      <c r="I209" s="59">
        <v>1.93</v>
      </c>
      <c r="J209" s="35">
        <v>234</v>
      </c>
      <c r="K209" s="35" t="s">
        <v>73</v>
      </c>
      <c r="L209" s="35" t="s">
        <v>296</v>
      </c>
      <c r="M209" s="36" t="s">
        <v>68</v>
      </c>
      <c r="N209" s="36"/>
      <c r="O209" s="35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7"/>
      <c r="V209" s="37"/>
      <c r="W209" s="38" t="s">
        <v>69</v>
      </c>
      <c r="X209" s="56">
        <v>0</v>
      </c>
      <c r="Y209" s="53">
        <f t="shared" si="15"/>
        <v>0</v>
      </c>
      <c r="Z209" s="39" t="str">
        <f>IFERROR(IF(Y209=0,"",ROUNDUP(Y209/H209,0)*0.00502),"")</f>
        <v/>
      </c>
      <c r="AA209" s="65"/>
      <c r="AB209" s="66"/>
      <c r="AC209" s="267" t="s">
        <v>340</v>
      </c>
      <c r="AG209" s="75"/>
      <c r="AJ209" s="79" t="s">
        <v>92</v>
      </c>
      <c r="AK209" s="79">
        <v>32.4</v>
      </c>
      <c r="BB209" s="268" t="s">
        <v>1</v>
      </c>
      <c r="BM209" s="75">
        <f t="shared" si="16"/>
        <v>0</v>
      </c>
      <c r="BN209" s="75">
        <f t="shared" si="17"/>
        <v>0</v>
      </c>
      <c r="BO209" s="75">
        <f t="shared" si="18"/>
        <v>0</v>
      </c>
      <c r="BP209" s="75">
        <f t="shared" si="19"/>
        <v>0</v>
      </c>
    </row>
    <row r="210" spans="1:68" ht="27" hidden="1" customHeight="1" x14ac:dyDescent="0.25">
      <c r="A210" s="60" t="s">
        <v>352</v>
      </c>
      <c r="B210" s="60" t="s">
        <v>353</v>
      </c>
      <c r="C210" s="34">
        <v>4301031222</v>
      </c>
      <c r="D210" s="564">
        <v>4680115884007</v>
      </c>
      <c r="E210" s="565"/>
      <c r="F210" s="59">
        <v>0.3</v>
      </c>
      <c r="G210" s="35">
        <v>6</v>
      </c>
      <c r="H210" s="59">
        <v>1.8</v>
      </c>
      <c r="I210" s="59">
        <v>1.9</v>
      </c>
      <c r="J210" s="35">
        <v>234</v>
      </c>
      <c r="K210" s="35" t="s">
        <v>73</v>
      </c>
      <c r="L210" s="35" t="s">
        <v>296</v>
      </c>
      <c r="M210" s="36" t="s">
        <v>68</v>
      </c>
      <c r="N210" s="36"/>
      <c r="O210" s="35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7"/>
      <c r="V210" s="37"/>
      <c r="W210" s="38" t="s">
        <v>69</v>
      </c>
      <c r="X210" s="56">
        <v>0</v>
      </c>
      <c r="Y210" s="53">
        <f t="shared" si="15"/>
        <v>0</v>
      </c>
      <c r="Z210" s="39" t="str">
        <f>IFERROR(IF(Y210=0,"",ROUNDUP(Y210/H210,0)*0.00502),"")</f>
        <v/>
      </c>
      <c r="AA210" s="65"/>
      <c r="AB210" s="66"/>
      <c r="AC210" s="269" t="s">
        <v>343</v>
      </c>
      <c r="AG210" s="75"/>
      <c r="AJ210" s="79" t="s">
        <v>92</v>
      </c>
      <c r="AK210" s="79">
        <v>32.4</v>
      </c>
      <c r="BB210" s="270" t="s">
        <v>1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hidden="1" customHeight="1" x14ac:dyDescent="0.25">
      <c r="A211" s="60" t="s">
        <v>354</v>
      </c>
      <c r="B211" s="60" t="s">
        <v>355</v>
      </c>
      <c r="C211" s="34">
        <v>4301031229</v>
      </c>
      <c r="D211" s="564">
        <v>4680115884038</v>
      </c>
      <c r="E211" s="56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73</v>
      </c>
      <c r="L211" s="35"/>
      <c r="M211" s="36" t="s">
        <v>68</v>
      </c>
      <c r="N211" s="36"/>
      <c r="O211" s="35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7"/>
      <c r="V211" s="37"/>
      <c r="W211" s="38" t="s">
        <v>69</v>
      </c>
      <c r="X211" s="56">
        <v>0</v>
      </c>
      <c r="Y211" s="53">
        <f t="shared" si="15"/>
        <v>0</v>
      </c>
      <c r="Z211" s="39" t="str">
        <f>IFERROR(IF(Y211=0,"",ROUNDUP(Y211/H211,0)*0.00502),"")</f>
        <v/>
      </c>
      <c r="AA211" s="65"/>
      <c r="AB211" s="66"/>
      <c r="AC211" s="271" t="s">
        <v>346</v>
      </c>
      <c r="AG211" s="75"/>
      <c r="AJ211" s="79"/>
      <c r="AK211" s="79">
        <v>0</v>
      </c>
      <c r="BB211" s="272" t="s">
        <v>1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hidden="1" customHeight="1" x14ac:dyDescent="0.25">
      <c r="A212" s="60" t="s">
        <v>356</v>
      </c>
      <c r="B212" s="60" t="s">
        <v>357</v>
      </c>
      <c r="C212" s="34">
        <v>4301031225</v>
      </c>
      <c r="D212" s="564">
        <v>4680115884021</v>
      </c>
      <c r="E212" s="56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73</v>
      </c>
      <c r="L212" s="35" t="s">
        <v>296</v>
      </c>
      <c r="M212" s="36" t="s">
        <v>68</v>
      </c>
      <c r="N212" s="36"/>
      <c r="O212" s="35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7"/>
      <c r="V212" s="37"/>
      <c r="W212" s="38" t="s">
        <v>69</v>
      </c>
      <c r="X212" s="56">
        <v>0</v>
      </c>
      <c r="Y212" s="53">
        <f t="shared" si="15"/>
        <v>0</v>
      </c>
      <c r="Z212" s="39" t="str">
        <f>IFERROR(IF(Y212=0,"",ROUNDUP(Y212/H212,0)*0.00502),"")</f>
        <v/>
      </c>
      <c r="AA212" s="65"/>
      <c r="AB212" s="66"/>
      <c r="AC212" s="273" t="s">
        <v>349</v>
      </c>
      <c r="AG212" s="75"/>
      <c r="AJ212" s="79" t="s">
        <v>92</v>
      </c>
      <c r="AK212" s="79">
        <v>32.4</v>
      </c>
      <c r="BB212" s="274" t="s">
        <v>1</v>
      </c>
      <c r="BM212" s="75">
        <f t="shared" si="16"/>
        <v>0</v>
      </c>
      <c r="BN212" s="75">
        <f t="shared" si="17"/>
        <v>0</v>
      </c>
      <c r="BO212" s="75">
        <f t="shared" si="18"/>
        <v>0</v>
      </c>
      <c r="BP212" s="75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40" t="s">
        <v>76</v>
      </c>
      <c r="X213" s="41">
        <f>IFERROR(X205/H205,"0")+IFERROR(X206/H206,"0")+IFERROR(X207/H207,"0")+IFERROR(X208/H208,"0")+IFERROR(X209/H209,"0")+IFERROR(X210/H210,"0")+IFERROR(X211/H211,"0")+IFERROR(X212/H212,"0")</f>
        <v>61.1111111111111</v>
      </c>
      <c r="Y213" s="41">
        <f>IFERROR(Y205/H205,"0")+IFERROR(Y206/H206,"0")+IFERROR(Y207/H207,"0")+IFERROR(Y208/H208,"0")+IFERROR(Y209/H209,"0")+IFERROR(Y210/H210,"0")+IFERROR(Y211/H211,"0")+IFERROR(Y212/H212,"0")</f>
        <v>62</v>
      </c>
      <c r="Z213" s="41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0.55923999999999996</v>
      </c>
      <c r="AA213" s="64"/>
      <c r="AB213" s="64"/>
      <c r="AC213" s="64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40" t="s">
        <v>69</v>
      </c>
      <c r="X214" s="41">
        <f>IFERROR(SUM(X205:X212),"0")</f>
        <v>330</v>
      </c>
      <c r="Y214" s="41">
        <f>IFERROR(SUM(Y205:Y212),"0")</f>
        <v>334.80000000000007</v>
      </c>
      <c r="Z214" s="40"/>
      <c r="AA214" s="64"/>
      <c r="AB214" s="64"/>
      <c r="AC214" s="64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63"/>
      <c r="AB215" s="63"/>
      <c r="AC215" s="63"/>
    </row>
    <row r="216" spans="1:68" ht="27" hidden="1" customHeight="1" x14ac:dyDescent="0.25">
      <c r="A216" s="60" t="s">
        <v>358</v>
      </c>
      <c r="B216" s="60" t="s">
        <v>359</v>
      </c>
      <c r="C216" s="34">
        <v>4301051408</v>
      </c>
      <c r="D216" s="564">
        <v>4680115881594</v>
      </c>
      <c r="E216" s="565"/>
      <c r="F216" s="59">
        <v>1.35</v>
      </c>
      <c r="G216" s="35">
        <v>6</v>
      </c>
      <c r="H216" s="59">
        <v>8.1</v>
      </c>
      <c r="I216" s="59">
        <v>8.5939999999999994</v>
      </c>
      <c r="J216" s="35">
        <v>64</v>
      </c>
      <c r="K216" s="35" t="s">
        <v>106</v>
      </c>
      <c r="L216" s="35"/>
      <c r="M216" s="36" t="s">
        <v>80</v>
      </c>
      <c r="N216" s="36"/>
      <c r="O216" s="35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7"/>
      <c r="V216" s="37"/>
      <c r="W216" s="38" t="s">
        <v>69</v>
      </c>
      <c r="X216" s="56">
        <v>0</v>
      </c>
      <c r="Y216" s="53">
        <f t="shared" ref="Y216:Y224" si="20">IFERROR(IF(X216="",0,CEILING((X216/$H216),1)*$H216),"")</f>
        <v>0</v>
      </c>
      <c r="Z216" s="39" t="str">
        <f>IFERROR(IF(Y216=0,"",ROUNDUP(Y216/H216,0)*0.01898),"")</f>
        <v/>
      </c>
      <c r="AA216" s="65"/>
      <c r="AB216" s="66"/>
      <c r="AC216" s="275" t="s">
        <v>360</v>
      </c>
      <c r="AG216" s="75"/>
      <c r="AJ216" s="79"/>
      <c r="AK216" s="79">
        <v>0</v>
      </c>
      <c r="BB216" s="276" t="s">
        <v>1</v>
      </c>
      <c r="BM216" s="75">
        <f t="shared" ref="BM216:BM224" si="21">IFERROR(X216*I216/H216,"0")</f>
        <v>0</v>
      </c>
      <c r="BN216" s="75">
        <f t="shared" ref="BN216:BN224" si="22">IFERROR(Y216*I216/H216,"0")</f>
        <v>0</v>
      </c>
      <c r="BO216" s="75">
        <f t="shared" ref="BO216:BO224" si="23">IFERROR(1/J216*(X216/H216),"0")</f>
        <v>0</v>
      </c>
      <c r="BP216" s="75">
        <f t="shared" ref="BP216:BP224" si="24">IFERROR(1/J216*(Y216/H216),"0")</f>
        <v>0</v>
      </c>
    </row>
    <row r="217" spans="1:68" ht="27" hidden="1" customHeight="1" x14ac:dyDescent="0.25">
      <c r="A217" s="60" t="s">
        <v>361</v>
      </c>
      <c r="B217" s="60" t="s">
        <v>362</v>
      </c>
      <c r="C217" s="34">
        <v>4301051411</v>
      </c>
      <c r="D217" s="564">
        <v>4680115881617</v>
      </c>
      <c r="E217" s="565"/>
      <c r="F217" s="59">
        <v>1.35</v>
      </c>
      <c r="G217" s="35">
        <v>6</v>
      </c>
      <c r="H217" s="59">
        <v>8.1</v>
      </c>
      <c r="I217" s="59">
        <v>8.5760000000000005</v>
      </c>
      <c r="J217" s="35">
        <v>64</v>
      </c>
      <c r="K217" s="35" t="s">
        <v>106</v>
      </c>
      <c r="L217" s="35"/>
      <c r="M217" s="36" t="s">
        <v>80</v>
      </c>
      <c r="N217" s="36"/>
      <c r="O217" s="35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7"/>
      <c r="V217" s="37"/>
      <c r="W217" s="38" t="s">
        <v>69</v>
      </c>
      <c r="X217" s="56">
        <v>0</v>
      </c>
      <c r="Y217" s="53">
        <f t="shared" si="20"/>
        <v>0</v>
      </c>
      <c r="Z217" s="39" t="str">
        <f>IFERROR(IF(Y217=0,"",ROUNDUP(Y217/H217,0)*0.01898),"")</f>
        <v/>
      </c>
      <c r="AA217" s="65"/>
      <c r="AB217" s="66"/>
      <c r="AC217" s="277" t="s">
        <v>363</v>
      </c>
      <c r="AG217" s="75"/>
      <c r="AJ217" s="79"/>
      <c r="AK217" s="79">
        <v>0</v>
      </c>
      <c r="BB217" s="278" t="s">
        <v>1</v>
      </c>
      <c r="BM217" s="75">
        <f t="shared" si="21"/>
        <v>0</v>
      </c>
      <c r="BN217" s="75">
        <f t="shared" si="22"/>
        <v>0</v>
      </c>
      <c r="BO217" s="75">
        <f t="shared" si="23"/>
        <v>0</v>
      </c>
      <c r="BP217" s="75">
        <f t="shared" si="24"/>
        <v>0</v>
      </c>
    </row>
    <row r="218" spans="1:68" ht="27" hidden="1" customHeight="1" x14ac:dyDescent="0.25">
      <c r="A218" s="60" t="s">
        <v>364</v>
      </c>
      <c r="B218" s="60" t="s">
        <v>365</v>
      </c>
      <c r="C218" s="34">
        <v>4301051656</v>
      </c>
      <c r="D218" s="564">
        <v>4680115880573</v>
      </c>
      <c r="E218" s="565"/>
      <c r="F218" s="59">
        <v>1.45</v>
      </c>
      <c r="G218" s="35">
        <v>6</v>
      </c>
      <c r="H218" s="59">
        <v>8.6999999999999993</v>
      </c>
      <c r="I218" s="59">
        <v>9.1940000000000008</v>
      </c>
      <c r="J218" s="35">
        <v>64</v>
      </c>
      <c r="K218" s="35" t="s">
        <v>106</v>
      </c>
      <c r="L218" s="35" t="s">
        <v>107</v>
      </c>
      <c r="M218" s="36" t="s">
        <v>80</v>
      </c>
      <c r="N218" s="36"/>
      <c r="O218" s="35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7"/>
      <c r="V218" s="37"/>
      <c r="W218" s="38" t="s">
        <v>69</v>
      </c>
      <c r="X218" s="56">
        <v>0</v>
      </c>
      <c r="Y218" s="53">
        <f t="shared" si="20"/>
        <v>0</v>
      </c>
      <c r="Z218" s="39" t="str">
        <f>IFERROR(IF(Y218=0,"",ROUNDUP(Y218/H218,0)*0.01898),"")</f>
        <v/>
      </c>
      <c r="AA218" s="65"/>
      <c r="AB218" s="66"/>
      <c r="AC218" s="279" t="s">
        <v>366</v>
      </c>
      <c r="AG218" s="75"/>
      <c r="AJ218" s="79" t="s">
        <v>92</v>
      </c>
      <c r="AK218" s="79">
        <v>69.599999999999994</v>
      </c>
      <c r="BB218" s="280" t="s">
        <v>1</v>
      </c>
      <c r="BM218" s="75">
        <f t="shared" si="21"/>
        <v>0</v>
      </c>
      <c r="BN218" s="75">
        <f t="shared" si="22"/>
        <v>0</v>
      </c>
      <c r="BO218" s="75">
        <f t="shared" si="23"/>
        <v>0</v>
      </c>
      <c r="BP218" s="75">
        <f t="shared" si="24"/>
        <v>0</v>
      </c>
    </row>
    <row r="219" spans="1:68" ht="37.5" hidden="1" customHeight="1" x14ac:dyDescent="0.25">
      <c r="A219" s="60" t="s">
        <v>367</v>
      </c>
      <c r="B219" s="60" t="s">
        <v>368</v>
      </c>
      <c r="C219" s="34">
        <v>4301051407</v>
      </c>
      <c r="D219" s="564">
        <v>4680115882195</v>
      </c>
      <c r="E219" s="565"/>
      <c r="F219" s="59">
        <v>0.4</v>
      </c>
      <c r="G219" s="35">
        <v>6</v>
      </c>
      <c r="H219" s="59">
        <v>2.4</v>
      </c>
      <c r="I219" s="59">
        <v>2.67</v>
      </c>
      <c r="J219" s="35">
        <v>182</v>
      </c>
      <c r="K219" s="35" t="s">
        <v>67</v>
      </c>
      <c r="L219" s="35" t="s">
        <v>90</v>
      </c>
      <c r="M219" s="36" t="s">
        <v>80</v>
      </c>
      <c r="N219" s="36"/>
      <c r="O219" s="35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7"/>
      <c r="V219" s="37"/>
      <c r="W219" s="38" t="s">
        <v>69</v>
      </c>
      <c r="X219" s="56">
        <v>0</v>
      </c>
      <c r="Y219" s="53">
        <f t="shared" si="20"/>
        <v>0</v>
      </c>
      <c r="Z219" s="39" t="str">
        <f t="shared" ref="Z219:Z224" si="25">IFERROR(IF(Y219=0,"",ROUNDUP(Y219/H219,0)*0.00651),"")</f>
        <v/>
      </c>
      <c r="AA219" s="65"/>
      <c r="AB219" s="66"/>
      <c r="AC219" s="281" t="s">
        <v>369</v>
      </c>
      <c r="AG219" s="75"/>
      <c r="AJ219" s="79" t="s">
        <v>92</v>
      </c>
      <c r="AK219" s="79">
        <v>33.6</v>
      </c>
      <c r="BB219" s="282" t="s">
        <v>1</v>
      </c>
      <c r="BM219" s="75">
        <f t="shared" si="21"/>
        <v>0</v>
      </c>
      <c r="BN219" s="75">
        <f t="shared" si="22"/>
        <v>0</v>
      </c>
      <c r="BO219" s="75">
        <f t="shared" si="23"/>
        <v>0</v>
      </c>
      <c r="BP219" s="75">
        <f t="shared" si="24"/>
        <v>0</v>
      </c>
    </row>
    <row r="220" spans="1:68" ht="27" hidden="1" customHeight="1" x14ac:dyDescent="0.25">
      <c r="A220" s="60" t="s">
        <v>370</v>
      </c>
      <c r="B220" s="60" t="s">
        <v>371</v>
      </c>
      <c r="C220" s="34">
        <v>4301051752</v>
      </c>
      <c r="D220" s="564">
        <v>4680115882607</v>
      </c>
      <c r="E220" s="565"/>
      <c r="F220" s="59">
        <v>0.3</v>
      </c>
      <c r="G220" s="35">
        <v>6</v>
      </c>
      <c r="H220" s="59">
        <v>1.8</v>
      </c>
      <c r="I220" s="59">
        <v>2.052</v>
      </c>
      <c r="J220" s="35">
        <v>182</v>
      </c>
      <c r="K220" s="35" t="s">
        <v>67</v>
      </c>
      <c r="L220" s="35" t="s">
        <v>90</v>
      </c>
      <c r="M220" s="36" t="s">
        <v>86</v>
      </c>
      <c r="N220" s="36"/>
      <c r="O220" s="35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7"/>
      <c r="V220" s="37"/>
      <c r="W220" s="38" t="s">
        <v>69</v>
      </c>
      <c r="X220" s="56">
        <v>0</v>
      </c>
      <c r="Y220" s="53">
        <f t="shared" si="20"/>
        <v>0</v>
      </c>
      <c r="Z220" s="39" t="str">
        <f t="shared" si="25"/>
        <v/>
      </c>
      <c r="AA220" s="65"/>
      <c r="AB220" s="66"/>
      <c r="AC220" s="283" t="s">
        <v>366</v>
      </c>
      <c r="AG220" s="75"/>
      <c r="AJ220" s="79" t="s">
        <v>92</v>
      </c>
      <c r="AK220" s="79">
        <v>25.2</v>
      </c>
      <c r="BB220" s="284" t="s">
        <v>1</v>
      </c>
      <c r="BM220" s="75">
        <f t="shared" si="21"/>
        <v>0</v>
      </c>
      <c r="BN220" s="75">
        <f t="shared" si="22"/>
        <v>0</v>
      </c>
      <c r="BO220" s="75">
        <f t="shared" si="23"/>
        <v>0</v>
      </c>
      <c r="BP220" s="75">
        <f t="shared" si="24"/>
        <v>0</v>
      </c>
    </row>
    <row r="221" spans="1:68" ht="27" customHeight="1" x14ac:dyDescent="0.25">
      <c r="A221" s="60" t="s">
        <v>372</v>
      </c>
      <c r="B221" s="60" t="s">
        <v>373</v>
      </c>
      <c r="C221" s="34">
        <v>4301051666</v>
      </c>
      <c r="D221" s="564">
        <v>4680115880092</v>
      </c>
      <c r="E221" s="565"/>
      <c r="F221" s="59">
        <v>0.4</v>
      </c>
      <c r="G221" s="35">
        <v>6</v>
      </c>
      <c r="H221" s="59">
        <v>2.4</v>
      </c>
      <c r="I221" s="59">
        <v>2.6520000000000001</v>
      </c>
      <c r="J221" s="35">
        <v>182</v>
      </c>
      <c r="K221" s="35" t="s">
        <v>67</v>
      </c>
      <c r="L221" s="35" t="s">
        <v>90</v>
      </c>
      <c r="M221" s="36" t="s">
        <v>80</v>
      </c>
      <c r="N221" s="36"/>
      <c r="O221" s="35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7"/>
      <c r="V221" s="37"/>
      <c r="W221" s="38" t="s">
        <v>69</v>
      </c>
      <c r="X221" s="56">
        <v>80</v>
      </c>
      <c r="Y221" s="53">
        <f t="shared" si="20"/>
        <v>81.599999999999994</v>
      </c>
      <c r="Z221" s="39">
        <f t="shared" si="25"/>
        <v>0.22134000000000001</v>
      </c>
      <c r="AA221" s="65"/>
      <c r="AB221" s="66"/>
      <c r="AC221" s="285" t="s">
        <v>366</v>
      </c>
      <c r="AG221" s="75"/>
      <c r="AJ221" s="79" t="s">
        <v>92</v>
      </c>
      <c r="AK221" s="79">
        <v>33.6</v>
      </c>
      <c r="BB221" s="286" t="s">
        <v>1</v>
      </c>
      <c r="BM221" s="75">
        <f t="shared" si="21"/>
        <v>88.40000000000002</v>
      </c>
      <c r="BN221" s="75">
        <f t="shared" si="22"/>
        <v>90.168000000000006</v>
      </c>
      <c r="BO221" s="75">
        <f t="shared" si="23"/>
        <v>0.18315018315018317</v>
      </c>
      <c r="BP221" s="75">
        <f t="shared" si="24"/>
        <v>0.18681318681318682</v>
      </c>
    </row>
    <row r="222" spans="1:68" ht="27" hidden="1" customHeight="1" x14ac:dyDescent="0.25">
      <c r="A222" s="60" t="s">
        <v>374</v>
      </c>
      <c r="B222" s="60" t="s">
        <v>375</v>
      </c>
      <c r="C222" s="34">
        <v>4301051668</v>
      </c>
      <c r="D222" s="564">
        <v>4680115880221</v>
      </c>
      <c r="E222" s="56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67</v>
      </c>
      <c r="L222" s="35" t="s">
        <v>90</v>
      </c>
      <c r="M222" s="36" t="s">
        <v>80</v>
      </c>
      <c r="N222" s="36"/>
      <c r="O222" s="35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7"/>
      <c r="V222" s="37"/>
      <c r="W222" s="38" t="s">
        <v>69</v>
      </c>
      <c r="X222" s="56">
        <v>0</v>
      </c>
      <c r="Y222" s="53">
        <f t="shared" si="20"/>
        <v>0</v>
      </c>
      <c r="Z222" s="39" t="str">
        <f t="shared" si="25"/>
        <v/>
      </c>
      <c r="AA222" s="65"/>
      <c r="AB222" s="66"/>
      <c r="AC222" s="287" t="s">
        <v>366</v>
      </c>
      <c r="AG222" s="75"/>
      <c r="AJ222" s="79" t="s">
        <v>92</v>
      </c>
      <c r="AK222" s="79">
        <v>33.6</v>
      </c>
      <c r="BB222" s="288" t="s">
        <v>1</v>
      </c>
      <c r="BM222" s="75">
        <f t="shared" si="21"/>
        <v>0</v>
      </c>
      <c r="BN222" s="75">
        <f t="shared" si="22"/>
        <v>0</v>
      </c>
      <c r="BO222" s="75">
        <f t="shared" si="23"/>
        <v>0</v>
      </c>
      <c r="BP222" s="75">
        <f t="shared" si="24"/>
        <v>0</v>
      </c>
    </row>
    <row r="223" spans="1:68" ht="27" hidden="1" customHeight="1" x14ac:dyDescent="0.25">
      <c r="A223" s="60" t="s">
        <v>376</v>
      </c>
      <c r="B223" s="60" t="s">
        <v>377</v>
      </c>
      <c r="C223" s="34">
        <v>4301051945</v>
      </c>
      <c r="D223" s="564">
        <v>4680115880504</v>
      </c>
      <c r="E223" s="56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67</v>
      </c>
      <c r="L223" s="35" t="s">
        <v>90</v>
      </c>
      <c r="M223" s="36" t="s">
        <v>86</v>
      </c>
      <c r="N223" s="36"/>
      <c r="O223" s="35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7"/>
      <c r="V223" s="37"/>
      <c r="W223" s="38" t="s">
        <v>69</v>
      </c>
      <c r="X223" s="56">
        <v>0</v>
      </c>
      <c r="Y223" s="53">
        <f t="shared" si="20"/>
        <v>0</v>
      </c>
      <c r="Z223" s="39" t="str">
        <f t="shared" si="25"/>
        <v/>
      </c>
      <c r="AA223" s="65"/>
      <c r="AB223" s="66"/>
      <c r="AC223" s="289" t="s">
        <v>378</v>
      </c>
      <c r="AG223" s="75"/>
      <c r="AJ223" s="79" t="s">
        <v>92</v>
      </c>
      <c r="AK223" s="79">
        <v>33.6</v>
      </c>
      <c r="BB223" s="290" t="s">
        <v>1</v>
      </c>
      <c r="BM223" s="75">
        <f t="shared" si="21"/>
        <v>0</v>
      </c>
      <c r="BN223" s="75">
        <f t="shared" si="22"/>
        <v>0</v>
      </c>
      <c r="BO223" s="75">
        <f t="shared" si="23"/>
        <v>0</v>
      </c>
      <c r="BP223" s="75">
        <f t="shared" si="24"/>
        <v>0</v>
      </c>
    </row>
    <row r="224" spans="1:68" ht="27" hidden="1" customHeight="1" x14ac:dyDescent="0.25">
      <c r="A224" s="60" t="s">
        <v>379</v>
      </c>
      <c r="B224" s="60" t="s">
        <v>380</v>
      </c>
      <c r="C224" s="34">
        <v>4301051410</v>
      </c>
      <c r="D224" s="564">
        <v>4680115882164</v>
      </c>
      <c r="E224" s="565"/>
      <c r="F224" s="59">
        <v>0.4</v>
      </c>
      <c r="G224" s="35">
        <v>6</v>
      </c>
      <c r="H224" s="59">
        <v>2.4</v>
      </c>
      <c r="I224" s="59">
        <v>2.6579999999999999</v>
      </c>
      <c r="J224" s="35">
        <v>182</v>
      </c>
      <c r="K224" s="35" t="s">
        <v>67</v>
      </c>
      <c r="L224" s="35" t="s">
        <v>90</v>
      </c>
      <c r="M224" s="36" t="s">
        <v>80</v>
      </c>
      <c r="N224" s="36"/>
      <c r="O224" s="35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7"/>
      <c r="V224" s="37"/>
      <c r="W224" s="38" t="s">
        <v>69</v>
      </c>
      <c r="X224" s="56">
        <v>0</v>
      </c>
      <c r="Y224" s="53">
        <f t="shared" si="20"/>
        <v>0</v>
      </c>
      <c r="Z224" s="39" t="str">
        <f t="shared" si="25"/>
        <v/>
      </c>
      <c r="AA224" s="65"/>
      <c r="AB224" s="66"/>
      <c r="AC224" s="291" t="s">
        <v>363</v>
      </c>
      <c r="AG224" s="75"/>
      <c r="AJ224" s="79" t="s">
        <v>92</v>
      </c>
      <c r="AK224" s="79">
        <v>33.6</v>
      </c>
      <c r="BB224" s="292" t="s">
        <v>1</v>
      </c>
      <c r="BM224" s="75">
        <f t="shared" si="21"/>
        <v>0</v>
      </c>
      <c r="BN224" s="75">
        <f t="shared" si="22"/>
        <v>0</v>
      </c>
      <c r="BO224" s="75">
        <f t="shared" si="23"/>
        <v>0</v>
      </c>
      <c r="BP224" s="75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40" t="s">
        <v>76</v>
      </c>
      <c r="X225" s="41">
        <f>IFERROR(X216/H216,"0")+IFERROR(X217/H217,"0")+IFERROR(X218/H218,"0")+IFERROR(X219/H219,"0")+IFERROR(X220/H220,"0")+IFERROR(X221/H221,"0")+IFERROR(X222/H222,"0")+IFERROR(X223/H223,"0")+IFERROR(X224/H224,"0")</f>
        <v>33.333333333333336</v>
      </c>
      <c r="Y225" s="41">
        <f>IFERROR(Y216/H216,"0")+IFERROR(Y217/H217,"0")+IFERROR(Y218/H218,"0")+IFERROR(Y219/H219,"0")+IFERROR(Y220/H220,"0")+IFERROR(Y221/H221,"0")+IFERROR(Y222/H222,"0")+IFERROR(Y223/H223,"0")+IFERROR(Y224/H224,"0")</f>
        <v>34</v>
      </c>
      <c r="Z225" s="41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0.22134000000000001</v>
      </c>
      <c r="AA225" s="64"/>
      <c r="AB225" s="64"/>
      <c r="AC225" s="64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40" t="s">
        <v>69</v>
      </c>
      <c r="X226" s="41">
        <f>IFERROR(SUM(X216:X224),"0")</f>
        <v>80</v>
      </c>
      <c r="Y226" s="41">
        <f>IFERROR(SUM(Y216:Y224),"0")</f>
        <v>81.599999999999994</v>
      </c>
      <c r="Z226" s="40"/>
      <c r="AA226" s="64"/>
      <c r="AB226" s="64"/>
      <c r="AC226" s="64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63"/>
      <c r="AB227" s="63"/>
      <c r="AC227" s="63"/>
    </row>
    <row r="228" spans="1:68" ht="27" hidden="1" customHeight="1" x14ac:dyDescent="0.25">
      <c r="A228" s="60" t="s">
        <v>381</v>
      </c>
      <c r="B228" s="60" t="s">
        <v>382</v>
      </c>
      <c r="C228" s="34">
        <v>4301060463</v>
      </c>
      <c r="D228" s="564">
        <v>4680115880818</v>
      </c>
      <c r="E228" s="565"/>
      <c r="F228" s="59">
        <v>0.4</v>
      </c>
      <c r="G228" s="35">
        <v>6</v>
      </c>
      <c r="H228" s="59">
        <v>2.4</v>
      </c>
      <c r="I228" s="59">
        <v>2.6520000000000001</v>
      </c>
      <c r="J228" s="35">
        <v>182</v>
      </c>
      <c r="K228" s="35" t="s">
        <v>67</v>
      </c>
      <c r="L228" s="35" t="s">
        <v>90</v>
      </c>
      <c r="M228" s="36" t="s">
        <v>86</v>
      </c>
      <c r="N228" s="36"/>
      <c r="O228" s="35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7"/>
      <c r="V228" s="37"/>
      <c r="W228" s="38" t="s">
        <v>69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IFERROR(IF(Y228=0,"",ROUNDUP(Y228/H228,0)*0.00651),"")</f>
        <v/>
      </c>
      <c r="AA228" s="65"/>
      <c r="AB228" s="66"/>
      <c r="AC228" s="293" t="s">
        <v>383</v>
      </c>
      <c r="AG228" s="75"/>
      <c r="AJ228" s="79" t="s">
        <v>92</v>
      </c>
      <c r="AK228" s="79">
        <v>33.6</v>
      </c>
      <c r="BB228" s="294" t="s">
        <v>1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t="37.5" hidden="1" customHeight="1" x14ac:dyDescent="0.25">
      <c r="A229" s="60" t="s">
        <v>384</v>
      </c>
      <c r="B229" s="60" t="s">
        <v>385</v>
      </c>
      <c r="C229" s="34">
        <v>4301060389</v>
      </c>
      <c r="D229" s="564">
        <v>4680115880801</v>
      </c>
      <c r="E229" s="56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67</v>
      </c>
      <c r="L229" s="35"/>
      <c r="M229" s="36" t="s">
        <v>80</v>
      </c>
      <c r="N229" s="36"/>
      <c r="O229" s="35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7"/>
      <c r="V229" s="37"/>
      <c r="W229" s="38" t="s">
        <v>69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/>
      <c r="AB229" s="66"/>
      <c r="AC229" s="295" t="s">
        <v>386</v>
      </c>
      <c r="AG229" s="75"/>
      <c r="AJ229" s="79"/>
      <c r="AK229" s="79">
        <v>0</v>
      </c>
      <c r="BB229" s="296" t="s">
        <v>1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40" t="s">
        <v>76</v>
      </c>
      <c r="X230" s="41">
        <f>IFERROR(X228/H228,"0")+IFERROR(X229/H229,"0")</f>
        <v>0</v>
      </c>
      <c r="Y230" s="41">
        <f>IFERROR(Y228/H228,"0")+IFERROR(Y229/H229,"0")</f>
        <v>0</v>
      </c>
      <c r="Z230" s="41">
        <f>IFERROR(IF(Z228="",0,Z228),"0")+IFERROR(IF(Z229="",0,Z229),"0")</f>
        <v>0</v>
      </c>
      <c r="AA230" s="64"/>
      <c r="AB230" s="64"/>
      <c r="AC230" s="64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40" t="s">
        <v>69</v>
      </c>
      <c r="X231" s="41">
        <f>IFERROR(SUM(X228:X229),"0")</f>
        <v>0</v>
      </c>
      <c r="Y231" s="41">
        <f>IFERROR(SUM(Y228:Y229),"0")</f>
        <v>0</v>
      </c>
      <c r="Z231" s="40"/>
      <c r="AA231" s="64"/>
      <c r="AB231" s="64"/>
      <c r="AC231" s="64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62"/>
      <c r="AB232" s="62"/>
      <c r="AC232" s="62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63"/>
      <c r="AB233" s="63"/>
      <c r="AC233" s="63"/>
    </row>
    <row r="234" spans="1:68" ht="27" hidden="1" customHeight="1" x14ac:dyDescent="0.25">
      <c r="A234" s="60" t="s">
        <v>388</v>
      </c>
      <c r="B234" s="60" t="s">
        <v>389</v>
      </c>
      <c r="C234" s="34">
        <v>4301011826</v>
      </c>
      <c r="D234" s="564">
        <v>4680115884137</v>
      </c>
      <c r="E234" s="565"/>
      <c r="F234" s="59">
        <v>1.45</v>
      </c>
      <c r="G234" s="35">
        <v>8</v>
      </c>
      <c r="H234" s="59">
        <v>11.6</v>
      </c>
      <c r="I234" s="59">
        <v>12.01</v>
      </c>
      <c r="J234" s="35">
        <v>64</v>
      </c>
      <c r="K234" s="35" t="s">
        <v>106</v>
      </c>
      <c r="L234" s="35"/>
      <c r="M234" s="36" t="s">
        <v>108</v>
      </c>
      <c r="N234" s="36"/>
      <c r="O234" s="35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7"/>
      <c r="V234" s="37"/>
      <c r="W234" s="38" t="s">
        <v>69</v>
      </c>
      <c r="X234" s="56">
        <v>0</v>
      </c>
      <c r="Y234" s="53">
        <f t="shared" ref="Y234:Y242" si="26">IFERROR(IF(X234="",0,CEILING((X234/$H234),1)*$H234),"")</f>
        <v>0</v>
      </c>
      <c r="Z234" s="39" t="str">
        <f>IFERROR(IF(Y234=0,"",ROUNDUP(Y234/H234,0)*0.01898),"")</f>
        <v/>
      </c>
      <c r="AA234" s="65"/>
      <c r="AB234" s="66"/>
      <c r="AC234" s="297" t="s">
        <v>390</v>
      </c>
      <c r="AG234" s="75"/>
      <c r="AJ234" s="79"/>
      <c r="AK234" s="79">
        <v>0</v>
      </c>
      <c r="BB234" s="298" t="s">
        <v>1</v>
      </c>
      <c r="BM234" s="75">
        <f t="shared" ref="BM234:BM242" si="27">IFERROR(X234*I234/H234,"0")</f>
        <v>0</v>
      </c>
      <c r="BN234" s="75">
        <f t="shared" ref="BN234:BN242" si="28">IFERROR(Y234*I234/H234,"0")</f>
        <v>0</v>
      </c>
      <c r="BO234" s="75">
        <f t="shared" ref="BO234:BO242" si="29">IFERROR(1/J234*(X234/H234),"0")</f>
        <v>0</v>
      </c>
      <c r="BP234" s="75">
        <f t="shared" ref="BP234:BP242" si="30">IFERROR(1/J234*(Y234/H234),"0")</f>
        <v>0</v>
      </c>
    </row>
    <row r="235" spans="1:68" ht="27" hidden="1" customHeight="1" x14ac:dyDescent="0.25">
      <c r="A235" s="60" t="s">
        <v>391</v>
      </c>
      <c r="B235" s="60" t="s">
        <v>392</v>
      </c>
      <c r="C235" s="34">
        <v>4301011724</v>
      </c>
      <c r="D235" s="564">
        <v>4680115884236</v>
      </c>
      <c r="E235" s="56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106</v>
      </c>
      <c r="L235" s="35"/>
      <c r="M235" s="36" t="s">
        <v>108</v>
      </c>
      <c r="N235" s="36"/>
      <c r="O235" s="35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7"/>
      <c r="V235" s="37"/>
      <c r="W235" s="38" t="s">
        <v>69</v>
      </c>
      <c r="X235" s="56">
        <v>0</v>
      </c>
      <c r="Y235" s="53">
        <f t="shared" si="26"/>
        <v>0</v>
      </c>
      <c r="Z235" s="39" t="str">
        <f>IFERROR(IF(Y235=0,"",ROUNDUP(Y235/H235,0)*0.01898),"")</f>
        <v/>
      </c>
      <c r="AA235" s="65"/>
      <c r="AB235" s="66"/>
      <c r="AC235" s="299" t="s">
        <v>393</v>
      </c>
      <c r="AG235" s="75"/>
      <c r="AJ235" s="79"/>
      <c r="AK235" s="79">
        <v>0</v>
      </c>
      <c r="BB235" s="300" t="s">
        <v>1</v>
      </c>
      <c r="BM235" s="75">
        <f t="shared" si="27"/>
        <v>0</v>
      </c>
      <c r="BN235" s="75">
        <f t="shared" si="28"/>
        <v>0</v>
      </c>
      <c r="BO235" s="75">
        <f t="shared" si="29"/>
        <v>0</v>
      </c>
      <c r="BP235" s="75">
        <f t="shared" si="30"/>
        <v>0</v>
      </c>
    </row>
    <row r="236" spans="1:68" ht="27" hidden="1" customHeight="1" x14ac:dyDescent="0.25">
      <c r="A236" s="60" t="s">
        <v>394</v>
      </c>
      <c r="B236" s="60" t="s">
        <v>395</v>
      </c>
      <c r="C236" s="34">
        <v>4301011721</v>
      </c>
      <c r="D236" s="564">
        <v>4680115884175</v>
      </c>
      <c r="E236" s="56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106</v>
      </c>
      <c r="L236" s="35"/>
      <c r="M236" s="36" t="s">
        <v>108</v>
      </c>
      <c r="N236" s="36"/>
      <c r="O236" s="35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7"/>
      <c r="V236" s="37"/>
      <c r="W236" s="38" t="s">
        <v>69</v>
      </c>
      <c r="X236" s="56">
        <v>0</v>
      </c>
      <c r="Y236" s="53">
        <f t="shared" si="26"/>
        <v>0</v>
      </c>
      <c r="Z236" s="39" t="str">
        <f>IFERROR(IF(Y236=0,"",ROUNDUP(Y236/H236,0)*0.01898),"")</f>
        <v/>
      </c>
      <c r="AA236" s="65"/>
      <c r="AB236" s="66"/>
      <c r="AC236" s="301" t="s">
        <v>396</v>
      </c>
      <c r="AG236" s="75"/>
      <c r="AJ236" s="79"/>
      <c r="AK236" s="79">
        <v>0</v>
      </c>
      <c r="BB236" s="302" t="s">
        <v>1</v>
      </c>
      <c r="BM236" s="75">
        <f t="shared" si="27"/>
        <v>0</v>
      </c>
      <c r="BN236" s="75">
        <f t="shared" si="28"/>
        <v>0</v>
      </c>
      <c r="BO236" s="75">
        <f t="shared" si="29"/>
        <v>0</v>
      </c>
      <c r="BP236" s="75">
        <f t="shared" si="30"/>
        <v>0</v>
      </c>
    </row>
    <row r="237" spans="1:68" ht="27" hidden="1" customHeight="1" x14ac:dyDescent="0.25">
      <c r="A237" s="60" t="s">
        <v>397</v>
      </c>
      <c r="B237" s="60" t="s">
        <v>398</v>
      </c>
      <c r="C237" s="34">
        <v>4301011824</v>
      </c>
      <c r="D237" s="564">
        <v>4680115884144</v>
      </c>
      <c r="E237" s="565"/>
      <c r="F237" s="59">
        <v>0.4</v>
      </c>
      <c r="G237" s="35">
        <v>10</v>
      </c>
      <c r="H237" s="59">
        <v>4</v>
      </c>
      <c r="I237" s="59">
        <v>4.1900000000000004</v>
      </c>
      <c r="J237" s="35">
        <v>132</v>
      </c>
      <c r="K237" s="35" t="s">
        <v>112</v>
      </c>
      <c r="L237" s="35" t="s">
        <v>115</v>
      </c>
      <c r="M237" s="36" t="s">
        <v>108</v>
      </c>
      <c r="N237" s="36"/>
      <c r="O237" s="35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7"/>
      <c r="V237" s="37"/>
      <c r="W237" s="38" t="s">
        <v>69</v>
      </c>
      <c r="X237" s="56">
        <v>0</v>
      </c>
      <c r="Y237" s="53">
        <f t="shared" si="26"/>
        <v>0</v>
      </c>
      <c r="Z237" s="39" t="str">
        <f>IFERROR(IF(Y237=0,"",ROUNDUP(Y237/H237,0)*0.00902),"")</f>
        <v/>
      </c>
      <c r="AA237" s="65"/>
      <c r="AB237" s="66"/>
      <c r="AC237" s="303" t="s">
        <v>390</v>
      </c>
      <c r="AG237" s="75"/>
      <c r="AJ237" s="79" t="s">
        <v>92</v>
      </c>
      <c r="AK237" s="79">
        <v>48</v>
      </c>
      <c r="BB237" s="304" t="s">
        <v>1</v>
      </c>
      <c r="BM237" s="75">
        <f t="shared" si="27"/>
        <v>0</v>
      </c>
      <c r="BN237" s="75">
        <f t="shared" si="28"/>
        <v>0</v>
      </c>
      <c r="BO237" s="75">
        <f t="shared" si="29"/>
        <v>0</v>
      </c>
      <c r="BP237" s="75">
        <f t="shared" si="30"/>
        <v>0</v>
      </c>
    </row>
    <row r="238" spans="1:68" ht="27" hidden="1" customHeight="1" x14ac:dyDescent="0.25">
      <c r="A238" s="60" t="s">
        <v>397</v>
      </c>
      <c r="B238" s="60" t="s">
        <v>399</v>
      </c>
      <c r="C238" s="34">
        <v>4301012196</v>
      </c>
      <c r="D238" s="564">
        <v>4680115884144</v>
      </c>
      <c r="E238" s="56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112</v>
      </c>
      <c r="L238" s="35"/>
      <c r="M238" s="36" t="s">
        <v>108</v>
      </c>
      <c r="N238" s="36"/>
      <c r="O238" s="35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7"/>
      <c r="V238" s="37"/>
      <c r="W238" s="38" t="s">
        <v>69</v>
      </c>
      <c r="X238" s="56">
        <v>0</v>
      </c>
      <c r="Y238" s="53">
        <f t="shared" si="26"/>
        <v>0</v>
      </c>
      <c r="Z238" s="39" t="str">
        <f>IFERROR(IF(Y238=0,"",ROUNDUP(Y238/H238,0)*0.00902),"")</f>
        <v/>
      </c>
      <c r="AA238" s="65"/>
      <c r="AB238" s="66"/>
      <c r="AC238" s="305" t="s">
        <v>390</v>
      </c>
      <c r="AG238" s="75"/>
      <c r="AJ238" s="79"/>
      <c r="AK238" s="79">
        <v>0</v>
      </c>
      <c r="BB238" s="306" t="s">
        <v>1</v>
      </c>
      <c r="BM238" s="75">
        <f t="shared" si="27"/>
        <v>0</v>
      </c>
      <c r="BN238" s="75">
        <f t="shared" si="28"/>
        <v>0</v>
      </c>
      <c r="BO238" s="75">
        <f t="shared" si="29"/>
        <v>0</v>
      </c>
      <c r="BP238" s="75">
        <f t="shared" si="30"/>
        <v>0</v>
      </c>
    </row>
    <row r="239" spans="1:68" ht="27" hidden="1" customHeight="1" x14ac:dyDescent="0.25">
      <c r="A239" s="60" t="s">
        <v>400</v>
      </c>
      <c r="B239" s="60" t="s">
        <v>401</v>
      </c>
      <c r="C239" s="34">
        <v>4301012149</v>
      </c>
      <c r="D239" s="564">
        <v>4680115886551</v>
      </c>
      <c r="E239" s="56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112</v>
      </c>
      <c r="L239" s="35"/>
      <c r="M239" s="36" t="s">
        <v>108</v>
      </c>
      <c r="N239" s="36"/>
      <c r="O239" s="35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7"/>
      <c r="V239" s="37"/>
      <c r="W239" s="38" t="s">
        <v>69</v>
      </c>
      <c r="X239" s="56">
        <v>0</v>
      </c>
      <c r="Y239" s="53">
        <f t="shared" si="26"/>
        <v>0</v>
      </c>
      <c r="Z239" s="39" t="str">
        <f>IFERROR(IF(Y239=0,"",ROUNDUP(Y239/H239,0)*0.00902),"")</f>
        <v/>
      </c>
      <c r="AA239" s="65"/>
      <c r="AB239" s="66"/>
      <c r="AC239" s="307" t="s">
        <v>402</v>
      </c>
      <c r="AG239" s="75"/>
      <c r="AJ239" s="79"/>
      <c r="AK239" s="79">
        <v>0</v>
      </c>
      <c r="BB239" s="308" t="s">
        <v>1</v>
      </c>
      <c r="BM239" s="75">
        <f t="shared" si="27"/>
        <v>0</v>
      </c>
      <c r="BN239" s="75">
        <f t="shared" si="28"/>
        <v>0</v>
      </c>
      <c r="BO239" s="75">
        <f t="shared" si="29"/>
        <v>0</v>
      </c>
      <c r="BP239" s="75">
        <f t="shared" si="30"/>
        <v>0</v>
      </c>
    </row>
    <row r="240" spans="1:68" ht="27" hidden="1" customHeight="1" x14ac:dyDescent="0.25">
      <c r="A240" s="60" t="s">
        <v>403</v>
      </c>
      <c r="B240" s="60" t="s">
        <v>404</v>
      </c>
      <c r="C240" s="34">
        <v>4301012228</v>
      </c>
      <c r="D240" s="564">
        <v>4680115887282</v>
      </c>
      <c r="E240" s="56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67</v>
      </c>
      <c r="L240" s="35"/>
      <c r="M240" s="36" t="s">
        <v>108</v>
      </c>
      <c r="N240" s="36"/>
      <c r="O240" s="35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7"/>
      <c r="V240" s="37"/>
      <c r="W240" s="38" t="s">
        <v>69</v>
      </c>
      <c r="X240" s="56">
        <v>0</v>
      </c>
      <c r="Y240" s="53">
        <f t="shared" si="26"/>
        <v>0</v>
      </c>
      <c r="Z240" s="39" t="str">
        <f>IFERROR(IF(Y240=0,"",ROUNDUP(Y240/H240,0)*0.00651),"")</f>
        <v/>
      </c>
      <c r="AA240" s="65"/>
      <c r="AB240" s="66"/>
      <c r="AC240" s="309" t="s">
        <v>405</v>
      </c>
      <c r="AG240" s="75"/>
      <c r="AJ240" s="79"/>
      <c r="AK240" s="79">
        <v>0</v>
      </c>
      <c r="BB240" s="310" t="s">
        <v>1</v>
      </c>
      <c r="BM240" s="75">
        <f t="shared" si="27"/>
        <v>0</v>
      </c>
      <c r="BN240" s="75">
        <f t="shared" si="28"/>
        <v>0</v>
      </c>
      <c r="BO240" s="75">
        <f t="shared" si="29"/>
        <v>0</v>
      </c>
      <c r="BP240" s="75">
        <f t="shared" si="30"/>
        <v>0</v>
      </c>
    </row>
    <row r="241" spans="1:68" ht="27" hidden="1" customHeight="1" x14ac:dyDescent="0.25">
      <c r="A241" s="60" t="s">
        <v>406</v>
      </c>
      <c r="B241" s="60" t="s">
        <v>407</v>
      </c>
      <c r="C241" s="34">
        <v>4301011722</v>
      </c>
      <c r="D241" s="564">
        <v>4680115884205</v>
      </c>
      <c r="E241" s="56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112</v>
      </c>
      <c r="L241" s="35" t="s">
        <v>115</v>
      </c>
      <c r="M241" s="36" t="s">
        <v>108</v>
      </c>
      <c r="N241" s="36"/>
      <c r="O241" s="35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7"/>
      <c r="V241" s="37"/>
      <c r="W241" s="38" t="s">
        <v>69</v>
      </c>
      <c r="X241" s="56">
        <v>0</v>
      </c>
      <c r="Y241" s="53">
        <f t="shared" si="26"/>
        <v>0</v>
      </c>
      <c r="Z241" s="39" t="str">
        <f>IFERROR(IF(Y241=0,"",ROUNDUP(Y241/H241,0)*0.00902),"")</f>
        <v/>
      </c>
      <c r="AA241" s="65"/>
      <c r="AB241" s="66"/>
      <c r="AC241" s="311" t="s">
        <v>396</v>
      </c>
      <c r="AG241" s="75"/>
      <c r="AJ241" s="79" t="s">
        <v>92</v>
      </c>
      <c r="AK241" s="79">
        <v>48</v>
      </c>
      <c r="BB241" s="312" t="s">
        <v>1</v>
      </c>
      <c r="BM241" s="75">
        <f t="shared" si="27"/>
        <v>0</v>
      </c>
      <c r="BN241" s="75">
        <f t="shared" si="28"/>
        <v>0</v>
      </c>
      <c r="BO241" s="75">
        <f t="shared" si="29"/>
        <v>0</v>
      </c>
      <c r="BP241" s="75">
        <f t="shared" si="30"/>
        <v>0</v>
      </c>
    </row>
    <row r="242" spans="1:68" ht="27" hidden="1" customHeight="1" x14ac:dyDescent="0.25">
      <c r="A242" s="60" t="s">
        <v>406</v>
      </c>
      <c r="B242" s="60" t="s">
        <v>408</v>
      </c>
      <c r="C242" s="34">
        <v>4301012195</v>
      </c>
      <c r="D242" s="564">
        <v>4680115884205</v>
      </c>
      <c r="E242" s="565"/>
      <c r="F242" s="59">
        <v>0.4</v>
      </c>
      <c r="G242" s="35">
        <v>10</v>
      </c>
      <c r="H242" s="59">
        <v>4</v>
      </c>
      <c r="I242" s="59">
        <v>4.1900000000000004</v>
      </c>
      <c r="J242" s="35">
        <v>132</v>
      </c>
      <c r="K242" s="35" t="s">
        <v>112</v>
      </c>
      <c r="L242" s="35"/>
      <c r="M242" s="36" t="s">
        <v>108</v>
      </c>
      <c r="N242" s="36"/>
      <c r="O242" s="35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7"/>
      <c r="V242" s="37"/>
      <c r="W242" s="38" t="s">
        <v>69</v>
      </c>
      <c r="X242" s="56">
        <v>0</v>
      </c>
      <c r="Y242" s="53">
        <f t="shared" si="26"/>
        <v>0</v>
      </c>
      <c r="Z242" s="39" t="str">
        <f>IFERROR(IF(Y242=0,"",ROUNDUP(Y242/H242,0)*0.00902),"")</f>
        <v/>
      </c>
      <c r="AA242" s="65"/>
      <c r="AB242" s="66"/>
      <c r="AC242" s="313" t="s">
        <v>396</v>
      </c>
      <c r="AG242" s="75"/>
      <c r="AJ242" s="79"/>
      <c r="AK242" s="79">
        <v>0</v>
      </c>
      <c r="BB242" s="314" t="s">
        <v>1</v>
      </c>
      <c r="BM242" s="75">
        <f t="shared" si="27"/>
        <v>0</v>
      </c>
      <c r="BN242" s="75">
        <f t="shared" si="28"/>
        <v>0</v>
      </c>
      <c r="BO242" s="75">
        <f t="shared" si="29"/>
        <v>0</v>
      </c>
      <c r="BP242" s="75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40" t="s">
        <v>76</v>
      </c>
      <c r="X243" s="41">
        <f>IFERROR(X234/H234,"0")+IFERROR(X235/H235,"0")+IFERROR(X236/H236,"0")+IFERROR(X237/H237,"0")+IFERROR(X238/H238,"0")+IFERROR(X239/H239,"0")+IFERROR(X240/H240,"0")+IFERROR(X241/H241,"0")+IFERROR(X242/H242,"0")</f>
        <v>0</v>
      </c>
      <c r="Y243" s="41">
        <f>IFERROR(Y234/H234,"0")+IFERROR(Y235/H235,"0")+IFERROR(Y236/H236,"0")+IFERROR(Y237/H237,"0")+IFERROR(Y238/H238,"0")+IFERROR(Y239/H239,"0")+IFERROR(Y240/H240,"0")+IFERROR(Y241/H241,"0")+IFERROR(Y242/H242,"0")</f>
        <v>0</v>
      </c>
      <c r="Z243" s="41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40" t="s">
        <v>69</v>
      </c>
      <c r="X244" s="41">
        <f>IFERROR(SUM(X234:X242),"0")</f>
        <v>0</v>
      </c>
      <c r="Y244" s="41">
        <f>IFERROR(SUM(Y234:Y242),"0")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63"/>
      <c r="AB245" s="63"/>
      <c r="AC245" s="63"/>
    </row>
    <row r="246" spans="1:68" ht="27" hidden="1" customHeight="1" x14ac:dyDescent="0.25">
      <c r="A246" s="60" t="s">
        <v>409</v>
      </c>
      <c r="B246" s="60" t="s">
        <v>410</v>
      </c>
      <c r="C246" s="34">
        <v>4301020377</v>
      </c>
      <c r="D246" s="564">
        <v>4680115885981</v>
      </c>
      <c r="E246" s="565"/>
      <c r="F246" s="59">
        <v>0.33</v>
      </c>
      <c r="G246" s="35">
        <v>6</v>
      </c>
      <c r="H246" s="59">
        <v>1.98</v>
      </c>
      <c r="I246" s="59">
        <v>2.08</v>
      </c>
      <c r="J246" s="35">
        <v>234</v>
      </c>
      <c r="K246" s="35" t="s">
        <v>73</v>
      </c>
      <c r="L246" s="35"/>
      <c r="M246" s="36" t="s">
        <v>80</v>
      </c>
      <c r="N246" s="36"/>
      <c r="O246" s="35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7"/>
      <c r="V246" s="37"/>
      <c r="W246" s="38" t="s">
        <v>69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IFERROR(IF(Y246=0,"",ROUNDUP(Y246/H246,0)*0.00502),"")</f>
        <v/>
      </c>
      <c r="AA246" s="65"/>
      <c r="AB246" s="66"/>
      <c r="AC246" s="315" t="s">
        <v>411</v>
      </c>
      <c r="AG246" s="75"/>
      <c r="AJ246" s="79"/>
      <c r="AK246" s="79">
        <v>0</v>
      </c>
      <c r="BB246" s="316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40" t="s">
        <v>76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40" t="s">
        <v>69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63"/>
      <c r="AB249" s="63"/>
      <c r="AC249" s="63"/>
    </row>
    <row r="250" spans="1:68" ht="27" hidden="1" customHeight="1" x14ac:dyDescent="0.25">
      <c r="A250" s="60" t="s">
        <v>413</v>
      </c>
      <c r="B250" s="60" t="s">
        <v>414</v>
      </c>
      <c r="C250" s="34">
        <v>4301040362</v>
      </c>
      <c r="D250" s="564">
        <v>4680115886803</v>
      </c>
      <c r="E250" s="565"/>
      <c r="F250" s="59">
        <v>0.12</v>
      </c>
      <c r="G250" s="35">
        <v>15</v>
      </c>
      <c r="H250" s="59">
        <v>1.8</v>
      </c>
      <c r="I250" s="59">
        <v>1.9750000000000001</v>
      </c>
      <c r="J250" s="35">
        <v>216</v>
      </c>
      <c r="K250" s="35" t="s">
        <v>317</v>
      </c>
      <c r="L250" s="35"/>
      <c r="M250" s="36" t="s">
        <v>275</v>
      </c>
      <c r="N250" s="36"/>
      <c r="O250" s="35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7"/>
      <c r="V250" s="37"/>
      <c r="W250" s="38" t="s">
        <v>69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/>
      <c r="AB250" s="66"/>
      <c r="AC250" s="317" t="s">
        <v>415</v>
      </c>
      <c r="AG250" s="75"/>
      <c r="AJ250" s="79"/>
      <c r="AK250" s="79">
        <v>0</v>
      </c>
      <c r="BB250" s="318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40" t="s">
        <v>76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40" t="s">
        <v>69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63"/>
      <c r="AB253" s="63"/>
      <c r="AC253" s="63"/>
    </row>
    <row r="254" spans="1:68" ht="27" hidden="1" customHeight="1" x14ac:dyDescent="0.25">
      <c r="A254" s="60" t="s">
        <v>417</v>
      </c>
      <c r="B254" s="60" t="s">
        <v>418</v>
      </c>
      <c r="C254" s="34">
        <v>4301041004</v>
      </c>
      <c r="D254" s="564">
        <v>4680115886704</v>
      </c>
      <c r="E254" s="565"/>
      <c r="F254" s="59">
        <v>5.5E-2</v>
      </c>
      <c r="G254" s="35">
        <v>18</v>
      </c>
      <c r="H254" s="59">
        <v>0.99</v>
      </c>
      <c r="I254" s="59">
        <v>1.18</v>
      </c>
      <c r="J254" s="35">
        <v>216</v>
      </c>
      <c r="K254" s="35" t="s">
        <v>317</v>
      </c>
      <c r="L254" s="35"/>
      <c r="M254" s="36" t="s">
        <v>275</v>
      </c>
      <c r="N254" s="36"/>
      <c r="O254" s="35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7"/>
      <c r="V254" s="37"/>
      <c r="W254" s="38" t="s">
        <v>69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/>
      <c r="AB254" s="66"/>
      <c r="AC254" s="319" t="s">
        <v>419</v>
      </c>
      <c r="AG254" s="75"/>
      <c r="AJ254" s="79"/>
      <c r="AK254" s="79">
        <v>0</v>
      </c>
      <c r="BB254" s="320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420</v>
      </c>
      <c r="B255" s="60" t="s">
        <v>421</v>
      </c>
      <c r="C255" s="34">
        <v>4301041008</v>
      </c>
      <c r="D255" s="564">
        <v>4680115886681</v>
      </c>
      <c r="E255" s="565"/>
      <c r="F255" s="59">
        <v>0.12</v>
      </c>
      <c r="G255" s="35">
        <v>15</v>
      </c>
      <c r="H255" s="59">
        <v>1.8</v>
      </c>
      <c r="I255" s="59">
        <v>1.9750000000000001</v>
      </c>
      <c r="J255" s="35">
        <v>216</v>
      </c>
      <c r="K255" s="35" t="s">
        <v>317</v>
      </c>
      <c r="L255" s="35"/>
      <c r="M255" s="36" t="s">
        <v>275</v>
      </c>
      <c r="N255" s="36"/>
      <c r="O255" s="35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7"/>
      <c r="V255" s="37"/>
      <c r="W255" s="38" t="s">
        <v>69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/>
      <c r="AB255" s="66"/>
      <c r="AC255" s="321" t="s">
        <v>419</v>
      </c>
      <c r="AG255" s="75"/>
      <c r="AJ255" s="79"/>
      <c r="AK255" s="79">
        <v>0</v>
      </c>
      <c r="BB255" s="322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422</v>
      </c>
      <c r="B256" s="60" t="s">
        <v>423</v>
      </c>
      <c r="C256" s="34">
        <v>4301041007</v>
      </c>
      <c r="D256" s="564">
        <v>4680115886735</v>
      </c>
      <c r="E256" s="565"/>
      <c r="F256" s="59">
        <v>0.05</v>
      </c>
      <c r="G256" s="35">
        <v>18</v>
      </c>
      <c r="H256" s="59">
        <v>0.9</v>
      </c>
      <c r="I256" s="59">
        <v>1.0900000000000001</v>
      </c>
      <c r="J256" s="35">
        <v>216</v>
      </c>
      <c r="K256" s="35" t="s">
        <v>317</v>
      </c>
      <c r="L256" s="35"/>
      <c r="M256" s="36" t="s">
        <v>275</v>
      </c>
      <c r="N256" s="36"/>
      <c r="O256" s="35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7"/>
      <c r="V256" s="37"/>
      <c r="W256" s="38" t="s">
        <v>69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/>
      <c r="AB256" s="66"/>
      <c r="AC256" s="323" t="s">
        <v>419</v>
      </c>
      <c r="AG256" s="75"/>
      <c r="AJ256" s="79"/>
      <c r="AK256" s="79">
        <v>0</v>
      </c>
      <c r="BB256" s="324" t="s">
        <v>1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424</v>
      </c>
      <c r="B257" s="60" t="s">
        <v>425</v>
      </c>
      <c r="C257" s="34">
        <v>4301041006</v>
      </c>
      <c r="D257" s="564">
        <v>4680115886728</v>
      </c>
      <c r="E257" s="56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317</v>
      </c>
      <c r="L257" s="35"/>
      <c r="M257" s="36" t="s">
        <v>275</v>
      </c>
      <c r="N257" s="36"/>
      <c r="O257" s="35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7"/>
      <c r="V257" s="37"/>
      <c r="W257" s="38" t="s">
        <v>69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/>
      <c r="AB257" s="66"/>
      <c r="AC257" s="325" t="s">
        <v>419</v>
      </c>
      <c r="AG257" s="75"/>
      <c r="AJ257" s="79"/>
      <c r="AK257" s="79">
        <v>0</v>
      </c>
      <c r="BB257" s="326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426</v>
      </c>
      <c r="B258" s="60" t="s">
        <v>427</v>
      </c>
      <c r="C258" s="34">
        <v>4301041005</v>
      </c>
      <c r="D258" s="564">
        <v>4680115886711</v>
      </c>
      <c r="E258" s="565"/>
      <c r="F258" s="59">
        <v>5.5E-2</v>
      </c>
      <c r="G258" s="35">
        <v>18</v>
      </c>
      <c r="H258" s="59">
        <v>0.99</v>
      </c>
      <c r="I258" s="59">
        <v>1.18</v>
      </c>
      <c r="J258" s="35">
        <v>216</v>
      </c>
      <c r="K258" s="35" t="s">
        <v>317</v>
      </c>
      <c r="L258" s="35"/>
      <c r="M258" s="36" t="s">
        <v>275</v>
      </c>
      <c r="N258" s="36"/>
      <c r="O258" s="35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7"/>
      <c r="V258" s="37"/>
      <c r="W258" s="38" t="s">
        <v>69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IFERROR(IF(Y258=0,"",ROUNDUP(Y258/H258,0)*0.0059),"")</f>
        <v/>
      </c>
      <c r="AA258" s="65"/>
      <c r="AB258" s="66"/>
      <c r="AC258" s="327" t="s">
        <v>419</v>
      </c>
      <c r="AG258" s="75"/>
      <c r="AJ258" s="79"/>
      <c r="AK258" s="79">
        <v>0</v>
      </c>
      <c r="BB258" s="328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40" t="s">
        <v>76</v>
      </c>
      <c r="X259" s="41">
        <f>IFERROR(X254/H254,"0")+IFERROR(X255/H255,"0")+IFERROR(X256/H256,"0")+IFERROR(X257/H257,"0")+IFERROR(X258/H258,"0")</f>
        <v>0</v>
      </c>
      <c r="Y259" s="41">
        <f>IFERROR(Y254/H254,"0")+IFERROR(Y255/H255,"0")+IFERROR(Y256/H256,"0")+IFERROR(Y257/H257,"0")+IFERROR(Y258/H258,"0")</f>
        <v>0</v>
      </c>
      <c r="Z259" s="41">
        <f>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40" t="s">
        <v>69</v>
      </c>
      <c r="X260" s="41">
        <f>IFERROR(SUM(X254:X258),"0")</f>
        <v>0</v>
      </c>
      <c r="Y260" s="41">
        <f>IFERROR(SUM(Y254:Y258),"0")</f>
        <v>0</v>
      </c>
      <c r="Z260" s="40"/>
      <c r="AA260" s="64"/>
      <c r="AB260" s="64"/>
      <c r="AC260" s="64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62"/>
      <c r="AB261" s="62"/>
      <c r="AC261" s="62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63"/>
      <c r="AB262" s="63"/>
      <c r="AC262" s="63"/>
    </row>
    <row r="263" spans="1:68" ht="27" hidden="1" customHeight="1" x14ac:dyDescent="0.25">
      <c r="A263" s="60" t="s">
        <v>429</v>
      </c>
      <c r="B263" s="60" t="s">
        <v>430</v>
      </c>
      <c r="C263" s="34">
        <v>4301011855</v>
      </c>
      <c r="D263" s="564">
        <v>4680115885837</v>
      </c>
      <c r="E263" s="56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106</v>
      </c>
      <c r="L263" s="35" t="s">
        <v>107</v>
      </c>
      <c r="M263" s="36" t="s">
        <v>108</v>
      </c>
      <c r="N263" s="36"/>
      <c r="O263" s="35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7"/>
      <c r="V263" s="37"/>
      <c r="W263" s="38" t="s">
        <v>69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/>
      <c r="AB263" s="66"/>
      <c r="AC263" s="329" t="s">
        <v>431</v>
      </c>
      <c r="AG263" s="75"/>
      <c r="AJ263" s="79" t="s">
        <v>92</v>
      </c>
      <c r="AK263" s="79">
        <v>86.4</v>
      </c>
      <c r="BB263" s="330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37.5" hidden="1" customHeight="1" x14ac:dyDescent="0.25">
      <c r="A264" s="60" t="s">
        <v>432</v>
      </c>
      <c r="B264" s="60" t="s">
        <v>433</v>
      </c>
      <c r="C264" s="34">
        <v>4301011853</v>
      </c>
      <c r="D264" s="564">
        <v>4680115885851</v>
      </c>
      <c r="E264" s="56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106</v>
      </c>
      <c r="L264" s="35"/>
      <c r="M264" s="36" t="s">
        <v>108</v>
      </c>
      <c r="N264" s="36"/>
      <c r="O264" s="35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7"/>
      <c r="V264" s="37"/>
      <c r="W264" s="38" t="s">
        <v>69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/>
      <c r="AB264" s="66"/>
      <c r="AC264" s="331" t="s">
        <v>434</v>
      </c>
      <c r="AG264" s="75"/>
      <c r="AJ264" s="79"/>
      <c r="AK264" s="79">
        <v>0</v>
      </c>
      <c r="BB264" s="332" t="s">
        <v>1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435</v>
      </c>
      <c r="B265" s="60" t="s">
        <v>436</v>
      </c>
      <c r="C265" s="34">
        <v>4301011850</v>
      </c>
      <c r="D265" s="564">
        <v>4680115885806</v>
      </c>
      <c r="E265" s="565"/>
      <c r="F265" s="59">
        <v>1.35</v>
      </c>
      <c r="G265" s="35">
        <v>8</v>
      </c>
      <c r="H265" s="59">
        <v>10.8</v>
      </c>
      <c r="I265" s="59">
        <v>11.21</v>
      </c>
      <c r="J265" s="35">
        <v>64</v>
      </c>
      <c r="K265" s="35" t="s">
        <v>106</v>
      </c>
      <c r="L265" s="35" t="s">
        <v>107</v>
      </c>
      <c r="M265" s="36" t="s">
        <v>108</v>
      </c>
      <c r="N265" s="36"/>
      <c r="O265" s="35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7"/>
      <c r="V265" s="37"/>
      <c r="W265" s="38" t="s">
        <v>69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/>
      <c r="AB265" s="66"/>
      <c r="AC265" s="333" t="s">
        <v>437</v>
      </c>
      <c r="AG265" s="75"/>
      <c r="AJ265" s="79" t="s">
        <v>92</v>
      </c>
      <c r="AK265" s="79">
        <v>86.4</v>
      </c>
      <c r="BB265" s="334" t="s">
        <v>1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438</v>
      </c>
      <c r="B266" s="60" t="s">
        <v>439</v>
      </c>
      <c r="C266" s="34">
        <v>4301011852</v>
      </c>
      <c r="D266" s="564">
        <v>4680115885844</v>
      </c>
      <c r="E266" s="56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112</v>
      </c>
      <c r="L266" s="35"/>
      <c r="M266" s="36" t="s">
        <v>108</v>
      </c>
      <c r="N266" s="36"/>
      <c r="O266" s="35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7"/>
      <c r="V266" s="37"/>
      <c r="W266" s="38" t="s">
        <v>69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/>
      <c r="AB266" s="66"/>
      <c r="AC266" s="335" t="s">
        <v>440</v>
      </c>
      <c r="AG266" s="75"/>
      <c r="AJ266" s="79"/>
      <c r="AK266" s="79">
        <v>0</v>
      </c>
      <c r="BB266" s="336" t="s">
        <v>1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hidden="1" customHeight="1" x14ac:dyDescent="0.25">
      <c r="A267" s="60" t="s">
        <v>441</v>
      </c>
      <c r="B267" s="60" t="s">
        <v>442</v>
      </c>
      <c r="C267" s="34">
        <v>4301011851</v>
      </c>
      <c r="D267" s="564">
        <v>4680115885820</v>
      </c>
      <c r="E267" s="565"/>
      <c r="F267" s="59">
        <v>0.4</v>
      </c>
      <c r="G267" s="35">
        <v>10</v>
      </c>
      <c r="H267" s="59">
        <v>4</v>
      </c>
      <c r="I267" s="59">
        <v>4.1900000000000004</v>
      </c>
      <c r="J267" s="35">
        <v>132</v>
      </c>
      <c r="K267" s="35" t="s">
        <v>112</v>
      </c>
      <c r="L267" s="35" t="s">
        <v>115</v>
      </c>
      <c r="M267" s="36" t="s">
        <v>108</v>
      </c>
      <c r="N267" s="36"/>
      <c r="O267" s="35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7"/>
      <c r="V267" s="37"/>
      <c r="W267" s="38" t="s">
        <v>69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37" t="s">
        <v>443</v>
      </c>
      <c r="AG267" s="75"/>
      <c r="AJ267" s="79" t="s">
        <v>92</v>
      </c>
      <c r="AK267" s="79">
        <v>48</v>
      </c>
      <c r="BB267" s="338" t="s">
        <v>1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40" t="s">
        <v>76</v>
      </c>
      <c r="X268" s="41">
        <f>IFERROR(X263/H263,"0")+IFERROR(X264/H264,"0")+IFERROR(X265/H265,"0")+IFERROR(X266/H266,"0")+IFERROR(X267/H267,"0")</f>
        <v>0</v>
      </c>
      <c r="Y268" s="41">
        <f>IFERROR(Y263/H263,"0")+IFERROR(Y264/H264,"0")+IFERROR(Y265/H265,"0")+IFERROR(Y266/H266,"0")+IFERROR(Y267/H267,"0")</f>
        <v>0</v>
      </c>
      <c r="Z268" s="41">
        <f>IFERROR(IF(Z263="",0,Z263),"0")+IFERROR(IF(Z264="",0,Z264),"0")+IFERROR(IF(Z265="",0,Z265),"0")+IFERROR(IF(Z266="",0,Z266),"0")+IFERROR(IF(Z267="",0,Z267),"0")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hidden="1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40" t="s">
        <v>69</v>
      </c>
      <c r="X269" s="41">
        <f>IFERROR(SUM(X263:X267),"0")</f>
        <v>0</v>
      </c>
      <c r="Y269" s="41">
        <f>IFERROR(SUM(Y263:Y267),"0")</f>
        <v>0</v>
      </c>
      <c r="Z269" s="40"/>
      <c r="AA269" s="64"/>
      <c r="AB269" s="64"/>
      <c r="AC269" s="64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62"/>
      <c r="AB270" s="62"/>
      <c r="AC270" s="62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63"/>
      <c r="AB271" s="63"/>
      <c r="AC271" s="63"/>
    </row>
    <row r="272" spans="1:68" ht="27" hidden="1" customHeight="1" x14ac:dyDescent="0.25">
      <c r="A272" s="60" t="s">
        <v>445</v>
      </c>
      <c r="B272" s="60" t="s">
        <v>446</v>
      </c>
      <c r="C272" s="34">
        <v>4301011223</v>
      </c>
      <c r="D272" s="564">
        <v>4607091383423</v>
      </c>
      <c r="E272" s="565"/>
      <c r="F272" s="59">
        <v>1.35</v>
      </c>
      <c r="G272" s="35">
        <v>8</v>
      </c>
      <c r="H272" s="59">
        <v>10.8</v>
      </c>
      <c r="I272" s="59">
        <v>11.305999999999999</v>
      </c>
      <c r="J272" s="35">
        <v>64</v>
      </c>
      <c r="K272" s="35" t="s">
        <v>106</v>
      </c>
      <c r="L272" s="35"/>
      <c r="M272" s="36" t="s">
        <v>80</v>
      </c>
      <c r="N272" s="36"/>
      <c r="O272" s="35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7"/>
      <c r="V272" s="37"/>
      <c r="W272" s="38" t="s">
        <v>69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/>
      <c r="AB272" s="66"/>
      <c r="AC272" s="339" t="s">
        <v>109</v>
      </c>
      <c r="AG272" s="75"/>
      <c r="AJ272" s="79"/>
      <c r="AK272" s="79">
        <v>0</v>
      </c>
      <c r="BB272" s="340" t="s">
        <v>1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37.5" hidden="1" customHeight="1" x14ac:dyDescent="0.25">
      <c r="A273" s="60" t="s">
        <v>447</v>
      </c>
      <c r="B273" s="60" t="s">
        <v>448</v>
      </c>
      <c r="C273" s="34">
        <v>4301012199</v>
      </c>
      <c r="D273" s="564">
        <v>4680115886957</v>
      </c>
      <c r="E273" s="56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106</v>
      </c>
      <c r="L273" s="35"/>
      <c r="M273" s="36" t="s">
        <v>80</v>
      </c>
      <c r="N273" s="36"/>
      <c r="O273" s="35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7"/>
      <c r="V273" s="37"/>
      <c r="W273" s="38" t="s">
        <v>69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/>
      <c r="AB273" s="66"/>
      <c r="AC273" s="341" t="s">
        <v>449</v>
      </c>
      <c r="AG273" s="75"/>
      <c r="AJ273" s="79"/>
      <c r="AK273" s="79">
        <v>0</v>
      </c>
      <c r="BB273" s="342" t="s">
        <v>1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27" hidden="1" customHeight="1" x14ac:dyDescent="0.25">
      <c r="A274" s="60" t="s">
        <v>450</v>
      </c>
      <c r="B274" s="60" t="s">
        <v>451</v>
      </c>
      <c r="C274" s="34">
        <v>4301012098</v>
      </c>
      <c r="D274" s="564">
        <v>4680115885660</v>
      </c>
      <c r="E274" s="565"/>
      <c r="F274" s="59">
        <v>1.35</v>
      </c>
      <c r="G274" s="35">
        <v>8</v>
      </c>
      <c r="H274" s="59">
        <v>10.8</v>
      </c>
      <c r="I274" s="59">
        <v>11.21</v>
      </c>
      <c r="J274" s="35">
        <v>64</v>
      </c>
      <c r="K274" s="35" t="s">
        <v>106</v>
      </c>
      <c r="L274" s="35"/>
      <c r="M274" s="36" t="s">
        <v>80</v>
      </c>
      <c r="N274" s="36"/>
      <c r="O274" s="35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7"/>
      <c r="V274" s="37"/>
      <c r="W274" s="38" t="s">
        <v>69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/>
      <c r="AB274" s="66"/>
      <c r="AC274" s="343" t="s">
        <v>396</v>
      </c>
      <c r="AG274" s="75"/>
      <c r="AJ274" s="79"/>
      <c r="AK274" s="79">
        <v>0</v>
      </c>
      <c r="BB274" s="344" t="s">
        <v>1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t="37.5" hidden="1" customHeight="1" x14ac:dyDescent="0.25">
      <c r="A275" s="60" t="s">
        <v>452</v>
      </c>
      <c r="B275" s="60" t="s">
        <v>453</v>
      </c>
      <c r="C275" s="34">
        <v>4301012176</v>
      </c>
      <c r="D275" s="564">
        <v>4680115886773</v>
      </c>
      <c r="E275" s="565"/>
      <c r="F275" s="59">
        <v>0.9</v>
      </c>
      <c r="G275" s="35">
        <v>10</v>
      </c>
      <c r="H275" s="59">
        <v>9</v>
      </c>
      <c r="I275" s="59">
        <v>9.41</v>
      </c>
      <c r="J275" s="35">
        <v>64</v>
      </c>
      <c r="K275" s="35" t="s">
        <v>106</v>
      </c>
      <c r="L275" s="35"/>
      <c r="M275" s="36" t="s">
        <v>108</v>
      </c>
      <c r="N275" s="36"/>
      <c r="O275" s="35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7"/>
      <c r="V275" s="37"/>
      <c r="W275" s="38" t="s">
        <v>69</v>
      </c>
      <c r="X275" s="56">
        <v>0</v>
      </c>
      <c r="Y275" s="53">
        <f>IFERROR(IF(X275="",0,CEILING((X275/$H275),1)*$H275),"")</f>
        <v>0</v>
      </c>
      <c r="Z275" s="39" t="str">
        <f>IFERROR(IF(Y275=0,"",ROUNDUP(Y275/H275,0)*0.01898),"")</f>
        <v/>
      </c>
      <c r="AA275" s="65"/>
      <c r="AB275" s="66"/>
      <c r="AC275" s="345" t="s">
        <v>454</v>
      </c>
      <c r="AG275" s="75"/>
      <c r="AJ275" s="79"/>
      <c r="AK275" s="79">
        <v>0</v>
      </c>
      <c r="BB275" s="346" t="s">
        <v>1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40" t="s">
        <v>76</v>
      </c>
      <c r="X276" s="41">
        <f>IFERROR(X272/H272,"0")+IFERROR(X273/H273,"0")+IFERROR(X274/H274,"0")+IFERROR(X275/H275,"0")</f>
        <v>0</v>
      </c>
      <c r="Y276" s="41">
        <f>IFERROR(Y272/H272,"0")+IFERROR(Y273/H273,"0")+IFERROR(Y274/H274,"0")+IFERROR(Y275/H275,"0")</f>
        <v>0</v>
      </c>
      <c r="Z276" s="41">
        <f>IFERROR(IF(Z272="",0,Z272),"0")+IFERROR(IF(Z273="",0,Z273),"0")+IFERROR(IF(Z274="",0,Z274),"0")+IFERROR(IF(Z275="",0,Z275),"0")</f>
        <v>0</v>
      </c>
      <c r="AA276" s="64"/>
      <c r="AB276" s="64"/>
      <c r="AC276" s="64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40" t="s">
        <v>69</v>
      </c>
      <c r="X277" s="41">
        <f>IFERROR(SUM(X272:X275),"0")</f>
        <v>0</v>
      </c>
      <c r="Y277" s="41">
        <f>IFERROR(SUM(Y272:Y275),"0")</f>
        <v>0</v>
      </c>
      <c r="Z277" s="40"/>
      <c r="AA277" s="64"/>
      <c r="AB277" s="64"/>
      <c r="AC277" s="64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62"/>
      <c r="AB278" s="62"/>
      <c r="AC278" s="62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63"/>
      <c r="AB279" s="63"/>
      <c r="AC279" s="63"/>
    </row>
    <row r="280" spans="1:68" ht="27" hidden="1" customHeight="1" x14ac:dyDescent="0.25">
      <c r="A280" s="60" t="s">
        <v>456</v>
      </c>
      <c r="B280" s="60" t="s">
        <v>457</v>
      </c>
      <c r="C280" s="34">
        <v>4301051893</v>
      </c>
      <c r="D280" s="564">
        <v>4680115886186</v>
      </c>
      <c r="E280" s="565"/>
      <c r="F280" s="59">
        <v>0.3</v>
      </c>
      <c r="G280" s="35">
        <v>6</v>
      </c>
      <c r="H280" s="59">
        <v>1.8</v>
      </c>
      <c r="I280" s="59">
        <v>1.98</v>
      </c>
      <c r="J280" s="35">
        <v>182</v>
      </c>
      <c r="K280" s="35" t="s">
        <v>67</v>
      </c>
      <c r="L280" s="35"/>
      <c r="M280" s="36" t="s">
        <v>80</v>
      </c>
      <c r="N280" s="36"/>
      <c r="O280" s="35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7"/>
      <c r="V280" s="37"/>
      <c r="W280" s="38" t="s">
        <v>69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/>
      <c r="AB280" s="66"/>
      <c r="AC280" s="347" t="s">
        <v>458</v>
      </c>
      <c r="AG280" s="75"/>
      <c r="AJ280" s="79"/>
      <c r="AK280" s="79">
        <v>0</v>
      </c>
      <c r="BB280" s="348" t="s">
        <v>1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459</v>
      </c>
      <c r="B281" s="60" t="s">
        <v>460</v>
      </c>
      <c r="C281" s="34">
        <v>4301051795</v>
      </c>
      <c r="D281" s="564">
        <v>4680115881228</v>
      </c>
      <c r="E281" s="565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67</v>
      </c>
      <c r="L281" s="35"/>
      <c r="M281" s="36" t="s">
        <v>86</v>
      </c>
      <c r="N281" s="36"/>
      <c r="O281" s="35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7"/>
      <c r="V281" s="37"/>
      <c r="W281" s="38" t="s">
        <v>69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IFERROR(IF(Y281=0,"",ROUNDUP(Y281/H281,0)*0.00651),"")</f>
        <v/>
      </c>
      <c r="AA281" s="65"/>
      <c r="AB281" s="66"/>
      <c r="AC281" s="349" t="s">
        <v>461</v>
      </c>
      <c r="AG281" s="75"/>
      <c r="AJ281" s="79"/>
      <c r="AK281" s="79">
        <v>0</v>
      </c>
      <c r="BB281" s="350" t="s">
        <v>1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t="27" hidden="1" customHeight="1" x14ac:dyDescent="0.25">
      <c r="A282" s="60" t="s">
        <v>462</v>
      </c>
      <c r="B282" s="60" t="s">
        <v>463</v>
      </c>
      <c r="C282" s="34">
        <v>4301051388</v>
      </c>
      <c r="D282" s="564">
        <v>4680115881211</v>
      </c>
      <c r="E282" s="565"/>
      <c r="F282" s="59">
        <v>0.4</v>
      </c>
      <c r="G282" s="35">
        <v>6</v>
      </c>
      <c r="H282" s="59">
        <v>2.4</v>
      </c>
      <c r="I282" s="59">
        <v>2.58</v>
      </c>
      <c r="J282" s="35">
        <v>182</v>
      </c>
      <c r="K282" s="35" t="s">
        <v>67</v>
      </c>
      <c r="L282" s="35" t="s">
        <v>90</v>
      </c>
      <c r="M282" s="36" t="s">
        <v>80</v>
      </c>
      <c r="N282" s="36"/>
      <c r="O282" s="35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7"/>
      <c r="V282" s="37"/>
      <c r="W282" s="38" t="s">
        <v>69</v>
      </c>
      <c r="X282" s="56">
        <v>0</v>
      </c>
      <c r="Y282" s="53">
        <f>IFERROR(IF(X282="",0,CEILING((X282/$H282),1)*$H282),"")</f>
        <v>0</v>
      </c>
      <c r="Z282" s="39" t="str">
        <f>IFERROR(IF(Y282=0,"",ROUNDUP(Y282/H282,0)*0.00651),"")</f>
        <v/>
      </c>
      <c r="AA282" s="65"/>
      <c r="AB282" s="66"/>
      <c r="AC282" s="351" t="s">
        <v>458</v>
      </c>
      <c r="AG282" s="75"/>
      <c r="AJ282" s="79" t="s">
        <v>92</v>
      </c>
      <c r="AK282" s="79">
        <v>33.6</v>
      </c>
      <c r="BB282" s="352" t="s">
        <v>1</v>
      </c>
      <c r="BM282" s="75">
        <f>IFERROR(X282*I282/H282,"0")</f>
        <v>0</v>
      </c>
      <c r="BN282" s="75">
        <f>IFERROR(Y282*I282/H282,"0")</f>
        <v>0</v>
      </c>
      <c r="BO282" s="75">
        <f>IFERROR(1/J282*(X282/H282),"0")</f>
        <v>0</v>
      </c>
      <c r="BP282" s="75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40" t="s">
        <v>76</v>
      </c>
      <c r="X283" s="41">
        <f>IFERROR(X280/H280,"0")+IFERROR(X281/H281,"0")+IFERROR(X282/H282,"0")</f>
        <v>0</v>
      </c>
      <c r="Y283" s="41">
        <f>IFERROR(Y280/H280,"0")+IFERROR(Y281/H281,"0")+IFERROR(Y282/H282,"0")</f>
        <v>0</v>
      </c>
      <c r="Z283" s="41">
        <f>IFERROR(IF(Z280="",0,Z280),"0")+IFERROR(IF(Z281="",0,Z281),"0")+IFERROR(IF(Z282="",0,Z282),"0")</f>
        <v>0</v>
      </c>
      <c r="AA283" s="64"/>
      <c r="AB283" s="64"/>
      <c r="AC283" s="64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40" t="s">
        <v>69</v>
      </c>
      <c r="X284" s="41">
        <f>IFERROR(SUM(X280:X282),"0")</f>
        <v>0</v>
      </c>
      <c r="Y284" s="41">
        <f>IFERROR(SUM(Y280:Y282),"0")</f>
        <v>0</v>
      </c>
      <c r="Z284" s="40"/>
      <c r="AA284" s="64"/>
      <c r="AB284" s="64"/>
      <c r="AC284" s="64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62"/>
      <c r="AB285" s="62"/>
      <c r="AC285" s="62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63"/>
      <c r="AB286" s="63"/>
      <c r="AC286" s="63"/>
    </row>
    <row r="287" spans="1:68" ht="27" hidden="1" customHeight="1" x14ac:dyDescent="0.25">
      <c r="A287" s="60" t="s">
        <v>465</v>
      </c>
      <c r="B287" s="60" t="s">
        <v>466</v>
      </c>
      <c r="C287" s="34">
        <v>4301031307</v>
      </c>
      <c r="D287" s="564">
        <v>4680115880344</v>
      </c>
      <c r="E287" s="565"/>
      <c r="F287" s="59">
        <v>0.28000000000000003</v>
      </c>
      <c r="G287" s="35">
        <v>6</v>
      </c>
      <c r="H287" s="59">
        <v>1.68</v>
      </c>
      <c r="I287" s="59">
        <v>1.78</v>
      </c>
      <c r="J287" s="35">
        <v>234</v>
      </c>
      <c r="K287" s="35" t="s">
        <v>73</v>
      </c>
      <c r="L287" s="35"/>
      <c r="M287" s="36" t="s">
        <v>68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7"/>
      <c r="V287" s="37"/>
      <c r="W287" s="38" t="s">
        <v>69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IFERROR(IF(Y287=0,"",ROUNDUP(Y287/H287,0)*0.00502),"")</f>
        <v/>
      </c>
      <c r="AA287" s="65"/>
      <c r="AB287" s="66"/>
      <c r="AC287" s="353" t="s">
        <v>467</v>
      </c>
      <c r="AG287" s="75"/>
      <c r="AJ287" s="79"/>
      <c r="AK287" s="79">
        <v>0</v>
      </c>
      <c r="BB287" s="354" t="s">
        <v>1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t="27" hidden="1" customHeight="1" x14ac:dyDescent="0.25">
      <c r="A288" s="60" t="s">
        <v>468</v>
      </c>
      <c r="B288" s="60" t="s">
        <v>469</v>
      </c>
      <c r="C288" s="34">
        <v>4301031429</v>
      </c>
      <c r="D288" s="564">
        <v>4680115886919</v>
      </c>
      <c r="E288" s="565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67</v>
      </c>
      <c r="L288" s="35"/>
      <c r="M288" s="36" t="s">
        <v>68</v>
      </c>
      <c r="N288" s="36"/>
      <c r="O288" s="35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7"/>
      <c r="V288" s="37"/>
      <c r="W288" s="38" t="s">
        <v>69</v>
      </c>
      <c r="X288" s="56">
        <v>0</v>
      </c>
      <c r="Y288" s="53">
        <f>IFERROR(IF(X288="",0,CEILING((X288/$H288),1)*$H288),"")</f>
        <v>0</v>
      </c>
      <c r="Z288" s="39" t="str">
        <f>IFERROR(IF(Y288=0,"",ROUNDUP(Y288/H288,0)*0.00651),"")</f>
        <v/>
      </c>
      <c r="AA288" s="65"/>
      <c r="AB288" s="66"/>
      <c r="AC288" s="355" t="s">
        <v>470</v>
      </c>
      <c r="AG288" s="75"/>
      <c r="AJ288" s="79"/>
      <c r="AK288" s="79">
        <v>0</v>
      </c>
      <c r="BB288" s="356" t="s">
        <v>1</v>
      </c>
      <c r="BM288" s="75">
        <f>IFERROR(X288*I288/H288,"0")</f>
        <v>0</v>
      </c>
      <c r="BN288" s="75">
        <f>IFERROR(Y288*I288/H288,"0")</f>
        <v>0</v>
      </c>
      <c r="BO288" s="75">
        <f>IFERROR(1/J288*(X288/H288),"0")</f>
        <v>0</v>
      </c>
      <c r="BP288" s="75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40" t="s">
        <v>76</v>
      </c>
      <c r="X289" s="41">
        <f>IFERROR(X287/H287,"0")+IFERROR(X288/H288,"0")</f>
        <v>0</v>
      </c>
      <c r="Y289" s="41">
        <f>IFERROR(Y287/H287,"0")+IFERROR(Y288/H288,"0")</f>
        <v>0</v>
      </c>
      <c r="Z289" s="41">
        <f>IFERROR(IF(Z287="",0,Z287),"0")+IFERROR(IF(Z288="",0,Z288),"0")</f>
        <v>0</v>
      </c>
      <c r="AA289" s="64"/>
      <c r="AB289" s="64"/>
      <c r="AC289" s="64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40" t="s">
        <v>69</v>
      </c>
      <c r="X290" s="41">
        <f>IFERROR(SUM(X287:X288),"0")</f>
        <v>0</v>
      </c>
      <c r="Y290" s="41">
        <f>IFERROR(SUM(Y287:Y288),"0")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63"/>
      <c r="AB291" s="63"/>
      <c r="AC291" s="63"/>
    </row>
    <row r="292" spans="1:68" ht="37.5" hidden="1" customHeight="1" x14ac:dyDescent="0.25">
      <c r="A292" s="60" t="s">
        <v>471</v>
      </c>
      <c r="B292" s="60" t="s">
        <v>472</v>
      </c>
      <c r="C292" s="34">
        <v>4301051782</v>
      </c>
      <c r="D292" s="564">
        <v>4680115884618</v>
      </c>
      <c r="E292" s="565"/>
      <c r="F292" s="59">
        <v>0.6</v>
      </c>
      <c r="G292" s="35">
        <v>6</v>
      </c>
      <c r="H292" s="59">
        <v>3.6</v>
      </c>
      <c r="I292" s="59">
        <v>3.79</v>
      </c>
      <c r="J292" s="35">
        <v>132</v>
      </c>
      <c r="K292" s="35" t="s">
        <v>112</v>
      </c>
      <c r="L292" s="35" t="s">
        <v>115</v>
      </c>
      <c r="M292" s="36" t="s">
        <v>80</v>
      </c>
      <c r="N292" s="36"/>
      <c r="O292" s="35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7"/>
      <c r="V292" s="37"/>
      <c r="W292" s="38" t="s">
        <v>69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/>
      <c r="AB292" s="66"/>
      <c r="AC292" s="357" t="s">
        <v>473</v>
      </c>
      <c r="AG292" s="75"/>
      <c r="AJ292" s="79" t="s">
        <v>92</v>
      </c>
      <c r="AK292" s="79">
        <v>43.2</v>
      </c>
      <c r="BB292" s="358" t="s">
        <v>1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474</v>
      </c>
      <c r="B293" s="60" t="s">
        <v>475</v>
      </c>
      <c r="C293" s="34">
        <v>4301052057</v>
      </c>
      <c r="D293" s="564">
        <v>4680115887114</v>
      </c>
      <c r="E293" s="565"/>
      <c r="F293" s="59">
        <v>0.55000000000000004</v>
      </c>
      <c r="G293" s="35">
        <v>6</v>
      </c>
      <c r="H293" s="59">
        <v>3.3</v>
      </c>
      <c r="I293" s="59">
        <v>3.49</v>
      </c>
      <c r="J293" s="35">
        <v>132</v>
      </c>
      <c r="K293" s="35" t="s">
        <v>112</v>
      </c>
      <c r="L293" s="35"/>
      <c r="M293" s="36" t="s">
        <v>80</v>
      </c>
      <c r="N293" s="36"/>
      <c r="O293" s="35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7"/>
      <c r="V293" s="37"/>
      <c r="W293" s="38" t="s">
        <v>69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/>
      <c r="AB293" s="66"/>
      <c r="AC293" s="359" t="s">
        <v>476</v>
      </c>
      <c r="AG293" s="75"/>
      <c r="AJ293" s="79"/>
      <c r="AK293" s="79">
        <v>0</v>
      </c>
      <c r="BB293" s="360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40" t="s">
        <v>76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40" t="s">
        <v>69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62"/>
      <c r="AB296" s="62"/>
      <c r="AC296" s="62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63"/>
      <c r="AB297" s="63"/>
      <c r="AC297" s="63"/>
    </row>
    <row r="298" spans="1:68" ht="27" hidden="1" customHeight="1" x14ac:dyDescent="0.25">
      <c r="A298" s="60" t="s">
        <v>478</v>
      </c>
      <c r="B298" s="60" t="s">
        <v>479</v>
      </c>
      <c r="C298" s="34">
        <v>4301012126</v>
      </c>
      <c r="D298" s="564">
        <v>4607091386004</v>
      </c>
      <c r="E298" s="56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106</v>
      </c>
      <c r="L298" s="35"/>
      <c r="M298" s="36" t="s">
        <v>108</v>
      </c>
      <c r="N298" s="36"/>
      <c r="O298" s="35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7"/>
      <c r="V298" s="37"/>
      <c r="W298" s="38" t="s">
        <v>69</v>
      </c>
      <c r="X298" s="56">
        <v>0</v>
      </c>
      <c r="Y298" s="53">
        <f t="shared" ref="Y298:Y303" si="31">IFERROR(IF(X298="",0,CEILING((X298/$H298),1)*$H298),"")</f>
        <v>0</v>
      </c>
      <c r="Z298" s="39" t="str">
        <f>IFERROR(IF(Y298=0,"",ROUNDUP(Y298/H298,0)*0.01898),"")</f>
        <v/>
      </c>
      <c r="AA298" s="65"/>
      <c r="AB298" s="66"/>
      <c r="AC298" s="361" t="s">
        <v>480</v>
      </c>
      <c r="AG298" s="75"/>
      <c r="AJ298" s="79"/>
      <c r="AK298" s="79">
        <v>0</v>
      </c>
      <c r="BB298" s="362" t="s">
        <v>1</v>
      </c>
      <c r="BM298" s="75">
        <f t="shared" ref="BM298:BM303" si="32">IFERROR(X298*I298/H298,"0")</f>
        <v>0</v>
      </c>
      <c r="BN298" s="75">
        <f t="shared" ref="BN298:BN303" si="33">IFERROR(Y298*I298/H298,"0")</f>
        <v>0</v>
      </c>
      <c r="BO298" s="75">
        <f t="shared" ref="BO298:BO303" si="34">IFERROR(1/J298*(X298/H298),"0")</f>
        <v>0</v>
      </c>
      <c r="BP298" s="75">
        <f t="shared" ref="BP298:BP303" si="35">IFERROR(1/J298*(Y298/H298),"0")</f>
        <v>0</v>
      </c>
    </row>
    <row r="299" spans="1:68" ht="27" hidden="1" customHeight="1" x14ac:dyDescent="0.25">
      <c r="A299" s="60" t="s">
        <v>481</v>
      </c>
      <c r="B299" s="60" t="s">
        <v>482</v>
      </c>
      <c r="C299" s="34">
        <v>4301012024</v>
      </c>
      <c r="D299" s="564">
        <v>4680115885615</v>
      </c>
      <c r="E299" s="56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106</v>
      </c>
      <c r="L299" s="35" t="s">
        <v>107</v>
      </c>
      <c r="M299" s="36" t="s">
        <v>80</v>
      </c>
      <c r="N299" s="36"/>
      <c r="O299" s="35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7"/>
      <c r="V299" s="37"/>
      <c r="W299" s="38" t="s">
        <v>69</v>
      </c>
      <c r="X299" s="56">
        <v>0</v>
      </c>
      <c r="Y299" s="53">
        <f t="shared" si="31"/>
        <v>0</v>
      </c>
      <c r="Z299" s="39" t="str">
        <f>IFERROR(IF(Y299=0,"",ROUNDUP(Y299/H299,0)*0.01898),"")</f>
        <v/>
      </c>
      <c r="AA299" s="65"/>
      <c r="AB299" s="66"/>
      <c r="AC299" s="363" t="s">
        <v>483</v>
      </c>
      <c r="AG299" s="75"/>
      <c r="AJ299" s="79" t="s">
        <v>92</v>
      </c>
      <c r="AK299" s="79">
        <v>86.4</v>
      </c>
      <c r="BB299" s="364" t="s">
        <v>1</v>
      </c>
      <c r="BM299" s="75">
        <f t="shared" si="32"/>
        <v>0</v>
      </c>
      <c r="BN299" s="75">
        <f t="shared" si="33"/>
        <v>0</v>
      </c>
      <c r="BO299" s="75">
        <f t="shared" si="34"/>
        <v>0</v>
      </c>
      <c r="BP299" s="75">
        <f t="shared" si="35"/>
        <v>0</v>
      </c>
    </row>
    <row r="300" spans="1:68" ht="37.5" hidden="1" customHeight="1" x14ac:dyDescent="0.25">
      <c r="A300" s="60" t="s">
        <v>484</v>
      </c>
      <c r="B300" s="60" t="s">
        <v>485</v>
      </c>
      <c r="C300" s="34">
        <v>4301011858</v>
      </c>
      <c r="D300" s="564">
        <v>4680115885646</v>
      </c>
      <c r="E300" s="565"/>
      <c r="F300" s="59">
        <v>1.35</v>
      </c>
      <c r="G300" s="35">
        <v>8</v>
      </c>
      <c r="H300" s="59">
        <v>10.8</v>
      </c>
      <c r="I300" s="59">
        <v>11.21</v>
      </c>
      <c r="J300" s="35">
        <v>64</v>
      </c>
      <c r="K300" s="35" t="s">
        <v>106</v>
      </c>
      <c r="L300" s="35" t="s">
        <v>107</v>
      </c>
      <c r="M300" s="36" t="s">
        <v>108</v>
      </c>
      <c r="N300" s="36"/>
      <c r="O300" s="35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7"/>
      <c r="V300" s="37"/>
      <c r="W300" s="38" t="s">
        <v>69</v>
      </c>
      <c r="X300" s="56">
        <v>0</v>
      </c>
      <c r="Y300" s="53">
        <f t="shared" si="31"/>
        <v>0</v>
      </c>
      <c r="Z300" s="39" t="str">
        <f>IFERROR(IF(Y300=0,"",ROUNDUP(Y300/H300,0)*0.01898),"")</f>
        <v/>
      </c>
      <c r="AA300" s="65"/>
      <c r="AB300" s="66"/>
      <c r="AC300" s="365" t="s">
        <v>486</v>
      </c>
      <c r="AG300" s="75"/>
      <c r="AJ300" s="79" t="s">
        <v>92</v>
      </c>
      <c r="AK300" s="79">
        <v>86.4</v>
      </c>
      <c r="BB300" s="366" t="s">
        <v>1</v>
      </c>
      <c r="BM300" s="75">
        <f t="shared" si="32"/>
        <v>0</v>
      </c>
      <c r="BN300" s="75">
        <f t="shared" si="33"/>
        <v>0</v>
      </c>
      <c r="BO300" s="75">
        <f t="shared" si="34"/>
        <v>0</v>
      </c>
      <c r="BP300" s="75">
        <f t="shared" si="35"/>
        <v>0</v>
      </c>
    </row>
    <row r="301" spans="1:68" ht="27" hidden="1" customHeight="1" x14ac:dyDescent="0.25">
      <c r="A301" s="60" t="s">
        <v>487</v>
      </c>
      <c r="B301" s="60" t="s">
        <v>488</v>
      </c>
      <c r="C301" s="34">
        <v>4301012016</v>
      </c>
      <c r="D301" s="564">
        <v>4680115885554</v>
      </c>
      <c r="E301" s="565"/>
      <c r="F301" s="59">
        <v>1.35</v>
      </c>
      <c r="G301" s="35">
        <v>8</v>
      </c>
      <c r="H301" s="59">
        <v>10.8</v>
      </c>
      <c r="I301" s="59">
        <v>11.21</v>
      </c>
      <c r="J301" s="35">
        <v>64</v>
      </c>
      <c r="K301" s="35" t="s">
        <v>106</v>
      </c>
      <c r="L301" s="35"/>
      <c r="M301" s="36" t="s">
        <v>80</v>
      </c>
      <c r="N301" s="36"/>
      <c r="O301" s="35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7"/>
      <c r="V301" s="37"/>
      <c r="W301" s="38" t="s">
        <v>69</v>
      </c>
      <c r="X301" s="56">
        <v>0</v>
      </c>
      <c r="Y301" s="53">
        <f t="shared" si="31"/>
        <v>0</v>
      </c>
      <c r="Z301" s="39" t="str">
        <f>IFERROR(IF(Y301=0,"",ROUNDUP(Y301/H301,0)*0.01898),"")</f>
        <v/>
      </c>
      <c r="AA301" s="65"/>
      <c r="AB301" s="66"/>
      <c r="AC301" s="367" t="s">
        <v>489</v>
      </c>
      <c r="AG301" s="75"/>
      <c r="AJ301" s="79"/>
      <c r="AK301" s="79">
        <v>0</v>
      </c>
      <c r="BB301" s="368" t="s">
        <v>1</v>
      </c>
      <c r="BM301" s="75">
        <f t="shared" si="32"/>
        <v>0</v>
      </c>
      <c r="BN301" s="75">
        <f t="shared" si="33"/>
        <v>0</v>
      </c>
      <c r="BO301" s="75">
        <f t="shared" si="34"/>
        <v>0</v>
      </c>
      <c r="BP301" s="75">
        <f t="shared" si="35"/>
        <v>0</v>
      </c>
    </row>
    <row r="302" spans="1:68" ht="27" hidden="1" customHeight="1" x14ac:dyDescent="0.25">
      <c r="A302" s="60" t="s">
        <v>490</v>
      </c>
      <c r="B302" s="60" t="s">
        <v>491</v>
      </c>
      <c r="C302" s="34">
        <v>4301011857</v>
      </c>
      <c r="D302" s="564">
        <v>4680115885622</v>
      </c>
      <c r="E302" s="565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112</v>
      </c>
      <c r="L302" s="35" t="s">
        <v>115</v>
      </c>
      <c r="M302" s="36" t="s">
        <v>108</v>
      </c>
      <c r="N302" s="36"/>
      <c r="O302" s="35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7"/>
      <c r="V302" s="37"/>
      <c r="W302" s="38" t="s">
        <v>69</v>
      </c>
      <c r="X302" s="56">
        <v>0</v>
      </c>
      <c r="Y302" s="53">
        <f t="shared" si="31"/>
        <v>0</v>
      </c>
      <c r="Z302" s="39" t="str">
        <f>IFERROR(IF(Y302=0,"",ROUNDUP(Y302/H302,0)*0.00902),"")</f>
        <v/>
      </c>
      <c r="AA302" s="65"/>
      <c r="AB302" s="66"/>
      <c r="AC302" s="369" t="s">
        <v>483</v>
      </c>
      <c r="AG302" s="75"/>
      <c r="AJ302" s="79" t="s">
        <v>92</v>
      </c>
      <c r="AK302" s="79">
        <v>48</v>
      </c>
      <c r="BB302" s="370" t="s">
        <v>1</v>
      </c>
      <c r="BM302" s="75">
        <f t="shared" si="32"/>
        <v>0</v>
      </c>
      <c r="BN302" s="75">
        <f t="shared" si="33"/>
        <v>0</v>
      </c>
      <c r="BO302" s="75">
        <f t="shared" si="34"/>
        <v>0</v>
      </c>
      <c r="BP302" s="75">
        <f t="shared" si="35"/>
        <v>0</v>
      </c>
    </row>
    <row r="303" spans="1:68" ht="27" hidden="1" customHeight="1" x14ac:dyDescent="0.25">
      <c r="A303" s="60" t="s">
        <v>492</v>
      </c>
      <c r="B303" s="60" t="s">
        <v>493</v>
      </c>
      <c r="C303" s="34">
        <v>4301011859</v>
      </c>
      <c r="D303" s="564">
        <v>4680115885608</v>
      </c>
      <c r="E303" s="565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112</v>
      </c>
      <c r="L303" s="35" t="s">
        <v>115</v>
      </c>
      <c r="M303" s="36" t="s">
        <v>108</v>
      </c>
      <c r="N303" s="36"/>
      <c r="O303" s="35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7"/>
      <c r="V303" s="37"/>
      <c r="W303" s="38" t="s">
        <v>69</v>
      </c>
      <c r="X303" s="56">
        <v>0</v>
      </c>
      <c r="Y303" s="53">
        <f t="shared" si="31"/>
        <v>0</v>
      </c>
      <c r="Z303" s="39" t="str">
        <f>IFERROR(IF(Y303=0,"",ROUNDUP(Y303/H303,0)*0.00902),"")</f>
        <v/>
      </c>
      <c r="AA303" s="65"/>
      <c r="AB303" s="66"/>
      <c r="AC303" s="371" t="s">
        <v>494</v>
      </c>
      <c r="AG303" s="75"/>
      <c r="AJ303" s="79" t="s">
        <v>92</v>
      </c>
      <c r="AK303" s="79">
        <v>48</v>
      </c>
      <c r="BB303" s="372" t="s">
        <v>1</v>
      </c>
      <c r="BM303" s="75">
        <f t="shared" si="32"/>
        <v>0</v>
      </c>
      <c r="BN303" s="75">
        <f t="shared" si="33"/>
        <v>0</v>
      </c>
      <c r="BO303" s="75">
        <f t="shared" si="34"/>
        <v>0</v>
      </c>
      <c r="BP303" s="75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40" t="s">
        <v>76</v>
      </c>
      <c r="X304" s="41">
        <f>IFERROR(X298/H298,"0")+IFERROR(X299/H299,"0")+IFERROR(X300/H300,"0")+IFERROR(X301/H301,"0")+IFERROR(X302/H302,"0")+IFERROR(X303/H303,"0")</f>
        <v>0</v>
      </c>
      <c r="Y304" s="41">
        <f>IFERROR(Y298/H298,"0")+IFERROR(Y299/H299,"0")+IFERROR(Y300/H300,"0")+IFERROR(Y301/H301,"0")+IFERROR(Y302/H302,"0")+IFERROR(Y303/H303,"0")</f>
        <v>0</v>
      </c>
      <c r="Z304" s="41">
        <f>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40" t="s">
        <v>69</v>
      </c>
      <c r="X305" s="41">
        <f>IFERROR(SUM(X298:X303),"0")</f>
        <v>0</v>
      </c>
      <c r="Y305" s="41">
        <f>IFERROR(SUM(Y298:Y303),"0")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63"/>
      <c r="AB306" s="63"/>
      <c r="AC306" s="63"/>
    </row>
    <row r="307" spans="1:68" ht="27" hidden="1" customHeight="1" x14ac:dyDescent="0.25">
      <c r="A307" s="60" t="s">
        <v>495</v>
      </c>
      <c r="B307" s="60" t="s">
        <v>496</v>
      </c>
      <c r="C307" s="34">
        <v>4301030878</v>
      </c>
      <c r="D307" s="564">
        <v>4607091387193</v>
      </c>
      <c r="E307" s="565"/>
      <c r="F307" s="59">
        <v>0.7</v>
      </c>
      <c r="G307" s="35">
        <v>6</v>
      </c>
      <c r="H307" s="59">
        <v>4.2</v>
      </c>
      <c r="I307" s="59">
        <v>4.45</v>
      </c>
      <c r="J307" s="35">
        <v>132</v>
      </c>
      <c r="K307" s="35" t="s">
        <v>112</v>
      </c>
      <c r="L307" s="35" t="s">
        <v>115</v>
      </c>
      <c r="M307" s="36" t="s">
        <v>68</v>
      </c>
      <c r="N307" s="36"/>
      <c r="O307" s="35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7"/>
      <c r="V307" s="37"/>
      <c r="W307" s="38" t="s">
        <v>69</v>
      </c>
      <c r="X307" s="56">
        <v>0</v>
      </c>
      <c r="Y307" s="53">
        <f t="shared" ref="Y307:Y312" si="36">IFERROR(IF(X307="",0,CEILING((X307/$H307),1)*$H307),"")</f>
        <v>0</v>
      </c>
      <c r="Z307" s="39" t="str">
        <f>IFERROR(IF(Y307=0,"",ROUNDUP(Y307/H307,0)*0.00902),"")</f>
        <v/>
      </c>
      <c r="AA307" s="65"/>
      <c r="AB307" s="66"/>
      <c r="AC307" s="373" t="s">
        <v>497</v>
      </c>
      <c r="AG307" s="75"/>
      <c r="AJ307" s="79" t="s">
        <v>92</v>
      </c>
      <c r="AK307" s="79">
        <v>50.4</v>
      </c>
      <c r="BB307" s="374" t="s">
        <v>1</v>
      </c>
      <c r="BM307" s="75">
        <f t="shared" ref="BM307:BM312" si="37">IFERROR(X307*I307/H307,"0")</f>
        <v>0</v>
      </c>
      <c r="BN307" s="75">
        <f t="shared" ref="BN307:BN312" si="38">IFERROR(Y307*I307/H307,"0")</f>
        <v>0</v>
      </c>
      <c r="BO307" s="75">
        <f t="shared" ref="BO307:BO312" si="39">IFERROR(1/J307*(X307/H307),"0")</f>
        <v>0</v>
      </c>
      <c r="BP307" s="75">
        <f t="shared" ref="BP307:BP312" si="40">IFERROR(1/J307*(Y307/H307),"0")</f>
        <v>0</v>
      </c>
    </row>
    <row r="308" spans="1:68" ht="27" customHeight="1" x14ac:dyDescent="0.25">
      <c r="A308" s="60" t="s">
        <v>498</v>
      </c>
      <c r="B308" s="60" t="s">
        <v>499</v>
      </c>
      <c r="C308" s="34">
        <v>4301031153</v>
      </c>
      <c r="D308" s="564">
        <v>4607091387230</v>
      </c>
      <c r="E308" s="565"/>
      <c r="F308" s="59">
        <v>0.7</v>
      </c>
      <c r="G308" s="35">
        <v>6</v>
      </c>
      <c r="H308" s="59">
        <v>4.2</v>
      </c>
      <c r="I308" s="59">
        <v>4.45</v>
      </c>
      <c r="J308" s="35">
        <v>132</v>
      </c>
      <c r="K308" s="35" t="s">
        <v>112</v>
      </c>
      <c r="L308" s="35" t="s">
        <v>115</v>
      </c>
      <c r="M308" s="36" t="s">
        <v>68</v>
      </c>
      <c r="N308" s="36"/>
      <c r="O308" s="35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7"/>
      <c r="V308" s="37"/>
      <c r="W308" s="38" t="s">
        <v>69</v>
      </c>
      <c r="X308" s="56">
        <v>80</v>
      </c>
      <c r="Y308" s="53">
        <f t="shared" si="36"/>
        <v>84</v>
      </c>
      <c r="Z308" s="39">
        <f>IFERROR(IF(Y308=0,"",ROUNDUP(Y308/H308,0)*0.00902),"")</f>
        <v>0.1804</v>
      </c>
      <c r="AA308" s="65"/>
      <c r="AB308" s="66"/>
      <c r="AC308" s="375" t="s">
        <v>500</v>
      </c>
      <c r="AG308" s="75"/>
      <c r="AJ308" s="79" t="s">
        <v>92</v>
      </c>
      <c r="AK308" s="79">
        <v>50.4</v>
      </c>
      <c r="BB308" s="376" t="s">
        <v>1</v>
      </c>
      <c r="BM308" s="75">
        <f t="shared" si="37"/>
        <v>84.761904761904759</v>
      </c>
      <c r="BN308" s="75">
        <f t="shared" si="38"/>
        <v>89</v>
      </c>
      <c r="BO308" s="75">
        <f t="shared" si="39"/>
        <v>0.14430014430014429</v>
      </c>
      <c r="BP308" s="75">
        <f t="shared" si="40"/>
        <v>0.15151515151515152</v>
      </c>
    </row>
    <row r="309" spans="1:68" ht="27" hidden="1" customHeight="1" x14ac:dyDescent="0.25">
      <c r="A309" s="60" t="s">
        <v>501</v>
      </c>
      <c r="B309" s="60" t="s">
        <v>502</v>
      </c>
      <c r="C309" s="34">
        <v>4301031154</v>
      </c>
      <c r="D309" s="564">
        <v>4607091387292</v>
      </c>
      <c r="E309" s="565"/>
      <c r="F309" s="59">
        <v>0.73</v>
      </c>
      <c r="G309" s="35">
        <v>6</v>
      </c>
      <c r="H309" s="59">
        <v>4.38</v>
      </c>
      <c r="I309" s="59">
        <v>4.63</v>
      </c>
      <c r="J309" s="35">
        <v>132</v>
      </c>
      <c r="K309" s="35" t="s">
        <v>112</v>
      </c>
      <c r="L309" s="35"/>
      <c r="M309" s="36" t="s">
        <v>68</v>
      </c>
      <c r="N309" s="36"/>
      <c r="O309" s="35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7"/>
      <c r="V309" s="37"/>
      <c r="W309" s="38" t="s">
        <v>69</v>
      </c>
      <c r="X309" s="56">
        <v>0</v>
      </c>
      <c r="Y309" s="53">
        <f t="shared" si="36"/>
        <v>0</v>
      </c>
      <c r="Z309" s="39" t="str">
        <f>IFERROR(IF(Y309=0,"",ROUNDUP(Y309/H309,0)*0.00902),"")</f>
        <v/>
      </c>
      <c r="AA309" s="65"/>
      <c r="AB309" s="66"/>
      <c r="AC309" s="377" t="s">
        <v>503</v>
      </c>
      <c r="AG309" s="75"/>
      <c r="AJ309" s="79"/>
      <c r="AK309" s="79">
        <v>0</v>
      </c>
      <c r="BB309" s="378" t="s">
        <v>1</v>
      </c>
      <c r="BM309" s="75">
        <f t="shared" si="37"/>
        <v>0</v>
      </c>
      <c r="BN309" s="75">
        <f t="shared" si="38"/>
        <v>0</v>
      </c>
      <c r="BO309" s="75">
        <f t="shared" si="39"/>
        <v>0</v>
      </c>
      <c r="BP309" s="75">
        <f t="shared" si="40"/>
        <v>0</v>
      </c>
    </row>
    <row r="310" spans="1:68" ht="27" hidden="1" customHeight="1" x14ac:dyDescent="0.25">
      <c r="A310" s="60" t="s">
        <v>504</v>
      </c>
      <c r="B310" s="60" t="s">
        <v>505</v>
      </c>
      <c r="C310" s="34">
        <v>4301031152</v>
      </c>
      <c r="D310" s="564">
        <v>4607091387285</v>
      </c>
      <c r="E310" s="565"/>
      <c r="F310" s="59">
        <v>0.35</v>
      </c>
      <c r="G310" s="35">
        <v>6</v>
      </c>
      <c r="H310" s="59">
        <v>2.1</v>
      </c>
      <c r="I310" s="59">
        <v>2.23</v>
      </c>
      <c r="J310" s="35">
        <v>234</v>
      </c>
      <c r="K310" s="35" t="s">
        <v>73</v>
      </c>
      <c r="L310" s="35" t="s">
        <v>296</v>
      </c>
      <c r="M310" s="36" t="s">
        <v>68</v>
      </c>
      <c r="N310" s="36"/>
      <c r="O310" s="35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7"/>
      <c r="V310" s="37"/>
      <c r="W310" s="38" t="s">
        <v>69</v>
      </c>
      <c r="X310" s="56">
        <v>0</v>
      </c>
      <c r="Y310" s="53">
        <f t="shared" si="36"/>
        <v>0</v>
      </c>
      <c r="Z310" s="39" t="str">
        <f>IFERROR(IF(Y310=0,"",ROUNDUP(Y310/H310,0)*0.00502),"")</f>
        <v/>
      </c>
      <c r="AA310" s="65"/>
      <c r="AB310" s="66"/>
      <c r="AC310" s="379" t="s">
        <v>500</v>
      </c>
      <c r="AG310" s="75"/>
      <c r="AJ310" s="79" t="s">
        <v>92</v>
      </c>
      <c r="AK310" s="79">
        <v>37.799999999999997</v>
      </c>
      <c r="BB310" s="380" t="s">
        <v>1</v>
      </c>
      <c r="BM310" s="75">
        <f t="shared" si="37"/>
        <v>0</v>
      </c>
      <c r="BN310" s="75">
        <f t="shared" si="38"/>
        <v>0</v>
      </c>
      <c r="BO310" s="75">
        <f t="shared" si="39"/>
        <v>0</v>
      </c>
      <c r="BP310" s="75">
        <f t="shared" si="40"/>
        <v>0</v>
      </c>
    </row>
    <row r="311" spans="1:68" ht="27" hidden="1" customHeight="1" x14ac:dyDescent="0.25">
      <c r="A311" s="60" t="s">
        <v>506</v>
      </c>
      <c r="B311" s="60" t="s">
        <v>507</v>
      </c>
      <c r="C311" s="34">
        <v>4301031305</v>
      </c>
      <c r="D311" s="564">
        <v>4607091389845</v>
      </c>
      <c r="E311" s="565"/>
      <c r="F311" s="59">
        <v>0.35</v>
      </c>
      <c r="G311" s="35">
        <v>6</v>
      </c>
      <c r="H311" s="59">
        <v>2.1</v>
      </c>
      <c r="I311" s="59">
        <v>2.2000000000000002</v>
      </c>
      <c r="J311" s="35">
        <v>234</v>
      </c>
      <c r="K311" s="35" t="s">
        <v>73</v>
      </c>
      <c r="L311" s="35" t="s">
        <v>296</v>
      </c>
      <c r="M311" s="36" t="s">
        <v>68</v>
      </c>
      <c r="N311" s="36"/>
      <c r="O311" s="35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7"/>
      <c r="V311" s="37"/>
      <c r="W311" s="38" t="s">
        <v>69</v>
      </c>
      <c r="X311" s="56">
        <v>0</v>
      </c>
      <c r="Y311" s="53">
        <f t="shared" si="36"/>
        <v>0</v>
      </c>
      <c r="Z311" s="39" t="str">
        <f>IFERROR(IF(Y311=0,"",ROUNDUP(Y311/H311,0)*0.00502),"")</f>
        <v/>
      </c>
      <c r="AA311" s="65"/>
      <c r="AB311" s="66"/>
      <c r="AC311" s="381" t="s">
        <v>508</v>
      </c>
      <c r="AG311" s="75"/>
      <c r="AJ311" s="79" t="s">
        <v>92</v>
      </c>
      <c r="AK311" s="79">
        <v>37.799999999999997</v>
      </c>
      <c r="BB311" s="382" t="s">
        <v>1</v>
      </c>
      <c r="BM311" s="75">
        <f t="shared" si="37"/>
        <v>0</v>
      </c>
      <c r="BN311" s="75">
        <f t="shared" si="38"/>
        <v>0</v>
      </c>
      <c r="BO311" s="75">
        <f t="shared" si="39"/>
        <v>0</v>
      </c>
      <c r="BP311" s="75">
        <f t="shared" si="40"/>
        <v>0</v>
      </c>
    </row>
    <row r="312" spans="1:68" ht="27" hidden="1" customHeight="1" x14ac:dyDescent="0.25">
      <c r="A312" s="60" t="s">
        <v>509</v>
      </c>
      <c r="B312" s="60" t="s">
        <v>510</v>
      </c>
      <c r="C312" s="34">
        <v>4301031066</v>
      </c>
      <c r="D312" s="564">
        <v>4607091383836</v>
      </c>
      <c r="E312" s="565"/>
      <c r="F312" s="59">
        <v>0.3</v>
      </c>
      <c r="G312" s="35">
        <v>6</v>
      </c>
      <c r="H312" s="59">
        <v>1.8</v>
      </c>
      <c r="I312" s="59">
        <v>2.028</v>
      </c>
      <c r="J312" s="35">
        <v>182</v>
      </c>
      <c r="K312" s="35" t="s">
        <v>67</v>
      </c>
      <c r="L312" s="35" t="s">
        <v>90</v>
      </c>
      <c r="M312" s="36" t="s">
        <v>68</v>
      </c>
      <c r="N312" s="36"/>
      <c r="O312" s="35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7"/>
      <c r="V312" s="37"/>
      <c r="W312" s="38" t="s">
        <v>69</v>
      </c>
      <c r="X312" s="56">
        <v>0</v>
      </c>
      <c r="Y312" s="53">
        <f t="shared" si="36"/>
        <v>0</v>
      </c>
      <c r="Z312" s="39" t="str">
        <f>IFERROR(IF(Y312=0,"",ROUNDUP(Y312/H312,0)*0.00651),"")</f>
        <v/>
      </c>
      <c r="AA312" s="65"/>
      <c r="AB312" s="66"/>
      <c r="AC312" s="383" t="s">
        <v>511</v>
      </c>
      <c r="AG312" s="75"/>
      <c r="AJ312" s="79" t="s">
        <v>92</v>
      </c>
      <c r="AK312" s="79">
        <v>25.2</v>
      </c>
      <c r="BB312" s="384" t="s">
        <v>1</v>
      </c>
      <c r="BM312" s="75">
        <f t="shared" si="37"/>
        <v>0</v>
      </c>
      <c r="BN312" s="75">
        <f t="shared" si="38"/>
        <v>0</v>
      </c>
      <c r="BO312" s="75">
        <f t="shared" si="39"/>
        <v>0</v>
      </c>
      <c r="BP312" s="75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40" t="s">
        <v>76</v>
      </c>
      <c r="X313" s="41">
        <f>IFERROR(X307/H307,"0")+IFERROR(X308/H308,"0")+IFERROR(X309/H309,"0")+IFERROR(X310/H310,"0")+IFERROR(X311/H311,"0")+IFERROR(X312/H312,"0")</f>
        <v>19.047619047619047</v>
      </c>
      <c r="Y313" s="41">
        <f>IFERROR(Y307/H307,"0")+IFERROR(Y308/H308,"0")+IFERROR(Y309/H309,"0")+IFERROR(Y310/H310,"0")+IFERROR(Y311/H311,"0")+IFERROR(Y312/H312,"0")</f>
        <v>20</v>
      </c>
      <c r="Z313" s="41">
        <f>IFERROR(IF(Z307="",0,Z307),"0")+IFERROR(IF(Z308="",0,Z308),"0")+IFERROR(IF(Z309="",0,Z309),"0")+IFERROR(IF(Z310="",0,Z310),"0")+IFERROR(IF(Z311="",0,Z311),"0")+IFERROR(IF(Z312="",0,Z312),"0")</f>
        <v>0.1804</v>
      </c>
      <c r="AA313" s="64"/>
      <c r="AB313" s="64"/>
      <c r="AC313" s="64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40" t="s">
        <v>69</v>
      </c>
      <c r="X314" s="41">
        <f>IFERROR(SUM(X307:X312),"0")</f>
        <v>80</v>
      </c>
      <c r="Y314" s="41">
        <f>IFERROR(SUM(Y307:Y312),"0")</f>
        <v>84</v>
      </c>
      <c r="Z314" s="40"/>
      <c r="AA314" s="64"/>
      <c r="AB314" s="64"/>
      <c r="AC314" s="64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63"/>
      <c r="AB315" s="63"/>
      <c r="AC315" s="63"/>
    </row>
    <row r="316" spans="1:68" ht="27" hidden="1" customHeight="1" x14ac:dyDescent="0.25">
      <c r="A316" s="60" t="s">
        <v>512</v>
      </c>
      <c r="B316" s="60" t="s">
        <v>513</v>
      </c>
      <c r="C316" s="34">
        <v>4301051100</v>
      </c>
      <c r="D316" s="564">
        <v>4607091387766</v>
      </c>
      <c r="E316" s="565"/>
      <c r="F316" s="59">
        <v>1.3</v>
      </c>
      <c r="G316" s="35">
        <v>6</v>
      </c>
      <c r="H316" s="59">
        <v>7.8</v>
      </c>
      <c r="I316" s="59">
        <v>8.2880000000000003</v>
      </c>
      <c r="J316" s="35">
        <v>64</v>
      </c>
      <c r="K316" s="35" t="s">
        <v>106</v>
      </c>
      <c r="L316" s="35" t="s">
        <v>107</v>
      </c>
      <c r="M316" s="36" t="s">
        <v>80</v>
      </c>
      <c r="N316" s="36"/>
      <c r="O316" s="35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7"/>
      <c r="V316" s="37"/>
      <c r="W316" s="38" t="s">
        <v>69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85" t="s">
        <v>514</v>
      </c>
      <c r="AG316" s="75"/>
      <c r="AJ316" s="79" t="s">
        <v>92</v>
      </c>
      <c r="AK316" s="79">
        <v>62.4</v>
      </c>
      <c r="BB316" s="386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515</v>
      </c>
      <c r="B317" s="60" t="s">
        <v>516</v>
      </c>
      <c r="C317" s="34">
        <v>4301051818</v>
      </c>
      <c r="D317" s="564">
        <v>4607091387957</v>
      </c>
      <c r="E317" s="565"/>
      <c r="F317" s="59">
        <v>1.3</v>
      </c>
      <c r="G317" s="35">
        <v>6</v>
      </c>
      <c r="H317" s="59">
        <v>7.8</v>
      </c>
      <c r="I317" s="59">
        <v>8.2940000000000005</v>
      </c>
      <c r="J317" s="35">
        <v>64</v>
      </c>
      <c r="K317" s="35" t="s">
        <v>106</v>
      </c>
      <c r="L317" s="35"/>
      <c r="M317" s="36" t="s">
        <v>80</v>
      </c>
      <c r="N317" s="36"/>
      <c r="O317" s="35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7"/>
      <c r="V317" s="37"/>
      <c r="W317" s="38" t="s">
        <v>69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87" t="s">
        <v>517</v>
      </c>
      <c r="AG317" s="75"/>
      <c r="AJ317" s="79"/>
      <c r="AK317" s="79">
        <v>0</v>
      </c>
      <c r="BB317" s="38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518</v>
      </c>
      <c r="B318" s="60" t="s">
        <v>519</v>
      </c>
      <c r="C318" s="34">
        <v>4301051819</v>
      </c>
      <c r="D318" s="564">
        <v>4607091387964</v>
      </c>
      <c r="E318" s="565"/>
      <c r="F318" s="59">
        <v>1.35</v>
      </c>
      <c r="G318" s="35">
        <v>6</v>
      </c>
      <c r="H318" s="59">
        <v>8.1</v>
      </c>
      <c r="I318" s="59">
        <v>8.5760000000000005</v>
      </c>
      <c r="J318" s="35">
        <v>64</v>
      </c>
      <c r="K318" s="35" t="s">
        <v>106</v>
      </c>
      <c r="L318" s="35"/>
      <c r="M318" s="36" t="s">
        <v>80</v>
      </c>
      <c r="N318" s="36"/>
      <c r="O318" s="35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7"/>
      <c r="V318" s="37"/>
      <c r="W318" s="38" t="s">
        <v>69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/>
      <c r="AB318" s="66"/>
      <c r="AC318" s="389" t="s">
        <v>520</v>
      </c>
      <c r="AG318" s="75"/>
      <c r="AJ318" s="79"/>
      <c r="AK318" s="79">
        <v>0</v>
      </c>
      <c r="BB318" s="39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521</v>
      </c>
      <c r="B319" s="60" t="s">
        <v>522</v>
      </c>
      <c r="C319" s="34">
        <v>4301051734</v>
      </c>
      <c r="D319" s="564">
        <v>4680115884588</v>
      </c>
      <c r="E319" s="565"/>
      <c r="F319" s="59">
        <v>0.5</v>
      </c>
      <c r="G319" s="35">
        <v>6</v>
      </c>
      <c r="H319" s="59">
        <v>3</v>
      </c>
      <c r="I319" s="59">
        <v>3.246</v>
      </c>
      <c r="J319" s="35">
        <v>182</v>
      </c>
      <c r="K319" s="35" t="s">
        <v>67</v>
      </c>
      <c r="L319" s="35" t="s">
        <v>90</v>
      </c>
      <c r="M319" s="36" t="s">
        <v>80</v>
      </c>
      <c r="N319" s="36"/>
      <c r="O319" s="35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7"/>
      <c r="V319" s="37"/>
      <c r="W319" s="38" t="s">
        <v>69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1" t="s">
        <v>523</v>
      </c>
      <c r="AG319" s="75"/>
      <c r="AJ319" s="79" t="s">
        <v>92</v>
      </c>
      <c r="AK319" s="79">
        <v>42</v>
      </c>
      <c r="BB319" s="39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40" t="s">
        <v>76</v>
      </c>
      <c r="X320" s="41">
        <f>IFERROR(X316/H316,"0")+IFERROR(X317/H317,"0")+IFERROR(X318/H318,"0")+IFERROR(X319/H319,"0")</f>
        <v>0</v>
      </c>
      <c r="Y320" s="41">
        <f>IFERROR(Y316/H316,"0")+IFERROR(Y317/H317,"0")+IFERROR(Y318/H318,"0")+IFERROR(Y319/H319,"0")</f>
        <v>0</v>
      </c>
      <c r="Z320" s="41">
        <f>IFERROR(IF(Z316="",0,Z316),"0")+IFERROR(IF(Z317="",0,Z317),"0")+IFERROR(IF(Z318="",0,Z318),"0")+IFERROR(IF(Z319="",0,Z319),"0")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40" t="s">
        <v>69</v>
      </c>
      <c r="X321" s="41">
        <f>IFERROR(SUM(X316:X319),"0")</f>
        <v>0</v>
      </c>
      <c r="Y321" s="41">
        <f>IFERROR(SUM(Y316:Y319),"0")</f>
        <v>0</v>
      </c>
      <c r="Z321" s="40"/>
      <c r="AA321" s="64"/>
      <c r="AB321" s="64"/>
      <c r="AC321" s="64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63"/>
      <c r="AB322" s="63"/>
      <c r="AC322" s="63"/>
    </row>
    <row r="323" spans="1:68" ht="27" hidden="1" customHeight="1" x14ac:dyDescent="0.25">
      <c r="A323" s="60" t="s">
        <v>524</v>
      </c>
      <c r="B323" s="60" t="s">
        <v>525</v>
      </c>
      <c r="C323" s="34">
        <v>4301060387</v>
      </c>
      <c r="D323" s="564">
        <v>4607091380880</v>
      </c>
      <c r="E323" s="565"/>
      <c r="F323" s="59">
        <v>1.4</v>
      </c>
      <c r="G323" s="35">
        <v>6</v>
      </c>
      <c r="H323" s="59">
        <v>8.4</v>
      </c>
      <c r="I323" s="59">
        <v>8.8940000000000001</v>
      </c>
      <c r="J323" s="35">
        <v>64</v>
      </c>
      <c r="K323" s="35" t="s">
        <v>106</v>
      </c>
      <c r="L323" s="35" t="s">
        <v>107</v>
      </c>
      <c r="M323" s="36" t="s">
        <v>80</v>
      </c>
      <c r="N323" s="36"/>
      <c r="O323" s="35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7"/>
      <c r="V323" s="37"/>
      <c r="W323" s="38" t="s">
        <v>69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/>
      <c r="AB323" s="66"/>
      <c r="AC323" s="393" t="s">
        <v>526</v>
      </c>
      <c r="AG323" s="75"/>
      <c r="AJ323" s="79" t="s">
        <v>92</v>
      </c>
      <c r="AK323" s="79">
        <v>67.2</v>
      </c>
      <c r="BB323" s="394" t="s">
        <v>1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527</v>
      </c>
      <c r="B324" s="60" t="s">
        <v>528</v>
      </c>
      <c r="C324" s="34">
        <v>4301060406</v>
      </c>
      <c r="D324" s="564">
        <v>4607091384482</v>
      </c>
      <c r="E324" s="565"/>
      <c r="F324" s="59">
        <v>1.3</v>
      </c>
      <c r="G324" s="35">
        <v>6</v>
      </c>
      <c r="H324" s="59">
        <v>7.8</v>
      </c>
      <c r="I324" s="59">
        <v>8.2940000000000005</v>
      </c>
      <c r="J324" s="35">
        <v>64</v>
      </c>
      <c r="K324" s="35" t="s">
        <v>106</v>
      </c>
      <c r="L324" s="35" t="s">
        <v>107</v>
      </c>
      <c r="M324" s="36" t="s">
        <v>80</v>
      </c>
      <c r="N324" s="36"/>
      <c r="O324" s="35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7"/>
      <c r="V324" s="37"/>
      <c r="W324" s="38" t="s">
        <v>69</v>
      </c>
      <c r="X324" s="56">
        <v>120</v>
      </c>
      <c r="Y324" s="53">
        <f>IFERROR(IF(X324="",0,CEILING((X324/$H324),1)*$H324),"")</f>
        <v>124.8</v>
      </c>
      <c r="Z324" s="39">
        <f>IFERROR(IF(Y324=0,"",ROUNDUP(Y324/H324,0)*0.01898),"")</f>
        <v>0.30368000000000001</v>
      </c>
      <c r="AA324" s="65"/>
      <c r="AB324" s="66"/>
      <c r="AC324" s="395" t="s">
        <v>529</v>
      </c>
      <c r="AG324" s="75"/>
      <c r="AJ324" s="79" t="s">
        <v>92</v>
      </c>
      <c r="AK324" s="79">
        <v>62.4</v>
      </c>
      <c r="BB324" s="396" t="s">
        <v>1</v>
      </c>
      <c r="BM324" s="75">
        <f>IFERROR(X324*I324/H324,"0")</f>
        <v>127.60000000000001</v>
      </c>
      <c r="BN324" s="75">
        <f>IFERROR(Y324*I324/H324,"0")</f>
        <v>132.70400000000001</v>
      </c>
      <c r="BO324" s="75">
        <f>IFERROR(1/J324*(X324/H324),"0")</f>
        <v>0.24038461538461539</v>
      </c>
      <c r="BP324" s="75">
        <f>IFERROR(1/J324*(Y324/H324),"0")</f>
        <v>0.25</v>
      </c>
    </row>
    <row r="325" spans="1:68" ht="16.5" hidden="1" customHeight="1" x14ac:dyDescent="0.25">
      <c r="A325" s="60" t="s">
        <v>530</v>
      </c>
      <c r="B325" s="60" t="s">
        <v>531</v>
      </c>
      <c r="C325" s="34">
        <v>4301060484</v>
      </c>
      <c r="D325" s="564">
        <v>4607091380897</v>
      </c>
      <c r="E325" s="565"/>
      <c r="F325" s="59">
        <v>1.4</v>
      </c>
      <c r="G325" s="35">
        <v>6</v>
      </c>
      <c r="H325" s="59">
        <v>8.4</v>
      </c>
      <c r="I325" s="59">
        <v>8.8940000000000001</v>
      </c>
      <c r="J325" s="35">
        <v>64</v>
      </c>
      <c r="K325" s="35" t="s">
        <v>106</v>
      </c>
      <c r="L325" s="35" t="s">
        <v>107</v>
      </c>
      <c r="M325" s="36" t="s">
        <v>86</v>
      </c>
      <c r="N325" s="36"/>
      <c r="O325" s="35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7"/>
      <c r="V325" s="37"/>
      <c r="W325" s="38" t="s">
        <v>69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397" t="s">
        <v>532</v>
      </c>
      <c r="AG325" s="75"/>
      <c r="AJ325" s="79" t="s">
        <v>92</v>
      </c>
      <c r="AK325" s="79">
        <v>67.2</v>
      </c>
      <c r="BB325" s="398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40" t="s">
        <v>76</v>
      </c>
      <c r="X326" s="41">
        <f>IFERROR(X323/H323,"0")+IFERROR(X324/H324,"0")+IFERROR(X325/H325,"0")</f>
        <v>15.384615384615385</v>
      </c>
      <c r="Y326" s="41">
        <f>IFERROR(Y323/H323,"0")+IFERROR(Y324/H324,"0")+IFERROR(Y325/H325,"0")</f>
        <v>16</v>
      </c>
      <c r="Z326" s="41">
        <f>IFERROR(IF(Z323="",0,Z323),"0")+IFERROR(IF(Z324="",0,Z324),"0")+IFERROR(IF(Z325="",0,Z325),"0")</f>
        <v>0.30368000000000001</v>
      </c>
      <c r="AA326" s="64"/>
      <c r="AB326" s="64"/>
      <c r="AC326" s="64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40" t="s">
        <v>69</v>
      </c>
      <c r="X327" s="41">
        <f>IFERROR(SUM(X323:X325),"0")</f>
        <v>120</v>
      </c>
      <c r="Y327" s="41">
        <f>IFERROR(SUM(Y323:Y325),"0")</f>
        <v>124.8</v>
      </c>
      <c r="Z327" s="40"/>
      <c r="AA327" s="64"/>
      <c r="AB327" s="64"/>
      <c r="AC327" s="64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63"/>
      <c r="AB328" s="63"/>
      <c r="AC328" s="63"/>
    </row>
    <row r="329" spans="1:68" ht="27" hidden="1" customHeight="1" x14ac:dyDescent="0.25">
      <c r="A329" s="60" t="s">
        <v>533</v>
      </c>
      <c r="B329" s="60" t="s">
        <v>534</v>
      </c>
      <c r="C329" s="34">
        <v>4301030235</v>
      </c>
      <c r="D329" s="564">
        <v>4607091388381</v>
      </c>
      <c r="E329" s="565"/>
      <c r="F329" s="59">
        <v>0.38</v>
      </c>
      <c r="G329" s="35">
        <v>8</v>
      </c>
      <c r="H329" s="59">
        <v>3.04</v>
      </c>
      <c r="I329" s="59">
        <v>3.31</v>
      </c>
      <c r="J329" s="35">
        <v>132</v>
      </c>
      <c r="K329" s="35" t="s">
        <v>112</v>
      </c>
      <c r="L329" s="35"/>
      <c r="M329" s="36" t="s">
        <v>98</v>
      </c>
      <c r="N329" s="36"/>
      <c r="O329" s="35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7"/>
      <c r="V329" s="37"/>
      <c r="W329" s="38" t="s">
        <v>69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/>
      <c r="AB329" s="66"/>
      <c r="AC329" s="399" t="s">
        <v>535</v>
      </c>
      <c r="AG329" s="75"/>
      <c r="AJ329" s="79"/>
      <c r="AK329" s="79">
        <v>0</v>
      </c>
      <c r="BB329" s="400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536</v>
      </c>
      <c r="B330" s="60" t="s">
        <v>537</v>
      </c>
      <c r="C330" s="34">
        <v>4301030232</v>
      </c>
      <c r="D330" s="564">
        <v>4607091388374</v>
      </c>
      <c r="E330" s="565"/>
      <c r="F330" s="59">
        <v>0.38</v>
      </c>
      <c r="G330" s="35">
        <v>8</v>
      </c>
      <c r="H330" s="59">
        <v>3.04</v>
      </c>
      <c r="I330" s="59">
        <v>3.27</v>
      </c>
      <c r="J330" s="35">
        <v>132</v>
      </c>
      <c r="K330" s="35" t="s">
        <v>112</v>
      </c>
      <c r="L330" s="35"/>
      <c r="M330" s="36" t="s">
        <v>98</v>
      </c>
      <c r="N330" s="36"/>
      <c r="O330" s="35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7"/>
      <c r="V330" s="37"/>
      <c r="W330" s="38" t="s">
        <v>69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/>
      <c r="AB330" s="66"/>
      <c r="AC330" s="401" t="s">
        <v>535</v>
      </c>
      <c r="AG330" s="75"/>
      <c r="AJ330" s="79"/>
      <c r="AK330" s="79">
        <v>0</v>
      </c>
      <c r="BB330" s="402" t="s">
        <v>1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538</v>
      </c>
      <c r="B331" s="60" t="s">
        <v>539</v>
      </c>
      <c r="C331" s="34">
        <v>4301032015</v>
      </c>
      <c r="D331" s="564">
        <v>4607091383102</v>
      </c>
      <c r="E331" s="565"/>
      <c r="F331" s="59">
        <v>0.17</v>
      </c>
      <c r="G331" s="35">
        <v>15</v>
      </c>
      <c r="H331" s="59">
        <v>2.5499999999999998</v>
      </c>
      <c r="I331" s="59">
        <v>2.9550000000000001</v>
      </c>
      <c r="J331" s="35">
        <v>182</v>
      </c>
      <c r="K331" s="35" t="s">
        <v>67</v>
      </c>
      <c r="L331" s="35"/>
      <c r="M331" s="36" t="s">
        <v>98</v>
      </c>
      <c r="N331" s="36"/>
      <c r="O331" s="35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7"/>
      <c r="V331" s="37"/>
      <c r="W331" s="38" t="s">
        <v>69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/>
      <c r="AB331" s="66"/>
      <c r="AC331" s="403" t="s">
        <v>540</v>
      </c>
      <c r="AG331" s="75"/>
      <c r="AJ331" s="79"/>
      <c r="AK331" s="79">
        <v>0</v>
      </c>
      <c r="BB331" s="404" t="s">
        <v>1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541</v>
      </c>
      <c r="B332" s="60" t="s">
        <v>542</v>
      </c>
      <c r="C332" s="34">
        <v>4301030233</v>
      </c>
      <c r="D332" s="564">
        <v>4607091388404</v>
      </c>
      <c r="E332" s="565"/>
      <c r="F332" s="59">
        <v>0.17</v>
      </c>
      <c r="G332" s="35">
        <v>15</v>
      </c>
      <c r="H332" s="59">
        <v>2.5499999999999998</v>
      </c>
      <c r="I332" s="59">
        <v>2.88</v>
      </c>
      <c r="J332" s="35">
        <v>182</v>
      </c>
      <c r="K332" s="35" t="s">
        <v>67</v>
      </c>
      <c r="L332" s="35" t="s">
        <v>90</v>
      </c>
      <c r="M332" s="36" t="s">
        <v>98</v>
      </c>
      <c r="N332" s="36"/>
      <c r="O332" s="35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7"/>
      <c r="V332" s="37"/>
      <c r="W332" s="38" t="s">
        <v>69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/>
      <c r="AB332" s="66"/>
      <c r="AC332" s="405" t="s">
        <v>535</v>
      </c>
      <c r="AG332" s="75"/>
      <c r="AJ332" s="79" t="s">
        <v>92</v>
      </c>
      <c r="AK332" s="79">
        <v>35.700000000000003</v>
      </c>
      <c r="BB332" s="406" t="s">
        <v>1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40" t="s">
        <v>76</v>
      </c>
      <c r="X333" s="41">
        <f>IFERROR(X329/H329,"0")+IFERROR(X330/H330,"0")+IFERROR(X331/H331,"0")+IFERROR(X332/H332,"0")</f>
        <v>0</v>
      </c>
      <c r="Y333" s="41">
        <f>IFERROR(Y329/H329,"0")+IFERROR(Y330/H330,"0")+IFERROR(Y331/H331,"0")+IFERROR(Y332/H332,"0")</f>
        <v>0</v>
      </c>
      <c r="Z333" s="41">
        <f>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40" t="s">
        <v>69</v>
      </c>
      <c r="X334" s="41">
        <f>IFERROR(SUM(X329:X332),"0")</f>
        <v>0</v>
      </c>
      <c r="Y334" s="41">
        <f>IFERROR(SUM(Y329:Y332),"0")</f>
        <v>0</v>
      </c>
      <c r="Z334" s="40"/>
      <c r="AA334" s="64"/>
      <c r="AB334" s="64"/>
      <c r="AC334" s="64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63"/>
      <c r="AB335" s="63"/>
      <c r="AC335" s="63"/>
    </row>
    <row r="336" spans="1:68" ht="16.5" hidden="1" customHeight="1" x14ac:dyDescent="0.25">
      <c r="A336" s="60" t="s">
        <v>544</v>
      </c>
      <c r="B336" s="60" t="s">
        <v>545</v>
      </c>
      <c r="C336" s="34">
        <v>4301180007</v>
      </c>
      <c r="D336" s="564">
        <v>4680115881808</v>
      </c>
      <c r="E336" s="56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67</v>
      </c>
      <c r="L336" s="35"/>
      <c r="M336" s="36" t="s">
        <v>546</v>
      </c>
      <c r="N336" s="36"/>
      <c r="O336" s="35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7"/>
      <c r="V336" s="37"/>
      <c r="W336" s="38" t="s">
        <v>69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/>
      <c r="AB336" s="66"/>
      <c r="AC336" s="407" t="s">
        <v>547</v>
      </c>
      <c r="AG336" s="75"/>
      <c r="AJ336" s="79"/>
      <c r="AK336" s="79">
        <v>0</v>
      </c>
      <c r="BB336" s="408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548</v>
      </c>
      <c r="B337" s="60" t="s">
        <v>549</v>
      </c>
      <c r="C337" s="34">
        <v>4301180006</v>
      </c>
      <c r="D337" s="564">
        <v>4680115881822</v>
      </c>
      <c r="E337" s="56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67</v>
      </c>
      <c r="L337" s="35"/>
      <c r="M337" s="36" t="s">
        <v>546</v>
      </c>
      <c r="N337" s="36"/>
      <c r="O337" s="35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7"/>
      <c r="V337" s="37"/>
      <c r="W337" s="38" t="s">
        <v>69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/>
      <c r="AB337" s="66"/>
      <c r="AC337" s="409" t="s">
        <v>547</v>
      </c>
      <c r="AG337" s="75"/>
      <c r="AJ337" s="79"/>
      <c r="AK337" s="79">
        <v>0</v>
      </c>
      <c r="BB337" s="410" t="s">
        <v>1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550</v>
      </c>
      <c r="B338" s="60" t="s">
        <v>551</v>
      </c>
      <c r="C338" s="34">
        <v>4301180001</v>
      </c>
      <c r="D338" s="564">
        <v>4680115880016</v>
      </c>
      <c r="E338" s="565"/>
      <c r="F338" s="59">
        <v>0.1</v>
      </c>
      <c r="G338" s="35">
        <v>20</v>
      </c>
      <c r="H338" s="59">
        <v>2</v>
      </c>
      <c r="I338" s="59">
        <v>2.2400000000000002</v>
      </c>
      <c r="J338" s="35">
        <v>238</v>
      </c>
      <c r="K338" s="35" t="s">
        <v>67</v>
      </c>
      <c r="L338" s="35"/>
      <c r="M338" s="36" t="s">
        <v>546</v>
      </c>
      <c r="N338" s="36"/>
      <c r="O338" s="35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7"/>
      <c r="V338" s="37"/>
      <c r="W338" s="38" t="s">
        <v>69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IFERROR(IF(Y338=0,"",ROUNDUP(Y338/H338,0)*0.00474),"")</f>
        <v/>
      </c>
      <c r="AA338" s="65"/>
      <c r="AB338" s="66"/>
      <c r="AC338" s="411" t="s">
        <v>547</v>
      </c>
      <c r="AG338" s="75"/>
      <c r="AJ338" s="79"/>
      <c r="AK338" s="79">
        <v>0</v>
      </c>
      <c r="BB338" s="412" t="s">
        <v>1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40" t="s">
        <v>76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40" t="s">
        <v>69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2"/>
      <c r="AB341" s="62"/>
      <c r="AC341" s="62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63"/>
      <c r="AB342" s="63"/>
      <c r="AC342" s="63"/>
    </row>
    <row r="343" spans="1:68" ht="27" hidden="1" customHeight="1" x14ac:dyDescent="0.25">
      <c r="A343" s="60" t="s">
        <v>553</v>
      </c>
      <c r="B343" s="60" t="s">
        <v>554</v>
      </c>
      <c r="C343" s="34">
        <v>4301051489</v>
      </c>
      <c r="D343" s="564">
        <v>4607091387919</v>
      </c>
      <c r="E343" s="565"/>
      <c r="F343" s="59">
        <v>1.35</v>
      </c>
      <c r="G343" s="35">
        <v>6</v>
      </c>
      <c r="H343" s="59">
        <v>8.1</v>
      </c>
      <c r="I343" s="59">
        <v>8.5939999999999994</v>
      </c>
      <c r="J343" s="35">
        <v>64</v>
      </c>
      <c r="K343" s="35" t="s">
        <v>106</v>
      </c>
      <c r="L343" s="35" t="s">
        <v>107</v>
      </c>
      <c r="M343" s="36" t="s">
        <v>86</v>
      </c>
      <c r="N343" s="36"/>
      <c r="O343" s="35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7"/>
      <c r="V343" s="37"/>
      <c r="W343" s="38" t="s">
        <v>69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/>
      <c r="AB343" s="66"/>
      <c r="AC343" s="413" t="s">
        <v>555</v>
      </c>
      <c r="AG343" s="75"/>
      <c r="AJ343" s="79" t="s">
        <v>92</v>
      </c>
      <c r="AK343" s="79">
        <v>64.8</v>
      </c>
      <c r="BB343" s="414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556</v>
      </c>
      <c r="B344" s="60" t="s">
        <v>557</v>
      </c>
      <c r="C344" s="34">
        <v>4301051461</v>
      </c>
      <c r="D344" s="564">
        <v>4680115883604</v>
      </c>
      <c r="E344" s="565"/>
      <c r="F344" s="59">
        <v>0.35</v>
      </c>
      <c r="G344" s="35">
        <v>6</v>
      </c>
      <c r="H344" s="59">
        <v>2.1</v>
      </c>
      <c r="I344" s="59">
        <v>2.3519999999999999</v>
      </c>
      <c r="J344" s="35">
        <v>182</v>
      </c>
      <c r="K344" s="35" t="s">
        <v>67</v>
      </c>
      <c r="L344" s="35" t="s">
        <v>90</v>
      </c>
      <c r="M344" s="36" t="s">
        <v>80</v>
      </c>
      <c r="N344" s="36"/>
      <c r="O344" s="35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7"/>
      <c r="V344" s="37"/>
      <c r="W344" s="38" t="s">
        <v>69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/>
      <c r="AB344" s="66"/>
      <c r="AC344" s="415" t="s">
        <v>558</v>
      </c>
      <c r="AG344" s="75"/>
      <c r="AJ344" s="79" t="s">
        <v>92</v>
      </c>
      <c r="AK344" s="79">
        <v>29.4</v>
      </c>
      <c r="BB344" s="416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559</v>
      </c>
      <c r="B345" s="60" t="s">
        <v>560</v>
      </c>
      <c r="C345" s="34">
        <v>4301051864</v>
      </c>
      <c r="D345" s="564">
        <v>4680115883567</v>
      </c>
      <c r="E345" s="565"/>
      <c r="F345" s="59">
        <v>0.35</v>
      </c>
      <c r="G345" s="35">
        <v>6</v>
      </c>
      <c r="H345" s="59">
        <v>2.1</v>
      </c>
      <c r="I345" s="59">
        <v>2.34</v>
      </c>
      <c r="J345" s="35">
        <v>182</v>
      </c>
      <c r="K345" s="35" t="s">
        <v>67</v>
      </c>
      <c r="L345" s="35" t="s">
        <v>90</v>
      </c>
      <c r="M345" s="36" t="s">
        <v>86</v>
      </c>
      <c r="N345" s="36"/>
      <c r="O345" s="35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7"/>
      <c r="V345" s="37"/>
      <c r="W345" s="38" t="s">
        <v>69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/>
      <c r="AB345" s="66"/>
      <c r="AC345" s="417" t="s">
        <v>561</v>
      </c>
      <c r="AG345" s="75"/>
      <c r="AJ345" s="79" t="s">
        <v>92</v>
      </c>
      <c r="AK345" s="79">
        <v>29.4</v>
      </c>
      <c r="BB345" s="418" t="s">
        <v>1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idden="1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40" t="s">
        <v>76</v>
      </c>
      <c r="X346" s="41">
        <f>IFERROR(X343/H343,"0")+IFERROR(X344/H344,"0")+IFERROR(X345/H345,"0")</f>
        <v>0</v>
      </c>
      <c r="Y346" s="41">
        <f>IFERROR(Y343/H343,"0")+IFERROR(Y344/H344,"0")+IFERROR(Y345/H345,"0")</f>
        <v>0</v>
      </c>
      <c r="Z346" s="41">
        <f>IFERROR(IF(Z343="",0,Z343),"0")+IFERROR(IF(Z344="",0,Z344),"0")+IFERROR(IF(Z345="",0,Z345),"0")</f>
        <v>0</v>
      </c>
      <c r="AA346" s="64"/>
      <c r="AB346" s="64"/>
      <c r="AC346" s="64"/>
    </row>
    <row r="347" spans="1:68" hidden="1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40" t="s">
        <v>69</v>
      </c>
      <c r="X347" s="41">
        <f>IFERROR(SUM(X343:X345),"0")</f>
        <v>0</v>
      </c>
      <c r="Y347" s="41">
        <f>IFERROR(SUM(Y343:Y345),"0")</f>
        <v>0</v>
      </c>
      <c r="Z347" s="40"/>
      <c r="AA347" s="64"/>
      <c r="AB347" s="64"/>
      <c r="AC347" s="64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52"/>
      <c r="AB348" s="52"/>
      <c r="AC348" s="52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62"/>
      <c r="AB349" s="62"/>
      <c r="AC349" s="62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63"/>
      <c r="AB350" s="63"/>
      <c r="AC350" s="63"/>
    </row>
    <row r="351" spans="1:68" ht="37.5" customHeight="1" x14ac:dyDescent="0.25">
      <c r="A351" s="60" t="s">
        <v>564</v>
      </c>
      <c r="B351" s="60" t="s">
        <v>565</v>
      </c>
      <c r="C351" s="34">
        <v>4301011869</v>
      </c>
      <c r="D351" s="564">
        <v>4680115884847</v>
      </c>
      <c r="E351" s="56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106</v>
      </c>
      <c r="L351" s="35"/>
      <c r="M351" s="36" t="s">
        <v>68</v>
      </c>
      <c r="N351" s="36"/>
      <c r="O351" s="35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7"/>
      <c r="V351" s="37"/>
      <c r="W351" s="38" t="s">
        <v>69</v>
      </c>
      <c r="X351" s="56">
        <v>3000</v>
      </c>
      <c r="Y351" s="53">
        <f t="shared" ref="Y351:Y357" si="41">IFERROR(IF(X351="",0,CEILING((X351/$H351),1)*$H351),"")</f>
        <v>3000</v>
      </c>
      <c r="Z351" s="39">
        <f>IFERROR(IF(Y351=0,"",ROUNDUP(Y351/H351,0)*0.02175),"")</f>
        <v>4.3499999999999996</v>
      </c>
      <c r="AA351" s="65"/>
      <c r="AB351" s="66"/>
      <c r="AC351" s="419" t="s">
        <v>566</v>
      </c>
      <c r="AG351" s="75"/>
      <c r="AJ351" s="79"/>
      <c r="AK351" s="79">
        <v>0</v>
      </c>
      <c r="BB351" s="420" t="s">
        <v>1</v>
      </c>
      <c r="BM351" s="75">
        <f t="shared" ref="BM351:BM357" si="42">IFERROR(X351*I351/H351,"0")</f>
        <v>3094</v>
      </c>
      <c r="BN351" s="75">
        <f t="shared" ref="BN351:BN357" si="43">IFERROR(Y351*I351/H351,"0")</f>
        <v>3094</v>
      </c>
      <c r="BO351" s="75">
        <f t="shared" ref="BO351:BO357" si="44">IFERROR(1/J351*(X351/H351),"0")</f>
        <v>4.1666666666666661</v>
      </c>
      <c r="BP351" s="75">
        <f t="shared" ref="BP351:BP357" si="45">IFERROR(1/J351*(Y351/H351),"0")</f>
        <v>4.1666666666666661</v>
      </c>
    </row>
    <row r="352" spans="1:68" ht="27" customHeight="1" x14ac:dyDescent="0.25">
      <c r="A352" s="60" t="s">
        <v>567</v>
      </c>
      <c r="B352" s="60" t="s">
        <v>568</v>
      </c>
      <c r="C352" s="34">
        <v>4301011870</v>
      </c>
      <c r="D352" s="564">
        <v>4680115884854</v>
      </c>
      <c r="E352" s="56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106</v>
      </c>
      <c r="L352" s="35"/>
      <c r="M352" s="36" t="s">
        <v>68</v>
      </c>
      <c r="N352" s="36"/>
      <c r="O352" s="35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7"/>
      <c r="V352" s="37"/>
      <c r="W352" s="38" t="s">
        <v>69</v>
      </c>
      <c r="X352" s="56">
        <v>350</v>
      </c>
      <c r="Y352" s="53">
        <f t="shared" si="41"/>
        <v>360</v>
      </c>
      <c r="Z352" s="39">
        <f>IFERROR(IF(Y352=0,"",ROUNDUP(Y352/H352,0)*0.02175),"")</f>
        <v>0.52200000000000002</v>
      </c>
      <c r="AA352" s="65"/>
      <c r="AB352" s="66"/>
      <c r="AC352" s="421" t="s">
        <v>569</v>
      </c>
      <c r="AG352" s="75"/>
      <c r="AJ352" s="79"/>
      <c r="AK352" s="79">
        <v>0</v>
      </c>
      <c r="BB352" s="422" t="s">
        <v>1</v>
      </c>
      <c r="BM352" s="75">
        <f t="shared" si="42"/>
        <v>360.96666666666664</v>
      </c>
      <c r="BN352" s="75">
        <f t="shared" si="43"/>
        <v>371.28</v>
      </c>
      <c r="BO352" s="75">
        <f t="shared" si="44"/>
        <v>0.48611111111111105</v>
      </c>
      <c r="BP352" s="75">
        <f t="shared" si="45"/>
        <v>0.5</v>
      </c>
    </row>
    <row r="353" spans="1:68" ht="37.5" customHeight="1" x14ac:dyDescent="0.25">
      <c r="A353" s="60" t="s">
        <v>570</v>
      </c>
      <c r="B353" s="60" t="s">
        <v>571</v>
      </c>
      <c r="C353" s="34">
        <v>4301011867</v>
      </c>
      <c r="D353" s="564">
        <v>4680115884830</v>
      </c>
      <c r="E353" s="56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106</v>
      </c>
      <c r="L353" s="35"/>
      <c r="M353" s="36" t="s">
        <v>68</v>
      </c>
      <c r="N353" s="36"/>
      <c r="O353" s="35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7"/>
      <c r="V353" s="37"/>
      <c r="W353" s="38" t="s">
        <v>69</v>
      </c>
      <c r="X353" s="56">
        <v>3000</v>
      </c>
      <c r="Y353" s="53">
        <f t="shared" si="41"/>
        <v>3000</v>
      </c>
      <c r="Z353" s="39">
        <f>IFERROR(IF(Y353=0,"",ROUNDUP(Y353/H353,0)*0.02175),"")</f>
        <v>4.3499999999999996</v>
      </c>
      <c r="AA353" s="65"/>
      <c r="AB353" s="66"/>
      <c r="AC353" s="423" t="s">
        <v>572</v>
      </c>
      <c r="AG353" s="75"/>
      <c r="AJ353" s="79"/>
      <c r="AK353" s="79">
        <v>0</v>
      </c>
      <c r="BB353" s="424" t="s">
        <v>1</v>
      </c>
      <c r="BM353" s="75">
        <f t="shared" si="42"/>
        <v>3094</v>
      </c>
      <c r="BN353" s="75">
        <f t="shared" si="43"/>
        <v>3094</v>
      </c>
      <c r="BO353" s="75">
        <f t="shared" si="44"/>
        <v>4.1666666666666661</v>
      </c>
      <c r="BP353" s="75">
        <f t="shared" si="45"/>
        <v>4.1666666666666661</v>
      </c>
    </row>
    <row r="354" spans="1:68" ht="27" hidden="1" customHeight="1" x14ac:dyDescent="0.25">
      <c r="A354" s="60" t="s">
        <v>573</v>
      </c>
      <c r="B354" s="60" t="s">
        <v>574</v>
      </c>
      <c r="C354" s="34">
        <v>4301012215</v>
      </c>
      <c r="D354" s="564">
        <v>4680115887046</v>
      </c>
      <c r="E354" s="565"/>
      <c r="F354" s="59">
        <v>2.5</v>
      </c>
      <c r="G354" s="35">
        <v>6</v>
      </c>
      <c r="H354" s="59">
        <v>15</v>
      </c>
      <c r="I354" s="59">
        <v>15.47</v>
      </c>
      <c r="J354" s="35">
        <v>48</v>
      </c>
      <c r="K354" s="35" t="s">
        <v>106</v>
      </c>
      <c r="L354" s="35"/>
      <c r="M354" s="36" t="s">
        <v>86</v>
      </c>
      <c r="N354" s="36"/>
      <c r="O354" s="35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7"/>
      <c r="V354" s="37"/>
      <c r="W354" s="38" t="s">
        <v>69</v>
      </c>
      <c r="X354" s="56">
        <v>0</v>
      </c>
      <c r="Y354" s="53">
        <f t="shared" si="41"/>
        <v>0</v>
      </c>
      <c r="Z354" s="39" t="str">
        <f>IFERROR(IF(Y354=0,"",ROUNDUP(Y354/H354,0)*0.02175),"")</f>
        <v/>
      </c>
      <c r="AA354" s="65"/>
      <c r="AB354" s="66"/>
      <c r="AC354" s="425" t="s">
        <v>575</v>
      </c>
      <c r="AG354" s="75"/>
      <c r="AJ354" s="79"/>
      <c r="AK354" s="79">
        <v>0</v>
      </c>
      <c r="BB354" s="426" t="s">
        <v>1</v>
      </c>
      <c r="BM354" s="75">
        <f t="shared" si="42"/>
        <v>0</v>
      </c>
      <c r="BN354" s="75">
        <f t="shared" si="43"/>
        <v>0</v>
      </c>
      <c r="BO354" s="75">
        <f t="shared" si="44"/>
        <v>0</v>
      </c>
      <c r="BP354" s="75">
        <f t="shared" si="45"/>
        <v>0</v>
      </c>
    </row>
    <row r="355" spans="1:68" ht="27" hidden="1" customHeight="1" x14ac:dyDescent="0.25">
      <c r="A355" s="60" t="s">
        <v>576</v>
      </c>
      <c r="B355" s="60" t="s">
        <v>577</v>
      </c>
      <c r="C355" s="34">
        <v>4301011433</v>
      </c>
      <c r="D355" s="564">
        <v>4680115882638</v>
      </c>
      <c r="E355" s="565"/>
      <c r="F355" s="59">
        <v>0.4</v>
      </c>
      <c r="G355" s="35">
        <v>10</v>
      </c>
      <c r="H355" s="59">
        <v>4</v>
      </c>
      <c r="I355" s="59">
        <v>4.1900000000000004</v>
      </c>
      <c r="J355" s="35">
        <v>132</v>
      </c>
      <c r="K355" s="35" t="s">
        <v>112</v>
      </c>
      <c r="L355" s="35"/>
      <c r="M355" s="36" t="s">
        <v>108</v>
      </c>
      <c r="N355" s="36"/>
      <c r="O355" s="35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7"/>
      <c r="V355" s="37"/>
      <c r="W355" s="38" t="s">
        <v>69</v>
      </c>
      <c r="X355" s="56">
        <v>0</v>
      </c>
      <c r="Y355" s="53">
        <f t="shared" si="41"/>
        <v>0</v>
      </c>
      <c r="Z355" s="39" t="str">
        <f>IFERROR(IF(Y355=0,"",ROUNDUP(Y355/H355,0)*0.00902),"")</f>
        <v/>
      </c>
      <c r="AA355" s="65"/>
      <c r="AB355" s="66"/>
      <c r="AC355" s="427" t="s">
        <v>578</v>
      </c>
      <c r="AG355" s="75"/>
      <c r="AJ355" s="79"/>
      <c r="AK355" s="79">
        <v>0</v>
      </c>
      <c r="BB355" s="428" t="s">
        <v>1</v>
      </c>
      <c r="BM355" s="75">
        <f t="shared" si="42"/>
        <v>0</v>
      </c>
      <c r="BN355" s="75">
        <f t="shared" si="43"/>
        <v>0</v>
      </c>
      <c r="BO355" s="75">
        <f t="shared" si="44"/>
        <v>0</v>
      </c>
      <c r="BP355" s="75">
        <f t="shared" si="45"/>
        <v>0</v>
      </c>
    </row>
    <row r="356" spans="1:68" ht="27" hidden="1" customHeight="1" x14ac:dyDescent="0.25">
      <c r="A356" s="60" t="s">
        <v>579</v>
      </c>
      <c r="B356" s="60" t="s">
        <v>580</v>
      </c>
      <c r="C356" s="34">
        <v>4301011952</v>
      </c>
      <c r="D356" s="564">
        <v>4680115884922</v>
      </c>
      <c r="E356" s="56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112</v>
      </c>
      <c r="L356" s="35"/>
      <c r="M356" s="36" t="s">
        <v>68</v>
      </c>
      <c r="N356" s="36"/>
      <c r="O356" s="35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7"/>
      <c r="V356" s="37"/>
      <c r="W356" s="38" t="s">
        <v>69</v>
      </c>
      <c r="X356" s="56">
        <v>0</v>
      </c>
      <c r="Y356" s="53">
        <f t="shared" si="41"/>
        <v>0</v>
      </c>
      <c r="Z356" s="39" t="str">
        <f>IFERROR(IF(Y356=0,"",ROUNDUP(Y356/H356,0)*0.00902),"")</f>
        <v/>
      </c>
      <c r="AA356" s="65"/>
      <c r="AB356" s="66"/>
      <c r="AC356" s="429" t="s">
        <v>569</v>
      </c>
      <c r="AG356" s="75"/>
      <c r="AJ356" s="79"/>
      <c r="AK356" s="79">
        <v>0</v>
      </c>
      <c r="BB356" s="430" t="s">
        <v>1</v>
      </c>
      <c r="BM356" s="75">
        <f t="shared" si="42"/>
        <v>0</v>
      </c>
      <c r="BN356" s="75">
        <f t="shared" si="43"/>
        <v>0</v>
      </c>
      <c r="BO356" s="75">
        <f t="shared" si="44"/>
        <v>0</v>
      </c>
      <c r="BP356" s="75">
        <f t="shared" si="45"/>
        <v>0</v>
      </c>
    </row>
    <row r="357" spans="1:68" ht="37.5" hidden="1" customHeight="1" x14ac:dyDescent="0.25">
      <c r="A357" s="60" t="s">
        <v>581</v>
      </c>
      <c r="B357" s="60" t="s">
        <v>582</v>
      </c>
      <c r="C357" s="34">
        <v>4301011868</v>
      </c>
      <c r="D357" s="564">
        <v>4680115884861</v>
      </c>
      <c r="E357" s="565"/>
      <c r="F357" s="59">
        <v>0.5</v>
      </c>
      <c r="G357" s="35">
        <v>10</v>
      </c>
      <c r="H357" s="59">
        <v>5</v>
      </c>
      <c r="I357" s="59">
        <v>5.19</v>
      </c>
      <c r="J357" s="35">
        <v>132</v>
      </c>
      <c r="K357" s="35" t="s">
        <v>112</v>
      </c>
      <c r="L357" s="35" t="s">
        <v>115</v>
      </c>
      <c r="M357" s="36" t="s">
        <v>68</v>
      </c>
      <c r="N357" s="36"/>
      <c r="O357" s="35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7"/>
      <c r="V357" s="37"/>
      <c r="W357" s="38" t="s">
        <v>69</v>
      </c>
      <c r="X357" s="56">
        <v>0</v>
      </c>
      <c r="Y357" s="53">
        <f t="shared" si="41"/>
        <v>0</v>
      </c>
      <c r="Z357" s="39" t="str">
        <f>IFERROR(IF(Y357=0,"",ROUNDUP(Y357/H357,0)*0.00902),"")</f>
        <v/>
      </c>
      <c r="AA357" s="65"/>
      <c r="AB357" s="66"/>
      <c r="AC357" s="431" t="s">
        <v>572</v>
      </c>
      <c r="AG357" s="75"/>
      <c r="AJ357" s="79" t="s">
        <v>92</v>
      </c>
      <c r="AK357" s="79">
        <v>60</v>
      </c>
      <c r="BB357" s="432" t="s">
        <v>1</v>
      </c>
      <c r="BM357" s="75">
        <f t="shared" si="42"/>
        <v>0</v>
      </c>
      <c r="BN357" s="75">
        <f t="shared" si="43"/>
        <v>0</v>
      </c>
      <c r="BO357" s="75">
        <f t="shared" si="44"/>
        <v>0</v>
      </c>
      <c r="BP357" s="75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40" t="s">
        <v>76</v>
      </c>
      <c r="X358" s="41">
        <f>IFERROR(X351/H351,"0")+IFERROR(X352/H352,"0")+IFERROR(X353/H353,"0")+IFERROR(X354/H354,"0")+IFERROR(X355/H355,"0")+IFERROR(X356/H356,"0")+IFERROR(X357/H357,"0")</f>
        <v>423.33333333333337</v>
      </c>
      <c r="Y358" s="41">
        <f>IFERROR(Y351/H351,"0")+IFERROR(Y352/H352,"0")+IFERROR(Y353/H353,"0")+IFERROR(Y354/H354,"0")+IFERROR(Y355/H355,"0")+IFERROR(Y356/H356,"0")+IFERROR(Y357/H357,"0")</f>
        <v>424</v>
      </c>
      <c r="Z358" s="41">
        <f>IFERROR(IF(Z351="",0,Z351),"0")+IFERROR(IF(Z352="",0,Z352),"0")+IFERROR(IF(Z353="",0,Z353),"0")+IFERROR(IF(Z354="",0,Z354),"0")+IFERROR(IF(Z355="",0,Z355),"0")+IFERROR(IF(Z356="",0,Z356),"0")+IFERROR(IF(Z357="",0,Z357),"0")</f>
        <v>9.2219999999999995</v>
      </c>
      <c r="AA358" s="64"/>
      <c r="AB358" s="64"/>
      <c r="AC358" s="64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40" t="s">
        <v>69</v>
      </c>
      <c r="X359" s="41">
        <f>IFERROR(SUM(X351:X357),"0")</f>
        <v>6350</v>
      </c>
      <c r="Y359" s="41">
        <f>IFERROR(SUM(Y351:Y357),"0")</f>
        <v>6360</v>
      </c>
      <c r="Z359" s="40"/>
      <c r="AA359" s="64"/>
      <c r="AB359" s="64"/>
      <c r="AC359" s="64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63"/>
      <c r="AB360" s="63"/>
      <c r="AC360" s="63"/>
    </row>
    <row r="361" spans="1:68" ht="27" customHeight="1" x14ac:dyDescent="0.25">
      <c r="A361" s="60" t="s">
        <v>583</v>
      </c>
      <c r="B361" s="60" t="s">
        <v>584</v>
      </c>
      <c r="C361" s="34">
        <v>4301020178</v>
      </c>
      <c r="D361" s="564">
        <v>4607091383980</v>
      </c>
      <c r="E361" s="565"/>
      <c r="F361" s="59">
        <v>2.5</v>
      </c>
      <c r="G361" s="35">
        <v>6</v>
      </c>
      <c r="H361" s="59">
        <v>15</v>
      </c>
      <c r="I361" s="59">
        <v>15.47</v>
      </c>
      <c r="J361" s="35">
        <v>48</v>
      </c>
      <c r="K361" s="35" t="s">
        <v>106</v>
      </c>
      <c r="L361" s="35"/>
      <c r="M361" s="36" t="s">
        <v>108</v>
      </c>
      <c r="N361" s="36"/>
      <c r="O361" s="35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7"/>
      <c r="V361" s="37"/>
      <c r="W361" s="38" t="s">
        <v>69</v>
      </c>
      <c r="X361" s="56">
        <v>750</v>
      </c>
      <c r="Y361" s="53">
        <f>IFERROR(IF(X361="",0,CEILING((X361/$H361),1)*$H361),"")</f>
        <v>750</v>
      </c>
      <c r="Z361" s="39">
        <f>IFERROR(IF(Y361=0,"",ROUNDUP(Y361/H361,0)*0.02175),"")</f>
        <v>1.0874999999999999</v>
      </c>
      <c r="AA361" s="65"/>
      <c r="AB361" s="66"/>
      <c r="AC361" s="433" t="s">
        <v>585</v>
      </c>
      <c r="AG361" s="75"/>
      <c r="AJ361" s="79"/>
      <c r="AK361" s="79">
        <v>0</v>
      </c>
      <c r="BB361" s="434" t="s">
        <v>1</v>
      </c>
      <c r="BM361" s="75">
        <f>IFERROR(X361*I361/H361,"0")</f>
        <v>773.5</v>
      </c>
      <c r="BN361" s="75">
        <f>IFERROR(Y361*I361/H361,"0")</f>
        <v>773.5</v>
      </c>
      <c r="BO361" s="75">
        <f>IFERROR(1/J361*(X361/H361),"0")</f>
        <v>1.0416666666666665</v>
      </c>
      <c r="BP361" s="75">
        <f>IFERROR(1/J361*(Y361/H361),"0")</f>
        <v>1.0416666666666665</v>
      </c>
    </row>
    <row r="362" spans="1:68" ht="27" hidden="1" customHeight="1" x14ac:dyDescent="0.25">
      <c r="A362" s="60" t="s">
        <v>586</v>
      </c>
      <c r="B362" s="60" t="s">
        <v>587</v>
      </c>
      <c r="C362" s="34">
        <v>4301020179</v>
      </c>
      <c r="D362" s="564">
        <v>4607091384178</v>
      </c>
      <c r="E362" s="565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112</v>
      </c>
      <c r="L362" s="35"/>
      <c r="M362" s="36" t="s">
        <v>108</v>
      </c>
      <c r="N362" s="36"/>
      <c r="O362" s="35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7"/>
      <c r="V362" s="37"/>
      <c r="W362" s="38" t="s">
        <v>69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/>
      <c r="AB362" s="66"/>
      <c r="AC362" s="435" t="s">
        <v>588</v>
      </c>
      <c r="AG362" s="75"/>
      <c r="AJ362" s="79"/>
      <c r="AK362" s="79">
        <v>0</v>
      </c>
      <c r="BB362" s="436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40" t="s">
        <v>76</v>
      </c>
      <c r="X363" s="41">
        <f>IFERROR(X361/H361,"0")+IFERROR(X362/H362,"0")</f>
        <v>50</v>
      </c>
      <c r="Y363" s="41">
        <f>IFERROR(Y361/H361,"0")+IFERROR(Y362/H362,"0")</f>
        <v>50</v>
      </c>
      <c r="Z363" s="41">
        <f>IFERROR(IF(Z361="",0,Z361),"0")+IFERROR(IF(Z362="",0,Z362),"0")</f>
        <v>1.0874999999999999</v>
      </c>
      <c r="AA363" s="64"/>
      <c r="AB363" s="64"/>
      <c r="AC363" s="64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40" t="s">
        <v>69</v>
      </c>
      <c r="X364" s="41">
        <f>IFERROR(SUM(X361:X362),"0")</f>
        <v>750</v>
      </c>
      <c r="Y364" s="41">
        <f>IFERROR(SUM(Y361:Y362),"0")</f>
        <v>750</v>
      </c>
      <c r="Z364" s="40"/>
      <c r="AA364" s="64"/>
      <c r="AB364" s="64"/>
      <c r="AC364" s="64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63"/>
      <c r="AB365" s="63"/>
      <c r="AC365" s="63"/>
    </row>
    <row r="366" spans="1:68" ht="27" hidden="1" customHeight="1" x14ac:dyDescent="0.25">
      <c r="A366" s="60" t="s">
        <v>589</v>
      </c>
      <c r="B366" s="60" t="s">
        <v>590</v>
      </c>
      <c r="C366" s="34">
        <v>4301051903</v>
      </c>
      <c r="D366" s="564">
        <v>4607091383928</v>
      </c>
      <c r="E366" s="565"/>
      <c r="F366" s="59">
        <v>1.5</v>
      </c>
      <c r="G366" s="35">
        <v>6</v>
      </c>
      <c r="H366" s="59">
        <v>9</v>
      </c>
      <c r="I366" s="59">
        <v>9.5</v>
      </c>
      <c r="J366" s="35">
        <v>64</v>
      </c>
      <c r="K366" s="35" t="s">
        <v>106</v>
      </c>
      <c r="L366" s="35" t="s">
        <v>107</v>
      </c>
      <c r="M366" s="36" t="s">
        <v>80</v>
      </c>
      <c r="N366" s="36"/>
      <c r="O366" s="35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7"/>
      <c r="V366" s="37"/>
      <c r="W366" s="38" t="s">
        <v>69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37" t="s">
        <v>591</v>
      </c>
      <c r="AG366" s="75"/>
      <c r="AJ366" s="79" t="s">
        <v>92</v>
      </c>
      <c r="AK366" s="79">
        <v>72</v>
      </c>
      <c r="BB366" s="43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592</v>
      </c>
      <c r="B367" s="60" t="s">
        <v>593</v>
      </c>
      <c r="C367" s="34">
        <v>4301051897</v>
      </c>
      <c r="D367" s="564">
        <v>4607091384260</v>
      </c>
      <c r="E367" s="565"/>
      <c r="F367" s="59">
        <v>1.5</v>
      </c>
      <c r="G367" s="35">
        <v>6</v>
      </c>
      <c r="H367" s="59">
        <v>9</v>
      </c>
      <c r="I367" s="59">
        <v>9.4939999999999998</v>
      </c>
      <c r="J367" s="35">
        <v>64</v>
      </c>
      <c r="K367" s="35" t="s">
        <v>106</v>
      </c>
      <c r="L367" s="35" t="s">
        <v>107</v>
      </c>
      <c r="M367" s="36" t="s">
        <v>80</v>
      </c>
      <c r="N367" s="36"/>
      <c r="O367" s="35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7"/>
      <c r="V367" s="37"/>
      <c r="W367" s="38" t="s">
        <v>69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/>
      <c r="AB367" s="66"/>
      <c r="AC367" s="439" t="s">
        <v>594</v>
      </c>
      <c r="AG367" s="75"/>
      <c r="AJ367" s="79" t="s">
        <v>92</v>
      </c>
      <c r="AK367" s="79">
        <v>72</v>
      </c>
      <c r="BB367" s="44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40" t="s">
        <v>76</v>
      </c>
      <c r="X368" s="41">
        <f>IFERROR(X366/H366,"0")+IFERROR(X367/H367,"0")</f>
        <v>0</v>
      </c>
      <c r="Y368" s="41">
        <f>IFERROR(Y366/H366,"0")+IFERROR(Y367/H367,"0")</f>
        <v>0</v>
      </c>
      <c r="Z368" s="41">
        <f>IFERROR(IF(Z366="",0,Z366),"0")+IFERROR(IF(Z367="",0,Z367),"0")</f>
        <v>0</v>
      </c>
      <c r="AA368" s="64"/>
      <c r="AB368" s="64"/>
      <c r="AC368" s="64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40" t="s">
        <v>69</v>
      </c>
      <c r="X369" s="41">
        <f>IFERROR(SUM(X366:X367),"0")</f>
        <v>0</v>
      </c>
      <c r="Y369" s="41">
        <f>IFERROR(SUM(Y366:Y367),"0")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63"/>
      <c r="AB370" s="63"/>
      <c r="AC370" s="63"/>
    </row>
    <row r="371" spans="1:68" ht="16.5" hidden="1" customHeight="1" x14ac:dyDescent="0.25">
      <c r="A371" s="60" t="s">
        <v>595</v>
      </c>
      <c r="B371" s="60" t="s">
        <v>596</v>
      </c>
      <c r="C371" s="34">
        <v>4301060524</v>
      </c>
      <c r="D371" s="564">
        <v>4607091384673</v>
      </c>
      <c r="E371" s="565"/>
      <c r="F371" s="59">
        <v>1.5</v>
      </c>
      <c r="G371" s="35">
        <v>6</v>
      </c>
      <c r="H371" s="59">
        <v>9</v>
      </c>
      <c r="I371" s="59">
        <v>9.4939999999999998</v>
      </c>
      <c r="J371" s="35">
        <v>64</v>
      </c>
      <c r="K371" s="35" t="s">
        <v>106</v>
      </c>
      <c r="L371" s="35"/>
      <c r="M371" s="36" t="s">
        <v>80</v>
      </c>
      <c r="N371" s="36"/>
      <c r="O371" s="35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7"/>
      <c r="V371" s="37"/>
      <c r="W371" s="38" t="s">
        <v>69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41" t="s">
        <v>597</v>
      </c>
      <c r="AG371" s="75"/>
      <c r="AJ371" s="79"/>
      <c r="AK371" s="79">
        <v>0</v>
      </c>
      <c r="BB371" s="44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40" t="s">
        <v>76</v>
      </c>
      <c r="X372" s="41">
        <f>IFERROR(X371/H371,"0")</f>
        <v>0</v>
      </c>
      <c r="Y372" s="41">
        <f>IFERROR(Y371/H371,"0")</f>
        <v>0</v>
      </c>
      <c r="Z372" s="41">
        <f>IFERROR(IF(Z371="",0,Z371),"0")</f>
        <v>0</v>
      </c>
      <c r="AA372" s="64"/>
      <c r="AB372" s="64"/>
      <c r="AC372" s="64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40" t="s">
        <v>69</v>
      </c>
      <c r="X373" s="41">
        <f>IFERROR(SUM(X371:X371),"0")</f>
        <v>0</v>
      </c>
      <c r="Y373" s="41">
        <f>IFERROR(SUM(Y371:Y371),"0")</f>
        <v>0</v>
      </c>
      <c r="Z373" s="40"/>
      <c r="AA373" s="64"/>
      <c r="AB373" s="64"/>
      <c r="AC373" s="64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62"/>
      <c r="AB374" s="62"/>
      <c r="AC374" s="62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63"/>
      <c r="AB375" s="63"/>
      <c r="AC375" s="63"/>
    </row>
    <row r="376" spans="1:68" ht="37.5" hidden="1" customHeight="1" x14ac:dyDescent="0.25">
      <c r="A376" s="60" t="s">
        <v>599</v>
      </c>
      <c r="B376" s="60" t="s">
        <v>600</v>
      </c>
      <c r="C376" s="34">
        <v>4301011875</v>
      </c>
      <c r="D376" s="564">
        <v>4680115884885</v>
      </c>
      <c r="E376" s="565"/>
      <c r="F376" s="59">
        <v>0.8</v>
      </c>
      <c r="G376" s="35">
        <v>15</v>
      </c>
      <c r="H376" s="59">
        <v>12</v>
      </c>
      <c r="I376" s="59">
        <v>12.41</v>
      </c>
      <c r="J376" s="35">
        <v>64</v>
      </c>
      <c r="K376" s="35" t="s">
        <v>106</v>
      </c>
      <c r="L376" s="35" t="s">
        <v>107</v>
      </c>
      <c r="M376" s="36" t="s">
        <v>68</v>
      </c>
      <c r="N376" s="36"/>
      <c r="O376" s="35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7"/>
      <c r="V376" s="37"/>
      <c r="W376" s="38" t="s">
        <v>69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IFERROR(IF(Y376=0,"",ROUNDUP(Y376/H376,0)*0.01898),"")</f>
        <v/>
      </c>
      <c r="AA376" s="65"/>
      <c r="AB376" s="66"/>
      <c r="AC376" s="443" t="s">
        <v>601</v>
      </c>
      <c r="AG376" s="75"/>
      <c r="AJ376" s="79" t="s">
        <v>92</v>
      </c>
      <c r="AK376" s="79">
        <v>96</v>
      </c>
      <c r="BB376" s="444" t="s">
        <v>1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t="37.5" hidden="1" customHeight="1" x14ac:dyDescent="0.25">
      <c r="A377" s="60" t="s">
        <v>602</v>
      </c>
      <c r="B377" s="60" t="s">
        <v>603</v>
      </c>
      <c r="C377" s="34">
        <v>4301011871</v>
      </c>
      <c r="D377" s="564">
        <v>4680115884908</v>
      </c>
      <c r="E377" s="565"/>
      <c r="F377" s="59">
        <v>0.4</v>
      </c>
      <c r="G377" s="35">
        <v>10</v>
      </c>
      <c r="H377" s="59">
        <v>4</v>
      </c>
      <c r="I377" s="59">
        <v>4.1900000000000004</v>
      </c>
      <c r="J377" s="35">
        <v>132</v>
      </c>
      <c r="K377" s="35" t="s">
        <v>112</v>
      </c>
      <c r="L377" s="35" t="s">
        <v>115</v>
      </c>
      <c r="M377" s="36" t="s">
        <v>68</v>
      </c>
      <c r="N377" s="36"/>
      <c r="O377" s="35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7"/>
      <c r="V377" s="37"/>
      <c r="W377" s="38" t="s">
        <v>69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45" t="s">
        <v>601</v>
      </c>
      <c r="AG377" s="75"/>
      <c r="AJ377" s="79" t="s">
        <v>92</v>
      </c>
      <c r="AK377" s="79">
        <v>48</v>
      </c>
      <c r="BB377" s="446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40" t="s">
        <v>76</v>
      </c>
      <c r="X378" s="41">
        <f>IFERROR(X376/H376,"0")+IFERROR(X377/H377,"0")</f>
        <v>0</v>
      </c>
      <c r="Y378" s="41">
        <f>IFERROR(Y376/H376,"0")+IFERROR(Y377/H377,"0")</f>
        <v>0</v>
      </c>
      <c r="Z378" s="41">
        <f>IFERROR(IF(Z376="",0,Z376),"0")+IFERROR(IF(Z377="",0,Z377),"0")</f>
        <v>0</v>
      </c>
      <c r="AA378" s="64"/>
      <c r="AB378" s="64"/>
      <c r="AC378" s="64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40" t="s">
        <v>69</v>
      </c>
      <c r="X379" s="41">
        <f>IFERROR(SUM(X376:X377),"0")</f>
        <v>0</v>
      </c>
      <c r="Y379" s="41">
        <f>IFERROR(SUM(Y376:Y377),"0")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63"/>
      <c r="AB380" s="63"/>
      <c r="AC380" s="63"/>
    </row>
    <row r="381" spans="1:68" ht="27" hidden="1" customHeight="1" x14ac:dyDescent="0.25">
      <c r="A381" s="60" t="s">
        <v>604</v>
      </c>
      <c r="B381" s="60" t="s">
        <v>605</v>
      </c>
      <c r="C381" s="34">
        <v>4301031303</v>
      </c>
      <c r="D381" s="564">
        <v>4607091384802</v>
      </c>
      <c r="E381" s="565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112</v>
      </c>
      <c r="L381" s="35" t="s">
        <v>115</v>
      </c>
      <c r="M381" s="36" t="s">
        <v>68</v>
      </c>
      <c r="N381" s="36"/>
      <c r="O381" s="35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7"/>
      <c r="V381" s="37"/>
      <c r="W381" s="38" t="s">
        <v>69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IFERROR(IF(Y381=0,"",ROUNDUP(Y381/H381,0)*0.00902),"")</f>
        <v/>
      </c>
      <c r="AA381" s="65"/>
      <c r="AB381" s="66"/>
      <c r="AC381" s="447" t="s">
        <v>606</v>
      </c>
      <c r="AG381" s="75"/>
      <c r="AJ381" s="79" t="s">
        <v>92</v>
      </c>
      <c r="AK381" s="79">
        <v>52.56</v>
      </c>
      <c r="BB381" s="44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604</v>
      </c>
      <c r="B382" s="60" t="s">
        <v>607</v>
      </c>
      <c r="C382" s="34">
        <v>4301031457</v>
      </c>
      <c r="D382" s="564">
        <v>4607091384802</v>
      </c>
      <c r="E382" s="565"/>
      <c r="F382" s="59">
        <v>0.7</v>
      </c>
      <c r="G382" s="35">
        <v>6</v>
      </c>
      <c r="H382" s="59">
        <v>4.2</v>
      </c>
      <c r="I382" s="59">
        <v>4.45</v>
      </c>
      <c r="J382" s="35">
        <v>132</v>
      </c>
      <c r="K382" s="35" t="s">
        <v>112</v>
      </c>
      <c r="L382" s="35"/>
      <c r="M382" s="36" t="s">
        <v>68</v>
      </c>
      <c r="N382" s="36"/>
      <c r="O382" s="35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7"/>
      <c r="V382" s="37"/>
      <c r="W382" s="38" t="s">
        <v>69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IFERROR(IF(Y382=0,"",ROUNDUP(Y382/H382,0)*0.00902),"")</f>
        <v/>
      </c>
      <c r="AA382" s="65"/>
      <c r="AB382" s="66"/>
      <c r="AC382" s="449" t="s">
        <v>608</v>
      </c>
      <c r="AG382" s="75"/>
      <c r="AJ382" s="79"/>
      <c r="AK382" s="79">
        <v>0</v>
      </c>
      <c r="BB382" s="45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40" t="s">
        <v>76</v>
      </c>
      <c r="X383" s="41">
        <f>IFERROR(X381/H381,"0")+IFERROR(X382/H382,"0")</f>
        <v>0</v>
      </c>
      <c r="Y383" s="41">
        <f>IFERROR(Y381/H381,"0")+IFERROR(Y382/H382,"0")</f>
        <v>0</v>
      </c>
      <c r="Z383" s="41">
        <f>IFERROR(IF(Z381="",0,Z381),"0")+IFERROR(IF(Z382="",0,Z382),"0")</f>
        <v>0</v>
      </c>
      <c r="AA383" s="64"/>
      <c r="AB383" s="64"/>
      <c r="AC383" s="64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40" t="s">
        <v>69</v>
      </c>
      <c r="X384" s="41">
        <f>IFERROR(SUM(X381:X382),"0")</f>
        <v>0</v>
      </c>
      <c r="Y384" s="41">
        <f>IFERROR(SUM(Y381:Y382),"0")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63"/>
      <c r="AB385" s="63"/>
      <c r="AC385" s="63"/>
    </row>
    <row r="386" spans="1:68" ht="27" customHeight="1" x14ac:dyDescent="0.25">
      <c r="A386" s="60" t="s">
        <v>609</v>
      </c>
      <c r="B386" s="60" t="s">
        <v>610</v>
      </c>
      <c r="C386" s="34">
        <v>4301051899</v>
      </c>
      <c r="D386" s="564">
        <v>4607091384246</v>
      </c>
      <c r="E386" s="565"/>
      <c r="F386" s="59">
        <v>1.5</v>
      </c>
      <c r="G386" s="35">
        <v>6</v>
      </c>
      <c r="H386" s="59">
        <v>9</v>
      </c>
      <c r="I386" s="59">
        <v>9.4939999999999998</v>
      </c>
      <c r="J386" s="35">
        <v>64</v>
      </c>
      <c r="K386" s="35" t="s">
        <v>106</v>
      </c>
      <c r="L386" s="35" t="s">
        <v>107</v>
      </c>
      <c r="M386" s="36" t="s">
        <v>80</v>
      </c>
      <c r="N386" s="36"/>
      <c r="O386" s="35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7"/>
      <c r="V386" s="37"/>
      <c r="W386" s="38" t="s">
        <v>69</v>
      </c>
      <c r="X386" s="56">
        <v>1800</v>
      </c>
      <c r="Y386" s="53">
        <f>IFERROR(IF(X386="",0,CEILING((X386/$H386),1)*$H386),"")</f>
        <v>1800</v>
      </c>
      <c r="Z386" s="39">
        <f>IFERROR(IF(Y386=0,"",ROUNDUP(Y386/H386,0)*0.01898),"")</f>
        <v>3.7960000000000003</v>
      </c>
      <c r="AA386" s="65"/>
      <c r="AB386" s="66"/>
      <c r="AC386" s="451" t="s">
        <v>611</v>
      </c>
      <c r="AG386" s="75"/>
      <c r="AJ386" s="79" t="s">
        <v>92</v>
      </c>
      <c r="AK386" s="79">
        <v>72</v>
      </c>
      <c r="BB386" s="452" t="s">
        <v>1</v>
      </c>
      <c r="BM386" s="75">
        <f>IFERROR(X386*I386/H386,"0")</f>
        <v>1898.8000000000002</v>
      </c>
      <c r="BN386" s="75">
        <f>IFERROR(Y386*I386/H386,"0")</f>
        <v>1898.8000000000002</v>
      </c>
      <c r="BO386" s="75">
        <f>IFERROR(1/J386*(X386/H386),"0")</f>
        <v>3.125</v>
      </c>
      <c r="BP386" s="75">
        <f>IFERROR(1/J386*(Y386/H386),"0")</f>
        <v>3.125</v>
      </c>
    </row>
    <row r="387" spans="1:68" ht="27" hidden="1" customHeight="1" x14ac:dyDescent="0.25">
      <c r="A387" s="60" t="s">
        <v>612</v>
      </c>
      <c r="B387" s="60" t="s">
        <v>613</v>
      </c>
      <c r="C387" s="34">
        <v>4301051660</v>
      </c>
      <c r="D387" s="564">
        <v>4607091384253</v>
      </c>
      <c r="E387" s="565"/>
      <c r="F387" s="59">
        <v>0.4</v>
      </c>
      <c r="G387" s="35">
        <v>6</v>
      </c>
      <c r="H387" s="59">
        <v>2.4</v>
      </c>
      <c r="I387" s="59">
        <v>2.6640000000000001</v>
      </c>
      <c r="J387" s="35">
        <v>182</v>
      </c>
      <c r="K387" s="35" t="s">
        <v>67</v>
      </c>
      <c r="L387" s="35" t="s">
        <v>90</v>
      </c>
      <c r="M387" s="36" t="s">
        <v>80</v>
      </c>
      <c r="N387" s="36"/>
      <c r="O387" s="35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7"/>
      <c r="V387" s="37"/>
      <c r="W387" s="38" t="s">
        <v>69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/>
      <c r="AB387" s="66"/>
      <c r="AC387" s="453" t="s">
        <v>611</v>
      </c>
      <c r="AG387" s="75"/>
      <c r="AJ387" s="79" t="s">
        <v>92</v>
      </c>
      <c r="AK387" s="79">
        <v>33.6</v>
      </c>
      <c r="BB387" s="45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customHeight="1" x14ac:dyDescent="0.25">
      <c r="A388" s="60" t="s">
        <v>612</v>
      </c>
      <c r="B388" s="60" t="s">
        <v>614</v>
      </c>
      <c r="C388" s="34">
        <v>4301052069</v>
      </c>
      <c r="D388" s="564">
        <v>4607091384253</v>
      </c>
      <c r="E388" s="565"/>
      <c r="F388" s="59">
        <v>0.4</v>
      </c>
      <c r="G388" s="35">
        <v>6</v>
      </c>
      <c r="H388" s="59">
        <v>2.4</v>
      </c>
      <c r="I388" s="59">
        <v>2.6640000000000001</v>
      </c>
      <c r="J388" s="35">
        <v>182</v>
      </c>
      <c r="K388" s="35" t="s">
        <v>67</v>
      </c>
      <c r="L388" s="35"/>
      <c r="M388" s="36" t="s">
        <v>80</v>
      </c>
      <c r="N388" s="36"/>
      <c r="O388" s="35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7"/>
      <c r="V388" s="37"/>
      <c r="W388" s="38" t="s">
        <v>69</v>
      </c>
      <c r="X388" s="56">
        <v>200</v>
      </c>
      <c r="Y388" s="53">
        <f>IFERROR(IF(X388="",0,CEILING((X388/$H388),1)*$H388),"")</f>
        <v>201.6</v>
      </c>
      <c r="Z388" s="39">
        <f>IFERROR(IF(Y388=0,"",ROUNDUP(Y388/H388,0)*0.00651),"")</f>
        <v>0.54683999999999999</v>
      </c>
      <c r="AA388" s="65"/>
      <c r="AB388" s="66"/>
      <c r="AC388" s="455" t="s">
        <v>615</v>
      </c>
      <c r="AG388" s="75"/>
      <c r="AJ388" s="79"/>
      <c r="AK388" s="79">
        <v>0</v>
      </c>
      <c r="BB388" s="456" t="s">
        <v>1</v>
      </c>
      <c r="BM388" s="75">
        <f>IFERROR(X388*I388/H388,"0")</f>
        <v>222.00000000000003</v>
      </c>
      <c r="BN388" s="75">
        <f>IFERROR(Y388*I388/H388,"0")</f>
        <v>223.77600000000001</v>
      </c>
      <c r="BO388" s="75">
        <f>IFERROR(1/J388*(X388/H388),"0")</f>
        <v>0.45787545787545797</v>
      </c>
      <c r="BP388" s="75">
        <f>IFERROR(1/J388*(Y388/H388),"0")</f>
        <v>0.46153846153846156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40" t="s">
        <v>76</v>
      </c>
      <c r="X389" s="41">
        <f>IFERROR(X386/H386,"0")+IFERROR(X387/H387,"0")+IFERROR(X388/H388,"0")</f>
        <v>283.33333333333337</v>
      </c>
      <c r="Y389" s="41">
        <f>IFERROR(Y386/H386,"0")+IFERROR(Y387/H387,"0")+IFERROR(Y388/H388,"0")</f>
        <v>284</v>
      </c>
      <c r="Z389" s="41">
        <f>IFERROR(IF(Z386="",0,Z386),"0")+IFERROR(IF(Z387="",0,Z387),"0")+IFERROR(IF(Z388="",0,Z388),"0")</f>
        <v>4.3428400000000007</v>
      </c>
      <c r="AA389" s="64"/>
      <c r="AB389" s="64"/>
      <c r="AC389" s="64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40" t="s">
        <v>69</v>
      </c>
      <c r="X390" s="41">
        <f>IFERROR(SUM(X386:X388),"0")</f>
        <v>2000</v>
      </c>
      <c r="Y390" s="41">
        <f>IFERROR(SUM(Y386:Y388),"0")</f>
        <v>2001.6</v>
      </c>
      <c r="Z390" s="40"/>
      <c r="AA390" s="64"/>
      <c r="AB390" s="64"/>
      <c r="AC390" s="64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52"/>
      <c r="AB391" s="52"/>
      <c r="AC391" s="52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62"/>
      <c r="AB392" s="62"/>
      <c r="AC392" s="62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63"/>
      <c r="AB393" s="63"/>
      <c r="AC393" s="63"/>
    </row>
    <row r="394" spans="1:68" ht="27" hidden="1" customHeight="1" x14ac:dyDescent="0.25">
      <c r="A394" s="60" t="s">
        <v>618</v>
      </c>
      <c r="B394" s="60" t="s">
        <v>619</v>
      </c>
      <c r="C394" s="34">
        <v>4301031405</v>
      </c>
      <c r="D394" s="564">
        <v>4680115886100</v>
      </c>
      <c r="E394" s="56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112</v>
      </c>
      <c r="L394" s="35" t="s">
        <v>115</v>
      </c>
      <c r="M394" s="36" t="s">
        <v>68</v>
      </c>
      <c r="N394" s="36"/>
      <c r="O394" s="35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7"/>
      <c r="V394" s="37"/>
      <c r="W394" s="38" t="s">
        <v>69</v>
      </c>
      <c r="X394" s="56">
        <v>0</v>
      </c>
      <c r="Y394" s="53">
        <f t="shared" ref="Y394:Y402" si="46">IFERROR(IF(X394="",0,CEILING((X394/$H394),1)*$H394),"")</f>
        <v>0</v>
      </c>
      <c r="Z394" s="39" t="str">
        <f>IFERROR(IF(Y394=0,"",ROUNDUP(Y394/H394,0)*0.00902),"")</f>
        <v/>
      </c>
      <c r="AA394" s="65"/>
      <c r="AB394" s="66"/>
      <c r="AC394" s="457" t="s">
        <v>620</v>
      </c>
      <c r="AG394" s="75"/>
      <c r="AJ394" s="79" t="s">
        <v>92</v>
      </c>
      <c r="AK394" s="79">
        <v>64.8</v>
      </c>
      <c r="BB394" s="458" t="s">
        <v>1</v>
      </c>
      <c r="BM394" s="75">
        <f t="shared" ref="BM394:BM402" si="47">IFERROR(X394*I394/H394,"0")</f>
        <v>0</v>
      </c>
      <c r="BN394" s="75">
        <f t="shared" ref="BN394:BN402" si="48">IFERROR(Y394*I394/H394,"0")</f>
        <v>0</v>
      </c>
      <c r="BO394" s="75">
        <f t="shared" ref="BO394:BO402" si="49">IFERROR(1/J394*(X394/H394),"0")</f>
        <v>0</v>
      </c>
      <c r="BP394" s="75">
        <f t="shared" ref="BP394:BP402" si="50">IFERROR(1/J394*(Y394/H394),"0")</f>
        <v>0</v>
      </c>
    </row>
    <row r="395" spans="1:68" ht="27" hidden="1" customHeight="1" x14ac:dyDescent="0.25">
      <c r="A395" s="60" t="s">
        <v>621</v>
      </c>
      <c r="B395" s="60" t="s">
        <v>622</v>
      </c>
      <c r="C395" s="34">
        <v>4301031406</v>
      </c>
      <c r="D395" s="564">
        <v>4680115886117</v>
      </c>
      <c r="E395" s="565"/>
      <c r="F395" s="59">
        <v>0.9</v>
      </c>
      <c r="G395" s="35">
        <v>6</v>
      </c>
      <c r="H395" s="59">
        <v>5.4</v>
      </c>
      <c r="I395" s="59">
        <v>5.59</v>
      </c>
      <c r="J395" s="35">
        <v>132</v>
      </c>
      <c r="K395" s="35" t="s">
        <v>112</v>
      </c>
      <c r="L395" s="35"/>
      <c r="M395" s="36" t="s">
        <v>68</v>
      </c>
      <c r="N395" s="36"/>
      <c r="O395" s="35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7"/>
      <c r="V395" s="37"/>
      <c r="W395" s="38" t="s">
        <v>69</v>
      </c>
      <c r="X395" s="56">
        <v>0</v>
      </c>
      <c r="Y395" s="53">
        <f t="shared" si="46"/>
        <v>0</v>
      </c>
      <c r="Z395" s="39" t="str">
        <f>IFERROR(IF(Y395=0,"",ROUNDUP(Y395/H395,0)*0.00902),"")</f>
        <v/>
      </c>
      <c r="AA395" s="65"/>
      <c r="AB395" s="66"/>
      <c r="AC395" s="459" t="s">
        <v>623</v>
      </c>
      <c r="AG395" s="75"/>
      <c r="AJ395" s="79"/>
      <c r="AK395" s="79">
        <v>0</v>
      </c>
      <c r="BB395" s="460" t="s">
        <v>1</v>
      </c>
      <c r="BM395" s="75">
        <f t="shared" si="47"/>
        <v>0</v>
      </c>
      <c r="BN395" s="75">
        <f t="shared" si="48"/>
        <v>0</v>
      </c>
      <c r="BO395" s="75">
        <f t="shared" si="49"/>
        <v>0</v>
      </c>
      <c r="BP395" s="75">
        <f t="shared" si="50"/>
        <v>0</v>
      </c>
    </row>
    <row r="396" spans="1:68" ht="27" hidden="1" customHeight="1" x14ac:dyDescent="0.25">
      <c r="A396" s="60" t="s">
        <v>624</v>
      </c>
      <c r="B396" s="60" t="s">
        <v>625</v>
      </c>
      <c r="C396" s="34">
        <v>4301031402</v>
      </c>
      <c r="D396" s="564">
        <v>4680115886124</v>
      </c>
      <c r="E396" s="565"/>
      <c r="F396" s="59">
        <v>0.9</v>
      </c>
      <c r="G396" s="35">
        <v>6</v>
      </c>
      <c r="H396" s="59">
        <v>5.4</v>
      </c>
      <c r="I396" s="59">
        <v>5.59</v>
      </c>
      <c r="J396" s="35">
        <v>132</v>
      </c>
      <c r="K396" s="35" t="s">
        <v>112</v>
      </c>
      <c r="L396" s="35" t="s">
        <v>115</v>
      </c>
      <c r="M396" s="36" t="s">
        <v>68</v>
      </c>
      <c r="N396" s="36"/>
      <c r="O396" s="35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7"/>
      <c r="V396" s="37"/>
      <c r="W396" s="38" t="s">
        <v>69</v>
      </c>
      <c r="X396" s="56">
        <v>0</v>
      </c>
      <c r="Y396" s="53">
        <f t="shared" si="46"/>
        <v>0</v>
      </c>
      <c r="Z396" s="39" t="str">
        <f>IFERROR(IF(Y396=0,"",ROUNDUP(Y396/H396,0)*0.00902),"")</f>
        <v/>
      </c>
      <c r="AA396" s="65"/>
      <c r="AB396" s="66"/>
      <c r="AC396" s="461" t="s">
        <v>626</v>
      </c>
      <c r="AG396" s="75"/>
      <c r="AJ396" s="79" t="s">
        <v>92</v>
      </c>
      <c r="AK396" s="79">
        <v>64.8</v>
      </c>
      <c r="BB396" s="462" t="s">
        <v>1</v>
      </c>
      <c r="BM396" s="75">
        <f t="shared" si="47"/>
        <v>0</v>
      </c>
      <c r="BN396" s="75">
        <f t="shared" si="48"/>
        <v>0</v>
      </c>
      <c r="BO396" s="75">
        <f t="shared" si="49"/>
        <v>0</v>
      </c>
      <c r="BP396" s="75">
        <f t="shared" si="50"/>
        <v>0</v>
      </c>
    </row>
    <row r="397" spans="1:68" ht="27" hidden="1" customHeight="1" x14ac:dyDescent="0.25">
      <c r="A397" s="60" t="s">
        <v>627</v>
      </c>
      <c r="B397" s="60" t="s">
        <v>628</v>
      </c>
      <c r="C397" s="34">
        <v>4301031366</v>
      </c>
      <c r="D397" s="564">
        <v>4680115883147</v>
      </c>
      <c r="E397" s="565"/>
      <c r="F397" s="59">
        <v>0.28000000000000003</v>
      </c>
      <c r="G397" s="35">
        <v>6</v>
      </c>
      <c r="H397" s="59">
        <v>1.68</v>
      </c>
      <c r="I397" s="59">
        <v>1.81</v>
      </c>
      <c r="J397" s="35">
        <v>234</v>
      </c>
      <c r="K397" s="35" t="s">
        <v>73</v>
      </c>
      <c r="L397" s="35"/>
      <c r="M397" s="36" t="s">
        <v>68</v>
      </c>
      <c r="N397" s="36"/>
      <c r="O397" s="35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7"/>
      <c r="V397" s="37"/>
      <c r="W397" s="38" t="s">
        <v>69</v>
      </c>
      <c r="X397" s="56">
        <v>0</v>
      </c>
      <c r="Y397" s="53">
        <f t="shared" si="46"/>
        <v>0</v>
      </c>
      <c r="Z397" s="39" t="str">
        <f t="shared" ref="Z397:Z402" si="51">IFERROR(IF(Y397=0,"",ROUNDUP(Y397/H397,0)*0.00502),"")</f>
        <v/>
      </c>
      <c r="AA397" s="65"/>
      <c r="AB397" s="66"/>
      <c r="AC397" s="463" t="s">
        <v>620</v>
      </c>
      <c r="AG397" s="75"/>
      <c r="AJ397" s="79"/>
      <c r="AK397" s="79">
        <v>0</v>
      </c>
      <c r="BB397" s="464" t="s">
        <v>1</v>
      </c>
      <c r="BM397" s="75">
        <f t="shared" si="47"/>
        <v>0</v>
      </c>
      <c r="BN397" s="75">
        <f t="shared" si="48"/>
        <v>0</v>
      </c>
      <c r="BO397" s="75">
        <f t="shared" si="49"/>
        <v>0</v>
      </c>
      <c r="BP397" s="75">
        <f t="shared" si="50"/>
        <v>0</v>
      </c>
    </row>
    <row r="398" spans="1:68" ht="27" hidden="1" customHeight="1" x14ac:dyDescent="0.25">
      <c r="A398" s="60" t="s">
        <v>629</v>
      </c>
      <c r="B398" s="60" t="s">
        <v>630</v>
      </c>
      <c r="C398" s="34">
        <v>4301031362</v>
      </c>
      <c r="D398" s="564">
        <v>4607091384338</v>
      </c>
      <c r="E398" s="565"/>
      <c r="F398" s="59">
        <v>0.35</v>
      </c>
      <c r="G398" s="35">
        <v>6</v>
      </c>
      <c r="H398" s="59">
        <v>2.1</v>
      </c>
      <c r="I398" s="59">
        <v>2.23</v>
      </c>
      <c r="J398" s="35">
        <v>234</v>
      </c>
      <c r="K398" s="35" t="s">
        <v>73</v>
      </c>
      <c r="L398" s="35"/>
      <c r="M398" s="36" t="s">
        <v>68</v>
      </c>
      <c r="N398" s="36"/>
      <c r="O398" s="35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7"/>
      <c r="V398" s="37"/>
      <c r="W398" s="38" t="s">
        <v>69</v>
      </c>
      <c r="X398" s="56">
        <v>0</v>
      </c>
      <c r="Y398" s="53">
        <f t="shared" si="46"/>
        <v>0</v>
      </c>
      <c r="Z398" s="39" t="str">
        <f t="shared" si="51"/>
        <v/>
      </c>
      <c r="AA398" s="65"/>
      <c r="AB398" s="66"/>
      <c r="AC398" s="465" t="s">
        <v>620</v>
      </c>
      <c r="AG398" s="75"/>
      <c r="AJ398" s="79"/>
      <c r="AK398" s="79">
        <v>0</v>
      </c>
      <c r="BB398" s="466" t="s">
        <v>1</v>
      </c>
      <c r="BM398" s="75">
        <f t="shared" si="47"/>
        <v>0</v>
      </c>
      <c r="BN398" s="75">
        <f t="shared" si="48"/>
        <v>0</v>
      </c>
      <c r="BO398" s="75">
        <f t="shared" si="49"/>
        <v>0</v>
      </c>
      <c r="BP398" s="75">
        <f t="shared" si="50"/>
        <v>0</v>
      </c>
    </row>
    <row r="399" spans="1:68" ht="37.5" hidden="1" customHeight="1" x14ac:dyDescent="0.25">
      <c r="A399" s="60" t="s">
        <v>631</v>
      </c>
      <c r="B399" s="60" t="s">
        <v>632</v>
      </c>
      <c r="C399" s="34">
        <v>4301031361</v>
      </c>
      <c r="D399" s="564">
        <v>4607091389524</v>
      </c>
      <c r="E399" s="56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73</v>
      </c>
      <c r="L399" s="35"/>
      <c r="M399" s="36" t="s">
        <v>68</v>
      </c>
      <c r="N399" s="36"/>
      <c r="O399" s="35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7"/>
      <c r="V399" s="37"/>
      <c r="W399" s="38" t="s">
        <v>69</v>
      </c>
      <c r="X399" s="56">
        <v>0</v>
      </c>
      <c r="Y399" s="53">
        <f t="shared" si="46"/>
        <v>0</v>
      </c>
      <c r="Z399" s="39" t="str">
        <f t="shared" si="51"/>
        <v/>
      </c>
      <c r="AA399" s="65"/>
      <c r="AB399" s="66"/>
      <c r="AC399" s="467" t="s">
        <v>633</v>
      </c>
      <c r="AG399" s="75"/>
      <c r="AJ399" s="79"/>
      <c r="AK399" s="79">
        <v>0</v>
      </c>
      <c r="BB399" s="468" t="s">
        <v>1</v>
      </c>
      <c r="BM399" s="75">
        <f t="shared" si="47"/>
        <v>0</v>
      </c>
      <c r="BN399" s="75">
        <f t="shared" si="48"/>
        <v>0</v>
      </c>
      <c r="BO399" s="75">
        <f t="shared" si="49"/>
        <v>0</v>
      </c>
      <c r="BP399" s="75">
        <f t="shared" si="50"/>
        <v>0</v>
      </c>
    </row>
    <row r="400" spans="1:68" ht="27" hidden="1" customHeight="1" x14ac:dyDescent="0.25">
      <c r="A400" s="60" t="s">
        <v>634</v>
      </c>
      <c r="B400" s="60" t="s">
        <v>635</v>
      </c>
      <c r="C400" s="34">
        <v>4301031364</v>
      </c>
      <c r="D400" s="564">
        <v>4680115883161</v>
      </c>
      <c r="E400" s="565"/>
      <c r="F400" s="59">
        <v>0.28000000000000003</v>
      </c>
      <c r="G400" s="35">
        <v>6</v>
      </c>
      <c r="H400" s="59">
        <v>1.68</v>
      </c>
      <c r="I400" s="59">
        <v>1.81</v>
      </c>
      <c r="J400" s="35">
        <v>234</v>
      </c>
      <c r="K400" s="35" t="s">
        <v>73</v>
      </c>
      <c r="L400" s="35"/>
      <c r="M400" s="36" t="s">
        <v>68</v>
      </c>
      <c r="N400" s="36"/>
      <c r="O400" s="35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7"/>
      <c r="V400" s="37"/>
      <c r="W400" s="38" t="s">
        <v>69</v>
      </c>
      <c r="X400" s="56">
        <v>0</v>
      </c>
      <c r="Y400" s="53">
        <f t="shared" si="46"/>
        <v>0</v>
      </c>
      <c r="Z400" s="39" t="str">
        <f t="shared" si="51"/>
        <v/>
      </c>
      <c r="AA400" s="65"/>
      <c r="AB400" s="66"/>
      <c r="AC400" s="469" t="s">
        <v>636</v>
      </c>
      <c r="AG400" s="75"/>
      <c r="AJ400" s="79"/>
      <c r="AK400" s="79">
        <v>0</v>
      </c>
      <c r="BB400" s="470" t="s">
        <v>1</v>
      </c>
      <c r="BM400" s="75">
        <f t="shared" si="47"/>
        <v>0</v>
      </c>
      <c r="BN400" s="75">
        <f t="shared" si="48"/>
        <v>0</v>
      </c>
      <c r="BO400" s="75">
        <f t="shared" si="49"/>
        <v>0</v>
      </c>
      <c r="BP400" s="75">
        <f t="shared" si="50"/>
        <v>0</v>
      </c>
    </row>
    <row r="401" spans="1:68" ht="27" hidden="1" customHeight="1" x14ac:dyDescent="0.25">
      <c r="A401" s="60" t="s">
        <v>637</v>
      </c>
      <c r="B401" s="60" t="s">
        <v>638</v>
      </c>
      <c r="C401" s="34">
        <v>4301031358</v>
      </c>
      <c r="D401" s="564">
        <v>4607091389531</v>
      </c>
      <c r="E401" s="565"/>
      <c r="F401" s="59">
        <v>0.35</v>
      </c>
      <c r="G401" s="35">
        <v>6</v>
      </c>
      <c r="H401" s="59">
        <v>2.1</v>
      </c>
      <c r="I401" s="59">
        <v>2.23</v>
      </c>
      <c r="J401" s="35">
        <v>234</v>
      </c>
      <c r="K401" s="35" t="s">
        <v>73</v>
      </c>
      <c r="L401" s="35"/>
      <c r="M401" s="36" t="s">
        <v>68</v>
      </c>
      <c r="N401" s="36"/>
      <c r="O401" s="35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7"/>
      <c r="V401" s="37"/>
      <c r="W401" s="38" t="s">
        <v>69</v>
      </c>
      <c r="X401" s="56">
        <v>0</v>
      </c>
      <c r="Y401" s="53">
        <f t="shared" si="46"/>
        <v>0</v>
      </c>
      <c r="Z401" s="39" t="str">
        <f t="shared" si="51"/>
        <v/>
      </c>
      <c r="AA401" s="65"/>
      <c r="AB401" s="66"/>
      <c r="AC401" s="471" t="s">
        <v>639</v>
      </c>
      <c r="AG401" s="75"/>
      <c r="AJ401" s="79"/>
      <c r="AK401" s="79">
        <v>0</v>
      </c>
      <c r="BB401" s="472" t="s">
        <v>1</v>
      </c>
      <c r="BM401" s="75">
        <f t="shared" si="47"/>
        <v>0</v>
      </c>
      <c r="BN401" s="75">
        <f t="shared" si="48"/>
        <v>0</v>
      </c>
      <c r="BO401" s="75">
        <f t="shared" si="49"/>
        <v>0</v>
      </c>
      <c r="BP401" s="75">
        <f t="shared" si="50"/>
        <v>0</v>
      </c>
    </row>
    <row r="402" spans="1:68" ht="37.5" hidden="1" customHeight="1" x14ac:dyDescent="0.25">
      <c r="A402" s="60" t="s">
        <v>640</v>
      </c>
      <c r="B402" s="60" t="s">
        <v>641</v>
      </c>
      <c r="C402" s="34">
        <v>4301031360</v>
      </c>
      <c r="D402" s="564">
        <v>4607091384345</v>
      </c>
      <c r="E402" s="565"/>
      <c r="F402" s="59">
        <v>0.35</v>
      </c>
      <c r="G402" s="35">
        <v>6</v>
      </c>
      <c r="H402" s="59">
        <v>2.1</v>
      </c>
      <c r="I402" s="59">
        <v>2.23</v>
      </c>
      <c r="J402" s="35">
        <v>234</v>
      </c>
      <c r="K402" s="35" t="s">
        <v>73</v>
      </c>
      <c r="L402" s="35"/>
      <c r="M402" s="36" t="s">
        <v>68</v>
      </c>
      <c r="N402" s="36"/>
      <c r="O402" s="35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7"/>
      <c r="V402" s="37"/>
      <c r="W402" s="38" t="s">
        <v>69</v>
      </c>
      <c r="X402" s="56">
        <v>0</v>
      </c>
      <c r="Y402" s="53">
        <f t="shared" si="46"/>
        <v>0</v>
      </c>
      <c r="Z402" s="39" t="str">
        <f t="shared" si="51"/>
        <v/>
      </c>
      <c r="AA402" s="65"/>
      <c r="AB402" s="66"/>
      <c r="AC402" s="473" t="s">
        <v>636</v>
      </c>
      <c r="AG402" s="75"/>
      <c r="AJ402" s="79"/>
      <c r="AK402" s="79">
        <v>0</v>
      </c>
      <c r="BB402" s="474" t="s">
        <v>1</v>
      </c>
      <c r="BM402" s="75">
        <f t="shared" si="47"/>
        <v>0</v>
      </c>
      <c r="BN402" s="75">
        <f t="shared" si="48"/>
        <v>0</v>
      </c>
      <c r="BO402" s="75">
        <f t="shared" si="49"/>
        <v>0</v>
      </c>
      <c r="BP402" s="75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40" t="s">
        <v>76</v>
      </c>
      <c r="X403" s="41">
        <f>IFERROR(X394/H394,"0")+IFERROR(X395/H395,"0")+IFERROR(X396/H396,"0")+IFERROR(X397/H397,"0")+IFERROR(X398/H398,"0")+IFERROR(X399/H399,"0")+IFERROR(X400/H400,"0")+IFERROR(X401/H401,"0")+IFERROR(X402/H402,"0")</f>
        <v>0</v>
      </c>
      <c r="Y403" s="41">
        <f>IFERROR(Y394/H394,"0")+IFERROR(Y395/H395,"0")+IFERROR(Y396/H396,"0")+IFERROR(Y397/H397,"0")+IFERROR(Y398/H398,"0")+IFERROR(Y399/H399,"0")+IFERROR(Y400/H400,"0")+IFERROR(Y401/H401,"0")+IFERROR(Y402/H402,"0")</f>
        <v>0</v>
      </c>
      <c r="Z403" s="41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64"/>
      <c r="AB403" s="64"/>
      <c r="AC403" s="64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40" t="s">
        <v>69</v>
      </c>
      <c r="X404" s="41">
        <f>IFERROR(SUM(X394:X402),"0")</f>
        <v>0</v>
      </c>
      <c r="Y404" s="41">
        <f>IFERROR(SUM(Y394:Y402),"0")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63"/>
      <c r="AB405" s="63"/>
      <c r="AC405" s="63"/>
    </row>
    <row r="406" spans="1:68" ht="27" hidden="1" customHeight="1" x14ac:dyDescent="0.25">
      <c r="A406" s="60" t="s">
        <v>642</v>
      </c>
      <c r="B406" s="60" t="s">
        <v>643</v>
      </c>
      <c r="C406" s="34">
        <v>4301051284</v>
      </c>
      <c r="D406" s="564">
        <v>4607091384352</v>
      </c>
      <c r="E406" s="565"/>
      <c r="F406" s="59">
        <v>0.6</v>
      </c>
      <c r="G406" s="35">
        <v>4</v>
      </c>
      <c r="H406" s="59">
        <v>2.4</v>
      </c>
      <c r="I406" s="59">
        <v>2.6259999999999999</v>
      </c>
      <c r="J406" s="35">
        <v>132</v>
      </c>
      <c r="K406" s="35" t="s">
        <v>112</v>
      </c>
      <c r="L406" s="35" t="s">
        <v>115</v>
      </c>
      <c r="M406" s="36" t="s">
        <v>80</v>
      </c>
      <c r="N406" s="36"/>
      <c r="O406" s="35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7"/>
      <c r="V406" s="37"/>
      <c r="W406" s="38" t="s">
        <v>69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IFERROR(IF(Y406=0,"",ROUNDUP(Y406/H406,0)*0.00902),"")</f>
        <v/>
      </c>
      <c r="AA406" s="65"/>
      <c r="AB406" s="66"/>
      <c r="AC406" s="475" t="s">
        <v>644</v>
      </c>
      <c r="AG406" s="75"/>
      <c r="AJ406" s="79" t="s">
        <v>92</v>
      </c>
      <c r="AK406" s="79">
        <v>28.8</v>
      </c>
      <c r="BB406" s="47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645</v>
      </c>
      <c r="B407" s="60" t="s">
        <v>646</v>
      </c>
      <c r="C407" s="34">
        <v>4301051431</v>
      </c>
      <c r="D407" s="564">
        <v>4607091389654</v>
      </c>
      <c r="E407" s="565"/>
      <c r="F407" s="59">
        <v>0.33</v>
      </c>
      <c r="G407" s="35">
        <v>6</v>
      </c>
      <c r="H407" s="59">
        <v>1.98</v>
      </c>
      <c r="I407" s="59">
        <v>2.238</v>
      </c>
      <c r="J407" s="35">
        <v>182</v>
      </c>
      <c r="K407" s="35" t="s">
        <v>67</v>
      </c>
      <c r="L407" s="35" t="s">
        <v>90</v>
      </c>
      <c r="M407" s="36" t="s">
        <v>80</v>
      </c>
      <c r="N407" s="36"/>
      <c r="O407" s="35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7"/>
      <c r="V407" s="37"/>
      <c r="W407" s="38" t="s">
        <v>69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/>
      <c r="AB407" s="66"/>
      <c r="AC407" s="477" t="s">
        <v>647</v>
      </c>
      <c r="AG407" s="75"/>
      <c r="AJ407" s="79" t="s">
        <v>92</v>
      </c>
      <c r="AK407" s="79">
        <v>27.72</v>
      </c>
      <c r="BB407" s="478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40" t="s">
        <v>76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40" t="s">
        <v>69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62"/>
      <c r="AB410" s="62"/>
      <c r="AC410" s="62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63"/>
      <c r="AB411" s="63"/>
      <c r="AC411" s="63"/>
    </row>
    <row r="412" spans="1:68" ht="27" hidden="1" customHeight="1" x14ac:dyDescent="0.25">
      <c r="A412" s="60" t="s">
        <v>649</v>
      </c>
      <c r="B412" s="60" t="s">
        <v>650</v>
      </c>
      <c r="C412" s="34">
        <v>4301020319</v>
      </c>
      <c r="D412" s="564">
        <v>4680115885240</v>
      </c>
      <c r="E412" s="565"/>
      <c r="F412" s="59">
        <v>0.35</v>
      </c>
      <c r="G412" s="35">
        <v>6</v>
      </c>
      <c r="H412" s="59">
        <v>2.1</v>
      </c>
      <c r="I412" s="59">
        <v>2.31</v>
      </c>
      <c r="J412" s="35">
        <v>182</v>
      </c>
      <c r="K412" s="35" t="s">
        <v>67</v>
      </c>
      <c r="L412" s="35"/>
      <c r="M412" s="36" t="s">
        <v>68</v>
      </c>
      <c r="N412" s="36"/>
      <c r="O412" s="35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7"/>
      <c r="V412" s="37"/>
      <c r="W412" s="38" t="s">
        <v>69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IFERROR(IF(Y412=0,"",ROUNDUP(Y412/H412,0)*0.00651),"")</f>
        <v/>
      </c>
      <c r="AA412" s="65"/>
      <c r="AB412" s="66"/>
      <c r="AC412" s="479" t="s">
        <v>651</v>
      </c>
      <c r="AG412" s="75"/>
      <c r="AJ412" s="79"/>
      <c r="AK412" s="79">
        <v>0</v>
      </c>
      <c r="BB412" s="480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40" t="s">
        <v>76</v>
      </c>
      <c r="X413" s="41">
        <f>IFERROR(X412/H412,"0")</f>
        <v>0</v>
      </c>
      <c r="Y413" s="41">
        <f>IFERROR(Y412/H412,"0")</f>
        <v>0</v>
      </c>
      <c r="Z413" s="41">
        <f>IFERROR(IF(Z412="",0,Z412),"0")</f>
        <v>0</v>
      </c>
      <c r="AA413" s="64"/>
      <c r="AB413" s="64"/>
      <c r="AC413" s="64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40" t="s">
        <v>69</v>
      </c>
      <c r="X414" s="41">
        <f>IFERROR(SUM(X412:X412),"0")</f>
        <v>0</v>
      </c>
      <c r="Y414" s="41">
        <f>IFERROR(SUM(Y412:Y412),"0")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63"/>
      <c r="AB415" s="63"/>
      <c r="AC415" s="63"/>
    </row>
    <row r="416" spans="1:68" ht="27" hidden="1" customHeight="1" x14ac:dyDescent="0.25">
      <c r="A416" s="60" t="s">
        <v>652</v>
      </c>
      <c r="B416" s="60" t="s">
        <v>653</v>
      </c>
      <c r="C416" s="34">
        <v>4301031403</v>
      </c>
      <c r="D416" s="564">
        <v>4680115886094</v>
      </c>
      <c r="E416" s="565"/>
      <c r="F416" s="59">
        <v>0.9</v>
      </c>
      <c r="G416" s="35">
        <v>6</v>
      </c>
      <c r="H416" s="59">
        <v>5.4</v>
      </c>
      <c r="I416" s="59">
        <v>5.59</v>
      </c>
      <c r="J416" s="35">
        <v>132</v>
      </c>
      <c r="K416" s="35" t="s">
        <v>112</v>
      </c>
      <c r="L416" s="35" t="s">
        <v>115</v>
      </c>
      <c r="M416" s="36" t="s">
        <v>108</v>
      </c>
      <c r="N416" s="36"/>
      <c r="O416" s="35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7"/>
      <c r="V416" s="37"/>
      <c r="W416" s="38" t="s">
        <v>69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/>
      <c r="AB416" s="66"/>
      <c r="AC416" s="481" t="s">
        <v>654</v>
      </c>
      <c r="AG416" s="75"/>
      <c r="AJ416" s="79" t="s">
        <v>92</v>
      </c>
      <c r="AK416" s="79">
        <v>64.8</v>
      </c>
      <c r="BB416" s="482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655</v>
      </c>
      <c r="B417" s="60" t="s">
        <v>656</v>
      </c>
      <c r="C417" s="34">
        <v>4301031363</v>
      </c>
      <c r="D417" s="564">
        <v>4607091389425</v>
      </c>
      <c r="E417" s="565"/>
      <c r="F417" s="59">
        <v>0.35</v>
      </c>
      <c r="G417" s="35">
        <v>6</v>
      </c>
      <c r="H417" s="59">
        <v>2.1</v>
      </c>
      <c r="I417" s="59">
        <v>2.23</v>
      </c>
      <c r="J417" s="35">
        <v>234</v>
      </c>
      <c r="K417" s="35" t="s">
        <v>73</v>
      </c>
      <c r="L417" s="35"/>
      <c r="M417" s="36" t="s">
        <v>68</v>
      </c>
      <c r="N417" s="36"/>
      <c r="O417" s="35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7"/>
      <c r="V417" s="37"/>
      <c r="W417" s="38" t="s">
        <v>69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IFERROR(IF(Y417=0,"",ROUNDUP(Y417/H417,0)*0.00502),"")</f>
        <v/>
      </c>
      <c r="AA417" s="65"/>
      <c r="AB417" s="66"/>
      <c r="AC417" s="483" t="s">
        <v>657</v>
      </c>
      <c r="AG417" s="75"/>
      <c r="AJ417" s="79"/>
      <c r="AK417" s="79">
        <v>0</v>
      </c>
      <c r="BB417" s="484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658</v>
      </c>
      <c r="B418" s="60" t="s">
        <v>659</v>
      </c>
      <c r="C418" s="34">
        <v>4301031373</v>
      </c>
      <c r="D418" s="564">
        <v>4680115880771</v>
      </c>
      <c r="E418" s="565"/>
      <c r="F418" s="59">
        <v>0.28000000000000003</v>
      </c>
      <c r="G418" s="35">
        <v>6</v>
      </c>
      <c r="H418" s="59">
        <v>1.68</v>
      </c>
      <c r="I418" s="59">
        <v>1.81</v>
      </c>
      <c r="J418" s="35">
        <v>234</v>
      </c>
      <c r="K418" s="35" t="s">
        <v>73</v>
      </c>
      <c r="L418" s="35"/>
      <c r="M418" s="36" t="s">
        <v>68</v>
      </c>
      <c r="N418" s="36"/>
      <c r="O418" s="35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7"/>
      <c r="V418" s="37"/>
      <c r="W418" s="38" t="s">
        <v>69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IFERROR(IF(Y418=0,"",ROUNDUP(Y418/H418,0)*0.00502),"")</f>
        <v/>
      </c>
      <c r="AA418" s="65"/>
      <c r="AB418" s="66"/>
      <c r="AC418" s="485" t="s">
        <v>660</v>
      </c>
      <c r="AG418" s="75"/>
      <c r="AJ418" s="79"/>
      <c r="AK418" s="79">
        <v>0</v>
      </c>
      <c r="BB418" s="486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661</v>
      </c>
      <c r="B419" s="60" t="s">
        <v>662</v>
      </c>
      <c r="C419" s="34">
        <v>4301031359</v>
      </c>
      <c r="D419" s="564">
        <v>4607091389500</v>
      </c>
      <c r="E419" s="565"/>
      <c r="F419" s="59">
        <v>0.35</v>
      </c>
      <c r="G419" s="35">
        <v>6</v>
      </c>
      <c r="H419" s="59">
        <v>2.1</v>
      </c>
      <c r="I419" s="59">
        <v>2.23</v>
      </c>
      <c r="J419" s="35">
        <v>234</v>
      </c>
      <c r="K419" s="35" t="s">
        <v>73</v>
      </c>
      <c r="L419" s="35"/>
      <c r="M419" s="36" t="s">
        <v>68</v>
      </c>
      <c r="N419" s="36"/>
      <c r="O419" s="35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7"/>
      <c r="V419" s="37"/>
      <c r="W419" s="38" t="s">
        <v>69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IFERROR(IF(Y419=0,"",ROUNDUP(Y419/H419,0)*0.00502),"")</f>
        <v/>
      </c>
      <c r="AA419" s="65"/>
      <c r="AB419" s="66"/>
      <c r="AC419" s="487" t="s">
        <v>660</v>
      </c>
      <c r="AG419" s="75"/>
      <c r="AJ419" s="79"/>
      <c r="AK419" s="79">
        <v>0</v>
      </c>
      <c r="BB419" s="488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40" t="s">
        <v>76</v>
      </c>
      <c r="X420" s="41">
        <f>IFERROR(X416/H416,"0")+IFERROR(X417/H417,"0")+IFERROR(X418/H418,"0")+IFERROR(X419/H419,"0")</f>
        <v>0</v>
      </c>
      <c r="Y420" s="41">
        <f>IFERROR(Y416/H416,"0")+IFERROR(Y417/H417,"0")+IFERROR(Y418/H418,"0")+IFERROR(Y419/H419,"0")</f>
        <v>0</v>
      </c>
      <c r="Z420" s="41">
        <f>IFERROR(IF(Z416="",0,Z416),"0")+IFERROR(IF(Z417="",0,Z417),"0")+IFERROR(IF(Z418="",0,Z418),"0")+IFERROR(IF(Z419="",0,Z419),"0")</f>
        <v>0</v>
      </c>
      <c r="AA420" s="64"/>
      <c r="AB420" s="64"/>
      <c r="AC420" s="64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40" t="s">
        <v>69</v>
      </c>
      <c r="X421" s="41">
        <f>IFERROR(SUM(X416:X419),"0")</f>
        <v>0</v>
      </c>
      <c r="Y421" s="41">
        <f>IFERROR(SUM(Y416:Y419),"0")</f>
        <v>0</v>
      </c>
      <c r="Z421" s="40"/>
      <c r="AA421" s="64"/>
      <c r="AB421" s="64"/>
      <c r="AC421" s="64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62"/>
      <c r="AB422" s="62"/>
      <c r="AC422" s="62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63"/>
      <c r="AB423" s="63"/>
      <c r="AC423" s="63"/>
    </row>
    <row r="424" spans="1:68" ht="27" hidden="1" customHeight="1" x14ac:dyDescent="0.25">
      <c r="A424" s="60" t="s">
        <v>664</v>
      </c>
      <c r="B424" s="60" t="s">
        <v>665</v>
      </c>
      <c r="C424" s="34">
        <v>4301031347</v>
      </c>
      <c r="D424" s="564">
        <v>4680115885110</v>
      </c>
      <c r="E424" s="565"/>
      <c r="F424" s="59">
        <v>0.2</v>
      </c>
      <c r="G424" s="35">
        <v>6</v>
      </c>
      <c r="H424" s="59">
        <v>1.2</v>
      </c>
      <c r="I424" s="59">
        <v>2.1</v>
      </c>
      <c r="J424" s="35">
        <v>182</v>
      </c>
      <c r="K424" s="35" t="s">
        <v>67</v>
      </c>
      <c r="L424" s="35"/>
      <c r="M424" s="36" t="s">
        <v>68</v>
      </c>
      <c r="N424" s="36"/>
      <c r="O424" s="35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7"/>
      <c r="V424" s="37"/>
      <c r="W424" s="38" t="s">
        <v>69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/>
      <c r="AB424" s="66"/>
      <c r="AC424" s="489" t="s">
        <v>666</v>
      </c>
      <c r="AG424" s="75"/>
      <c r="AJ424" s="79"/>
      <c r="AK424" s="79">
        <v>0</v>
      </c>
      <c r="BB424" s="490" t="s">
        <v>1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40" t="s">
        <v>76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40" t="s">
        <v>69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52"/>
      <c r="AB427" s="52"/>
      <c r="AC427" s="52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62"/>
      <c r="AB428" s="62"/>
      <c r="AC428" s="62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63"/>
      <c r="AB429" s="63"/>
      <c r="AC429" s="63"/>
    </row>
    <row r="430" spans="1:68" ht="27" customHeight="1" x14ac:dyDescent="0.25">
      <c r="A430" s="60" t="s">
        <v>668</v>
      </c>
      <c r="B430" s="60" t="s">
        <v>669</v>
      </c>
      <c r="C430" s="34">
        <v>4301011795</v>
      </c>
      <c r="D430" s="564">
        <v>4607091389067</v>
      </c>
      <c r="E430" s="56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106</v>
      </c>
      <c r="L430" s="35" t="s">
        <v>107</v>
      </c>
      <c r="M430" s="36" t="s">
        <v>108</v>
      </c>
      <c r="N430" s="36"/>
      <c r="O430" s="35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7"/>
      <c r="V430" s="37"/>
      <c r="W430" s="38" t="s">
        <v>69</v>
      </c>
      <c r="X430" s="56">
        <v>400</v>
      </c>
      <c r="Y430" s="53">
        <f t="shared" ref="Y430:Y441" si="52">IFERROR(IF(X430="",0,CEILING((X430/$H430),1)*$H430),"")</f>
        <v>401.28000000000003</v>
      </c>
      <c r="Z430" s="39">
        <f t="shared" ref="Z430:Z436" si="53">IFERROR(IF(Y430=0,"",ROUNDUP(Y430/H430,0)*0.01196),"")</f>
        <v>0.90895999999999999</v>
      </c>
      <c r="AA430" s="65"/>
      <c r="AB430" s="66"/>
      <c r="AC430" s="491" t="s">
        <v>109</v>
      </c>
      <c r="AG430" s="75"/>
      <c r="AJ430" s="79" t="s">
        <v>92</v>
      </c>
      <c r="AK430" s="79">
        <v>42.24</v>
      </c>
      <c r="BB430" s="492" t="s">
        <v>1</v>
      </c>
      <c r="BM430" s="75">
        <f t="shared" ref="BM430:BM441" si="54">IFERROR(X430*I430/H430,"0")</f>
        <v>426.5151515151515</v>
      </c>
      <c r="BN430" s="75">
        <f t="shared" ref="BN430:BN441" si="55">IFERROR(Y430*I430/H430,"0")</f>
        <v>427.88</v>
      </c>
      <c r="BO430" s="75">
        <f t="shared" ref="BO430:BO441" si="56">IFERROR(1/J430*(X430/H430),"0")</f>
        <v>0.72843822843822836</v>
      </c>
      <c r="BP430" s="75">
        <f t="shared" ref="BP430:BP441" si="57">IFERROR(1/J430*(Y430/H430),"0")</f>
        <v>0.73076923076923084</v>
      </c>
    </row>
    <row r="431" spans="1:68" ht="27" hidden="1" customHeight="1" x14ac:dyDescent="0.25">
      <c r="A431" s="60" t="s">
        <v>670</v>
      </c>
      <c r="B431" s="60" t="s">
        <v>671</v>
      </c>
      <c r="C431" s="34">
        <v>4301012145</v>
      </c>
      <c r="D431" s="564">
        <v>4607091383522</v>
      </c>
      <c r="E431" s="56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106</v>
      </c>
      <c r="L431" s="35"/>
      <c r="M431" s="36" t="s">
        <v>108</v>
      </c>
      <c r="N431" s="36"/>
      <c r="O431" s="35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7"/>
      <c r="V431" s="37"/>
      <c r="W431" s="38" t="s">
        <v>69</v>
      </c>
      <c r="X431" s="56">
        <v>0</v>
      </c>
      <c r="Y431" s="53">
        <f t="shared" si="52"/>
        <v>0</v>
      </c>
      <c r="Z431" s="39" t="str">
        <f t="shared" si="53"/>
        <v/>
      </c>
      <c r="AA431" s="65"/>
      <c r="AB431" s="66"/>
      <c r="AC431" s="493" t="s">
        <v>672</v>
      </c>
      <c r="AG431" s="75"/>
      <c r="AJ431" s="79"/>
      <c r="AK431" s="79">
        <v>0</v>
      </c>
      <c r="BB431" s="494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hidden="1" customHeight="1" x14ac:dyDescent="0.25">
      <c r="A432" s="60" t="s">
        <v>670</v>
      </c>
      <c r="B432" s="60" t="s">
        <v>673</v>
      </c>
      <c r="C432" s="34">
        <v>4301012210</v>
      </c>
      <c r="D432" s="564">
        <v>4607091383522</v>
      </c>
      <c r="E432" s="56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106</v>
      </c>
      <c r="L432" s="35"/>
      <c r="M432" s="36" t="s">
        <v>108</v>
      </c>
      <c r="N432" s="36"/>
      <c r="O432" s="35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7"/>
      <c r="V432" s="37"/>
      <c r="W432" s="38" t="s">
        <v>69</v>
      </c>
      <c r="X432" s="56">
        <v>0</v>
      </c>
      <c r="Y432" s="53">
        <f t="shared" si="52"/>
        <v>0</v>
      </c>
      <c r="Z432" s="39" t="str">
        <f t="shared" si="53"/>
        <v/>
      </c>
      <c r="AA432" s="65"/>
      <c r="AB432" s="66"/>
      <c r="AC432" s="495" t="s">
        <v>672</v>
      </c>
      <c r="AG432" s="75"/>
      <c r="AJ432" s="79"/>
      <c r="AK432" s="79">
        <v>0</v>
      </c>
      <c r="BB432" s="496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27" hidden="1" customHeight="1" x14ac:dyDescent="0.25">
      <c r="A433" s="60" t="s">
        <v>674</v>
      </c>
      <c r="B433" s="60" t="s">
        <v>675</v>
      </c>
      <c r="C433" s="34">
        <v>4301011961</v>
      </c>
      <c r="D433" s="564">
        <v>4680115885271</v>
      </c>
      <c r="E433" s="56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106</v>
      </c>
      <c r="L433" s="35" t="s">
        <v>107</v>
      </c>
      <c r="M433" s="36" t="s">
        <v>108</v>
      </c>
      <c r="N433" s="36"/>
      <c r="O433" s="35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7"/>
      <c r="V433" s="37"/>
      <c r="W433" s="38" t="s">
        <v>69</v>
      </c>
      <c r="X433" s="56">
        <v>0</v>
      </c>
      <c r="Y433" s="53">
        <f t="shared" si="52"/>
        <v>0</v>
      </c>
      <c r="Z433" s="39" t="str">
        <f t="shared" si="53"/>
        <v/>
      </c>
      <c r="AA433" s="65"/>
      <c r="AB433" s="66"/>
      <c r="AC433" s="497" t="s">
        <v>676</v>
      </c>
      <c r="AG433" s="75"/>
      <c r="AJ433" s="79" t="s">
        <v>92</v>
      </c>
      <c r="AK433" s="79">
        <v>42.24</v>
      </c>
      <c r="BB433" s="498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ht="27" customHeight="1" x14ac:dyDescent="0.25">
      <c r="A434" s="60" t="s">
        <v>677</v>
      </c>
      <c r="B434" s="60" t="s">
        <v>678</v>
      </c>
      <c r="C434" s="34">
        <v>4301011376</v>
      </c>
      <c r="D434" s="564">
        <v>4680115885226</v>
      </c>
      <c r="E434" s="565"/>
      <c r="F434" s="59">
        <v>0.88</v>
      </c>
      <c r="G434" s="35">
        <v>6</v>
      </c>
      <c r="H434" s="59">
        <v>5.28</v>
      </c>
      <c r="I434" s="59">
        <v>5.63</v>
      </c>
      <c r="J434" s="35">
        <v>104</v>
      </c>
      <c r="K434" s="35" t="s">
        <v>106</v>
      </c>
      <c r="L434" s="35" t="s">
        <v>107</v>
      </c>
      <c r="M434" s="36" t="s">
        <v>80</v>
      </c>
      <c r="N434" s="36"/>
      <c r="O434" s="35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7"/>
      <c r="V434" s="37"/>
      <c r="W434" s="38" t="s">
        <v>69</v>
      </c>
      <c r="X434" s="56">
        <v>750</v>
      </c>
      <c r="Y434" s="53">
        <f t="shared" si="52"/>
        <v>755.04000000000008</v>
      </c>
      <c r="Z434" s="39">
        <f t="shared" si="53"/>
        <v>1.71028</v>
      </c>
      <c r="AA434" s="65"/>
      <c r="AB434" s="66"/>
      <c r="AC434" s="499" t="s">
        <v>679</v>
      </c>
      <c r="AG434" s="75"/>
      <c r="AJ434" s="79" t="s">
        <v>92</v>
      </c>
      <c r="AK434" s="79">
        <v>42.24</v>
      </c>
      <c r="BB434" s="500" t="s">
        <v>1</v>
      </c>
      <c r="BM434" s="75">
        <f t="shared" si="54"/>
        <v>799.71590909090901</v>
      </c>
      <c r="BN434" s="75">
        <f t="shared" si="55"/>
        <v>805.09</v>
      </c>
      <c r="BO434" s="75">
        <f t="shared" si="56"/>
        <v>1.3658216783216783</v>
      </c>
      <c r="BP434" s="75">
        <f t="shared" si="57"/>
        <v>1.375</v>
      </c>
    </row>
    <row r="435" spans="1:68" ht="16.5" hidden="1" customHeight="1" x14ac:dyDescent="0.25">
      <c r="A435" s="60" t="s">
        <v>680</v>
      </c>
      <c r="B435" s="60" t="s">
        <v>681</v>
      </c>
      <c r="C435" s="34">
        <v>4301011774</v>
      </c>
      <c r="D435" s="564">
        <v>4680115884502</v>
      </c>
      <c r="E435" s="565"/>
      <c r="F435" s="59">
        <v>0.88</v>
      </c>
      <c r="G435" s="35">
        <v>6</v>
      </c>
      <c r="H435" s="59">
        <v>5.28</v>
      </c>
      <c r="I435" s="59">
        <v>5.63</v>
      </c>
      <c r="J435" s="35">
        <v>104</v>
      </c>
      <c r="K435" s="35" t="s">
        <v>106</v>
      </c>
      <c r="L435" s="35"/>
      <c r="M435" s="36" t="s">
        <v>108</v>
      </c>
      <c r="N435" s="36"/>
      <c r="O435" s="35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7"/>
      <c r="V435" s="37"/>
      <c r="W435" s="38" t="s">
        <v>69</v>
      </c>
      <c r="X435" s="56">
        <v>0</v>
      </c>
      <c r="Y435" s="53">
        <f t="shared" si="52"/>
        <v>0</v>
      </c>
      <c r="Z435" s="39" t="str">
        <f t="shared" si="53"/>
        <v/>
      </c>
      <c r="AA435" s="65"/>
      <c r="AB435" s="66"/>
      <c r="AC435" s="501" t="s">
        <v>682</v>
      </c>
      <c r="AG435" s="75"/>
      <c r="AJ435" s="79"/>
      <c r="AK435" s="79">
        <v>0</v>
      </c>
      <c r="BB435" s="502" t="s">
        <v>1</v>
      </c>
      <c r="BM435" s="75">
        <f t="shared" si="54"/>
        <v>0</v>
      </c>
      <c r="BN435" s="75">
        <f t="shared" si="55"/>
        <v>0</v>
      </c>
      <c r="BO435" s="75">
        <f t="shared" si="56"/>
        <v>0</v>
      </c>
      <c r="BP435" s="75">
        <f t="shared" si="57"/>
        <v>0</v>
      </c>
    </row>
    <row r="436" spans="1:68" ht="27" customHeight="1" x14ac:dyDescent="0.25">
      <c r="A436" s="60" t="s">
        <v>683</v>
      </c>
      <c r="B436" s="60" t="s">
        <v>684</v>
      </c>
      <c r="C436" s="34">
        <v>4301011771</v>
      </c>
      <c r="D436" s="564">
        <v>4607091389104</v>
      </c>
      <c r="E436" s="565"/>
      <c r="F436" s="59">
        <v>0.88</v>
      </c>
      <c r="G436" s="35">
        <v>6</v>
      </c>
      <c r="H436" s="59">
        <v>5.28</v>
      </c>
      <c r="I436" s="59">
        <v>5.63</v>
      </c>
      <c r="J436" s="35">
        <v>104</v>
      </c>
      <c r="K436" s="35" t="s">
        <v>106</v>
      </c>
      <c r="L436" s="35" t="s">
        <v>107</v>
      </c>
      <c r="M436" s="36" t="s">
        <v>108</v>
      </c>
      <c r="N436" s="36"/>
      <c r="O436" s="35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7"/>
      <c r="V436" s="37"/>
      <c r="W436" s="38" t="s">
        <v>69</v>
      </c>
      <c r="X436" s="56">
        <v>900</v>
      </c>
      <c r="Y436" s="53">
        <f t="shared" si="52"/>
        <v>902.88</v>
      </c>
      <c r="Z436" s="39">
        <f t="shared" si="53"/>
        <v>2.0451600000000001</v>
      </c>
      <c r="AA436" s="65"/>
      <c r="AB436" s="66"/>
      <c r="AC436" s="503" t="s">
        <v>685</v>
      </c>
      <c r="AG436" s="75"/>
      <c r="AJ436" s="79" t="s">
        <v>92</v>
      </c>
      <c r="AK436" s="79">
        <v>42.24</v>
      </c>
      <c r="BB436" s="504" t="s">
        <v>1</v>
      </c>
      <c r="BM436" s="75">
        <f t="shared" si="54"/>
        <v>959.65909090909088</v>
      </c>
      <c r="BN436" s="75">
        <f t="shared" si="55"/>
        <v>962.7299999999999</v>
      </c>
      <c r="BO436" s="75">
        <f t="shared" si="56"/>
        <v>1.638986013986014</v>
      </c>
      <c r="BP436" s="75">
        <f t="shared" si="57"/>
        <v>1.6442307692307694</v>
      </c>
    </row>
    <row r="437" spans="1:68" ht="27" hidden="1" customHeight="1" x14ac:dyDescent="0.25">
      <c r="A437" s="60" t="s">
        <v>686</v>
      </c>
      <c r="B437" s="60" t="s">
        <v>687</v>
      </c>
      <c r="C437" s="34">
        <v>4301012125</v>
      </c>
      <c r="D437" s="564">
        <v>4680115886391</v>
      </c>
      <c r="E437" s="56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67</v>
      </c>
      <c r="L437" s="35"/>
      <c r="M437" s="36" t="s">
        <v>80</v>
      </c>
      <c r="N437" s="36"/>
      <c r="O437" s="35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7"/>
      <c r="V437" s="37"/>
      <c r="W437" s="38" t="s">
        <v>69</v>
      </c>
      <c r="X437" s="56">
        <v>0</v>
      </c>
      <c r="Y437" s="53">
        <f t="shared" si="52"/>
        <v>0</v>
      </c>
      <c r="Z437" s="39" t="str">
        <f>IFERROR(IF(Y437=0,"",ROUNDUP(Y437/H437,0)*0.00651),"")</f>
        <v/>
      </c>
      <c r="AA437" s="65"/>
      <c r="AB437" s="66"/>
      <c r="AC437" s="505" t="s">
        <v>109</v>
      </c>
      <c r="AG437" s="75"/>
      <c r="AJ437" s="79"/>
      <c r="AK437" s="79">
        <v>0</v>
      </c>
      <c r="BB437" s="506" t="s">
        <v>1</v>
      </c>
      <c r="BM437" s="75">
        <f t="shared" si="54"/>
        <v>0</v>
      </c>
      <c r="BN437" s="75">
        <f t="shared" si="55"/>
        <v>0</v>
      </c>
      <c r="BO437" s="75">
        <f t="shared" si="56"/>
        <v>0</v>
      </c>
      <c r="BP437" s="75">
        <f t="shared" si="57"/>
        <v>0</v>
      </c>
    </row>
    <row r="438" spans="1:68" ht="27" hidden="1" customHeight="1" x14ac:dyDescent="0.25">
      <c r="A438" s="60" t="s">
        <v>688</v>
      </c>
      <c r="B438" s="60" t="s">
        <v>689</v>
      </c>
      <c r="C438" s="34">
        <v>4301012035</v>
      </c>
      <c r="D438" s="564">
        <v>4680115880603</v>
      </c>
      <c r="E438" s="56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112</v>
      </c>
      <c r="L438" s="35"/>
      <c r="M438" s="36" t="s">
        <v>108</v>
      </c>
      <c r="N438" s="36"/>
      <c r="O438" s="35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7"/>
      <c r="V438" s="37"/>
      <c r="W438" s="38" t="s">
        <v>69</v>
      </c>
      <c r="X438" s="56">
        <v>0</v>
      </c>
      <c r="Y438" s="53">
        <f t="shared" si="52"/>
        <v>0</v>
      </c>
      <c r="Z438" s="39" t="str">
        <f>IFERROR(IF(Y438=0,"",ROUNDUP(Y438/H438,0)*0.00902),"")</f>
        <v/>
      </c>
      <c r="AA438" s="65"/>
      <c r="AB438" s="66"/>
      <c r="AC438" s="507" t="s">
        <v>109</v>
      </c>
      <c r="AG438" s="75"/>
      <c r="AJ438" s="79"/>
      <c r="AK438" s="79">
        <v>0</v>
      </c>
      <c r="BB438" s="508" t="s">
        <v>1</v>
      </c>
      <c r="BM438" s="75">
        <f t="shared" si="54"/>
        <v>0</v>
      </c>
      <c r="BN438" s="75">
        <f t="shared" si="55"/>
        <v>0</v>
      </c>
      <c r="BO438" s="75">
        <f t="shared" si="56"/>
        <v>0</v>
      </c>
      <c r="BP438" s="75">
        <f t="shared" si="57"/>
        <v>0</v>
      </c>
    </row>
    <row r="439" spans="1:68" ht="27" hidden="1" customHeight="1" x14ac:dyDescent="0.25">
      <c r="A439" s="60" t="s">
        <v>690</v>
      </c>
      <c r="B439" s="60" t="s">
        <v>691</v>
      </c>
      <c r="C439" s="34">
        <v>4301012036</v>
      </c>
      <c r="D439" s="564">
        <v>4680115882782</v>
      </c>
      <c r="E439" s="565"/>
      <c r="F439" s="59">
        <v>0.6</v>
      </c>
      <c r="G439" s="35">
        <v>8</v>
      </c>
      <c r="H439" s="59">
        <v>4.8</v>
      </c>
      <c r="I439" s="59">
        <v>6.96</v>
      </c>
      <c r="J439" s="35">
        <v>120</v>
      </c>
      <c r="K439" s="35" t="s">
        <v>112</v>
      </c>
      <c r="L439" s="35"/>
      <c r="M439" s="36" t="s">
        <v>108</v>
      </c>
      <c r="N439" s="36"/>
      <c r="O439" s="35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7"/>
      <c r="V439" s="37"/>
      <c r="W439" s="38" t="s">
        <v>69</v>
      </c>
      <c r="X439" s="56">
        <v>0</v>
      </c>
      <c r="Y439" s="53">
        <f t="shared" si="52"/>
        <v>0</v>
      </c>
      <c r="Z439" s="39" t="str">
        <f>IFERROR(IF(Y439=0,"",ROUNDUP(Y439/H439,0)*0.00937),"")</f>
        <v/>
      </c>
      <c r="AA439" s="65"/>
      <c r="AB439" s="66"/>
      <c r="AC439" s="509" t="s">
        <v>676</v>
      </c>
      <c r="AG439" s="75"/>
      <c r="AJ439" s="79"/>
      <c r="AK439" s="79">
        <v>0</v>
      </c>
      <c r="BB439" s="510" t="s">
        <v>1</v>
      </c>
      <c r="BM439" s="75">
        <f t="shared" si="54"/>
        <v>0</v>
      </c>
      <c r="BN439" s="75">
        <f t="shared" si="55"/>
        <v>0</v>
      </c>
      <c r="BO439" s="75">
        <f t="shared" si="56"/>
        <v>0</v>
      </c>
      <c r="BP439" s="75">
        <f t="shared" si="57"/>
        <v>0</v>
      </c>
    </row>
    <row r="440" spans="1:68" ht="27" hidden="1" customHeight="1" x14ac:dyDescent="0.25">
      <c r="A440" s="60" t="s">
        <v>692</v>
      </c>
      <c r="B440" s="60" t="s">
        <v>693</v>
      </c>
      <c r="C440" s="34">
        <v>4301012050</v>
      </c>
      <c r="D440" s="564">
        <v>4680115885479</v>
      </c>
      <c r="E440" s="565"/>
      <c r="F440" s="59">
        <v>0.4</v>
      </c>
      <c r="G440" s="35">
        <v>6</v>
      </c>
      <c r="H440" s="59">
        <v>2.4</v>
      </c>
      <c r="I440" s="59">
        <v>2.58</v>
      </c>
      <c r="J440" s="35">
        <v>182</v>
      </c>
      <c r="K440" s="35" t="s">
        <v>67</v>
      </c>
      <c r="L440" s="35"/>
      <c r="M440" s="36" t="s">
        <v>108</v>
      </c>
      <c r="N440" s="36"/>
      <c r="O440" s="35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7"/>
      <c r="V440" s="37"/>
      <c r="W440" s="38" t="s">
        <v>69</v>
      </c>
      <c r="X440" s="56">
        <v>0</v>
      </c>
      <c r="Y440" s="53">
        <f t="shared" si="52"/>
        <v>0</v>
      </c>
      <c r="Z440" s="39" t="str">
        <f>IFERROR(IF(Y440=0,"",ROUNDUP(Y440/H440,0)*0.00651),"")</f>
        <v/>
      </c>
      <c r="AA440" s="65"/>
      <c r="AB440" s="66"/>
      <c r="AC440" s="511" t="s">
        <v>694</v>
      </c>
      <c r="AG440" s="75"/>
      <c r="AJ440" s="79"/>
      <c r="AK440" s="79">
        <v>0</v>
      </c>
      <c r="BB440" s="512" t="s">
        <v>1</v>
      </c>
      <c r="BM440" s="75">
        <f t="shared" si="54"/>
        <v>0</v>
      </c>
      <c r="BN440" s="75">
        <f t="shared" si="55"/>
        <v>0</v>
      </c>
      <c r="BO440" s="75">
        <f t="shared" si="56"/>
        <v>0</v>
      </c>
      <c r="BP440" s="75">
        <f t="shared" si="57"/>
        <v>0</v>
      </c>
    </row>
    <row r="441" spans="1:68" ht="27" hidden="1" customHeight="1" x14ac:dyDescent="0.25">
      <c r="A441" s="60" t="s">
        <v>695</v>
      </c>
      <c r="B441" s="60" t="s">
        <v>696</v>
      </c>
      <c r="C441" s="34">
        <v>4301012034</v>
      </c>
      <c r="D441" s="564">
        <v>4607091389982</v>
      </c>
      <c r="E441" s="565"/>
      <c r="F441" s="59">
        <v>0.6</v>
      </c>
      <c r="G441" s="35">
        <v>8</v>
      </c>
      <c r="H441" s="59">
        <v>4.8</v>
      </c>
      <c r="I441" s="59">
        <v>6.91</v>
      </c>
      <c r="J441" s="35">
        <v>132</v>
      </c>
      <c r="K441" s="35" t="s">
        <v>112</v>
      </c>
      <c r="L441" s="35"/>
      <c r="M441" s="36" t="s">
        <v>108</v>
      </c>
      <c r="N441" s="36"/>
      <c r="O441" s="35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7"/>
      <c r="V441" s="37"/>
      <c r="W441" s="38" t="s">
        <v>69</v>
      </c>
      <c r="X441" s="56">
        <v>0</v>
      </c>
      <c r="Y441" s="53">
        <f t="shared" si="52"/>
        <v>0</v>
      </c>
      <c r="Z441" s="39" t="str">
        <f>IFERROR(IF(Y441=0,"",ROUNDUP(Y441/H441,0)*0.00902),"")</f>
        <v/>
      </c>
      <c r="AA441" s="65"/>
      <c r="AB441" s="66"/>
      <c r="AC441" s="513" t="s">
        <v>685</v>
      </c>
      <c r="AG441" s="75"/>
      <c r="AJ441" s="79"/>
      <c r="AK441" s="79">
        <v>0</v>
      </c>
      <c r="BB441" s="514" t="s">
        <v>1</v>
      </c>
      <c r="BM441" s="75">
        <f t="shared" si="54"/>
        <v>0</v>
      </c>
      <c r="BN441" s="75">
        <f t="shared" si="55"/>
        <v>0</v>
      </c>
      <c r="BO441" s="75">
        <f t="shared" si="56"/>
        <v>0</v>
      </c>
      <c r="BP441" s="75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40" t="s">
        <v>76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388.25757575757575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390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4.6644000000000005</v>
      </c>
      <c r="AA442" s="64"/>
      <c r="AB442" s="64"/>
      <c r="AC442" s="64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40" t="s">
        <v>69</v>
      </c>
      <c r="X443" s="41">
        <f>IFERROR(SUM(X430:X441),"0")</f>
        <v>2050</v>
      </c>
      <c r="Y443" s="41">
        <f>IFERROR(SUM(Y430:Y441),"0")</f>
        <v>2059.2000000000003</v>
      </c>
      <c r="Z443" s="40"/>
      <c r="AA443" s="64"/>
      <c r="AB443" s="64"/>
      <c r="AC443" s="64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63"/>
      <c r="AB444" s="63"/>
      <c r="AC444" s="63"/>
    </row>
    <row r="445" spans="1:68" ht="16.5" customHeight="1" x14ac:dyDescent="0.25">
      <c r="A445" s="60" t="s">
        <v>697</v>
      </c>
      <c r="B445" s="60" t="s">
        <v>698</v>
      </c>
      <c r="C445" s="34">
        <v>4301020334</v>
      </c>
      <c r="D445" s="564">
        <v>4607091388930</v>
      </c>
      <c r="E445" s="565"/>
      <c r="F445" s="59">
        <v>0.88</v>
      </c>
      <c r="G445" s="35">
        <v>6</v>
      </c>
      <c r="H445" s="59">
        <v>5.28</v>
      </c>
      <c r="I445" s="59">
        <v>5.63</v>
      </c>
      <c r="J445" s="35">
        <v>104</v>
      </c>
      <c r="K445" s="35" t="s">
        <v>106</v>
      </c>
      <c r="L445" s="35" t="s">
        <v>107</v>
      </c>
      <c r="M445" s="36" t="s">
        <v>80</v>
      </c>
      <c r="N445" s="36"/>
      <c r="O445" s="35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7"/>
      <c r="V445" s="37"/>
      <c r="W445" s="38" t="s">
        <v>69</v>
      </c>
      <c r="X445" s="56">
        <v>650</v>
      </c>
      <c r="Y445" s="53">
        <f>IFERROR(IF(X445="",0,CEILING((X445/$H445),1)*$H445),"")</f>
        <v>654.72</v>
      </c>
      <c r="Z445" s="39">
        <f>IFERROR(IF(Y445=0,"",ROUNDUP(Y445/H445,0)*0.01196),"")</f>
        <v>1.4830399999999999</v>
      </c>
      <c r="AA445" s="65"/>
      <c r="AB445" s="66"/>
      <c r="AC445" s="515" t="s">
        <v>699</v>
      </c>
      <c r="AG445" s="75"/>
      <c r="AJ445" s="79" t="s">
        <v>92</v>
      </c>
      <c r="AK445" s="79">
        <v>42.24</v>
      </c>
      <c r="BB445" s="516" t="s">
        <v>1</v>
      </c>
      <c r="BM445" s="75">
        <f>IFERROR(X445*I445/H445,"0")</f>
        <v>693.08712121212113</v>
      </c>
      <c r="BN445" s="75">
        <f>IFERROR(Y445*I445/H445,"0")</f>
        <v>698.12</v>
      </c>
      <c r="BO445" s="75">
        <f>IFERROR(1/J445*(X445/H445),"0")</f>
        <v>1.1837121212121211</v>
      </c>
      <c r="BP445" s="75">
        <f>IFERROR(1/J445*(Y445/H445),"0")</f>
        <v>1.1923076923076923</v>
      </c>
    </row>
    <row r="446" spans="1:68" ht="16.5" hidden="1" customHeight="1" x14ac:dyDescent="0.25">
      <c r="A446" s="60" t="s">
        <v>700</v>
      </c>
      <c r="B446" s="60" t="s">
        <v>701</v>
      </c>
      <c r="C446" s="34">
        <v>4301020384</v>
      </c>
      <c r="D446" s="564">
        <v>4680115886407</v>
      </c>
      <c r="E446" s="565"/>
      <c r="F446" s="59">
        <v>0.4</v>
      </c>
      <c r="G446" s="35">
        <v>6</v>
      </c>
      <c r="H446" s="59">
        <v>2.4</v>
      </c>
      <c r="I446" s="59">
        <v>2.58</v>
      </c>
      <c r="J446" s="35">
        <v>182</v>
      </c>
      <c r="K446" s="35" t="s">
        <v>67</v>
      </c>
      <c r="L446" s="35"/>
      <c r="M446" s="36" t="s">
        <v>80</v>
      </c>
      <c r="N446" s="36"/>
      <c r="O446" s="35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7"/>
      <c r="V446" s="37"/>
      <c r="W446" s="38" t="s">
        <v>69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/>
      <c r="AB446" s="66"/>
      <c r="AC446" s="517" t="s">
        <v>699</v>
      </c>
      <c r="AG446" s="75"/>
      <c r="AJ446" s="79"/>
      <c r="AK446" s="79">
        <v>0</v>
      </c>
      <c r="BB446" s="518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702</v>
      </c>
      <c r="B447" s="60" t="s">
        <v>703</v>
      </c>
      <c r="C447" s="34">
        <v>4301020385</v>
      </c>
      <c r="D447" s="564">
        <v>4680115880054</v>
      </c>
      <c r="E447" s="565"/>
      <c r="F447" s="59">
        <v>0.6</v>
      </c>
      <c r="G447" s="35">
        <v>8</v>
      </c>
      <c r="H447" s="59">
        <v>4.8</v>
      </c>
      <c r="I447" s="59">
        <v>6.91</v>
      </c>
      <c r="J447" s="35">
        <v>132</v>
      </c>
      <c r="K447" s="35" t="s">
        <v>112</v>
      </c>
      <c r="L447" s="35"/>
      <c r="M447" s="36" t="s">
        <v>108</v>
      </c>
      <c r="N447" s="36"/>
      <c r="O447" s="35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7"/>
      <c r="V447" s="37"/>
      <c r="W447" s="38" t="s">
        <v>69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/>
      <c r="AB447" s="66"/>
      <c r="AC447" s="519" t="s">
        <v>699</v>
      </c>
      <c r="AG447" s="75"/>
      <c r="AJ447" s="79"/>
      <c r="AK447" s="79">
        <v>0</v>
      </c>
      <c r="BB447" s="520" t="s">
        <v>1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40" t="s">
        <v>76</v>
      </c>
      <c r="X448" s="41">
        <f>IFERROR(X445/H445,"0")+IFERROR(X446/H446,"0")+IFERROR(X447/H447,"0")</f>
        <v>123.10606060606059</v>
      </c>
      <c r="Y448" s="41">
        <f>IFERROR(Y445/H445,"0")+IFERROR(Y446/H446,"0")+IFERROR(Y447/H447,"0")</f>
        <v>124</v>
      </c>
      <c r="Z448" s="41">
        <f>IFERROR(IF(Z445="",0,Z445),"0")+IFERROR(IF(Z446="",0,Z446),"0")+IFERROR(IF(Z447="",0,Z447),"0")</f>
        <v>1.4830399999999999</v>
      </c>
      <c r="AA448" s="64"/>
      <c r="AB448" s="64"/>
      <c r="AC448" s="64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40" t="s">
        <v>69</v>
      </c>
      <c r="X449" s="41">
        <f>IFERROR(SUM(X445:X447),"0")</f>
        <v>650</v>
      </c>
      <c r="Y449" s="41">
        <f>IFERROR(SUM(Y445:Y447),"0")</f>
        <v>654.72</v>
      </c>
      <c r="Z449" s="40"/>
      <c r="AA449" s="64"/>
      <c r="AB449" s="64"/>
      <c r="AC449" s="64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63"/>
      <c r="AB450" s="63"/>
      <c r="AC450" s="63"/>
    </row>
    <row r="451" spans="1:68" ht="27" customHeight="1" x14ac:dyDescent="0.25">
      <c r="A451" s="60" t="s">
        <v>704</v>
      </c>
      <c r="B451" s="60" t="s">
        <v>705</v>
      </c>
      <c r="C451" s="34">
        <v>4301031349</v>
      </c>
      <c r="D451" s="564">
        <v>4680115883116</v>
      </c>
      <c r="E451" s="565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106</v>
      </c>
      <c r="L451" s="35" t="s">
        <v>107</v>
      </c>
      <c r="M451" s="36" t="s">
        <v>108</v>
      </c>
      <c r="N451" s="36"/>
      <c r="O451" s="35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7"/>
      <c r="V451" s="37"/>
      <c r="W451" s="38" t="s">
        <v>69</v>
      </c>
      <c r="X451" s="56">
        <v>250</v>
      </c>
      <c r="Y451" s="53">
        <f t="shared" ref="Y451:Y456" si="58">IFERROR(IF(X451="",0,CEILING((X451/$H451),1)*$H451),"")</f>
        <v>253.44</v>
      </c>
      <c r="Z451" s="39">
        <f>IFERROR(IF(Y451=0,"",ROUNDUP(Y451/H451,0)*0.01196),"")</f>
        <v>0.57408000000000003</v>
      </c>
      <c r="AA451" s="65"/>
      <c r="AB451" s="66"/>
      <c r="AC451" s="521" t="s">
        <v>706</v>
      </c>
      <c r="AG451" s="75"/>
      <c r="AJ451" s="79" t="s">
        <v>92</v>
      </c>
      <c r="AK451" s="79">
        <v>42.24</v>
      </c>
      <c r="BB451" s="522" t="s">
        <v>1</v>
      </c>
      <c r="BM451" s="75">
        <f t="shared" ref="BM451:BM456" si="59">IFERROR(X451*I451/H451,"0")</f>
        <v>266.57196969696969</v>
      </c>
      <c r="BN451" s="75">
        <f t="shared" ref="BN451:BN456" si="60">IFERROR(Y451*I451/H451,"0")</f>
        <v>270.23999999999995</v>
      </c>
      <c r="BO451" s="75">
        <f t="shared" ref="BO451:BO456" si="61">IFERROR(1/J451*(X451/H451),"0")</f>
        <v>0.45527389277389274</v>
      </c>
      <c r="BP451" s="75">
        <f t="shared" ref="BP451:BP456" si="62">IFERROR(1/J451*(Y451/H451),"0")</f>
        <v>0.46153846153846156</v>
      </c>
    </row>
    <row r="452" spans="1:68" ht="27" customHeight="1" x14ac:dyDescent="0.25">
      <c r="A452" s="60" t="s">
        <v>707</v>
      </c>
      <c r="B452" s="60" t="s">
        <v>708</v>
      </c>
      <c r="C452" s="34">
        <v>4301031350</v>
      </c>
      <c r="D452" s="564">
        <v>4680115883093</v>
      </c>
      <c r="E452" s="565"/>
      <c r="F452" s="59">
        <v>0.88</v>
      </c>
      <c r="G452" s="35">
        <v>6</v>
      </c>
      <c r="H452" s="59">
        <v>5.28</v>
      </c>
      <c r="I452" s="59">
        <v>5.63</v>
      </c>
      <c r="J452" s="35">
        <v>104</v>
      </c>
      <c r="K452" s="35" t="s">
        <v>106</v>
      </c>
      <c r="L452" s="35" t="s">
        <v>107</v>
      </c>
      <c r="M452" s="36" t="s">
        <v>68</v>
      </c>
      <c r="N452" s="36"/>
      <c r="O452" s="35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7"/>
      <c r="V452" s="37"/>
      <c r="W452" s="38" t="s">
        <v>69</v>
      </c>
      <c r="X452" s="56">
        <v>500</v>
      </c>
      <c r="Y452" s="53">
        <f t="shared" si="58"/>
        <v>501.6</v>
      </c>
      <c r="Z452" s="39">
        <f>IFERROR(IF(Y452=0,"",ROUNDUP(Y452/H452,0)*0.01196),"")</f>
        <v>1.1362000000000001</v>
      </c>
      <c r="AA452" s="65"/>
      <c r="AB452" s="66"/>
      <c r="AC452" s="523" t="s">
        <v>709</v>
      </c>
      <c r="AG452" s="75"/>
      <c r="AJ452" s="79" t="s">
        <v>92</v>
      </c>
      <c r="AK452" s="79">
        <v>42.24</v>
      </c>
      <c r="BB452" s="524" t="s">
        <v>1</v>
      </c>
      <c r="BM452" s="75">
        <f t="shared" si="59"/>
        <v>533.14393939393938</v>
      </c>
      <c r="BN452" s="75">
        <f t="shared" si="60"/>
        <v>534.85</v>
      </c>
      <c r="BO452" s="75">
        <f t="shared" si="61"/>
        <v>0.91054778554778548</v>
      </c>
      <c r="BP452" s="75">
        <f t="shared" si="62"/>
        <v>0.91346153846153855</v>
      </c>
    </row>
    <row r="453" spans="1:68" ht="27" customHeight="1" x14ac:dyDescent="0.25">
      <c r="A453" s="60" t="s">
        <v>710</v>
      </c>
      <c r="B453" s="60" t="s">
        <v>711</v>
      </c>
      <c r="C453" s="34">
        <v>4301031353</v>
      </c>
      <c r="D453" s="564">
        <v>4680115883109</v>
      </c>
      <c r="E453" s="565"/>
      <c r="F453" s="59">
        <v>0.88</v>
      </c>
      <c r="G453" s="35">
        <v>6</v>
      </c>
      <c r="H453" s="59">
        <v>5.28</v>
      </c>
      <c r="I453" s="59">
        <v>5.63</v>
      </c>
      <c r="J453" s="35">
        <v>104</v>
      </c>
      <c r="K453" s="35" t="s">
        <v>106</v>
      </c>
      <c r="L453" s="35" t="s">
        <v>107</v>
      </c>
      <c r="M453" s="36" t="s">
        <v>68</v>
      </c>
      <c r="N453" s="36"/>
      <c r="O453" s="35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7"/>
      <c r="V453" s="37"/>
      <c r="W453" s="38" t="s">
        <v>69</v>
      </c>
      <c r="X453" s="56">
        <v>350</v>
      </c>
      <c r="Y453" s="53">
        <f t="shared" si="58"/>
        <v>353.76</v>
      </c>
      <c r="Z453" s="39">
        <f>IFERROR(IF(Y453=0,"",ROUNDUP(Y453/H453,0)*0.01196),"")</f>
        <v>0.80132000000000003</v>
      </c>
      <c r="AA453" s="65"/>
      <c r="AB453" s="66"/>
      <c r="AC453" s="525" t="s">
        <v>712</v>
      </c>
      <c r="AG453" s="75"/>
      <c r="AJ453" s="79" t="s">
        <v>92</v>
      </c>
      <c r="AK453" s="79">
        <v>42.24</v>
      </c>
      <c r="BB453" s="526" t="s">
        <v>1</v>
      </c>
      <c r="BM453" s="75">
        <f t="shared" si="59"/>
        <v>373.20075757575756</v>
      </c>
      <c r="BN453" s="75">
        <f t="shared" si="60"/>
        <v>377.21</v>
      </c>
      <c r="BO453" s="75">
        <f t="shared" si="61"/>
        <v>0.63738344988344986</v>
      </c>
      <c r="BP453" s="75">
        <f t="shared" si="62"/>
        <v>0.64423076923076927</v>
      </c>
    </row>
    <row r="454" spans="1:68" ht="27" hidden="1" customHeight="1" x14ac:dyDescent="0.25">
      <c r="A454" s="60" t="s">
        <v>713</v>
      </c>
      <c r="B454" s="60" t="s">
        <v>714</v>
      </c>
      <c r="C454" s="34">
        <v>4301031419</v>
      </c>
      <c r="D454" s="564">
        <v>4680115882072</v>
      </c>
      <c r="E454" s="565"/>
      <c r="F454" s="59">
        <v>0.6</v>
      </c>
      <c r="G454" s="35">
        <v>8</v>
      </c>
      <c r="H454" s="59">
        <v>4.8</v>
      </c>
      <c r="I454" s="59">
        <v>6.91</v>
      </c>
      <c r="J454" s="35">
        <v>132</v>
      </c>
      <c r="K454" s="35" t="s">
        <v>112</v>
      </c>
      <c r="L454" s="35"/>
      <c r="M454" s="36" t="s">
        <v>108</v>
      </c>
      <c r="N454" s="36"/>
      <c r="O454" s="35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7"/>
      <c r="V454" s="37"/>
      <c r="W454" s="38" t="s">
        <v>69</v>
      </c>
      <c r="X454" s="56">
        <v>0</v>
      </c>
      <c r="Y454" s="53">
        <f t="shared" si="58"/>
        <v>0</v>
      </c>
      <c r="Z454" s="39" t="str">
        <f>IFERROR(IF(Y454=0,"",ROUNDUP(Y454/H454,0)*0.00902),"")</f>
        <v/>
      </c>
      <c r="AA454" s="65"/>
      <c r="AB454" s="66"/>
      <c r="AC454" s="527" t="s">
        <v>706</v>
      </c>
      <c r="AG454" s="75"/>
      <c r="AJ454" s="79"/>
      <c r="AK454" s="79">
        <v>0</v>
      </c>
      <c r="BB454" s="528" t="s">
        <v>1</v>
      </c>
      <c r="BM454" s="75">
        <f t="shared" si="59"/>
        <v>0</v>
      </c>
      <c r="BN454" s="75">
        <f t="shared" si="60"/>
        <v>0</v>
      </c>
      <c r="BO454" s="75">
        <f t="shared" si="61"/>
        <v>0</v>
      </c>
      <c r="BP454" s="75">
        <f t="shared" si="62"/>
        <v>0</v>
      </c>
    </row>
    <row r="455" spans="1:68" ht="27" hidden="1" customHeight="1" x14ac:dyDescent="0.25">
      <c r="A455" s="60" t="s">
        <v>715</v>
      </c>
      <c r="B455" s="60" t="s">
        <v>716</v>
      </c>
      <c r="C455" s="34">
        <v>4301031418</v>
      </c>
      <c r="D455" s="564">
        <v>4680115882102</v>
      </c>
      <c r="E455" s="565"/>
      <c r="F455" s="59">
        <v>0.6</v>
      </c>
      <c r="G455" s="35">
        <v>8</v>
      </c>
      <c r="H455" s="59">
        <v>4.8</v>
      </c>
      <c r="I455" s="59">
        <v>6.67</v>
      </c>
      <c r="J455" s="35">
        <v>132</v>
      </c>
      <c r="K455" s="35" t="s">
        <v>112</v>
      </c>
      <c r="L455" s="35"/>
      <c r="M455" s="36" t="s">
        <v>68</v>
      </c>
      <c r="N455" s="36"/>
      <c r="O455" s="35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7"/>
      <c r="V455" s="37"/>
      <c r="W455" s="38" t="s">
        <v>69</v>
      </c>
      <c r="X455" s="56">
        <v>0</v>
      </c>
      <c r="Y455" s="53">
        <f t="shared" si="58"/>
        <v>0</v>
      </c>
      <c r="Z455" s="39" t="str">
        <f>IFERROR(IF(Y455=0,"",ROUNDUP(Y455/H455,0)*0.00902),"")</f>
        <v/>
      </c>
      <c r="AA455" s="65"/>
      <c r="AB455" s="66"/>
      <c r="AC455" s="529" t="s">
        <v>709</v>
      </c>
      <c r="AG455" s="75"/>
      <c r="AJ455" s="79"/>
      <c r="AK455" s="79">
        <v>0</v>
      </c>
      <c r="BB455" s="530" t="s">
        <v>1</v>
      </c>
      <c r="BM455" s="75">
        <f t="shared" si="59"/>
        <v>0</v>
      </c>
      <c r="BN455" s="75">
        <f t="shared" si="60"/>
        <v>0</v>
      </c>
      <c r="BO455" s="75">
        <f t="shared" si="61"/>
        <v>0</v>
      </c>
      <c r="BP455" s="75">
        <f t="shared" si="62"/>
        <v>0</v>
      </c>
    </row>
    <row r="456" spans="1:68" ht="27" hidden="1" customHeight="1" x14ac:dyDescent="0.25">
      <c r="A456" s="60" t="s">
        <v>717</v>
      </c>
      <c r="B456" s="60" t="s">
        <v>718</v>
      </c>
      <c r="C456" s="34">
        <v>4301031417</v>
      </c>
      <c r="D456" s="564">
        <v>4680115882096</v>
      </c>
      <c r="E456" s="565"/>
      <c r="F456" s="59">
        <v>0.6</v>
      </c>
      <c r="G456" s="35">
        <v>8</v>
      </c>
      <c r="H456" s="59">
        <v>4.8</v>
      </c>
      <c r="I456" s="59">
        <v>6.67</v>
      </c>
      <c r="J456" s="35">
        <v>132</v>
      </c>
      <c r="K456" s="35" t="s">
        <v>112</v>
      </c>
      <c r="L456" s="35"/>
      <c r="M456" s="36" t="s">
        <v>68</v>
      </c>
      <c r="N456" s="36"/>
      <c r="O456" s="35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7"/>
      <c r="V456" s="37"/>
      <c r="W456" s="38" t="s">
        <v>69</v>
      </c>
      <c r="X456" s="56">
        <v>0</v>
      </c>
      <c r="Y456" s="53">
        <f t="shared" si="58"/>
        <v>0</v>
      </c>
      <c r="Z456" s="39" t="str">
        <f>IFERROR(IF(Y456=0,"",ROUNDUP(Y456/H456,0)*0.00902),"")</f>
        <v/>
      </c>
      <c r="AA456" s="65"/>
      <c r="AB456" s="66"/>
      <c r="AC456" s="531" t="s">
        <v>712</v>
      </c>
      <c r="AG456" s="75"/>
      <c r="AJ456" s="79"/>
      <c r="AK456" s="79">
        <v>0</v>
      </c>
      <c r="BB456" s="532" t="s">
        <v>1</v>
      </c>
      <c r="BM456" s="75">
        <f t="shared" si="59"/>
        <v>0</v>
      </c>
      <c r="BN456" s="75">
        <f t="shared" si="60"/>
        <v>0</v>
      </c>
      <c r="BO456" s="75">
        <f t="shared" si="61"/>
        <v>0</v>
      </c>
      <c r="BP456" s="75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40" t="s">
        <v>76</v>
      </c>
      <c r="X457" s="41">
        <f>IFERROR(X451/H451,"0")+IFERROR(X452/H452,"0")+IFERROR(X453/H453,"0")+IFERROR(X454/H454,"0")+IFERROR(X455/H455,"0")+IFERROR(X456/H456,"0")</f>
        <v>208.33333333333331</v>
      </c>
      <c r="Y457" s="41">
        <f>IFERROR(Y451/H451,"0")+IFERROR(Y452/H452,"0")+IFERROR(Y453/H453,"0")+IFERROR(Y454/H454,"0")+IFERROR(Y455/H455,"0")+IFERROR(Y456/H456,"0")</f>
        <v>210</v>
      </c>
      <c r="Z457" s="41">
        <f>IFERROR(IF(Z451="",0,Z451),"0")+IFERROR(IF(Z452="",0,Z452),"0")+IFERROR(IF(Z453="",0,Z453),"0")+IFERROR(IF(Z454="",0,Z454),"0")+IFERROR(IF(Z455="",0,Z455),"0")+IFERROR(IF(Z456="",0,Z456),"0")</f>
        <v>2.5116000000000001</v>
      </c>
      <c r="AA457" s="64"/>
      <c r="AB457" s="64"/>
      <c r="AC457" s="64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40" t="s">
        <v>69</v>
      </c>
      <c r="X458" s="41">
        <f>IFERROR(SUM(X451:X456),"0")</f>
        <v>1100</v>
      </c>
      <c r="Y458" s="41">
        <f>IFERROR(SUM(Y451:Y456),"0")</f>
        <v>1108.8</v>
      </c>
      <c r="Z458" s="40"/>
      <c r="AA458" s="64"/>
      <c r="AB458" s="64"/>
      <c r="AC458" s="64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4301051064</v>
      </c>
      <c r="D460" s="564">
        <v>4680115883536</v>
      </c>
      <c r="E460" s="565"/>
      <c r="F460" s="59">
        <v>0.3</v>
      </c>
      <c r="G460" s="35">
        <v>6</v>
      </c>
      <c r="H460" s="59">
        <v>1.8</v>
      </c>
      <c r="I460" s="59">
        <v>2.0459999999999998</v>
      </c>
      <c r="J460" s="35">
        <v>182</v>
      </c>
      <c r="K460" s="35" t="s">
        <v>67</v>
      </c>
      <c r="L460" s="35"/>
      <c r="M460" s="36" t="s">
        <v>80</v>
      </c>
      <c r="N460" s="36"/>
      <c r="O460" s="35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7"/>
      <c r="V460" s="37"/>
      <c r="W460" s="38" t="s">
        <v>69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/>
      <c r="AB460" s="66"/>
      <c r="AC460" s="533" t="s">
        <v>721</v>
      </c>
      <c r="AG460" s="75"/>
      <c r="AJ460" s="79"/>
      <c r="AK460" s="79">
        <v>0</v>
      </c>
      <c r="BB460" s="53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40" t="s">
        <v>76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40" t="s">
        <v>69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52"/>
      <c r="AB463" s="52"/>
      <c r="AC463" s="52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62"/>
      <c r="AB464" s="62"/>
      <c r="AC464" s="62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63"/>
      <c r="AB465" s="63"/>
      <c r="AC465" s="63"/>
    </row>
    <row r="466" spans="1:68" ht="27" hidden="1" customHeight="1" x14ac:dyDescent="0.25">
      <c r="A466" s="60" t="s">
        <v>723</v>
      </c>
      <c r="B466" s="60" t="s">
        <v>724</v>
      </c>
      <c r="C466" s="34">
        <v>4301011763</v>
      </c>
      <c r="D466" s="564">
        <v>4640242181011</v>
      </c>
      <c r="E466" s="565"/>
      <c r="F466" s="59">
        <v>1.35</v>
      </c>
      <c r="G466" s="35">
        <v>8</v>
      </c>
      <c r="H466" s="59">
        <v>10.8</v>
      </c>
      <c r="I466" s="59">
        <v>11.21</v>
      </c>
      <c r="J466" s="35">
        <v>64</v>
      </c>
      <c r="K466" s="35" t="s">
        <v>106</v>
      </c>
      <c r="L466" s="35"/>
      <c r="M466" s="36" t="s">
        <v>80</v>
      </c>
      <c r="N466" s="36"/>
      <c r="O466" s="35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7"/>
      <c r="V466" s="37"/>
      <c r="W466" s="38" t="s">
        <v>69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/>
      <c r="AB466" s="66"/>
      <c r="AC466" s="535" t="s">
        <v>725</v>
      </c>
      <c r="AG466" s="75"/>
      <c r="AJ466" s="79"/>
      <c r="AK466" s="79">
        <v>0</v>
      </c>
      <c r="BB466" s="536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726</v>
      </c>
      <c r="B467" s="60" t="s">
        <v>727</v>
      </c>
      <c r="C467" s="34">
        <v>4301011585</v>
      </c>
      <c r="D467" s="564">
        <v>4640242180441</v>
      </c>
      <c r="E467" s="56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106</v>
      </c>
      <c r="L467" s="35"/>
      <c r="M467" s="36" t="s">
        <v>108</v>
      </c>
      <c r="N467" s="36"/>
      <c r="O467" s="35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7"/>
      <c r="V467" s="37"/>
      <c r="W467" s="38" t="s">
        <v>69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/>
      <c r="AB467" s="66"/>
      <c r="AC467" s="537" t="s">
        <v>728</v>
      </c>
      <c r="AG467" s="75"/>
      <c r="AJ467" s="79"/>
      <c r="AK467" s="79">
        <v>0</v>
      </c>
      <c r="BB467" s="538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729</v>
      </c>
      <c r="B468" s="60" t="s">
        <v>730</v>
      </c>
      <c r="C468" s="34">
        <v>4301011584</v>
      </c>
      <c r="D468" s="564">
        <v>4640242180564</v>
      </c>
      <c r="E468" s="565"/>
      <c r="F468" s="59">
        <v>1.5</v>
      </c>
      <c r="G468" s="35">
        <v>8</v>
      </c>
      <c r="H468" s="59">
        <v>12</v>
      </c>
      <c r="I468" s="59">
        <v>12.41</v>
      </c>
      <c r="J468" s="35">
        <v>64</v>
      </c>
      <c r="K468" s="35" t="s">
        <v>106</v>
      </c>
      <c r="L468" s="35" t="s">
        <v>107</v>
      </c>
      <c r="M468" s="36" t="s">
        <v>108</v>
      </c>
      <c r="N468" s="36"/>
      <c r="O468" s="35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7"/>
      <c r="V468" s="37"/>
      <c r="W468" s="38" t="s">
        <v>69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IFERROR(IF(Y468=0,"",ROUNDUP(Y468/H468,0)*0.01898),"")</f>
        <v/>
      </c>
      <c r="AA468" s="65"/>
      <c r="AB468" s="66"/>
      <c r="AC468" s="539" t="s">
        <v>731</v>
      </c>
      <c r="AG468" s="75"/>
      <c r="AJ468" s="79" t="s">
        <v>92</v>
      </c>
      <c r="AK468" s="79">
        <v>96</v>
      </c>
      <c r="BB468" s="540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732</v>
      </c>
      <c r="B469" s="60" t="s">
        <v>733</v>
      </c>
      <c r="C469" s="34">
        <v>4301011764</v>
      </c>
      <c r="D469" s="564">
        <v>4640242181189</v>
      </c>
      <c r="E469" s="565"/>
      <c r="F469" s="59">
        <v>0.4</v>
      </c>
      <c r="G469" s="35">
        <v>10</v>
      </c>
      <c r="H469" s="59">
        <v>4</v>
      </c>
      <c r="I469" s="59">
        <v>4.1900000000000004</v>
      </c>
      <c r="J469" s="35">
        <v>132</v>
      </c>
      <c r="K469" s="35" t="s">
        <v>112</v>
      </c>
      <c r="L469" s="35"/>
      <c r="M469" s="36" t="s">
        <v>80</v>
      </c>
      <c r="N469" s="36"/>
      <c r="O469" s="35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7"/>
      <c r="V469" s="37"/>
      <c r="W469" s="38" t="s">
        <v>69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/>
      <c r="AB469" s="66"/>
      <c r="AC469" s="541" t="s">
        <v>725</v>
      </c>
      <c r="AG469" s="75"/>
      <c r="AJ469" s="79"/>
      <c r="AK469" s="79">
        <v>0</v>
      </c>
      <c r="BB469" s="542" t="s">
        <v>1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40" t="s">
        <v>76</v>
      </c>
      <c r="X470" s="41">
        <f>IFERROR(X466/H466,"0")+IFERROR(X467/H467,"0")+IFERROR(X468/H468,"0")+IFERROR(X469/H469,"0")</f>
        <v>0</v>
      </c>
      <c r="Y470" s="41">
        <f>IFERROR(Y466/H466,"0")+IFERROR(Y467/H467,"0")+IFERROR(Y468/H468,"0")+IFERROR(Y469/H469,"0")</f>
        <v>0</v>
      </c>
      <c r="Z470" s="41">
        <f>IFERROR(IF(Z466="",0,Z466),"0")+IFERROR(IF(Z467="",0,Z467),"0")+IFERROR(IF(Z468="",0,Z468),"0")+IFERROR(IF(Z469="",0,Z469),"0")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40" t="s">
        <v>69</v>
      </c>
      <c r="X471" s="41">
        <f>IFERROR(SUM(X466:X469),"0")</f>
        <v>0</v>
      </c>
      <c r="Y471" s="41">
        <f>IFERROR(SUM(Y466:Y469),"0")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63"/>
      <c r="AB472" s="63"/>
      <c r="AC472" s="63"/>
    </row>
    <row r="473" spans="1:68" ht="27" hidden="1" customHeight="1" x14ac:dyDescent="0.25">
      <c r="A473" s="60" t="s">
        <v>734</v>
      </c>
      <c r="B473" s="60" t="s">
        <v>735</v>
      </c>
      <c r="C473" s="34">
        <v>4301020400</v>
      </c>
      <c r="D473" s="564">
        <v>4640242180519</v>
      </c>
      <c r="E473" s="565"/>
      <c r="F473" s="59">
        <v>1.5</v>
      </c>
      <c r="G473" s="35">
        <v>8</v>
      </c>
      <c r="H473" s="59">
        <v>12</v>
      </c>
      <c r="I473" s="59">
        <v>12.41</v>
      </c>
      <c r="J473" s="35">
        <v>64</v>
      </c>
      <c r="K473" s="35" t="s">
        <v>106</v>
      </c>
      <c r="L473" s="35"/>
      <c r="M473" s="36" t="s">
        <v>108</v>
      </c>
      <c r="N473" s="36"/>
      <c r="O473" s="35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7"/>
      <c r="V473" s="37"/>
      <c r="W473" s="38" t="s">
        <v>69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IFERROR(IF(Y473=0,"",ROUNDUP(Y473/H473,0)*0.01898),"")</f>
        <v/>
      </c>
      <c r="AA473" s="65"/>
      <c r="AB473" s="66"/>
      <c r="AC473" s="543" t="s">
        <v>736</v>
      </c>
      <c r="AG473" s="75"/>
      <c r="AJ473" s="79"/>
      <c r="AK473" s="79">
        <v>0</v>
      </c>
      <c r="BB473" s="544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t="27" hidden="1" customHeight="1" x14ac:dyDescent="0.25">
      <c r="A474" s="60" t="s">
        <v>737</v>
      </c>
      <c r="B474" s="60" t="s">
        <v>738</v>
      </c>
      <c r="C474" s="34">
        <v>4301020260</v>
      </c>
      <c r="D474" s="564">
        <v>4640242180526</v>
      </c>
      <c r="E474" s="565"/>
      <c r="F474" s="59">
        <v>1.8</v>
      </c>
      <c r="G474" s="35">
        <v>6</v>
      </c>
      <c r="H474" s="59">
        <v>10.8</v>
      </c>
      <c r="I474" s="59">
        <v>11.21</v>
      </c>
      <c r="J474" s="35">
        <v>64</v>
      </c>
      <c r="K474" s="35" t="s">
        <v>106</v>
      </c>
      <c r="L474" s="35"/>
      <c r="M474" s="36" t="s">
        <v>108</v>
      </c>
      <c r="N474" s="36"/>
      <c r="O474" s="35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7"/>
      <c r="V474" s="37"/>
      <c r="W474" s="38" t="s">
        <v>69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IFERROR(IF(Y474=0,"",ROUNDUP(Y474/H474,0)*0.01898),"")</f>
        <v/>
      </c>
      <c r="AA474" s="65"/>
      <c r="AB474" s="66"/>
      <c r="AC474" s="545" t="s">
        <v>739</v>
      </c>
      <c r="AG474" s="75"/>
      <c r="AJ474" s="79"/>
      <c r="AK474" s="79">
        <v>0</v>
      </c>
      <c r="BB474" s="546" t="s">
        <v>1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40" t="s">
        <v>76</v>
      </c>
      <c r="X475" s="41">
        <f>IFERROR(X473/H473,"0")+IFERROR(X474/H474,"0")</f>
        <v>0</v>
      </c>
      <c r="Y475" s="41">
        <f>IFERROR(Y473/H473,"0")+IFERROR(Y474/H474,"0")</f>
        <v>0</v>
      </c>
      <c r="Z475" s="41">
        <f>IFERROR(IF(Z473="",0,Z473),"0")+IFERROR(IF(Z474="",0,Z474),"0")</f>
        <v>0</v>
      </c>
      <c r="AA475" s="64"/>
      <c r="AB475" s="64"/>
      <c r="AC475" s="64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40" t="s">
        <v>69</v>
      </c>
      <c r="X476" s="41">
        <f>IFERROR(SUM(X473:X474),"0")</f>
        <v>0</v>
      </c>
      <c r="Y476" s="41">
        <f>IFERROR(SUM(Y473:Y474),"0")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63"/>
      <c r="AB477" s="63"/>
      <c r="AC477" s="63"/>
    </row>
    <row r="478" spans="1:68" ht="27" hidden="1" customHeight="1" x14ac:dyDescent="0.25">
      <c r="A478" s="60" t="s">
        <v>740</v>
      </c>
      <c r="B478" s="60" t="s">
        <v>741</v>
      </c>
      <c r="C478" s="34">
        <v>4301031244</v>
      </c>
      <c r="D478" s="564">
        <v>4640242180595</v>
      </c>
      <c r="E478" s="565"/>
      <c r="F478" s="59">
        <v>0.7</v>
      </c>
      <c r="G478" s="35">
        <v>6</v>
      </c>
      <c r="H478" s="59">
        <v>4.2</v>
      </c>
      <c r="I478" s="59">
        <v>4.45</v>
      </c>
      <c r="J478" s="35">
        <v>132</v>
      </c>
      <c r="K478" s="35" t="s">
        <v>112</v>
      </c>
      <c r="L478" s="35" t="s">
        <v>115</v>
      </c>
      <c r="M478" s="36" t="s">
        <v>68</v>
      </c>
      <c r="N478" s="36"/>
      <c r="O478" s="35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7"/>
      <c r="V478" s="37"/>
      <c r="W478" s="38" t="s">
        <v>69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/>
      <c r="AB478" s="66"/>
      <c r="AC478" s="547" t="s">
        <v>742</v>
      </c>
      <c r="AG478" s="75"/>
      <c r="AJ478" s="79" t="s">
        <v>92</v>
      </c>
      <c r="AK478" s="79">
        <v>50.4</v>
      </c>
      <c r="BB478" s="548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740</v>
      </c>
      <c r="B479" s="60" t="s">
        <v>743</v>
      </c>
      <c r="C479" s="34">
        <v>4301031467</v>
      </c>
      <c r="D479" s="564">
        <v>4640242180595</v>
      </c>
      <c r="E479" s="565"/>
      <c r="F479" s="59">
        <v>0.8</v>
      </c>
      <c r="G479" s="35">
        <v>6</v>
      </c>
      <c r="H479" s="59">
        <v>4.8</v>
      </c>
      <c r="I479" s="59">
        <v>5.05</v>
      </c>
      <c r="J479" s="35">
        <v>132</v>
      </c>
      <c r="K479" s="35" t="s">
        <v>112</v>
      </c>
      <c r="L479" s="35"/>
      <c r="M479" s="36" t="s">
        <v>68</v>
      </c>
      <c r="N479" s="36"/>
      <c r="O479" s="35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7"/>
      <c r="V479" s="37"/>
      <c r="W479" s="38" t="s">
        <v>69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/>
      <c r="AB479" s="66"/>
      <c r="AC479" s="549" t="s">
        <v>744</v>
      </c>
      <c r="AG479" s="75"/>
      <c r="AJ479" s="79"/>
      <c r="AK479" s="79">
        <v>0</v>
      </c>
      <c r="BB479" s="550" t="s">
        <v>1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40" t="s">
        <v>76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40" t="s">
        <v>69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63"/>
      <c r="AB482" s="63"/>
      <c r="AC482" s="63"/>
    </row>
    <row r="483" spans="1:68" ht="27" hidden="1" customHeight="1" x14ac:dyDescent="0.25">
      <c r="A483" s="60" t="s">
        <v>745</v>
      </c>
      <c r="B483" s="60" t="s">
        <v>746</v>
      </c>
      <c r="C483" s="34">
        <v>4301052046</v>
      </c>
      <c r="D483" s="564">
        <v>4640242180533</v>
      </c>
      <c r="E483" s="565"/>
      <c r="F483" s="59">
        <v>1.5</v>
      </c>
      <c r="G483" s="35">
        <v>6</v>
      </c>
      <c r="H483" s="59">
        <v>9</v>
      </c>
      <c r="I483" s="59">
        <v>9.4939999999999998</v>
      </c>
      <c r="J483" s="35">
        <v>64</v>
      </c>
      <c r="K483" s="35" t="s">
        <v>106</v>
      </c>
      <c r="L483" s="35" t="s">
        <v>107</v>
      </c>
      <c r="M483" s="36" t="s">
        <v>86</v>
      </c>
      <c r="N483" s="36"/>
      <c r="O483" s="35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7"/>
      <c r="V483" s="37"/>
      <c r="W483" s="38" t="s">
        <v>69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IFERROR(IF(Y483=0,"",ROUNDUP(Y483/H483,0)*0.01898),"")</f>
        <v/>
      </c>
      <c r="AA483" s="65"/>
      <c r="AB483" s="66"/>
      <c r="AC483" s="551" t="s">
        <v>747</v>
      </c>
      <c r="AG483" s="75"/>
      <c r="AJ483" s="79" t="s">
        <v>92</v>
      </c>
      <c r="AK483" s="79">
        <v>72</v>
      </c>
      <c r="BB483" s="55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40" t="s">
        <v>76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40" t="s">
        <v>69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63"/>
      <c r="AB486" s="63"/>
      <c r="AC486" s="63"/>
    </row>
    <row r="487" spans="1:68" ht="27" hidden="1" customHeight="1" x14ac:dyDescent="0.25">
      <c r="A487" s="60" t="s">
        <v>748</v>
      </c>
      <c r="B487" s="60" t="s">
        <v>749</v>
      </c>
      <c r="C487" s="34">
        <v>4301060491</v>
      </c>
      <c r="D487" s="564">
        <v>4640242180120</v>
      </c>
      <c r="E487" s="565"/>
      <c r="F487" s="59">
        <v>1.5</v>
      </c>
      <c r="G487" s="35">
        <v>6</v>
      </c>
      <c r="H487" s="59">
        <v>9</v>
      </c>
      <c r="I487" s="59">
        <v>9.41</v>
      </c>
      <c r="J487" s="35">
        <v>64</v>
      </c>
      <c r="K487" s="35" t="s">
        <v>106</v>
      </c>
      <c r="L487" s="35"/>
      <c r="M487" s="36" t="s">
        <v>80</v>
      </c>
      <c r="N487" s="36"/>
      <c r="O487" s="35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7"/>
      <c r="V487" s="37"/>
      <c r="W487" s="38" t="s">
        <v>69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IFERROR(IF(Y487=0,"",ROUNDUP(Y487/H487,0)*0.01898),"")</f>
        <v/>
      </c>
      <c r="AA487" s="65"/>
      <c r="AB487" s="66"/>
      <c r="AC487" s="553" t="s">
        <v>750</v>
      </c>
      <c r="AG487" s="75"/>
      <c r="AJ487" s="79"/>
      <c r="AK487" s="79">
        <v>0</v>
      </c>
      <c r="BB487" s="554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751</v>
      </c>
      <c r="B488" s="60" t="s">
        <v>752</v>
      </c>
      <c r="C488" s="34">
        <v>4301060493</v>
      </c>
      <c r="D488" s="564">
        <v>4640242180137</v>
      </c>
      <c r="E488" s="565"/>
      <c r="F488" s="59">
        <v>1.5</v>
      </c>
      <c r="G488" s="35">
        <v>6</v>
      </c>
      <c r="H488" s="59">
        <v>9</v>
      </c>
      <c r="I488" s="59">
        <v>9.41</v>
      </c>
      <c r="J488" s="35">
        <v>64</v>
      </c>
      <c r="K488" s="35" t="s">
        <v>106</v>
      </c>
      <c r="L488" s="35"/>
      <c r="M488" s="36" t="s">
        <v>80</v>
      </c>
      <c r="N488" s="36"/>
      <c r="O488" s="35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7"/>
      <c r="V488" s="37"/>
      <c r="W488" s="38" t="s">
        <v>69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IFERROR(IF(Y488=0,"",ROUNDUP(Y488/H488,0)*0.01898),"")</f>
        <v/>
      </c>
      <c r="AA488" s="65"/>
      <c r="AB488" s="66"/>
      <c r="AC488" s="555" t="s">
        <v>753</v>
      </c>
      <c r="AG488" s="75"/>
      <c r="AJ488" s="79"/>
      <c r="AK488" s="79">
        <v>0</v>
      </c>
      <c r="BB488" s="556" t="s">
        <v>1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40" t="s">
        <v>76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40" t="s">
        <v>69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62"/>
      <c r="AB491" s="62"/>
      <c r="AC491" s="62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63"/>
      <c r="AB492" s="63"/>
      <c r="AC492" s="63"/>
    </row>
    <row r="493" spans="1:68" ht="27" hidden="1" customHeight="1" x14ac:dyDescent="0.25">
      <c r="A493" s="60" t="s">
        <v>755</v>
      </c>
      <c r="B493" s="60" t="s">
        <v>756</v>
      </c>
      <c r="C493" s="34">
        <v>4301020314</v>
      </c>
      <c r="D493" s="564">
        <v>4640242180090</v>
      </c>
      <c r="E493" s="565"/>
      <c r="F493" s="59">
        <v>1.5</v>
      </c>
      <c r="G493" s="35">
        <v>8</v>
      </c>
      <c r="H493" s="59">
        <v>12</v>
      </c>
      <c r="I493" s="59">
        <v>12.41</v>
      </c>
      <c r="J493" s="35">
        <v>64</v>
      </c>
      <c r="K493" s="35" t="s">
        <v>106</v>
      </c>
      <c r="L493" s="35"/>
      <c r="M493" s="36" t="s">
        <v>108</v>
      </c>
      <c r="N493" s="36"/>
      <c r="O493" s="35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7"/>
      <c r="V493" s="37"/>
      <c r="W493" s="38" t="s">
        <v>69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IFERROR(IF(Y493=0,"",ROUNDUP(Y493/H493,0)*0.01898),"")</f>
        <v/>
      </c>
      <c r="AA493" s="65"/>
      <c r="AB493" s="66"/>
      <c r="AC493" s="557" t="s">
        <v>757</v>
      </c>
      <c r="AG493" s="75"/>
      <c r="AJ493" s="79"/>
      <c r="AK493" s="79">
        <v>0</v>
      </c>
      <c r="BB493" s="558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40" t="s">
        <v>76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40" t="s">
        <v>69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40" t="s">
        <v>69</v>
      </c>
      <c r="X496" s="41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17970</v>
      </c>
      <c r="Y496" s="41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18062.420000000002</v>
      </c>
      <c r="Z496" s="40"/>
      <c r="AA496" s="64"/>
      <c r="AB496" s="64"/>
      <c r="AC496" s="64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40" t="s">
        <v>69</v>
      </c>
      <c r="X497" s="41">
        <f>IFERROR(SUM(BM22:BM493),"0")</f>
        <v>18785.497180134676</v>
      </c>
      <c r="Y497" s="41">
        <f>IFERROR(SUM(BN22:BN493),"0")</f>
        <v>18882.633999999998</v>
      </c>
      <c r="Z497" s="40"/>
      <c r="AA497" s="64"/>
      <c r="AB497" s="64"/>
      <c r="AC497" s="64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40" t="s">
        <v>761</v>
      </c>
      <c r="X498" s="42">
        <f>ROUNDUP(SUM(BO22:BO493),0)</f>
        <v>29</v>
      </c>
      <c r="Y498" s="42">
        <f>ROUNDUP(SUM(BP22:BP493),0)</f>
        <v>29</v>
      </c>
      <c r="Z498" s="40"/>
      <c r="AA498" s="64"/>
      <c r="AB498" s="64"/>
      <c r="AC498" s="64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40" t="s">
        <v>69</v>
      </c>
      <c r="X499" s="41">
        <f>GrossWeightTotal+PalletQtyTotal*25</f>
        <v>19510.497180134676</v>
      </c>
      <c r="Y499" s="41">
        <f>GrossWeightTotalR+PalletQtyTotalR*25</f>
        <v>19607.633999999998</v>
      </c>
      <c r="Z499" s="40"/>
      <c r="AA499" s="64"/>
      <c r="AB499" s="64"/>
      <c r="AC499" s="64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40" t="s">
        <v>761</v>
      </c>
      <c r="X500" s="41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2067.5749713249711</v>
      </c>
      <c r="Y500" s="41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2081</v>
      </c>
      <c r="Z500" s="40"/>
      <c r="AA500" s="64"/>
      <c r="AB500" s="64"/>
      <c r="AC500" s="64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43" t="s">
        <v>765</v>
      </c>
      <c r="X501" s="40"/>
      <c r="Y501" s="40"/>
      <c r="Z501" s="40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32.8962</v>
      </c>
      <c r="AA501" s="64"/>
      <c r="AB501" s="64"/>
      <c r="AC501" s="64"/>
    </row>
    <row r="502" spans="1:32" ht="13.5" customHeight="1" thickBot="1" x14ac:dyDescent="0.25"/>
    <row r="503" spans="1:32" ht="27" customHeight="1" thickTop="1" thickBot="1" x14ac:dyDescent="0.25">
      <c r="A503" s="44" t="s">
        <v>766</v>
      </c>
      <c r="B503" s="80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80" t="s">
        <v>667</v>
      </c>
      <c r="Y503" s="594" t="s">
        <v>722</v>
      </c>
      <c r="Z503" s="777"/>
      <c r="AB503" s="9"/>
      <c r="AC503" s="9"/>
      <c r="AF503" s="1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1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9"/>
      <c r="AC504" s="9"/>
      <c r="AF504" s="1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1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9"/>
      <c r="AC505" s="9"/>
      <c r="AF505" s="1"/>
    </row>
    <row r="506" spans="1:32" ht="18" customHeight="1" thickTop="1" thickBot="1" x14ac:dyDescent="0.25">
      <c r="A506" s="44" t="s">
        <v>768</v>
      </c>
      <c r="B506" s="50">
        <f>IFERROR(Y22*1,"0")+IFERROR(Y23*1,"0")+IFERROR(Y27*1,"0")+IFERROR(Y28*1,"0")+IFERROR(Y29*1,"0")+IFERROR(Y30*1,"0")+IFERROR(Y31*1,"0")+IFERROR(Y35*1,"0")</f>
        <v>0</v>
      </c>
      <c r="C506" s="50">
        <f>IFERROR(Y41*1,"0")+IFERROR(Y42*1,"0")+IFERROR(Y43*1,"0")+IFERROR(Y47*1,"0")</f>
        <v>2559.6000000000004</v>
      </c>
      <c r="D506" s="50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362</v>
      </c>
      <c r="E506" s="50">
        <f>IFERROR(Y85*1,"0")+IFERROR(Y86*1,"0")+IFERROR(Y87*1,"0")+IFERROR(Y88*1,"0")+IFERROR(Y92*1,"0")+IFERROR(Y93*1,"0")+IFERROR(Y94*1,"0")+IFERROR(Y95*1,"0")</f>
        <v>629.1</v>
      </c>
      <c r="F506" s="50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901.8</v>
      </c>
      <c r="G506" s="50">
        <f>IFERROR(Y127*1,"0")+IFERROR(Y128*1,"0")+IFERROR(Y132*1,"0")+IFERROR(Y133*1,"0")+IFERROR(Y137*1,"0")+IFERROR(Y138*1,"0")</f>
        <v>0</v>
      </c>
      <c r="H506" s="50">
        <f>IFERROR(Y143*1,"0")+IFERROR(Y144*1,"0")+IFERROR(Y148*1,"0")+IFERROR(Y149*1,"0")+IFERROR(Y150*1,"0")+IFERROR(Y151*1,"0")+IFERROR(Y152*1,"0")+IFERROR(Y153*1,"0")+IFERROR(Y157*1,"0")</f>
        <v>0</v>
      </c>
      <c r="I506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6" s="50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416.40000000000009</v>
      </c>
      <c r="K506" s="50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50">
        <f>IFERROR(Y263*1,"0")+IFERROR(Y264*1,"0")+IFERROR(Y265*1,"0")+IFERROR(Y266*1,"0")+IFERROR(Y267*1,"0")</f>
        <v>0</v>
      </c>
      <c r="M506" s="50">
        <f>IFERROR(Y272*1,"0")+IFERROR(Y273*1,"0")+IFERROR(Y274*1,"0")+IFERROR(Y275*1,"0")</f>
        <v>0</v>
      </c>
      <c r="N506" s="1"/>
      <c r="O506" s="50">
        <f>IFERROR(Y280*1,"0")+IFERROR(Y281*1,"0")+IFERROR(Y282*1,"0")</f>
        <v>0</v>
      </c>
      <c r="P506" s="50">
        <f>IFERROR(Y287*1,"0")+IFERROR(Y288*1,"0")+IFERROR(Y292*1,"0")+IFERROR(Y293*1,"0")</f>
        <v>0</v>
      </c>
      <c r="Q506" s="50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208.8</v>
      </c>
      <c r="R506" s="50">
        <f>IFERROR(Y343*1,"0")+IFERROR(Y344*1,"0")+IFERROR(Y345*1,"0")</f>
        <v>0</v>
      </c>
      <c r="S506" s="50">
        <f>IFERROR(Y351*1,"0")+IFERROR(Y352*1,"0")+IFERROR(Y353*1,"0")+IFERROR(Y354*1,"0")+IFERROR(Y355*1,"0")+IFERROR(Y356*1,"0")+IFERROR(Y357*1,"0")+IFERROR(Y361*1,"0")+IFERROR(Y362*1,"0")+IFERROR(Y366*1,"0")+IFERROR(Y367*1,"0")+IFERROR(Y371*1,"0")</f>
        <v>7110</v>
      </c>
      <c r="T506" s="50">
        <f>IFERROR(Y376*1,"0")+IFERROR(Y377*1,"0")+IFERROR(Y381*1,"0")+IFERROR(Y382*1,"0")+IFERROR(Y386*1,"0")+IFERROR(Y387*1,"0")+IFERROR(Y388*1,"0")</f>
        <v>2001.6</v>
      </c>
      <c r="U506" s="50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50">
        <f>IFERROR(Y412*1,"0")+IFERROR(Y416*1,"0")+IFERROR(Y417*1,"0")+IFERROR(Y418*1,"0")+IFERROR(Y419*1,"0")</f>
        <v>0</v>
      </c>
      <c r="W506" s="50">
        <f>IFERROR(Y424*1,"0")</f>
        <v>0</v>
      </c>
      <c r="X506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3822.7200000000003</v>
      </c>
      <c r="Y506" s="50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50">
        <f>IFERROR(Y493*1,"0")</f>
        <v>0</v>
      </c>
      <c r="AB506" s="9"/>
      <c r="AC506" s="9"/>
      <c r="AF506" s="1"/>
    </row>
  </sheetData>
  <sheetProtection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800,00"/>
        <filter val="100,00"/>
        <filter val="11,90"/>
        <filter val="120,00"/>
        <filter val="123,11"/>
        <filter val="14,81"/>
        <filter val="15,38"/>
        <filter val="150,00"/>
        <filter val="17 970,00"/>
        <filter val="18 785,50"/>
        <filter val="19 510,50"/>
        <filter val="19,05"/>
        <filter val="2 000,00"/>
        <filter val="2 050,00"/>
        <filter val="2 067,57"/>
        <filter val="2 550,00"/>
        <filter val="200,00"/>
        <filter val="208,33"/>
        <filter val="236,11"/>
        <filter val="250,00"/>
        <filter val="283,33"/>
        <filter val="29"/>
        <filter val="3 000,00"/>
        <filter val="31,91"/>
        <filter val="32,41"/>
        <filter val="33,33"/>
        <filter val="330,00"/>
        <filter val="350,00"/>
        <filter val="388,26"/>
        <filter val="400,00"/>
        <filter val="423,33"/>
        <filter val="450,00"/>
        <filter val="46,30"/>
        <filter val="50,00"/>
        <filter val="500,00"/>
        <filter val="540,00"/>
        <filter val="6 350,00"/>
        <filter val="61,11"/>
        <filter val="650,00"/>
        <filter val="750,00"/>
        <filter val="80,00"/>
        <filter val="88,89"/>
        <filter val="90,00"/>
        <filter val="900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9"/>
    </row>
    <row r="3" spans="2:8" x14ac:dyDescent="0.2">
      <c r="B3" s="51" t="s">
        <v>770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771</v>
      </c>
      <c r="D6" s="51" t="s">
        <v>772</v>
      </c>
      <c r="E6" s="51"/>
    </row>
    <row r="8" spans="2:8" x14ac:dyDescent="0.2">
      <c r="B8" s="51" t="s">
        <v>19</v>
      </c>
      <c r="C8" s="51" t="s">
        <v>771</v>
      </c>
      <c r="D8" s="51"/>
      <c r="E8" s="51"/>
    </row>
    <row r="10" spans="2:8" x14ac:dyDescent="0.2">
      <c r="B10" s="51" t="s">
        <v>773</v>
      </c>
      <c r="C10" s="51"/>
      <c r="D10" s="51"/>
      <c r="E10" s="51"/>
    </row>
    <row r="11" spans="2:8" x14ac:dyDescent="0.2">
      <c r="B11" s="51" t="s">
        <v>774</v>
      </c>
      <c r="C11" s="51"/>
      <c r="D11" s="51"/>
      <c r="E11" s="51"/>
    </row>
    <row r="12" spans="2:8" x14ac:dyDescent="0.2">
      <c r="B12" s="51" t="s">
        <v>775</v>
      </c>
      <c r="C12" s="51"/>
      <c r="D12" s="51"/>
      <c r="E12" s="51"/>
    </row>
    <row r="13" spans="2:8" x14ac:dyDescent="0.2">
      <c r="B13" s="51" t="s">
        <v>776</v>
      </c>
      <c r="C13" s="51"/>
      <c r="D13" s="51"/>
      <c r="E13" s="51"/>
    </row>
    <row r="14" spans="2:8" x14ac:dyDescent="0.2">
      <c r="B14" s="51" t="s">
        <v>777</v>
      </c>
      <c r="C14" s="51"/>
      <c r="D14" s="51"/>
      <c r="E14" s="51"/>
    </row>
    <row r="15" spans="2:8" x14ac:dyDescent="0.2">
      <c r="B15" s="51" t="s">
        <v>778</v>
      </c>
      <c r="C15" s="51"/>
      <c r="D15" s="51"/>
      <c r="E15" s="51"/>
    </row>
    <row r="16" spans="2:8" x14ac:dyDescent="0.2">
      <c r="B16" s="51" t="s">
        <v>779</v>
      </c>
      <c r="C16" s="51"/>
      <c r="D16" s="51"/>
      <c r="E16" s="51"/>
    </row>
    <row r="17" spans="2:5" x14ac:dyDescent="0.2">
      <c r="B17" s="51" t="s">
        <v>780</v>
      </c>
      <c r="C17" s="51"/>
      <c r="D17" s="51"/>
      <c r="E17" s="51"/>
    </row>
    <row r="18" spans="2:5" x14ac:dyDescent="0.2">
      <c r="B18" s="51" t="s">
        <v>781</v>
      </c>
      <c r="C18" s="51"/>
      <c r="D18" s="51"/>
      <c r="E18" s="51"/>
    </row>
    <row r="19" spans="2:5" x14ac:dyDescent="0.2">
      <c r="B19" s="51" t="s">
        <v>782</v>
      </c>
      <c r="C19" s="51"/>
      <c r="D19" s="51"/>
      <c r="E19" s="51"/>
    </row>
    <row r="20" spans="2:5" x14ac:dyDescent="0.2">
      <c r="B20" s="51" t="s">
        <v>783</v>
      </c>
      <c r="C20" s="51"/>
      <c r="D20" s="51"/>
      <c r="E20" s="51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2026-01-10T09:39:08Z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