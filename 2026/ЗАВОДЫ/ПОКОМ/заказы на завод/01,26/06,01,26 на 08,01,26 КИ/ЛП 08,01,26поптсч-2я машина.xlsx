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D7A128A-19E2-4010-9955-B4017802B22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U506" i="1" s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N293" i="1"/>
  <c r="BM293" i="1"/>
  <c r="Z293" i="1"/>
  <c r="Y293" i="1"/>
  <c r="BP293" i="1" s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BP287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BP280" i="1" s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BP216" i="1" s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X203" i="1"/>
  <c r="X202" i="1"/>
  <c r="BO201" i="1"/>
  <c r="BM201" i="1"/>
  <c r="Y201" i="1"/>
  <c r="BP201" i="1" s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BO167" i="1"/>
  <c r="BM167" i="1"/>
  <c r="Y167" i="1"/>
  <c r="BP167" i="1" s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BP148" i="1" s="1"/>
  <c r="P148" i="1"/>
  <c r="X146" i="1"/>
  <c r="X145" i="1"/>
  <c r="BO144" i="1"/>
  <c r="BM144" i="1"/>
  <c r="Y144" i="1"/>
  <c r="BP144" i="1" s="1"/>
  <c r="P144" i="1"/>
  <c r="BO143" i="1"/>
  <c r="BM143" i="1"/>
  <c r="Y143" i="1"/>
  <c r="Y145" i="1" s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X134" i="1"/>
  <c r="BO133" i="1"/>
  <c r="BM133" i="1"/>
  <c r="Y133" i="1"/>
  <c r="BP133" i="1" s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N54" i="1"/>
  <c r="BM54" i="1"/>
  <c r="Z54" i="1"/>
  <c r="Y54" i="1"/>
  <c r="BP54" i="1" s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8" i="1" s="1"/>
  <c r="BM22" i="1"/>
  <c r="Y22" i="1"/>
  <c r="B506" i="1" s="1"/>
  <c r="P22" i="1"/>
  <c r="H10" i="1"/>
  <c r="A9" i="1"/>
  <c r="F10" i="1" s="1"/>
  <c r="D7" i="1"/>
  <c r="Q6" i="1"/>
  <c r="P2" i="1"/>
  <c r="BP74" i="1" l="1"/>
  <c r="BN74" i="1"/>
  <c r="Z74" i="1"/>
  <c r="BP108" i="1"/>
  <c r="BN108" i="1"/>
  <c r="Z108" i="1"/>
  <c r="BP150" i="1"/>
  <c r="BN150" i="1"/>
  <c r="Z150" i="1"/>
  <c r="BP184" i="1"/>
  <c r="BN184" i="1"/>
  <c r="Z184" i="1"/>
  <c r="BP218" i="1"/>
  <c r="BN218" i="1"/>
  <c r="Z218" i="1"/>
  <c r="BP241" i="1"/>
  <c r="BN241" i="1"/>
  <c r="Z241" i="1"/>
  <c r="BP282" i="1"/>
  <c r="BN282" i="1"/>
  <c r="Z282" i="1"/>
  <c r="BP318" i="1"/>
  <c r="BN318" i="1"/>
  <c r="Z318" i="1"/>
  <c r="BP353" i="1"/>
  <c r="BN353" i="1"/>
  <c r="Z353" i="1"/>
  <c r="BP397" i="1"/>
  <c r="BN397" i="1"/>
  <c r="Z397" i="1"/>
  <c r="BP435" i="1"/>
  <c r="BN435" i="1"/>
  <c r="Z435" i="1"/>
  <c r="BP467" i="1"/>
  <c r="BN467" i="1"/>
  <c r="Z467" i="1"/>
  <c r="Z27" i="1"/>
  <c r="BN27" i="1"/>
  <c r="Z43" i="1"/>
  <c r="BN43" i="1"/>
  <c r="BP95" i="1"/>
  <c r="BN95" i="1"/>
  <c r="Z95" i="1"/>
  <c r="Y124" i="1"/>
  <c r="Y123" i="1"/>
  <c r="BP122" i="1"/>
  <c r="BN122" i="1"/>
  <c r="Z122" i="1"/>
  <c r="Z123" i="1" s="1"/>
  <c r="BP127" i="1"/>
  <c r="BN127" i="1"/>
  <c r="Z127" i="1"/>
  <c r="BP174" i="1"/>
  <c r="BN174" i="1"/>
  <c r="Z174" i="1"/>
  <c r="BP207" i="1"/>
  <c r="BN207" i="1"/>
  <c r="Z207" i="1"/>
  <c r="BP228" i="1"/>
  <c r="BN228" i="1"/>
  <c r="Z228" i="1"/>
  <c r="BP266" i="1"/>
  <c r="BN266" i="1"/>
  <c r="Z266" i="1"/>
  <c r="BP308" i="1"/>
  <c r="BN308" i="1"/>
  <c r="Z308" i="1"/>
  <c r="BP336" i="1"/>
  <c r="BN336" i="1"/>
  <c r="Z336" i="1"/>
  <c r="BP377" i="1"/>
  <c r="BN377" i="1"/>
  <c r="Z377" i="1"/>
  <c r="Y413" i="1"/>
  <c r="BP412" i="1"/>
  <c r="BN412" i="1"/>
  <c r="Z412" i="1"/>
  <c r="Z413" i="1" s="1"/>
  <c r="BP416" i="1"/>
  <c r="BN416" i="1"/>
  <c r="Z416" i="1"/>
  <c r="BP445" i="1"/>
  <c r="BN445" i="1"/>
  <c r="Z445" i="1"/>
  <c r="Y485" i="1"/>
  <c r="Y484" i="1"/>
  <c r="BP483" i="1"/>
  <c r="BN483" i="1"/>
  <c r="Z483" i="1"/>
  <c r="Z484" i="1" s="1"/>
  <c r="BP487" i="1"/>
  <c r="BN487" i="1"/>
  <c r="Z487" i="1"/>
  <c r="BP302" i="1"/>
  <c r="BN302" i="1"/>
  <c r="Z302" i="1"/>
  <c r="Y320" i="1"/>
  <c r="BP316" i="1"/>
  <c r="BN316" i="1"/>
  <c r="Z316" i="1"/>
  <c r="BP332" i="1"/>
  <c r="BN332" i="1"/>
  <c r="Z332" i="1"/>
  <c r="BP351" i="1"/>
  <c r="BN351" i="1"/>
  <c r="Z351" i="1"/>
  <c r="BP362" i="1"/>
  <c r="BN362" i="1"/>
  <c r="Z362" i="1"/>
  <c r="BP366" i="1"/>
  <c r="BN366" i="1"/>
  <c r="Z366" i="1"/>
  <c r="BP395" i="1"/>
  <c r="BN395" i="1"/>
  <c r="Z395" i="1"/>
  <c r="BP407" i="1"/>
  <c r="BN407" i="1"/>
  <c r="Z407" i="1"/>
  <c r="BP433" i="1"/>
  <c r="BN433" i="1"/>
  <c r="Z433" i="1"/>
  <c r="BP441" i="1"/>
  <c r="BN441" i="1"/>
  <c r="Z441" i="1"/>
  <c r="BP455" i="1"/>
  <c r="BN455" i="1"/>
  <c r="Z455" i="1"/>
  <c r="BP479" i="1"/>
  <c r="BN479" i="1"/>
  <c r="Z479" i="1"/>
  <c r="X497" i="1"/>
  <c r="X499" i="1" s="1"/>
  <c r="Z23" i="1"/>
  <c r="BN23" i="1"/>
  <c r="X496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8" i="1"/>
  <c r="BN68" i="1"/>
  <c r="Z72" i="1"/>
  <c r="BN72" i="1"/>
  <c r="Z80" i="1"/>
  <c r="BN80" i="1"/>
  <c r="Z85" i="1"/>
  <c r="BN85" i="1"/>
  <c r="Z93" i="1"/>
  <c r="BN93" i="1"/>
  <c r="Z100" i="1"/>
  <c r="BN100" i="1"/>
  <c r="Z104" i="1"/>
  <c r="BN104" i="1"/>
  <c r="Y112" i="1"/>
  <c r="Z110" i="1"/>
  <c r="BN110" i="1"/>
  <c r="Z118" i="1"/>
  <c r="BN118" i="1"/>
  <c r="Z133" i="1"/>
  <c r="BN133" i="1"/>
  <c r="Y139" i="1"/>
  <c r="Z144" i="1"/>
  <c r="BN144" i="1"/>
  <c r="Z148" i="1"/>
  <c r="BN148" i="1"/>
  <c r="Z152" i="1"/>
  <c r="BN152" i="1"/>
  <c r="Z167" i="1"/>
  <c r="BN167" i="1"/>
  <c r="Z168" i="1"/>
  <c r="BN168" i="1"/>
  <c r="Z172" i="1"/>
  <c r="BN172" i="1"/>
  <c r="Z176" i="1"/>
  <c r="BN176" i="1"/>
  <c r="Z180" i="1"/>
  <c r="BN180" i="1"/>
  <c r="Z186" i="1"/>
  <c r="BN186" i="1"/>
  <c r="Z201" i="1"/>
  <c r="BN201" i="1"/>
  <c r="Z205" i="1"/>
  <c r="BN205" i="1"/>
  <c r="Z209" i="1"/>
  <c r="BN209" i="1"/>
  <c r="Z216" i="1"/>
  <c r="BN216" i="1"/>
  <c r="Z220" i="1"/>
  <c r="BN220" i="1"/>
  <c r="Z224" i="1"/>
  <c r="BN224" i="1"/>
  <c r="Z235" i="1"/>
  <c r="BN235" i="1"/>
  <c r="Z239" i="1"/>
  <c r="BN239" i="1"/>
  <c r="Z255" i="1"/>
  <c r="BN255" i="1"/>
  <c r="Z264" i="1"/>
  <c r="BN264" i="1"/>
  <c r="Z273" i="1"/>
  <c r="BN273" i="1"/>
  <c r="Z280" i="1"/>
  <c r="BN280" i="1"/>
  <c r="Z287" i="1"/>
  <c r="BN287" i="1"/>
  <c r="BP298" i="1"/>
  <c r="BN298" i="1"/>
  <c r="Z298" i="1"/>
  <c r="BP310" i="1"/>
  <c r="BN310" i="1"/>
  <c r="Z310" i="1"/>
  <c r="BP324" i="1"/>
  <c r="BN324" i="1"/>
  <c r="Z324" i="1"/>
  <c r="BP338" i="1"/>
  <c r="BN338" i="1"/>
  <c r="Z338" i="1"/>
  <c r="BP343" i="1"/>
  <c r="BN343" i="1"/>
  <c r="Z343" i="1"/>
  <c r="BP355" i="1"/>
  <c r="BN355" i="1"/>
  <c r="Z355" i="1"/>
  <c r="Y383" i="1"/>
  <c r="BP381" i="1"/>
  <c r="BN381" i="1"/>
  <c r="Z381" i="1"/>
  <c r="BP399" i="1"/>
  <c r="BN399" i="1"/>
  <c r="Z399" i="1"/>
  <c r="BP418" i="1"/>
  <c r="BN418" i="1"/>
  <c r="Z418" i="1"/>
  <c r="BP437" i="1"/>
  <c r="BN437" i="1"/>
  <c r="Z437" i="1"/>
  <c r="BP447" i="1"/>
  <c r="BN447" i="1"/>
  <c r="Z447" i="1"/>
  <c r="BP451" i="1"/>
  <c r="BN451" i="1"/>
  <c r="Z451" i="1"/>
  <c r="BP469" i="1"/>
  <c r="BN469" i="1"/>
  <c r="Z469" i="1"/>
  <c r="Y340" i="1"/>
  <c r="Y339" i="1"/>
  <c r="Y420" i="1"/>
  <c r="Y449" i="1"/>
  <c r="Y448" i="1"/>
  <c r="Y489" i="1"/>
  <c r="H9" i="1"/>
  <c r="A10" i="1"/>
  <c r="Y24" i="1"/>
  <c r="Y32" i="1"/>
  <c r="Y44" i="1"/>
  <c r="Y59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BP149" i="1"/>
  <c r="BN149" i="1"/>
  <c r="Z149" i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BP210" i="1"/>
  <c r="BN210" i="1"/>
  <c r="Z210" i="1"/>
  <c r="BP299" i="1"/>
  <c r="BN299" i="1"/>
  <c r="Z299" i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Z346" i="1" s="1"/>
  <c r="Y346" i="1"/>
  <c r="D506" i="1"/>
  <c r="F9" i="1"/>
  <c r="J9" i="1"/>
  <c r="Z22" i="1"/>
  <c r="Z24" i="1" s="1"/>
  <c r="BN22" i="1"/>
  <c r="BP22" i="1"/>
  <c r="X500" i="1"/>
  <c r="Y25" i="1"/>
  <c r="Z28" i="1"/>
  <c r="BN28" i="1"/>
  <c r="Z30" i="1"/>
  <c r="BN30" i="1"/>
  <c r="C506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Y96" i="1"/>
  <c r="BP101" i="1"/>
  <c r="BN101" i="1"/>
  <c r="Z101" i="1"/>
  <c r="Z105" i="1" s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BP221" i="1"/>
  <c r="BN221" i="1"/>
  <c r="Z221" i="1"/>
  <c r="Y225" i="1"/>
  <c r="BP229" i="1"/>
  <c r="BN229" i="1"/>
  <c r="Z229" i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Y368" i="1"/>
  <c r="BP382" i="1"/>
  <c r="BN382" i="1"/>
  <c r="Z382" i="1"/>
  <c r="Y384" i="1"/>
  <c r="Y389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448" i="1" l="1"/>
  <c r="Z320" i="1"/>
  <c r="Z230" i="1"/>
  <c r="Z304" i="1"/>
  <c r="Z134" i="1"/>
  <c r="Z457" i="1"/>
  <c r="Z225" i="1"/>
  <c r="Z213" i="1"/>
  <c r="Z76" i="1"/>
  <c r="Z420" i="1"/>
  <c r="Z383" i="1"/>
  <c r="Z363" i="1"/>
  <c r="Z358" i="1"/>
  <c r="Z181" i="1"/>
  <c r="Z96" i="1"/>
  <c r="Z64" i="1"/>
  <c r="Z58" i="1"/>
  <c r="Z32" i="1"/>
  <c r="Z154" i="1"/>
  <c r="Z89" i="1"/>
  <c r="Z442" i="1"/>
  <c r="Z276" i="1"/>
  <c r="Z268" i="1"/>
  <c r="Z259" i="1"/>
  <c r="Y497" i="1"/>
  <c r="Z313" i="1"/>
  <c r="Z119" i="1"/>
  <c r="Z389" i="1"/>
  <c r="Z403" i="1"/>
  <c r="Z470" i="1"/>
  <c r="Z326" i="1"/>
  <c r="Z243" i="1"/>
  <c r="Y496" i="1"/>
  <c r="Y498" i="1"/>
  <c r="Y500" i="1"/>
  <c r="Z501" i="1" l="1"/>
  <c r="Y499" i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<sst xmlns="http://schemas.openxmlformats.org/spreadsheetml/2006/main" count="2386" uniqueCount="785">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</sst>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43" sqref="AA43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46030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Четверг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0.45833333333333331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hidden="1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0</v>
      </c>
      <c r="Y41" s="55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120</v>
      </c>
      <c r="Y43" s="556">
        <f>IFERROR(IF(X43="",0,CEILING((X43/$H43),1)*$H43),"")</f>
        <v>120</v>
      </c>
      <c r="Z43" s="36">
        <f>IFERROR(IF(Y43=0,"",ROUNDUP(Y43/H43,0)*0.00902),"")</f>
        <v>0.27060000000000001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125.70000000000002</v>
      </c>
      <c r="BN43" s="64">
        <f>IFERROR(Y43*I43/H43,"0")</f>
        <v>125.70000000000002</v>
      </c>
      <c r="BO43" s="64">
        <f>IFERROR(1/J43*(X43/H43),"0")</f>
        <v>0.22727272727272729</v>
      </c>
      <c r="BP43" s="64">
        <f>IFERROR(1/J43*(Y43/H43),"0")</f>
        <v>0.22727272727272729</v>
      </c>
    </row>
    <row r="44" spans="1:68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30</v>
      </c>
      <c r="Y44" s="557">
        <f>IFERROR(Y41/H41,"0")+IFERROR(Y42/H42,"0")+IFERROR(Y43/H43,"0")</f>
        <v>30</v>
      </c>
      <c r="Z44" s="557">
        <f>IFERROR(IF(Z41="",0,Z41),"0")+IFERROR(IF(Z42="",0,Z42),"0")+IFERROR(IF(Z43="",0,Z43),"0")</f>
        <v>0.27060000000000001</v>
      </c>
      <c r="AA44" s="558"/>
      <c r="AB44" s="558"/>
      <c r="AC44" s="558"/>
    </row>
    <row r="45" spans="1:68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120</v>
      </c>
      <c r="Y45" s="557">
        <f>IFERROR(SUM(Y41:Y43),"0")</f>
        <v>120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100</v>
      </c>
      <c r="Y52" s="556">
        <f t="shared" ref="Y52:Y57" si="0">IFERROR(IF(X52="",0,CEILING((X52/$H52),1)*$H52),"")</f>
        <v>100.8</v>
      </c>
      <c r="Z52" s="36">
        <f>IFERROR(IF(Y52=0,"",ROUNDUP(Y52/H52,0)*0.01898),"")</f>
        <v>0.17082</v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103.66071428571429</v>
      </c>
      <c r="BN52" s="64">
        <f t="shared" ref="BN52:BN57" si="2">IFERROR(Y52*I52/H52,"0")</f>
        <v>104.49000000000001</v>
      </c>
      <c r="BO52" s="64">
        <f t="shared" ref="BO52:BO57" si="3">IFERROR(1/J52*(X52/H52),"0")</f>
        <v>0.13950892857142858</v>
      </c>
      <c r="BP52" s="64">
        <f t="shared" ref="BP52:BP57" si="4">IFERROR(1/J52*(Y52/H52),"0")</f>
        <v>0.140625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2400</v>
      </c>
      <c r="Y53" s="556">
        <f t="shared" si="0"/>
        <v>2408.4</v>
      </c>
      <c r="Z53" s="36">
        <f>IFERROR(IF(Y53=0,"",ROUNDUP(Y53/H53,0)*0.01898),"")</f>
        <v>4.2325400000000002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2491.1111111111113</v>
      </c>
      <c r="BN53" s="64">
        <f t="shared" si="2"/>
        <v>2499.8300000000004</v>
      </c>
      <c r="BO53" s="64">
        <f t="shared" si="3"/>
        <v>3.4722222222222219</v>
      </c>
      <c r="BP53" s="64">
        <f t="shared" si="4"/>
        <v>3.484375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1080</v>
      </c>
      <c r="Y57" s="556">
        <f t="shared" si="0"/>
        <v>1080</v>
      </c>
      <c r="Z57" s="36">
        <f>IFERROR(IF(Y57=0,"",ROUNDUP(Y57/H57,0)*0.00902),"")</f>
        <v>2.1648000000000001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1125.6000000000001</v>
      </c>
      <c r="BN57" s="64">
        <f t="shared" si="2"/>
        <v>1125.6000000000001</v>
      </c>
      <c r="BO57" s="64">
        <f t="shared" si="3"/>
        <v>1.8181818181818183</v>
      </c>
      <c r="BP57" s="64">
        <f t="shared" si="4"/>
        <v>1.8181818181818183</v>
      </c>
    </row>
    <row r="58" spans="1:68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471.15079365079362</v>
      </c>
      <c r="Y58" s="557">
        <f>IFERROR(Y52/H52,"0")+IFERROR(Y53/H53,"0")+IFERROR(Y54/H54,"0")+IFERROR(Y55/H55,"0")+IFERROR(Y56/H56,"0")+IFERROR(Y57/H57,"0")</f>
        <v>472</v>
      </c>
      <c r="Z58" s="557">
        <f>IFERROR(IF(Z52="",0,Z52),"0")+IFERROR(IF(Z53="",0,Z53),"0")+IFERROR(IF(Z54="",0,Z54),"0")+IFERROR(IF(Z55="",0,Z55),"0")+IFERROR(IF(Z56="",0,Z56),"0")+IFERROR(IF(Z57="",0,Z57),"0")</f>
        <v>6.5681600000000007</v>
      </c>
      <c r="AA58" s="558"/>
      <c r="AB58" s="558"/>
      <c r="AC58" s="558"/>
    </row>
    <row r="59" spans="1:68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3580</v>
      </c>
      <c r="Y59" s="557">
        <f>IFERROR(SUM(Y52:Y57),"0")</f>
        <v>3589.2000000000003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1300</v>
      </c>
      <c r="Y61" s="556">
        <f>IFERROR(IF(X61="",0,CEILING((X61/$H61),1)*$H61),"")</f>
        <v>1306.8000000000002</v>
      </c>
      <c r="Z61" s="36">
        <f>IFERROR(IF(Y61=0,"",ROUNDUP(Y61/H61,0)*0.01898),"")</f>
        <v>2.2965800000000001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1349.351851851852</v>
      </c>
      <c r="BN61" s="64">
        <f>IFERROR(Y61*I61/H61,"0")</f>
        <v>1356.41</v>
      </c>
      <c r="BO61" s="64">
        <f>IFERROR(1/J61*(X61/H61),"0")</f>
        <v>1.880787037037037</v>
      </c>
      <c r="BP61" s="64">
        <f>IFERROR(1/J61*(Y61/H61),"0")</f>
        <v>1.8906250000000002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270</v>
      </c>
      <c r="Y63" s="556">
        <f>IFERROR(IF(X63="",0,CEILING((X63/$H63),1)*$H63),"")</f>
        <v>270</v>
      </c>
      <c r="Z63" s="36">
        <f>IFERROR(IF(Y63=0,"",ROUNDUP(Y63/H63,0)*0.00651),"")</f>
        <v>0.65100000000000002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288</v>
      </c>
      <c r="BN63" s="64">
        <f>IFERROR(Y63*I63/H63,"0")</f>
        <v>288</v>
      </c>
      <c r="BO63" s="64">
        <f>IFERROR(1/J63*(X63/H63),"0")</f>
        <v>0.5494505494505495</v>
      </c>
      <c r="BP63" s="64">
        <f>IFERROR(1/J63*(Y63/H63),"0")</f>
        <v>0.5494505494505495</v>
      </c>
    </row>
    <row r="64" spans="1:68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220.37037037037038</v>
      </c>
      <c r="Y64" s="557">
        <f>IFERROR(Y61/H61,"0")+IFERROR(Y62/H62,"0")+IFERROR(Y63/H63,"0")</f>
        <v>221</v>
      </c>
      <c r="Z64" s="557">
        <f>IFERROR(IF(Z61="",0,Z61),"0")+IFERROR(IF(Z62="",0,Z62),"0")+IFERROR(IF(Z63="",0,Z63),"0")</f>
        <v>2.9475800000000003</v>
      </c>
      <c r="AA64" s="558"/>
      <c r="AB64" s="558"/>
      <c r="AC64" s="558"/>
    </row>
    <row r="65" spans="1:68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1570</v>
      </c>
      <c r="Y65" s="557">
        <f>IFERROR(SUM(Y61:Y63),"0")</f>
        <v>1576.8000000000002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0</v>
      </c>
      <c r="Y89" s="557">
        <f>IFERROR(Y85/H85,"0")+IFERROR(Y86/H86,"0")+IFERROR(Y87/H87,"0")+IFERROR(Y88/H88,"0")</f>
        <v>0</v>
      </c>
      <c r="Z89" s="557">
        <f>IFERROR(IF(Z85="",0,Z85),"0")+IFERROR(IF(Z86="",0,Z86),"0")+IFERROR(IF(Z87="",0,Z87),"0")+IFERROR(IF(Z88="",0,Z88),"0")</f>
        <v>0</v>
      </c>
      <c r="AA89" s="558"/>
      <c r="AB89" s="558"/>
      <c r="AC89" s="558"/>
    </row>
    <row r="90" spans="1:68" hidden="1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0</v>
      </c>
      <c r="Y90" s="557">
        <f>IFERROR(SUM(Y85:Y88),"0")</f>
        <v>0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0</v>
      </c>
      <c r="Y92" s="556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0</v>
      </c>
      <c r="Y94" s="55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0</v>
      </c>
      <c r="Y96" s="557">
        <f>IFERROR(Y92/H92,"0")+IFERROR(Y93/H93,"0")+IFERROR(Y94/H94,"0")+IFERROR(Y95/H95,"0")</f>
        <v>0</v>
      </c>
      <c r="Z96" s="557">
        <f>IFERROR(IF(Z92="",0,Z92),"0")+IFERROR(IF(Z93="",0,Z93),"0")+IFERROR(IF(Z94="",0,Z94),"0")+IFERROR(IF(Z95="",0,Z95),"0")</f>
        <v>0</v>
      </c>
      <c r="AA96" s="558"/>
      <c r="AB96" s="558"/>
      <c r="AC96" s="558"/>
    </row>
    <row r="97" spans="1:68" hidden="1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0</v>
      </c>
      <c r="Y97" s="557">
        <f>IFERROR(SUM(Y92:Y95),"0")</f>
        <v>0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hidden="1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hidden="1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500</v>
      </c>
      <c r="Y115" s="556">
        <f>IFERROR(IF(X115="",0,CEILING((X115/$H115),1)*$H115),"")</f>
        <v>502.2</v>
      </c>
      <c r="Z115" s="36">
        <f>IFERROR(IF(Y115=0,"",ROUNDUP(Y115/H115,0)*0.01898),"")</f>
        <v>1.17676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530.12345679012344</v>
      </c>
      <c r="BN115" s="64">
        <f>IFERROR(Y115*I115/H115,"0")</f>
        <v>532.4559999999999</v>
      </c>
      <c r="BO115" s="64">
        <f>IFERROR(1/J115*(X115/H115),"0")</f>
        <v>0.96450617283950624</v>
      </c>
      <c r="BP115" s="64">
        <f>IFERROR(1/J115*(Y115/H115),"0")</f>
        <v>0.96875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0</v>
      </c>
      <c r="Y117" s="55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61.728395061728399</v>
      </c>
      <c r="Y119" s="557">
        <f>IFERROR(Y115/H115,"0")+IFERROR(Y116/H116,"0")+IFERROR(Y117/H117,"0")+IFERROR(Y118/H118,"0")</f>
        <v>62</v>
      </c>
      <c r="Z119" s="557">
        <f>IFERROR(IF(Z115="",0,Z115),"0")+IFERROR(IF(Z116="",0,Z116),"0")+IFERROR(IF(Z117="",0,Z117),"0")+IFERROR(IF(Z118="",0,Z118),"0")</f>
        <v>1.17676</v>
      </c>
      <c r="AA119" s="558"/>
      <c r="AB119" s="558"/>
      <c r="AC119" s="558"/>
    </row>
    <row r="120" spans="1:68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500</v>
      </c>
      <c r="Y120" s="557">
        <f>IFERROR(SUM(Y115:Y118),"0")</f>
        <v>502.2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hidden="1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150</v>
      </c>
      <c r="Y152" s="556">
        <f t="shared" si="5"/>
        <v>153</v>
      </c>
      <c r="Z152" s="36">
        <f>IFERROR(IF(Y152=0,"",ROUNDUP(Y152/H152,0)*0.01898),"")</f>
        <v>0.32266</v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159.33333333333334</v>
      </c>
      <c r="BN152" s="64">
        <f t="shared" si="7"/>
        <v>162.52000000000001</v>
      </c>
      <c r="BO152" s="64">
        <f t="shared" si="8"/>
        <v>0.26041666666666669</v>
      </c>
      <c r="BP152" s="64">
        <f t="shared" si="9"/>
        <v>0.265625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16.666666666666668</v>
      </c>
      <c r="Y154" s="557">
        <f>IFERROR(Y148/H148,"0")+IFERROR(Y149/H149,"0")+IFERROR(Y150/H150,"0")+IFERROR(Y151/H151,"0")+IFERROR(Y152/H152,"0")+IFERROR(Y153/H153,"0")</f>
        <v>17</v>
      </c>
      <c r="Z154" s="557">
        <f>IFERROR(IF(Z148="",0,Z148),"0")+IFERROR(IF(Z149="",0,Z149),"0")+IFERROR(IF(Z150="",0,Z150),"0")+IFERROR(IF(Z151="",0,Z151),"0")+IFERROR(IF(Z152="",0,Z152),"0")+IFERROR(IF(Z153="",0,Z153),"0")</f>
        <v>0.32266</v>
      </c>
      <c r="AA154" s="558"/>
      <c r="AB154" s="558"/>
      <c r="AC154" s="558"/>
    </row>
    <row r="155" spans="1:68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150</v>
      </c>
      <c r="Y155" s="557">
        <f>IFERROR(SUM(Y148:Y153),"0")</f>
        <v>153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50</v>
      </c>
      <c r="Y169" s="556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52.976190476190474</v>
      </c>
      <c r="BN169" s="64">
        <f t="shared" si="12"/>
        <v>53.400000000000006</v>
      </c>
      <c r="BO169" s="64">
        <f t="shared" si="13"/>
        <v>9.0187590187590191E-2</v>
      </c>
      <c r="BP169" s="64">
        <f t="shared" si="14"/>
        <v>9.0909090909090912E-2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11.904761904761905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12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0.10824</v>
      </c>
      <c r="AA181" s="558"/>
      <c r="AB181" s="558"/>
      <c r="AC181" s="558"/>
    </row>
    <row r="182" spans="1:68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50</v>
      </c>
      <c r="Y182" s="557">
        <f>IFERROR(SUM(Y167:Y180),"0")</f>
        <v>50.400000000000006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150</v>
      </c>
      <c r="Y206" s="556">
        <f t="shared" si="15"/>
        <v>151.20000000000002</v>
      </c>
      <c r="Z206" s="36">
        <f>IFERROR(IF(Y206=0,"",ROUNDUP(Y206/H206,0)*0.00902),"")</f>
        <v>0.25256000000000001</v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155.27777777777777</v>
      </c>
      <c r="BN206" s="64">
        <f t="shared" si="17"/>
        <v>156.52000000000001</v>
      </c>
      <c r="BO206" s="64">
        <f t="shared" si="18"/>
        <v>0.21043771043771042</v>
      </c>
      <c r="BP206" s="64">
        <f t="shared" si="19"/>
        <v>0.21212121212121213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150</v>
      </c>
      <c r="Y207" s="556">
        <f t="shared" si="15"/>
        <v>151.20000000000002</v>
      </c>
      <c r="Z207" s="36">
        <f>IFERROR(IF(Y207=0,"",ROUNDUP(Y207/H207,0)*0.00902),"")</f>
        <v>0.25256000000000001</v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155.27777777777777</v>
      </c>
      <c r="BN207" s="64">
        <f t="shared" si="17"/>
        <v>156.52000000000001</v>
      </c>
      <c r="BO207" s="64">
        <f t="shared" si="18"/>
        <v>0.21043771043771042</v>
      </c>
      <c r="BP207" s="64">
        <f t="shared" si="19"/>
        <v>0.21212121212121213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150</v>
      </c>
      <c r="Y208" s="556">
        <f t="shared" si="15"/>
        <v>151.20000000000002</v>
      </c>
      <c r="Z208" s="36">
        <f>IFERROR(IF(Y208=0,"",ROUNDUP(Y208/H208,0)*0.00902),"")</f>
        <v>0.25256000000000001</v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155.27777777777777</v>
      </c>
      <c r="BN208" s="64">
        <f t="shared" si="17"/>
        <v>156.52000000000001</v>
      </c>
      <c r="BO208" s="64">
        <f t="shared" si="18"/>
        <v>0.21043771043771042</v>
      </c>
      <c r="BP208" s="64">
        <f t="shared" si="19"/>
        <v>0.21212121212121213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83.333333333333329</v>
      </c>
      <c r="Y213" s="557">
        <f>IFERROR(Y205/H205,"0")+IFERROR(Y206/H206,"0")+IFERROR(Y207/H207,"0")+IFERROR(Y208/H208,"0")+IFERROR(Y209/H209,"0")+IFERROR(Y210/H210,"0")+IFERROR(Y211/H211,"0")+IFERROR(Y212/H212,"0")</f>
        <v>84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0.75768000000000002</v>
      </c>
      <c r="AA213" s="558"/>
      <c r="AB213" s="558"/>
      <c r="AC213" s="558"/>
    </row>
    <row r="214" spans="1:68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450</v>
      </c>
      <c r="Y214" s="557">
        <f>IFERROR(SUM(Y205:Y212),"0")</f>
        <v>453.6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0</v>
      </c>
      <c r="Y221" s="556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hidden="1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0</v>
      </c>
      <c r="Y225" s="557">
        <f>IFERROR(Y216/H216,"0")+IFERROR(Y217/H217,"0")+IFERROR(Y218/H218,"0")+IFERROR(Y219/H219,"0")+IFERROR(Y220/H220,"0")+IFERROR(Y221/H221,"0")+IFERROR(Y222/H222,"0")+IFERROR(Y223/H223,"0")+IFERROR(Y224/H224,"0")</f>
        <v>0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558"/>
      <c r="AB225" s="558"/>
      <c r="AC225" s="558"/>
    </row>
    <row r="226" spans="1:68" hidden="1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0</v>
      </c>
      <c r="Y226" s="557">
        <f>IFERROR(SUM(Y216:Y224),"0")</f>
        <v>0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300</v>
      </c>
      <c r="Y265" s="556">
        <f>IFERROR(IF(X265="",0,CEILING((X265/$H265),1)*$H265),"")</f>
        <v>302.40000000000003</v>
      </c>
      <c r="Z265" s="36">
        <f>IFERROR(IF(Y265=0,"",ROUNDUP(Y265/H265,0)*0.01898),"")</f>
        <v>0.53144000000000002</v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311.38888888888891</v>
      </c>
      <c r="BN265" s="64">
        <f>IFERROR(Y265*I265/H265,"0")</f>
        <v>313.88</v>
      </c>
      <c r="BO265" s="64">
        <f>IFERROR(1/J265*(X265/H265),"0")</f>
        <v>0.43402777777777773</v>
      </c>
      <c r="BP265" s="64">
        <f>IFERROR(1/J265*(Y265/H265),"0")</f>
        <v>0.4375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27.777777777777775</v>
      </c>
      <c r="Y268" s="557">
        <f>IFERROR(Y263/H263,"0")+IFERROR(Y264/H264,"0")+IFERROR(Y265/H265,"0")+IFERROR(Y266/H266,"0")+IFERROR(Y267/H267,"0")</f>
        <v>28</v>
      </c>
      <c r="Z268" s="557">
        <f>IFERROR(IF(Z263="",0,Z263),"0")+IFERROR(IF(Z264="",0,Z264),"0")+IFERROR(IF(Z265="",0,Z265),"0")+IFERROR(IF(Z266="",0,Z266),"0")+IFERROR(IF(Z267="",0,Z267),"0")</f>
        <v>0.53144000000000002</v>
      </c>
      <c r="AA268" s="558"/>
      <c r="AB268" s="558"/>
      <c r="AC268" s="558"/>
    </row>
    <row r="269" spans="1:68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300</v>
      </c>
      <c r="Y269" s="557">
        <f>IFERROR(SUM(Y263:Y267),"0")</f>
        <v>302.40000000000003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2400</v>
      </c>
      <c r="Y298" s="556">
        <f t="shared" ref="Y298:Y303" si="31">IFERROR(IF(X298="",0,CEILING((X298/$H298),1)*$H298),"")</f>
        <v>2408.4</v>
      </c>
      <c r="Z298" s="36">
        <f>IFERROR(IF(Y298=0,"",ROUNDUP(Y298/H298,0)*0.01898),"")</f>
        <v>4.2325400000000002</v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2491.1111111111113</v>
      </c>
      <c r="BN298" s="64">
        <f t="shared" ref="BN298:BN303" si="33">IFERROR(Y298*I298/H298,"0")</f>
        <v>2499.8300000000004</v>
      </c>
      <c r="BO298" s="64">
        <f t="shared" ref="BO298:BO303" si="34">IFERROR(1/J298*(X298/H298),"0")</f>
        <v>3.4722222222222219</v>
      </c>
      <c r="BP298" s="64">
        <f t="shared" ref="BP298:BP303" si="35">IFERROR(1/J298*(Y298/H298),"0")</f>
        <v>3.484375</v>
      </c>
    </row>
    <row r="299" spans="1:68" ht="27" hidden="1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hidden="1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222.2222222222222</v>
      </c>
      <c r="Y304" s="557">
        <f>IFERROR(Y298/H298,"0")+IFERROR(Y299/H299,"0")+IFERROR(Y300/H300,"0")+IFERROR(Y301/H301,"0")+IFERROR(Y302/H302,"0")+IFERROR(Y303/H303,"0")</f>
        <v>223</v>
      </c>
      <c r="Z304" s="557">
        <f>IFERROR(IF(Z298="",0,Z298),"0")+IFERROR(IF(Z299="",0,Z299),"0")+IFERROR(IF(Z300="",0,Z300),"0")+IFERROR(IF(Z301="",0,Z301),"0")+IFERROR(IF(Z302="",0,Z302),"0")+IFERROR(IF(Z303="",0,Z303),"0")</f>
        <v>4.2325400000000002</v>
      </c>
      <c r="AA304" s="558"/>
      <c r="AB304" s="558"/>
      <c r="AC304" s="558"/>
    </row>
    <row r="305" spans="1:68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2400</v>
      </c>
      <c r="Y305" s="557">
        <f>IFERROR(SUM(Y298:Y303),"0")</f>
        <v>2408.4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400</v>
      </c>
      <c r="Y307" s="556">
        <f t="shared" ref="Y307:Y312" si="36">IFERROR(IF(X307="",0,CEILING((X307/$H307),1)*$H307),"")</f>
        <v>403.20000000000005</v>
      </c>
      <c r="Z307" s="36">
        <f>IFERROR(IF(Y307=0,"",ROUNDUP(Y307/H307,0)*0.00902),"")</f>
        <v>0.86592000000000002</v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423.8095238095238</v>
      </c>
      <c r="BN307" s="64">
        <f t="shared" ref="BN307:BN312" si="38">IFERROR(Y307*I307/H307,"0")</f>
        <v>427.20000000000005</v>
      </c>
      <c r="BO307" s="64">
        <f t="shared" ref="BO307:BO312" si="39">IFERROR(1/J307*(X307/H307),"0")</f>
        <v>0.72150072150072153</v>
      </c>
      <c r="BP307" s="64">
        <f t="shared" ref="BP307:BP312" si="40">IFERROR(1/J307*(Y307/H307),"0")</f>
        <v>0.72727272727272729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400</v>
      </c>
      <c r="Y308" s="556">
        <f t="shared" si="36"/>
        <v>403.20000000000005</v>
      </c>
      <c r="Z308" s="36">
        <f>IFERROR(IF(Y308=0,"",ROUNDUP(Y308/H308,0)*0.00902),"")</f>
        <v>0.86592000000000002</v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423.8095238095238</v>
      </c>
      <c r="BN308" s="64">
        <f t="shared" si="38"/>
        <v>427.20000000000005</v>
      </c>
      <c r="BO308" s="64">
        <f t="shared" si="39"/>
        <v>0.72150072150072153</v>
      </c>
      <c r="BP308" s="64">
        <f t="shared" si="40"/>
        <v>0.72727272727272729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42</v>
      </c>
      <c r="Y310" s="556">
        <f t="shared" si="36"/>
        <v>42</v>
      </c>
      <c r="Z310" s="36">
        <f>IFERROR(IF(Y310=0,"",ROUNDUP(Y310/H310,0)*0.00502),"")</f>
        <v>0.1004</v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44.599999999999994</v>
      </c>
      <c r="BN310" s="64">
        <f t="shared" si="38"/>
        <v>44.599999999999994</v>
      </c>
      <c r="BO310" s="64">
        <f t="shared" si="39"/>
        <v>8.5470085470085472E-2</v>
      </c>
      <c r="BP310" s="64">
        <f t="shared" si="40"/>
        <v>8.5470085470085472E-2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210.47619047619048</v>
      </c>
      <c r="Y313" s="557">
        <f>IFERROR(Y307/H307,"0")+IFERROR(Y308/H308,"0")+IFERROR(Y309/H309,"0")+IFERROR(Y310/H310,"0")+IFERROR(Y311/H311,"0")+IFERROR(Y312/H312,"0")</f>
        <v>212</v>
      </c>
      <c r="Z313" s="557">
        <f>IFERROR(IF(Z307="",0,Z307),"0")+IFERROR(IF(Z308="",0,Z308),"0")+IFERROR(IF(Z309="",0,Z309),"0")+IFERROR(IF(Z310="",0,Z310),"0")+IFERROR(IF(Z311="",0,Z311),"0")+IFERROR(IF(Z312="",0,Z312),"0")</f>
        <v>1.8322400000000001</v>
      </c>
      <c r="AA313" s="558"/>
      <c r="AB313" s="558"/>
      <c r="AC313" s="558"/>
    </row>
    <row r="314" spans="1:68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842</v>
      </c>
      <c r="Y314" s="557">
        <f>IFERROR(SUM(Y307:Y312),"0")</f>
        <v>848.40000000000009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hidden="1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hidden="1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hidden="1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300</v>
      </c>
      <c r="Y324" s="556">
        <f>IFERROR(IF(X324="",0,CEILING((X324/$H324),1)*$H324),"")</f>
        <v>304.2</v>
      </c>
      <c r="Z324" s="36">
        <f>IFERROR(IF(Y324=0,"",ROUNDUP(Y324/H324,0)*0.01898),"")</f>
        <v>0.74021999999999999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319.00000000000006</v>
      </c>
      <c r="BN324" s="64">
        <f>IFERROR(Y324*I324/H324,"0")</f>
        <v>323.46600000000001</v>
      </c>
      <c r="BO324" s="64">
        <f>IFERROR(1/J324*(X324/H324),"0")</f>
        <v>0.60096153846153844</v>
      </c>
      <c r="BP324" s="64">
        <f>IFERROR(1/J324*(Y324/H324),"0")</f>
        <v>0.609375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70</v>
      </c>
      <c r="Y325" s="556">
        <f>IFERROR(IF(X325="",0,CEILING((X325/$H325),1)*$H325),"")</f>
        <v>75.600000000000009</v>
      </c>
      <c r="Z325" s="36">
        <f>IFERROR(IF(Y325=0,"",ROUNDUP(Y325/H325,0)*0.01898),"")</f>
        <v>0.17082</v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74.116666666666674</v>
      </c>
      <c r="BN325" s="64">
        <f>IFERROR(Y325*I325/H325,"0")</f>
        <v>80.046000000000006</v>
      </c>
      <c r="BO325" s="64">
        <f>IFERROR(1/J325*(X325/H325),"0")</f>
        <v>0.13020833333333331</v>
      </c>
      <c r="BP325" s="64">
        <f>IFERROR(1/J325*(Y325/H325),"0")</f>
        <v>0.140625</v>
      </c>
    </row>
    <row r="326" spans="1:68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46.794871794871796</v>
      </c>
      <c r="Y326" s="557">
        <f>IFERROR(Y323/H323,"0")+IFERROR(Y324/H324,"0")+IFERROR(Y325/H325,"0")</f>
        <v>48</v>
      </c>
      <c r="Z326" s="557">
        <f>IFERROR(IF(Z323="",0,Z323),"0")+IFERROR(IF(Z324="",0,Z324),"0")+IFERROR(IF(Z325="",0,Z325),"0")</f>
        <v>0.91103999999999996</v>
      </c>
      <c r="AA326" s="558"/>
      <c r="AB326" s="558"/>
      <c r="AC326" s="558"/>
    </row>
    <row r="327" spans="1:68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370</v>
      </c>
      <c r="Y327" s="557">
        <f>IFERROR(SUM(Y323:Y325),"0")</f>
        <v>379.8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hidden="1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hidden="1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hidden="1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70</v>
      </c>
      <c r="Y344" s="556">
        <f>IFERROR(IF(X344="",0,CEILING((X344/$H344),1)*$H344),"")</f>
        <v>71.400000000000006</v>
      </c>
      <c r="Z344" s="36">
        <f>IFERROR(IF(Y344=0,"",ROUNDUP(Y344/H344,0)*0.00651),"")</f>
        <v>0.22134000000000001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78.399999999999991</v>
      </c>
      <c r="BN344" s="64">
        <f>IFERROR(Y344*I344/H344,"0")</f>
        <v>79.968000000000004</v>
      </c>
      <c r="BO344" s="64">
        <f>IFERROR(1/J344*(X344/H344),"0")</f>
        <v>0.18315018315018314</v>
      </c>
      <c r="BP344" s="64">
        <f>IFERROR(1/J344*(Y344/H344),"0")</f>
        <v>0.18681318681318682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33.333333333333329</v>
      </c>
      <c r="Y346" s="557">
        <f>IFERROR(Y343/H343,"0")+IFERROR(Y344/H344,"0")+IFERROR(Y345/H345,"0")</f>
        <v>34</v>
      </c>
      <c r="Z346" s="557">
        <f>IFERROR(IF(Z343="",0,Z343),"0")+IFERROR(IF(Z344="",0,Z344),"0")+IFERROR(IF(Z345="",0,Z345),"0")</f>
        <v>0.22134000000000001</v>
      </c>
      <c r="AA346" s="558"/>
      <c r="AB346" s="558"/>
      <c r="AC346" s="558"/>
    </row>
    <row r="347" spans="1:68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70</v>
      </c>
      <c r="Y347" s="557">
        <f>IFERROR(SUM(Y343:Y345),"0")</f>
        <v>71.400000000000006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hidden="1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0</v>
      </c>
      <c r="Y351" s="556">
        <f t="shared" ref="Y351:Y357" si="41">IFERROR(IF(X351="",0,CEILING((X351/$H351),1)*$H351),"")</f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0</v>
      </c>
      <c r="BN351" s="64">
        <f t="shared" ref="BN351:BN357" si="43">IFERROR(Y351*I351/H351,"0")</f>
        <v>0</v>
      </c>
      <c r="BO351" s="64">
        <f t="shared" ref="BO351:BO357" si="44">IFERROR(1/J351*(X351/H351),"0")</f>
        <v>0</v>
      </c>
      <c r="BP351" s="64">
        <f t="shared" ref="BP351:BP357" si="45">IFERROR(1/J351*(Y351/H351),"0")</f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2500</v>
      </c>
      <c r="Y352" s="556">
        <f t="shared" si="41"/>
        <v>2505</v>
      </c>
      <c r="Z352" s="36">
        <f>IFERROR(IF(Y352=0,"",ROUNDUP(Y352/H352,0)*0.02175),"")</f>
        <v>3.6322499999999995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2578.3333333333335</v>
      </c>
      <c r="BN352" s="64">
        <f t="shared" si="43"/>
        <v>2583.4899999999998</v>
      </c>
      <c r="BO352" s="64">
        <f t="shared" si="44"/>
        <v>3.4722222222222219</v>
      </c>
      <c r="BP352" s="64">
        <f t="shared" si="45"/>
        <v>3.4791666666666665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166.66666666666666</v>
      </c>
      <c r="Y358" s="557">
        <f>IFERROR(Y351/H351,"0")+IFERROR(Y352/H352,"0")+IFERROR(Y353/H353,"0")+IFERROR(Y354/H354,"0")+IFERROR(Y355/H355,"0")+IFERROR(Y356/H356,"0")+IFERROR(Y357/H357,"0")</f>
        <v>167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3.6322499999999995</v>
      </c>
      <c r="AA358" s="558"/>
      <c r="AB358" s="558"/>
      <c r="AC358" s="558"/>
    </row>
    <row r="359" spans="1:68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2500</v>
      </c>
      <c r="Y359" s="557">
        <f>IFERROR(SUM(Y351:Y357),"0")</f>
        <v>2505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2970</v>
      </c>
      <c r="Y361" s="556">
        <f>IFERROR(IF(X361="",0,CEILING((X361/$H361),1)*$H361),"")</f>
        <v>2970</v>
      </c>
      <c r="Z361" s="36">
        <f>IFERROR(IF(Y361=0,"",ROUNDUP(Y361/H361,0)*0.02175),"")</f>
        <v>4.3064999999999998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3063.06</v>
      </c>
      <c r="BN361" s="64">
        <f>IFERROR(Y361*I361/H361,"0")</f>
        <v>3063.06</v>
      </c>
      <c r="BO361" s="64">
        <f>IFERROR(1/J361*(X361/H361),"0")</f>
        <v>4.125</v>
      </c>
      <c r="BP361" s="64">
        <f>IFERROR(1/J361*(Y361/H361),"0")</f>
        <v>4.125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198</v>
      </c>
      <c r="Y363" s="557">
        <f>IFERROR(Y361/H361,"0")+IFERROR(Y362/H362,"0")</f>
        <v>198</v>
      </c>
      <c r="Z363" s="557">
        <f>IFERROR(IF(Z361="",0,Z361),"0")+IFERROR(IF(Z362="",0,Z362),"0")</f>
        <v>4.3064999999999998</v>
      </c>
      <c r="AA363" s="558"/>
      <c r="AB363" s="558"/>
      <c r="AC363" s="558"/>
    </row>
    <row r="364" spans="1:68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2970</v>
      </c>
      <c r="Y364" s="557">
        <f>IFERROR(SUM(Y361:Y362),"0")</f>
        <v>2970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300</v>
      </c>
      <c r="Y366" s="556">
        <f>IFERROR(IF(X366="",0,CEILING((X366/$H366),1)*$H366),"")</f>
        <v>306</v>
      </c>
      <c r="Z366" s="36">
        <f>IFERROR(IF(Y366=0,"",ROUNDUP(Y366/H366,0)*0.01898),"")</f>
        <v>0.64532</v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316.66666666666669</v>
      </c>
      <c r="BN366" s="64">
        <f>IFERROR(Y366*I366/H366,"0")</f>
        <v>323</v>
      </c>
      <c r="BO366" s="64">
        <f>IFERROR(1/J366*(X366/H366),"0")</f>
        <v>0.52083333333333337</v>
      </c>
      <c r="BP366" s="64">
        <f>IFERROR(1/J366*(Y366/H366),"0")</f>
        <v>0.53125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33.333333333333336</v>
      </c>
      <c r="Y368" s="557">
        <f>IFERROR(Y366/H366,"0")+IFERROR(Y367/H367,"0")</f>
        <v>34</v>
      </c>
      <c r="Z368" s="557">
        <f>IFERROR(IF(Z366="",0,Z366),"0")+IFERROR(IF(Z367="",0,Z367),"0")</f>
        <v>0.64532</v>
      </c>
      <c r="AA368" s="558"/>
      <c r="AB368" s="558"/>
      <c r="AC368" s="558"/>
    </row>
    <row r="369" spans="1:68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300</v>
      </c>
      <c r="Y369" s="557">
        <f>IFERROR(SUM(Y366:Y367),"0")</f>
        <v>306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hidden="1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hidden="1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hidden="1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hidden="1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hidden="1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hidden="1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hidden="1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hidden="1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0</v>
      </c>
      <c r="Y430" s="556">
        <f t="shared" ref="Y430:Y441" si="52">IFERROR(IF(X430="",0,CEILING((X430/$H430),1)*$H430),"")</f>
        <v>0</v>
      </c>
      <c r="Z430" s="36" t="str">
        <f t="shared" ref="Z430:Z436" si="53">IFERROR(IF(Y430=0,"",ROUNDUP(Y430/H430,0)*0.01196),"")</f>
        <v/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0</v>
      </c>
      <c r="BN430" s="64">
        <f t="shared" ref="BN430:BN441" si="55">IFERROR(Y430*I430/H430,"0")</f>
        <v>0</v>
      </c>
      <c r="BO430" s="64">
        <f t="shared" ref="BO430:BO441" si="56">IFERROR(1/J430*(X430/H430),"0")</f>
        <v>0</v>
      </c>
      <c r="BP430" s="64">
        <f t="shared" ref="BP430:BP441" si="57">IFERROR(1/J430*(Y430/H430),"0")</f>
        <v>0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550</v>
      </c>
      <c r="Y431" s="556">
        <f t="shared" si="52"/>
        <v>554.4</v>
      </c>
      <c r="Z431" s="36">
        <f t="shared" si="53"/>
        <v>1.2558</v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586.45833333333326</v>
      </c>
      <c r="BN431" s="64">
        <f t="shared" si="55"/>
        <v>591.15</v>
      </c>
      <c r="BO431" s="64">
        <f t="shared" si="56"/>
        <v>1.0016025641025641</v>
      </c>
      <c r="BP431" s="64">
        <f t="shared" si="57"/>
        <v>1.0096153846153846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0</v>
      </c>
      <c r="Y433" s="556">
        <f t="shared" si="52"/>
        <v>0</v>
      </c>
      <c r="Z433" s="36" t="str">
        <f t="shared" si="53"/>
        <v/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hidden="1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0</v>
      </c>
      <c r="Y434" s="556">
        <f t="shared" si="52"/>
        <v>0</v>
      </c>
      <c r="Z434" s="36" t="str">
        <f t="shared" si="53"/>
        <v/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550</v>
      </c>
      <c r="Y436" s="556">
        <f t="shared" si="52"/>
        <v>554.4</v>
      </c>
      <c r="Z436" s="36">
        <f t="shared" si="53"/>
        <v>1.2558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586.45833333333326</v>
      </c>
      <c r="BN436" s="64">
        <f t="shared" si="55"/>
        <v>591.15</v>
      </c>
      <c r="BO436" s="64">
        <f t="shared" si="56"/>
        <v>1.0016025641025641</v>
      </c>
      <c r="BP436" s="64">
        <f t="shared" si="57"/>
        <v>1.0096153846153846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208.33333333333331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209.99999999999997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2.5116000000000001</v>
      </c>
      <c r="AA442" s="558"/>
      <c r="AB442" s="558"/>
      <c r="AC442" s="558"/>
    </row>
    <row r="443" spans="1:68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1100</v>
      </c>
      <c r="Y443" s="557">
        <f>IFERROR(SUM(Y430:Y441),"0")</f>
        <v>1108.8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hidden="1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0</v>
      </c>
      <c r="Y445" s="556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0</v>
      </c>
      <c r="Y448" s="557">
        <f>IFERROR(Y445/H445,"0")+IFERROR(Y446/H446,"0")+IFERROR(Y447/H447,"0")</f>
        <v>0</v>
      </c>
      <c r="Z448" s="557">
        <f>IFERROR(IF(Z445="",0,Z445),"0")+IFERROR(IF(Z446="",0,Z446),"0")+IFERROR(IF(Z447="",0,Z447),"0")</f>
        <v>0</v>
      </c>
      <c r="AA448" s="558"/>
      <c r="AB448" s="558"/>
      <c r="AC448" s="558"/>
    </row>
    <row r="449" spans="1:68" hidden="1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0</v>
      </c>
      <c r="Y449" s="557">
        <f>IFERROR(SUM(Y445:Y447),"0")</f>
        <v>0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150</v>
      </c>
      <c r="Y451" s="556">
        <f t="shared" ref="Y451:Y456" si="58">IFERROR(IF(X451="",0,CEILING((X451/$H451),1)*$H451),"")</f>
        <v>153.12</v>
      </c>
      <c r="Z451" s="36">
        <f>IFERROR(IF(Y451=0,"",ROUNDUP(Y451/H451,0)*0.01196),"")</f>
        <v>0.34683999999999998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159.94318181818181</v>
      </c>
      <c r="BN451" s="64">
        <f t="shared" ref="BN451:BN456" si="60">IFERROR(Y451*I451/H451,"0")</f>
        <v>163.26999999999998</v>
      </c>
      <c r="BO451" s="64">
        <f t="shared" ref="BO451:BO456" si="61">IFERROR(1/J451*(X451/H451),"0")</f>
        <v>0.27316433566433568</v>
      </c>
      <c r="BP451" s="64">
        <f t="shared" ref="BP451:BP456" si="62">IFERROR(1/J451*(Y451/H451),"0")</f>
        <v>0.27884615384615385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200</v>
      </c>
      <c r="Y453" s="556">
        <f t="shared" si="58"/>
        <v>200.64000000000001</v>
      </c>
      <c r="Z453" s="36">
        <f>IFERROR(IF(Y453=0,"",ROUNDUP(Y453/H453,0)*0.01196),"")</f>
        <v>0.45448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213.25757575757575</v>
      </c>
      <c r="BN453" s="64">
        <f t="shared" si="60"/>
        <v>213.94</v>
      </c>
      <c r="BO453" s="64">
        <f t="shared" si="61"/>
        <v>0.36421911421911418</v>
      </c>
      <c r="BP453" s="64">
        <f t="shared" si="62"/>
        <v>0.36538461538461542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66.287878787878782</v>
      </c>
      <c r="Y457" s="557">
        <f>IFERROR(Y451/H451,"0")+IFERROR(Y452/H452,"0")+IFERROR(Y453/H453,"0")+IFERROR(Y454/H454,"0")+IFERROR(Y455/H455,"0")+IFERROR(Y456/H456,"0")</f>
        <v>67</v>
      </c>
      <c r="Z457" s="557">
        <f>IFERROR(IF(Z451="",0,Z451),"0")+IFERROR(IF(Z452="",0,Z452),"0")+IFERROR(IF(Z453="",0,Z453),"0")+IFERROR(IF(Z454="",0,Z454),"0")+IFERROR(IF(Z455="",0,Z455),"0")+IFERROR(IF(Z456="",0,Z456),"0")</f>
        <v>0.80132000000000003</v>
      </c>
      <c r="AA457" s="558"/>
      <c r="AB457" s="558"/>
      <c r="AC457" s="558"/>
    </row>
    <row r="458" spans="1:68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350</v>
      </c>
      <c r="Y458" s="557">
        <f>IFERROR(SUM(Y451:Y456),"0")</f>
        <v>353.76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hidden="1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600</v>
      </c>
      <c r="Y478" s="556">
        <f>IFERROR(IF(X478="",0,CEILING((X478/$H478),1)*$H478),"")</f>
        <v>600.6</v>
      </c>
      <c r="Z478" s="36">
        <f>IFERROR(IF(Y478=0,"",ROUNDUP(Y478/H478,0)*0.00902),"")</f>
        <v>1.28986</v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635.71428571428567</v>
      </c>
      <c r="BN478" s="64">
        <f>IFERROR(Y478*I478/H478,"0")</f>
        <v>636.35</v>
      </c>
      <c r="BO478" s="64">
        <f>IFERROR(1/J478*(X478/H478),"0")</f>
        <v>1.0822510822510822</v>
      </c>
      <c r="BP478" s="64">
        <f>IFERROR(1/J478*(Y478/H478),"0")</f>
        <v>1.0833333333333333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142.85714285714286</v>
      </c>
      <c r="Y480" s="557">
        <f>IFERROR(Y478/H478,"0")+IFERROR(Y479/H479,"0")</f>
        <v>143</v>
      </c>
      <c r="Z480" s="557">
        <f>IFERROR(IF(Z478="",0,Z478),"0")+IFERROR(IF(Z479="",0,Z479),"0")</f>
        <v>1.28986</v>
      </c>
      <c r="AA480" s="558"/>
      <c r="AB480" s="558"/>
      <c r="AC480" s="558"/>
    </row>
    <row r="481" spans="1:68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600</v>
      </c>
      <c r="Y481" s="557">
        <f>IFERROR(SUM(Y478:Y479),"0")</f>
        <v>600.6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18222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18299.759999999995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18997.817415424081</v>
      </c>
      <c r="Y497" s="557">
        <f>IFERROR(SUM(BN22:BN493),"0")</f>
        <v>19079.566000000006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29</v>
      </c>
      <c r="Y498" s="38">
        <f>ROUNDUP(SUM(BP22:BP493),0)</f>
        <v>29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19722.817415424081</v>
      </c>
      <c r="Y499" s="557">
        <f>GrossWeightTotalR+PalletQtyTotalR*25</f>
        <v>19804.566000000006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2251.2370715704046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2262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33.067130000000006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120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5166</v>
      </c>
      <c r="E506" s="46">
        <f>IFERROR(Y85*1,"0")+IFERROR(Y86*1,"0")+IFERROR(Y87*1,"0")+IFERROR(Y88*1,"0")+IFERROR(Y92*1,"0")+IFERROR(Y93*1,"0")+IFERROR(Y94*1,"0")+IFERROR(Y95*1,"0")</f>
        <v>0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502.2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153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50.400000000000006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453.6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302.40000000000003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3636.6</v>
      </c>
      <c r="R506" s="46">
        <f>IFERROR(Y343*1,"0")+IFERROR(Y344*1,"0")+IFERROR(Y345*1,"0")</f>
        <v>71.400000000000006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5781</v>
      </c>
      <c r="T506" s="46">
        <f>IFERROR(Y376*1,"0")+IFERROR(Y377*1,"0")+IFERROR(Y381*1,"0")+IFERROR(Y382*1,"0")+IFERROR(Y386*1,"0")+IFERROR(Y387*1,"0")+IFERROR(Y388*1,"0")</f>
        <v>0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1462.5600000000002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600.6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100,00"/>
        <filter val="1 300,00"/>
        <filter val="1 570,00"/>
        <filter val="100,00"/>
        <filter val="11,90"/>
        <filter val="120,00"/>
        <filter val="142,86"/>
        <filter val="150,00"/>
        <filter val="16,67"/>
        <filter val="166,67"/>
        <filter val="18 222,00"/>
        <filter val="18 997,82"/>
        <filter val="19 722,82"/>
        <filter val="198,00"/>
        <filter val="2 251,24"/>
        <filter val="2 400,00"/>
        <filter val="2 500,00"/>
        <filter val="2 970,00"/>
        <filter val="200,00"/>
        <filter val="208,33"/>
        <filter val="210,48"/>
        <filter val="220,37"/>
        <filter val="222,22"/>
        <filter val="27,78"/>
        <filter val="270,00"/>
        <filter val="29"/>
        <filter val="3 580,00"/>
        <filter val="30,00"/>
        <filter val="300,00"/>
        <filter val="33,33"/>
        <filter val="350,00"/>
        <filter val="370,00"/>
        <filter val="400,00"/>
        <filter val="42,00"/>
        <filter val="450,00"/>
        <filter val="46,79"/>
        <filter val="471,15"/>
        <filter val="50,00"/>
        <filter val="500,00"/>
        <filter val="550,00"/>
        <filter val="600,00"/>
        <filter val="61,73"/>
        <filter val="66,29"/>
        <filter val="70,00"/>
        <filter val="83,33"/>
        <filter val="842,00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2026-01-06T10:06:09Z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