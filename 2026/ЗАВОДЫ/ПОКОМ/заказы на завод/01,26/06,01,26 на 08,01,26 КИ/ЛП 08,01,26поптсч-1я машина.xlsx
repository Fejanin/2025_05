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78A5CFB-AA23-4874-B652-FFD88E040C6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Y480" i="1" s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Y368" i="1" s="1"/>
  <c r="P366" i="1"/>
  <c r="X364" i="1"/>
  <c r="X363" i="1"/>
  <c r="BO362" i="1"/>
  <c r="BM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BP287" i="1" s="1"/>
  <c r="P287" i="1"/>
  <c r="X284" i="1"/>
  <c r="X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O275" i="1"/>
  <c r="BM275" i="1"/>
  <c r="Y275" i="1"/>
  <c r="BP275" i="1" s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BP254" i="1" s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Y230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N216" i="1"/>
  <c r="BM216" i="1"/>
  <c r="Z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Y192" i="1" s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O184" i="1"/>
  <c r="BM184" i="1"/>
  <c r="Y184" i="1"/>
  <c r="Y188" i="1" s="1"/>
  <c r="P184" i="1"/>
  <c r="X182" i="1"/>
  <c r="X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Y154" i="1" s="1"/>
  <c r="P148" i="1"/>
  <c r="X146" i="1"/>
  <c r="X145" i="1"/>
  <c r="BO144" i="1"/>
  <c r="BM144" i="1"/>
  <c r="Y144" i="1"/>
  <c r="Y146" i="1" s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BP128" i="1" s="1"/>
  <c r="P128" i="1"/>
  <c r="BO127" i="1"/>
  <c r="BM127" i="1"/>
  <c r="Y127" i="1"/>
  <c r="G506" i="1" s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O92" i="1"/>
  <c r="BM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BN72" i="1" s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X500" i="1" s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P111" i="1" l="1"/>
  <c r="BN111" i="1"/>
  <c r="Z111" i="1"/>
  <c r="BP151" i="1"/>
  <c r="BN151" i="1"/>
  <c r="Z151" i="1"/>
  <c r="BP153" i="1"/>
  <c r="BN153" i="1"/>
  <c r="Z153" i="1"/>
  <c r="BP196" i="1"/>
  <c r="BN196" i="1"/>
  <c r="Z196" i="1"/>
  <c r="BP221" i="1"/>
  <c r="BN221" i="1"/>
  <c r="Z221" i="1"/>
  <c r="BP256" i="1"/>
  <c r="BN256" i="1"/>
  <c r="Z256" i="1"/>
  <c r="BP293" i="1"/>
  <c r="BN293" i="1"/>
  <c r="Z293" i="1"/>
  <c r="BP318" i="1"/>
  <c r="BN318" i="1"/>
  <c r="Z318" i="1"/>
  <c r="BP353" i="1"/>
  <c r="BN353" i="1"/>
  <c r="Z353" i="1"/>
  <c r="BP396" i="1"/>
  <c r="BN396" i="1"/>
  <c r="Z396" i="1"/>
  <c r="BP433" i="1"/>
  <c r="BN433" i="1"/>
  <c r="Z433" i="1"/>
  <c r="BP453" i="1"/>
  <c r="BN453" i="1"/>
  <c r="Z453" i="1"/>
  <c r="B506" i="1"/>
  <c r="X498" i="1"/>
  <c r="X496" i="1"/>
  <c r="Z31" i="1"/>
  <c r="BN31" i="1"/>
  <c r="Z54" i="1"/>
  <c r="BN54" i="1"/>
  <c r="Z72" i="1"/>
  <c r="Z73" i="1"/>
  <c r="BN73" i="1"/>
  <c r="BP79" i="1"/>
  <c r="BN79" i="1"/>
  <c r="BP94" i="1"/>
  <c r="BN94" i="1"/>
  <c r="Z94" i="1"/>
  <c r="BP132" i="1"/>
  <c r="BN132" i="1"/>
  <c r="Z132" i="1"/>
  <c r="BP175" i="1"/>
  <c r="BN175" i="1"/>
  <c r="Z175" i="1"/>
  <c r="BP210" i="1"/>
  <c r="BN210" i="1"/>
  <c r="Z210" i="1"/>
  <c r="BP238" i="1"/>
  <c r="BN238" i="1"/>
  <c r="Z238" i="1"/>
  <c r="BP273" i="1"/>
  <c r="BN273" i="1"/>
  <c r="Z273" i="1"/>
  <c r="BP308" i="1"/>
  <c r="BN308" i="1"/>
  <c r="Z308" i="1"/>
  <c r="BP336" i="1"/>
  <c r="BN336" i="1"/>
  <c r="Z336" i="1"/>
  <c r="BP367" i="1"/>
  <c r="BN367" i="1"/>
  <c r="Z367" i="1"/>
  <c r="Y373" i="1"/>
  <c r="Y372" i="1"/>
  <c r="BP371" i="1"/>
  <c r="BN371" i="1"/>
  <c r="Z371" i="1"/>
  <c r="Z372" i="1" s="1"/>
  <c r="BP376" i="1"/>
  <c r="BN376" i="1"/>
  <c r="Z376" i="1"/>
  <c r="BP406" i="1"/>
  <c r="BN406" i="1"/>
  <c r="Z406" i="1"/>
  <c r="BP441" i="1"/>
  <c r="BN441" i="1"/>
  <c r="Z441" i="1"/>
  <c r="BP473" i="1"/>
  <c r="BN473" i="1"/>
  <c r="Z473" i="1"/>
  <c r="Y119" i="1"/>
  <c r="Y135" i="1"/>
  <c r="Q506" i="1"/>
  <c r="Y346" i="1"/>
  <c r="X497" i="1"/>
  <c r="Z23" i="1"/>
  <c r="BN23" i="1"/>
  <c r="Y32" i="1"/>
  <c r="Z29" i="1"/>
  <c r="BN29" i="1"/>
  <c r="Z35" i="1"/>
  <c r="Z36" i="1" s="1"/>
  <c r="BN35" i="1"/>
  <c r="BP35" i="1"/>
  <c r="Y36" i="1"/>
  <c r="Z41" i="1"/>
  <c r="BN41" i="1"/>
  <c r="Y44" i="1"/>
  <c r="Z47" i="1"/>
  <c r="Z48" i="1" s="1"/>
  <c r="BN47" i="1"/>
  <c r="BP47" i="1"/>
  <c r="Y48" i="1"/>
  <c r="Z52" i="1"/>
  <c r="BN52" i="1"/>
  <c r="Z56" i="1"/>
  <c r="BN56" i="1"/>
  <c r="Y65" i="1"/>
  <c r="Z68" i="1"/>
  <c r="BN68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BP115" i="1"/>
  <c r="Y120" i="1"/>
  <c r="Z128" i="1"/>
  <c r="BN128" i="1"/>
  <c r="Y134" i="1"/>
  <c r="Z138" i="1"/>
  <c r="BN138" i="1"/>
  <c r="Z149" i="1"/>
  <c r="BN149" i="1"/>
  <c r="BP173" i="1"/>
  <c r="BN173" i="1"/>
  <c r="Z173" i="1"/>
  <c r="Y159" i="1"/>
  <c r="Y158" i="1"/>
  <c r="BP157" i="1"/>
  <c r="BN157" i="1"/>
  <c r="Z157" i="1"/>
  <c r="Z158" i="1" s="1"/>
  <c r="Y164" i="1"/>
  <c r="BP163" i="1"/>
  <c r="BN163" i="1"/>
  <c r="Z163" i="1"/>
  <c r="Z164" i="1" s="1"/>
  <c r="BP169" i="1"/>
  <c r="BN169" i="1"/>
  <c r="Z169" i="1"/>
  <c r="Y182" i="1"/>
  <c r="Z177" i="1"/>
  <c r="BN177" i="1"/>
  <c r="Z185" i="1"/>
  <c r="BN185" i="1"/>
  <c r="J506" i="1"/>
  <c r="Z200" i="1"/>
  <c r="BN200" i="1"/>
  <c r="BP200" i="1"/>
  <c r="Y203" i="1"/>
  <c r="Y213" i="1"/>
  <c r="Z208" i="1"/>
  <c r="BN208" i="1"/>
  <c r="Z212" i="1"/>
  <c r="BN212" i="1"/>
  <c r="Z219" i="1"/>
  <c r="BN219" i="1"/>
  <c r="Z223" i="1"/>
  <c r="BN223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Z259" i="1" s="1"/>
  <c r="BN254" i="1"/>
  <c r="Z258" i="1"/>
  <c r="BN258" i="1"/>
  <c r="Z265" i="1"/>
  <c r="BN265" i="1"/>
  <c r="Z275" i="1"/>
  <c r="BN275" i="1"/>
  <c r="Y284" i="1"/>
  <c r="Z282" i="1"/>
  <c r="BN282" i="1"/>
  <c r="Y283" i="1"/>
  <c r="Z287" i="1"/>
  <c r="BN287" i="1"/>
  <c r="Z298" i="1"/>
  <c r="BN298" i="1"/>
  <c r="BP298" i="1"/>
  <c r="Z302" i="1"/>
  <c r="BN302" i="1"/>
  <c r="BP316" i="1"/>
  <c r="BN316" i="1"/>
  <c r="Z316" i="1"/>
  <c r="BP332" i="1"/>
  <c r="BN332" i="1"/>
  <c r="Z332" i="1"/>
  <c r="BP345" i="1"/>
  <c r="BN345" i="1"/>
  <c r="Z345" i="1"/>
  <c r="BP351" i="1"/>
  <c r="BN351" i="1"/>
  <c r="Z351" i="1"/>
  <c r="Y363" i="1"/>
  <c r="BP361" i="1"/>
  <c r="BN361" i="1"/>
  <c r="Z361" i="1"/>
  <c r="BP388" i="1"/>
  <c r="BN388" i="1"/>
  <c r="Z388" i="1"/>
  <c r="BP394" i="1"/>
  <c r="BN394" i="1"/>
  <c r="Z394" i="1"/>
  <c r="BP402" i="1"/>
  <c r="BN402" i="1"/>
  <c r="Z402" i="1"/>
  <c r="Y425" i="1"/>
  <c r="W506" i="1"/>
  <c r="BP424" i="1"/>
  <c r="BN424" i="1"/>
  <c r="Z424" i="1"/>
  <c r="Z425" i="1" s="1"/>
  <c r="BP435" i="1"/>
  <c r="BN435" i="1"/>
  <c r="Z435" i="1"/>
  <c r="BP445" i="1"/>
  <c r="BN445" i="1"/>
  <c r="Z445" i="1"/>
  <c r="BP455" i="1"/>
  <c r="BN455" i="1"/>
  <c r="Z455" i="1"/>
  <c r="BP479" i="1"/>
  <c r="BN479" i="1"/>
  <c r="Z479" i="1"/>
  <c r="Y485" i="1"/>
  <c r="Y484" i="1"/>
  <c r="BP483" i="1"/>
  <c r="BN483" i="1"/>
  <c r="Z483" i="1"/>
  <c r="Z484" i="1" s="1"/>
  <c r="BP487" i="1"/>
  <c r="BN487" i="1"/>
  <c r="Z487" i="1"/>
  <c r="BP310" i="1"/>
  <c r="BN310" i="1"/>
  <c r="Z310" i="1"/>
  <c r="BP324" i="1"/>
  <c r="BN324" i="1"/>
  <c r="Z324" i="1"/>
  <c r="BP338" i="1"/>
  <c r="BN338" i="1"/>
  <c r="Z338" i="1"/>
  <c r="BP355" i="1"/>
  <c r="BN355" i="1"/>
  <c r="Z355" i="1"/>
  <c r="BP382" i="1"/>
  <c r="BN382" i="1"/>
  <c r="Z382" i="1"/>
  <c r="BP398" i="1"/>
  <c r="BN398" i="1"/>
  <c r="Z398" i="1"/>
  <c r="BP417" i="1"/>
  <c r="BN417" i="1"/>
  <c r="Z417" i="1"/>
  <c r="Y426" i="1"/>
  <c r="BP431" i="1"/>
  <c r="BN431" i="1"/>
  <c r="Z431" i="1"/>
  <c r="BP439" i="1"/>
  <c r="BN439" i="1"/>
  <c r="Z439" i="1"/>
  <c r="Y457" i="1"/>
  <c r="BP451" i="1"/>
  <c r="BN451" i="1"/>
  <c r="Z451" i="1"/>
  <c r="BP469" i="1"/>
  <c r="BN469" i="1"/>
  <c r="Z469" i="1"/>
  <c r="O506" i="1"/>
  <c r="Y390" i="1"/>
  <c r="Y389" i="1"/>
  <c r="Y475" i="1"/>
  <c r="F9" i="1"/>
  <c r="J9" i="1"/>
  <c r="F10" i="1"/>
  <c r="Z22" i="1"/>
  <c r="BN22" i="1"/>
  <c r="BP22" i="1"/>
  <c r="Y25" i="1"/>
  <c r="Z28" i="1"/>
  <c r="BN28" i="1"/>
  <c r="Z30" i="1"/>
  <c r="BN30" i="1"/>
  <c r="Y33" i="1"/>
  <c r="C506" i="1"/>
  <c r="Z42" i="1"/>
  <c r="Z44" i="1" s="1"/>
  <c r="BN42" i="1"/>
  <c r="BP42" i="1"/>
  <c r="Y45" i="1"/>
  <c r="D506" i="1"/>
  <c r="Z53" i="1"/>
  <c r="BN53" i="1"/>
  <c r="Z55" i="1"/>
  <c r="BN55" i="1"/>
  <c r="Z57" i="1"/>
  <c r="BN57" i="1"/>
  <c r="Y58" i="1"/>
  <c r="Z61" i="1"/>
  <c r="BN61" i="1"/>
  <c r="BP61" i="1"/>
  <c r="Z63" i="1"/>
  <c r="BN63" i="1"/>
  <c r="Y64" i="1"/>
  <c r="Z67" i="1"/>
  <c r="Z69" i="1" s="1"/>
  <c r="BN67" i="1"/>
  <c r="BP67" i="1"/>
  <c r="Y70" i="1"/>
  <c r="Y77" i="1"/>
  <c r="BP72" i="1"/>
  <c r="Y76" i="1"/>
  <c r="BP80" i="1"/>
  <c r="BN80" i="1"/>
  <c r="Z80" i="1"/>
  <c r="Z81" i="1" s="1"/>
  <c r="Y82" i="1"/>
  <c r="E506" i="1"/>
  <c r="Y90" i="1"/>
  <c r="BP85" i="1"/>
  <c r="BN85" i="1"/>
  <c r="Z85" i="1"/>
  <c r="Y89" i="1"/>
  <c r="BP93" i="1"/>
  <c r="BN93" i="1"/>
  <c r="Z93" i="1"/>
  <c r="BP102" i="1"/>
  <c r="BN102" i="1"/>
  <c r="Z102" i="1"/>
  <c r="H9" i="1"/>
  <c r="Y24" i="1"/>
  <c r="Y59" i="1"/>
  <c r="BP74" i="1"/>
  <c r="BN74" i="1"/>
  <c r="Z74" i="1"/>
  <c r="BP87" i="1"/>
  <c r="BN87" i="1"/>
  <c r="Z87" i="1"/>
  <c r="BP95" i="1"/>
  <c r="BN95" i="1"/>
  <c r="Z95" i="1"/>
  <c r="Y97" i="1"/>
  <c r="F506" i="1"/>
  <c r="Y105" i="1"/>
  <c r="BP100" i="1"/>
  <c r="BN100" i="1"/>
  <c r="Z100" i="1"/>
  <c r="BP104" i="1"/>
  <c r="BN104" i="1"/>
  <c r="Z104" i="1"/>
  <c r="Y106" i="1"/>
  <c r="Y112" i="1"/>
  <c r="Y113" i="1"/>
  <c r="BP108" i="1"/>
  <c r="BN108" i="1"/>
  <c r="Z108" i="1"/>
  <c r="Z110" i="1"/>
  <c r="BN110" i="1"/>
  <c r="Z116" i="1"/>
  <c r="BN116" i="1"/>
  <c r="BP116" i="1"/>
  <c r="Z118" i="1"/>
  <c r="BN118" i="1"/>
  <c r="Z122" i="1"/>
  <c r="Z123" i="1" s="1"/>
  <c r="BN122" i="1"/>
  <c r="BP122" i="1"/>
  <c r="Y123" i="1"/>
  <c r="Z127" i="1"/>
  <c r="Z129" i="1" s="1"/>
  <c r="BN127" i="1"/>
  <c r="BP127" i="1"/>
  <c r="Y130" i="1"/>
  <c r="Z133" i="1"/>
  <c r="Z134" i="1" s="1"/>
  <c r="BN133" i="1"/>
  <c r="BP133" i="1"/>
  <c r="Z137" i="1"/>
  <c r="BN137" i="1"/>
  <c r="BP137" i="1"/>
  <c r="Y140" i="1"/>
  <c r="H506" i="1"/>
  <c r="Z144" i="1"/>
  <c r="Z145" i="1" s="1"/>
  <c r="BN144" i="1"/>
  <c r="BP144" i="1"/>
  <c r="Y145" i="1"/>
  <c r="Z148" i="1"/>
  <c r="BN148" i="1"/>
  <c r="BP148" i="1"/>
  <c r="Z150" i="1"/>
  <c r="BN150" i="1"/>
  <c r="Z152" i="1"/>
  <c r="BN152" i="1"/>
  <c r="Y155" i="1"/>
  <c r="I506" i="1"/>
  <c r="Y165" i="1"/>
  <c r="Z167" i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Y181" i="1"/>
  <c r="Z184" i="1"/>
  <c r="BN184" i="1"/>
  <c r="BP184" i="1"/>
  <c r="Z186" i="1"/>
  <c r="BN186" i="1"/>
  <c r="Y187" i="1"/>
  <c r="Z190" i="1"/>
  <c r="Z191" i="1" s="1"/>
  <c r="BN190" i="1"/>
  <c r="BP190" i="1"/>
  <c r="Y191" i="1"/>
  <c r="Z195" i="1"/>
  <c r="Z197" i="1" s="1"/>
  <c r="BN195" i="1"/>
  <c r="BP195" i="1"/>
  <c r="Y198" i="1"/>
  <c r="Z201" i="1"/>
  <c r="Z202" i="1" s="1"/>
  <c r="BN201" i="1"/>
  <c r="BP201" i="1"/>
  <c r="Z205" i="1"/>
  <c r="BN205" i="1"/>
  <c r="BP205" i="1"/>
  <c r="Z207" i="1"/>
  <c r="BN207" i="1"/>
  <c r="Z209" i="1"/>
  <c r="BN209" i="1"/>
  <c r="Z211" i="1"/>
  <c r="BN211" i="1"/>
  <c r="Y214" i="1"/>
  <c r="Y225" i="1"/>
  <c r="BP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BP241" i="1"/>
  <c r="BN241" i="1"/>
  <c r="Z241" i="1"/>
  <c r="Y260" i="1"/>
  <c r="BP257" i="1"/>
  <c r="BN257" i="1"/>
  <c r="Z257" i="1"/>
  <c r="BP266" i="1"/>
  <c r="BN266" i="1"/>
  <c r="Z266" i="1"/>
  <c r="BP288" i="1"/>
  <c r="BN288" i="1"/>
  <c r="Z288" i="1"/>
  <c r="Y290" i="1"/>
  <c r="Y295" i="1"/>
  <c r="BP292" i="1"/>
  <c r="BN292" i="1"/>
  <c r="Z292" i="1"/>
  <c r="Z294" i="1" s="1"/>
  <c r="Y294" i="1"/>
  <c r="BP352" i="1"/>
  <c r="BN352" i="1"/>
  <c r="Z352" i="1"/>
  <c r="S506" i="1"/>
  <c r="Y358" i="1"/>
  <c r="BP356" i="1"/>
  <c r="BN356" i="1"/>
  <c r="Z356" i="1"/>
  <c r="BP395" i="1"/>
  <c r="BN395" i="1"/>
  <c r="Z395" i="1"/>
  <c r="BP399" i="1"/>
  <c r="BN399" i="1"/>
  <c r="Z399" i="1"/>
  <c r="Y403" i="1"/>
  <c r="BP407" i="1"/>
  <c r="BN407" i="1"/>
  <c r="Z407" i="1"/>
  <c r="Y409" i="1"/>
  <c r="V506" i="1"/>
  <c r="Y413" i="1"/>
  <c r="BP412" i="1"/>
  <c r="BN412" i="1"/>
  <c r="Z412" i="1"/>
  <c r="Z413" i="1" s="1"/>
  <c r="Y414" i="1"/>
  <c r="Y421" i="1"/>
  <c r="BP416" i="1"/>
  <c r="BN416" i="1"/>
  <c r="Z416" i="1"/>
  <c r="Y420" i="1"/>
  <c r="X506" i="1"/>
  <c r="Y443" i="1"/>
  <c r="BP430" i="1"/>
  <c r="BN430" i="1"/>
  <c r="Z430" i="1"/>
  <c r="Y442" i="1"/>
  <c r="Y129" i="1"/>
  <c r="Y197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BP274" i="1"/>
  <c r="BN274" i="1"/>
  <c r="Z274" i="1"/>
  <c r="BP301" i="1"/>
  <c r="BN301" i="1"/>
  <c r="Z301" i="1"/>
  <c r="BP309" i="1"/>
  <c r="BN309" i="1"/>
  <c r="Z309" i="1"/>
  <c r="Y313" i="1"/>
  <c r="BP317" i="1"/>
  <c r="BN317" i="1"/>
  <c r="Z317" i="1"/>
  <c r="Y321" i="1"/>
  <c r="BP325" i="1"/>
  <c r="BN325" i="1"/>
  <c r="Z325" i="1"/>
  <c r="Y327" i="1"/>
  <c r="Y334" i="1"/>
  <c r="BP329" i="1"/>
  <c r="BN329" i="1"/>
  <c r="Z329" i="1"/>
  <c r="Y333" i="1"/>
  <c r="BP337" i="1"/>
  <c r="BN337" i="1"/>
  <c r="Z337" i="1"/>
  <c r="Z339" i="1" s="1"/>
  <c r="Y339" i="1"/>
  <c r="BP377" i="1"/>
  <c r="BN377" i="1"/>
  <c r="Z377" i="1"/>
  <c r="Z378" i="1" s="1"/>
  <c r="Y379" i="1"/>
  <c r="Y384" i="1"/>
  <c r="BP381" i="1"/>
  <c r="BN381" i="1"/>
  <c r="Z381" i="1"/>
  <c r="Z383" i="1" s="1"/>
  <c r="Y383" i="1"/>
  <c r="K506" i="1"/>
  <c r="Y244" i="1"/>
  <c r="L506" i="1"/>
  <c r="Y268" i="1"/>
  <c r="BP267" i="1"/>
  <c r="BN267" i="1"/>
  <c r="Z267" i="1"/>
  <c r="Y269" i="1"/>
  <c r="M506" i="1"/>
  <c r="Y277" i="1"/>
  <c r="BP272" i="1"/>
  <c r="BN272" i="1"/>
  <c r="Z272" i="1"/>
  <c r="Y276" i="1"/>
  <c r="BP281" i="1"/>
  <c r="BN281" i="1"/>
  <c r="Z281" i="1"/>
  <c r="Z283" i="1" s="1"/>
  <c r="BP299" i="1"/>
  <c r="BN299" i="1"/>
  <c r="Z299" i="1"/>
  <c r="BP303" i="1"/>
  <c r="BN303" i="1"/>
  <c r="Z303" i="1"/>
  <c r="Y305" i="1"/>
  <c r="Y314" i="1"/>
  <c r="BP307" i="1"/>
  <c r="BN307" i="1"/>
  <c r="Z307" i="1"/>
  <c r="BP311" i="1"/>
  <c r="BN311" i="1"/>
  <c r="Z311" i="1"/>
  <c r="Y320" i="1"/>
  <c r="BP319" i="1"/>
  <c r="BN319" i="1"/>
  <c r="Z319" i="1"/>
  <c r="Y326" i="1"/>
  <c r="BP323" i="1"/>
  <c r="BN323" i="1"/>
  <c r="Z323" i="1"/>
  <c r="BP331" i="1"/>
  <c r="BN331" i="1"/>
  <c r="Z331" i="1"/>
  <c r="Y340" i="1"/>
  <c r="BP344" i="1"/>
  <c r="BN344" i="1"/>
  <c r="Z344" i="1"/>
  <c r="Z346" i="1" s="1"/>
  <c r="Y359" i="1"/>
  <c r="BP354" i="1"/>
  <c r="BN354" i="1"/>
  <c r="Z354" i="1"/>
  <c r="BP362" i="1"/>
  <c r="BN362" i="1"/>
  <c r="Z362" i="1"/>
  <c r="Y364" i="1"/>
  <c r="Y369" i="1"/>
  <c r="BP366" i="1"/>
  <c r="BN366" i="1"/>
  <c r="Z366" i="1"/>
  <c r="Z368" i="1" s="1"/>
  <c r="BP387" i="1"/>
  <c r="BN387" i="1"/>
  <c r="Z387" i="1"/>
  <c r="Z389" i="1" s="1"/>
  <c r="U506" i="1"/>
  <c r="BP397" i="1"/>
  <c r="BN397" i="1"/>
  <c r="Z397" i="1"/>
  <c r="BP401" i="1"/>
  <c r="BN401" i="1"/>
  <c r="Z401" i="1"/>
  <c r="Y408" i="1"/>
  <c r="BP418" i="1"/>
  <c r="BN418" i="1"/>
  <c r="Z418" i="1"/>
  <c r="BP454" i="1"/>
  <c r="BN454" i="1"/>
  <c r="Z454" i="1"/>
  <c r="BP468" i="1"/>
  <c r="BN468" i="1"/>
  <c r="Z468" i="1"/>
  <c r="BP434" i="1"/>
  <c r="BN434" i="1"/>
  <c r="Z434" i="1"/>
  <c r="BP438" i="1"/>
  <c r="BN438" i="1"/>
  <c r="Z438" i="1"/>
  <c r="BP446" i="1"/>
  <c r="BN446" i="1"/>
  <c r="Z446" i="1"/>
  <c r="Z448" i="1" s="1"/>
  <c r="Y448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P506" i="1"/>
  <c r="Y289" i="1"/>
  <c r="Y304" i="1"/>
  <c r="R506" i="1"/>
  <c r="Y347" i="1"/>
  <c r="T506" i="1"/>
  <c r="Y378" i="1"/>
  <c r="Y404" i="1"/>
  <c r="BP432" i="1"/>
  <c r="BN432" i="1"/>
  <c r="Z432" i="1"/>
  <c r="BP436" i="1"/>
  <c r="BN436" i="1"/>
  <c r="Z436" i="1"/>
  <c r="BP440" i="1"/>
  <c r="BN440" i="1"/>
  <c r="Z440" i="1"/>
  <c r="Y449" i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470" i="1"/>
  <c r="BP474" i="1"/>
  <c r="BN474" i="1"/>
  <c r="Z474" i="1"/>
  <c r="Y476" i="1"/>
  <c r="Y481" i="1"/>
  <c r="BP478" i="1"/>
  <c r="BN478" i="1"/>
  <c r="Z478" i="1"/>
  <c r="Z480" i="1" s="1"/>
  <c r="Y489" i="1"/>
  <c r="Y506" i="1"/>
  <c r="Z475" i="1" l="1"/>
  <c r="Z363" i="1"/>
  <c r="Z313" i="1"/>
  <c r="Z304" i="1"/>
  <c r="Z276" i="1"/>
  <c r="Z320" i="1"/>
  <c r="Z243" i="1"/>
  <c r="Z408" i="1"/>
  <c r="Z289" i="1"/>
  <c r="Z139" i="1"/>
  <c r="Z119" i="1"/>
  <c r="Z105" i="1"/>
  <c r="Z76" i="1"/>
  <c r="Z24" i="1"/>
  <c r="X499" i="1"/>
  <c r="Z268" i="1"/>
  <c r="Z225" i="1"/>
  <c r="Z403" i="1"/>
  <c r="Z358" i="1"/>
  <c r="Z58" i="1"/>
  <c r="Z32" i="1"/>
  <c r="Z442" i="1"/>
  <c r="Z420" i="1"/>
  <c r="Z187" i="1"/>
  <c r="Z181" i="1"/>
  <c r="Z154" i="1"/>
  <c r="Z112" i="1"/>
  <c r="Y500" i="1"/>
  <c r="Z64" i="1"/>
  <c r="Y498" i="1"/>
  <c r="Z470" i="1"/>
  <c r="Z326" i="1"/>
  <c r="Z333" i="1"/>
  <c r="Z213" i="1"/>
  <c r="Z96" i="1"/>
  <c r="Z89" i="1"/>
  <c r="Z501" i="1" s="1"/>
  <c r="Y496" i="1"/>
  <c r="Y497" i="1"/>
  <c r="Y499" i="1" l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<sst xmlns="http://schemas.openxmlformats.org/spreadsheetml/2006/main" count="2386" uniqueCount="785">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</sst>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58"/>
      <c r="P5" s="24" t="s">
        <v>10</v>
      </c>
      <c r="Q5" s="864">
        <v>46030</v>
      </c>
      <c r="R5" s="673"/>
      <c r="T5" s="736" t="s">
        <v>11</v>
      </c>
      <c r="U5" s="737"/>
      <c r="V5" s="738" t="s">
        <v>12</v>
      </c>
      <c r="W5" s="673"/>
      <c r="AB5" s="51"/>
      <c r="AC5" s="51"/>
      <c r="AD5" s="51"/>
      <c r="AE5" s="51"/>
    </row>
    <row r="6" spans="1:32" s="549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Четверг</v>
      </c>
      <c r="R6" s="565"/>
      <c r="T6" s="739" t="s">
        <v>16</v>
      </c>
      <c r="U6" s="737"/>
      <c r="V6" s="790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37"/>
      <c r="V7" s="791"/>
      <c r="W7" s="792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91">
        <v>0.41666666666666669</v>
      </c>
      <c r="R8" s="608"/>
      <c r="T8" s="570"/>
      <c r="U8" s="737"/>
      <c r="V8" s="791"/>
      <c r="W8" s="792"/>
      <c r="AB8" s="51"/>
      <c r="AC8" s="51"/>
      <c r="AD8" s="51"/>
      <c r="AE8" s="51"/>
    </row>
    <row r="9" spans="1:32" s="549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69"/>
      <c r="R9" s="670"/>
      <c r="T9" s="570"/>
      <c r="U9" s="737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0"/>
      <c r="R10" s="741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5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1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5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6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7"/>
      <c r="Q16" s="707"/>
      <c r="R16" s="707"/>
      <c r="S16" s="707"/>
      <c r="T16" s="7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66"/>
      <c r="BD18" s="65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hidden="1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0</v>
      </c>
      <c r="Y44" s="557">
        <f>IFERROR(Y41/H41,"0")+IFERROR(Y42/H42,"0")+IFERROR(Y43/H43,"0")</f>
        <v>0</v>
      </c>
      <c r="Z44" s="557">
        <f>IFERROR(IF(Z41="",0,Z41),"0")+IFERROR(IF(Z42="",0,Z42),"0")+IFERROR(IF(Z43="",0,Z43),"0")</f>
        <v>0</v>
      </c>
      <c r="AA44" s="558"/>
      <c r="AB44" s="558"/>
      <c r="AC44" s="558"/>
    </row>
    <row r="45" spans="1:68" hidden="1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0</v>
      </c>
      <c r="Y45" s="557">
        <f>IFERROR(SUM(Y41:Y43),"0")</f>
        <v>0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60</v>
      </c>
      <c r="Y53" s="556">
        <f t="shared" si="0"/>
        <v>64.800000000000011</v>
      </c>
      <c r="Z53" s="36">
        <f>IFERROR(IF(Y53=0,"",ROUNDUP(Y53/H53,0)*0.01898),"")</f>
        <v>0.11388000000000001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62.277777777777779</v>
      </c>
      <c r="BN53" s="64">
        <f t="shared" si="2"/>
        <v>67.260000000000005</v>
      </c>
      <c r="BO53" s="64">
        <f t="shared" si="3"/>
        <v>8.6805555555555552E-2</v>
      </c>
      <c r="BP53" s="64">
        <f t="shared" si="4"/>
        <v>9.3750000000000014E-2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13</v>
      </c>
      <c r="Y57" s="556">
        <f t="shared" si="0"/>
        <v>13.5</v>
      </c>
      <c r="Z57" s="36">
        <f>IFERROR(IF(Y57=0,"",ROUNDUP(Y57/H57,0)*0.00902),"")</f>
        <v>2.7060000000000001E-2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13.548888888888889</v>
      </c>
      <c r="BN57" s="64">
        <f t="shared" si="2"/>
        <v>14.07</v>
      </c>
      <c r="BO57" s="64">
        <f t="shared" si="3"/>
        <v>2.1885521885521887E-2</v>
      </c>
      <c r="BP57" s="64">
        <f t="shared" si="4"/>
        <v>2.2727272727272728E-2</v>
      </c>
    </row>
    <row r="58" spans="1:68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8.4444444444444446</v>
      </c>
      <c r="Y58" s="557">
        <f>IFERROR(Y52/H52,"0")+IFERROR(Y53/H53,"0")+IFERROR(Y54/H54,"0")+IFERROR(Y55/H55,"0")+IFERROR(Y56/H56,"0")+IFERROR(Y57/H57,"0")</f>
        <v>9</v>
      </c>
      <c r="Z58" s="557">
        <f>IFERROR(IF(Z52="",0,Z52),"0")+IFERROR(IF(Z53="",0,Z53),"0")+IFERROR(IF(Z54="",0,Z54),"0")+IFERROR(IF(Z55="",0,Z55),"0")+IFERROR(IF(Z56="",0,Z56),"0")+IFERROR(IF(Z57="",0,Z57),"0")</f>
        <v>0.14094000000000001</v>
      </c>
      <c r="AA58" s="558"/>
      <c r="AB58" s="558"/>
      <c r="AC58" s="558"/>
    </row>
    <row r="59" spans="1:68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73</v>
      </c>
      <c r="Y59" s="557">
        <f>IFERROR(SUM(Y52:Y57),"0")</f>
        <v>78.300000000000011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0</v>
      </c>
      <c r="Y64" s="557">
        <f>IFERROR(Y61/H61,"0")+IFERROR(Y62/H62,"0")+IFERROR(Y63/H63,"0")</f>
        <v>0</v>
      </c>
      <c r="Z64" s="557">
        <f>IFERROR(IF(Z61="",0,Z61),"0")+IFERROR(IF(Z62="",0,Z62),"0")+IFERROR(IF(Z63="",0,Z63),"0")</f>
        <v>0</v>
      </c>
      <c r="AA64" s="558"/>
      <c r="AB64" s="558"/>
      <c r="AC64" s="558"/>
    </row>
    <row r="65" spans="1:68" hidden="1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0</v>
      </c>
      <c r="Y65" s="557">
        <f>IFERROR(SUM(Y61:Y63),"0")</f>
        <v>0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hidden="1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40</v>
      </c>
      <c r="Y85" s="556">
        <f>IFERROR(IF(X85="",0,CEILING((X85/$H85),1)*$H85),"")</f>
        <v>43.2</v>
      </c>
      <c r="Z85" s="36">
        <f>IFERROR(IF(Y85=0,"",ROUNDUP(Y85/H85,0)*0.01898),"")</f>
        <v>7.5920000000000001E-2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41.518518518518519</v>
      </c>
      <c r="BN85" s="64">
        <f>IFERROR(Y85*I85/H85,"0")</f>
        <v>44.84</v>
      </c>
      <c r="BO85" s="64">
        <f>IFERROR(1/J85*(X85/H85),"0")</f>
        <v>5.7870370370370364E-2</v>
      </c>
      <c r="BP85" s="64">
        <f>IFERROR(1/J85*(Y85/H85),"0")</f>
        <v>6.25E-2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3.7037037037037033</v>
      </c>
      <c r="Y89" s="557">
        <f>IFERROR(Y85/H85,"0")+IFERROR(Y86/H86,"0")+IFERROR(Y87/H87,"0")+IFERROR(Y88/H88,"0")</f>
        <v>4</v>
      </c>
      <c r="Z89" s="557">
        <f>IFERROR(IF(Z85="",0,Z85),"0")+IFERROR(IF(Z86="",0,Z86),"0")+IFERROR(IF(Z87="",0,Z87),"0")+IFERROR(IF(Z88="",0,Z88),"0")</f>
        <v>7.5920000000000001E-2</v>
      </c>
      <c r="AA89" s="558"/>
      <c r="AB89" s="558"/>
      <c r="AC89" s="558"/>
    </row>
    <row r="90" spans="1:68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40</v>
      </c>
      <c r="Y90" s="557">
        <f>IFERROR(SUM(Y85:Y88),"0")</f>
        <v>43.2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50</v>
      </c>
      <c r="Y92" s="556">
        <f>IFERROR(IF(X92="",0,CEILING((X92/$H92),1)*$H92),"")</f>
        <v>56.699999999999996</v>
      </c>
      <c r="Z92" s="36">
        <f>IFERROR(IF(Y92=0,"",ROUNDUP(Y92/H92,0)*0.01898),"")</f>
        <v>0.13286000000000001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53.049382716049386</v>
      </c>
      <c r="BN92" s="64">
        <f>IFERROR(Y92*I92/H92,"0")</f>
        <v>60.157999999999994</v>
      </c>
      <c r="BO92" s="64">
        <f>IFERROR(1/J92*(X92/H92),"0")</f>
        <v>9.6450617283950615E-2</v>
      </c>
      <c r="BP92" s="64">
        <f>IFERROR(1/J92*(Y92/H92),"0")</f>
        <v>0.109375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6.1728395061728394</v>
      </c>
      <c r="Y96" s="557">
        <f>IFERROR(Y92/H92,"0")+IFERROR(Y93/H93,"0")+IFERROR(Y94/H94,"0")+IFERROR(Y95/H95,"0")</f>
        <v>7</v>
      </c>
      <c r="Z96" s="557">
        <f>IFERROR(IF(Z92="",0,Z92),"0")+IFERROR(IF(Z93="",0,Z93),"0")+IFERROR(IF(Z94="",0,Z94),"0")+IFERROR(IF(Z95="",0,Z95),"0")</f>
        <v>0.13286000000000001</v>
      </c>
      <c r="AA96" s="558"/>
      <c r="AB96" s="558"/>
      <c r="AC96" s="558"/>
    </row>
    <row r="97" spans="1:68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50</v>
      </c>
      <c r="Y97" s="557">
        <f>IFERROR(SUM(Y92:Y95),"0")</f>
        <v>56.699999999999996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20</v>
      </c>
      <c r="Y100" s="556">
        <f>IFERROR(IF(X100="",0,CEILING((X100/$H100),1)*$H100),"")</f>
        <v>21.6</v>
      </c>
      <c r="Z100" s="36">
        <f>IFERROR(IF(Y100=0,"",ROUNDUP(Y100/H100,0)*0.01898),"")</f>
        <v>3.7960000000000001E-2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20.75925925925926</v>
      </c>
      <c r="BN100" s="64">
        <f>IFERROR(Y100*I100/H100,"0")</f>
        <v>22.42</v>
      </c>
      <c r="BO100" s="64">
        <f>IFERROR(1/J100*(X100/H100),"0")</f>
        <v>2.8935185185185182E-2</v>
      </c>
      <c r="BP100" s="64">
        <f>IFERROR(1/J100*(Y100/H100),"0")</f>
        <v>3.125E-2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1.8518518518518516</v>
      </c>
      <c r="Y105" s="557">
        <f>IFERROR(Y100/H100,"0")+IFERROR(Y101/H101,"0")+IFERROR(Y102/H102,"0")+IFERROR(Y103/H103,"0")+IFERROR(Y104/H104,"0")</f>
        <v>2</v>
      </c>
      <c r="Z105" s="557">
        <f>IFERROR(IF(Z100="",0,Z100),"0")+IFERROR(IF(Z101="",0,Z101),"0")+IFERROR(IF(Z102="",0,Z102),"0")+IFERROR(IF(Z103="",0,Z103),"0")+IFERROR(IF(Z104="",0,Z104),"0")</f>
        <v>3.7960000000000001E-2</v>
      </c>
      <c r="AA105" s="558"/>
      <c r="AB105" s="558"/>
      <c r="AC105" s="558"/>
    </row>
    <row r="106" spans="1:68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20</v>
      </c>
      <c r="Y106" s="557">
        <f>IFERROR(SUM(Y100:Y104),"0")</f>
        <v>21.6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40</v>
      </c>
      <c r="Y111" s="556">
        <f>IFERROR(IF(X111="",0,CEILING((X111/$H111),1)*$H111),"")</f>
        <v>40.799999999999997</v>
      </c>
      <c r="Z111" s="36">
        <f>IFERROR(IF(Y111=0,"",ROUNDUP(Y111/H111,0)*0.00651),"")</f>
        <v>0.11067</v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43</v>
      </c>
      <c r="BN111" s="64">
        <f>IFERROR(Y111*I111/H111,"0")</f>
        <v>43.86</v>
      </c>
      <c r="BO111" s="64">
        <f>IFERROR(1/J111*(X111/H111),"0")</f>
        <v>9.1575091575091583E-2</v>
      </c>
      <c r="BP111" s="64">
        <f>IFERROR(1/J111*(Y111/H111),"0")</f>
        <v>9.3406593406593408E-2</v>
      </c>
    </row>
    <row r="112" spans="1:68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16.666666666666668</v>
      </c>
      <c r="Y112" s="557">
        <f>IFERROR(Y108/H108,"0")+IFERROR(Y109/H109,"0")+IFERROR(Y110/H110,"0")+IFERROR(Y111/H111,"0")</f>
        <v>17</v>
      </c>
      <c r="Z112" s="557">
        <f>IFERROR(IF(Z108="",0,Z108),"0")+IFERROR(IF(Z109="",0,Z109),"0")+IFERROR(IF(Z110="",0,Z110),"0")+IFERROR(IF(Z111="",0,Z111),"0")</f>
        <v>0.11067</v>
      </c>
      <c r="AA112" s="558"/>
      <c r="AB112" s="558"/>
      <c r="AC112" s="558"/>
    </row>
    <row r="113" spans="1:68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40</v>
      </c>
      <c r="Y113" s="557">
        <f>IFERROR(SUM(Y108:Y111),"0")</f>
        <v>40.799999999999997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80</v>
      </c>
      <c r="Y115" s="556">
        <f>IFERROR(IF(X115="",0,CEILING((X115/$H115),1)*$H115),"")</f>
        <v>81</v>
      </c>
      <c r="Z115" s="36">
        <f>IFERROR(IF(Y115=0,"",ROUNDUP(Y115/H115,0)*0.01898),"")</f>
        <v>0.1898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84.819753086419752</v>
      </c>
      <c r="BN115" s="64">
        <f>IFERROR(Y115*I115/H115,"0")</f>
        <v>85.88</v>
      </c>
      <c r="BO115" s="64">
        <f>IFERROR(1/J115*(X115/H115),"0")</f>
        <v>0.15432098765432101</v>
      </c>
      <c r="BP115" s="64">
        <f>IFERROR(1/J115*(Y115/H115),"0")</f>
        <v>0.15625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9.8765432098765444</v>
      </c>
      <c r="Y119" s="557">
        <f>IFERROR(Y115/H115,"0")+IFERROR(Y116/H116,"0")+IFERROR(Y117/H117,"0")+IFERROR(Y118/H118,"0")</f>
        <v>10</v>
      </c>
      <c r="Z119" s="557">
        <f>IFERROR(IF(Z115="",0,Z115),"0")+IFERROR(IF(Z116="",0,Z116),"0")+IFERROR(IF(Z117="",0,Z117),"0")+IFERROR(IF(Z118="",0,Z118),"0")</f>
        <v>0.1898</v>
      </c>
      <c r="AA119" s="558"/>
      <c r="AB119" s="558"/>
      <c r="AC119" s="558"/>
    </row>
    <row r="120" spans="1:68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80</v>
      </c>
      <c r="Y120" s="557">
        <f>IFERROR(SUM(Y115:Y118),"0")</f>
        <v>81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hidden="1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52</v>
      </c>
      <c r="Y132" s="556">
        <f>IFERROR(IF(X132="",0,CEILING((X132/$H132),1)*$H132),"")</f>
        <v>53.199999999999996</v>
      </c>
      <c r="Z132" s="36">
        <f>IFERROR(IF(Y132=0,"",ROUNDUP(Y132/H132,0)*0.00651),"")</f>
        <v>0.12369000000000001</v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56.977142857142859</v>
      </c>
      <c r="BN132" s="64">
        <f>IFERROR(Y132*I132/H132,"0")</f>
        <v>58.291999999999994</v>
      </c>
      <c r="BO132" s="64">
        <f>IFERROR(1/J132*(X132/H132),"0")</f>
        <v>0.10204081632653063</v>
      </c>
      <c r="BP132" s="64">
        <f>IFERROR(1/J132*(Y132/H132),"0")</f>
        <v>0.1043956043956044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18.571428571428573</v>
      </c>
      <c r="Y134" s="557">
        <f>IFERROR(Y132/H132,"0")+IFERROR(Y133/H133,"0")</f>
        <v>19</v>
      </c>
      <c r="Z134" s="557">
        <f>IFERROR(IF(Z132="",0,Z132),"0")+IFERROR(IF(Z133="",0,Z133),"0")</f>
        <v>0.12369000000000001</v>
      </c>
      <c r="AA134" s="558"/>
      <c r="AB134" s="558"/>
      <c r="AC134" s="558"/>
    </row>
    <row r="135" spans="1:68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52</v>
      </c>
      <c r="Y135" s="557">
        <f>IFERROR(SUM(Y132:Y133),"0")</f>
        <v>53.199999999999996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4">
        <v>4607091387667</v>
      </c>
      <c r="E148" s="565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4">
        <v>4680115887428</v>
      </c>
      <c r="E149" s="565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hidden="1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6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45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20</v>
      </c>
      <c r="Y169" s="556">
        <f t="shared" si="10"/>
        <v>21</v>
      </c>
      <c r="Z169" s="36">
        <f>IFERROR(IF(Y169=0,"",ROUNDUP(Y169/H169,0)*0.00902),"")</f>
        <v>4.5100000000000001E-2</v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21.19047619047619</v>
      </c>
      <c r="BN169" s="64">
        <f t="shared" si="12"/>
        <v>22.25</v>
      </c>
      <c r="BO169" s="64">
        <f t="shared" si="13"/>
        <v>3.6075036075036072E-2</v>
      </c>
      <c r="BP169" s="64">
        <f t="shared" si="14"/>
        <v>3.787878787878788E-2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30</v>
      </c>
      <c r="Y171" s="556">
        <f t="shared" si="10"/>
        <v>33.6</v>
      </c>
      <c r="Z171" s="36">
        <f>IFERROR(IF(Y171=0,"",ROUNDUP(Y171/H171,0)*0.00902),"")</f>
        <v>7.2160000000000002E-2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31.357142857142854</v>
      </c>
      <c r="BN171" s="64">
        <f t="shared" si="12"/>
        <v>35.119999999999997</v>
      </c>
      <c r="BO171" s="64">
        <f t="shared" si="13"/>
        <v>5.4112554112554112E-2</v>
      </c>
      <c r="BP171" s="64">
        <f t="shared" si="14"/>
        <v>6.0606060606060608E-2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11.904761904761905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13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0.11726</v>
      </c>
      <c r="AA181" s="558"/>
      <c r="AB181" s="558"/>
      <c r="AC181" s="558"/>
    </row>
    <row r="182" spans="1:68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50</v>
      </c>
      <c r="Y182" s="557">
        <f>IFERROR(SUM(Y167:Y180),"0")</f>
        <v>54.6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110</v>
      </c>
      <c r="Y205" s="556">
        <f t="shared" ref="Y205:Y212" si="15">IFERROR(IF(X205="",0,CEILING((X205/$H205),1)*$H205),"")</f>
        <v>113.4</v>
      </c>
      <c r="Z205" s="36">
        <f>IFERROR(IF(Y205=0,"",ROUNDUP(Y205/H205,0)*0.00902),"")</f>
        <v>0.18942000000000001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113.87037037037035</v>
      </c>
      <c r="BN205" s="64">
        <f t="shared" ref="BN205:BN212" si="17">IFERROR(Y205*I205/H205,"0")</f>
        <v>117.39</v>
      </c>
      <c r="BO205" s="64">
        <f t="shared" ref="BO205:BO212" si="18">IFERROR(1/J205*(X205/H205),"0")</f>
        <v>0.15432098765432098</v>
      </c>
      <c r="BP205" s="64">
        <f t="shared" ref="BP205:BP212" si="19">IFERROR(1/J205*(Y205/H205),"0")</f>
        <v>0.15909090909090909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80</v>
      </c>
      <c r="Y206" s="556">
        <f t="shared" si="15"/>
        <v>81</v>
      </c>
      <c r="Z206" s="36">
        <f>IFERROR(IF(Y206=0,"",ROUNDUP(Y206/H206,0)*0.00902),"")</f>
        <v>0.1353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82.81481481481481</v>
      </c>
      <c r="BN206" s="64">
        <f t="shared" si="17"/>
        <v>83.85</v>
      </c>
      <c r="BO206" s="64">
        <f t="shared" si="18"/>
        <v>0.11223344556677889</v>
      </c>
      <c r="BP206" s="64">
        <f t="shared" si="19"/>
        <v>0.11363636363636363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90</v>
      </c>
      <c r="Y207" s="556">
        <f t="shared" si="15"/>
        <v>91.800000000000011</v>
      </c>
      <c r="Z207" s="36">
        <f>IFERROR(IF(Y207=0,"",ROUNDUP(Y207/H207,0)*0.00902),"")</f>
        <v>0.15334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93.166666666666657</v>
      </c>
      <c r="BN207" s="64">
        <f t="shared" si="17"/>
        <v>95.03</v>
      </c>
      <c r="BO207" s="64">
        <f t="shared" si="18"/>
        <v>0.12626262626262624</v>
      </c>
      <c r="BP207" s="64">
        <f t="shared" si="19"/>
        <v>0.12878787878787878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120</v>
      </c>
      <c r="Y208" s="556">
        <f t="shared" si="15"/>
        <v>124.2</v>
      </c>
      <c r="Z208" s="36">
        <f>IFERROR(IF(Y208=0,"",ROUNDUP(Y208/H208,0)*0.00902),"")</f>
        <v>0.20746000000000001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124.2222222222222</v>
      </c>
      <c r="BN208" s="64">
        <f t="shared" si="17"/>
        <v>128.57</v>
      </c>
      <c r="BO208" s="64">
        <f t="shared" si="18"/>
        <v>0.16835016835016836</v>
      </c>
      <c r="BP208" s="64">
        <f t="shared" si="19"/>
        <v>0.17424242424242425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74.074074074074076</v>
      </c>
      <c r="Y213" s="557">
        <f>IFERROR(Y205/H205,"0")+IFERROR(Y206/H206,"0")+IFERROR(Y207/H207,"0")+IFERROR(Y208/H208,"0")+IFERROR(Y209/H209,"0")+IFERROR(Y210/H210,"0")+IFERROR(Y211/H211,"0")+IFERROR(Y212/H212,"0")</f>
        <v>76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0.68552000000000002</v>
      </c>
      <c r="AA213" s="558"/>
      <c r="AB213" s="558"/>
      <c r="AC213" s="558"/>
    </row>
    <row r="214" spans="1:68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400</v>
      </c>
      <c r="Y214" s="557">
        <f>IFERROR(SUM(Y205:Y212),"0")</f>
        <v>410.40000000000003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30</v>
      </c>
      <c r="Y218" s="556">
        <f t="shared" si="20"/>
        <v>34.799999999999997</v>
      </c>
      <c r="Z218" s="36">
        <f>IFERROR(IF(Y218=0,"",ROUNDUP(Y218/H218,0)*0.01898),"")</f>
        <v>7.5920000000000001E-2</v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31.703448275862076</v>
      </c>
      <c r="BN218" s="64">
        <f t="shared" si="22"/>
        <v>36.776000000000003</v>
      </c>
      <c r="BO218" s="64">
        <f t="shared" si="23"/>
        <v>5.387931034482759E-2</v>
      </c>
      <c r="BP218" s="64">
        <f t="shared" si="24"/>
        <v>6.25E-2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0</v>
      </c>
      <c r="Y221" s="556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40</v>
      </c>
      <c r="Y223" s="556">
        <f t="shared" si="20"/>
        <v>40.799999999999997</v>
      </c>
      <c r="Z223" s="36">
        <f t="shared" si="25"/>
        <v>0.11067</v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44.20000000000001</v>
      </c>
      <c r="BN223" s="64">
        <f t="shared" si="22"/>
        <v>45.084000000000003</v>
      </c>
      <c r="BO223" s="64">
        <f t="shared" si="23"/>
        <v>9.1575091575091583E-2</v>
      </c>
      <c r="BP223" s="64">
        <f t="shared" si="24"/>
        <v>9.3406593406593408E-2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20.114942528735632</v>
      </c>
      <c r="Y225" s="557">
        <f>IFERROR(Y216/H216,"0")+IFERROR(Y217/H217,"0")+IFERROR(Y218/H218,"0")+IFERROR(Y219/H219,"0")+IFERROR(Y220/H220,"0")+IFERROR(Y221/H221,"0")+IFERROR(Y222/H222,"0")+IFERROR(Y223/H223,"0")+IFERROR(Y224/H224,"0")</f>
        <v>21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0.18659000000000001</v>
      </c>
      <c r="AA225" s="558"/>
      <c r="AB225" s="558"/>
      <c r="AC225" s="558"/>
    </row>
    <row r="226" spans="1:68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70</v>
      </c>
      <c r="Y226" s="557">
        <f>IFERROR(SUM(Y216:Y224),"0")</f>
        <v>75.599999999999994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0</v>
      </c>
      <c r="Y268" s="557">
        <f>IFERROR(Y263/H263,"0")+IFERROR(Y264/H264,"0")+IFERROR(Y265/H265,"0")+IFERROR(Y266/H266,"0")+IFERROR(Y267/H267,"0")</f>
        <v>0</v>
      </c>
      <c r="Z268" s="557">
        <f>IFERROR(IF(Z263="",0,Z263),"0")+IFERROR(IF(Z264="",0,Z264),"0")+IFERROR(IF(Z265="",0,Z265),"0")+IFERROR(IF(Z266="",0,Z266),"0")+IFERROR(IF(Z267="",0,Z267),"0")</f>
        <v>0</v>
      </c>
      <c r="AA268" s="558"/>
      <c r="AB268" s="558"/>
      <c r="AC268" s="558"/>
    </row>
    <row r="269" spans="1:68" hidden="1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0</v>
      </c>
      <c r="Y269" s="557">
        <f>IFERROR(SUM(Y263:Y267),"0")</f>
        <v>0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hidden="1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hidden="1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hidden="1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hidden="1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idden="1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hidden="1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hidden="1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hidden="1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hidden="1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6000</v>
      </c>
      <c r="Y316" s="556">
        <f>IFERROR(IF(X316="",0,CEILING((X316/$H316),1)*$H316),"")</f>
        <v>6006</v>
      </c>
      <c r="Z316" s="36">
        <f>IFERROR(IF(Y316=0,"",ROUNDUP(Y316/H316,0)*0.01898),"")</f>
        <v>14.614600000000001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6375.3846153846152</v>
      </c>
      <c r="BN316" s="64">
        <f>IFERROR(Y316*I316/H316,"0")</f>
        <v>6381.76</v>
      </c>
      <c r="BO316" s="64">
        <f>IFERROR(1/J316*(X316/H316),"0")</f>
        <v>12.01923076923077</v>
      </c>
      <c r="BP316" s="64">
        <f>IFERROR(1/J316*(Y316/H316),"0")</f>
        <v>12.03125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769.23076923076928</v>
      </c>
      <c r="Y320" s="557">
        <f>IFERROR(Y316/H316,"0")+IFERROR(Y317/H317,"0")+IFERROR(Y318/H318,"0")+IFERROR(Y319/H319,"0")</f>
        <v>770</v>
      </c>
      <c r="Z320" s="557">
        <f>IFERROR(IF(Z316="",0,Z316),"0")+IFERROR(IF(Z317="",0,Z317),"0")+IFERROR(IF(Z318="",0,Z318),"0")+IFERROR(IF(Z319="",0,Z319),"0")</f>
        <v>14.614600000000001</v>
      </c>
      <c r="AA320" s="558"/>
      <c r="AB320" s="558"/>
      <c r="AC320" s="558"/>
    </row>
    <row r="321" spans="1:68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6000</v>
      </c>
      <c r="Y321" s="557">
        <f>IFERROR(SUM(Y316:Y319),"0")</f>
        <v>6006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hidden="1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60</v>
      </c>
      <c r="Y324" s="556">
        <f>IFERROR(IF(X324="",0,CEILING((X324/$H324),1)*$H324),"")</f>
        <v>62.4</v>
      </c>
      <c r="Z324" s="36">
        <f>IFERROR(IF(Y324=0,"",ROUNDUP(Y324/H324,0)*0.01898),"")</f>
        <v>0.15184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63.800000000000004</v>
      </c>
      <c r="BN324" s="64">
        <f>IFERROR(Y324*I324/H324,"0")</f>
        <v>66.352000000000004</v>
      </c>
      <c r="BO324" s="64">
        <f>IFERROR(1/J324*(X324/H324),"0")</f>
        <v>0.1201923076923077</v>
      </c>
      <c r="BP324" s="64">
        <f>IFERROR(1/J324*(Y324/H324),"0")</f>
        <v>0.125</v>
      </c>
    </row>
    <row r="325" spans="1:68" ht="16.5" hidden="1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7.6923076923076925</v>
      </c>
      <c r="Y326" s="557">
        <f>IFERROR(Y323/H323,"0")+IFERROR(Y324/H324,"0")+IFERROR(Y325/H325,"0")</f>
        <v>8</v>
      </c>
      <c r="Z326" s="557">
        <f>IFERROR(IF(Z323="",0,Z323),"0")+IFERROR(IF(Z324="",0,Z324),"0")+IFERROR(IF(Z325="",0,Z325),"0")</f>
        <v>0.15184</v>
      </c>
      <c r="AA326" s="558"/>
      <c r="AB326" s="558"/>
      <c r="AC326" s="558"/>
    </row>
    <row r="327" spans="1:68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60</v>
      </c>
      <c r="Y327" s="557">
        <f>IFERROR(SUM(Y323:Y325),"0")</f>
        <v>62.4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hidden="1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hidden="1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hidden="1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30</v>
      </c>
      <c r="Y343" s="556">
        <f>IFERROR(IF(X343="",0,CEILING((X343/$H343),1)*$H343),"")</f>
        <v>32.4</v>
      </c>
      <c r="Z343" s="36">
        <f>IFERROR(IF(Y343=0,"",ROUNDUP(Y343/H343,0)*0.01898),"")</f>
        <v>7.5920000000000001E-2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31.829629629629629</v>
      </c>
      <c r="BN343" s="64">
        <f>IFERROR(Y343*I343/H343,"0")</f>
        <v>34.375999999999998</v>
      </c>
      <c r="BO343" s="64">
        <f>IFERROR(1/J343*(X343/H343),"0")</f>
        <v>5.7870370370370371E-2</v>
      </c>
      <c r="BP343" s="64">
        <f>IFERROR(1/J343*(Y343/H343),"0")</f>
        <v>6.25E-2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3.7037037037037037</v>
      </c>
      <c r="Y346" s="557">
        <f>IFERROR(Y343/H343,"0")+IFERROR(Y344/H344,"0")+IFERROR(Y345/H345,"0")</f>
        <v>4</v>
      </c>
      <c r="Z346" s="557">
        <f>IFERROR(IF(Z343="",0,Z343),"0")+IFERROR(IF(Z344="",0,Z344),"0")+IFERROR(IF(Z345="",0,Z345),"0")</f>
        <v>7.5920000000000001E-2</v>
      </c>
      <c r="AA346" s="558"/>
      <c r="AB346" s="558"/>
      <c r="AC346" s="558"/>
    </row>
    <row r="347" spans="1:68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30</v>
      </c>
      <c r="Y347" s="557">
        <f>IFERROR(SUM(Y343:Y345),"0")</f>
        <v>32.4</v>
      </c>
      <c r="Z347" s="37"/>
      <c r="AA347" s="558"/>
      <c r="AB347" s="558"/>
      <c r="AC347" s="558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2750</v>
      </c>
      <c r="Y351" s="556">
        <f t="shared" ref="Y351:Y357" si="41">IFERROR(IF(X351="",0,CEILING((X351/$H351),1)*$H351),"")</f>
        <v>2760</v>
      </c>
      <c r="Z351" s="36">
        <f>IFERROR(IF(Y351=0,"",ROUNDUP(Y351/H351,0)*0.02175),"")</f>
        <v>4.0019999999999998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2836.1666666666665</v>
      </c>
      <c r="BN351" s="64">
        <f t="shared" ref="BN351:BN357" si="43">IFERROR(Y351*I351/H351,"0")</f>
        <v>2846.4800000000005</v>
      </c>
      <c r="BO351" s="64">
        <f t="shared" ref="BO351:BO357" si="44">IFERROR(1/J351*(X351/H351),"0")</f>
        <v>3.8194444444444446</v>
      </c>
      <c r="BP351" s="64">
        <f t="shared" ref="BP351:BP357" si="45">IFERROR(1/J351*(Y351/H351),"0")</f>
        <v>3.833333333333333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300</v>
      </c>
      <c r="Y352" s="556">
        <f t="shared" si="41"/>
        <v>300</v>
      </c>
      <c r="Z352" s="36">
        <f>IFERROR(IF(Y352=0,"",ROUNDUP(Y352/H352,0)*0.02175),"")</f>
        <v>0.43499999999999994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309.39999999999998</v>
      </c>
      <c r="BN352" s="64">
        <f t="shared" si="43"/>
        <v>309.39999999999998</v>
      </c>
      <c r="BO352" s="64">
        <f t="shared" si="44"/>
        <v>0.41666666666666663</v>
      </c>
      <c r="BP352" s="64">
        <f t="shared" si="45"/>
        <v>0.41666666666666663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4">
        <v>4680115884830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4">
        <v>4680115887046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6750</v>
      </c>
      <c r="Y354" s="556">
        <f t="shared" si="41"/>
        <v>6750</v>
      </c>
      <c r="Z354" s="36">
        <f>IFERROR(IF(Y354=0,"",ROUNDUP(Y354/H354,0)*0.02175),"")</f>
        <v>9.7874999999999996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6961.5</v>
      </c>
      <c r="BN354" s="64">
        <f t="shared" si="43"/>
        <v>6961.5</v>
      </c>
      <c r="BO354" s="64">
        <f t="shared" si="44"/>
        <v>9.375</v>
      </c>
      <c r="BP354" s="64">
        <f t="shared" si="45"/>
        <v>9.375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25</v>
      </c>
      <c r="Y356" s="556">
        <f t="shared" si="41"/>
        <v>25</v>
      </c>
      <c r="Z356" s="36">
        <f>IFERROR(IF(Y356=0,"",ROUNDUP(Y356/H356,0)*0.00902),"")</f>
        <v>4.5100000000000001E-2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25.95</v>
      </c>
      <c r="BN356" s="64">
        <f t="shared" si="43"/>
        <v>25.95</v>
      </c>
      <c r="BO356" s="64">
        <f t="shared" si="44"/>
        <v>3.787878787878788E-2</v>
      </c>
      <c r="BP356" s="64">
        <f t="shared" si="45"/>
        <v>3.787878787878788E-2</v>
      </c>
    </row>
    <row r="357" spans="1:68" ht="37.5" hidden="1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658.33333333333337</v>
      </c>
      <c r="Y358" s="557">
        <f>IFERROR(Y351/H351,"0")+IFERROR(Y352/H352,"0")+IFERROR(Y353/H353,"0")+IFERROR(Y354/H354,"0")+IFERROR(Y355/H355,"0")+IFERROR(Y356/H356,"0")+IFERROR(Y357/H357,"0")</f>
        <v>659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14.269599999999999</v>
      </c>
      <c r="AA358" s="558"/>
      <c r="AB358" s="558"/>
      <c r="AC358" s="558"/>
    </row>
    <row r="359" spans="1:68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9825</v>
      </c>
      <c r="Y359" s="557">
        <f>IFERROR(SUM(Y351:Y357),"0")</f>
        <v>9835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750</v>
      </c>
      <c r="Y361" s="556">
        <f>IFERROR(IF(X361="",0,CEILING((X361/$H361),1)*$H361),"")</f>
        <v>750</v>
      </c>
      <c r="Z361" s="36">
        <f>IFERROR(IF(Y361=0,"",ROUNDUP(Y361/H361,0)*0.02175),"")</f>
        <v>1.0874999999999999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773.5</v>
      </c>
      <c r="BN361" s="64">
        <f>IFERROR(Y361*I361/H361,"0")</f>
        <v>773.5</v>
      </c>
      <c r="BO361" s="64">
        <f>IFERROR(1/J361*(X361/H361),"0")</f>
        <v>1.0416666666666665</v>
      </c>
      <c r="BP361" s="64">
        <f>IFERROR(1/J361*(Y361/H361),"0")</f>
        <v>1.0416666666666665</v>
      </c>
    </row>
    <row r="362" spans="1:68" ht="27" hidden="1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50</v>
      </c>
      <c r="Y363" s="557">
        <f>IFERROR(Y361/H361,"0")+IFERROR(Y362/H362,"0")</f>
        <v>50</v>
      </c>
      <c r="Z363" s="557">
        <f>IFERROR(IF(Z361="",0,Z361),"0")+IFERROR(IF(Z362="",0,Z362),"0")</f>
        <v>1.0874999999999999</v>
      </c>
      <c r="AA363" s="558"/>
      <c r="AB363" s="558"/>
      <c r="AC363" s="558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750</v>
      </c>
      <c r="Y364" s="557">
        <f>IFERROR(SUM(Y361:Y362),"0")</f>
        <v>750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hidden="1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200</v>
      </c>
      <c r="Y367" s="556">
        <f>IFERROR(IF(X367="",0,CEILING((X367/$H367),1)*$H367),"")</f>
        <v>207</v>
      </c>
      <c r="Z367" s="36">
        <f>IFERROR(IF(Y367=0,"",ROUNDUP(Y367/H367,0)*0.01898),"")</f>
        <v>0.43653999999999998</v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210.97777777777776</v>
      </c>
      <c r="BN367" s="64">
        <f>IFERROR(Y367*I367/H367,"0")</f>
        <v>218.36199999999999</v>
      </c>
      <c r="BO367" s="64">
        <f>IFERROR(1/J367*(X367/H367),"0")</f>
        <v>0.34722222222222221</v>
      </c>
      <c r="BP367" s="64">
        <f>IFERROR(1/J367*(Y367/H367),"0")</f>
        <v>0.359375</v>
      </c>
    </row>
    <row r="368" spans="1:68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22.222222222222221</v>
      </c>
      <c r="Y368" s="557">
        <f>IFERROR(Y366/H366,"0")+IFERROR(Y367/H367,"0")</f>
        <v>23</v>
      </c>
      <c r="Z368" s="557">
        <f>IFERROR(IF(Z366="",0,Z366),"0")+IFERROR(IF(Z367="",0,Z367),"0")</f>
        <v>0.43653999999999998</v>
      </c>
      <c r="AA368" s="558"/>
      <c r="AB368" s="558"/>
      <c r="AC368" s="558"/>
    </row>
    <row r="369" spans="1:68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200</v>
      </c>
      <c r="Y369" s="557">
        <f>IFERROR(SUM(Y366:Y367),"0")</f>
        <v>207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20</v>
      </c>
      <c r="Y371" s="556">
        <f>IFERROR(IF(X371="",0,CEILING((X371/$H371),1)*$H371),"")</f>
        <v>27</v>
      </c>
      <c r="Z371" s="36">
        <f>IFERROR(IF(Y371=0,"",ROUNDUP(Y371/H371,0)*0.01898),"")</f>
        <v>5.6940000000000004E-2</v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21.097777777777779</v>
      </c>
      <c r="BN371" s="64">
        <f>IFERROR(Y371*I371/H371,"0")</f>
        <v>28.481999999999996</v>
      </c>
      <c r="BO371" s="64">
        <f>IFERROR(1/J371*(X371/H371),"0")</f>
        <v>3.4722222222222224E-2</v>
      </c>
      <c r="BP371" s="64">
        <f>IFERROR(1/J371*(Y371/H371),"0")</f>
        <v>4.6875E-2</v>
      </c>
    </row>
    <row r="372" spans="1:68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2.2222222222222223</v>
      </c>
      <c r="Y372" s="557">
        <f>IFERROR(Y371/H371,"0")</f>
        <v>3</v>
      </c>
      <c r="Z372" s="557">
        <f>IFERROR(IF(Z371="",0,Z371),"0")</f>
        <v>5.6940000000000004E-2</v>
      </c>
      <c r="AA372" s="558"/>
      <c r="AB372" s="558"/>
      <c r="AC372" s="558"/>
    </row>
    <row r="373" spans="1:68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20</v>
      </c>
      <c r="Y373" s="557">
        <f>IFERROR(SUM(Y371:Y371),"0")</f>
        <v>27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4">
        <v>4607091384802</v>
      </c>
      <c r="E381" s="565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12</v>
      </c>
      <c r="Y381" s="556">
        <f>IFERROR(IF(X381="",0,CEILING((X381/$H381),1)*$H381),"")</f>
        <v>13.14</v>
      </c>
      <c r="Z381" s="36">
        <f>IFERROR(IF(Y381=0,"",ROUNDUP(Y381/H381,0)*0.00902),"")</f>
        <v>2.7060000000000001E-2</v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12.684931506849315</v>
      </c>
      <c r="BN381" s="64">
        <f>IFERROR(Y381*I381/H381,"0")</f>
        <v>13.89</v>
      </c>
      <c r="BO381" s="64">
        <f>IFERROR(1/J381*(X381/H381),"0")</f>
        <v>2.0755500207555001E-2</v>
      </c>
      <c r="BP381" s="64">
        <f>IFERROR(1/J381*(Y381/H381),"0")</f>
        <v>2.2727272727272728E-2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4">
        <v>4607091384802</v>
      </c>
      <c r="E382" s="565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2.7397260273972601</v>
      </c>
      <c r="Y383" s="557">
        <f>IFERROR(Y381/H381,"0")+IFERROR(Y382/H382,"0")</f>
        <v>3</v>
      </c>
      <c r="Z383" s="557">
        <f>IFERROR(IF(Z381="",0,Z381),"0")+IFERROR(IF(Z382="",0,Z382),"0")</f>
        <v>2.7060000000000001E-2</v>
      </c>
      <c r="AA383" s="558"/>
      <c r="AB383" s="558"/>
      <c r="AC383" s="558"/>
    </row>
    <row r="384" spans="1:68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12</v>
      </c>
      <c r="Y384" s="557">
        <f>IFERROR(SUM(Y381:Y382),"0")</f>
        <v>13.14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20</v>
      </c>
      <c r="Y386" s="556">
        <f>IFERROR(IF(X386="",0,CEILING((X386/$H386),1)*$H386),"")</f>
        <v>27</v>
      </c>
      <c r="Z386" s="36">
        <f>IFERROR(IF(Y386=0,"",ROUNDUP(Y386/H386,0)*0.01898),"")</f>
        <v>5.6940000000000004E-2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21.097777777777779</v>
      </c>
      <c r="BN386" s="64">
        <f>IFERROR(Y386*I386/H386,"0")</f>
        <v>28.481999999999996</v>
      </c>
      <c r="BO386" s="64">
        <f>IFERROR(1/J386*(X386/H386),"0")</f>
        <v>3.4722222222222224E-2</v>
      </c>
      <c r="BP386" s="64">
        <f>IFERROR(1/J386*(Y386/H386),"0")</f>
        <v>4.6875E-2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2.2222222222222223</v>
      </c>
      <c r="Y389" s="557">
        <f>IFERROR(Y386/H386,"0")+IFERROR(Y387/H387,"0")+IFERROR(Y388/H388,"0")</f>
        <v>3</v>
      </c>
      <c r="Z389" s="557">
        <f>IFERROR(IF(Z386="",0,Z386),"0")+IFERROR(IF(Z387="",0,Z387),"0")+IFERROR(IF(Z388="",0,Z388),"0")</f>
        <v>5.6940000000000004E-2</v>
      </c>
      <c r="AA389" s="558"/>
      <c r="AB389" s="558"/>
      <c r="AC389" s="558"/>
    </row>
    <row r="390" spans="1:68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20</v>
      </c>
      <c r="Y390" s="557">
        <f>IFERROR(SUM(Y386:Y388),"0")</f>
        <v>27</v>
      </c>
      <c r="Z390" s="37"/>
      <c r="AA390" s="558"/>
      <c r="AB390" s="558"/>
      <c r="AC390" s="558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50</v>
      </c>
      <c r="Y394" s="556">
        <f t="shared" ref="Y394:Y402" si="46">IFERROR(IF(X394="",0,CEILING((X394/$H394),1)*$H394),"")</f>
        <v>54</v>
      </c>
      <c r="Z394" s="36">
        <f>IFERROR(IF(Y394=0,"",ROUNDUP(Y394/H394,0)*0.00902),"")</f>
        <v>9.0200000000000002E-2</v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51.759259259259252</v>
      </c>
      <c r="BN394" s="64">
        <f t="shared" ref="BN394:BN402" si="48">IFERROR(Y394*I394/H394,"0")</f>
        <v>55.9</v>
      </c>
      <c r="BO394" s="64">
        <f t="shared" ref="BO394:BO402" si="49">IFERROR(1/J394*(X394/H394),"0")</f>
        <v>7.0145903479236812E-2</v>
      </c>
      <c r="BP394" s="64">
        <f t="shared" ref="BP394:BP402" si="50">IFERROR(1/J394*(Y394/H394),"0")</f>
        <v>7.575757575757576E-2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9.2592592592592595</v>
      </c>
      <c r="Y403" s="557">
        <f>IFERROR(Y394/H394,"0")+IFERROR(Y395/H395,"0")+IFERROR(Y396/H396,"0")+IFERROR(Y397/H397,"0")+IFERROR(Y398/H398,"0")+IFERROR(Y399/H399,"0")+IFERROR(Y400/H400,"0")+IFERROR(Y401/H401,"0")+IFERROR(Y402/H402,"0")</f>
        <v>10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9.0200000000000002E-2</v>
      </c>
      <c r="AA403" s="558"/>
      <c r="AB403" s="558"/>
      <c r="AC403" s="558"/>
    </row>
    <row r="404" spans="1:68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50</v>
      </c>
      <c r="Y404" s="557">
        <f>IFERROR(SUM(Y394:Y402),"0")</f>
        <v>54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50</v>
      </c>
      <c r="Y416" s="556">
        <f>IFERROR(IF(X416="",0,CEILING((X416/$H416),1)*$H416),"")</f>
        <v>54</v>
      </c>
      <c r="Z416" s="36">
        <f>IFERROR(IF(Y416=0,"",ROUNDUP(Y416/H416,0)*0.00902),"")</f>
        <v>9.0200000000000002E-2</v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51.759259259259252</v>
      </c>
      <c r="BN416" s="64">
        <f>IFERROR(Y416*I416/H416,"0")</f>
        <v>55.9</v>
      </c>
      <c r="BO416" s="64">
        <f>IFERROR(1/J416*(X416/H416),"0")</f>
        <v>7.0145903479236812E-2</v>
      </c>
      <c r="BP416" s="64">
        <f>IFERROR(1/J416*(Y416/H416),"0")</f>
        <v>7.575757575757576E-2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9.2592592592592595</v>
      </c>
      <c r="Y420" s="557">
        <f>IFERROR(Y416/H416,"0")+IFERROR(Y417/H417,"0")+IFERROR(Y418/H418,"0")+IFERROR(Y419/H419,"0")</f>
        <v>10</v>
      </c>
      <c r="Z420" s="557">
        <f>IFERROR(IF(Z416="",0,Z416),"0")+IFERROR(IF(Z417="",0,Z417),"0")+IFERROR(IF(Z418="",0,Z418),"0")+IFERROR(IF(Z419="",0,Z419),"0")</f>
        <v>9.0200000000000002E-2</v>
      </c>
      <c r="AA420" s="558"/>
      <c r="AB420" s="558"/>
      <c r="AC420" s="558"/>
    </row>
    <row r="421" spans="1:68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50</v>
      </c>
      <c r="Y421" s="557">
        <f>IFERROR(SUM(Y416:Y419),"0")</f>
        <v>54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hidden="1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hidden="1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110</v>
      </c>
      <c r="Y436" s="556">
        <f t="shared" si="52"/>
        <v>110.88000000000001</v>
      </c>
      <c r="Z436" s="36">
        <f t="shared" si="53"/>
        <v>0.25115999999999999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117.29166666666666</v>
      </c>
      <c r="BN436" s="64">
        <f t="shared" si="55"/>
        <v>118.23</v>
      </c>
      <c r="BO436" s="64">
        <f t="shared" si="56"/>
        <v>0.20032051282051283</v>
      </c>
      <c r="BP436" s="64">
        <f t="shared" si="57"/>
        <v>0.20192307692307693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20.833333333333332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21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0.25115999999999999</v>
      </c>
      <c r="AA442" s="558"/>
      <c r="AB442" s="558"/>
      <c r="AC442" s="558"/>
    </row>
    <row r="443" spans="1:68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110</v>
      </c>
      <c r="Y443" s="557">
        <f>IFERROR(SUM(Y430:Y441),"0")</f>
        <v>110.88000000000001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hidden="1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hidden="1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40</v>
      </c>
      <c r="Y451" s="556">
        <f t="shared" ref="Y451:Y456" si="58">IFERROR(IF(X451="",0,CEILING((X451/$H451),1)*$H451),"")</f>
        <v>42.24</v>
      </c>
      <c r="Z451" s="36">
        <f>IFERROR(IF(Y451=0,"",ROUNDUP(Y451/H451,0)*0.01196),"")</f>
        <v>9.5680000000000001E-2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42.651515151515149</v>
      </c>
      <c r="BN451" s="64">
        <f t="shared" ref="BN451:BN456" si="60">IFERROR(Y451*I451/H451,"0")</f>
        <v>45.04</v>
      </c>
      <c r="BO451" s="64">
        <f t="shared" ref="BO451:BO456" si="61">IFERROR(1/J451*(X451/H451),"0")</f>
        <v>7.2843822843822847E-2</v>
      </c>
      <c r="BP451" s="64">
        <f t="shared" ref="BP451:BP456" si="62">IFERROR(1/J451*(Y451/H451),"0")</f>
        <v>7.6923076923076927E-2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30</v>
      </c>
      <c r="Y453" s="556">
        <f t="shared" si="58"/>
        <v>31.68</v>
      </c>
      <c r="Z453" s="36">
        <f>IFERROR(IF(Y453=0,"",ROUNDUP(Y453/H453,0)*0.01196),"")</f>
        <v>7.1760000000000004E-2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31.988636363636363</v>
      </c>
      <c r="BN453" s="64">
        <f t="shared" si="60"/>
        <v>33.779999999999994</v>
      </c>
      <c r="BO453" s="64">
        <f t="shared" si="61"/>
        <v>5.4632867132867136E-2</v>
      </c>
      <c r="BP453" s="64">
        <f t="shared" si="62"/>
        <v>5.7692307692307696E-2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13.257575757575758</v>
      </c>
      <c r="Y457" s="557">
        <f>IFERROR(Y451/H451,"0")+IFERROR(Y452/H452,"0")+IFERROR(Y453/H453,"0")+IFERROR(Y454/H454,"0")+IFERROR(Y455/H455,"0")+IFERROR(Y456/H456,"0")</f>
        <v>14</v>
      </c>
      <c r="Z457" s="557">
        <f>IFERROR(IF(Z451="",0,Z451),"0")+IFERROR(IF(Z452="",0,Z452),"0")+IFERROR(IF(Z453="",0,Z453),"0")+IFERROR(IF(Z454="",0,Z454),"0")+IFERROR(IF(Z455="",0,Z455),"0")+IFERROR(IF(Z456="",0,Z456),"0")</f>
        <v>0.16744000000000001</v>
      </c>
      <c r="AA457" s="558"/>
      <c r="AB457" s="558"/>
      <c r="AC457" s="558"/>
    </row>
    <row r="458" spans="1:68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70</v>
      </c>
      <c r="Y458" s="557">
        <f>IFERROR(SUM(Y451:Y456),"0")</f>
        <v>73.92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hidden="1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hidden="1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hidden="1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hidden="1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hidden="1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18072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18168.139999999996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37" t="s">
        <v>69</v>
      </c>
      <c r="X497" s="557">
        <f>IFERROR(SUM(BM22:BM493),"0")</f>
        <v>18857.315377723044</v>
      </c>
      <c r="Y497" s="557">
        <f>IFERROR(SUM(BN22:BN493),"0")</f>
        <v>18958.234000000004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37" t="s">
        <v>761</v>
      </c>
      <c r="X498" s="38">
        <f>ROUNDUP(SUM(BO22:BO493),0)</f>
        <v>30</v>
      </c>
      <c r="Y498" s="38">
        <f>ROUNDUP(SUM(BP22:BP493),0)</f>
        <v>30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37" t="s">
        <v>69</v>
      </c>
      <c r="X499" s="557">
        <f>GrossWeightTotal+PalletQtyTotal*25</f>
        <v>19607.315377723044</v>
      </c>
      <c r="Y499" s="557">
        <f>GrossWeightTotalR+PalletQtyTotalR*25</f>
        <v>19708.234000000004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1742.3571907253217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1756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33.177149999999997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552" t="s">
        <v>667</v>
      </c>
      <c r="Y503" s="594" t="s">
        <v>722</v>
      </c>
      <c r="Z503" s="777"/>
      <c r="AB503" s="52"/>
      <c r="AC503" s="52"/>
      <c r="AF503" s="553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0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78.300000000000011</v>
      </c>
      <c r="E506" s="46">
        <f>IFERROR(Y85*1,"0")+IFERROR(Y86*1,"0")+IFERROR(Y87*1,"0")+IFERROR(Y88*1,"0")+IFERROR(Y92*1,"0")+IFERROR(Y93*1,"0")+IFERROR(Y94*1,"0")+IFERROR(Y95*1,"0")</f>
        <v>99.9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143.4</v>
      </c>
      <c r="G506" s="46">
        <f>IFERROR(Y127*1,"0")+IFERROR(Y128*1,"0")+IFERROR(Y132*1,"0")+IFERROR(Y133*1,"0")+IFERROR(Y137*1,"0")+IFERROR(Y138*1,"0")</f>
        <v>53.199999999999996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54.6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486.00000000000006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6068.4</v>
      </c>
      <c r="R506" s="46">
        <f>IFERROR(Y343*1,"0")+IFERROR(Y344*1,"0")+IFERROR(Y345*1,"0")</f>
        <v>32.4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10819</v>
      </c>
      <c r="T506" s="46">
        <f>IFERROR(Y376*1,"0")+IFERROR(Y377*1,"0")+IFERROR(Y381*1,"0")+IFERROR(Y382*1,"0")+IFERROR(Y386*1,"0")+IFERROR(Y387*1,"0")+IFERROR(Y388*1,"0")</f>
        <v>40.14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54</v>
      </c>
      <c r="V506" s="46">
        <f>IFERROR(Y412*1,"0")+IFERROR(Y416*1,"0")+IFERROR(Y417*1,"0")+IFERROR(Y418*1,"0")+IFERROR(Y419*1,"0")</f>
        <v>54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184.8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42,36"/>
        <filter val="1,85"/>
        <filter val="11,90"/>
        <filter val="110,00"/>
        <filter val="12,00"/>
        <filter val="120,00"/>
        <filter val="13,00"/>
        <filter val="13,26"/>
        <filter val="16,67"/>
        <filter val="18 072,00"/>
        <filter val="18 857,32"/>
        <filter val="18,57"/>
        <filter val="19 607,32"/>
        <filter val="2 750,00"/>
        <filter val="2,22"/>
        <filter val="2,74"/>
        <filter val="20,00"/>
        <filter val="20,11"/>
        <filter val="20,83"/>
        <filter val="200,00"/>
        <filter val="22,22"/>
        <filter val="25,00"/>
        <filter val="3,70"/>
        <filter val="30"/>
        <filter val="30,00"/>
        <filter val="300,00"/>
        <filter val="40,00"/>
        <filter val="400,00"/>
        <filter val="50,00"/>
        <filter val="52,00"/>
        <filter val="6 000,00"/>
        <filter val="6 750,00"/>
        <filter val="6,17"/>
        <filter val="60,00"/>
        <filter val="658,33"/>
        <filter val="7,69"/>
        <filter val="70,00"/>
        <filter val="73,00"/>
        <filter val="74,07"/>
        <filter val="750,00"/>
        <filter val="769,23"/>
        <filter val="8,44"/>
        <filter val="80,00"/>
        <filter val="9 825,00"/>
        <filter val="9,26"/>
        <filter val="9,88"/>
        <filter val="90,00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2026-01-06T10:05:12Z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