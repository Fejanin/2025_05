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4469A7-04D9-4FFB-842E-F0F22C834D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O63" i="1"/>
  <c r="BM63" i="1"/>
  <c r="Z63" i="1"/>
  <c r="Y63" i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94" i="1" l="1"/>
  <c r="BN94" i="1"/>
  <c r="Z94" i="1"/>
  <c r="BP138" i="1"/>
  <c r="BN138" i="1"/>
  <c r="Z138" i="1"/>
  <c r="BP175" i="1"/>
  <c r="BN175" i="1"/>
  <c r="Z175" i="1"/>
  <c r="BP210" i="1"/>
  <c r="BN210" i="1"/>
  <c r="Z210" i="1"/>
  <c r="BP235" i="1"/>
  <c r="BN235" i="1"/>
  <c r="Z235" i="1"/>
  <c r="BP273" i="1"/>
  <c r="BN273" i="1"/>
  <c r="Z273" i="1"/>
  <c r="BP308" i="1"/>
  <c r="BN308" i="1"/>
  <c r="Z308" i="1"/>
  <c r="BP336" i="1"/>
  <c r="BN336" i="1"/>
  <c r="Z336" i="1"/>
  <c r="BP367" i="1"/>
  <c r="BN367" i="1"/>
  <c r="Z367" i="1"/>
  <c r="BP402" i="1"/>
  <c r="BN402" i="1"/>
  <c r="Z402" i="1"/>
  <c r="BP435" i="1"/>
  <c r="BN435" i="1"/>
  <c r="Z435" i="1"/>
  <c r="BP455" i="1"/>
  <c r="BN455" i="1"/>
  <c r="Z455" i="1"/>
  <c r="Z30" i="1"/>
  <c r="BN30" i="1"/>
  <c r="Z57" i="1"/>
  <c r="BN57" i="1"/>
  <c r="BP63" i="1"/>
  <c r="BN63" i="1"/>
  <c r="BP79" i="1"/>
  <c r="BN79" i="1"/>
  <c r="Z79" i="1"/>
  <c r="BP111" i="1"/>
  <c r="BN111" i="1"/>
  <c r="Z111" i="1"/>
  <c r="BP153" i="1"/>
  <c r="BN153" i="1"/>
  <c r="Z153" i="1"/>
  <c r="BP196" i="1"/>
  <c r="BN196" i="1"/>
  <c r="Z196" i="1"/>
  <c r="BP220" i="1"/>
  <c r="BN220" i="1"/>
  <c r="Z220" i="1"/>
  <c r="BP255" i="1"/>
  <c r="BN255" i="1"/>
  <c r="Z255" i="1"/>
  <c r="BP287" i="1"/>
  <c r="BN287" i="1"/>
  <c r="Z287" i="1"/>
  <c r="BP318" i="1"/>
  <c r="BN318" i="1"/>
  <c r="Z318" i="1"/>
  <c r="BP353" i="1"/>
  <c r="BN353" i="1"/>
  <c r="Z353" i="1"/>
  <c r="BP394" i="1"/>
  <c r="BN394" i="1"/>
  <c r="Z394" i="1"/>
  <c r="Y425" i="1"/>
  <c r="BP424" i="1"/>
  <c r="BN424" i="1"/>
  <c r="Z424" i="1"/>
  <c r="Z425" i="1" s="1"/>
  <c r="BP445" i="1"/>
  <c r="BN445" i="1"/>
  <c r="Z44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F9" i="1"/>
  <c r="F10" i="1"/>
  <c r="BP293" i="1"/>
  <c r="BN293" i="1"/>
  <c r="BP302" i="1"/>
  <c r="BN302" i="1"/>
  <c r="Z302" i="1"/>
  <c r="Y320" i="1"/>
  <c r="BP316" i="1"/>
  <c r="BN316" i="1"/>
  <c r="Z316" i="1"/>
  <c r="BP332" i="1"/>
  <c r="BN332" i="1"/>
  <c r="Z332" i="1"/>
  <c r="Y359" i="1"/>
  <c r="BP351" i="1"/>
  <c r="BN351" i="1"/>
  <c r="Z351" i="1"/>
  <c r="BP361" i="1"/>
  <c r="BN361" i="1"/>
  <c r="Z361" i="1"/>
  <c r="BP388" i="1"/>
  <c r="BN388" i="1"/>
  <c r="Z388" i="1"/>
  <c r="BP400" i="1"/>
  <c r="BN400" i="1"/>
  <c r="Z400" i="1"/>
  <c r="BP419" i="1"/>
  <c r="BN419" i="1"/>
  <c r="Z419" i="1"/>
  <c r="BP433" i="1"/>
  <c r="BN433" i="1"/>
  <c r="Z433" i="1"/>
  <c r="BP441" i="1"/>
  <c r="BN441" i="1"/>
  <c r="Z441" i="1"/>
  <c r="BP453" i="1"/>
  <c r="BN453" i="1"/>
  <c r="Z453" i="1"/>
  <c r="Y475" i="1"/>
  <c r="BP473" i="1"/>
  <c r="BN473" i="1"/>
  <c r="Z473" i="1"/>
  <c r="J9" i="1"/>
  <c r="Z28" i="1"/>
  <c r="BN28" i="1"/>
  <c r="Z42" i="1"/>
  <c r="BN42" i="1"/>
  <c r="Z55" i="1"/>
  <c r="BN55" i="1"/>
  <c r="Z61" i="1"/>
  <c r="BN61" i="1"/>
  <c r="Z67" i="1"/>
  <c r="BN67" i="1"/>
  <c r="BP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8" i="1"/>
  <c r="BN208" i="1"/>
  <c r="Z212" i="1"/>
  <c r="BN212" i="1"/>
  <c r="Y226" i="1"/>
  <c r="Z218" i="1"/>
  <c r="BN218" i="1"/>
  <c r="Z222" i="1"/>
  <c r="BN222" i="1"/>
  <c r="Z228" i="1"/>
  <c r="BN228" i="1"/>
  <c r="BP228" i="1"/>
  <c r="K506" i="1"/>
  <c r="Z237" i="1"/>
  <c r="BN237" i="1"/>
  <c r="Z241" i="1"/>
  <c r="BN241" i="1"/>
  <c r="Y259" i="1"/>
  <c r="Z257" i="1"/>
  <c r="BN257" i="1"/>
  <c r="Z266" i="1"/>
  <c r="BN266" i="1"/>
  <c r="Z275" i="1"/>
  <c r="BN275" i="1"/>
  <c r="Z282" i="1"/>
  <c r="BN282" i="1"/>
  <c r="Z293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73" i="1"/>
  <c r="Y372" i="1"/>
  <c r="BP371" i="1"/>
  <c r="BN371" i="1"/>
  <c r="Z371" i="1"/>
  <c r="Z372" i="1" s="1"/>
  <c r="BP376" i="1"/>
  <c r="BN376" i="1"/>
  <c r="Z376" i="1"/>
  <c r="BP396" i="1"/>
  <c r="BN396" i="1"/>
  <c r="Z396" i="1"/>
  <c r="Y408" i="1"/>
  <c r="BP406" i="1"/>
  <c r="BN406" i="1"/>
  <c r="Z406" i="1"/>
  <c r="BP437" i="1"/>
  <c r="BN437" i="1"/>
  <c r="Z437" i="1"/>
  <c r="BP447" i="1"/>
  <c r="BN447" i="1"/>
  <c r="Z447" i="1"/>
  <c r="BP467" i="1"/>
  <c r="BN467" i="1"/>
  <c r="Z467" i="1"/>
  <c r="Y340" i="1"/>
  <c r="Y339" i="1"/>
  <c r="U506" i="1"/>
  <c r="Y426" i="1"/>
  <c r="Y457" i="1"/>
  <c r="W506" i="1"/>
  <c r="BP23" i="1"/>
  <c r="BN23" i="1"/>
  <c r="Z23" i="1"/>
  <c r="Z24" i="1" s="1"/>
  <c r="B506" i="1"/>
  <c r="Y25" i="1"/>
  <c r="Y32" i="1"/>
  <c r="BP27" i="1"/>
  <c r="BN27" i="1"/>
  <c r="Z27" i="1"/>
  <c r="BP31" i="1"/>
  <c r="BN31" i="1"/>
  <c r="Z31" i="1"/>
  <c r="Y33" i="1"/>
  <c r="Y36" i="1"/>
  <c r="BP35" i="1"/>
  <c r="BN35" i="1"/>
  <c r="Z35" i="1"/>
  <c r="Z36" i="1" s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Z69" i="1" s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Z119" i="1" s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BP299" i="1"/>
  <c r="BN299" i="1"/>
  <c r="Z299" i="1"/>
  <c r="BP303" i="1"/>
  <c r="BN303" i="1"/>
  <c r="Z303" i="1"/>
  <c r="Y305" i="1"/>
  <c r="Y314" i="1"/>
  <c r="BP307" i="1"/>
  <c r="BN307" i="1"/>
  <c r="Z307" i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Z368" i="1" s="1"/>
  <c r="BP387" i="1"/>
  <c r="BN387" i="1"/>
  <c r="Z387" i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Z243" i="1" s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Z259" i="1" s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BP325" i="1"/>
  <c r="BN325" i="1"/>
  <c r="Z325" i="1"/>
  <c r="Y327" i="1"/>
  <c r="Y334" i="1"/>
  <c r="BP329" i="1"/>
  <c r="BN329" i="1"/>
  <c r="Z329" i="1"/>
  <c r="Y333" i="1"/>
  <c r="BP337" i="1"/>
  <c r="BN337" i="1"/>
  <c r="Z337" i="1"/>
  <c r="Y346" i="1"/>
  <c r="BP352" i="1"/>
  <c r="BN352" i="1"/>
  <c r="Z352" i="1"/>
  <c r="BP356" i="1"/>
  <c r="BN356" i="1"/>
  <c r="Z356" i="1"/>
  <c r="Z358" i="1" s="1"/>
  <c r="Y363" i="1"/>
  <c r="Y368" i="1"/>
  <c r="BP377" i="1"/>
  <c r="BN377" i="1"/>
  <c r="Z377" i="1"/>
  <c r="Y379" i="1"/>
  <c r="Y384" i="1"/>
  <c r="BP381" i="1"/>
  <c r="BN381" i="1"/>
  <c r="Z381" i="1"/>
  <c r="Z383" i="1" s="1"/>
  <c r="Y390" i="1"/>
  <c r="Y389" i="1"/>
  <c r="BP395" i="1"/>
  <c r="BN395" i="1"/>
  <c r="Z395" i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48" i="1"/>
  <c r="BP488" i="1"/>
  <c r="BN488" i="1"/>
  <c r="Z488" i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9" i="1"/>
  <c r="Y506" i="1"/>
  <c r="Z470" i="1" l="1"/>
  <c r="Z489" i="1"/>
  <c r="Z420" i="1"/>
  <c r="Z378" i="1"/>
  <c r="Z339" i="1"/>
  <c r="Z389" i="1"/>
  <c r="Z129" i="1"/>
  <c r="Z197" i="1"/>
  <c r="Z139" i="1"/>
  <c r="Y497" i="1"/>
  <c r="Z457" i="1"/>
  <c r="Z403" i="1"/>
  <c r="Z313" i="1"/>
  <c r="Z304" i="1"/>
  <c r="Z225" i="1"/>
  <c r="Z32" i="1"/>
  <c r="Y498" i="1"/>
  <c r="Z442" i="1"/>
  <c r="Z276" i="1"/>
  <c r="Z44" i="1"/>
  <c r="Y496" i="1"/>
  <c r="Z333" i="1"/>
  <c r="Z320" i="1"/>
  <c r="Z268" i="1"/>
  <c r="X499" i="1"/>
  <c r="Z326" i="1"/>
  <c r="Z154" i="1"/>
  <c r="Z58" i="1"/>
  <c r="Y500" i="1"/>
  <c r="Z181" i="1"/>
  <c r="Z112" i="1"/>
  <c r="Z105" i="1"/>
  <c r="Z501" i="1" l="1"/>
  <c r="Y499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<sst xmlns="http://schemas.openxmlformats.org/spreadsheetml/2006/main" count="2386" uniqueCount="785">
  <si>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</si>
  <si>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</si>
  <si>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</si>
  <si>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</si>
  <si>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</si>
  <si>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</si>
  <si>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</si>
  <si>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</si>
  <si>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</si>
  <si>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</si>
  <si>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</si>
  <si>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</si>
  <si>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</si>
  <si>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</si>
  <si>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</si>
  <si>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</si>
  <si>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</si>
  <si>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</si>
  <si>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</si>
  <si>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</si>
  <si>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</si>
  <si>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</si>
  <si>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</si>
  <si>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</si>
  <si>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</si>
  <si>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</si>
  <si>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</si>
  <si>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</si>
  <si>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</si>
  <si>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</si>
  <si>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</si>
  <si>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</si>
  <si>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</si>
  <si>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</si>
  <si>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</si>
  <si>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</si>
  <si>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</si>
  <si>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</si>
  <si>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</si>
  <si>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</si>
  <si>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</si>
  <si>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</si>
  <si>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</si>
  <si>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</si>
  <si>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</si>
  <si>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</si>
  <si>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</si>
  <si>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</si>
  <si>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</si>
  <si>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</si>
  <si>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</si>
  <si>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</si>
  <si>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</si>
  <si>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</si>
  <si>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</si>
  <si>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</si>
  <si>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</si>
  <si>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</si>
  <si>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</si>
  <si>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</si>
  <si>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</si>
  <si>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</si>
  <si>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</si>
  <si>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</si>
  <si>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</si>
  <si>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</si>
  <si>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</si>
  <si>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</si>
  <si>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</si>
  <si>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</si>
  <si>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</si>
  <si>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</si>
  <si>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</si>
  <si>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</si>
  <si>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</si>
  <si>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</si>
  <si>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</si>
  <si>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</si>
  <si>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</si>
  <si>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</si>
  <si>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</si>
  <si>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</si>
  <si>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</si>
  <si>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</si>
  <si>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</si>
  <si>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</si>
  <si>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</si>
  <si>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</si>
  <si>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</si>
  <si>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</si>
  <si>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</si>
  <si>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</si>
  <si>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</si>
  <si>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</si>
  <si>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</si>
  <si>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</si>
  <si>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</si>
  <si>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</si>
  <si>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</si>
  <si>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</si>
  <si>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</si>
  <si>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</si>
  <si>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</si>
  <si>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</si>
  <si>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</si>
  <si>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</si>
  <si>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</si>
  <si>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</si>
  <si>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</si>
  <si>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</si>
  <si>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</si>
  <si>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</si>
  <si>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</si>
  <si>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</si>
  <si>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</si>
  <si>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</si>
  <si>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</si>
  <si>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</si>
  <si>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</si>
  <si>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</si>
  <si>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</si>
  <si>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</si>
  <si>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</si>
  <si>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</si>
  <si>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</si>
  <si>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</si>
  <si>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</si>
  <si>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</si>
  <si>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</si>
  <si>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</si>
  <si>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</si>
  <si>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</si>
  <si>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</si>
  <si>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</si>
  <si>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</si>
  <si>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</si>
  <si>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</si>
  <si>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</si>
  <si>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</si>
  <si>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</si>
  <si>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</si>
  <si>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</si>
  <si>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</si>
  <si>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</si>
  <si>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</si>
  <si>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</si>
  <si>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</si>
  <si>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</si>
  <si>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</si>
  <si>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</si>
  <si>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</si>
  <si>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</si>
  <si>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</si>
  <si>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</si>
  <si>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</si>
  <si>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</si>
  <si>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</si>
  <si>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</si>
  <si>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</si>
  <si>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</si>
  <si>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</si>
  <si>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</si>
  <si>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</si>
  <si>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</si>
  <si>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</si>
  <si>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</si>
  <si>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</si>
  <si>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</si>
  <si>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</si>
  <si>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</si>
  <si>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</si>
  <si>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</si>
  <si>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</si>
  <si>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</si>
  <si>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</si>
  <si>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</si>
  <si>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</si>
  <si>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</si>
  <si>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</si>
  <si>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</si>
  <si>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</si>
  <si>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</si>
  <si>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</si>
  <si>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</si>
  <si>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</si>
  <si>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</si>
  <si>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</si>
  <si>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</si>
  <si>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</si>
  <si>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</si>
  <si>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</si>
  <si>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</si>
  <si>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</si>
  <si>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</si>
  <si>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</si>
  <si>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</si>
  <si>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</si>
  <si>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</si>
  <si>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</si>
  <si>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</si>
  <si>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</si>
  <si>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</si>
  <si>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</si>
  <si>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</si>
  <si>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</si>
  <si>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</si>
  <si>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</si>
  <si>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</si>
  <si>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</si>
  <si>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</si>
  <si>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</si>
  <si>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</si>
  <si>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</si>
  <si>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</si>
  <si>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</si>
  <si>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</si>
  <si>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</si>
  <si>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</si>
  <si>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</si>
  <si>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</si>
  <si>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</si>
  <si>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</si>
  <si>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</si>
  <si>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</si>
  <si>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</si>
  <si>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</si>
  <si>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</si>
  <si>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</si>
  <si>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</si>
  <si>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</si>
  <si>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</si>
  <si>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</si>
  <si>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</si>
  <si>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</si>
  <si>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</si>
  <si>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</si>
  <si>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</si>
  <si>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</si>
  <si>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</si>
  <si>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</si>
  <si>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</si>
  <si>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</si>
  <si>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</si>
  <si>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</si>
  <si>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</si>
  <si>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</si>
  <si>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</si>
  <si>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</si>
  <si>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</si>
  <si>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</si>
  <si>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</si>
  <si>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</si>
  <si>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</si>
  <si>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</si>
  <si>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</si>
  <si>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</si>
  <si>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</si>
  <si>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</si>
  <si>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</si>
  <si>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</si>
  <si>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</si>
  <si>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</si>
  <si>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</si>
  <si>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</si>
  <si>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</si>
  <si>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</si>
  <si>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</si>
  <si>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</si>
  <si>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</si>
  <si>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</si>
  <si>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</si>
  <si>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</si>
  <si>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</si>
  <si>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</si>
  <si>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</si>
  <si>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</si>
  <si>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</si>
  <si>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</si>
  <si>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</si>
  <si>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</si>
  <si>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</si>
  <si>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</si>
  <si>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</si>
  <si>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</si>
  <si>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</si>
  <si>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</si>
  <si>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</si>
  <si>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</si>
  <si>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</si>
  <si>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</si>
  <si>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</si>
  <si>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</si>
  <si>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</si>
  <si>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</si>
  <si>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</si>
  <si>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</si>
  <si>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</si>
  <si>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</si>
  <si>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</si>
  <si>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</si>
  <si>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</si>
  <si>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</si>
  <si>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</si>
  <si>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</si>
  <si>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</si>
  <si>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</si>
  <si>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</si>
  <si>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</si>
  <si>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</si>
  <si>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</si>
  <si>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</si>
  <si>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</si>
  <si>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</si>
  <si>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</si>
  <si>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</si>
  <si>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</si>
  <si>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</si>
  <si>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</si>
  <si>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</si>
  <si>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</si>
  <si>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</si>
  <si>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</si>
  <si>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</si>
  <si>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</si>
  <si>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</si>
  <si>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</si>
  <si>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</si>
  <si>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</si>
  <si>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</si>
  <si>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</si>
  <si>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</si>
  <si>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</si>
  <si>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</si>
  <si>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</si>
  <si>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</si>
  <si>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</si>
  <si>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</si>
  <si>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</si>
  <si>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</si>
  <si>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</si>
  <si>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</si>
  <si>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</si>
  <si>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</si>
  <si>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</si>
  <si>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</si>
  <si>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</si>
  <si>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</si>
  <si>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</si>
  <si>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</si>
  <si>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</si>
  <si>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</si>
  <si>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</si>
  <si>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</si>
  <si>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</si>
  <si>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</si>
  <si>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</si>
  <si>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</si>
  <si>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</si>
  <si>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</si>
  <si>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</si>
  <si>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</si>
  <si>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</si>
  <si>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</si>
  <si>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</si>
  <si>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</si>
  <si>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</si>
  <si>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</si>
  <si>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</si>
  <si>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</si>
  <si>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</si>
  <si>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</si>
  <si>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</si>
  <si>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</si>
  <si>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</si>
  <si>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</si>
  <si>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</si>
  <si>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</si>
  <si>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</si>
  <si>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</si>
  <si>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</si>
  <si>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</si>
  <si>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</si>
  <si>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</si>
  <si>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</si>
  <si>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</si>
  <si>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</si>
  <si>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</si>
  <si>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</si>
  <si>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</si>
  <si>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</si>
  <si>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</si>
  <si>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</si>
  <si>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</si>
  <si>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</si>
  <si>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</si>
  <si>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</si>
  <si>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</si>
  <si>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</si>
  <si>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</si>
  <si>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</si>
  <si>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</si>
  <si>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</si>
  <si>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</si>
  <si>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</si>
  <si>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</si>
  <si>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</si>
  <si>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</si>
  <si>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</si>
  <si>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</si>
  <si>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</si>
  <si>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</si>
  <si>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</si>
  <si>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</si>
  <si>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</si>
  <si>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</si>
  <si>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</si>
  <si>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</si>
  <si>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</si>
  <si>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</si>
  <si>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</si>
  <si>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</si>
  <si>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</si>
  <si>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</si>
  <si>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</si>
  <si>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</si>
  <si>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</si>
  <si>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</si>
  <si>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</si>
  <si>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</si>
  <si>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</si>
  <si>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</si>
  <si>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</si>
  <si>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</si>
  <si>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</si>
  <si>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</si>
  <si>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</si>
  <si>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</si>
  <si>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</si>
  <si>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</si>
  <si>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</si>
  <si>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</si>
  <si>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</si>
  <si>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</si>
  <si>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</si>
  <si>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</si>
  <si>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</si>
  <si>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</si>
  <si>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</si>
  <si>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</si>
  <si>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</si>
  <si>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</si>
  <si>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</si>
  <si>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</si>
  <si>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</si>
  <si>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</si>
  <si>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</si>
  <si>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</si>
  <si>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</si>
  <si>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</si>
  <si>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</si>
  <si>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</si>
  <si>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</si>
  <si>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</si>
  <si>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</si>
  <si>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</si>
  <si>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</si>
  <si>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</si>
  <si>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</si>
  <si>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</si>
  <si>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</si>
  <si>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</si>
  <si>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</si>
  <si>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</si>
  <si>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</si>
  <si>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</si>
  <si>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</si>
  <si>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</si>
  <si>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</si>
  <si>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</si>
  <si>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</si>
  <si>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</si>
  <si>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</si>
  <si>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</si>
  <si>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</si>
  <si>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</si>
  <si>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</si>
  <si>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</si>
  <si>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</si>
  <si>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</si>
  <si>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</si>
  <si>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</si>
  <si>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</si>
  <si>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</si>
  <si>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</si>
  <si>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</si>
  <si>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</si>
  <si>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</si>
  <si>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</si>
  <si>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</si>
  <si>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</si>
  <si>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</si>
  <si>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</si>
  <si>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</si>
  <si>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</si>
  <si>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</si>
  <si>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</si>
  <si>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</si>
  <si>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</si>
  <si>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</si>
  <si>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</si>
  <si>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</si>
  <si>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</si>
  <si>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</si>
  <si>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</si>
  <si>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</si>
  <si>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</si>
  <si>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</si>
  <si>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</si>
  <si>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</si>
  <si>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</si>
  <si>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</si>
  <si>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</si>
  <si>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</si>
  <si>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</si>
  <si>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</si>
  <si>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</si>
  <si>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</si>
  <si>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</si>
  <si>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</si>
  <si>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</si>
  <si>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</si>
  <si>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</si>
  <si>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</si>
  <si>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</si>
  <si>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</si>
  <si>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</si>
  <si>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</si>
  <si>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</si>
  <si>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</si>
  <si>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</si>
  <si>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</si>
  <si>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</si>
  <si>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</si>
  <si>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</si>
  <si>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</si>
  <si>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</si>
  <si>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</si>
  <si>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</si>
  <si>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</si>
  <si>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</si>
  <si>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</si>
  <si>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</si>
  <si>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</si>
  <si>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</si>
  <si>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</si>
  <si>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</si>
  <si>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</si>
  <si>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</si>
  <si>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</si>
  <si>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</si>
  <si>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</si>
  <si>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</si>
  <si>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</si>
  <si>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</si>
  <si>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</si>
  <si>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</si>
  <si>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</si>
  <si>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</si>
  <si>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</si>
  <si>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</si>
  <si>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</si>
  <si>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</si>
  <si>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</si>
  <si>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</si>
  <si>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</si>
  <si>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</si>
  <si>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</si>
  <si>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</si>
  <si>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</si>
  <si>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</si>
  <si>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</si>
  <si>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</si>
  <si>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</si>
  <si>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</si>
  <si>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</si>
  <si>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</si>
  <si>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</si>
  <si>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</si>
  <si>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</si>
  <si>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</si>
  <si>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</si>
  <si>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</si>
  <si>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</si>
  <si>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</si>
  <si>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</si>
  <si>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</si>
  <si>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</si>
  <si>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</si>
  <si>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</si>
  <si>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</si>
  <si>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</si>
  <si>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</si>
  <si>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</si>
  <si>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</si>
  <si>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</si>
  <si>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</si>
  <si>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</si>
  <si>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</si>
  <si>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</si>
  <si>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</si>
  <si>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</si>
  <si>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</si>
  <si>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</si>
  <si>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</si>
  <si>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</si>
  <si>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</si>
  <si>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</si>
  <si>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</si>
  <si>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</si>
  <si>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</si>
  <si>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</si>
  <si>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</si>
  <si>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</si>
  <si>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</si>
  <si>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</si>
  <si>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</si>
  <si>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</si>
  <si>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</si>
  <si>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</si>
  <si>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</si>
  <si>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</si>
  <si>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</si>
  <si>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</si>
  <si>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</si>
  <si>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</si>
  <si>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</si>
  <si>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</si>
  <si>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</si>
  <si>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</si>
  <si>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</si>
  <si>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</si>
  <si>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</si>
  <si>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</si>
  <si>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</si>
  <si>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</si>
  <si>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</si>
  <si>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</si>
  <si>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</si>
  <si>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</si>
  <si>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</si>
  <si>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</si>
  <si>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</si>
  <si>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</si>
  <si>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</si>
  <si>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</si>
  <si>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</si>
  <si>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</si>
  <si>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</si>
  <si>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</si>
  <si>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</si>
  <si>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</si>
  <si>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</si>
  <si>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</si>
  <si>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</si>
  <si>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</si>
  <si>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</si>
  <si>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</si>
  <si>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</si>
  <si>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</si>
  <si>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</si>
  <si>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</si>
  <si>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</si>
  <si>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</si>
  <si>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</si>
  <si>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</si>
  <si>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</si>
  <si>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</si>
  <si>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</si>
  <si>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</si>
  <si>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</si>
  <si>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</si>
  <si>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</si>
  <si>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</si>
  <si>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</si>
  <si>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</si>
  <si>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</si>
  <si>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</si>
  <si>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</si>
  <si>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</si>
  <si>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</si>
  <si>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</si>
  <si>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</si>
  <si>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</si>
  <si>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</si>
  <si>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</si>
  <si>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</si>
  <si>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</si>
  <si>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</si>
  <si>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</si>
  <si>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</si>
  <si>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</si>
  <si>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</si>
  <si>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</si>
  <si>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</si>
  <si>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</si>
  <si>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</si>
  <si>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</si>
  <si>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</si>
  <si>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</si>
  <si>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</si>
  <si>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</si>
  <si>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</si>
  <si>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</si>
  <si>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</si>
  <si>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</si>
  <si>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</si>
  <si>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</si>
  <si>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</si>
  <si>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</si>
  <si>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</si>
  <si>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</si>
  <si>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</si>
  <si>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</si>
  <si>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</si>
  <si>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</si>
  <si>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</si>
  <si>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</si>
  <si>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</si>
  <si>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</si>
  <si>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</si>
  <si>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</si>
  <si>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</si>
  <si>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</si>
  <si>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</si>
  <si>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</si>
  <si>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</si>
  <si>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</si>
  <si>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</si>
  <si>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</si>
  <si>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</si>
  <si>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</si>
  <si>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</si>
  <si>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</si>
  <si>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</si>
  <si>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</si>
  <si>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</si>
  <si>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</si>
  <si>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</si>
  <si>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</si>
  <si>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</si>
  <si>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</si>
  <si>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</si>
  <si>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</si>
  <si>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</si>
  <si>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</si>
  <si>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</si>
  <si>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</si>
  <si>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</si>
  <si>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</si>
  <si>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</si>
  <si>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</si>
  <si>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</si>
  <si>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</si>
  <si>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</si>
  <si>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</si>
  <si>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</si>
  <si>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</si>
  <si>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</si>
  <si>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</si>
  <si>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</si>
  <si>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</si>
  <si>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</si>
  <si>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</si>
  <si>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</si>
  <si>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</si>
  <si>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</si>
  <si>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</si>
  <si>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</si>
  <si>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</si>
  <si>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</si>
  <si>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</si>
  <si>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</si>
  <si>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</si>
  <si>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</si>
  <si>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подписатьб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</si>
</sst>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46030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0.54166666666666663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220</v>
      </c>
      <c r="Y41" s="556">
        <f>IFERROR(IF(X41="",0,CEILING((X41/$H41),1)*$H41),"")</f>
        <v>226.8</v>
      </c>
      <c r="Z41" s="36">
        <f>IFERROR(IF(Y41=0,"",ROUNDUP(Y41/H41,0)*0.01898),"")</f>
        <v>0.39857999999999999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228.35185185185188</v>
      </c>
      <c r="BN41" s="64">
        <f>IFERROR(Y41*I41/H41,"0")</f>
        <v>235.41000000000003</v>
      </c>
      <c r="BO41" s="64">
        <f>IFERROR(1/J41*(X41/H41),"0")</f>
        <v>0.31828703703703703</v>
      </c>
      <c r="BP41" s="64">
        <f>IFERROR(1/J41*(Y41/H41),"0")</f>
        <v>0.328125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120</v>
      </c>
      <c r="Y43" s="556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50.370370370370367</v>
      </c>
      <c r="Y44" s="557">
        <f>IFERROR(Y41/H41,"0")+IFERROR(Y42/H42,"0")+IFERROR(Y43/H43,"0")</f>
        <v>51</v>
      </c>
      <c r="Z44" s="557">
        <f>IFERROR(IF(Z41="",0,Z41),"0")+IFERROR(IF(Z42="",0,Z42),"0")+IFERROR(IF(Z43="",0,Z43),"0")</f>
        <v>0.66918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340</v>
      </c>
      <c r="Y45" s="557">
        <f>IFERROR(SUM(Y41:Y43),"0")</f>
        <v>346.8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100</v>
      </c>
      <c r="Y53" s="55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135</v>
      </c>
      <c r="Y57" s="556">
        <f t="shared" si="0"/>
        <v>135</v>
      </c>
      <c r="Z57" s="36">
        <f>IFERROR(IF(Y57=0,"",ROUNDUP(Y57/H57,0)*0.00902),"")</f>
        <v>0.27060000000000001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140.70000000000002</v>
      </c>
      <c r="BN57" s="64">
        <f t="shared" si="2"/>
        <v>140.70000000000002</v>
      </c>
      <c r="BO57" s="64">
        <f t="shared" si="3"/>
        <v>0.22727272727272729</v>
      </c>
      <c r="BP57" s="64">
        <f t="shared" si="4"/>
        <v>0.22727272727272729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39.25925925925926</v>
      </c>
      <c r="Y58" s="557">
        <f>IFERROR(Y52/H52,"0")+IFERROR(Y53/H53,"0")+IFERROR(Y54/H54,"0")+IFERROR(Y55/H55,"0")+IFERROR(Y56/H56,"0")+IFERROR(Y57/H57,"0")</f>
        <v>40</v>
      </c>
      <c r="Z58" s="557">
        <f>IFERROR(IF(Z52="",0,Z52),"0")+IFERROR(IF(Z53="",0,Z53),"0")+IFERROR(IF(Z54="",0,Z54),"0")+IFERROR(IF(Z55="",0,Z55),"0")+IFERROR(IF(Z56="",0,Z56),"0")+IFERROR(IF(Z57="",0,Z57),"0")</f>
        <v>0.46040000000000003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235</v>
      </c>
      <c r="Y59" s="557">
        <f>IFERROR(SUM(Y52:Y57),"0")</f>
        <v>243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300</v>
      </c>
      <c r="Y61" s="55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108</v>
      </c>
      <c r="Y63" s="556">
        <f>IFERROR(IF(X63="",0,CEILING((X63/$H63),1)*$H63),"")</f>
        <v>108</v>
      </c>
      <c r="Z63" s="36">
        <f>IFERROR(IF(Y63=0,"",ROUNDUP(Y63/H63,0)*0.00651),"")</f>
        <v>0.26040000000000002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115.19999999999997</v>
      </c>
      <c r="BN63" s="64">
        <f>IFERROR(Y63*I63/H63,"0")</f>
        <v>115.19999999999997</v>
      </c>
      <c r="BO63" s="64">
        <f>IFERROR(1/J63*(X63/H63),"0")</f>
        <v>0.2197802197802198</v>
      </c>
      <c r="BP63" s="64">
        <f>IFERROR(1/J63*(Y63/H63),"0")</f>
        <v>0.2197802197802198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67.777777777777771</v>
      </c>
      <c r="Y64" s="557">
        <f>IFERROR(Y61/H61,"0")+IFERROR(Y62/H62,"0")+IFERROR(Y63/H63,"0")</f>
        <v>68</v>
      </c>
      <c r="Z64" s="557">
        <f>IFERROR(IF(Z61="",0,Z61),"0")+IFERROR(IF(Z62="",0,Z62),"0")+IFERROR(IF(Z63="",0,Z63),"0")</f>
        <v>0.7918400000000001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408</v>
      </c>
      <c r="Y65" s="557">
        <f>IFERROR(SUM(Y61:Y63),"0")</f>
        <v>410.40000000000003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200</v>
      </c>
      <c r="Y85" s="556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108</v>
      </c>
      <c r="Y88" s="556">
        <f>IFERROR(IF(X88="",0,CEILING((X88/$H88),1)*$H88),"")</f>
        <v>108</v>
      </c>
      <c r="Z88" s="36">
        <f>IFERROR(IF(Y88=0,"",ROUNDUP(Y88/H88,0)*0.00902),"")</f>
        <v>0.21648000000000001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112.56</v>
      </c>
      <c r="BN88" s="64">
        <f>IFERROR(Y88*I88/H88,"0")</f>
        <v>112.56</v>
      </c>
      <c r="BO88" s="64">
        <f>IFERROR(1/J88*(X88/H88),"0")</f>
        <v>0.18181818181818182</v>
      </c>
      <c r="BP88" s="64">
        <f>IFERROR(1/J88*(Y88/H88),"0")</f>
        <v>0.18181818181818182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42.518518518518519</v>
      </c>
      <c r="Y89" s="557">
        <f>IFERROR(Y85/H85,"0")+IFERROR(Y86/H86,"0")+IFERROR(Y87/H87,"0")+IFERROR(Y88/H88,"0")</f>
        <v>43</v>
      </c>
      <c r="Z89" s="557">
        <f>IFERROR(IF(Z85="",0,Z85),"0")+IFERROR(IF(Z86="",0,Z86),"0")+IFERROR(IF(Z87="",0,Z87),"0")+IFERROR(IF(Z88="",0,Z88),"0")</f>
        <v>0.57709999999999995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308</v>
      </c>
      <c r="Y90" s="557">
        <f>IFERROR(SUM(Y85:Y88),"0")</f>
        <v>313.20000000000005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80</v>
      </c>
      <c r="Y92" s="556">
        <f>IFERROR(IF(X92="",0,CEILING((X92/$H92),1)*$H92),"")</f>
        <v>81</v>
      </c>
      <c r="Z92" s="36">
        <f>IFERROR(IF(Y92=0,"",ROUNDUP(Y92/H92,0)*0.01898),"")</f>
        <v>0.1898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84.879012345679016</v>
      </c>
      <c r="BN92" s="64">
        <f>IFERROR(Y92*I92/H92,"0")</f>
        <v>85.94</v>
      </c>
      <c r="BO92" s="64">
        <f>IFERROR(1/J92*(X92/H92),"0")</f>
        <v>0.15432098765432101</v>
      </c>
      <c r="BP92" s="64">
        <f>IFERROR(1/J92*(Y92/H92),"0")</f>
        <v>0.15625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59.4</v>
      </c>
      <c r="Y94" s="556">
        <f>IFERROR(IF(X94="",0,CEILING((X94/$H94),1)*$H94),"")</f>
        <v>59.400000000000006</v>
      </c>
      <c r="Z94" s="36">
        <f>IFERROR(IF(Y94=0,"",ROUNDUP(Y94/H94,0)*0.00651),"")</f>
        <v>0.14322000000000001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64.943999999999988</v>
      </c>
      <c r="BN94" s="64">
        <f>IFERROR(Y94*I94/H94,"0")</f>
        <v>64.944000000000003</v>
      </c>
      <c r="BO94" s="64">
        <f>IFERROR(1/J94*(X94/H94),"0")</f>
        <v>0.12087912087912087</v>
      </c>
      <c r="BP94" s="64">
        <f>IFERROR(1/J94*(Y94/H94),"0")</f>
        <v>0.12087912087912089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59.400000000000013</v>
      </c>
      <c r="Y95" s="556">
        <f>IFERROR(IF(X95="",0,CEILING((X95/$H95),1)*$H95),"")</f>
        <v>59.4</v>
      </c>
      <c r="Z95" s="36">
        <f>IFERROR(IF(Y95=0,"",ROUNDUP(Y95/H95,0)*0.00651),"")</f>
        <v>0.1953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67.140000000000015</v>
      </c>
      <c r="BN95" s="64">
        <f>IFERROR(Y95*I95/H95,"0")</f>
        <v>67.14</v>
      </c>
      <c r="BO95" s="64">
        <f>IFERROR(1/J95*(X95/H95),"0")</f>
        <v>0.16483516483516489</v>
      </c>
      <c r="BP95" s="64">
        <f>IFERROR(1/J95*(Y95/H95),"0")</f>
        <v>0.16483516483516486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61.876543209876544</v>
      </c>
      <c r="Y96" s="557">
        <f>IFERROR(Y92/H92,"0")+IFERROR(Y93/H93,"0")+IFERROR(Y94/H94,"0")+IFERROR(Y95/H95,"0")</f>
        <v>62</v>
      </c>
      <c r="Z96" s="557">
        <f>IFERROR(IF(Z92="",0,Z92),"0")+IFERROR(IF(Z93="",0,Z93),"0")+IFERROR(IF(Z94="",0,Z94),"0")+IFERROR(IF(Z95="",0,Z95),"0")</f>
        <v>0.52832000000000001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198.8</v>
      </c>
      <c r="Y97" s="557">
        <f>IFERROR(SUM(Y92:Y95),"0")</f>
        <v>199.8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70</v>
      </c>
      <c r="Y100" s="556">
        <f>IFERROR(IF(X100="",0,CEILING((X100/$H100),1)*$H100),"")</f>
        <v>75.600000000000009</v>
      </c>
      <c r="Z100" s="36">
        <f>IFERROR(IF(Y100=0,"",ROUNDUP(Y100/H100,0)*0.01898),"")</f>
        <v>0.13286000000000001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72.657407407407405</v>
      </c>
      <c r="BN100" s="64">
        <f>IFERROR(Y100*I100/H100,"0")</f>
        <v>78.47</v>
      </c>
      <c r="BO100" s="64">
        <f>IFERROR(1/J100*(X100/H100),"0")</f>
        <v>0.10127314814814814</v>
      </c>
      <c r="BP100" s="64">
        <f>IFERROR(1/J100*(Y100/H100),"0")</f>
        <v>0.109375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67.5</v>
      </c>
      <c r="Y102" s="556">
        <f>IFERROR(IF(X102="",0,CEILING((X102/$H102),1)*$H102),"")</f>
        <v>67.5</v>
      </c>
      <c r="Z102" s="36">
        <f>IFERROR(IF(Y102=0,"",ROUNDUP(Y102/H102,0)*0.00902),"")</f>
        <v>0.16236</v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70.92</v>
      </c>
      <c r="BN102" s="64">
        <f>IFERROR(Y102*I102/H102,"0")</f>
        <v>70.92</v>
      </c>
      <c r="BO102" s="64">
        <f>IFERROR(1/J102*(X102/H102),"0")</f>
        <v>0.13636363636363635</v>
      </c>
      <c r="BP102" s="64">
        <f>IFERROR(1/J102*(Y102/H102),"0")</f>
        <v>0.13636363636363635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54</v>
      </c>
      <c r="Y103" s="556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56.28</v>
      </c>
      <c r="BN103" s="64">
        <f>IFERROR(Y103*I103/H103,"0")</f>
        <v>56.28</v>
      </c>
      <c r="BO103" s="64">
        <f>IFERROR(1/J103*(X103/H103),"0")</f>
        <v>9.0909090909090912E-2</v>
      </c>
      <c r="BP103" s="64">
        <f>IFERROR(1/J103*(Y103/H103),"0")</f>
        <v>9.0909090909090912E-2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36.481481481481481</v>
      </c>
      <c r="Y105" s="557">
        <f>IFERROR(Y100/H100,"0")+IFERROR(Y101/H101,"0")+IFERROR(Y102/H102,"0")+IFERROR(Y103/H103,"0")+IFERROR(Y104/H104,"0")</f>
        <v>37</v>
      </c>
      <c r="Z105" s="557">
        <f>IFERROR(IF(Z100="",0,Z100),"0")+IFERROR(IF(Z101="",0,Z101),"0")+IFERROR(IF(Z102="",0,Z102),"0")+IFERROR(IF(Z103="",0,Z103),"0")+IFERROR(IF(Z104="",0,Z104),"0")</f>
        <v>0.40346000000000004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191.5</v>
      </c>
      <c r="Y106" s="557">
        <f>IFERROR(SUM(Y100:Y104),"0")</f>
        <v>197.10000000000002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16.8</v>
      </c>
      <c r="Y110" s="556">
        <f>IFERROR(IF(X110="",0,CEILING((X110/$H110),1)*$H110),"")</f>
        <v>16.8</v>
      </c>
      <c r="Z110" s="36">
        <f>IFERROR(IF(Y110=0,"",ROUNDUP(Y110/H110,0)*0.00502),"")</f>
        <v>3.5140000000000005E-2</v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17.5</v>
      </c>
      <c r="BN110" s="64">
        <f>IFERROR(Y110*I110/H110,"0")</f>
        <v>17.5</v>
      </c>
      <c r="BO110" s="64">
        <f>IFERROR(1/J110*(X110/H110),"0")</f>
        <v>2.9914529914529923E-2</v>
      </c>
      <c r="BP110" s="64">
        <f>IFERROR(1/J110*(Y110/H110),"0")</f>
        <v>2.9914529914529923E-2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7.0000000000000009</v>
      </c>
      <c r="Y112" s="557">
        <f>IFERROR(Y108/H108,"0")+IFERROR(Y109/H109,"0")+IFERROR(Y110/H110,"0")+IFERROR(Y111/H111,"0")</f>
        <v>7.0000000000000009</v>
      </c>
      <c r="Z112" s="557">
        <f>IFERROR(IF(Z108="",0,Z108),"0")+IFERROR(IF(Z109="",0,Z109),"0")+IFERROR(IF(Z110="",0,Z110),"0")+IFERROR(IF(Z111="",0,Z111),"0")</f>
        <v>3.5140000000000005E-2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16.8</v>
      </c>
      <c r="Y113" s="557">
        <f>IFERROR(SUM(Y108:Y111),"0")</f>
        <v>16.8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40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42.409876543209876</v>
      </c>
      <c r="BN115" s="64">
        <f>IFERROR(Y115*I115/H115,"0")</f>
        <v>42.94</v>
      </c>
      <c r="BO115" s="64">
        <f>IFERROR(1/J115*(X115/H115),"0")</f>
        <v>7.7160493827160503E-2</v>
      </c>
      <c r="BP115" s="64">
        <f>IFERROR(1/J115*(Y115/H115),"0")</f>
        <v>7.8125E-2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39.6</v>
      </c>
      <c r="Y116" s="556">
        <f>IFERROR(IF(X116="",0,CEILING((X116/$H116),1)*$H116),"")</f>
        <v>39.6</v>
      </c>
      <c r="Z116" s="36">
        <f>IFERROR(IF(Y116=0,"",ROUNDUP(Y116/H116,0)*0.00651),"")</f>
        <v>0.13020000000000001</v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44.52</v>
      </c>
      <c r="BN116" s="64">
        <f>IFERROR(Y116*I116/H116,"0")</f>
        <v>44.52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54</v>
      </c>
      <c r="Y117" s="556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44.938271604938272</v>
      </c>
      <c r="Y119" s="557">
        <f>IFERROR(Y115/H115,"0")+IFERROR(Y116/H116,"0")+IFERROR(Y117/H117,"0")+IFERROR(Y118/H118,"0")</f>
        <v>45</v>
      </c>
      <c r="Z119" s="557">
        <f>IFERROR(IF(Z115="",0,Z115),"0")+IFERROR(IF(Z116="",0,Z116),"0")+IFERROR(IF(Z117="",0,Z117),"0")+IFERROR(IF(Z118="",0,Z118),"0")</f>
        <v>0.35530000000000006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133.6</v>
      </c>
      <c r="Y120" s="557">
        <f>IFERROR(SUM(Y115:Y118),"0")</f>
        <v>134.1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32</v>
      </c>
      <c r="Y127" s="556">
        <f>IFERROR(IF(X127="",0,CEILING((X127/$H127),1)*$H127),"")</f>
        <v>32</v>
      </c>
      <c r="Z127" s="36">
        <f>IFERROR(IF(Y127=0,"",ROUNDUP(Y127/H127,0)*0.00651),"")</f>
        <v>6.5100000000000005E-2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33.799999999999997</v>
      </c>
      <c r="BN127" s="64">
        <f>IFERROR(Y127*I127/H127,"0")</f>
        <v>33.799999999999997</v>
      </c>
      <c r="BO127" s="64">
        <f>IFERROR(1/J127*(X127/H127),"0")</f>
        <v>5.4945054945054951E-2</v>
      </c>
      <c r="BP127" s="64">
        <f>IFERROR(1/J127*(Y127/H127),"0")</f>
        <v>5.4945054945054951E-2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10</v>
      </c>
      <c r="Y129" s="557">
        <f>IFERROR(Y127/H127,"0")+IFERROR(Y128/H128,"0")</f>
        <v>10</v>
      </c>
      <c r="Z129" s="557">
        <f>IFERROR(IF(Z127="",0,Z127),"0")+IFERROR(IF(Z128="",0,Z128),"0")</f>
        <v>6.5100000000000005E-2</v>
      </c>
      <c r="AA129" s="558"/>
      <c r="AB129" s="558"/>
      <c r="AC129" s="558"/>
    </row>
    <row r="130" spans="1:68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32</v>
      </c>
      <c r="Y130" s="557">
        <f>IFERROR(SUM(Y127:Y128),"0")</f>
        <v>32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50.4</v>
      </c>
      <c r="Y132" s="556">
        <f>IFERROR(IF(X132="",0,CEILING((X132/$H132),1)*$H132),"")</f>
        <v>50.4</v>
      </c>
      <c r="Z132" s="36">
        <f>IFERROR(IF(Y132=0,"",ROUNDUP(Y132/H132,0)*0.00651),"")</f>
        <v>0.11718000000000001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55.223999999999997</v>
      </c>
      <c r="BN132" s="64">
        <f>IFERROR(Y132*I132/H132,"0")</f>
        <v>55.223999999999997</v>
      </c>
      <c r="BO132" s="64">
        <f>IFERROR(1/J132*(X132/H132),"0")</f>
        <v>9.8901098901098911E-2</v>
      </c>
      <c r="BP132" s="64">
        <f>IFERROR(1/J132*(Y132/H132),"0")</f>
        <v>9.8901098901098911E-2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18</v>
      </c>
      <c r="Y134" s="557">
        <f>IFERROR(Y132/H132,"0")+IFERROR(Y133/H133,"0")</f>
        <v>18</v>
      </c>
      <c r="Z134" s="557">
        <f>IFERROR(IF(Z132="",0,Z132),"0")+IFERROR(IF(Z133="",0,Z133),"0")</f>
        <v>0.11718000000000001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50.4</v>
      </c>
      <c r="Y135" s="557">
        <f>IFERROR(SUM(Y132:Y133),"0")</f>
        <v>50.4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15.84</v>
      </c>
      <c r="Y137" s="556">
        <f>IFERROR(IF(X137="",0,CEILING((X137/$H137),1)*$H137),"")</f>
        <v>15.84</v>
      </c>
      <c r="Z137" s="36">
        <f>IFERROR(IF(Y137=0,"",ROUNDUP(Y137/H137,0)*0.00651),"")</f>
        <v>3.9059999999999997E-2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17.448</v>
      </c>
      <c r="BN137" s="64">
        <f>IFERROR(Y137*I137/H137,"0")</f>
        <v>17.448</v>
      </c>
      <c r="BO137" s="64">
        <f>IFERROR(1/J137*(X137/H137),"0")</f>
        <v>3.2967032967032968E-2</v>
      </c>
      <c r="BP137" s="64">
        <f>IFERROR(1/J137*(Y137/H137),"0")</f>
        <v>3.2967032967032968E-2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6</v>
      </c>
      <c r="Y139" s="557">
        <f>IFERROR(Y137/H137,"0")+IFERROR(Y138/H138,"0")</f>
        <v>6</v>
      </c>
      <c r="Z139" s="557">
        <f>IFERROR(IF(Z137="",0,Z137),"0")+IFERROR(IF(Z138="",0,Z138),"0")</f>
        <v>3.9059999999999997E-2</v>
      </c>
      <c r="AA139" s="558"/>
      <c r="AB139" s="558"/>
      <c r="AC139" s="558"/>
    </row>
    <row r="140" spans="1:68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15.84</v>
      </c>
      <c r="Y140" s="557">
        <f>IFERROR(SUM(Y137:Y138),"0")</f>
        <v>15.84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96</v>
      </c>
      <c r="Y144" s="556">
        <f>IFERROR(IF(X144="",0,CEILING((X144/$H144),1)*$H144),"")</f>
        <v>96</v>
      </c>
      <c r="Z144" s="36">
        <f>IFERROR(IF(Y144=0,"",ROUNDUP(Y144/H144,0)*0.00902),"")</f>
        <v>0.21648000000000001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100.56</v>
      </c>
      <c r="BN144" s="64">
        <f>IFERROR(Y144*I144/H144,"0")</f>
        <v>100.56</v>
      </c>
      <c r="BO144" s="64">
        <f>IFERROR(1/J144*(X144/H144),"0")</f>
        <v>0.18181818181818182</v>
      </c>
      <c r="BP144" s="64">
        <f>IFERROR(1/J144*(Y144/H144),"0")</f>
        <v>0.18181818181818182</v>
      </c>
    </row>
    <row r="145" spans="1:68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24</v>
      </c>
      <c r="Y145" s="557">
        <f>IFERROR(Y143/H143,"0")+IFERROR(Y144/H144,"0")</f>
        <v>24</v>
      </c>
      <c r="Z145" s="557">
        <f>IFERROR(IF(Z143="",0,Z143),"0")+IFERROR(IF(Z144="",0,Z144),"0")</f>
        <v>0.21648000000000001</v>
      </c>
      <c r="AA145" s="558"/>
      <c r="AB145" s="558"/>
      <c r="AC145" s="558"/>
    </row>
    <row r="146" spans="1:68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96</v>
      </c>
      <c r="Y146" s="557">
        <f>IFERROR(SUM(Y143:Y144),"0")</f>
        <v>96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20</v>
      </c>
      <c r="Y148" s="556">
        <f t="shared" ref="Y148:Y153" si="5"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21.244444444444447</v>
      </c>
      <c r="BN148" s="64">
        <f t="shared" ref="BN148:BN153" si="7">IFERROR(Y148*I148/H148,"0")</f>
        <v>28.68</v>
      </c>
      <c r="BO148" s="64">
        <f t="shared" ref="BO148:BO153" si="8">IFERROR(1/J148*(X148/H148),"0")</f>
        <v>3.4722222222222224E-2</v>
      </c>
      <c r="BP148" s="64">
        <f t="shared" ref="BP148:BP153" si="9">IFERROR(1/J148*(Y148/H148),"0")</f>
        <v>4.6875E-2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2.2222222222222223</v>
      </c>
      <c r="Y154" s="557">
        <f>IFERROR(Y148/H148,"0")+IFERROR(Y149/H149,"0")+IFERROR(Y150/H150,"0")+IFERROR(Y151/H151,"0")+IFERROR(Y152/H152,"0")+IFERROR(Y153/H153,"0")</f>
        <v>3</v>
      </c>
      <c r="Z154" s="557">
        <f>IFERROR(IF(Z148="",0,Z148),"0")+IFERROR(IF(Z149="",0,Z149),"0")+IFERROR(IF(Z150="",0,Z150),"0")+IFERROR(IF(Z151="",0,Z151),"0")+IFERROR(IF(Z152="",0,Z152),"0")+IFERROR(IF(Z153="",0,Z153),"0")</f>
        <v>5.6940000000000004E-2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20</v>
      </c>
      <c r="Y155" s="557">
        <f>IFERROR(SUM(Y148:Y153),"0")</f>
        <v>27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90</v>
      </c>
      <c r="Y171" s="556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94.071428571428555</v>
      </c>
      <c r="BN171" s="64">
        <f t="shared" si="12"/>
        <v>96.579999999999984</v>
      </c>
      <c r="BO171" s="64">
        <f t="shared" si="13"/>
        <v>0.16233766233766234</v>
      </c>
      <c r="BP171" s="64">
        <f t="shared" si="14"/>
        <v>0.16666666666666669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87.5</v>
      </c>
      <c r="Y173" s="556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80.5</v>
      </c>
      <c r="Y175" s="556">
        <f t="shared" si="10"/>
        <v>81.900000000000006</v>
      </c>
      <c r="Z175" s="36">
        <f>IFERROR(IF(Y175=0,"",ROUNDUP(Y175/H175,0)*0.00502),"")</f>
        <v>0.19578000000000001</v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85.48333333333332</v>
      </c>
      <c r="BN175" s="64">
        <f t="shared" si="12"/>
        <v>86.97</v>
      </c>
      <c r="BO175" s="64">
        <f t="shared" si="13"/>
        <v>0.16381766381766383</v>
      </c>
      <c r="BP175" s="64">
        <f t="shared" si="14"/>
        <v>0.16666666666666669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84</v>
      </c>
      <c r="Y178" s="556">
        <f t="shared" si="10"/>
        <v>84</v>
      </c>
      <c r="Z178" s="36">
        <f>IFERROR(IF(Y178=0,"",ROUNDUP(Y178/H178,0)*0.00502),"")</f>
        <v>0.20080000000000001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88</v>
      </c>
      <c r="BN178" s="64">
        <f t="shared" si="12"/>
        <v>88</v>
      </c>
      <c r="BO178" s="64">
        <f t="shared" si="13"/>
        <v>0.17094017094017094</v>
      </c>
      <c r="BP178" s="64">
        <f t="shared" si="14"/>
        <v>0.17094017094017094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141.42857142857142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143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0.80585999999999991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342</v>
      </c>
      <c r="Y182" s="557">
        <f>IFERROR(SUM(Y167:Y180),"0")</f>
        <v>346.5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8.82</v>
      </c>
      <c r="Y184" s="556">
        <f>IFERROR(IF(X184="",0,CEILING((X184/$H184),1)*$H184),"")</f>
        <v>8.82</v>
      </c>
      <c r="Z184" s="36">
        <f>IFERROR(IF(Y184=0,"",ROUNDUP(Y184/H184,0)*0.0059),"")</f>
        <v>4.1299999999999996E-2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10.15</v>
      </c>
      <c r="BN184" s="64">
        <f>IFERROR(Y184*I184/H184,"0")</f>
        <v>10.15</v>
      </c>
      <c r="BO184" s="64">
        <f>IFERROR(1/J184*(X184/H184),"0")</f>
        <v>3.2407407407407406E-2</v>
      </c>
      <c r="BP184" s="64">
        <f>IFERROR(1/J184*(Y184/H184),"0")</f>
        <v>3.2407407407407406E-2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10.5</v>
      </c>
      <c r="Y185" s="556">
        <f>IFERROR(IF(X185="",0,CEILING((X185/$H185),1)*$H185),"")</f>
        <v>11.34</v>
      </c>
      <c r="Z185" s="36">
        <f>IFERROR(IF(Y185=0,"",ROUNDUP(Y185/H185,0)*0.0059),"")</f>
        <v>5.3100000000000001E-2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12.083333333333332</v>
      </c>
      <c r="BN185" s="64">
        <f>IFERROR(Y185*I185/H185,"0")</f>
        <v>13.049999999999999</v>
      </c>
      <c r="BO185" s="64">
        <f>IFERROR(1/J185*(X185/H185),"0")</f>
        <v>3.8580246913580245E-2</v>
      </c>
      <c r="BP185" s="64">
        <f>IFERROR(1/J185*(Y185/H185),"0")</f>
        <v>4.1666666666666664E-2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10.5</v>
      </c>
      <c r="Y186" s="556">
        <f>IFERROR(IF(X186="",0,CEILING((X186/$H186),1)*$H186),"")</f>
        <v>11.34</v>
      </c>
      <c r="Z186" s="36">
        <f>IFERROR(IF(Y186=0,"",ROUNDUP(Y186/H186,0)*0.0059),"")</f>
        <v>5.3100000000000001E-2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12.083333333333332</v>
      </c>
      <c r="BN186" s="64">
        <f>IFERROR(Y186*I186/H186,"0")</f>
        <v>13.049999999999999</v>
      </c>
      <c r="BO186" s="64">
        <f>IFERROR(1/J186*(X186/H186),"0")</f>
        <v>3.8580246913580245E-2</v>
      </c>
      <c r="BP186" s="64">
        <f>IFERROR(1/J186*(Y186/H186),"0")</f>
        <v>4.1666666666666664E-2</v>
      </c>
    </row>
    <row r="187" spans="1:68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23.666666666666668</v>
      </c>
      <c r="Y187" s="557">
        <f>IFERROR(Y184/H184,"0")+IFERROR(Y185/H185,"0")+IFERROR(Y186/H186,"0")</f>
        <v>25</v>
      </c>
      <c r="Z187" s="557">
        <f>IFERROR(IF(Z184="",0,Z184),"0")+IFERROR(IF(Z185="",0,Z185),"0")+IFERROR(IF(Z186="",0,Z186),"0")</f>
        <v>0.14749999999999999</v>
      </c>
      <c r="AA187" s="558"/>
      <c r="AB187" s="558"/>
      <c r="AC187" s="558"/>
    </row>
    <row r="188" spans="1:68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29.82</v>
      </c>
      <c r="Y188" s="557">
        <f>IFERROR(SUM(Y184:Y186),"0")</f>
        <v>31.5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6.3000000000000007</v>
      </c>
      <c r="Y190" s="556">
        <f>IFERROR(IF(X190="",0,CEILING((X190/$H190),1)*$H190),"")</f>
        <v>6.3</v>
      </c>
      <c r="Z190" s="36">
        <f>IFERROR(IF(Y190=0,"",ROUNDUP(Y190/H190,0)*0.0059),"")</f>
        <v>2.9499999999999998E-2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7.2500000000000009</v>
      </c>
      <c r="BN190" s="64">
        <f>IFERROR(Y190*I190/H190,"0")</f>
        <v>7.25</v>
      </c>
      <c r="BO190" s="64">
        <f>IFERROR(1/J190*(X190/H190),"0")</f>
        <v>2.314814814814815E-2</v>
      </c>
      <c r="BP190" s="64">
        <f>IFERROR(1/J190*(Y190/H190),"0")</f>
        <v>2.3148148148148147E-2</v>
      </c>
    </row>
    <row r="191" spans="1:68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5.0000000000000009</v>
      </c>
      <c r="Y191" s="557">
        <f>IFERROR(Y190/H190,"0")</f>
        <v>5</v>
      </c>
      <c r="Z191" s="557">
        <f>IFERROR(IF(Z190="",0,Z190),"0")</f>
        <v>2.9499999999999998E-2</v>
      </c>
      <c r="AA191" s="558"/>
      <c r="AB191" s="558"/>
      <c r="AC191" s="558"/>
    </row>
    <row r="192" spans="1:68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6.3000000000000007</v>
      </c>
      <c r="Y192" s="557">
        <f>IFERROR(SUM(Y190:Y190),"0")</f>
        <v>6.3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30</v>
      </c>
      <c r="Y205" s="556">
        <f t="shared" ref="Y205:Y212" si="15">IFERROR(IF(X205="",0,CEILING((X205/$H205),1)*$H205),"")</f>
        <v>32.400000000000006</v>
      </c>
      <c r="Z205" s="36">
        <f>IFERROR(IF(Y205=0,"",ROUNDUP(Y205/H205,0)*0.00902),"")</f>
        <v>5.4120000000000001E-2</v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31.05555555555555</v>
      </c>
      <c r="BN205" s="64">
        <f t="shared" ref="BN205:BN212" si="17">IFERROR(Y205*I205/H205,"0")</f>
        <v>33.54</v>
      </c>
      <c r="BO205" s="64">
        <f t="shared" ref="BO205:BO212" si="18">IFERROR(1/J205*(X205/H205),"0")</f>
        <v>4.208754208754209E-2</v>
      </c>
      <c r="BP205" s="64">
        <f t="shared" ref="BP205:BP212" si="19">IFERROR(1/J205*(Y205/H205),"0")</f>
        <v>4.5454545454545463E-2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20</v>
      </c>
      <c r="Y207" s="556">
        <f t="shared" si="15"/>
        <v>21.6</v>
      </c>
      <c r="Z207" s="36">
        <f>IFERROR(IF(Y207=0,"",ROUNDUP(Y207/H207,0)*0.00902),"")</f>
        <v>3.6080000000000001E-2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20.703703703703702</v>
      </c>
      <c r="BN207" s="64">
        <f t="shared" si="17"/>
        <v>22.36</v>
      </c>
      <c r="BO207" s="64">
        <f t="shared" si="18"/>
        <v>2.8058361391694722E-2</v>
      </c>
      <c r="BP207" s="64">
        <f t="shared" si="19"/>
        <v>3.0303030303030304E-2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63</v>
      </c>
      <c r="Y209" s="556">
        <f t="shared" si="15"/>
        <v>63</v>
      </c>
      <c r="Z209" s="36">
        <f>IFERROR(IF(Y209=0,"",ROUNDUP(Y209/H209,0)*0.00502),"")</f>
        <v>0.1757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67.55</v>
      </c>
      <c r="BN209" s="64">
        <f t="shared" si="17"/>
        <v>67.55</v>
      </c>
      <c r="BO209" s="64">
        <f t="shared" si="18"/>
        <v>0.1495726495726496</v>
      </c>
      <c r="BP209" s="64">
        <f t="shared" si="19"/>
        <v>0.1495726495726496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45</v>
      </c>
      <c r="Y210" s="556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27</v>
      </c>
      <c r="Y212" s="556">
        <f t="shared" si="15"/>
        <v>27</v>
      </c>
      <c r="Z212" s="36">
        <f>IFERROR(IF(Y212=0,"",ROUNDUP(Y212/H212,0)*0.00502),"")</f>
        <v>7.5300000000000006E-2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28.499999999999996</v>
      </c>
      <c r="BN212" s="64">
        <f t="shared" si="17"/>
        <v>28.499999999999996</v>
      </c>
      <c r="BO212" s="64">
        <f t="shared" si="18"/>
        <v>6.4102564102564111E-2</v>
      </c>
      <c r="BP212" s="64">
        <f t="shared" si="19"/>
        <v>6.4102564102564111E-2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84.259259259259267</v>
      </c>
      <c r="Y213" s="557">
        <f>IFERROR(Y205/H205,"0")+IFERROR(Y206/H206,"0")+IFERROR(Y207/H207,"0")+IFERROR(Y208/H208,"0")+IFERROR(Y209/H209,"0")+IFERROR(Y210/H210,"0")+IFERROR(Y211/H211,"0")+IFERROR(Y212/H212,"0")</f>
        <v>85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0.4667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185</v>
      </c>
      <c r="Y214" s="557">
        <f>IFERROR(SUM(Y205:Y212),"0")</f>
        <v>189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72</v>
      </c>
      <c r="Y219" s="556">
        <f t="shared" si="20"/>
        <v>72</v>
      </c>
      <c r="Z219" s="36">
        <f t="shared" ref="Z219:Z224" si="25">IFERROR(IF(Y219=0,"",ROUNDUP(Y219/H219,0)*0.00651),"")</f>
        <v>0.1953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80.100000000000009</v>
      </c>
      <c r="BN219" s="64">
        <f t="shared" si="22"/>
        <v>80.100000000000009</v>
      </c>
      <c r="BO219" s="64">
        <f t="shared" si="23"/>
        <v>0.16483516483516486</v>
      </c>
      <c r="BP219" s="64">
        <f t="shared" si="24"/>
        <v>0.16483516483516486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20</v>
      </c>
      <c r="Y221" s="556">
        <f t="shared" si="20"/>
        <v>21.599999999999998</v>
      </c>
      <c r="Z221" s="36">
        <f t="shared" si="25"/>
        <v>5.8590000000000003E-2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22.100000000000005</v>
      </c>
      <c r="BN221" s="64">
        <f t="shared" si="22"/>
        <v>23.868000000000002</v>
      </c>
      <c r="BO221" s="64">
        <f t="shared" si="23"/>
        <v>4.5787545787545791E-2</v>
      </c>
      <c r="BP221" s="64">
        <f t="shared" si="24"/>
        <v>4.9450549450549455E-2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20</v>
      </c>
      <c r="Y222" s="556">
        <f t="shared" si="20"/>
        <v>21.599999999999998</v>
      </c>
      <c r="Z222" s="36">
        <f t="shared" si="25"/>
        <v>5.8590000000000003E-2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22.100000000000005</v>
      </c>
      <c r="BN222" s="64">
        <f t="shared" si="22"/>
        <v>23.868000000000002</v>
      </c>
      <c r="BO222" s="64">
        <f t="shared" si="23"/>
        <v>4.5787545787545791E-2</v>
      </c>
      <c r="BP222" s="64">
        <f t="shared" si="24"/>
        <v>4.9450549450549455E-2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32</v>
      </c>
      <c r="Y224" s="556">
        <f t="shared" si="20"/>
        <v>33.6</v>
      </c>
      <c r="Z224" s="36">
        <f t="shared" si="25"/>
        <v>9.1139999999999999E-2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35.44</v>
      </c>
      <c r="BN224" s="64">
        <f t="shared" si="22"/>
        <v>37.212000000000003</v>
      </c>
      <c r="BO224" s="64">
        <f t="shared" si="23"/>
        <v>7.3260073260073263E-2</v>
      </c>
      <c r="BP224" s="64">
        <f t="shared" si="24"/>
        <v>7.6923076923076941E-2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60.000000000000007</v>
      </c>
      <c r="Y225" s="557">
        <f>IFERROR(Y216/H216,"0")+IFERROR(Y217/H217,"0")+IFERROR(Y218/H218,"0")+IFERROR(Y219/H219,"0")+IFERROR(Y220/H220,"0")+IFERROR(Y221/H221,"0")+IFERROR(Y222/H222,"0")+IFERROR(Y223/H223,"0")+IFERROR(Y224/H224,"0")</f>
        <v>62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0.40361999999999998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144</v>
      </c>
      <c r="Y226" s="557">
        <f>IFERROR(SUM(Y216:Y224),"0")</f>
        <v>148.79999999999998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24</v>
      </c>
      <c r="Y229" s="556">
        <f>IFERROR(IF(X229="",0,CEILING((X229/$H229),1)*$H229),"")</f>
        <v>24</v>
      </c>
      <c r="Z229" s="36">
        <f>IFERROR(IF(Y229=0,"",ROUNDUP(Y229/H229,0)*0.00651),"")</f>
        <v>6.5100000000000005E-2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26.520000000000003</v>
      </c>
      <c r="BN229" s="64">
        <f>IFERROR(Y229*I229/H229,"0")</f>
        <v>26.520000000000003</v>
      </c>
      <c r="BO229" s="64">
        <f>IFERROR(1/J229*(X229/H229),"0")</f>
        <v>5.4945054945054951E-2</v>
      </c>
      <c r="BP229" s="64">
        <f>IFERROR(1/J229*(Y229/H229),"0")</f>
        <v>5.4945054945054951E-2</v>
      </c>
    </row>
    <row r="230" spans="1:68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10</v>
      </c>
      <c r="Y230" s="557">
        <f>IFERROR(Y228/H228,"0")+IFERROR(Y229/H229,"0")</f>
        <v>10</v>
      </c>
      <c r="Z230" s="557">
        <f>IFERROR(IF(Z228="",0,Z228),"0")+IFERROR(IF(Z229="",0,Z229),"0")</f>
        <v>6.5100000000000005E-2</v>
      </c>
      <c r="AA230" s="558"/>
      <c r="AB230" s="558"/>
      <c r="AC230" s="558"/>
    </row>
    <row r="231" spans="1:68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24</v>
      </c>
      <c r="Y231" s="557">
        <f>IFERROR(SUM(Y228:Y229),"0")</f>
        <v>24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10.8</v>
      </c>
      <c r="Y250" s="556">
        <f>IFERROR(IF(X250="",0,CEILING((X250/$H250),1)*$H250),"")</f>
        <v>10.8</v>
      </c>
      <c r="Z250" s="36">
        <f>IFERROR(IF(Y250=0,"",ROUNDUP(Y250/H250,0)*0.0059),"")</f>
        <v>3.5400000000000001E-2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11.850000000000001</v>
      </c>
      <c r="BN250" s="64">
        <f>IFERROR(Y250*I250/H250,"0")</f>
        <v>11.850000000000001</v>
      </c>
      <c r="BO250" s="64">
        <f>IFERROR(1/J250*(X250/H250),"0")</f>
        <v>2.7777777777777776E-2</v>
      </c>
      <c r="BP250" s="64">
        <f>IFERROR(1/J250*(Y250/H250),"0")</f>
        <v>2.7777777777777776E-2</v>
      </c>
    </row>
    <row r="251" spans="1:68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6</v>
      </c>
      <c r="Y251" s="557">
        <f>IFERROR(Y250/H250,"0")</f>
        <v>6</v>
      </c>
      <c r="Z251" s="557">
        <f>IFERROR(IF(Z250="",0,Z250),"0")</f>
        <v>3.5400000000000001E-2</v>
      </c>
      <c r="AA251" s="558"/>
      <c r="AB251" s="558"/>
      <c r="AC251" s="558"/>
    </row>
    <row r="252" spans="1:68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10.8</v>
      </c>
      <c r="Y252" s="557">
        <f>IFERROR(SUM(Y250:Y250),"0")</f>
        <v>10.8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2.97</v>
      </c>
      <c r="Y254" s="556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3.54</v>
      </c>
      <c r="BN254" s="64">
        <f>IFERROR(Y254*I254/H254,"0")</f>
        <v>3.5399999999999996</v>
      </c>
      <c r="BO254" s="64">
        <f>IFERROR(1/J254*(X254/H254),"0")</f>
        <v>1.388888888888889E-2</v>
      </c>
      <c r="BP254" s="64">
        <f>IFERROR(1/J254*(Y254/H254),"0")</f>
        <v>1.3888888888888886E-2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5.3999999999999986</v>
      </c>
      <c r="Y255" s="556">
        <f>IFERROR(IF(X255="",0,CEILING((X255/$H255),1)*$H255),"")</f>
        <v>5.4</v>
      </c>
      <c r="Z255" s="36">
        <f>IFERROR(IF(Y255=0,"",ROUNDUP(Y255/H255,0)*0.0059),"")</f>
        <v>1.77E-2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5.924999999999998</v>
      </c>
      <c r="BN255" s="64">
        <f>IFERROR(Y255*I255/H255,"0")</f>
        <v>5.9250000000000007</v>
      </c>
      <c r="BO255" s="64">
        <f>IFERROR(1/J255*(X255/H255),"0")</f>
        <v>1.3888888888888885E-2</v>
      </c>
      <c r="BP255" s="64">
        <f>IFERROR(1/J255*(Y255/H255),"0")</f>
        <v>1.3888888888888888E-2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1.8</v>
      </c>
      <c r="Y256" s="556">
        <f>IFERROR(IF(X256="",0,CEILING((X256/$H256),1)*$H256),"")</f>
        <v>1.8</v>
      </c>
      <c r="Z256" s="36">
        <f>IFERROR(IF(Y256=0,"",ROUNDUP(Y256/H256,0)*0.0059),"")</f>
        <v>1.18E-2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2.1800000000000002</v>
      </c>
      <c r="BN256" s="64">
        <f>IFERROR(Y256*I256/H256,"0")</f>
        <v>2.1800000000000002</v>
      </c>
      <c r="BO256" s="64">
        <f>IFERROR(1/J256*(X256/H256),"0")</f>
        <v>9.2592592592592587E-3</v>
      </c>
      <c r="BP256" s="64">
        <f>IFERROR(1/J256*(Y256/H256),"0")</f>
        <v>9.2592592592592587E-3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2.97</v>
      </c>
      <c r="Y257" s="556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3.54</v>
      </c>
      <c r="BN257" s="64">
        <f>IFERROR(Y257*I257/H257,"0")</f>
        <v>3.5399999999999996</v>
      </c>
      <c r="BO257" s="64">
        <f>IFERROR(1/J257*(X257/H257),"0")</f>
        <v>1.388888888888889E-2</v>
      </c>
      <c r="BP257" s="64">
        <f>IFERROR(1/J257*(Y257/H257),"0")</f>
        <v>1.3888888888888886E-2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1.98</v>
      </c>
      <c r="Y258" s="556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2.36</v>
      </c>
      <c r="BN258" s="64">
        <f>IFERROR(Y258*I258/H258,"0")</f>
        <v>2.36</v>
      </c>
      <c r="BO258" s="64">
        <f>IFERROR(1/J258*(X258/H258),"0")</f>
        <v>9.2592592592592587E-3</v>
      </c>
      <c r="BP258" s="64">
        <f>IFERROR(1/J258*(Y258/H258),"0")</f>
        <v>9.2592592592592587E-3</v>
      </c>
    </row>
    <row r="259" spans="1:68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13</v>
      </c>
      <c r="Y259" s="557">
        <f>IFERROR(Y254/H254,"0")+IFERROR(Y255/H255,"0")+IFERROR(Y256/H256,"0")+IFERROR(Y257/H257,"0")+IFERROR(Y258/H258,"0")</f>
        <v>13</v>
      </c>
      <c r="Z259" s="557">
        <f>IFERROR(IF(Z254="",0,Z254),"0")+IFERROR(IF(Z255="",0,Z255),"0")+IFERROR(IF(Z256="",0,Z256),"0")+IFERROR(IF(Z257="",0,Z257),"0")+IFERROR(IF(Z258="",0,Z258),"0")</f>
        <v>7.6700000000000004E-2</v>
      </c>
      <c r="AA259" s="558"/>
      <c r="AB259" s="558"/>
      <c r="AC259" s="558"/>
    </row>
    <row r="260" spans="1:68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15.120000000000001</v>
      </c>
      <c r="Y260" s="557">
        <f>IFERROR(SUM(Y254:Y258),"0")</f>
        <v>15.120000000000001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60</v>
      </c>
      <c r="Y263" s="556">
        <f>IFERROR(IF(X263="",0,CEILING((X263/$H263),1)*$H263),"")</f>
        <v>64.800000000000011</v>
      </c>
      <c r="Z263" s="36">
        <f>IFERROR(IF(Y263=0,"",ROUNDUP(Y263/H263,0)*0.01898),"")</f>
        <v>0.11388000000000001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62.277777777777779</v>
      </c>
      <c r="BN263" s="64">
        <f>IFERROR(Y263*I263/H263,"0")</f>
        <v>67.260000000000005</v>
      </c>
      <c r="BO263" s="64">
        <f>IFERROR(1/J263*(X263/H263),"0")</f>
        <v>8.6805555555555552E-2</v>
      </c>
      <c r="BP263" s="64">
        <f>IFERROR(1/J263*(Y263/H263),"0")</f>
        <v>9.3750000000000014E-2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150</v>
      </c>
      <c r="Y265" s="556">
        <f>IFERROR(IF(X265="",0,CEILING((X265/$H265),1)*$H265),"")</f>
        <v>151.20000000000002</v>
      </c>
      <c r="Z265" s="36">
        <f>IFERROR(IF(Y265=0,"",ROUNDUP(Y265/H265,0)*0.01898),"")</f>
        <v>0.26572000000000001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155.69444444444446</v>
      </c>
      <c r="BN265" s="64">
        <f>IFERROR(Y265*I265/H265,"0")</f>
        <v>156.94</v>
      </c>
      <c r="BO265" s="64">
        <f>IFERROR(1/J265*(X265/H265),"0")</f>
        <v>0.21701388888888887</v>
      </c>
      <c r="BP265" s="64">
        <f>IFERROR(1/J265*(Y265/H265),"0")</f>
        <v>0.21875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19.444444444444443</v>
      </c>
      <c r="Y268" s="557">
        <f>IFERROR(Y263/H263,"0")+IFERROR(Y264/H264,"0")+IFERROR(Y265/H265,"0")+IFERROR(Y266/H266,"0")+IFERROR(Y267/H267,"0")</f>
        <v>20</v>
      </c>
      <c r="Z268" s="557">
        <f>IFERROR(IF(Z263="",0,Z263),"0")+IFERROR(IF(Z264="",0,Z264),"0")+IFERROR(IF(Z265="",0,Z265),"0")+IFERROR(IF(Z266="",0,Z266),"0")+IFERROR(IF(Z267="",0,Z267),"0")</f>
        <v>0.37960000000000005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210</v>
      </c>
      <c r="Y269" s="557">
        <f>IFERROR(SUM(Y263:Y267),"0")</f>
        <v>216.00000000000003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12</v>
      </c>
      <c r="Y281" s="556">
        <f>IFERROR(IF(X281="",0,CEILING((X281/$H281),1)*$H281),"")</f>
        <v>12</v>
      </c>
      <c r="Z281" s="36">
        <f>IFERROR(IF(Y281=0,"",ROUNDUP(Y281/H281,0)*0.00651),"")</f>
        <v>3.2550000000000003E-2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13.260000000000002</v>
      </c>
      <c r="BN281" s="64">
        <f>IFERROR(Y281*I281/H281,"0")</f>
        <v>13.260000000000002</v>
      </c>
      <c r="BO281" s="64">
        <f>IFERROR(1/J281*(X281/H281),"0")</f>
        <v>2.7472527472527476E-2</v>
      </c>
      <c r="BP281" s="64">
        <f>IFERROR(1/J281*(Y281/H281),"0")</f>
        <v>2.7472527472527476E-2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28.8</v>
      </c>
      <c r="Y282" s="556">
        <f>IFERROR(IF(X282="",0,CEILING((X282/$H282),1)*$H282),"")</f>
        <v>28.799999999999997</v>
      </c>
      <c r="Z282" s="36">
        <f>IFERROR(IF(Y282=0,"",ROUNDUP(Y282/H282,0)*0.00651),"")</f>
        <v>7.8119999999999995E-2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30.96</v>
      </c>
      <c r="BN282" s="64">
        <f>IFERROR(Y282*I282/H282,"0")</f>
        <v>30.959999999999997</v>
      </c>
      <c r="BO282" s="64">
        <f>IFERROR(1/J282*(X282/H282),"0")</f>
        <v>6.5934065934065936E-2</v>
      </c>
      <c r="BP282" s="64">
        <f>IFERROR(1/J282*(Y282/H282),"0")</f>
        <v>6.5934065934065936E-2</v>
      </c>
    </row>
    <row r="283" spans="1:68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17</v>
      </c>
      <c r="Y283" s="557">
        <f>IFERROR(Y280/H280,"0")+IFERROR(Y281/H281,"0")+IFERROR(Y282/H282,"0")</f>
        <v>17</v>
      </c>
      <c r="Z283" s="557">
        <f>IFERROR(IF(Z280="",0,Z280),"0")+IFERROR(IF(Z281="",0,Z281),"0")+IFERROR(IF(Z282="",0,Z282),"0")</f>
        <v>0.11066999999999999</v>
      </c>
      <c r="AA283" s="558"/>
      <c r="AB283" s="558"/>
      <c r="AC283" s="558"/>
    </row>
    <row r="284" spans="1:68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40.799999999999997</v>
      </c>
      <c r="Y284" s="557">
        <f>IFERROR(SUM(Y280:Y282),"0")</f>
        <v>40.799999999999997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50</v>
      </c>
      <c r="Y299" s="556">
        <f t="shared" si="31"/>
        <v>54</v>
      </c>
      <c r="Z299" s="36">
        <f>IFERROR(IF(Y299=0,"",ROUNDUP(Y299/H299,0)*0.01898),"")</f>
        <v>9.4899999999999998E-2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51.898148148148145</v>
      </c>
      <c r="BN299" s="64">
        <f t="shared" si="33"/>
        <v>56.05</v>
      </c>
      <c r="BO299" s="64">
        <f t="shared" si="34"/>
        <v>7.2337962962962965E-2</v>
      </c>
      <c r="BP299" s="64">
        <f t="shared" si="35"/>
        <v>7.8125E-2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90</v>
      </c>
      <c r="Y300" s="556">
        <f t="shared" si="31"/>
        <v>97.2</v>
      </c>
      <c r="Z300" s="36">
        <f>IFERROR(IF(Y300=0,"",ROUNDUP(Y300/H300,0)*0.01898),"")</f>
        <v>0.17082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93.416666666666671</v>
      </c>
      <c r="BN300" s="64">
        <f t="shared" si="33"/>
        <v>100.89</v>
      </c>
      <c r="BO300" s="64">
        <f t="shared" si="34"/>
        <v>0.13020833333333331</v>
      </c>
      <c r="BP300" s="64">
        <f t="shared" si="35"/>
        <v>0.140625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500</v>
      </c>
      <c r="Y301" s="556">
        <f t="shared" si="31"/>
        <v>507.6</v>
      </c>
      <c r="Z301" s="36">
        <f>IFERROR(IF(Y301=0,"",ROUNDUP(Y301/H301,0)*0.01898),"")</f>
        <v>0.89205999999999996</v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518.98148148148141</v>
      </c>
      <c r="BN301" s="64">
        <f t="shared" si="33"/>
        <v>526.87</v>
      </c>
      <c r="BO301" s="64">
        <f t="shared" si="34"/>
        <v>0.72337962962962954</v>
      </c>
      <c r="BP301" s="64">
        <f t="shared" si="35"/>
        <v>0.734375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24</v>
      </c>
      <c r="Y302" s="556">
        <f t="shared" si="31"/>
        <v>24</v>
      </c>
      <c r="Z302" s="36">
        <f>IFERROR(IF(Y302=0,"",ROUNDUP(Y302/H302,0)*0.00902),"")</f>
        <v>5.4120000000000001E-2</v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25.14</v>
      </c>
      <c r="BN302" s="64">
        <f t="shared" si="33"/>
        <v>25.14</v>
      </c>
      <c r="BO302" s="64">
        <f t="shared" si="34"/>
        <v>4.5454545454545456E-2</v>
      </c>
      <c r="BP302" s="64">
        <f t="shared" si="35"/>
        <v>4.5454545454545456E-2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36</v>
      </c>
      <c r="Y303" s="556">
        <f t="shared" si="31"/>
        <v>36</v>
      </c>
      <c r="Z303" s="36">
        <f>IFERROR(IF(Y303=0,"",ROUNDUP(Y303/H303,0)*0.00902),"")</f>
        <v>8.1180000000000002E-2</v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37.71</v>
      </c>
      <c r="BN303" s="64">
        <f t="shared" si="33"/>
        <v>37.71</v>
      </c>
      <c r="BO303" s="64">
        <f t="shared" si="34"/>
        <v>6.8181818181818177E-2</v>
      </c>
      <c r="BP303" s="64">
        <f t="shared" si="35"/>
        <v>6.8181818181818177E-2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74.259259259259252</v>
      </c>
      <c r="Y304" s="557">
        <f>IFERROR(Y298/H298,"0")+IFERROR(Y299/H299,"0")+IFERROR(Y300/H300,"0")+IFERROR(Y301/H301,"0")+IFERROR(Y302/H302,"0")+IFERROR(Y303/H303,"0")</f>
        <v>76</v>
      </c>
      <c r="Z304" s="557">
        <f>IFERROR(IF(Z298="",0,Z298),"0")+IFERROR(IF(Z299="",0,Z299),"0")+IFERROR(IF(Z300="",0,Z300),"0")+IFERROR(IF(Z301="",0,Z301),"0")+IFERROR(IF(Z302="",0,Z302),"0")+IFERROR(IF(Z303="",0,Z303),"0")</f>
        <v>1.29308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700</v>
      </c>
      <c r="Y305" s="557">
        <f>IFERROR(SUM(Y298:Y303),"0")</f>
        <v>718.8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150</v>
      </c>
      <c r="Y307" s="556">
        <f t="shared" ref="Y307:Y312" si="36">IFERROR(IF(X307="",0,CEILING((X307/$H307),1)*$H307),"")</f>
        <v>151.20000000000002</v>
      </c>
      <c r="Z307" s="36">
        <f>IFERROR(IF(Y307=0,"",ROUNDUP(Y307/H307,0)*0.00902),"")</f>
        <v>0.32472000000000001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158.92857142857142</v>
      </c>
      <c r="BN307" s="64">
        <f t="shared" ref="BN307:BN312" si="38">IFERROR(Y307*I307/H307,"0")</f>
        <v>160.20000000000002</v>
      </c>
      <c r="BO307" s="64">
        <f t="shared" ref="BO307:BO312" si="39">IFERROR(1/J307*(X307/H307),"0")</f>
        <v>0.27056277056277056</v>
      </c>
      <c r="BP307" s="64">
        <f t="shared" ref="BP307:BP312" si="40">IFERROR(1/J307*(Y307/H307),"0")</f>
        <v>0.27272727272727271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300</v>
      </c>
      <c r="Y308" s="556">
        <f t="shared" si="36"/>
        <v>302.40000000000003</v>
      </c>
      <c r="Z308" s="36">
        <f>IFERROR(IF(Y308=0,"",ROUNDUP(Y308/H308,0)*0.00902),"")</f>
        <v>0.64944000000000002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317.85714285714283</v>
      </c>
      <c r="BN308" s="64">
        <f t="shared" si="38"/>
        <v>320.40000000000003</v>
      </c>
      <c r="BO308" s="64">
        <f t="shared" si="39"/>
        <v>0.54112554112554112</v>
      </c>
      <c r="BP308" s="64">
        <f t="shared" si="40"/>
        <v>0.54545454545454541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29.4</v>
      </c>
      <c r="Y310" s="556">
        <f t="shared" si="36"/>
        <v>29.400000000000002</v>
      </c>
      <c r="Z310" s="36">
        <f>IFERROR(IF(Y310=0,"",ROUNDUP(Y310/H310,0)*0.00502),"")</f>
        <v>7.0280000000000009E-2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31.22</v>
      </c>
      <c r="BN310" s="64">
        <f t="shared" si="38"/>
        <v>31.22</v>
      </c>
      <c r="BO310" s="64">
        <f t="shared" si="39"/>
        <v>5.9829059829059825E-2</v>
      </c>
      <c r="BP310" s="64">
        <f t="shared" si="40"/>
        <v>5.9829059829059839E-2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42</v>
      </c>
      <c r="Y311" s="556">
        <f t="shared" si="36"/>
        <v>42</v>
      </c>
      <c r="Z311" s="36">
        <f>IFERROR(IF(Y311=0,"",ROUNDUP(Y311/H311,0)*0.00502),"")</f>
        <v>0.1004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44</v>
      </c>
      <c r="BN311" s="64">
        <f t="shared" si="38"/>
        <v>44</v>
      </c>
      <c r="BO311" s="64">
        <f t="shared" si="39"/>
        <v>8.5470085470085472E-2</v>
      </c>
      <c r="BP311" s="64">
        <f t="shared" si="40"/>
        <v>8.5470085470085472E-2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54</v>
      </c>
      <c r="Y312" s="556">
        <f t="shared" si="36"/>
        <v>54</v>
      </c>
      <c r="Z312" s="36">
        <f>IFERROR(IF(Y312=0,"",ROUNDUP(Y312/H312,0)*0.00651),"")</f>
        <v>0.1953</v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60.839999999999996</v>
      </c>
      <c r="BN312" s="64">
        <f t="shared" si="38"/>
        <v>60.839999999999996</v>
      </c>
      <c r="BO312" s="64">
        <f t="shared" si="39"/>
        <v>0.16483516483516486</v>
      </c>
      <c r="BP312" s="64">
        <f t="shared" si="40"/>
        <v>0.16483516483516486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171.14285714285714</v>
      </c>
      <c r="Y313" s="557">
        <f>IFERROR(Y307/H307,"0")+IFERROR(Y308/H308,"0")+IFERROR(Y309/H309,"0")+IFERROR(Y310/H310,"0")+IFERROR(Y311/H311,"0")+IFERROR(Y312/H312,"0")</f>
        <v>172</v>
      </c>
      <c r="Z313" s="557">
        <f>IFERROR(IF(Z307="",0,Z307),"0")+IFERROR(IF(Z308="",0,Z308),"0")+IFERROR(IF(Z309="",0,Z309),"0")+IFERROR(IF(Z310="",0,Z310),"0")+IFERROR(IF(Z311="",0,Z311),"0")+IFERROR(IF(Z312="",0,Z312),"0")</f>
        <v>1.3401400000000001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575.4</v>
      </c>
      <c r="Y314" s="557">
        <f>IFERROR(SUM(Y307:Y312),"0")</f>
        <v>579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1000</v>
      </c>
      <c r="Y316" s="556">
        <f>IFERROR(IF(X316="",0,CEILING((X316/$H316),1)*$H316),"")</f>
        <v>1006.1999999999999</v>
      </c>
      <c r="Z316" s="36">
        <f>IFERROR(IF(Y316=0,"",ROUNDUP(Y316/H316,0)*0.01898),"")</f>
        <v>2.44842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1062.5641025641025</v>
      </c>
      <c r="BN316" s="64">
        <f>IFERROR(Y316*I316/H316,"0")</f>
        <v>1069.152</v>
      </c>
      <c r="BO316" s="64">
        <f>IFERROR(1/J316*(X316/H316),"0")</f>
        <v>2.0032051282051282</v>
      </c>
      <c r="BP316" s="64">
        <f>IFERROR(1/J316*(Y316/H316),"0")</f>
        <v>2.015625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90</v>
      </c>
      <c r="Y319" s="556">
        <f>IFERROR(IF(X319="",0,CEILING((X319/$H319),1)*$H319),"")</f>
        <v>90</v>
      </c>
      <c r="Z319" s="36">
        <f>IFERROR(IF(Y319=0,"",ROUNDUP(Y319/H319,0)*0.00651),"")</f>
        <v>0.1953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97.38</v>
      </c>
      <c r="BN319" s="64">
        <f>IFERROR(Y319*I319/H319,"0")</f>
        <v>97.38</v>
      </c>
      <c r="BO319" s="64">
        <f>IFERROR(1/J319*(X319/H319),"0")</f>
        <v>0.16483516483516486</v>
      </c>
      <c r="BP319" s="64">
        <f>IFERROR(1/J319*(Y319/H319),"0")</f>
        <v>0.16483516483516486</v>
      </c>
    </row>
    <row r="320" spans="1:68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158.2051282051282</v>
      </c>
      <c r="Y320" s="557">
        <f>IFERROR(Y316/H316,"0")+IFERROR(Y317/H317,"0")+IFERROR(Y318/H318,"0")+IFERROR(Y319/H319,"0")</f>
        <v>159</v>
      </c>
      <c r="Z320" s="557">
        <f>IFERROR(IF(Z316="",0,Z316),"0")+IFERROR(IF(Z317="",0,Z317),"0")+IFERROR(IF(Z318="",0,Z318),"0")+IFERROR(IF(Z319="",0,Z319),"0")</f>
        <v>2.6437200000000001</v>
      </c>
      <c r="AA320" s="558"/>
      <c r="AB320" s="558"/>
      <c r="AC320" s="558"/>
    </row>
    <row r="321" spans="1:68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1090</v>
      </c>
      <c r="Y321" s="557">
        <f>IFERROR(SUM(Y316:Y319),"0")</f>
        <v>1096.1999999999998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80</v>
      </c>
      <c r="Y323" s="556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120</v>
      </c>
      <c r="Y324" s="556">
        <f>IFERROR(IF(X324="",0,CEILING((X324/$H324),1)*$H324),"")</f>
        <v>124.8</v>
      </c>
      <c r="Z324" s="36">
        <f>IFERROR(IF(Y324=0,"",ROUNDUP(Y324/H324,0)*0.01898),"")</f>
        <v>0.30368000000000001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127.60000000000001</v>
      </c>
      <c r="BN324" s="64">
        <f>IFERROR(Y324*I324/H324,"0")</f>
        <v>132.70400000000001</v>
      </c>
      <c r="BO324" s="64">
        <f>IFERROR(1/J324*(X324/H324),"0")</f>
        <v>0.24038461538461539</v>
      </c>
      <c r="BP324" s="64">
        <f>IFERROR(1/J324*(Y324/H324),"0")</f>
        <v>0.25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100</v>
      </c>
      <c r="Y325" s="556">
        <f>IFERROR(IF(X325="",0,CEILING((X325/$H325),1)*$H325),"")</f>
        <v>100.80000000000001</v>
      </c>
      <c r="Z325" s="36">
        <f>IFERROR(IF(Y325=0,"",ROUNDUP(Y325/H325,0)*0.01898),"")</f>
        <v>0.22776000000000002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105.88095238095238</v>
      </c>
      <c r="BN325" s="64">
        <f>IFERROR(Y325*I325/H325,"0")</f>
        <v>106.72800000000001</v>
      </c>
      <c r="BO325" s="64">
        <f>IFERROR(1/J325*(X325/H325),"0")</f>
        <v>0.18601190476190477</v>
      </c>
      <c r="BP325" s="64">
        <f>IFERROR(1/J325*(Y325/H325),"0")</f>
        <v>0.1875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36.813186813186817</v>
      </c>
      <c r="Y326" s="557">
        <f>IFERROR(Y323/H323,"0")+IFERROR(Y324/H324,"0")+IFERROR(Y325/H325,"0")</f>
        <v>38</v>
      </c>
      <c r="Z326" s="557">
        <f>IFERROR(IF(Z323="",0,Z323),"0")+IFERROR(IF(Z324="",0,Z324),"0")+IFERROR(IF(Z325="",0,Z325),"0")</f>
        <v>0.7212400000000001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300</v>
      </c>
      <c r="Y327" s="557">
        <f>IFERROR(SUM(Y323:Y325),"0")</f>
        <v>309.60000000000002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18</v>
      </c>
      <c r="Y329" s="556">
        <f>IFERROR(IF(X329="",0,CEILING((X329/$H329),1)*$H329),"")</f>
        <v>18.240000000000002</v>
      </c>
      <c r="Z329" s="36">
        <f>IFERROR(IF(Y329=0,"",ROUNDUP(Y329/H329,0)*0.00902),"")</f>
        <v>5.4120000000000001E-2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19.598684210526315</v>
      </c>
      <c r="BN329" s="64">
        <f>IFERROR(Y329*I329/H329,"0")</f>
        <v>19.860000000000003</v>
      </c>
      <c r="BO329" s="64">
        <f>IFERROR(1/J329*(X329/H329),"0")</f>
        <v>4.4856459330143539E-2</v>
      </c>
      <c r="BP329" s="64">
        <f>IFERROR(1/J329*(Y329/H329),"0")</f>
        <v>4.5454545454545463E-2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21</v>
      </c>
      <c r="Y330" s="556">
        <f>IFERROR(IF(X330="",0,CEILING((X330/$H330),1)*$H330),"")</f>
        <v>21.28</v>
      </c>
      <c r="Z330" s="36">
        <f>IFERROR(IF(Y330=0,"",ROUNDUP(Y330/H330,0)*0.00902),"")</f>
        <v>6.3140000000000002E-2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22.588815789473685</v>
      </c>
      <c r="BN330" s="64">
        <f>IFERROR(Y330*I330/H330,"0")</f>
        <v>22.89</v>
      </c>
      <c r="BO330" s="64">
        <f>IFERROR(1/J330*(X330/H330),"0")</f>
        <v>5.2332535885167467E-2</v>
      </c>
      <c r="BP330" s="64">
        <f>IFERROR(1/J330*(Y330/H330),"0")</f>
        <v>5.3030303030303032E-2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25.5</v>
      </c>
      <c r="Y331" s="556">
        <f>IFERROR(IF(X331="",0,CEILING((X331/$H331),1)*$H331),"")</f>
        <v>25.5</v>
      </c>
      <c r="Z331" s="36">
        <f>IFERROR(IF(Y331=0,"",ROUNDUP(Y331/H331,0)*0.00651),"")</f>
        <v>6.5100000000000005E-2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29.550000000000004</v>
      </c>
      <c r="BN331" s="64">
        <f>IFERROR(Y331*I331/H331,"0")</f>
        <v>29.550000000000004</v>
      </c>
      <c r="BO331" s="64">
        <f>IFERROR(1/J331*(X331/H331),"0")</f>
        <v>5.4945054945054951E-2</v>
      </c>
      <c r="BP331" s="64">
        <f>IFERROR(1/J331*(Y331/H331),"0")</f>
        <v>5.4945054945054951E-2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25.5</v>
      </c>
      <c r="Y332" s="556">
        <f>IFERROR(IF(X332="",0,CEILING((X332/$H332),1)*$H332),"")</f>
        <v>25.5</v>
      </c>
      <c r="Z332" s="36">
        <f>IFERROR(IF(Y332=0,"",ROUNDUP(Y332/H332,0)*0.00651),"")</f>
        <v>6.5100000000000005E-2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28.8</v>
      </c>
      <c r="BN332" s="64">
        <f>IFERROR(Y332*I332/H332,"0")</f>
        <v>28.8</v>
      </c>
      <c r="BO332" s="64">
        <f>IFERROR(1/J332*(X332/H332),"0")</f>
        <v>5.4945054945054951E-2</v>
      </c>
      <c r="BP332" s="64">
        <f>IFERROR(1/J332*(Y332/H332),"0")</f>
        <v>5.4945054945054951E-2</v>
      </c>
    </row>
    <row r="333" spans="1:68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32.828947368421055</v>
      </c>
      <c r="Y333" s="557">
        <f>IFERROR(Y329/H329,"0")+IFERROR(Y330/H330,"0")+IFERROR(Y331/H331,"0")+IFERROR(Y332/H332,"0")</f>
        <v>33</v>
      </c>
      <c r="Z333" s="557">
        <f>IFERROR(IF(Z329="",0,Z329),"0")+IFERROR(IF(Z330="",0,Z330),"0")+IFERROR(IF(Z331="",0,Z331),"0")+IFERROR(IF(Z332="",0,Z332),"0")</f>
        <v>0.24746000000000001</v>
      </c>
      <c r="AA333" s="558"/>
      <c r="AB333" s="558"/>
      <c r="AC333" s="558"/>
    </row>
    <row r="334" spans="1:68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90</v>
      </c>
      <c r="Y334" s="557">
        <f>IFERROR(SUM(Y329:Y332),"0")</f>
        <v>90.52000000000001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10</v>
      </c>
      <c r="Y336" s="556">
        <f>IFERROR(IF(X336="",0,CEILING((X336/$H336),1)*$H336),"")</f>
        <v>10</v>
      </c>
      <c r="Z336" s="36">
        <f>IFERROR(IF(Y336=0,"",ROUNDUP(Y336/H336,0)*0.00474),"")</f>
        <v>2.3700000000000002E-2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11.200000000000001</v>
      </c>
      <c r="BN336" s="64">
        <f>IFERROR(Y336*I336/H336,"0")</f>
        <v>11.200000000000001</v>
      </c>
      <c r="BO336" s="64">
        <f>IFERROR(1/J336*(X336/H336),"0")</f>
        <v>2.1008403361344536E-2</v>
      </c>
      <c r="BP336" s="64">
        <f>IFERROR(1/J336*(Y336/H336),"0")</f>
        <v>2.1008403361344536E-2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10</v>
      </c>
      <c r="Y337" s="556">
        <f>IFERROR(IF(X337="",0,CEILING((X337/$H337),1)*$H337),"")</f>
        <v>10</v>
      </c>
      <c r="Z337" s="36">
        <f>IFERROR(IF(Y337=0,"",ROUNDUP(Y337/H337,0)*0.00474),"")</f>
        <v>2.3700000000000002E-2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11.200000000000001</v>
      </c>
      <c r="BN337" s="64">
        <f>IFERROR(Y337*I337/H337,"0")</f>
        <v>11.200000000000001</v>
      </c>
      <c r="BO337" s="64">
        <f>IFERROR(1/J337*(X337/H337),"0")</f>
        <v>2.1008403361344536E-2</v>
      </c>
      <c r="BP337" s="64">
        <f>IFERROR(1/J337*(Y337/H337),"0")</f>
        <v>2.1008403361344536E-2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20</v>
      </c>
      <c r="Y338" s="556">
        <f>IFERROR(IF(X338="",0,CEILING((X338/$H338),1)*$H338),"")</f>
        <v>20</v>
      </c>
      <c r="Z338" s="36">
        <f>IFERROR(IF(Y338=0,"",ROUNDUP(Y338/H338,0)*0.00474),"")</f>
        <v>4.7400000000000005E-2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22.400000000000002</v>
      </c>
      <c r="BN338" s="64">
        <f>IFERROR(Y338*I338/H338,"0")</f>
        <v>22.400000000000002</v>
      </c>
      <c r="BO338" s="64">
        <f>IFERROR(1/J338*(X338/H338),"0")</f>
        <v>4.2016806722689072E-2</v>
      </c>
      <c r="BP338" s="64">
        <f>IFERROR(1/J338*(Y338/H338),"0")</f>
        <v>4.2016806722689072E-2</v>
      </c>
    </row>
    <row r="339" spans="1:68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20</v>
      </c>
      <c r="Y339" s="557">
        <f>IFERROR(Y336/H336,"0")+IFERROR(Y337/H337,"0")+IFERROR(Y338/H338,"0")</f>
        <v>20</v>
      </c>
      <c r="Z339" s="557">
        <f>IFERROR(IF(Z336="",0,Z336),"0")+IFERROR(IF(Z337="",0,Z337),"0")+IFERROR(IF(Z338="",0,Z338),"0")</f>
        <v>9.4800000000000009E-2</v>
      </c>
      <c r="AA339" s="558"/>
      <c r="AB339" s="558"/>
      <c r="AC339" s="558"/>
    </row>
    <row r="340" spans="1:68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40</v>
      </c>
      <c r="Y340" s="557">
        <f>IFERROR(SUM(Y336:Y338),"0")</f>
        <v>40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16</v>
      </c>
      <c r="Y343" s="556">
        <f>IFERROR(IF(X343="",0,CEILING((X343/$H343),1)*$H343),"")</f>
        <v>16.2</v>
      </c>
      <c r="Z343" s="36">
        <f>IFERROR(IF(Y343=0,"",ROUNDUP(Y343/H343,0)*0.01898),"")</f>
        <v>3.7960000000000001E-2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16.975802469135804</v>
      </c>
      <c r="BN343" s="64">
        <f>IFERROR(Y343*I343/H343,"0")</f>
        <v>17.187999999999999</v>
      </c>
      <c r="BO343" s="64">
        <f>IFERROR(1/J343*(X343/H343),"0")</f>
        <v>3.0864197530864199E-2</v>
      </c>
      <c r="BP343" s="64">
        <f>IFERROR(1/J343*(Y343/H343),"0")</f>
        <v>3.125E-2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84</v>
      </c>
      <c r="Y345" s="556">
        <f>IFERROR(IF(X345="",0,CEILING((X345/$H345),1)*$H345),"")</f>
        <v>84</v>
      </c>
      <c r="Z345" s="36">
        <f>IFERROR(IF(Y345=0,"",ROUNDUP(Y345/H345,0)*0.00651),"")</f>
        <v>0.26040000000000002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93.6</v>
      </c>
      <c r="BN345" s="64">
        <f>IFERROR(Y345*I345/H345,"0")</f>
        <v>93.6</v>
      </c>
      <c r="BO345" s="64">
        <f>IFERROR(1/J345*(X345/H345),"0")</f>
        <v>0.2197802197802198</v>
      </c>
      <c r="BP345" s="64">
        <f>IFERROR(1/J345*(Y345/H345),"0")</f>
        <v>0.2197802197802198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41.97530864197531</v>
      </c>
      <c r="Y346" s="557">
        <f>IFERROR(Y343/H343,"0")+IFERROR(Y344/H344,"0")+IFERROR(Y345/H345,"0")</f>
        <v>42</v>
      </c>
      <c r="Z346" s="557">
        <f>IFERROR(IF(Z343="",0,Z343),"0")+IFERROR(IF(Z344="",0,Z344),"0")+IFERROR(IF(Z345="",0,Z345),"0")</f>
        <v>0.29836000000000001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100</v>
      </c>
      <c r="Y347" s="557">
        <f>IFERROR(SUM(Y343:Y345),"0")</f>
        <v>100.2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240</v>
      </c>
      <c r="Y351" s="556">
        <f t="shared" ref="Y351:Y357" si="41">IFERROR(IF(X351="",0,CEILING((X351/$H351),1)*$H351),"")</f>
        <v>240</v>
      </c>
      <c r="Z351" s="36">
        <f>IFERROR(IF(Y351=0,"",ROUNDUP(Y351/H351,0)*0.02175),"")</f>
        <v>0.34799999999999998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247.52</v>
      </c>
      <c r="BN351" s="64">
        <f t="shared" ref="BN351:BN357" si="43">IFERROR(Y351*I351/H351,"0")</f>
        <v>247.52</v>
      </c>
      <c r="BO351" s="64">
        <f t="shared" ref="BO351:BO357" si="44">IFERROR(1/J351*(X351/H351),"0")</f>
        <v>0.33333333333333331</v>
      </c>
      <c r="BP351" s="64">
        <f t="shared" ref="BP351:BP357" si="45">IFERROR(1/J351*(Y351/H351),"0")</f>
        <v>0.33333333333333331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270</v>
      </c>
      <c r="Y352" s="556">
        <f t="shared" si="41"/>
        <v>270</v>
      </c>
      <c r="Z352" s="36">
        <f>IFERROR(IF(Y352=0,"",ROUNDUP(Y352/H352,0)*0.02175),"")</f>
        <v>0.39149999999999996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278.46000000000004</v>
      </c>
      <c r="BN352" s="64">
        <f t="shared" si="43"/>
        <v>278.46000000000004</v>
      </c>
      <c r="BO352" s="64">
        <f t="shared" si="44"/>
        <v>0.375</v>
      </c>
      <c r="BP352" s="64">
        <f t="shared" si="45"/>
        <v>0.375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500</v>
      </c>
      <c r="Y354" s="556">
        <f t="shared" si="41"/>
        <v>510</v>
      </c>
      <c r="Z354" s="36">
        <f>IFERROR(IF(Y354=0,"",ROUNDUP(Y354/H354,0)*0.02175),"")</f>
        <v>0.73949999999999994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515.66666666666663</v>
      </c>
      <c r="BN354" s="64">
        <f t="shared" si="43"/>
        <v>525.98</v>
      </c>
      <c r="BO354" s="64">
        <f t="shared" si="44"/>
        <v>0.69444444444444442</v>
      </c>
      <c r="BP354" s="64">
        <f t="shared" si="45"/>
        <v>0.70833333333333326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35</v>
      </c>
      <c r="Y357" s="556">
        <f t="shared" si="41"/>
        <v>35</v>
      </c>
      <c r="Z357" s="36">
        <f>IFERROR(IF(Y357=0,"",ROUNDUP(Y357/H357,0)*0.00902),"")</f>
        <v>6.3140000000000002E-2</v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36.33</v>
      </c>
      <c r="BN357" s="64">
        <f t="shared" si="43"/>
        <v>36.33</v>
      </c>
      <c r="BO357" s="64">
        <f t="shared" si="44"/>
        <v>5.3030303030303032E-2</v>
      </c>
      <c r="BP357" s="64">
        <f t="shared" si="45"/>
        <v>5.3030303030303032E-2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79.333333333333343</v>
      </c>
      <c r="Y358" s="557">
        <f>IFERROR(Y351/H351,"0")+IFERROR(Y352/H352,"0")+IFERROR(Y353/H353,"0")+IFERROR(Y354/H354,"0")+IFERROR(Y355/H355,"0")+IFERROR(Y356/H356,"0")+IFERROR(Y357/H357,"0")</f>
        <v>80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1.5872399999999998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1070</v>
      </c>
      <c r="Y359" s="557">
        <f>IFERROR(SUM(Y351:Y357),"0")</f>
        <v>1080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500</v>
      </c>
      <c r="Y361" s="556">
        <f>IFERROR(IF(X361="",0,CEILING((X361/$H361),1)*$H361),"")</f>
        <v>510</v>
      </c>
      <c r="Z361" s="36">
        <f>IFERROR(IF(Y361=0,"",ROUNDUP(Y361/H361,0)*0.02175),"")</f>
        <v>0.73949999999999994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515.66666666666663</v>
      </c>
      <c r="BN361" s="64">
        <f>IFERROR(Y361*I361/H361,"0")</f>
        <v>525.98</v>
      </c>
      <c r="BO361" s="64">
        <f>IFERROR(1/J361*(X361/H361),"0")</f>
        <v>0.69444444444444442</v>
      </c>
      <c r="BP361" s="64">
        <f>IFERROR(1/J361*(Y361/H361),"0")</f>
        <v>0.70833333333333326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12</v>
      </c>
      <c r="Y362" s="556">
        <f>IFERROR(IF(X362="",0,CEILING((X362/$H362),1)*$H362),"")</f>
        <v>12</v>
      </c>
      <c r="Z362" s="36">
        <f>IFERROR(IF(Y362=0,"",ROUNDUP(Y362/H362,0)*0.00902),"")</f>
        <v>2.7060000000000001E-2</v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12.57</v>
      </c>
      <c r="BN362" s="64">
        <f>IFERROR(Y362*I362/H362,"0")</f>
        <v>12.57</v>
      </c>
      <c r="BO362" s="64">
        <f>IFERROR(1/J362*(X362/H362),"0")</f>
        <v>2.2727272727272728E-2</v>
      </c>
      <c r="BP362" s="64">
        <f>IFERROR(1/J362*(Y362/H362),"0")</f>
        <v>2.2727272727272728E-2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36.333333333333336</v>
      </c>
      <c r="Y363" s="557">
        <f>IFERROR(Y361/H361,"0")+IFERROR(Y362/H362,"0")</f>
        <v>37</v>
      </c>
      <c r="Z363" s="557">
        <f>IFERROR(IF(Z361="",0,Z361),"0")+IFERROR(IF(Z362="",0,Z362),"0")</f>
        <v>0.76655999999999991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512</v>
      </c>
      <c r="Y364" s="557">
        <f>IFERROR(SUM(Y361:Y362),"0")</f>
        <v>522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450</v>
      </c>
      <c r="Y386" s="556">
        <f>IFERROR(IF(X386="",0,CEILING((X386/$H386),1)*$H386),"")</f>
        <v>450</v>
      </c>
      <c r="Z386" s="36">
        <f>IFERROR(IF(Y386=0,"",ROUNDUP(Y386/H386,0)*0.01898),"")</f>
        <v>0.94900000000000007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474.70000000000005</v>
      </c>
      <c r="BN386" s="64">
        <f>IFERROR(Y386*I386/H386,"0")</f>
        <v>474.70000000000005</v>
      </c>
      <c r="BO386" s="64">
        <f>IFERROR(1/J386*(X386/H386),"0")</f>
        <v>0.78125</v>
      </c>
      <c r="BP386" s="64">
        <f>IFERROR(1/J386*(Y386/H386),"0")</f>
        <v>0.78125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48</v>
      </c>
      <c r="Y388" s="556">
        <f>IFERROR(IF(X388="",0,CEILING((X388/$H388),1)*$H388),"")</f>
        <v>48</v>
      </c>
      <c r="Z388" s="36">
        <f>IFERROR(IF(Y388=0,"",ROUNDUP(Y388/H388,0)*0.00651),"")</f>
        <v>0.13020000000000001</v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53.280000000000008</v>
      </c>
      <c r="BN388" s="64">
        <f>IFERROR(Y388*I388/H388,"0")</f>
        <v>53.280000000000008</v>
      </c>
      <c r="BO388" s="64">
        <f>IFERROR(1/J388*(X388/H388),"0")</f>
        <v>0.1098901098901099</v>
      </c>
      <c r="BP388" s="64">
        <f>IFERROR(1/J388*(Y388/H388),"0")</f>
        <v>0.1098901098901099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70</v>
      </c>
      <c r="Y389" s="557">
        <f>IFERROR(Y386/H386,"0")+IFERROR(Y387/H387,"0")+IFERROR(Y388/H388,"0")</f>
        <v>70</v>
      </c>
      <c r="Z389" s="557">
        <f>IFERROR(IF(Z386="",0,Z386),"0")+IFERROR(IF(Z387="",0,Z387),"0")+IFERROR(IF(Z388="",0,Z388),"0")</f>
        <v>1.0792000000000002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498</v>
      </c>
      <c r="Y390" s="557">
        <f>IFERROR(SUM(Y386:Y388),"0")</f>
        <v>498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30</v>
      </c>
      <c r="Y394" s="556">
        <f t="shared" ref="Y394:Y402" si="46">IFERROR(IF(X394="",0,CEILING((X394/$H394),1)*$H394),"")</f>
        <v>32.400000000000006</v>
      </c>
      <c r="Z394" s="36">
        <f>IFERROR(IF(Y394=0,"",ROUNDUP(Y394/H394,0)*0.00902),"")</f>
        <v>5.4120000000000001E-2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31.05555555555555</v>
      </c>
      <c r="BN394" s="64">
        <f t="shared" ref="BN394:BN402" si="48">IFERROR(Y394*I394/H394,"0")</f>
        <v>33.54</v>
      </c>
      <c r="BO394" s="64">
        <f t="shared" ref="BO394:BO402" si="49">IFERROR(1/J394*(X394/H394),"0")</f>
        <v>4.208754208754209E-2</v>
      </c>
      <c r="BP394" s="64">
        <f t="shared" ref="BP394:BP402" si="50">IFERROR(1/J394*(Y394/H394),"0")</f>
        <v>4.5454545454545463E-2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20</v>
      </c>
      <c r="Y395" s="556">
        <f t="shared" si="46"/>
        <v>21.6</v>
      </c>
      <c r="Z395" s="36">
        <f>IFERROR(IF(Y395=0,"",ROUNDUP(Y395/H395,0)*0.00902),"")</f>
        <v>3.6080000000000001E-2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20.703703703703702</v>
      </c>
      <c r="BN395" s="64">
        <f t="shared" si="48"/>
        <v>22.36</v>
      </c>
      <c r="BO395" s="64">
        <f t="shared" si="49"/>
        <v>2.8058361391694722E-2</v>
      </c>
      <c r="BP395" s="64">
        <f t="shared" si="50"/>
        <v>3.0303030303030304E-2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30</v>
      </c>
      <c r="Y396" s="556">
        <f t="shared" si="46"/>
        <v>32.400000000000006</v>
      </c>
      <c r="Z396" s="36">
        <f>IFERROR(IF(Y396=0,"",ROUNDUP(Y396/H396,0)*0.00902),"")</f>
        <v>5.4120000000000001E-2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31.05555555555555</v>
      </c>
      <c r="BN396" s="64">
        <f t="shared" si="48"/>
        <v>33.54</v>
      </c>
      <c r="BO396" s="64">
        <f t="shared" si="49"/>
        <v>4.208754208754209E-2</v>
      </c>
      <c r="BP396" s="64">
        <f t="shared" si="50"/>
        <v>4.5454545454545463E-2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6.3</v>
      </c>
      <c r="Y398" s="556">
        <f t="shared" si="46"/>
        <v>6.3000000000000007</v>
      </c>
      <c r="Z398" s="36">
        <f t="shared" si="51"/>
        <v>1.506E-2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6.6899999999999995</v>
      </c>
      <c r="BN398" s="64">
        <f t="shared" si="48"/>
        <v>6.69</v>
      </c>
      <c r="BO398" s="64">
        <f t="shared" si="49"/>
        <v>1.2820512820512822E-2</v>
      </c>
      <c r="BP398" s="64">
        <f t="shared" si="50"/>
        <v>1.2820512820512822E-2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17.814814814814817</v>
      </c>
      <c r="Y403" s="557">
        <f>IFERROR(Y394/H394,"0")+IFERROR(Y395/H395,"0")+IFERROR(Y396/H396,"0")+IFERROR(Y397/H397,"0")+IFERROR(Y398/H398,"0")+IFERROR(Y399/H399,"0")+IFERROR(Y400/H400,"0")+IFERROR(Y401/H401,"0")+IFERROR(Y402/H402,"0")</f>
        <v>19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0.15937999999999999</v>
      </c>
      <c r="AA403" s="558"/>
      <c r="AB403" s="558"/>
      <c r="AC403" s="558"/>
    </row>
    <row r="404" spans="1:68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86.3</v>
      </c>
      <c r="Y404" s="557">
        <f>IFERROR(SUM(Y394:Y402),"0")</f>
        <v>92.7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20</v>
      </c>
      <c r="Y416" s="556">
        <f>IFERROR(IF(X416="",0,CEILING((X416/$H416),1)*$H416),"")</f>
        <v>21.6</v>
      </c>
      <c r="Z416" s="36">
        <f>IFERROR(IF(Y416=0,"",ROUNDUP(Y416/H416,0)*0.00902),"")</f>
        <v>3.6080000000000001E-2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20.703703703703702</v>
      </c>
      <c r="BN416" s="64">
        <f>IFERROR(Y416*I416/H416,"0")</f>
        <v>22.36</v>
      </c>
      <c r="BO416" s="64">
        <f>IFERROR(1/J416*(X416/H416),"0")</f>
        <v>2.8058361391694722E-2</v>
      </c>
      <c r="BP416" s="64">
        <f>IFERROR(1/J416*(Y416/H416),"0")</f>
        <v>3.0303030303030304E-2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3.7037037037037033</v>
      </c>
      <c r="Y420" s="557">
        <f>IFERROR(Y416/H416,"0")+IFERROR(Y417/H417,"0")+IFERROR(Y418/H418,"0")+IFERROR(Y419/H419,"0")</f>
        <v>4</v>
      </c>
      <c r="Z420" s="557">
        <f>IFERROR(IF(Z416="",0,Z416),"0")+IFERROR(IF(Z417="",0,Z417),"0")+IFERROR(IF(Z418="",0,Z418),"0")+IFERROR(IF(Z419="",0,Z419),"0")</f>
        <v>3.6080000000000001E-2</v>
      </c>
      <c r="AA420" s="558"/>
      <c r="AB420" s="558"/>
      <c r="AC420" s="558"/>
    </row>
    <row r="421" spans="1:68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20</v>
      </c>
      <c r="Y421" s="557">
        <f>IFERROR(SUM(Y416:Y419),"0")</f>
        <v>21.6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250</v>
      </c>
      <c r="Y434" s="556">
        <f t="shared" si="52"/>
        <v>253.44</v>
      </c>
      <c r="Z434" s="36">
        <f t="shared" si="53"/>
        <v>0.57408000000000003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266.57196969696969</v>
      </c>
      <c r="BN434" s="64">
        <f t="shared" si="55"/>
        <v>270.23999999999995</v>
      </c>
      <c r="BO434" s="64">
        <f t="shared" si="56"/>
        <v>0.45527389277389274</v>
      </c>
      <c r="BP434" s="64">
        <f t="shared" si="57"/>
        <v>0.46153846153846156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120</v>
      </c>
      <c r="Y436" s="556">
        <f t="shared" si="52"/>
        <v>121.44000000000001</v>
      </c>
      <c r="Z436" s="36">
        <f t="shared" si="53"/>
        <v>0.27507999999999999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127.95454545454545</v>
      </c>
      <c r="BN436" s="64">
        <f t="shared" si="55"/>
        <v>129.49</v>
      </c>
      <c r="BO436" s="64">
        <f t="shared" si="56"/>
        <v>0.21853146853146854</v>
      </c>
      <c r="BP436" s="64">
        <f t="shared" si="57"/>
        <v>0.22115384615384617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9.6</v>
      </c>
      <c r="Y438" s="556">
        <f t="shared" si="52"/>
        <v>9.6</v>
      </c>
      <c r="Z438" s="36">
        <f>IFERROR(IF(Y438=0,"",ROUNDUP(Y438/H438,0)*0.00902),"")</f>
        <v>1.804E-2</v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13.82</v>
      </c>
      <c r="BN438" s="64">
        <f t="shared" si="55"/>
        <v>13.82</v>
      </c>
      <c r="BO438" s="64">
        <f t="shared" si="56"/>
        <v>1.5151515151515152E-2</v>
      </c>
      <c r="BP438" s="64">
        <f t="shared" si="57"/>
        <v>1.5151515151515152E-2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4.8000000000000007</v>
      </c>
      <c r="Y440" s="556">
        <f t="shared" si="52"/>
        <v>4.8</v>
      </c>
      <c r="Z440" s="36">
        <f>IFERROR(IF(Y440=0,"",ROUNDUP(Y440/H440,0)*0.00651),"")</f>
        <v>1.302E-2</v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5.160000000000001</v>
      </c>
      <c r="BN440" s="64">
        <f t="shared" si="55"/>
        <v>5.16</v>
      </c>
      <c r="BO440" s="64">
        <f t="shared" si="56"/>
        <v>1.0989010989010992E-2</v>
      </c>
      <c r="BP440" s="64">
        <f t="shared" si="57"/>
        <v>1.098901098901099E-2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74.075757575757564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75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0.88022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384.40000000000003</v>
      </c>
      <c r="Y443" s="557">
        <f>IFERROR(SUM(Y430:Y441),"0")</f>
        <v>389.28000000000003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200</v>
      </c>
      <c r="Y445" s="556">
        <f>IFERROR(IF(X445="",0,CEILING((X445/$H445),1)*$H445),"")</f>
        <v>200.64000000000001</v>
      </c>
      <c r="Z445" s="36">
        <f>IFERROR(IF(Y445=0,"",ROUNDUP(Y445/H445,0)*0.01196),"")</f>
        <v>0.45448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213.25757575757575</v>
      </c>
      <c r="BN445" s="64">
        <f>IFERROR(Y445*I445/H445,"0")</f>
        <v>213.94</v>
      </c>
      <c r="BO445" s="64">
        <f>IFERROR(1/J445*(X445/H445),"0")</f>
        <v>0.36421911421911418</v>
      </c>
      <c r="BP445" s="64">
        <f>IFERROR(1/J445*(Y445/H445),"0")</f>
        <v>0.36538461538461542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37.878787878787875</v>
      </c>
      <c r="Y448" s="557">
        <f>IFERROR(Y445/H445,"0")+IFERROR(Y446/H446,"0")+IFERROR(Y447/H447,"0")</f>
        <v>38</v>
      </c>
      <c r="Z448" s="557">
        <f>IFERROR(IF(Z445="",0,Z445),"0")+IFERROR(IF(Z446="",0,Z446),"0")+IFERROR(IF(Z447="",0,Z447),"0")</f>
        <v>0.45448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200</v>
      </c>
      <c r="Y449" s="557">
        <f>IFERROR(SUM(Y445:Y447),"0")</f>
        <v>200.64000000000001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50</v>
      </c>
      <c r="Y451" s="556">
        <f t="shared" ref="Y451:Y456" si="58">IFERROR(IF(X451="",0,CEILING((X451/$H451),1)*$H451),"")</f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53.314393939393938</v>
      </c>
      <c r="BN451" s="64">
        <f t="shared" ref="BN451:BN456" si="60">IFERROR(Y451*I451/H451,"0")</f>
        <v>56.3</v>
      </c>
      <c r="BO451" s="64">
        <f t="shared" ref="BO451:BO456" si="61">IFERROR(1/J451*(X451/H451),"0")</f>
        <v>9.1054778554778545E-2</v>
      </c>
      <c r="BP451" s="64">
        <f t="shared" ref="BP451:BP456" si="62">IFERROR(1/J451*(Y451/H451),"0")</f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80</v>
      </c>
      <c r="Y452" s="556">
        <f t="shared" si="58"/>
        <v>84.48</v>
      </c>
      <c r="Z452" s="36">
        <f>IFERROR(IF(Y452=0,"",ROUNDUP(Y452/H452,0)*0.01196),"")</f>
        <v>0.19136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85.303030303030297</v>
      </c>
      <c r="BN452" s="64">
        <f t="shared" si="60"/>
        <v>90.08</v>
      </c>
      <c r="BO452" s="64">
        <f t="shared" si="61"/>
        <v>0.14568764568764569</v>
      </c>
      <c r="BP452" s="64">
        <f t="shared" si="62"/>
        <v>0.15384615384615385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200</v>
      </c>
      <c r="Y453" s="556">
        <f t="shared" si="58"/>
        <v>200.64000000000001</v>
      </c>
      <c r="Z453" s="36">
        <f>IFERROR(IF(Y453=0,"",ROUNDUP(Y453/H453,0)*0.01196),"")</f>
        <v>0.45448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213.25757575757575</v>
      </c>
      <c r="BN453" s="64">
        <f t="shared" si="60"/>
        <v>213.94</v>
      </c>
      <c r="BO453" s="64">
        <f t="shared" si="61"/>
        <v>0.36421911421911418</v>
      </c>
      <c r="BP453" s="64">
        <f t="shared" si="62"/>
        <v>0.36538461538461542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9.6</v>
      </c>
      <c r="Y454" s="556">
        <f t="shared" si="58"/>
        <v>9.6</v>
      </c>
      <c r="Z454" s="36">
        <f>IFERROR(IF(Y454=0,"",ROUNDUP(Y454/H454,0)*0.00902),"")</f>
        <v>1.804E-2</v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13.82</v>
      </c>
      <c r="BN454" s="64">
        <f t="shared" si="60"/>
        <v>13.82</v>
      </c>
      <c r="BO454" s="64">
        <f t="shared" si="61"/>
        <v>1.5151515151515152E-2</v>
      </c>
      <c r="BP454" s="64">
        <f t="shared" si="62"/>
        <v>1.5151515151515152E-2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9.6</v>
      </c>
      <c r="Y455" s="556">
        <f t="shared" si="58"/>
        <v>9.6</v>
      </c>
      <c r="Z455" s="36">
        <f>IFERROR(IF(Y455=0,"",ROUNDUP(Y455/H455,0)*0.00902),"")</f>
        <v>1.804E-2</v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13.34</v>
      </c>
      <c r="BN455" s="64">
        <f t="shared" si="60"/>
        <v>13.34</v>
      </c>
      <c r="BO455" s="64">
        <f t="shared" si="61"/>
        <v>1.5151515151515152E-2</v>
      </c>
      <c r="BP455" s="64">
        <f t="shared" si="62"/>
        <v>1.5151515151515152E-2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10.8</v>
      </c>
      <c r="Y456" s="556">
        <f t="shared" si="58"/>
        <v>14.399999999999999</v>
      </c>
      <c r="Z456" s="36">
        <f>IFERROR(IF(Y456=0,"",ROUNDUP(Y456/H456,0)*0.00902),"")</f>
        <v>2.7060000000000001E-2</v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15.0075</v>
      </c>
      <c r="BN456" s="64">
        <f t="shared" si="60"/>
        <v>20.009999999999998</v>
      </c>
      <c r="BO456" s="64">
        <f t="shared" si="61"/>
        <v>1.7045454545454548E-2</v>
      </c>
      <c r="BP456" s="64">
        <f t="shared" si="62"/>
        <v>2.2727272727272728E-2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68.75</v>
      </c>
      <c r="Y457" s="557">
        <f>IFERROR(Y451/H451,"0")+IFERROR(Y452/H452,"0")+IFERROR(Y453/H453,"0")+IFERROR(Y454/H454,"0")+IFERROR(Y455/H455,"0")+IFERROR(Y456/H456,"0")</f>
        <v>71</v>
      </c>
      <c r="Z457" s="557">
        <f>IFERROR(IF(Z451="",0,Z451),"0")+IFERROR(IF(Z452="",0,Z452),"0")+IFERROR(IF(Z453="",0,Z453),"0")+IFERROR(IF(Z454="",0,Z454),"0")+IFERROR(IF(Z455="",0,Z455),"0")+IFERROR(IF(Z456="",0,Z456),"0")</f>
        <v>0.82857999999999998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360.00000000000006</v>
      </c>
      <c r="Y458" s="557">
        <f>IFERROR(SUM(Y451:Y456),"0")</f>
        <v>371.52000000000004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24</v>
      </c>
      <c r="Y468" s="556">
        <f>IFERROR(IF(X468="",0,CEILING((X468/$H468),1)*$H468),"")</f>
        <v>24</v>
      </c>
      <c r="Z468" s="36">
        <f>IFERROR(IF(Y468=0,"",ROUNDUP(Y468/H468,0)*0.01898),"")</f>
        <v>3.7960000000000001E-2</v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24.820000000000004</v>
      </c>
      <c r="BN468" s="64">
        <f>IFERROR(Y468*I468/H468,"0")</f>
        <v>24.820000000000004</v>
      </c>
      <c r="BO468" s="64">
        <f>IFERROR(1/J468*(X468/H468),"0")</f>
        <v>3.125E-2</v>
      </c>
      <c r="BP468" s="64">
        <f>IFERROR(1/J468*(Y468/H468),"0")</f>
        <v>3.125E-2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2</v>
      </c>
      <c r="Y470" s="557">
        <f>IFERROR(Y466/H466,"0")+IFERROR(Y467/H467,"0")+IFERROR(Y468/H468,"0")+IFERROR(Y469/H469,"0")</f>
        <v>2</v>
      </c>
      <c r="Z470" s="557">
        <f>IFERROR(IF(Z466="",0,Z466),"0")+IFERROR(IF(Z467="",0,Z467),"0")+IFERROR(IF(Z468="",0,Z468),"0")+IFERROR(IF(Z469="",0,Z469),"0")</f>
        <v>3.7960000000000001E-2</v>
      </c>
      <c r="AA470" s="558"/>
      <c r="AB470" s="558"/>
      <c r="AC470" s="558"/>
    </row>
    <row r="471" spans="1:68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24</v>
      </c>
      <c r="Y471" s="557">
        <f>IFERROR(SUM(Y466:Y469),"0")</f>
        <v>24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40</v>
      </c>
      <c r="Y478" s="556">
        <f>IFERROR(IF(X478="",0,CEILING((X478/$H478),1)*$H478),"")</f>
        <v>42</v>
      </c>
      <c r="Z478" s="36">
        <f>IFERROR(IF(Y478=0,"",ROUNDUP(Y478/H478,0)*0.00902),"")</f>
        <v>9.0200000000000002E-2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42.38095238095238</v>
      </c>
      <c r="BN478" s="64">
        <f>IFERROR(Y478*I478/H478,"0")</f>
        <v>44.5</v>
      </c>
      <c r="BO478" s="64">
        <f>IFERROR(1/J478*(X478/H478),"0")</f>
        <v>7.2150072150072145E-2</v>
      </c>
      <c r="BP478" s="64">
        <f>IFERROR(1/J478*(Y478/H478),"0")</f>
        <v>7.575757575757576E-2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9.5238095238095237</v>
      </c>
      <c r="Y480" s="557">
        <f>IFERROR(Y478/H478,"0")+IFERROR(Y479/H479,"0")</f>
        <v>10</v>
      </c>
      <c r="Z480" s="557">
        <f>IFERROR(IF(Z478="",0,Z478),"0")+IFERROR(IF(Z479="",0,Z479),"0")</f>
        <v>9.0200000000000002E-2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40</v>
      </c>
      <c r="Y481" s="557">
        <f>IFERROR(SUM(Y478:Y479),"0")</f>
        <v>42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9143.880000000001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9287.3200000000015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9661.4454721328075</v>
      </c>
      <c r="Y497" s="557">
        <f>IFERROR(SUM(BN22:BN493),"0")</f>
        <v>9813.1210000000046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17</v>
      </c>
      <c r="Y498" s="38">
        <f>ROUNDUP(SUM(BP22:BP493),0)</f>
        <v>17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10086.445472132807</v>
      </c>
      <c r="Y499" s="557">
        <f>GrossWeightTotalR+PalletQtyTotalR*25</f>
        <v>10238.121000000005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1724.8816138377538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1746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19.394849999999998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346.8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653.40000000000009</v>
      </c>
      <c r="E506" s="46">
        <f>IFERROR(Y85*1,"0")+IFERROR(Y86*1,"0")+IFERROR(Y87*1,"0")+IFERROR(Y88*1,"0")+IFERROR(Y92*1,"0")+IFERROR(Y93*1,"0")+IFERROR(Y94*1,"0")+IFERROR(Y95*1,"0")</f>
        <v>513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348.00000000000006</v>
      </c>
      <c r="G506" s="46">
        <f>IFERROR(Y127*1,"0")+IFERROR(Y128*1,"0")+IFERROR(Y132*1,"0")+IFERROR(Y133*1,"0")+IFERROR(Y137*1,"0")+IFERROR(Y138*1,"0")</f>
        <v>98.240000000000009</v>
      </c>
      <c r="H506" s="46">
        <f>IFERROR(Y143*1,"0")+IFERROR(Y144*1,"0")+IFERROR(Y148*1,"0")+IFERROR(Y149*1,"0")+IFERROR(Y150*1,"0")+IFERROR(Y151*1,"0")+IFERROR(Y152*1,"0")+IFERROR(Y153*1,"0")+IFERROR(Y157*1,"0")</f>
        <v>123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384.29999999999995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361.80000000000007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25.92</v>
      </c>
      <c r="L506" s="46">
        <f>IFERROR(Y263*1,"0")+IFERROR(Y264*1,"0")+IFERROR(Y265*1,"0")+IFERROR(Y266*1,"0")+IFERROR(Y267*1,"0")</f>
        <v>216.00000000000003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40.799999999999997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2834.1200000000003</v>
      </c>
      <c r="R506" s="46">
        <f>IFERROR(Y343*1,"0")+IFERROR(Y344*1,"0")+IFERROR(Y345*1,"0")</f>
        <v>100.2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1602</v>
      </c>
      <c r="T506" s="46">
        <f>IFERROR(Y376*1,"0")+IFERROR(Y377*1,"0")+IFERROR(Y381*1,"0")+IFERROR(Y382*1,"0")+IFERROR(Y386*1,"0")+IFERROR(Y387*1,"0")+IFERROR(Y388*1,"0")</f>
        <v>498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92.7</v>
      </c>
      <c r="V506" s="46">
        <f>IFERROR(Y412*1,"0")+IFERROR(Y416*1,"0")+IFERROR(Y417*1,"0")+IFERROR(Y418*1,"0")+IFERROR(Y419*1,"0")</f>
        <v>21.6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961.44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70,00"/>
        <filter val="1 090,00"/>
        <filter val="1 724,88"/>
        <filter val="1,80"/>
        <filter val="1,98"/>
        <filter val="10 086,45"/>
        <filter val="10,00"/>
        <filter val="10,50"/>
        <filter val="10,80"/>
        <filter val="100,00"/>
        <filter val="108,00"/>
        <filter val="12,00"/>
        <filter val="120,00"/>
        <filter val="13,00"/>
        <filter val="133,60"/>
        <filter val="135,00"/>
        <filter val="141,43"/>
        <filter val="144,00"/>
        <filter val="15,12"/>
        <filter val="15,84"/>
        <filter val="150,00"/>
        <filter val="158,21"/>
        <filter val="16,00"/>
        <filter val="16,80"/>
        <filter val="17"/>
        <filter val="17,00"/>
        <filter val="17,81"/>
        <filter val="171,14"/>
        <filter val="18,00"/>
        <filter val="185,00"/>
        <filter val="19,44"/>
        <filter val="191,50"/>
        <filter val="198,80"/>
        <filter val="2,00"/>
        <filter val="2,22"/>
        <filter val="2,97"/>
        <filter val="20,00"/>
        <filter val="200,00"/>
        <filter val="21,00"/>
        <filter val="210,00"/>
        <filter val="220,00"/>
        <filter val="23,67"/>
        <filter val="235,00"/>
        <filter val="24,00"/>
        <filter val="240,00"/>
        <filter val="25,00"/>
        <filter val="25,50"/>
        <filter val="250,00"/>
        <filter val="27,00"/>
        <filter val="270,00"/>
        <filter val="28,80"/>
        <filter val="29,40"/>
        <filter val="29,82"/>
        <filter val="3,70"/>
        <filter val="30,00"/>
        <filter val="300,00"/>
        <filter val="308,00"/>
        <filter val="32,00"/>
        <filter val="32,83"/>
        <filter val="340,00"/>
        <filter val="342,00"/>
        <filter val="35,00"/>
        <filter val="36,00"/>
        <filter val="36,33"/>
        <filter val="36,48"/>
        <filter val="36,81"/>
        <filter val="360,00"/>
        <filter val="37,88"/>
        <filter val="384,40"/>
        <filter val="39,26"/>
        <filter val="39,60"/>
        <filter val="4,80"/>
        <filter val="40,00"/>
        <filter val="40,80"/>
        <filter val="408,00"/>
        <filter val="41,98"/>
        <filter val="42,00"/>
        <filter val="42,52"/>
        <filter val="44,94"/>
        <filter val="45,00"/>
        <filter val="450,00"/>
        <filter val="48,00"/>
        <filter val="498,00"/>
        <filter val="5,00"/>
        <filter val="5,40"/>
        <filter val="50,00"/>
        <filter val="50,37"/>
        <filter val="50,40"/>
        <filter val="500,00"/>
        <filter val="512,00"/>
        <filter val="54,00"/>
        <filter val="575,40"/>
        <filter val="59,40"/>
        <filter val="6,00"/>
        <filter val="6,30"/>
        <filter val="60,00"/>
        <filter val="61,88"/>
        <filter val="63,00"/>
        <filter val="67,50"/>
        <filter val="67,78"/>
        <filter val="68,75"/>
        <filter val="7,00"/>
        <filter val="70,00"/>
        <filter val="700,00"/>
        <filter val="72,00"/>
        <filter val="74,08"/>
        <filter val="74,26"/>
        <filter val="79,33"/>
        <filter val="8,82"/>
        <filter val="80,00"/>
        <filter val="80,50"/>
        <filter val="84,00"/>
        <filter val="84,26"/>
        <filter val="86,30"/>
        <filter val="87,50"/>
        <filter val="9 143,88"/>
        <filter val="9 661,45"/>
        <filter val="9,52"/>
        <filter val="9,60"/>
        <filter val="90,00"/>
        <filter val="96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