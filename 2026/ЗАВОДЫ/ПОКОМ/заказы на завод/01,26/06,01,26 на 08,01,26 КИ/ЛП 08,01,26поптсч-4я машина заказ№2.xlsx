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928CB4-175E-40EF-9123-00E5A90B7C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N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110" i="1" l="1"/>
  <c r="BN110" i="1"/>
  <c r="Z110" i="1"/>
  <c r="BP152" i="1"/>
  <c r="BN152" i="1"/>
  <c r="Z152" i="1"/>
  <c r="BP168" i="1"/>
  <c r="BN168" i="1"/>
  <c r="Z168" i="1"/>
  <c r="BP186" i="1"/>
  <c r="BN186" i="1"/>
  <c r="Z186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Y58" i="1"/>
  <c r="Z62" i="1"/>
  <c r="BN62" i="1"/>
  <c r="BP74" i="1"/>
  <c r="BN74" i="1"/>
  <c r="BP100" i="1"/>
  <c r="BN100" i="1"/>
  <c r="Z100" i="1"/>
  <c r="BP133" i="1"/>
  <c r="BN133" i="1"/>
  <c r="Z133" i="1"/>
  <c r="BP167" i="1"/>
  <c r="BN167" i="1"/>
  <c r="Z167" i="1"/>
  <c r="BP176" i="1"/>
  <c r="BN176" i="1"/>
  <c r="Z176" i="1"/>
  <c r="BP209" i="1"/>
  <c r="BN209" i="1"/>
  <c r="Z209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0" i="1"/>
  <c r="BN150" i="1"/>
  <c r="Z150" i="1"/>
  <c r="BP174" i="1"/>
  <c r="BN174" i="1"/>
  <c r="Z174" i="1"/>
  <c r="BP184" i="1"/>
  <c r="BN184" i="1"/>
  <c r="Z184" i="1"/>
  <c r="BP207" i="1"/>
  <c r="BN207" i="1"/>
  <c r="Z207" i="1"/>
  <c r="BP218" i="1"/>
  <c r="BN218" i="1"/>
  <c r="Z218" i="1"/>
  <c r="BP228" i="1"/>
  <c r="BN228" i="1"/>
  <c r="Z228" i="1"/>
  <c r="BP241" i="1"/>
  <c r="BN241" i="1"/>
  <c r="Z241" i="1"/>
  <c r="BP266" i="1"/>
  <c r="BN266" i="1"/>
  <c r="Z266" i="1"/>
  <c r="BP282" i="1"/>
  <c r="BN282" i="1"/>
  <c r="Z282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BP102" i="1"/>
  <c r="BN102" i="1"/>
  <c r="Z102" i="1"/>
  <c r="BP116" i="1"/>
  <c r="BN116" i="1"/>
  <c r="Z116" i="1"/>
  <c r="Y139" i="1"/>
  <c r="BP137" i="1"/>
  <c r="BN137" i="1"/>
  <c r="Z137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BP195" i="1"/>
  <c r="BN195" i="1"/>
  <c r="Z195" i="1"/>
  <c r="BP212" i="1"/>
  <c r="BN212" i="1"/>
  <c r="Z212" i="1"/>
  <c r="BP222" i="1"/>
  <c r="BN222" i="1"/>
  <c r="Z222" i="1"/>
  <c r="BP237" i="1"/>
  <c r="BN237" i="1"/>
  <c r="Z237" i="1"/>
  <c r="BP257" i="1"/>
  <c r="BN257" i="1"/>
  <c r="Z257" i="1"/>
  <c r="BP275" i="1"/>
  <c r="BN275" i="1"/>
  <c r="Z275" i="1"/>
  <c r="BP293" i="1"/>
  <c r="BN293" i="1"/>
  <c r="Z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U50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8" i="1" l="1"/>
  <c r="Z383" i="1"/>
  <c r="Z363" i="1"/>
  <c r="Z408" i="1"/>
  <c r="Z294" i="1"/>
  <c r="Z480" i="1"/>
  <c r="Z230" i="1"/>
  <c r="Z139" i="1"/>
  <c r="Z304" i="1"/>
  <c r="Z457" i="1"/>
  <c r="Z225" i="1"/>
  <c r="Z213" i="1"/>
  <c r="Z76" i="1"/>
  <c r="Z420" i="1"/>
  <c r="Z358" i="1"/>
  <c r="Z320" i="1"/>
  <c r="Z368" i="1"/>
  <c r="Z181" i="1"/>
  <c r="Z96" i="1"/>
  <c r="Z81" i="1"/>
  <c r="Z64" i="1"/>
  <c r="Z58" i="1"/>
  <c r="Z501" i="1" s="1"/>
  <c r="Z32" i="1"/>
  <c r="Z346" i="1"/>
  <c r="Z187" i="1"/>
  <c r="Z154" i="1"/>
  <c r="Z89" i="1"/>
  <c r="Z276" i="1"/>
  <c r="Z268" i="1"/>
  <c r="Z259" i="1"/>
  <c r="Y497" i="1"/>
  <c r="Z313" i="1"/>
  <c r="Z119" i="1"/>
  <c r="Z442" i="1"/>
  <c r="Z403" i="1"/>
  <c r="Z470" i="1"/>
  <c r="Z326" i="1"/>
  <c r="Z243" i="1"/>
  <c r="Y496" i="1"/>
  <c r="Y498" i="1"/>
  <c r="Y500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<sst xmlns="http://schemas.openxmlformats.org/spreadsheetml/2006/main" count="2386" uniqueCount="785">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</sst>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352" sqref="AA35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46030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0.54166666666666663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hidden="1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hidden="1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hidden="1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1000</v>
      </c>
      <c r="Y352" s="556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1000</v>
      </c>
      <c r="Y354" s="556">
        <f t="shared" si="41"/>
        <v>1005</v>
      </c>
      <c r="Z354" s="36">
        <f>IFERROR(IF(Y354=0,"",ROUNDUP(Y354/H354,0)*0.02175),"")</f>
        <v>1.4572499999999999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1031.3333333333333</v>
      </c>
      <c r="BN354" s="64">
        <f t="shared" si="43"/>
        <v>1036.49</v>
      </c>
      <c r="BO354" s="64">
        <f t="shared" si="44"/>
        <v>1.3888888888888888</v>
      </c>
      <c r="BP354" s="64">
        <f t="shared" si="45"/>
        <v>1.3958333333333333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133.33333333333334</v>
      </c>
      <c r="Y358" s="557">
        <f>IFERROR(Y351/H351,"0")+IFERROR(Y352/H352,"0")+IFERROR(Y353/H353,"0")+IFERROR(Y354/H354,"0")+IFERROR(Y355/H355,"0")+IFERROR(Y356/H356,"0")+IFERROR(Y357/H357,"0")</f>
        <v>134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2.9144999999999999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2000</v>
      </c>
      <c r="Y359" s="557">
        <f>IFERROR(SUM(Y351:Y357),"0")</f>
        <v>2010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1000</v>
      </c>
      <c r="Y361" s="556">
        <f>IFERROR(IF(X361="",0,CEILING((X361/$H361),1)*$H361),"")</f>
        <v>1005</v>
      </c>
      <c r="Z361" s="36">
        <f>IFERROR(IF(Y361=0,"",ROUNDUP(Y361/H361,0)*0.02175),"")</f>
        <v>1.4572499999999999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1031.3333333333333</v>
      </c>
      <c r="BN361" s="64">
        <f>IFERROR(Y361*I361/H361,"0")</f>
        <v>1036.49</v>
      </c>
      <c r="BO361" s="64">
        <f>IFERROR(1/J361*(X361/H361),"0")</f>
        <v>1.3888888888888888</v>
      </c>
      <c r="BP361" s="64">
        <f>IFERROR(1/J361*(Y361/H361),"0")</f>
        <v>1.3958333333333333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66.666666666666671</v>
      </c>
      <c r="Y363" s="557">
        <f>IFERROR(Y361/H361,"0")+IFERROR(Y362/H362,"0")</f>
        <v>67</v>
      </c>
      <c r="Z363" s="557">
        <f>IFERROR(IF(Z361="",0,Z361),"0")+IFERROR(IF(Z362="",0,Z362),"0")</f>
        <v>1.4572499999999999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1000</v>
      </c>
      <c r="Y364" s="557">
        <f>IFERROR(SUM(Y361:Y362),"0")</f>
        <v>1005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hidden="1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hidden="1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3000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3015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3094</v>
      </c>
      <c r="Y497" s="557">
        <f>IFERROR(SUM(BN22:BN493),"0")</f>
        <v>3109.4700000000003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5</v>
      </c>
      <c r="Y498" s="38">
        <f>ROUNDUP(SUM(BP22:BP493),0)</f>
        <v>5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3219</v>
      </c>
      <c r="Y499" s="557">
        <f>GrossWeightTotalR+PalletQtyTotalR*25</f>
        <v>3234.4700000000003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200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201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4.3717499999999996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3015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00,00"/>
        <filter val="3 000,00"/>
        <filter val="3 094,00"/>
        <filter val="3 219,00"/>
        <filter val="5"/>
        <filter val="66,67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