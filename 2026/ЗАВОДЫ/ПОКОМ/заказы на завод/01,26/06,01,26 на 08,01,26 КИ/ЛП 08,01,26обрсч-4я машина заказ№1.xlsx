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E722FDA-157C-4F7D-BEE7-8D38DB0D563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U506" i="1" s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N293" i="1"/>
  <c r="BM293" i="1"/>
  <c r="Z293" i="1"/>
  <c r="Y293" i="1"/>
  <c r="BP293" i="1" s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O287" i="1"/>
  <c r="BM287" i="1"/>
  <c r="Y287" i="1"/>
  <c r="BP287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BP280" i="1" s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X231" i="1"/>
  <c r="X230" i="1"/>
  <c r="BO229" i="1"/>
  <c r="BM229" i="1"/>
  <c r="Y229" i="1"/>
  <c r="P229" i="1"/>
  <c r="BO228" i="1"/>
  <c r="BM228" i="1"/>
  <c r="Y228" i="1"/>
  <c r="P228" i="1"/>
  <c r="X226" i="1"/>
  <c r="X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BP216" i="1" s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X203" i="1"/>
  <c r="X202" i="1"/>
  <c r="BO201" i="1"/>
  <c r="BM201" i="1"/>
  <c r="Y201" i="1"/>
  <c r="BP201" i="1" s="1"/>
  <c r="P201" i="1"/>
  <c r="BO200" i="1"/>
  <c r="BM200" i="1"/>
  <c r="Y200" i="1"/>
  <c r="Y202" i="1" s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BO167" i="1"/>
  <c r="BM167" i="1"/>
  <c r="Y167" i="1"/>
  <c r="BP167" i="1" s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BP148" i="1" s="1"/>
  <c r="P148" i="1"/>
  <c r="X146" i="1"/>
  <c r="X145" i="1"/>
  <c r="BO144" i="1"/>
  <c r="BM144" i="1"/>
  <c r="Y144" i="1"/>
  <c r="BP144" i="1" s="1"/>
  <c r="P144" i="1"/>
  <c r="BO143" i="1"/>
  <c r="BM143" i="1"/>
  <c r="Y143" i="1"/>
  <c r="Y145" i="1" s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X135" i="1"/>
  <c r="X134" i="1"/>
  <c r="BO133" i="1"/>
  <c r="BM133" i="1"/>
  <c r="Y133" i="1"/>
  <c r="BP133" i="1" s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N54" i="1"/>
  <c r="BM54" i="1"/>
  <c r="Z54" i="1"/>
  <c r="Y54" i="1"/>
  <c r="BP54" i="1" s="1"/>
  <c r="P54" i="1"/>
  <c r="BO53" i="1"/>
  <c r="BM53" i="1"/>
  <c r="Y53" i="1"/>
  <c r="BP53" i="1" s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8" i="1" s="1"/>
  <c r="BM22" i="1"/>
  <c r="Y22" i="1"/>
  <c r="B506" i="1" s="1"/>
  <c r="P22" i="1"/>
  <c r="H10" i="1"/>
  <c r="A9" i="1"/>
  <c r="F10" i="1" s="1"/>
  <c r="D7" i="1"/>
  <c r="Q6" i="1"/>
  <c r="P2" i="1"/>
  <c r="BP74" i="1" l="1"/>
  <c r="BN74" i="1"/>
  <c r="Z74" i="1"/>
  <c r="BP108" i="1"/>
  <c r="BN108" i="1"/>
  <c r="Z108" i="1"/>
  <c r="BP150" i="1"/>
  <c r="BN150" i="1"/>
  <c r="Z150" i="1"/>
  <c r="BP184" i="1"/>
  <c r="BN184" i="1"/>
  <c r="Z184" i="1"/>
  <c r="BP218" i="1"/>
  <c r="BN218" i="1"/>
  <c r="Z218" i="1"/>
  <c r="BP241" i="1"/>
  <c r="BN241" i="1"/>
  <c r="Z241" i="1"/>
  <c r="BP282" i="1"/>
  <c r="BN282" i="1"/>
  <c r="Z282" i="1"/>
  <c r="BP318" i="1"/>
  <c r="BN318" i="1"/>
  <c r="Z318" i="1"/>
  <c r="BP353" i="1"/>
  <c r="BN353" i="1"/>
  <c r="Z353" i="1"/>
  <c r="BP397" i="1"/>
  <c r="BN397" i="1"/>
  <c r="Z397" i="1"/>
  <c r="BP435" i="1"/>
  <c r="BN435" i="1"/>
  <c r="Z435" i="1"/>
  <c r="BP467" i="1"/>
  <c r="BN467" i="1"/>
  <c r="Z467" i="1"/>
  <c r="Z27" i="1"/>
  <c r="BN27" i="1"/>
  <c r="Z43" i="1"/>
  <c r="BN43" i="1"/>
  <c r="BP95" i="1"/>
  <c r="BN95" i="1"/>
  <c r="Z95" i="1"/>
  <c r="Y124" i="1"/>
  <c r="Y123" i="1"/>
  <c r="BP122" i="1"/>
  <c r="BN122" i="1"/>
  <c r="Z122" i="1"/>
  <c r="Z123" i="1" s="1"/>
  <c r="BP127" i="1"/>
  <c r="BN127" i="1"/>
  <c r="Z127" i="1"/>
  <c r="BP174" i="1"/>
  <c r="BN174" i="1"/>
  <c r="Z174" i="1"/>
  <c r="BP207" i="1"/>
  <c r="BN207" i="1"/>
  <c r="Z207" i="1"/>
  <c r="BP228" i="1"/>
  <c r="BN228" i="1"/>
  <c r="Z228" i="1"/>
  <c r="BP266" i="1"/>
  <c r="BN266" i="1"/>
  <c r="Z266" i="1"/>
  <c r="BP308" i="1"/>
  <c r="BN308" i="1"/>
  <c r="Z308" i="1"/>
  <c r="BP336" i="1"/>
  <c r="BN336" i="1"/>
  <c r="Z336" i="1"/>
  <c r="BP377" i="1"/>
  <c r="BN377" i="1"/>
  <c r="Z377" i="1"/>
  <c r="Y413" i="1"/>
  <c r="BP412" i="1"/>
  <c r="BN412" i="1"/>
  <c r="Z412" i="1"/>
  <c r="Z413" i="1" s="1"/>
  <c r="BP416" i="1"/>
  <c r="BN416" i="1"/>
  <c r="Z416" i="1"/>
  <c r="BP445" i="1"/>
  <c r="BN445" i="1"/>
  <c r="Z445" i="1"/>
  <c r="Y485" i="1"/>
  <c r="Y484" i="1"/>
  <c r="BP483" i="1"/>
  <c r="BN483" i="1"/>
  <c r="Z483" i="1"/>
  <c r="Z484" i="1" s="1"/>
  <c r="BP487" i="1"/>
  <c r="BN487" i="1"/>
  <c r="Z487" i="1"/>
  <c r="Z489" i="1" s="1"/>
  <c r="BP302" i="1"/>
  <c r="BN302" i="1"/>
  <c r="Z302" i="1"/>
  <c r="Y320" i="1"/>
  <c r="BP316" i="1"/>
  <c r="BN316" i="1"/>
  <c r="Z316" i="1"/>
  <c r="BP332" i="1"/>
  <c r="BN332" i="1"/>
  <c r="Z332" i="1"/>
  <c r="BP351" i="1"/>
  <c r="BN351" i="1"/>
  <c r="Z351" i="1"/>
  <c r="BP362" i="1"/>
  <c r="BN362" i="1"/>
  <c r="Z362" i="1"/>
  <c r="BP366" i="1"/>
  <c r="BN366" i="1"/>
  <c r="Z366" i="1"/>
  <c r="BP395" i="1"/>
  <c r="BN395" i="1"/>
  <c r="Z395" i="1"/>
  <c r="BP407" i="1"/>
  <c r="BN407" i="1"/>
  <c r="Z407" i="1"/>
  <c r="BP433" i="1"/>
  <c r="BN433" i="1"/>
  <c r="Z433" i="1"/>
  <c r="BP441" i="1"/>
  <c r="BN441" i="1"/>
  <c r="Z441" i="1"/>
  <c r="BP455" i="1"/>
  <c r="BN455" i="1"/>
  <c r="Z455" i="1"/>
  <c r="BP479" i="1"/>
  <c r="BN479" i="1"/>
  <c r="Z479" i="1"/>
  <c r="X497" i="1"/>
  <c r="X499" i="1" s="1"/>
  <c r="Z23" i="1"/>
  <c r="BN23" i="1"/>
  <c r="X496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8" i="1"/>
  <c r="BN68" i="1"/>
  <c r="Z72" i="1"/>
  <c r="BN72" i="1"/>
  <c r="Z80" i="1"/>
  <c r="BN80" i="1"/>
  <c r="Z85" i="1"/>
  <c r="BN85" i="1"/>
  <c r="Z93" i="1"/>
  <c r="BN93" i="1"/>
  <c r="Z100" i="1"/>
  <c r="BN100" i="1"/>
  <c r="Z104" i="1"/>
  <c r="BN104" i="1"/>
  <c r="Y112" i="1"/>
  <c r="Z110" i="1"/>
  <c r="BN110" i="1"/>
  <c r="Z118" i="1"/>
  <c r="BN118" i="1"/>
  <c r="Z133" i="1"/>
  <c r="BN133" i="1"/>
  <c r="Y139" i="1"/>
  <c r="Z144" i="1"/>
  <c r="BN144" i="1"/>
  <c r="Z148" i="1"/>
  <c r="BN148" i="1"/>
  <c r="Z152" i="1"/>
  <c r="BN152" i="1"/>
  <c r="Z167" i="1"/>
  <c r="BN167" i="1"/>
  <c r="Z168" i="1"/>
  <c r="BN168" i="1"/>
  <c r="Z172" i="1"/>
  <c r="BN172" i="1"/>
  <c r="Z176" i="1"/>
  <c r="BN176" i="1"/>
  <c r="Z180" i="1"/>
  <c r="BN180" i="1"/>
  <c r="Z186" i="1"/>
  <c r="BN186" i="1"/>
  <c r="Z201" i="1"/>
  <c r="BN201" i="1"/>
  <c r="Z205" i="1"/>
  <c r="BN205" i="1"/>
  <c r="Z209" i="1"/>
  <c r="BN209" i="1"/>
  <c r="Z216" i="1"/>
  <c r="BN216" i="1"/>
  <c r="Z220" i="1"/>
  <c r="BN220" i="1"/>
  <c r="Z224" i="1"/>
  <c r="BN224" i="1"/>
  <c r="Z235" i="1"/>
  <c r="BN235" i="1"/>
  <c r="Z239" i="1"/>
  <c r="BN239" i="1"/>
  <c r="Z255" i="1"/>
  <c r="BN255" i="1"/>
  <c r="Z264" i="1"/>
  <c r="BN264" i="1"/>
  <c r="Z273" i="1"/>
  <c r="BN273" i="1"/>
  <c r="Z280" i="1"/>
  <c r="BN280" i="1"/>
  <c r="Z287" i="1"/>
  <c r="BN287" i="1"/>
  <c r="BP298" i="1"/>
  <c r="BN298" i="1"/>
  <c r="Z298" i="1"/>
  <c r="BP310" i="1"/>
  <c r="BN310" i="1"/>
  <c r="Z310" i="1"/>
  <c r="BP324" i="1"/>
  <c r="BN324" i="1"/>
  <c r="Z324" i="1"/>
  <c r="BP338" i="1"/>
  <c r="BN338" i="1"/>
  <c r="Z338" i="1"/>
  <c r="BP343" i="1"/>
  <c r="BN343" i="1"/>
  <c r="Z343" i="1"/>
  <c r="BP355" i="1"/>
  <c r="BN355" i="1"/>
  <c r="Z355" i="1"/>
  <c r="Y383" i="1"/>
  <c r="BP381" i="1"/>
  <c r="BN381" i="1"/>
  <c r="Z381" i="1"/>
  <c r="BP399" i="1"/>
  <c r="BN399" i="1"/>
  <c r="Z399" i="1"/>
  <c r="BP418" i="1"/>
  <c r="BN418" i="1"/>
  <c r="Z418" i="1"/>
  <c r="BP437" i="1"/>
  <c r="BN437" i="1"/>
  <c r="Z437" i="1"/>
  <c r="BP447" i="1"/>
  <c r="BN447" i="1"/>
  <c r="Z447" i="1"/>
  <c r="BP451" i="1"/>
  <c r="BN451" i="1"/>
  <c r="Z451" i="1"/>
  <c r="BP469" i="1"/>
  <c r="BN469" i="1"/>
  <c r="Z469" i="1"/>
  <c r="Y340" i="1"/>
  <c r="Y339" i="1"/>
  <c r="Y420" i="1"/>
  <c r="Y449" i="1"/>
  <c r="Y448" i="1"/>
  <c r="Y489" i="1"/>
  <c r="H9" i="1"/>
  <c r="A10" i="1"/>
  <c r="Y24" i="1"/>
  <c r="Y32" i="1"/>
  <c r="Y44" i="1"/>
  <c r="Y59" i="1"/>
  <c r="BP73" i="1"/>
  <c r="BN73" i="1"/>
  <c r="Z73" i="1"/>
  <c r="BP86" i="1"/>
  <c r="BN86" i="1"/>
  <c r="Z86" i="1"/>
  <c r="BP94" i="1"/>
  <c r="BN94" i="1"/>
  <c r="Z94" i="1"/>
  <c r="BP103" i="1"/>
  <c r="BN103" i="1"/>
  <c r="Z103" i="1"/>
  <c r="BP111" i="1"/>
  <c r="BN111" i="1"/>
  <c r="Z111" i="1"/>
  <c r="Y113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BP149" i="1"/>
  <c r="BN149" i="1"/>
  <c r="Z149" i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Z187" i="1" s="1"/>
  <c r="BP206" i="1"/>
  <c r="BN206" i="1"/>
  <c r="Z206" i="1"/>
  <c r="BP210" i="1"/>
  <c r="BN210" i="1"/>
  <c r="Z210" i="1"/>
  <c r="BP299" i="1"/>
  <c r="BN299" i="1"/>
  <c r="Z299" i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Z346" i="1"/>
  <c r="BP344" i="1"/>
  <c r="BN344" i="1"/>
  <c r="Z344" i="1"/>
  <c r="Y346" i="1"/>
  <c r="D506" i="1"/>
  <c r="F9" i="1"/>
  <c r="J9" i="1"/>
  <c r="Z22" i="1"/>
  <c r="Z24" i="1" s="1"/>
  <c r="BN22" i="1"/>
  <c r="BP22" i="1"/>
  <c r="X500" i="1"/>
  <c r="Y25" i="1"/>
  <c r="Z28" i="1"/>
  <c r="BN28" i="1"/>
  <c r="Z30" i="1"/>
  <c r="BN30" i="1"/>
  <c r="C506" i="1"/>
  <c r="Z42" i="1"/>
  <c r="Z44" i="1" s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Y96" i="1"/>
  <c r="BP101" i="1"/>
  <c r="BN101" i="1"/>
  <c r="Z101" i="1"/>
  <c r="Y105" i="1"/>
  <c r="BP109" i="1"/>
  <c r="BN109" i="1"/>
  <c r="Z109" i="1"/>
  <c r="BP117" i="1"/>
  <c r="BN117" i="1"/>
  <c r="Z117" i="1"/>
  <c r="Y134" i="1"/>
  <c r="BP138" i="1"/>
  <c r="BN138" i="1"/>
  <c r="Z138" i="1"/>
  <c r="Z139" i="1" s="1"/>
  <c r="Y140" i="1"/>
  <c r="H506" i="1"/>
  <c r="Y146" i="1"/>
  <c r="BP143" i="1"/>
  <c r="BN143" i="1"/>
  <c r="Z143" i="1"/>
  <c r="Z145" i="1" s="1"/>
  <c r="Y154" i="1"/>
  <c r="BP151" i="1"/>
  <c r="BN151" i="1"/>
  <c r="Z151" i="1"/>
  <c r="Y182" i="1"/>
  <c r="BP171" i="1"/>
  <c r="BN171" i="1"/>
  <c r="Z171" i="1"/>
  <c r="BP175" i="1"/>
  <c r="BN175" i="1"/>
  <c r="Z175" i="1"/>
  <c r="BP179" i="1"/>
  <c r="BN179" i="1"/>
  <c r="Z179" i="1"/>
  <c r="Y188" i="1"/>
  <c r="Y187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Y213" i="1"/>
  <c r="BP217" i="1"/>
  <c r="BN217" i="1"/>
  <c r="Z217" i="1"/>
  <c r="BP221" i="1"/>
  <c r="BN221" i="1"/>
  <c r="Z221" i="1"/>
  <c r="Y225" i="1"/>
  <c r="BP229" i="1"/>
  <c r="BN229" i="1"/>
  <c r="Z229" i="1"/>
  <c r="Z230" i="1" s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BP281" i="1"/>
  <c r="BN281" i="1"/>
  <c r="Z281" i="1"/>
  <c r="Z283" i="1" s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Z368" i="1" s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BP317" i="1"/>
  <c r="BN317" i="1"/>
  <c r="Z317" i="1"/>
  <c r="Z320" i="1" s="1"/>
  <c r="BP325" i="1"/>
  <c r="BN325" i="1"/>
  <c r="Z325" i="1"/>
  <c r="Y334" i="1"/>
  <c r="BP329" i="1"/>
  <c r="BN329" i="1"/>
  <c r="Z329" i="1"/>
  <c r="Y333" i="1"/>
  <c r="BP337" i="1"/>
  <c r="BN337" i="1"/>
  <c r="Z337" i="1"/>
  <c r="Z339" i="1" s="1"/>
  <c r="BP352" i="1"/>
  <c r="BN352" i="1"/>
  <c r="Z352" i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Y368" i="1"/>
  <c r="BP382" i="1"/>
  <c r="BN382" i="1"/>
  <c r="Z382" i="1"/>
  <c r="Y384" i="1"/>
  <c r="Y389" i="1"/>
  <c r="BP386" i="1"/>
  <c r="BN386" i="1"/>
  <c r="Z386" i="1"/>
  <c r="BP396" i="1"/>
  <c r="BN396" i="1"/>
  <c r="Z396" i="1"/>
  <c r="BP400" i="1"/>
  <c r="BN400" i="1"/>
  <c r="Z400" i="1"/>
  <c r="BP417" i="1"/>
  <c r="BN417" i="1"/>
  <c r="Z417" i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BP446" i="1"/>
  <c r="BN446" i="1"/>
  <c r="Z446" i="1"/>
  <c r="Y457" i="1"/>
  <c r="BP454" i="1"/>
  <c r="BN454" i="1"/>
  <c r="Z454" i="1"/>
  <c r="BP468" i="1"/>
  <c r="BN468" i="1"/>
  <c r="Z468" i="1"/>
  <c r="Y475" i="1"/>
  <c r="BP488" i="1"/>
  <c r="BN488" i="1"/>
  <c r="Z488" i="1"/>
  <c r="Y490" i="1"/>
  <c r="Z506" i="1"/>
  <c r="Y494" i="1"/>
  <c r="BP493" i="1"/>
  <c r="BN493" i="1"/>
  <c r="Z493" i="1"/>
  <c r="Z494" i="1" s="1"/>
  <c r="Y495" i="1"/>
  <c r="Z448" i="1" l="1"/>
  <c r="Z420" i="1"/>
  <c r="Z383" i="1"/>
  <c r="Z363" i="1"/>
  <c r="Z333" i="1"/>
  <c r="Z225" i="1"/>
  <c r="Z470" i="1"/>
  <c r="Z105" i="1"/>
  <c r="Z32" i="1"/>
  <c r="Z134" i="1"/>
  <c r="Z154" i="1"/>
  <c r="Z76" i="1"/>
  <c r="Z389" i="1"/>
  <c r="Z358" i="1"/>
  <c r="Z457" i="1"/>
  <c r="Z213" i="1"/>
  <c r="Z112" i="1"/>
  <c r="Z58" i="1"/>
  <c r="Z304" i="1"/>
  <c r="Z181" i="1"/>
  <c r="Z89" i="1"/>
  <c r="Z403" i="1"/>
  <c r="Z243" i="1"/>
  <c r="Y498" i="1"/>
  <c r="Y500" i="1"/>
  <c r="Z442" i="1"/>
  <c r="Z276" i="1"/>
  <c r="Z268" i="1"/>
  <c r="Z259" i="1"/>
  <c r="Z96" i="1"/>
  <c r="Z64" i="1"/>
  <c r="Y497" i="1"/>
  <c r="Y499" i="1" s="1"/>
  <c r="Z313" i="1"/>
  <c r="Z119" i="1"/>
  <c r="Z326" i="1"/>
  <c r="Y496" i="1"/>
  <c r="Z501" i="1" l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<sst xmlns="http://schemas.openxmlformats.org/spreadsheetml/2006/main" count="2386" uniqueCount="785">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</sst>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7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23" t="s">
        <v>0</v>
      </c>
      <c r="E1" s="581"/>
      <c r="F1" s="581"/>
      <c r="G1" s="12" t="s">
        <v>1</v>
      </c>
      <c r="H1" s="623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0"/>
      <c r="R2" s="570"/>
      <c r="S2" s="570"/>
      <c r="T2" s="570"/>
      <c r="U2" s="570"/>
      <c r="V2" s="570"/>
      <c r="W2" s="570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70"/>
      <c r="Q3" s="570"/>
      <c r="R3" s="570"/>
      <c r="S3" s="570"/>
      <c r="T3" s="570"/>
      <c r="U3" s="570"/>
      <c r="V3" s="570"/>
      <c r="W3" s="570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80" t="s">
        <v>8</v>
      </c>
      <c r="B5" s="681"/>
      <c r="C5" s="682"/>
      <c r="D5" s="629"/>
      <c r="E5" s="630"/>
      <c r="F5" s="852" t="s">
        <v>9</v>
      </c>
      <c r="G5" s="682"/>
      <c r="H5" s="629" t="s">
        <v>784</v>
      </c>
      <c r="I5" s="805"/>
      <c r="J5" s="805"/>
      <c r="K5" s="805"/>
      <c r="L5" s="805"/>
      <c r="M5" s="630"/>
      <c r="N5" s="58"/>
      <c r="P5" s="24" t="s">
        <v>10</v>
      </c>
      <c r="Q5" s="864">
        <v>46030</v>
      </c>
      <c r="R5" s="673"/>
      <c r="T5" s="736" t="s">
        <v>11</v>
      </c>
      <c r="U5" s="737"/>
      <c r="V5" s="738" t="s">
        <v>12</v>
      </c>
      <c r="W5" s="673"/>
      <c r="AB5" s="51"/>
      <c r="AC5" s="51"/>
      <c r="AD5" s="51"/>
      <c r="AE5" s="51"/>
    </row>
    <row r="6" spans="1:32" s="549" customFormat="1" ht="24" customHeight="1" x14ac:dyDescent="0.2">
      <c r="A6" s="680" t="s">
        <v>13</v>
      </c>
      <c r="B6" s="681"/>
      <c r="C6" s="682"/>
      <c r="D6" s="807" t="s">
        <v>14</v>
      </c>
      <c r="E6" s="808"/>
      <c r="F6" s="808"/>
      <c r="G6" s="808"/>
      <c r="H6" s="808"/>
      <c r="I6" s="808"/>
      <c r="J6" s="808"/>
      <c r="K6" s="808"/>
      <c r="L6" s="808"/>
      <c r="M6" s="673"/>
      <c r="N6" s="59"/>
      <c r="P6" s="24" t="s">
        <v>15</v>
      </c>
      <c r="Q6" s="872" t="str">
        <f>IF(Q5=0," ",CHOOSE(WEEKDAY(Q5,2),"Понедельник","Вторник","Среда","Четверг","Пятница","Суббота","Воскресенье"))</f>
        <v>Четверг</v>
      </c>
      <c r="R6" s="565"/>
      <c r="T6" s="739" t="s">
        <v>16</v>
      </c>
      <c r="U6" s="737"/>
      <c r="V6" s="790" t="s">
        <v>17</v>
      </c>
      <c r="W6" s="59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70"/>
      <c r="U7" s="737"/>
      <c r="V7" s="791"/>
      <c r="W7" s="792"/>
      <c r="AB7" s="51"/>
      <c r="AC7" s="51"/>
      <c r="AD7" s="51"/>
      <c r="AE7" s="51"/>
    </row>
    <row r="8" spans="1:32" s="549" customFormat="1" ht="25.5" customHeight="1" x14ac:dyDescent="0.2">
      <c r="A8" s="886" t="s">
        <v>18</v>
      </c>
      <c r="B8" s="560"/>
      <c r="C8" s="561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91">
        <v>0.54166666666666663</v>
      </c>
      <c r="R8" s="608"/>
      <c r="T8" s="570"/>
      <c r="U8" s="737"/>
      <c r="V8" s="791"/>
      <c r="W8" s="792"/>
      <c r="AB8" s="51"/>
      <c r="AC8" s="51"/>
      <c r="AD8" s="51"/>
      <c r="AE8" s="51"/>
    </row>
    <row r="9" spans="1:32" s="549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661"/>
      <c r="E9" s="563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7"/>
      <c r="P9" s="26" t="s">
        <v>21</v>
      </c>
      <c r="Q9" s="669"/>
      <c r="R9" s="670"/>
      <c r="T9" s="570"/>
      <c r="U9" s="737"/>
      <c r="V9" s="793"/>
      <c r="W9" s="794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661"/>
      <c r="E10" s="563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781" t="str">
        <f>IFERROR(VLOOKUP($D$10,Proxy,2,FALSE),"")</f>
        <v/>
      </c>
      <c r="I10" s="570"/>
      <c r="J10" s="570"/>
      <c r="K10" s="570"/>
      <c r="L10" s="570"/>
      <c r="M10" s="570"/>
      <c r="N10" s="548"/>
      <c r="P10" s="26" t="s">
        <v>22</v>
      </c>
      <c r="Q10" s="740"/>
      <c r="R10" s="741"/>
      <c r="U10" s="24" t="s">
        <v>23</v>
      </c>
      <c r="V10" s="592" t="s">
        <v>24</v>
      </c>
      <c r="W10" s="59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15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42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1"/>
      <c r="R12" s="608"/>
      <c r="S12" s="23"/>
      <c r="U12" s="24"/>
      <c r="V12" s="581"/>
      <c r="W12" s="570"/>
      <c r="AB12" s="51"/>
      <c r="AC12" s="51"/>
      <c r="AD12" s="51"/>
      <c r="AE12" s="51"/>
    </row>
    <row r="13" spans="1:32" s="549" customFormat="1" ht="23.25" customHeight="1" x14ac:dyDescent="0.2">
      <c r="A13" s="742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15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42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7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6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7"/>
      <c r="Q16" s="707"/>
      <c r="R16" s="707"/>
      <c r="S16" s="707"/>
      <c r="T16" s="7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8" t="s">
        <v>36</v>
      </c>
      <c r="B17" s="588" t="s">
        <v>37</v>
      </c>
      <c r="C17" s="698" t="s">
        <v>38</v>
      </c>
      <c r="D17" s="588" t="s">
        <v>39</v>
      </c>
      <c r="E17" s="652"/>
      <c r="F17" s="588" t="s">
        <v>40</v>
      </c>
      <c r="G17" s="588" t="s">
        <v>41</v>
      </c>
      <c r="H17" s="588" t="s">
        <v>42</v>
      </c>
      <c r="I17" s="588" t="s">
        <v>43</v>
      </c>
      <c r="J17" s="588" t="s">
        <v>44</v>
      </c>
      <c r="K17" s="588" t="s">
        <v>45</v>
      </c>
      <c r="L17" s="588" t="s">
        <v>46</v>
      </c>
      <c r="M17" s="588" t="s">
        <v>47</v>
      </c>
      <c r="N17" s="588" t="s">
        <v>48</v>
      </c>
      <c r="O17" s="588" t="s">
        <v>49</v>
      </c>
      <c r="P17" s="588" t="s">
        <v>50</v>
      </c>
      <c r="Q17" s="651"/>
      <c r="R17" s="651"/>
      <c r="S17" s="651"/>
      <c r="T17" s="652"/>
      <c r="U17" s="825" t="s">
        <v>51</v>
      </c>
      <c r="V17" s="682"/>
      <c r="W17" s="588" t="s">
        <v>52</v>
      </c>
      <c r="X17" s="588" t="s">
        <v>53</v>
      </c>
      <c r="Y17" s="823" t="s">
        <v>54</v>
      </c>
      <c r="Z17" s="788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47"/>
      <c r="AF17" s="848"/>
      <c r="AG17" s="66"/>
      <c r="BD17" s="65" t="s">
        <v>60</v>
      </c>
    </row>
    <row r="18" spans="1:68" ht="14.25" customHeight="1" x14ac:dyDescent="0.2">
      <c r="A18" s="589"/>
      <c r="B18" s="589"/>
      <c r="C18" s="589"/>
      <c r="D18" s="653"/>
      <c r="E18" s="655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9"/>
      <c r="X18" s="589"/>
      <c r="Y18" s="824"/>
      <c r="Z18" s="789"/>
      <c r="AA18" s="780"/>
      <c r="AB18" s="780"/>
      <c r="AC18" s="780"/>
      <c r="AD18" s="849"/>
      <c r="AE18" s="850"/>
      <c r="AF18" s="851"/>
      <c r="AG18" s="66"/>
      <c r="BD18" s="65"/>
    </row>
    <row r="19" spans="1:68" ht="27.75" hidden="1" customHeight="1" x14ac:dyDescent="0.2">
      <c r="A19" s="744" t="s">
        <v>63</v>
      </c>
      <c r="B19" s="745"/>
      <c r="C19" s="745"/>
      <c r="D19" s="745"/>
      <c r="E19" s="745"/>
      <c r="F19" s="745"/>
      <c r="G19" s="745"/>
      <c r="H19" s="745"/>
      <c r="I19" s="745"/>
      <c r="J19" s="745"/>
      <c r="K19" s="745"/>
      <c r="L19" s="745"/>
      <c r="M19" s="745"/>
      <c r="N19" s="745"/>
      <c r="O19" s="745"/>
      <c r="P19" s="745"/>
      <c r="Q19" s="745"/>
      <c r="R19" s="745"/>
      <c r="S19" s="745"/>
      <c r="T19" s="745"/>
      <c r="U19" s="745"/>
      <c r="V19" s="745"/>
      <c r="W19" s="745"/>
      <c r="X19" s="745"/>
      <c r="Y19" s="745"/>
      <c r="Z19" s="745"/>
      <c r="AA19" s="48"/>
      <c r="AB19" s="48"/>
      <c r="AC19" s="48"/>
    </row>
    <row r="20" spans="1:68" ht="16.5" hidden="1" customHeight="1" x14ac:dyDescent="0.25">
      <c r="A20" s="591" t="s">
        <v>63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550"/>
      <c r="AB20" s="550"/>
      <c r="AC20" s="550"/>
    </row>
    <row r="21" spans="1:68" ht="14.25" hidden="1" customHeight="1" x14ac:dyDescent="0.25">
      <c r="A21" s="569" t="s">
        <v>64</v>
      </c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5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6"/>
      <c r="P24" s="559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6"/>
      <c r="P25" s="559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69" t="s">
        <v>77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55">
        <v>2.52</v>
      </c>
      <c r="Y28" s="556">
        <f>IFERROR(IF(X28="",0,CEILING((X28/$H28),1)*$H28),"")</f>
        <v>2.52</v>
      </c>
      <c r="Z28" s="36">
        <f>IFERROR(IF(Y28=0,"",ROUNDUP(Y28/H28,0)*0.00651),"")</f>
        <v>6.5100000000000002E-3</v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2.766</v>
      </c>
      <c r="BN28" s="64">
        <f>IFERROR(Y28*I28/H28,"0")</f>
        <v>2.766</v>
      </c>
      <c r="BO28" s="64">
        <f>IFERROR(1/J28*(X28/H28),"0")</f>
        <v>5.4945054945054949E-3</v>
      </c>
      <c r="BP28" s="64">
        <f>IFERROR(1/J28*(Y28/H28),"0")</f>
        <v>5.4945054945054949E-3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55">
        <v>2.52</v>
      </c>
      <c r="Y31" s="556">
        <f>IFERROR(IF(X31="",0,CEILING((X31/$H31),1)*$H31),"")</f>
        <v>2.52</v>
      </c>
      <c r="Z31" s="36">
        <f>IFERROR(IF(Y31=0,"",ROUNDUP(Y31/H31,0)*0.00651),"")</f>
        <v>6.5100000000000002E-3</v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2.766</v>
      </c>
      <c r="BN31" s="64">
        <f>IFERROR(Y31*I31/H31,"0")</f>
        <v>2.766</v>
      </c>
      <c r="BO31" s="64">
        <f>IFERROR(1/J31*(X31/H31),"0")</f>
        <v>5.4945054945054949E-3</v>
      </c>
      <c r="BP31" s="64">
        <f>IFERROR(1/J31*(Y31/H31),"0")</f>
        <v>5.4945054945054949E-3</v>
      </c>
    </row>
    <row r="32" spans="1:68" x14ac:dyDescent="0.2">
      <c r="A32" s="575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6"/>
      <c r="P32" s="559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2</v>
      </c>
      <c r="Y32" s="557">
        <f>IFERROR(Y27/H27,"0")+IFERROR(Y28/H28,"0")+IFERROR(Y29/H29,"0")+IFERROR(Y30/H30,"0")+IFERROR(Y31/H31,"0")</f>
        <v>2</v>
      </c>
      <c r="Z32" s="557">
        <f>IFERROR(IF(Z27="",0,Z27),"0")+IFERROR(IF(Z28="",0,Z28),"0")+IFERROR(IF(Z29="",0,Z29),"0")+IFERROR(IF(Z30="",0,Z30),"0")+IFERROR(IF(Z31="",0,Z31),"0")</f>
        <v>1.302E-2</v>
      </c>
      <c r="AA32" s="558"/>
      <c r="AB32" s="558"/>
      <c r="AC32" s="558"/>
    </row>
    <row r="33" spans="1:68" x14ac:dyDescent="0.2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6"/>
      <c r="P33" s="559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5.04</v>
      </c>
      <c r="Y33" s="557">
        <f>IFERROR(SUM(Y27:Y31),"0")</f>
        <v>5.04</v>
      </c>
      <c r="Z33" s="37"/>
      <c r="AA33" s="558"/>
      <c r="AB33" s="558"/>
      <c r="AC33" s="558"/>
    </row>
    <row r="34" spans="1:68" ht="14.25" hidden="1" customHeight="1" x14ac:dyDescent="0.25">
      <c r="A34" s="569" t="s">
        <v>95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5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6"/>
      <c r="P36" s="559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70"/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6"/>
      <c r="P37" s="559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744" t="s">
        <v>101</v>
      </c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48"/>
      <c r="AB38" s="48"/>
      <c r="AC38" s="48"/>
    </row>
    <row r="39" spans="1:68" ht="16.5" hidden="1" customHeight="1" x14ac:dyDescent="0.25">
      <c r="A39" s="591" t="s">
        <v>102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50"/>
      <c r="AB39" s="550"/>
      <c r="AC39" s="550"/>
    </row>
    <row r="40" spans="1:68" ht="14.25" hidden="1" customHeight="1" x14ac:dyDescent="0.25">
      <c r="A40" s="569" t="s">
        <v>103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55">
        <v>108</v>
      </c>
      <c r="Y41" s="556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112.1</v>
      </c>
      <c r="BN41" s="64">
        <f>IFERROR(Y41*I41/H41,"0")</f>
        <v>112.1</v>
      </c>
      <c r="BO41" s="64">
        <f>IFERROR(1/J41*(X41/H41),"0")</f>
        <v>0.15625</v>
      </c>
      <c r="BP41" s="64">
        <f>IFERROR(1/J41*(Y41/H41),"0")</f>
        <v>0.15625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5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6"/>
      <c r="P44" s="559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10</v>
      </c>
      <c r="Y44" s="557">
        <f>IFERROR(Y41/H41,"0")+IFERROR(Y42/H42,"0")+IFERROR(Y43/H43,"0")</f>
        <v>10</v>
      </c>
      <c r="Z44" s="557">
        <f>IFERROR(IF(Z41="",0,Z41),"0")+IFERROR(IF(Z42="",0,Z42),"0")+IFERROR(IF(Z43="",0,Z43),"0")</f>
        <v>0.1898</v>
      </c>
      <c r="AA44" s="558"/>
      <c r="AB44" s="558"/>
      <c r="AC44" s="558"/>
    </row>
    <row r="45" spans="1:68" x14ac:dyDescent="0.2">
      <c r="A45" s="570"/>
      <c r="B45" s="570"/>
      <c r="C45" s="570"/>
      <c r="D45" s="570"/>
      <c r="E45" s="570"/>
      <c r="F45" s="570"/>
      <c r="G45" s="570"/>
      <c r="H45" s="570"/>
      <c r="I45" s="570"/>
      <c r="J45" s="570"/>
      <c r="K45" s="570"/>
      <c r="L45" s="570"/>
      <c r="M45" s="570"/>
      <c r="N45" s="570"/>
      <c r="O45" s="576"/>
      <c r="P45" s="559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108</v>
      </c>
      <c r="Y45" s="557">
        <f>IFERROR(SUM(Y41:Y43),"0")</f>
        <v>108</v>
      </c>
      <c r="Z45" s="37"/>
      <c r="AA45" s="558"/>
      <c r="AB45" s="558"/>
      <c r="AC45" s="558"/>
    </row>
    <row r="46" spans="1:68" ht="14.25" hidden="1" customHeight="1" x14ac:dyDescent="0.25">
      <c r="A46" s="569" t="s">
        <v>77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5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6"/>
      <c r="P48" s="559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70"/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6"/>
      <c r="P49" s="559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91" t="s">
        <v>119</v>
      </c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550"/>
      <c r="AB50" s="550"/>
      <c r="AC50" s="550"/>
    </row>
    <row r="51" spans="1:68" ht="14.25" hidden="1" customHeight="1" x14ac:dyDescent="0.25">
      <c r="A51" s="569" t="s">
        <v>103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55">
        <v>44.8</v>
      </c>
      <c r="Y52" s="556">
        <f t="shared" ref="Y52:Y57" si="0">IFERROR(IF(X52="",0,CEILING((X52/$H52),1)*$H52),"")</f>
        <v>44.8</v>
      </c>
      <c r="Z52" s="36">
        <f>IFERROR(IF(Y52=0,"",ROUNDUP(Y52/H52,0)*0.01898),"")</f>
        <v>7.5920000000000001E-2</v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46.44</v>
      </c>
      <c r="BN52" s="64">
        <f t="shared" ref="BN52:BN57" si="2">IFERROR(Y52*I52/H52,"0")</f>
        <v>46.44</v>
      </c>
      <c r="BO52" s="64">
        <f t="shared" ref="BO52:BO57" si="3">IFERROR(1/J52*(X52/H52),"0")</f>
        <v>6.25E-2</v>
      </c>
      <c r="BP52" s="64">
        <f t="shared" ref="BP52:BP57" si="4">IFERROR(1/J52*(Y52/H52),"0")</f>
        <v>6.25E-2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55">
        <v>54</v>
      </c>
      <c r="Y53" s="556">
        <f t="shared" si="0"/>
        <v>54</v>
      </c>
      <c r="Z53" s="36">
        <f>IFERROR(IF(Y53=0,"",ROUNDUP(Y53/H53,0)*0.01898),"")</f>
        <v>9.4899999999999998E-2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56.05</v>
      </c>
      <c r="BN53" s="64">
        <f t="shared" si="2"/>
        <v>56.05</v>
      </c>
      <c r="BO53" s="64">
        <f t="shared" si="3"/>
        <v>7.8125E-2</v>
      </c>
      <c r="BP53" s="64">
        <f t="shared" si="4"/>
        <v>7.8125E-2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55">
        <v>14.4</v>
      </c>
      <c r="Y54" s="556">
        <f t="shared" si="0"/>
        <v>14.399999999999999</v>
      </c>
      <c r="Z54" s="36">
        <f>IFERROR(IF(Y54=0,"",ROUNDUP(Y54/H54,0)*0.00902),"")</f>
        <v>2.7060000000000001E-2</v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14.970000000000002</v>
      </c>
      <c r="BN54" s="64">
        <f t="shared" si="2"/>
        <v>14.969999999999999</v>
      </c>
      <c r="BO54" s="64">
        <f t="shared" si="3"/>
        <v>2.2727272727272728E-2</v>
      </c>
      <c r="BP54" s="64">
        <f t="shared" si="4"/>
        <v>2.2727272727272728E-2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75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6"/>
      <c r="P58" s="559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12</v>
      </c>
      <c r="Y58" s="557">
        <f>IFERROR(Y52/H52,"0")+IFERROR(Y53/H53,"0")+IFERROR(Y54/H54,"0")+IFERROR(Y55/H55,"0")+IFERROR(Y56/H56,"0")+IFERROR(Y57/H57,"0")</f>
        <v>12</v>
      </c>
      <c r="Z58" s="557">
        <f>IFERROR(IF(Z52="",0,Z52),"0")+IFERROR(IF(Z53="",0,Z53),"0")+IFERROR(IF(Z54="",0,Z54),"0")+IFERROR(IF(Z55="",0,Z55),"0")+IFERROR(IF(Z56="",0,Z56),"0")+IFERROR(IF(Z57="",0,Z57),"0")</f>
        <v>0.19788</v>
      </c>
      <c r="AA58" s="558"/>
      <c r="AB58" s="558"/>
      <c r="AC58" s="558"/>
    </row>
    <row r="59" spans="1:68" x14ac:dyDescent="0.2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6"/>
      <c r="P59" s="559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113.2</v>
      </c>
      <c r="Y59" s="557">
        <f>IFERROR(SUM(Y52:Y57),"0")</f>
        <v>113.19999999999999</v>
      </c>
      <c r="Z59" s="37"/>
      <c r="AA59" s="558"/>
      <c r="AB59" s="558"/>
      <c r="AC59" s="558"/>
    </row>
    <row r="60" spans="1:68" ht="14.25" hidden="1" customHeight="1" x14ac:dyDescent="0.25">
      <c r="A60" s="569" t="s">
        <v>138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55">
        <v>108</v>
      </c>
      <c r="Y61" s="556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112.1</v>
      </c>
      <c r="BN61" s="64">
        <f>IFERROR(Y61*I61/H61,"0")</f>
        <v>112.1</v>
      </c>
      <c r="BO61" s="64">
        <f>IFERROR(1/J61*(X61/H61),"0")</f>
        <v>0.15625</v>
      </c>
      <c r="BP61" s="64">
        <f>IFERROR(1/J61*(Y61/H61),"0")</f>
        <v>0.15625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55">
        <v>13.5</v>
      </c>
      <c r="Y63" s="556">
        <f>IFERROR(IF(X63="",0,CEILING((X63/$H63),1)*$H63),"")</f>
        <v>13.5</v>
      </c>
      <c r="Z63" s="36">
        <f>IFERROR(IF(Y63=0,"",ROUNDUP(Y63/H63,0)*0.00651),"")</f>
        <v>3.2550000000000003E-2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14.399999999999997</v>
      </c>
      <c r="BN63" s="64">
        <f>IFERROR(Y63*I63/H63,"0")</f>
        <v>14.399999999999997</v>
      </c>
      <c r="BO63" s="64">
        <f>IFERROR(1/J63*(X63/H63),"0")</f>
        <v>2.7472527472527476E-2</v>
      </c>
      <c r="BP63" s="64">
        <f>IFERROR(1/J63*(Y63/H63),"0")</f>
        <v>2.7472527472527476E-2</v>
      </c>
    </row>
    <row r="64" spans="1:68" x14ac:dyDescent="0.2">
      <c r="A64" s="575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6"/>
      <c r="P64" s="559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15</v>
      </c>
      <c r="Y64" s="557">
        <f>IFERROR(Y61/H61,"0")+IFERROR(Y62/H62,"0")+IFERROR(Y63/H63,"0")</f>
        <v>15</v>
      </c>
      <c r="Z64" s="557">
        <f>IFERROR(IF(Z61="",0,Z61),"0")+IFERROR(IF(Z62="",0,Z62),"0")+IFERROR(IF(Z63="",0,Z63),"0")</f>
        <v>0.22234999999999999</v>
      </c>
      <c r="AA64" s="558"/>
      <c r="AB64" s="558"/>
      <c r="AC64" s="558"/>
    </row>
    <row r="65" spans="1:68" x14ac:dyDescent="0.2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6"/>
      <c r="P65" s="559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121.5</v>
      </c>
      <c r="Y65" s="557">
        <f>IFERROR(SUM(Y61:Y63),"0")</f>
        <v>121.5</v>
      </c>
      <c r="Z65" s="37"/>
      <c r="AA65" s="558"/>
      <c r="AB65" s="558"/>
      <c r="AC65" s="558"/>
    </row>
    <row r="66" spans="1:68" ht="14.25" hidden="1" customHeight="1" x14ac:dyDescent="0.25">
      <c r="A66" s="569" t="s">
        <v>64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55">
        <v>5.4</v>
      </c>
      <c r="Y67" s="556">
        <f>IFERROR(IF(X67="",0,CEILING((X67/$H67),1)*$H67),"")</f>
        <v>5.4</v>
      </c>
      <c r="Z67" s="36">
        <f>IFERROR(IF(Y67=0,"",ROUNDUP(Y67/H67,0)*0.00502),"")</f>
        <v>1.506E-2</v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5.7</v>
      </c>
      <c r="BN67" s="64">
        <f>IFERROR(Y67*I67/H67,"0")</f>
        <v>5.7</v>
      </c>
      <c r="BO67" s="64">
        <f>IFERROR(1/J67*(X67/H67),"0")</f>
        <v>1.2820512820512822E-2</v>
      </c>
      <c r="BP67" s="64">
        <f>IFERROR(1/J67*(Y67/H67),"0")</f>
        <v>1.2820512820512822E-2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55">
        <v>5.4</v>
      </c>
      <c r="Y68" s="556">
        <f>IFERROR(IF(X68="",0,CEILING((X68/$H68),1)*$H68),"")</f>
        <v>5.4</v>
      </c>
      <c r="Z68" s="36">
        <f>IFERROR(IF(Y68=0,"",ROUNDUP(Y68/H68,0)*0.00502),"")</f>
        <v>1.506E-2</v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5.7</v>
      </c>
      <c r="BN68" s="64">
        <f>IFERROR(Y68*I68/H68,"0")</f>
        <v>5.7</v>
      </c>
      <c r="BO68" s="64">
        <f>IFERROR(1/J68*(X68/H68),"0")</f>
        <v>1.2820512820512822E-2</v>
      </c>
      <c r="BP68" s="64">
        <f>IFERROR(1/J68*(Y68/H68),"0")</f>
        <v>1.2820512820512822E-2</v>
      </c>
    </row>
    <row r="69" spans="1:68" x14ac:dyDescent="0.2">
      <c r="A69" s="575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6"/>
      <c r="P69" s="559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6</v>
      </c>
      <c r="Y69" s="557">
        <f>IFERROR(Y67/H67,"0")+IFERROR(Y68/H68,"0")</f>
        <v>6</v>
      </c>
      <c r="Z69" s="557">
        <f>IFERROR(IF(Z67="",0,Z67),"0")+IFERROR(IF(Z68="",0,Z68),"0")</f>
        <v>3.0120000000000001E-2</v>
      </c>
      <c r="AA69" s="558"/>
      <c r="AB69" s="558"/>
      <c r="AC69" s="558"/>
    </row>
    <row r="70" spans="1:68" x14ac:dyDescent="0.2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6"/>
      <c r="P70" s="559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10.8</v>
      </c>
      <c r="Y70" s="557">
        <f>IFERROR(SUM(Y67:Y68),"0")</f>
        <v>10.8</v>
      </c>
      <c r="Z70" s="37"/>
      <c r="AA70" s="558"/>
      <c r="AB70" s="558"/>
      <c r="AC70" s="558"/>
    </row>
    <row r="71" spans="1:68" ht="14.25" hidden="1" customHeight="1" x14ac:dyDescent="0.25">
      <c r="A71" s="569" t="s">
        <v>77</v>
      </c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7"/>
      <c r="R72" s="567"/>
      <c r="S72" s="567"/>
      <c r="T72" s="568"/>
      <c r="U72" s="34"/>
      <c r="V72" s="34"/>
      <c r="W72" s="35" t="s">
        <v>69</v>
      </c>
      <c r="X72" s="555">
        <v>16.8</v>
      </c>
      <c r="Y72" s="556">
        <f>IFERROR(IF(X72="",0,CEILING((X72/$H72),1)*$H72),"")</f>
        <v>16.8</v>
      </c>
      <c r="Z72" s="36">
        <f>IFERROR(IF(Y72=0,"",ROUNDUP(Y72/H72,0)*0.01898),"")</f>
        <v>3.7960000000000001E-2</v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17.62</v>
      </c>
      <c r="BN72" s="64">
        <f>IFERROR(Y72*I72/H72,"0")</f>
        <v>17.62</v>
      </c>
      <c r="BO72" s="64">
        <f>IFERROR(1/J72*(X72/H72),"0")</f>
        <v>3.125E-2</v>
      </c>
      <c r="BP72" s="64">
        <f>IFERROR(1/J72*(Y72/H72),"0")</f>
        <v>3.125E-2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6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55">
        <v>1.8</v>
      </c>
      <c r="Y73" s="556">
        <f>IFERROR(IF(X73="",0,CEILING((X73/$H73),1)*$H73),"")</f>
        <v>1.8</v>
      </c>
      <c r="Z73" s="36">
        <f>IFERROR(IF(Y73=0,"",ROUNDUP(Y73/H73,0)*0.00651),"")</f>
        <v>6.5100000000000002E-3</v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2.0459999999999998</v>
      </c>
      <c r="BN73" s="64">
        <f>IFERROR(Y73*I73/H73,"0")</f>
        <v>2.0459999999999998</v>
      </c>
      <c r="BO73" s="64">
        <f>IFERROR(1/J73*(X73/H73),"0")</f>
        <v>5.4945054945054949E-3</v>
      </c>
      <c r="BP73" s="64">
        <f>IFERROR(1/J73*(Y73/H73),"0")</f>
        <v>5.4945054945054949E-3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55">
        <v>2.52</v>
      </c>
      <c r="Y74" s="556">
        <f>IFERROR(IF(X74="",0,CEILING((X74/$H74),1)*$H74),"")</f>
        <v>2.52</v>
      </c>
      <c r="Z74" s="36">
        <f>IFERROR(IF(Y74=0,"",ROUNDUP(Y74/H74,0)*0.00651),"")</f>
        <v>6.5100000000000002E-3</v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2.7</v>
      </c>
      <c r="BN74" s="64">
        <f>IFERROR(Y74*I74/H74,"0")</f>
        <v>2.7</v>
      </c>
      <c r="BO74" s="64">
        <f>IFERROR(1/J74*(X74/H74),"0")</f>
        <v>5.4945054945054949E-3</v>
      </c>
      <c r="BP74" s="64">
        <f>IFERROR(1/J74*(Y74/H74),"0")</f>
        <v>5.4945054945054949E-3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55">
        <v>3.6</v>
      </c>
      <c r="Y75" s="556">
        <f>IFERROR(IF(X75="",0,CEILING((X75/$H75),1)*$H75),"")</f>
        <v>3.6</v>
      </c>
      <c r="Z75" s="36">
        <f>IFERROR(IF(Y75=0,"",ROUNDUP(Y75/H75,0)*0.00651),"")</f>
        <v>1.302E-2</v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3.96</v>
      </c>
      <c r="BN75" s="64">
        <f>IFERROR(Y75*I75/H75,"0")</f>
        <v>3.96</v>
      </c>
      <c r="BO75" s="64">
        <f>IFERROR(1/J75*(X75/H75),"0")</f>
        <v>1.098901098901099E-2</v>
      </c>
      <c r="BP75" s="64">
        <f>IFERROR(1/J75*(Y75/H75),"0")</f>
        <v>1.098901098901099E-2</v>
      </c>
    </row>
    <row r="76" spans="1:68" x14ac:dyDescent="0.2">
      <c r="A76" s="575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6"/>
      <c r="P76" s="559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6</v>
      </c>
      <c r="Y76" s="557">
        <f>IFERROR(Y72/H72,"0")+IFERROR(Y73/H73,"0")+IFERROR(Y74/H74,"0")+IFERROR(Y75/H75,"0")</f>
        <v>6</v>
      </c>
      <c r="Z76" s="557">
        <f>IFERROR(IF(Z72="",0,Z72),"0")+IFERROR(IF(Z73="",0,Z73),"0")+IFERROR(IF(Z74="",0,Z74),"0")+IFERROR(IF(Z75="",0,Z75),"0")</f>
        <v>6.4000000000000001E-2</v>
      </c>
      <c r="AA76" s="558"/>
      <c r="AB76" s="558"/>
      <c r="AC76" s="558"/>
    </row>
    <row r="77" spans="1:68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6"/>
      <c r="P77" s="559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24.720000000000002</v>
      </c>
      <c r="Y77" s="557">
        <f>IFERROR(SUM(Y72:Y75),"0")</f>
        <v>24.720000000000002</v>
      </c>
      <c r="Z77" s="37"/>
      <c r="AA77" s="558"/>
      <c r="AB77" s="558"/>
      <c r="AC77" s="558"/>
    </row>
    <row r="78" spans="1:68" ht="14.25" hidden="1" customHeight="1" x14ac:dyDescent="0.25">
      <c r="A78" s="569" t="s">
        <v>163</v>
      </c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6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7"/>
      <c r="R79" s="567"/>
      <c r="S79" s="567"/>
      <c r="T79" s="568"/>
      <c r="U79" s="34"/>
      <c r="V79" s="34"/>
      <c r="W79" s="35" t="s">
        <v>69</v>
      </c>
      <c r="X79" s="555">
        <v>7.8</v>
      </c>
      <c r="Y79" s="556">
        <f>IFERROR(IF(X79="",0,CEILING((X79/$H79),1)*$H79),"")</f>
        <v>7.8</v>
      </c>
      <c r="Z79" s="36">
        <f>IFERROR(IF(Y79=0,"",ROUNDUP(Y79/H79,0)*0.01898),"")</f>
        <v>1.898E-2</v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8.2100000000000009</v>
      </c>
      <c r="BN79" s="64">
        <f>IFERROR(Y79*I79/H79,"0")</f>
        <v>8.2100000000000009</v>
      </c>
      <c r="BO79" s="64">
        <f>IFERROR(1/J79*(X79/H79),"0")</f>
        <v>1.5625E-2</v>
      </c>
      <c r="BP79" s="64">
        <f>IFERROR(1/J79*(Y79/H79),"0")</f>
        <v>1.5625E-2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75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6"/>
      <c r="P81" s="559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1</v>
      </c>
      <c r="Y81" s="557">
        <f>IFERROR(Y79/H79,"0")+IFERROR(Y80/H80,"0")</f>
        <v>1</v>
      </c>
      <c r="Z81" s="557">
        <f>IFERROR(IF(Z79="",0,Z79),"0")+IFERROR(IF(Z80="",0,Z80),"0")</f>
        <v>1.898E-2</v>
      </c>
      <c r="AA81" s="558"/>
      <c r="AB81" s="558"/>
      <c r="AC81" s="558"/>
    </row>
    <row r="82" spans="1:68" x14ac:dyDescent="0.2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6"/>
      <c r="P82" s="559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7.8</v>
      </c>
      <c r="Y82" s="557">
        <f>IFERROR(SUM(Y79:Y80),"0")</f>
        <v>7.8</v>
      </c>
      <c r="Z82" s="37"/>
      <c r="AA82" s="558"/>
      <c r="AB82" s="558"/>
      <c r="AC82" s="558"/>
    </row>
    <row r="83" spans="1:68" ht="16.5" hidden="1" customHeight="1" x14ac:dyDescent="0.25">
      <c r="A83" s="591" t="s">
        <v>170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550"/>
      <c r="AB83" s="550"/>
      <c r="AC83" s="550"/>
    </row>
    <row r="84" spans="1:68" ht="14.25" hidden="1" customHeight="1" x14ac:dyDescent="0.25">
      <c r="A84" s="569" t="s">
        <v>103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7"/>
      <c r="R85" s="567"/>
      <c r="S85" s="567"/>
      <c r="T85" s="568"/>
      <c r="U85" s="34"/>
      <c r="V85" s="34"/>
      <c r="W85" s="35" t="s">
        <v>69</v>
      </c>
      <c r="X85" s="555">
        <v>54</v>
      </c>
      <c r="Y85" s="556">
        <f>IFERROR(IF(X85="",0,CEILING((X85/$H85),1)*$H85),"")</f>
        <v>54</v>
      </c>
      <c r="Z85" s="36">
        <f>IFERROR(IF(Y85=0,"",ROUNDUP(Y85/H85,0)*0.01898),"")</f>
        <v>9.4899999999999998E-2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56.05</v>
      </c>
      <c r="BN85" s="64">
        <f>IFERROR(Y85*I85/H85,"0")</f>
        <v>56.05</v>
      </c>
      <c r="BO85" s="64">
        <f>IFERROR(1/J85*(X85/H85),"0")</f>
        <v>7.8125E-2</v>
      </c>
      <c r="BP85" s="64">
        <f>IFERROR(1/J85*(Y85/H85),"0")</f>
        <v>7.8125E-2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7"/>
      <c r="R86" s="567"/>
      <c r="S86" s="567"/>
      <c r="T86" s="568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7"/>
      <c r="R87" s="567"/>
      <c r="S87" s="567"/>
      <c r="T87" s="568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7"/>
      <c r="R88" s="567"/>
      <c r="S88" s="567"/>
      <c r="T88" s="568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75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6"/>
      <c r="P89" s="559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5</v>
      </c>
      <c r="Y89" s="557">
        <f>IFERROR(Y85/H85,"0")+IFERROR(Y86/H86,"0")+IFERROR(Y87/H87,"0")+IFERROR(Y88/H88,"0")</f>
        <v>5</v>
      </c>
      <c r="Z89" s="557">
        <f>IFERROR(IF(Z85="",0,Z85),"0")+IFERROR(IF(Z86="",0,Z86),"0")+IFERROR(IF(Z87="",0,Z87),"0")+IFERROR(IF(Z88="",0,Z88),"0")</f>
        <v>9.4899999999999998E-2</v>
      </c>
      <c r="AA89" s="558"/>
      <c r="AB89" s="558"/>
      <c r="AC89" s="558"/>
    </row>
    <row r="90" spans="1:68" x14ac:dyDescent="0.2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6"/>
      <c r="P90" s="559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54</v>
      </c>
      <c r="Y90" s="557">
        <f>IFERROR(SUM(Y85:Y88),"0")</f>
        <v>54</v>
      </c>
      <c r="Z90" s="37"/>
      <c r="AA90" s="558"/>
      <c r="AB90" s="558"/>
      <c r="AC90" s="558"/>
    </row>
    <row r="91" spans="1:68" ht="14.25" hidden="1" customHeight="1" x14ac:dyDescent="0.25">
      <c r="A91" s="569" t="s">
        <v>77</v>
      </c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7"/>
      <c r="R92" s="567"/>
      <c r="S92" s="567"/>
      <c r="T92" s="568"/>
      <c r="U92" s="34"/>
      <c r="V92" s="34"/>
      <c r="W92" s="35" t="s">
        <v>69</v>
      </c>
      <c r="X92" s="555">
        <v>40.5</v>
      </c>
      <c r="Y92" s="556">
        <f>IFERROR(IF(X92="",0,CEILING((X92/$H92),1)*$H92),"")</f>
        <v>40.5</v>
      </c>
      <c r="Z92" s="36">
        <f>IFERROR(IF(Y92=0,"",ROUNDUP(Y92/H92,0)*0.01898),"")</f>
        <v>9.4899999999999998E-2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42.97</v>
      </c>
      <c r="BN92" s="64">
        <f>IFERROR(Y92*I92/H92,"0")</f>
        <v>42.97</v>
      </c>
      <c r="BO92" s="64">
        <f>IFERROR(1/J92*(X92/H92),"0")</f>
        <v>7.8125E-2</v>
      </c>
      <c r="BP92" s="64">
        <f>IFERROR(1/J92*(Y92/H92),"0")</f>
        <v>7.8125E-2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4">
        <v>4607091385731</v>
      </c>
      <c r="E94" s="565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55">
        <v>2.7</v>
      </c>
      <c r="Y94" s="556">
        <f>IFERROR(IF(X94="",0,CEILING((X94/$H94),1)*$H94),"")</f>
        <v>2.7</v>
      </c>
      <c r="Z94" s="36">
        <f>IFERROR(IF(Y94=0,"",ROUNDUP(Y94/H94,0)*0.00651),"")</f>
        <v>6.5100000000000002E-3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2.952</v>
      </c>
      <c r="BN94" s="64">
        <f>IFERROR(Y94*I94/H94,"0")</f>
        <v>2.952</v>
      </c>
      <c r="BO94" s="64">
        <f>IFERROR(1/J94*(X94/H94),"0")</f>
        <v>5.4945054945054949E-3</v>
      </c>
      <c r="BP94" s="64">
        <f>IFERROR(1/J94*(Y94/H94),"0")</f>
        <v>5.4945054945054949E-3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4">
        <v>4680115880894</v>
      </c>
      <c r="E95" s="565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7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7"/>
      <c r="R95" s="567"/>
      <c r="S95" s="567"/>
      <c r="T95" s="568"/>
      <c r="U95" s="34"/>
      <c r="V95" s="34"/>
      <c r="W95" s="35" t="s">
        <v>69</v>
      </c>
      <c r="X95" s="555">
        <v>1.98</v>
      </c>
      <c r="Y95" s="556">
        <f>IFERROR(IF(X95="",0,CEILING((X95/$H95),1)*$H95),"")</f>
        <v>1.98</v>
      </c>
      <c r="Z95" s="36">
        <f>IFERROR(IF(Y95=0,"",ROUNDUP(Y95/H95,0)*0.00651),"")</f>
        <v>6.5100000000000002E-3</v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2.238</v>
      </c>
      <c r="BN95" s="64">
        <f>IFERROR(Y95*I95/H95,"0")</f>
        <v>2.238</v>
      </c>
      <c r="BO95" s="64">
        <f>IFERROR(1/J95*(X95/H95),"0")</f>
        <v>5.4945054945054949E-3</v>
      </c>
      <c r="BP95" s="64">
        <f>IFERROR(1/J95*(Y95/H95),"0")</f>
        <v>5.4945054945054949E-3</v>
      </c>
    </row>
    <row r="96" spans="1:68" x14ac:dyDescent="0.2">
      <c r="A96" s="575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6"/>
      <c r="P96" s="559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7</v>
      </c>
      <c r="Y96" s="557">
        <f>IFERROR(Y92/H92,"0")+IFERROR(Y93/H93,"0")+IFERROR(Y94/H94,"0")+IFERROR(Y95/H95,"0")</f>
        <v>7</v>
      </c>
      <c r="Z96" s="557">
        <f>IFERROR(IF(Z92="",0,Z92),"0")+IFERROR(IF(Z93="",0,Z93),"0")+IFERROR(IF(Z94="",0,Z94),"0")+IFERROR(IF(Z95="",0,Z95),"0")</f>
        <v>0.10792</v>
      </c>
      <c r="AA96" s="558"/>
      <c r="AB96" s="558"/>
      <c r="AC96" s="558"/>
    </row>
    <row r="97" spans="1:68" x14ac:dyDescent="0.2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6"/>
      <c r="P97" s="559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45.18</v>
      </c>
      <c r="Y97" s="557">
        <f>IFERROR(SUM(Y92:Y95),"0")</f>
        <v>45.18</v>
      </c>
      <c r="Z97" s="37"/>
      <c r="AA97" s="558"/>
      <c r="AB97" s="558"/>
      <c r="AC97" s="558"/>
    </row>
    <row r="98" spans="1:68" ht="16.5" hidden="1" customHeight="1" x14ac:dyDescent="0.25">
      <c r="A98" s="591" t="s">
        <v>192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550"/>
      <c r="AB98" s="550"/>
      <c r="AC98" s="550"/>
    </row>
    <row r="99" spans="1:68" ht="14.25" hidden="1" customHeight="1" x14ac:dyDescent="0.25">
      <c r="A99" s="569" t="s">
        <v>103</v>
      </c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4">
        <v>4680115882133</v>
      </c>
      <c r="E100" s="565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7"/>
      <c r="R100" s="567"/>
      <c r="S100" s="567"/>
      <c r="T100" s="568"/>
      <c r="U100" s="34"/>
      <c r="V100" s="34"/>
      <c r="W100" s="35" t="s">
        <v>69</v>
      </c>
      <c r="X100" s="555">
        <v>86.4</v>
      </c>
      <c r="Y100" s="556">
        <f>IFERROR(IF(X100="",0,CEILING((X100/$H100),1)*$H100),"")</f>
        <v>86.4</v>
      </c>
      <c r="Z100" s="36">
        <f>IFERROR(IF(Y100=0,"",ROUNDUP(Y100/H100,0)*0.01898),"")</f>
        <v>0.15184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89.68</v>
      </c>
      <c r="BN100" s="64">
        <f>IFERROR(Y100*I100/H100,"0")</f>
        <v>89.68</v>
      </c>
      <c r="BO100" s="64">
        <f>IFERROR(1/J100*(X100/H100),"0")</f>
        <v>0.125</v>
      </c>
      <c r="BP100" s="64">
        <f>IFERROR(1/J100*(Y100/H100),"0")</f>
        <v>0.125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4">
        <v>4680115887718</v>
      </c>
      <c r="E101" s="565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4">
        <v>4680115880269</v>
      </c>
      <c r="E102" s="565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7"/>
      <c r="R102" s="567"/>
      <c r="S102" s="567"/>
      <c r="T102" s="568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4">
        <v>4680115880429</v>
      </c>
      <c r="E103" s="565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4">
        <v>4680115881457</v>
      </c>
      <c r="E104" s="565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55">
        <v>13.5</v>
      </c>
      <c r="Y104" s="556">
        <f>IFERROR(IF(X104="",0,CEILING((X104/$H104),1)*$H104),"")</f>
        <v>13.5</v>
      </c>
      <c r="Z104" s="36">
        <f>IFERROR(IF(Y104=0,"",ROUNDUP(Y104/H104,0)*0.00902),"")</f>
        <v>2.7060000000000001E-2</v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14.07</v>
      </c>
      <c r="BN104" s="64">
        <f>IFERROR(Y104*I104/H104,"0")</f>
        <v>14.07</v>
      </c>
      <c r="BO104" s="64">
        <f>IFERROR(1/J104*(X104/H104),"0")</f>
        <v>2.2727272727272728E-2</v>
      </c>
      <c r="BP104" s="64">
        <f>IFERROR(1/J104*(Y104/H104),"0")</f>
        <v>2.2727272727272728E-2</v>
      </c>
    </row>
    <row r="105" spans="1:68" x14ac:dyDescent="0.2">
      <c r="A105" s="575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6"/>
      <c r="P105" s="559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11</v>
      </c>
      <c r="Y105" s="557">
        <f>IFERROR(Y100/H100,"0")+IFERROR(Y101/H101,"0")+IFERROR(Y102/H102,"0")+IFERROR(Y103/H103,"0")+IFERROR(Y104/H104,"0")</f>
        <v>11</v>
      </c>
      <c r="Z105" s="557">
        <f>IFERROR(IF(Z100="",0,Z100),"0")+IFERROR(IF(Z101="",0,Z101),"0")+IFERROR(IF(Z102="",0,Z102),"0")+IFERROR(IF(Z103="",0,Z103),"0")+IFERROR(IF(Z104="",0,Z104),"0")</f>
        <v>0.1789</v>
      </c>
      <c r="AA105" s="558"/>
      <c r="AB105" s="558"/>
      <c r="AC105" s="558"/>
    </row>
    <row r="106" spans="1:68" x14ac:dyDescent="0.2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6"/>
      <c r="P106" s="559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99.9</v>
      </c>
      <c r="Y106" s="557">
        <f>IFERROR(SUM(Y100:Y104),"0")</f>
        <v>99.9</v>
      </c>
      <c r="Z106" s="37"/>
      <c r="AA106" s="558"/>
      <c r="AB106" s="558"/>
      <c r="AC106" s="558"/>
    </row>
    <row r="107" spans="1:68" ht="14.25" hidden="1" customHeight="1" x14ac:dyDescent="0.25">
      <c r="A107" s="569" t="s">
        <v>138</v>
      </c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4">
        <v>4680115881488</v>
      </c>
      <c r="E108" s="565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7"/>
      <c r="R108" s="567"/>
      <c r="S108" s="567"/>
      <c r="T108" s="568"/>
      <c r="U108" s="34"/>
      <c r="V108" s="34"/>
      <c r="W108" s="35" t="s">
        <v>69</v>
      </c>
      <c r="X108" s="555">
        <v>32.4</v>
      </c>
      <c r="Y108" s="556">
        <f>IFERROR(IF(X108="",0,CEILING((X108/$H108),1)*$H108),"")</f>
        <v>32.400000000000006</v>
      </c>
      <c r="Z108" s="36">
        <f>IFERROR(IF(Y108=0,"",ROUNDUP(Y108/H108,0)*0.01898),"")</f>
        <v>5.6940000000000004E-2</v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33.629999999999995</v>
      </c>
      <c r="BN108" s="64">
        <f>IFERROR(Y108*I108/H108,"0")</f>
        <v>33.630000000000003</v>
      </c>
      <c r="BO108" s="64">
        <f>IFERROR(1/J108*(X108/H108),"0")</f>
        <v>4.6874999999999993E-2</v>
      </c>
      <c r="BP108" s="64">
        <f>IFERROR(1/J108*(Y108/H108),"0")</f>
        <v>4.6875000000000007E-2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4">
        <v>4680115887664</v>
      </c>
      <c r="E109" s="565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4">
        <v>4680115882775</v>
      </c>
      <c r="E110" s="565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7"/>
      <c r="R110" s="567"/>
      <c r="S110" s="567"/>
      <c r="T110" s="568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4">
        <v>4680115880658</v>
      </c>
      <c r="E111" s="565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55">
        <v>4.8</v>
      </c>
      <c r="Y111" s="556">
        <f>IFERROR(IF(X111="",0,CEILING((X111/$H111),1)*$H111),"")</f>
        <v>4.8</v>
      </c>
      <c r="Z111" s="36">
        <f>IFERROR(IF(Y111=0,"",ROUNDUP(Y111/H111,0)*0.00651),"")</f>
        <v>1.302E-2</v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5.16</v>
      </c>
      <c r="BN111" s="64">
        <f>IFERROR(Y111*I111/H111,"0")</f>
        <v>5.16</v>
      </c>
      <c r="BO111" s="64">
        <f>IFERROR(1/J111*(X111/H111),"0")</f>
        <v>1.098901098901099E-2</v>
      </c>
      <c r="BP111" s="64">
        <f>IFERROR(1/J111*(Y111/H111),"0")</f>
        <v>1.098901098901099E-2</v>
      </c>
    </row>
    <row r="112" spans="1:68" x14ac:dyDescent="0.2">
      <c r="A112" s="575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6"/>
      <c r="P112" s="559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5</v>
      </c>
      <c r="Y112" s="557">
        <f>IFERROR(Y108/H108,"0")+IFERROR(Y109/H109,"0")+IFERROR(Y110/H110,"0")+IFERROR(Y111/H111,"0")</f>
        <v>5</v>
      </c>
      <c r="Z112" s="557">
        <f>IFERROR(IF(Z108="",0,Z108),"0")+IFERROR(IF(Z109="",0,Z109),"0")+IFERROR(IF(Z110="",0,Z110),"0")+IFERROR(IF(Z111="",0,Z111),"0")</f>
        <v>6.9960000000000008E-2</v>
      </c>
      <c r="AA112" s="558"/>
      <c r="AB112" s="558"/>
      <c r="AC112" s="558"/>
    </row>
    <row r="113" spans="1:68" x14ac:dyDescent="0.2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6"/>
      <c r="P113" s="559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37.199999999999996</v>
      </c>
      <c r="Y113" s="557">
        <f>IFERROR(SUM(Y108:Y111),"0")</f>
        <v>37.200000000000003</v>
      </c>
      <c r="Z113" s="37"/>
      <c r="AA113" s="558"/>
      <c r="AB113" s="558"/>
      <c r="AC113" s="558"/>
    </row>
    <row r="114" spans="1:68" ht="14.25" hidden="1" customHeight="1" x14ac:dyDescent="0.25">
      <c r="A114" s="569" t="s">
        <v>77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4">
        <v>4607091385168</v>
      </c>
      <c r="E115" s="565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7"/>
      <c r="R115" s="567"/>
      <c r="S115" s="567"/>
      <c r="T115" s="568"/>
      <c r="U115" s="34"/>
      <c r="V115" s="34"/>
      <c r="W115" s="35" t="s">
        <v>69</v>
      </c>
      <c r="X115" s="555">
        <v>40.5</v>
      </c>
      <c r="Y115" s="556">
        <f>IFERROR(IF(X115="",0,CEILING((X115/$H115),1)*$H115),"")</f>
        <v>40.5</v>
      </c>
      <c r="Z115" s="36">
        <f>IFERROR(IF(Y115=0,"",ROUNDUP(Y115/H115,0)*0.01898),"")</f>
        <v>9.4899999999999998E-2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42.94</v>
      </c>
      <c r="BN115" s="64">
        <f>IFERROR(Y115*I115/H115,"0")</f>
        <v>42.94</v>
      </c>
      <c r="BO115" s="64">
        <f>IFERROR(1/J115*(X115/H115),"0")</f>
        <v>7.8125E-2</v>
      </c>
      <c r="BP115" s="64">
        <f>IFERROR(1/J115*(Y115/H115),"0")</f>
        <v>7.8125E-2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4">
        <v>4607091383256</v>
      </c>
      <c r="E116" s="565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4">
        <v>4607091385748</v>
      </c>
      <c r="E117" s="565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55">
        <v>5.4</v>
      </c>
      <c r="Y117" s="556">
        <f>IFERROR(IF(X117="",0,CEILING((X117/$H117),1)*$H117),"")</f>
        <v>5.4</v>
      </c>
      <c r="Z117" s="36">
        <f>IFERROR(IF(Y117=0,"",ROUNDUP(Y117/H117,0)*0.00651),"")</f>
        <v>1.302E-2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5.9039999999999999</v>
      </c>
      <c r="BN117" s="64">
        <f>IFERROR(Y117*I117/H117,"0")</f>
        <v>5.9039999999999999</v>
      </c>
      <c r="BO117" s="64">
        <f>IFERROR(1/J117*(X117/H117),"0")</f>
        <v>1.098901098901099E-2</v>
      </c>
      <c r="BP117" s="64">
        <f>IFERROR(1/J117*(Y117/H117),"0")</f>
        <v>1.098901098901099E-2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4">
        <v>4680115884533</v>
      </c>
      <c r="E118" s="565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75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6"/>
      <c r="P119" s="559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7</v>
      </c>
      <c r="Y119" s="557">
        <f>IFERROR(Y115/H115,"0")+IFERROR(Y116/H116,"0")+IFERROR(Y117/H117,"0")+IFERROR(Y118/H118,"0")</f>
        <v>7</v>
      </c>
      <c r="Z119" s="557">
        <f>IFERROR(IF(Z115="",0,Z115),"0")+IFERROR(IF(Z116="",0,Z116),"0")+IFERROR(IF(Z117="",0,Z117),"0")+IFERROR(IF(Z118="",0,Z118),"0")</f>
        <v>0.10792</v>
      </c>
      <c r="AA119" s="558"/>
      <c r="AB119" s="558"/>
      <c r="AC119" s="558"/>
    </row>
    <row r="120" spans="1:68" x14ac:dyDescent="0.2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6"/>
      <c r="P120" s="559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45.9</v>
      </c>
      <c r="Y120" s="557">
        <f>IFERROR(SUM(Y115:Y118),"0")</f>
        <v>45.9</v>
      </c>
      <c r="Z120" s="37"/>
      <c r="AA120" s="558"/>
      <c r="AB120" s="558"/>
      <c r="AC120" s="558"/>
    </row>
    <row r="121" spans="1:68" ht="14.25" hidden="1" customHeight="1" x14ac:dyDescent="0.25">
      <c r="A121" s="569" t="s">
        <v>163</v>
      </c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4">
        <v>4680115880238</v>
      </c>
      <c r="E122" s="565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7"/>
      <c r="R122" s="567"/>
      <c r="S122" s="567"/>
      <c r="T122" s="568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75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6"/>
      <c r="P123" s="559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6"/>
      <c r="P124" s="559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91" t="s">
        <v>229</v>
      </c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  <c r="AA125" s="550"/>
      <c r="AB125" s="550"/>
      <c r="AC125" s="550"/>
    </row>
    <row r="126" spans="1:68" ht="14.25" hidden="1" customHeight="1" x14ac:dyDescent="0.25">
      <c r="A126" s="569" t="s">
        <v>103</v>
      </c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4">
        <v>4680115882577</v>
      </c>
      <c r="E127" s="565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4"/>
      <c r="V127" s="34"/>
      <c r="W127" s="35" t="s">
        <v>69</v>
      </c>
      <c r="X127" s="555">
        <v>6.4</v>
      </c>
      <c r="Y127" s="556">
        <f>IFERROR(IF(X127="",0,CEILING((X127/$H127),1)*$H127),"")</f>
        <v>6.4</v>
      </c>
      <c r="Z127" s="36">
        <f>IFERROR(IF(Y127=0,"",ROUNDUP(Y127/H127,0)*0.00651),"")</f>
        <v>1.302E-2</v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6.76</v>
      </c>
      <c r="BN127" s="64">
        <f>IFERROR(Y127*I127/H127,"0")</f>
        <v>6.76</v>
      </c>
      <c r="BO127" s="64">
        <f>IFERROR(1/J127*(X127/H127),"0")</f>
        <v>1.098901098901099E-2</v>
      </c>
      <c r="BP127" s="64">
        <f>IFERROR(1/J127*(Y127/H127),"0")</f>
        <v>1.098901098901099E-2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4">
        <v>4680115882577</v>
      </c>
      <c r="E128" s="565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7"/>
      <c r="R128" s="567"/>
      <c r="S128" s="567"/>
      <c r="T128" s="568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75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6"/>
      <c r="P129" s="559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2</v>
      </c>
      <c r="Y129" s="557">
        <f>IFERROR(Y127/H127,"0")+IFERROR(Y128/H128,"0")</f>
        <v>2</v>
      </c>
      <c r="Z129" s="557">
        <f>IFERROR(IF(Z127="",0,Z127),"0")+IFERROR(IF(Z128="",0,Z128),"0")</f>
        <v>1.302E-2</v>
      </c>
      <c r="AA129" s="558"/>
      <c r="AB129" s="558"/>
      <c r="AC129" s="558"/>
    </row>
    <row r="130" spans="1:68" x14ac:dyDescent="0.2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6"/>
      <c r="P130" s="559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6.4</v>
      </c>
      <c r="Y130" s="557">
        <f>IFERROR(SUM(Y127:Y128),"0")</f>
        <v>6.4</v>
      </c>
      <c r="Z130" s="37"/>
      <c r="AA130" s="558"/>
      <c r="AB130" s="558"/>
      <c r="AC130" s="558"/>
    </row>
    <row r="131" spans="1:68" ht="14.25" hidden="1" customHeight="1" x14ac:dyDescent="0.25">
      <c r="A131" s="569" t="s">
        <v>64</v>
      </c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4">
        <v>4680115883444</v>
      </c>
      <c r="E132" s="565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4"/>
      <c r="V132" s="34"/>
      <c r="W132" s="35" t="s">
        <v>69</v>
      </c>
      <c r="X132" s="555">
        <v>8.4</v>
      </c>
      <c r="Y132" s="556">
        <f>IFERROR(IF(X132="",0,CEILING((X132/$H132),1)*$H132),"")</f>
        <v>8.3999999999999986</v>
      </c>
      <c r="Z132" s="36">
        <f>IFERROR(IF(Y132=0,"",ROUNDUP(Y132/H132,0)*0.00651),"")</f>
        <v>1.9529999999999999E-2</v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9.2040000000000006</v>
      </c>
      <c r="BN132" s="64">
        <f>IFERROR(Y132*I132/H132,"0")</f>
        <v>9.2039999999999988</v>
      </c>
      <c r="BO132" s="64">
        <f>IFERROR(1/J132*(X132/H132),"0")</f>
        <v>1.6483516483516487E-2</v>
      </c>
      <c r="BP132" s="64">
        <f>IFERROR(1/J132*(Y132/H132),"0")</f>
        <v>1.6483516483516484E-2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4">
        <v>4680115883444</v>
      </c>
      <c r="E133" s="565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75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6"/>
      <c r="P134" s="559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3.0000000000000004</v>
      </c>
      <c r="Y134" s="557">
        <f>IFERROR(Y132/H132,"0")+IFERROR(Y133/H133,"0")</f>
        <v>2.9999999999999996</v>
      </c>
      <c r="Z134" s="557">
        <f>IFERROR(IF(Z132="",0,Z132),"0")+IFERROR(IF(Z133="",0,Z133),"0")</f>
        <v>1.9529999999999999E-2</v>
      </c>
      <c r="AA134" s="558"/>
      <c r="AB134" s="558"/>
      <c r="AC134" s="558"/>
    </row>
    <row r="135" spans="1:68" x14ac:dyDescent="0.2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6"/>
      <c r="P135" s="559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8.4</v>
      </c>
      <c r="Y135" s="557">
        <f>IFERROR(SUM(Y132:Y133),"0")</f>
        <v>8.3999999999999986</v>
      </c>
      <c r="Z135" s="37"/>
      <c r="AA135" s="558"/>
      <c r="AB135" s="558"/>
      <c r="AC135" s="558"/>
    </row>
    <row r="136" spans="1:68" ht="14.25" hidden="1" customHeight="1" x14ac:dyDescent="0.25">
      <c r="A136" s="569" t="s">
        <v>77</v>
      </c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4">
        <v>4680115882584</v>
      </c>
      <c r="E137" s="565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7"/>
      <c r="R137" s="567"/>
      <c r="S137" s="567"/>
      <c r="T137" s="568"/>
      <c r="U137" s="34"/>
      <c r="V137" s="34"/>
      <c r="W137" s="35" t="s">
        <v>69</v>
      </c>
      <c r="X137" s="555">
        <v>2.64</v>
      </c>
      <c r="Y137" s="556">
        <f>IFERROR(IF(X137="",0,CEILING((X137/$H137),1)*$H137),"")</f>
        <v>2.64</v>
      </c>
      <c r="Z137" s="36">
        <f>IFERROR(IF(Y137=0,"",ROUNDUP(Y137/H137,0)*0.00651),"")</f>
        <v>6.5100000000000002E-3</v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2.9079999999999999</v>
      </c>
      <c r="BN137" s="64">
        <f>IFERROR(Y137*I137/H137,"0")</f>
        <v>2.9079999999999999</v>
      </c>
      <c r="BO137" s="64">
        <f>IFERROR(1/J137*(X137/H137),"0")</f>
        <v>5.4945054945054949E-3</v>
      </c>
      <c r="BP137" s="64">
        <f>IFERROR(1/J137*(Y137/H137),"0")</f>
        <v>5.4945054945054949E-3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4">
        <v>4680115882584</v>
      </c>
      <c r="E138" s="565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7"/>
      <c r="R138" s="567"/>
      <c r="S138" s="567"/>
      <c r="T138" s="568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75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6"/>
      <c r="P139" s="559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1</v>
      </c>
      <c r="Y139" s="557">
        <f>IFERROR(Y137/H137,"0")+IFERROR(Y138/H138,"0")</f>
        <v>1</v>
      </c>
      <c r="Z139" s="557">
        <f>IFERROR(IF(Z137="",0,Z137),"0")+IFERROR(IF(Z138="",0,Z138),"0")</f>
        <v>6.5100000000000002E-3</v>
      </c>
      <c r="AA139" s="558"/>
      <c r="AB139" s="558"/>
      <c r="AC139" s="558"/>
    </row>
    <row r="140" spans="1:68" x14ac:dyDescent="0.2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6"/>
      <c r="P140" s="559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2.64</v>
      </c>
      <c r="Y140" s="557">
        <f>IFERROR(SUM(Y137:Y138),"0")</f>
        <v>2.64</v>
      </c>
      <c r="Z140" s="37"/>
      <c r="AA140" s="558"/>
      <c r="AB140" s="558"/>
      <c r="AC140" s="558"/>
    </row>
    <row r="141" spans="1:68" ht="16.5" hidden="1" customHeight="1" x14ac:dyDescent="0.25">
      <c r="A141" s="591" t="s">
        <v>101</v>
      </c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  <c r="AA141" s="550"/>
      <c r="AB141" s="550"/>
      <c r="AC141" s="550"/>
    </row>
    <row r="142" spans="1:68" ht="14.25" hidden="1" customHeight="1" x14ac:dyDescent="0.25">
      <c r="A142" s="569" t="s">
        <v>103</v>
      </c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4">
        <v>4680115887374</v>
      </c>
      <c r="E143" s="565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7"/>
      <c r="R143" s="567"/>
      <c r="S143" s="567"/>
      <c r="T143" s="568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4">
        <v>4607091384604</v>
      </c>
      <c r="E144" s="565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6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55">
        <v>20</v>
      </c>
      <c r="Y144" s="556">
        <f>IFERROR(IF(X144="",0,CEILING((X144/$H144),1)*$H144),"")</f>
        <v>20</v>
      </c>
      <c r="Z144" s="36">
        <f>IFERROR(IF(Y144=0,"",ROUNDUP(Y144/H144,0)*0.00902),"")</f>
        <v>4.5100000000000001E-2</v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20.950000000000003</v>
      </c>
      <c r="BN144" s="64">
        <f>IFERROR(Y144*I144/H144,"0")</f>
        <v>20.950000000000003</v>
      </c>
      <c r="BO144" s="64">
        <f>IFERROR(1/J144*(X144/H144),"0")</f>
        <v>3.787878787878788E-2</v>
      </c>
      <c r="BP144" s="64">
        <f>IFERROR(1/J144*(Y144/H144),"0")</f>
        <v>3.787878787878788E-2</v>
      </c>
    </row>
    <row r="145" spans="1:68" x14ac:dyDescent="0.2">
      <c r="A145" s="575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6"/>
      <c r="P145" s="559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5</v>
      </c>
      <c r="Y145" s="557">
        <f>IFERROR(Y143/H143,"0")+IFERROR(Y144/H144,"0")</f>
        <v>5</v>
      </c>
      <c r="Z145" s="557">
        <f>IFERROR(IF(Z143="",0,Z143),"0")+IFERROR(IF(Z144="",0,Z144),"0")</f>
        <v>4.5100000000000001E-2</v>
      </c>
      <c r="AA145" s="558"/>
      <c r="AB145" s="558"/>
      <c r="AC145" s="558"/>
    </row>
    <row r="146" spans="1:68" x14ac:dyDescent="0.2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6"/>
      <c r="P146" s="559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20</v>
      </c>
      <c r="Y146" s="557">
        <f>IFERROR(SUM(Y143:Y144),"0")</f>
        <v>20</v>
      </c>
      <c r="Z146" s="37"/>
      <c r="AA146" s="558"/>
      <c r="AB146" s="558"/>
      <c r="AC146" s="558"/>
    </row>
    <row r="147" spans="1:68" ht="14.25" hidden="1" customHeight="1" x14ac:dyDescent="0.25">
      <c r="A147" s="569" t="s">
        <v>64</v>
      </c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  <c r="AA147" s="551"/>
      <c r="AB147" s="551"/>
      <c r="AC147" s="551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4">
        <v>4607091387667</v>
      </c>
      <c r="E148" s="565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7"/>
      <c r="R148" s="567"/>
      <c r="S148" s="567"/>
      <c r="T148" s="568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4">
        <v>4680115887428</v>
      </c>
      <c r="E149" s="565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7"/>
      <c r="R149" s="567"/>
      <c r="S149" s="567"/>
      <c r="T149" s="568"/>
      <c r="U149" s="34"/>
      <c r="V149" s="34"/>
      <c r="W149" s="35" t="s">
        <v>69</v>
      </c>
      <c r="X149" s="555">
        <v>12.6</v>
      </c>
      <c r="Y149" s="556">
        <f t="shared" si="5"/>
        <v>12.600000000000001</v>
      </c>
      <c r="Z149" s="36">
        <f>IFERROR(IF(Y149=0,"",ROUNDUP(Y149/H149,0)*0.00902),"")</f>
        <v>2.7060000000000001E-2</v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13.169999999999998</v>
      </c>
      <c r="BN149" s="64">
        <f t="shared" si="7"/>
        <v>13.17</v>
      </c>
      <c r="BO149" s="64">
        <f t="shared" si="8"/>
        <v>2.2727272727272728E-2</v>
      </c>
      <c r="BP149" s="64">
        <f t="shared" si="9"/>
        <v>2.2727272727272728E-2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4">
        <v>4607091387636</v>
      </c>
      <c r="E150" s="565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55">
        <v>12.6</v>
      </c>
      <c r="Y150" s="556">
        <f t="shared" si="5"/>
        <v>12.600000000000001</v>
      </c>
      <c r="Z150" s="36">
        <f>IFERROR(IF(Y150=0,"",ROUNDUP(Y150/H150,0)*0.00651),"")</f>
        <v>1.9529999999999999E-2</v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13.409999999999998</v>
      </c>
      <c r="BN150" s="64">
        <f t="shared" si="7"/>
        <v>13.41</v>
      </c>
      <c r="BO150" s="64">
        <f t="shared" si="8"/>
        <v>1.6483516483516484E-2</v>
      </c>
      <c r="BP150" s="64">
        <f t="shared" si="9"/>
        <v>1.6483516483516484E-2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4">
        <v>4680115887336</v>
      </c>
      <c r="E151" s="565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7"/>
      <c r="R151" s="567"/>
      <c r="S151" s="567"/>
      <c r="T151" s="568"/>
      <c r="U151" s="34"/>
      <c r="V151" s="34"/>
      <c r="W151" s="35" t="s">
        <v>69</v>
      </c>
      <c r="X151" s="555">
        <v>12.6</v>
      </c>
      <c r="Y151" s="556">
        <f t="shared" si="5"/>
        <v>12.600000000000001</v>
      </c>
      <c r="Z151" s="36">
        <f>IFERROR(IF(Y151=0,"",ROUNDUP(Y151/H151,0)*0.00902),"")</f>
        <v>2.7060000000000001E-2</v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13.169999999999998</v>
      </c>
      <c r="BN151" s="64">
        <f t="shared" si="7"/>
        <v>13.17</v>
      </c>
      <c r="BO151" s="64">
        <f t="shared" si="8"/>
        <v>2.2727272727272728E-2</v>
      </c>
      <c r="BP151" s="64">
        <f t="shared" si="9"/>
        <v>2.2727272727272728E-2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4">
        <v>4607091382426</v>
      </c>
      <c r="E152" s="565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7"/>
      <c r="R152" s="567"/>
      <c r="S152" s="567"/>
      <c r="T152" s="568"/>
      <c r="U152" s="34"/>
      <c r="V152" s="34"/>
      <c r="W152" s="35" t="s">
        <v>69</v>
      </c>
      <c r="X152" s="555">
        <v>9</v>
      </c>
      <c r="Y152" s="556">
        <f t="shared" si="5"/>
        <v>9</v>
      </c>
      <c r="Z152" s="36">
        <f>IFERROR(IF(Y152=0,"",ROUNDUP(Y152/H152,0)*0.01898),"")</f>
        <v>1.898E-2</v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9.56</v>
      </c>
      <c r="BN152" s="64">
        <f t="shared" si="7"/>
        <v>9.56</v>
      </c>
      <c r="BO152" s="64">
        <f t="shared" si="8"/>
        <v>1.5625E-2</v>
      </c>
      <c r="BP152" s="64">
        <f t="shared" si="9"/>
        <v>1.5625E-2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4">
        <v>4680115887398</v>
      </c>
      <c r="E153" s="565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7"/>
      <c r="R153" s="567"/>
      <c r="S153" s="567"/>
      <c r="T153" s="568"/>
      <c r="U153" s="34"/>
      <c r="V153" s="34"/>
      <c r="W153" s="35" t="s">
        <v>69</v>
      </c>
      <c r="X153" s="555">
        <v>12.6</v>
      </c>
      <c r="Y153" s="556">
        <f t="shared" si="5"/>
        <v>12.600000000000001</v>
      </c>
      <c r="Z153" s="36">
        <f>IFERROR(IF(Y153=0,"",ROUNDUP(Y153/H153,0)*0.00902),"")</f>
        <v>2.7060000000000001E-2</v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13.169999999999998</v>
      </c>
      <c r="BN153" s="64">
        <f t="shared" si="7"/>
        <v>13.17</v>
      </c>
      <c r="BO153" s="64">
        <f t="shared" si="8"/>
        <v>2.2727272727272728E-2</v>
      </c>
      <c r="BP153" s="64">
        <f t="shared" si="9"/>
        <v>2.2727272727272728E-2</v>
      </c>
    </row>
    <row r="154" spans="1:68" x14ac:dyDescent="0.2">
      <c r="A154" s="575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6"/>
      <c r="P154" s="559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13</v>
      </c>
      <c r="Y154" s="557">
        <f>IFERROR(Y148/H148,"0")+IFERROR(Y149/H149,"0")+IFERROR(Y150/H150,"0")+IFERROR(Y151/H151,"0")+IFERROR(Y152/H152,"0")+IFERROR(Y153/H153,"0")</f>
        <v>13</v>
      </c>
      <c r="Z154" s="557">
        <f>IFERROR(IF(Z148="",0,Z148),"0")+IFERROR(IF(Z149="",0,Z149),"0")+IFERROR(IF(Z150="",0,Z150),"0")+IFERROR(IF(Z151="",0,Z151),"0")+IFERROR(IF(Z152="",0,Z152),"0")+IFERROR(IF(Z153="",0,Z153),"0")</f>
        <v>0.11968999999999999</v>
      </c>
      <c r="AA154" s="558"/>
      <c r="AB154" s="558"/>
      <c r="AC154" s="558"/>
    </row>
    <row r="155" spans="1:68" x14ac:dyDescent="0.2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6"/>
      <c r="P155" s="559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59.4</v>
      </c>
      <c r="Y155" s="557">
        <f>IFERROR(SUM(Y148:Y153),"0")</f>
        <v>59.400000000000006</v>
      </c>
      <c r="Z155" s="37"/>
      <c r="AA155" s="558"/>
      <c r="AB155" s="558"/>
      <c r="AC155" s="558"/>
    </row>
    <row r="156" spans="1:68" ht="14.25" hidden="1" customHeight="1" x14ac:dyDescent="0.25">
      <c r="A156" s="569" t="s">
        <v>77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4">
        <v>4680115887459</v>
      </c>
      <c r="E157" s="565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7"/>
      <c r="R157" s="567"/>
      <c r="S157" s="567"/>
      <c r="T157" s="568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5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6"/>
      <c r="P158" s="559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6"/>
      <c r="P159" s="559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744" t="s">
        <v>268</v>
      </c>
      <c r="B160" s="745"/>
      <c r="C160" s="745"/>
      <c r="D160" s="745"/>
      <c r="E160" s="745"/>
      <c r="F160" s="745"/>
      <c r="G160" s="745"/>
      <c r="H160" s="745"/>
      <c r="I160" s="745"/>
      <c r="J160" s="745"/>
      <c r="K160" s="745"/>
      <c r="L160" s="745"/>
      <c r="M160" s="745"/>
      <c r="N160" s="745"/>
      <c r="O160" s="745"/>
      <c r="P160" s="745"/>
      <c r="Q160" s="745"/>
      <c r="R160" s="745"/>
      <c r="S160" s="745"/>
      <c r="T160" s="745"/>
      <c r="U160" s="745"/>
      <c r="V160" s="745"/>
      <c r="W160" s="745"/>
      <c r="X160" s="745"/>
      <c r="Y160" s="745"/>
      <c r="Z160" s="745"/>
      <c r="AA160" s="48"/>
      <c r="AB160" s="48"/>
      <c r="AC160" s="48"/>
    </row>
    <row r="161" spans="1:68" ht="16.5" hidden="1" customHeight="1" x14ac:dyDescent="0.25">
      <c r="A161" s="591" t="s">
        <v>269</v>
      </c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550"/>
      <c r="AB161" s="550"/>
      <c r="AC161" s="550"/>
    </row>
    <row r="162" spans="1:68" ht="14.25" hidden="1" customHeight="1" x14ac:dyDescent="0.25">
      <c r="A162" s="569" t="s">
        <v>138</v>
      </c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4">
        <v>4680115886223</v>
      </c>
      <c r="E163" s="565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7"/>
      <c r="R163" s="567"/>
      <c r="S163" s="567"/>
      <c r="T163" s="568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75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6"/>
      <c r="P164" s="559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6"/>
      <c r="P165" s="559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69" t="s">
        <v>64</v>
      </c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4">
        <v>4680115887824</v>
      </c>
      <c r="E167" s="565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6" t="s">
        <v>276</v>
      </c>
      <c r="Q167" s="567"/>
      <c r="R167" s="567"/>
      <c r="S167" s="567"/>
      <c r="T167" s="568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4">
        <v>4680115887701</v>
      </c>
      <c r="E168" s="565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45" t="s">
        <v>281</v>
      </c>
      <c r="Q168" s="567"/>
      <c r="R168" s="567"/>
      <c r="S168" s="567"/>
      <c r="T168" s="568"/>
      <c r="U168" s="34"/>
      <c r="V168" s="34"/>
      <c r="W168" s="35" t="s">
        <v>69</v>
      </c>
      <c r="X168" s="555">
        <v>4.8</v>
      </c>
      <c r="Y168" s="556">
        <f t="shared" si="10"/>
        <v>4.8</v>
      </c>
      <c r="Z168" s="36">
        <f>IFERROR(IF(Y168=0,"",ROUNDUP(Y168/H168,0)*0.00651),"")</f>
        <v>1.302E-2</v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5.16</v>
      </c>
      <c r="BN168" s="64">
        <f t="shared" si="12"/>
        <v>5.16</v>
      </c>
      <c r="BO168" s="64">
        <f t="shared" si="13"/>
        <v>1.098901098901099E-2</v>
      </c>
      <c r="BP168" s="64">
        <f t="shared" si="14"/>
        <v>1.098901098901099E-2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4">
        <v>4680115880993</v>
      </c>
      <c r="E169" s="565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7"/>
      <c r="R169" s="567"/>
      <c r="S169" s="567"/>
      <c r="T169" s="568"/>
      <c r="U169" s="34"/>
      <c r="V169" s="34"/>
      <c r="W169" s="35" t="s">
        <v>69</v>
      </c>
      <c r="X169" s="555">
        <v>21</v>
      </c>
      <c r="Y169" s="556">
        <f t="shared" si="10"/>
        <v>21</v>
      </c>
      <c r="Z169" s="36">
        <f>IFERROR(IF(Y169=0,"",ROUNDUP(Y169/H169,0)*0.00902),"")</f>
        <v>4.5100000000000001E-2</v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22.25</v>
      </c>
      <c r="BN169" s="64">
        <f t="shared" si="12"/>
        <v>22.25</v>
      </c>
      <c r="BO169" s="64">
        <f t="shared" si="13"/>
        <v>3.787878787878788E-2</v>
      </c>
      <c r="BP169" s="64">
        <f t="shared" si="14"/>
        <v>3.787878787878788E-2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4">
        <v>4680115881761</v>
      </c>
      <c r="E170" s="565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7"/>
      <c r="R170" s="567"/>
      <c r="S170" s="567"/>
      <c r="T170" s="568"/>
      <c r="U170" s="34"/>
      <c r="V170" s="34"/>
      <c r="W170" s="35" t="s">
        <v>69</v>
      </c>
      <c r="X170" s="555">
        <v>8.4</v>
      </c>
      <c r="Y170" s="556">
        <f t="shared" si="10"/>
        <v>8.4</v>
      </c>
      <c r="Z170" s="36">
        <f>IFERROR(IF(Y170=0,"",ROUNDUP(Y170/H170,0)*0.00902),"")</f>
        <v>1.804E-2</v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8.9</v>
      </c>
      <c r="BN170" s="64">
        <f t="shared" si="12"/>
        <v>8.9</v>
      </c>
      <c r="BO170" s="64">
        <f t="shared" si="13"/>
        <v>1.5151515151515152E-2</v>
      </c>
      <c r="BP170" s="64">
        <f t="shared" si="14"/>
        <v>1.5151515151515152E-2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4">
        <v>4680115881563</v>
      </c>
      <c r="E171" s="565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55">
        <v>21</v>
      </c>
      <c r="Y171" s="556">
        <f t="shared" si="10"/>
        <v>21</v>
      </c>
      <c r="Z171" s="36">
        <f>IFERROR(IF(Y171=0,"",ROUNDUP(Y171/H171,0)*0.00902),"")</f>
        <v>4.5100000000000001E-2</v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21.95</v>
      </c>
      <c r="BN171" s="64">
        <f t="shared" si="12"/>
        <v>21.95</v>
      </c>
      <c r="BO171" s="64">
        <f t="shared" si="13"/>
        <v>3.787878787878788E-2</v>
      </c>
      <c r="BP171" s="64">
        <f t="shared" si="14"/>
        <v>3.787878787878788E-2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4">
        <v>4680115887565</v>
      </c>
      <c r="E172" s="565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55">
        <v>0.8</v>
      </c>
      <c r="Y172" s="556">
        <f t="shared" si="10"/>
        <v>0.8</v>
      </c>
      <c r="Z172" s="36">
        <f>IFERROR(IF(Y172=0,"",ROUNDUP(Y172/H172,0)*0.00556),"")</f>
        <v>5.5599999999999998E-3</v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0.93</v>
      </c>
      <c r="BN172" s="64">
        <f t="shared" si="12"/>
        <v>0.93</v>
      </c>
      <c r="BO172" s="64">
        <f t="shared" si="13"/>
        <v>4.6296296296296294E-3</v>
      </c>
      <c r="BP172" s="64">
        <f t="shared" si="14"/>
        <v>4.6296296296296294E-3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4">
        <v>4680115880986</v>
      </c>
      <c r="E173" s="565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7"/>
      <c r="R173" s="567"/>
      <c r="S173" s="567"/>
      <c r="T173" s="568"/>
      <c r="U173" s="34"/>
      <c r="V173" s="34"/>
      <c r="W173" s="35" t="s">
        <v>69</v>
      </c>
      <c r="X173" s="555">
        <v>10.5</v>
      </c>
      <c r="Y173" s="556">
        <f t="shared" si="10"/>
        <v>10.5</v>
      </c>
      <c r="Z173" s="36">
        <f>IFERROR(IF(Y173=0,"",ROUNDUP(Y173/H173,0)*0.00502),"")</f>
        <v>2.5100000000000001E-2</v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11.149999999999999</v>
      </c>
      <c r="BN173" s="64">
        <f t="shared" si="12"/>
        <v>11.149999999999999</v>
      </c>
      <c r="BO173" s="64">
        <f t="shared" si="13"/>
        <v>2.1367521367521368E-2</v>
      </c>
      <c r="BP173" s="64">
        <f t="shared" si="14"/>
        <v>2.1367521367521368E-2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4">
        <v>4680115887213</v>
      </c>
      <c r="E174" s="565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7"/>
      <c r="R174" s="567"/>
      <c r="S174" s="567"/>
      <c r="T174" s="568"/>
      <c r="U174" s="34"/>
      <c r="V174" s="34"/>
      <c r="W174" s="35" t="s">
        <v>69</v>
      </c>
      <c r="X174" s="555">
        <v>9</v>
      </c>
      <c r="Y174" s="556">
        <f t="shared" si="10"/>
        <v>9</v>
      </c>
      <c r="Z174" s="36">
        <f>IFERROR(IF(Y174=0,"",ROUNDUP(Y174/H174,0)*0.00502),"")</f>
        <v>2.5100000000000001E-2</v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9.4999999999999982</v>
      </c>
      <c r="BN174" s="64">
        <f t="shared" si="12"/>
        <v>9.4999999999999982</v>
      </c>
      <c r="BO174" s="64">
        <f t="shared" si="13"/>
        <v>2.1367521367521368E-2</v>
      </c>
      <c r="BP174" s="64">
        <f t="shared" si="14"/>
        <v>2.1367521367521368E-2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4">
        <v>4680115881785</v>
      </c>
      <c r="E175" s="565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4">
        <v>4680115886537</v>
      </c>
      <c r="E176" s="565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55">
        <v>9</v>
      </c>
      <c r="Y176" s="556">
        <f t="shared" si="10"/>
        <v>9</v>
      </c>
      <c r="Z176" s="36">
        <f>IFERROR(IF(Y176=0,"",ROUNDUP(Y176/H176,0)*0.00502),"")</f>
        <v>2.5100000000000001E-2</v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9.65</v>
      </c>
      <c r="BN176" s="64">
        <f t="shared" si="12"/>
        <v>9.65</v>
      </c>
      <c r="BO176" s="64">
        <f t="shared" si="13"/>
        <v>2.1367521367521368E-2</v>
      </c>
      <c r="BP176" s="64">
        <f t="shared" si="14"/>
        <v>2.1367521367521368E-2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4">
        <v>4680115887596</v>
      </c>
      <c r="E177" s="565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7"/>
      <c r="R177" s="567"/>
      <c r="S177" s="567"/>
      <c r="T177" s="568"/>
      <c r="U177" s="34"/>
      <c r="V177" s="34"/>
      <c r="W177" s="35" t="s">
        <v>69</v>
      </c>
      <c r="X177" s="555">
        <v>0.8</v>
      </c>
      <c r="Y177" s="556">
        <f t="shared" si="10"/>
        <v>0.8</v>
      </c>
      <c r="Z177" s="36">
        <f>IFERROR(IF(Y177=0,"",ROUNDUP(Y177/H177,0)*0.00417),"")</f>
        <v>4.1700000000000001E-3</v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1.01</v>
      </c>
      <c r="BN177" s="64">
        <f t="shared" si="12"/>
        <v>1.01</v>
      </c>
      <c r="BO177" s="64">
        <f t="shared" si="13"/>
        <v>2.976190476190476E-3</v>
      </c>
      <c r="BP177" s="64">
        <f t="shared" si="14"/>
        <v>2.976190476190476E-3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4">
        <v>4680115881679</v>
      </c>
      <c r="E178" s="565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7"/>
      <c r="R178" s="567"/>
      <c r="S178" s="567"/>
      <c r="T178" s="568"/>
      <c r="U178" s="34"/>
      <c r="V178" s="34"/>
      <c r="W178" s="35" t="s">
        <v>69</v>
      </c>
      <c r="X178" s="555">
        <v>10.5</v>
      </c>
      <c r="Y178" s="556">
        <f t="shared" si="10"/>
        <v>10.5</v>
      </c>
      <c r="Z178" s="36">
        <f>IFERROR(IF(Y178=0,"",ROUNDUP(Y178/H178,0)*0.00502),"")</f>
        <v>2.5100000000000001E-2</v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11</v>
      </c>
      <c r="BN178" s="64">
        <f t="shared" si="12"/>
        <v>11</v>
      </c>
      <c r="BO178" s="64">
        <f t="shared" si="13"/>
        <v>2.1367521367521368E-2</v>
      </c>
      <c r="BP178" s="64">
        <f t="shared" si="14"/>
        <v>2.1367521367521368E-2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4">
        <v>4680115880191</v>
      </c>
      <c r="E179" s="565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7"/>
      <c r="R179" s="567"/>
      <c r="S179" s="567"/>
      <c r="T179" s="568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4">
        <v>4680115883963</v>
      </c>
      <c r="E180" s="565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55">
        <v>8.4</v>
      </c>
      <c r="Y180" s="556">
        <f t="shared" si="10"/>
        <v>8.4</v>
      </c>
      <c r="Z180" s="36">
        <f>IFERROR(IF(Y180=0,"",ROUNDUP(Y180/H180,0)*0.00502),"")</f>
        <v>2.5100000000000001E-2</v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8.9000000000000021</v>
      </c>
      <c r="BN180" s="64">
        <f t="shared" si="12"/>
        <v>8.9000000000000021</v>
      </c>
      <c r="BO180" s="64">
        <f t="shared" si="13"/>
        <v>2.1367521367521368E-2</v>
      </c>
      <c r="BP180" s="64">
        <f t="shared" si="14"/>
        <v>2.1367521367521368E-2</v>
      </c>
    </row>
    <row r="181" spans="1:68" x14ac:dyDescent="0.2">
      <c r="A181" s="575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6"/>
      <c r="P181" s="559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41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41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0.25649000000000005</v>
      </c>
      <c r="AA181" s="558"/>
      <c r="AB181" s="558"/>
      <c r="AC181" s="558"/>
    </row>
    <row r="182" spans="1:68" x14ac:dyDescent="0.2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6"/>
      <c r="P182" s="559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104.2</v>
      </c>
      <c r="Y182" s="557">
        <f>IFERROR(SUM(Y167:Y180),"0")</f>
        <v>104.2</v>
      </c>
      <c r="Z182" s="37"/>
      <c r="AA182" s="558"/>
      <c r="AB182" s="558"/>
      <c r="AC182" s="558"/>
    </row>
    <row r="183" spans="1:68" ht="14.25" hidden="1" customHeight="1" x14ac:dyDescent="0.25">
      <c r="A183" s="569" t="s">
        <v>95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4">
        <v>4680115886780</v>
      </c>
      <c r="E184" s="565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7"/>
      <c r="R184" s="567"/>
      <c r="S184" s="567"/>
      <c r="T184" s="568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4">
        <v>4680115886742</v>
      </c>
      <c r="E185" s="565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7"/>
      <c r="R185" s="567"/>
      <c r="S185" s="567"/>
      <c r="T185" s="568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4">
        <v>4680115886766</v>
      </c>
      <c r="E186" s="565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5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6"/>
      <c r="P187" s="559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6"/>
      <c r="P188" s="559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69" t="s">
        <v>324</v>
      </c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4">
        <v>4680115886797</v>
      </c>
      <c r="E190" s="565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7"/>
      <c r="R190" s="567"/>
      <c r="S190" s="567"/>
      <c r="T190" s="568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75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6"/>
      <c r="P191" s="559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6"/>
      <c r="P192" s="559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91" t="s">
        <v>327</v>
      </c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  <c r="AA193" s="550"/>
      <c r="AB193" s="550"/>
      <c r="AC193" s="550"/>
    </row>
    <row r="194" spans="1:68" ht="14.25" hidden="1" customHeight="1" x14ac:dyDescent="0.25">
      <c r="A194" s="569" t="s">
        <v>103</v>
      </c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4">
        <v>4680115881402</v>
      </c>
      <c r="E195" s="565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7"/>
      <c r="R195" s="567"/>
      <c r="S195" s="567"/>
      <c r="T195" s="568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4">
        <v>4680115881396</v>
      </c>
      <c r="E196" s="565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7"/>
      <c r="R196" s="567"/>
      <c r="S196" s="567"/>
      <c r="T196" s="568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75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6"/>
      <c r="P197" s="559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6"/>
      <c r="P198" s="559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69" t="s">
        <v>138</v>
      </c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4">
        <v>4680115882935</v>
      </c>
      <c r="E200" s="565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7"/>
      <c r="R200" s="567"/>
      <c r="S200" s="567"/>
      <c r="T200" s="568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4">
        <v>4680115880764</v>
      </c>
      <c r="E201" s="565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7"/>
      <c r="R201" s="567"/>
      <c r="S201" s="567"/>
      <c r="T201" s="568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75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6"/>
      <c r="P202" s="559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6"/>
      <c r="P203" s="559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69" t="s">
        <v>64</v>
      </c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  <c r="AA204" s="551"/>
      <c r="AB204" s="551"/>
      <c r="AC204" s="551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4">
        <v>4680115882683</v>
      </c>
      <c r="E205" s="565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4">
        <v>4680115882690</v>
      </c>
      <c r="E206" s="565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55">
        <v>27</v>
      </c>
      <c r="Y206" s="556">
        <f t="shared" si="15"/>
        <v>27</v>
      </c>
      <c r="Z206" s="36">
        <f>IFERROR(IF(Y206=0,"",ROUNDUP(Y206/H206,0)*0.00902),"")</f>
        <v>4.5100000000000001E-2</v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27.95</v>
      </c>
      <c r="BN206" s="64">
        <f t="shared" si="17"/>
        <v>27.95</v>
      </c>
      <c r="BO206" s="64">
        <f t="shared" si="18"/>
        <v>3.787878787878788E-2</v>
      </c>
      <c r="BP206" s="64">
        <f t="shared" si="19"/>
        <v>3.787878787878788E-2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4">
        <v>4680115882669</v>
      </c>
      <c r="E207" s="565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55">
        <v>27</v>
      </c>
      <c r="Y207" s="556">
        <f t="shared" si="15"/>
        <v>27</v>
      </c>
      <c r="Z207" s="36">
        <f>IFERROR(IF(Y207=0,"",ROUNDUP(Y207/H207,0)*0.00902),"")</f>
        <v>4.5100000000000001E-2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27.95</v>
      </c>
      <c r="BN207" s="64">
        <f t="shared" si="17"/>
        <v>27.95</v>
      </c>
      <c r="BO207" s="64">
        <f t="shared" si="18"/>
        <v>3.787878787878788E-2</v>
      </c>
      <c r="BP207" s="64">
        <f t="shared" si="19"/>
        <v>3.787878787878788E-2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4">
        <v>4680115882676</v>
      </c>
      <c r="E208" s="565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6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55">
        <v>27</v>
      </c>
      <c r="Y208" s="556">
        <f t="shared" si="15"/>
        <v>27</v>
      </c>
      <c r="Z208" s="36">
        <f>IFERROR(IF(Y208=0,"",ROUNDUP(Y208/H208,0)*0.00902),"")</f>
        <v>4.5100000000000001E-2</v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27.95</v>
      </c>
      <c r="BN208" s="64">
        <f t="shared" si="17"/>
        <v>27.95</v>
      </c>
      <c r="BO208" s="64">
        <f t="shared" si="18"/>
        <v>3.787878787878788E-2</v>
      </c>
      <c r="BP208" s="64">
        <f t="shared" si="19"/>
        <v>3.787878787878788E-2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4">
        <v>4680115884014</v>
      </c>
      <c r="E209" s="565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7"/>
      <c r="R209" s="567"/>
      <c r="S209" s="567"/>
      <c r="T209" s="568"/>
      <c r="U209" s="34"/>
      <c r="V209" s="34"/>
      <c r="W209" s="35" t="s">
        <v>69</v>
      </c>
      <c r="X209" s="555">
        <v>5.4</v>
      </c>
      <c r="Y209" s="556">
        <f t="shared" si="15"/>
        <v>5.4</v>
      </c>
      <c r="Z209" s="36">
        <f>IFERROR(IF(Y209=0,"",ROUNDUP(Y209/H209,0)*0.00502),"")</f>
        <v>1.506E-2</v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5.79</v>
      </c>
      <c r="BN209" s="64">
        <f t="shared" si="17"/>
        <v>5.79</v>
      </c>
      <c r="BO209" s="64">
        <f t="shared" si="18"/>
        <v>1.2820512820512822E-2</v>
      </c>
      <c r="BP209" s="64">
        <f t="shared" si="19"/>
        <v>1.2820512820512822E-2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4">
        <v>4680115884007</v>
      </c>
      <c r="E210" s="565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7"/>
      <c r="R210" s="567"/>
      <c r="S210" s="567"/>
      <c r="T210" s="568"/>
      <c r="U210" s="34"/>
      <c r="V210" s="34"/>
      <c r="W210" s="35" t="s">
        <v>69</v>
      </c>
      <c r="X210" s="555">
        <v>5.4</v>
      </c>
      <c r="Y210" s="556">
        <f t="shared" si="15"/>
        <v>5.4</v>
      </c>
      <c r="Z210" s="36">
        <f>IFERROR(IF(Y210=0,"",ROUNDUP(Y210/H210,0)*0.00502),"")</f>
        <v>1.506E-2</v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5.7</v>
      </c>
      <c r="BN210" s="64">
        <f t="shared" si="17"/>
        <v>5.7</v>
      </c>
      <c r="BO210" s="64">
        <f t="shared" si="18"/>
        <v>1.2820512820512822E-2</v>
      </c>
      <c r="BP210" s="64">
        <f t="shared" si="19"/>
        <v>1.2820512820512822E-2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4">
        <v>4680115884038</v>
      </c>
      <c r="E211" s="565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7"/>
      <c r="R211" s="567"/>
      <c r="S211" s="567"/>
      <c r="T211" s="568"/>
      <c r="U211" s="34"/>
      <c r="V211" s="34"/>
      <c r="W211" s="35" t="s">
        <v>69</v>
      </c>
      <c r="X211" s="555">
        <v>5.4</v>
      </c>
      <c r="Y211" s="556">
        <f t="shared" si="15"/>
        <v>5.4</v>
      </c>
      <c r="Z211" s="36">
        <f>IFERROR(IF(Y211=0,"",ROUNDUP(Y211/H211,0)*0.00502),"")</f>
        <v>1.506E-2</v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5.7</v>
      </c>
      <c r="BN211" s="64">
        <f t="shared" si="17"/>
        <v>5.7</v>
      </c>
      <c r="BO211" s="64">
        <f t="shared" si="18"/>
        <v>1.2820512820512822E-2</v>
      </c>
      <c r="BP211" s="64">
        <f t="shared" si="19"/>
        <v>1.2820512820512822E-2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4">
        <v>4680115884021</v>
      </c>
      <c r="E212" s="565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55">
        <v>5.4</v>
      </c>
      <c r="Y212" s="556">
        <f t="shared" si="15"/>
        <v>5.4</v>
      </c>
      <c r="Z212" s="36">
        <f>IFERROR(IF(Y212=0,"",ROUNDUP(Y212/H212,0)*0.00502),"")</f>
        <v>1.506E-2</v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5.7</v>
      </c>
      <c r="BN212" s="64">
        <f t="shared" si="17"/>
        <v>5.7</v>
      </c>
      <c r="BO212" s="64">
        <f t="shared" si="18"/>
        <v>1.2820512820512822E-2</v>
      </c>
      <c r="BP212" s="64">
        <f t="shared" si="19"/>
        <v>1.2820512820512822E-2</v>
      </c>
    </row>
    <row r="213" spans="1:68" x14ac:dyDescent="0.2">
      <c r="A213" s="575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6"/>
      <c r="P213" s="559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27</v>
      </c>
      <c r="Y213" s="557">
        <f>IFERROR(Y205/H205,"0")+IFERROR(Y206/H206,"0")+IFERROR(Y207/H207,"0")+IFERROR(Y208/H208,"0")+IFERROR(Y209/H209,"0")+IFERROR(Y210/H210,"0")+IFERROR(Y211/H211,"0")+IFERROR(Y212/H212,"0")</f>
        <v>27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0.19553999999999996</v>
      </c>
      <c r="AA213" s="558"/>
      <c r="AB213" s="558"/>
      <c r="AC213" s="558"/>
    </row>
    <row r="214" spans="1:68" x14ac:dyDescent="0.2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6"/>
      <c r="P214" s="559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102.60000000000002</v>
      </c>
      <c r="Y214" s="557">
        <f>IFERROR(SUM(Y205:Y212),"0")</f>
        <v>102.60000000000002</v>
      </c>
      <c r="Z214" s="37"/>
      <c r="AA214" s="558"/>
      <c r="AB214" s="558"/>
      <c r="AC214" s="558"/>
    </row>
    <row r="215" spans="1:68" ht="14.25" hidden="1" customHeight="1" x14ac:dyDescent="0.25">
      <c r="A215" s="569" t="s">
        <v>77</v>
      </c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4">
        <v>4680115881594</v>
      </c>
      <c r="E216" s="565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55">
        <v>16.2</v>
      </c>
      <c r="Y216" s="556">
        <f t="shared" ref="Y216:Y224" si="20">IFERROR(IF(X216="",0,CEILING((X216/$H216),1)*$H216),"")</f>
        <v>16.2</v>
      </c>
      <c r="Z216" s="36">
        <f>IFERROR(IF(Y216=0,"",ROUNDUP(Y216/H216,0)*0.01898),"")</f>
        <v>3.7960000000000001E-2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17.187999999999999</v>
      </c>
      <c r="BN216" s="64">
        <f t="shared" ref="BN216:BN224" si="22">IFERROR(Y216*I216/H216,"0")</f>
        <v>17.187999999999999</v>
      </c>
      <c r="BO216" s="64">
        <f t="shared" ref="BO216:BO224" si="23">IFERROR(1/J216*(X216/H216),"0")</f>
        <v>3.125E-2</v>
      </c>
      <c r="BP216" s="64">
        <f t="shared" ref="BP216:BP224" si="24">IFERROR(1/J216*(Y216/H216),"0")</f>
        <v>3.125E-2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4">
        <v>4680115881617</v>
      </c>
      <c r="E217" s="565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7"/>
      <c r="R217" s="567"/>
      <c r="S217" s="567"/>
      <c r="T217" s="568"/>
      <c r="U217" s="34"/>
      <c r="V217" s="34"/>
      <c r="W217" s="35" t="s">
        <v>69</v>
      </c>
      <c r="X217" s="555">
        <v>16.2</v>
      </c>
      <c r="Y217" s="556">
        <f t="shared" si="20"/>
        <v>16.2</v>
      </c>
      <c r="Z217" s="36">
        <f>IFERROR(IF(Y217=0,"",ROUNDUP(Y217/H217,0)*0.01898),"")</f>
        <v>3.7960000000000001E-2</v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17.152000000000001</v>
      </c>
      <c r="BN217" s="64">
        <f t="shared" si="22"/>
        <v>17.152000000000001</v>
      </c>
      <c r="BO217" s="64">
        <f t="shared" si="23"/>
        <v>3.125E-2</v>
      </c>
      <c r="BP217" s="64">
        <f t="shared" si="24"/>
        <v>3.125E-2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4">
        <v>4680115880573</v>
      </c>
      <c r="E218" s="565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55">
        <v>16.2</v>
      </c>
      <c r="Y218" s="556">
        <f t="shared" si="20"/>
        <v>17.399999999999999</v>
      </c>
      <c r="Z218" s="36">
        <f>IFERROR(IF(Y218=0,"",ROUNDUP(Y218/H218,0)*0.01898),"")</f>
        <v>3.7960000000000001E-2</v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17.119862068965521</v>
      </c>
      <c r="BN218" s="64">
        <f t="shared" si="22"/>
        <v>18.388000000000002</v>
      </c>
      <c r="BO218" s="64">
        <f t="shared" si="23"/>
        <v>2.9094827586206899E-2</v>
      </c>
      <c r="BP218" s="64">
        <f t="shared" si="24"/>
        <v>3.125E-2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4">
        <v>4680115882195</v>
      </c>
      <c r="E219" s="565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7"/>
      <c r="R219" s="567"/>
      <c r="S219" s="567"/>
      <c r="T219" s="568"/>
      <c r="U219" s="34"/>
      <c r="V219" s="34"/>
      <c r="W219" s="35" t="s">
        <v>69</v>
      </c>
      <c r="X219" s="555">
        <v>2.4</v>
      </c>
      <c r="Y219" s="556">
        <f t="shared" si="20"/>
        <v>2.4</v>
      </c>
      <c r="Z219" s="36">
        <f t="shared" ref="Z219:Z224" si="25">IFERROR(IF(Y219=0,"",ROUNDUP(Y219/H219,0)*0.00651),"")</f>
        <v>6.5100000000000002E-3</v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2.67</v>
      </c>
      <c r="BN219" s="64">
        <f t="shared" si="22"/>
        <v>2.67</v>
      </c>
      <c r="BO219" s="64">
        <f t="shared" si="23"/>
        <v>5.4945054945054949E-3</v>
      </c>
      <c r="BP219" s="64">
        <f t="shared" si="24"/>
        <v>5.4945054945054949E-3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4">
        <v>4680115882607</v>
      </c>
      <c r="E220" s="565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4">
        <v>4680115880092</v>
      </c>
      <c r="E221" s="565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7"/>
      <c r="R221" s="567"/>
      <c r="S221" s="567"/>
      <c r="T221" s="568"/>
      <c r="U221" s="34"/>
      <c r="V221" s="34"/>
      <c r="W221" s="35" t="s">
        <v>69</v>
      </c>
      <c r="X221" s="555">
        <v>2.4</v>
      </c>
      <c r="Y221" s="556">
        <f t="shared" si="20"/>
        <v>2.4</v>
      </c>
      <c r="Z221" s="36">
        <f t="shared" si="25"/>
        <v>6.5100000000000002E-3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2.6520000000000001</v>
      </c>
      <c r="BN221" s="64">
        <f t="shared" si="22"/>
        <v>2.6520000000000001</v>
      </c>
      <c r="BO221" s="64">
        <f t="shared" si="23"/>
        <v>5.4945054945054949E-3</v>
      </c>
      <c r="BP221" s="64">
        <f t="shared" si="24"/>
        <v>5.4945054945054949E-3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4">
        <v>4680115880221</v>
      </c>
      <c r="E222" s="565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7"/>
      <c r="R222" s="567"/>
      <c r="S222" s="567"/>
      <c r="T222" s="568"/>
      <c r="U222" s="34"/>
      <c r="V222" s="34"/>
      <c r="W222" s="35" t="s">
        <v>69</v>
      </c>
      <c r="X222" s="555">
        <v>2.4</v>
      </c>
      <c r="Y222" s="556">
        <f t="shared" si="20"/>
        <v>2.4</v>
      </c>
      <c r="Z222" s="36">
        <f t="shared" si="25"/>
        <v>6.5100000000000002E-3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2.6520000000000001</v>
      </c>
      <c r="BN222" s="64">
        <f t="shared" si="22"/>
        <v>2.6520000000000001</v>
      </c>
      <c r="BO222" s="64">
        <f t="shared" si="23"/>
        <v>5.4945054945054949E-3</v>
      </c>
      <c r="BP222" s="64">
        <f t="shared" si="24"/>
        <v>5.4945054945054949E-3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4">
        <v>4680115880504</v>
      </c>
      <c r="E223" s="565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7"/>
      <c r="R223" s="567"/>
      <c r="S223" s="567"/>
      <c r="T223" s="568"/>
      <c r="U223" s="34"/>
      <c r="V223" s="34"/>
      <c r="W223" s="35" t="s">
        <v>69</v>
      </c>
      <c r="X223" s="555">
        <v>2.4</v>
      </c>
      <c r="Y223" s="556">
        <f t="shared" si="20"/>
        <v>2.4</v>
      </c>
      <c r="Z223" s="36">
        <f t="shared" si="25"/>
        <v>6.5100000000000002E-3</v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2.6520000000000001</v>
      </c>
      <c r="BN223" s="64">
        <f t="shared" si="22"/>
        <v>2.6520000000000001</v>
      </c>
      <c r="BO223" s="64">
        <f t="shared" si="23"/>
        <v>5.4945054945054949E-3</v>
      </c>
      <c r="BP223" s="64">
        <f t="shared" si="24"/>
        <v>5.4945054945054949E-3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4">
        <v>4680115882164</v>
      </c>
      <c r="E224" s="565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55">
        <v>2.4</v>
      </c>
      <c r="Y224" s="556">
        <f t="shared" si="20"/>
        <v>2.4</v>
      </c>
      <c r="Z224" s="36">
        <f t="shared" si="25"/>
        <v>6.5100000000000002E-3</v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2.6579999999999999</v>
      </c>
      <c r="BN224" s="64">
        <f t="shared" si="22"/>
        <v>2.6579999999999999</v>
      </c>
      <c r="BO224" s="64">
        <f t="shared" si="23"/>
        <v>5.4945054945054949E-3</v>
      </c>
      <c r="BP224" s="64">
        <f t="shared" si="24"/>
        <v>5.4945054945054949E-3</v>
      </c>
    </row>
    <row r="225" spans="1:68" x14ac:dyDescent="0.2">
      <c r="A225" s="575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6"/>
      <c r="P225" s="559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10.862068965517242</v>
      </c>
      <c r="Y225" s="557">
        <f>IFERROR(Y216/H216,"0")+IFERROR(Y217/H217,"0")+IFERROR(Y218/H218,"0")+IFERROR(Y219/H219,"0")+IFERROR(Y220/H220,"0")+IFERROR(Y221/H221,"0")+IFERROR(Y222/H222,"0")+IFERROR(Y223/H223,"0")+IFERROR(Y224/H224,"0")</f>
        <v>11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0.14642999999999998</v>
      </c>
      <c r="AA225" s="558"/>
      <c r="AB225" s="558"/>
      <c r="AC225" s="558"/>
    </row>
    <row r="226" spans="1:68" x14ac:dyDescent="0.2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6"/>
      <c r="P226" s="559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60.599999999999987</v>
      </c>
      <c r="Y226" s="557">
        <f>IFERROR(SUM(Y216:Y224),"0")</f>
        <v>61.79999999999999</v>
      </c>
      <c r="Z226" s="37"/>
      <c r="AA226" s="558"/>
      <c r="AB226" s="558"/>
      <c r="AC226" s="558"/>
    </row>
    <row r="227" spans="1:68" ht="14.25" hidden="1" customHeight="1" x14ac:dyDescent="0.25">
      <c r="A227" s="569" t="s">
        <v>163</v>
      </c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4">
        <v>4680115880818</v>
      </c>
      <c r="E228" s="565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7"/>
      <c r="R228" s="567"/>
      <c r="S228" s="567"/>
      <c r="T228" s="568"/>
      <c r="U228" s="34"/>
      <c r="V228" s="34"/>
      <c r="W228" s="35" t="s">
        <v>69</v>
      </c>
      <c r="X228" s="555">
        <v>2.4</v>
      </c>
      <c r="Y228" s="556">
        <f>IFERROR(IF(X228="",0,CEILING((X228/$H228),1)*$H228),"")</f>
        <v>2.4</v>
      </c>
      <c r="Z228" s="36">
        <f>IFERROR(IF(Y228=0,"",ROUNDUP(Y228/H228,0)*0.00651),"")</f>
        <v>6.5100000000000002E-3</v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2.6520000000000001</v>
      </c>
      <c r="BN228" s="64">
        <f>IFERROR(Y228*I228/H228,"0")</f>
        <v>2.6520000000000001</v>
      </c>
      <c r="BO228" s="64">
        <f>IFERROR(1/J228*(X228/H228),"0")</f>
        <v>5.4945054945054949E-3</v>
      </c>
      <c r="BP228" s="64">
        <f>IFERROR(1/J228*(Y228/H228),"0")</f>
        <v>5.4945054945054949E-3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4">
        <v>4680115880801</v>
      </c>
      <c r="E229" s="565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7"/>
      <c r="R229" s="567"/>
      <c r="S229" s="567"/>
      <c r="T229" s="568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75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6"/>
      <c r="P230" s="559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1</v>
      </c>
      <c r="Y230" s="557">
        <f>IFERROR(Y228/H228,"0")+IFERROR(Y229/H229,"0")</f>
        <v>1</v>
      </c>
      <c r="Z230" s="557">
        <f>IFERROR(IF(Z228="",0,Z228),"0")+IFERROR(IF(Z229="",0,Z229),"0")</f>
        <v>6.5100000000000002E-3</v>
      </c>
      <c r="AA230" s="558"/>
      <c r="AB230" s="558"/>
      <c r="AC230" s="558"/>
    </row>
    <row r="231" spans="1:68" x14ac:dyDescent="0.2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6"/>
      <c r="P231" s="559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2.4</v>
      </c>
      <c r="Y231" s="557">
        <f>IFERROR(SUM(Y228:Y229),"0")</f>
        <v>2.4</v>
      </c>
      <c r="Z231" s="37"/>
      <c r="AA231" s="558"/>
      <c r="AB231" s="558"/>
      <c r="AC231" s="558"/>
    </row>
    <row r="232" spans="1:68" ht="16.5" hidden="1" customHeight="1" x14ac:dyDescent="0.25">
      <c r="A232" s="591" t="s">
        <v>387</v>
      </c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  <c r="AA232" s="550"/>
      <c r="AB232" s="550"/>
      <c r="AC232" s="550"/>
    </row>
    <row r="233" spans="1:68" ht="14.25" hidden="1" customHeight="1" x14ac:dyDescent="0.25">
      <c r="A233" s="569" t="s">
        <v>103</v>
      </c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4">
        <v>4680115884137</v>
      </c>
      <c r="E234" s="565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4">
        <v>4680115884236</v>
      </c>
      <c r="E235" s="565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4">
        <v>4680115884175</v>
      </c>
      <c r="E236" s="565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4">
        <v>4680115884144</v>
      </c>
      <c r="E237" s="565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4">
        <v>4680115884144</v>
      </c>
      <c r="E238" s="565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4">
        <v>4680115886551</v>
      </c>
      <c r="E239" s="565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7"/>
      <c r="R239" s="567"/>
      <c r="S239" s="567"/>
      <c r="T239" s="568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4">
        <v>4680115887282</v>
      </c>
      <c r="E240" s="565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7"/>
      <c r="R240" s="567"/>
      <c r="S240" s="567"/>
      <c r="T240" s="568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4">
        <v>4680115884205</v>
      </c>
      <c r="E241" s="565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7"/>
      <c r="R241" s="567"/>
      <c r="S241" s="567"/>
      <c r="T241" s="568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4">
        <v>4680115884205</v>
      </c>
      <c r="E242" s="565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75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6"/>
      <c r="P243" s="559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6"/>
      <c r="P244" s="559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69" t="s">
        <v>138</v>
      </c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4">
        <v>4680115885981</v>
      </c>
      <c r="E246" s="565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5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6"/>
      <c r="P247" s="559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6"/>
      <c r="P248" s="559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69" t="s">
        <v>412</v>
      </c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4">
        <v>4680115886803</v>
      </c>
      <c r="E250" s="565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5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6"/>
      <c r="P251" s="559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6"/>
      <c r="P252" s="559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69" t="s">
        <v>416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4">
        <v>4680115886704</v>
      </c>
      <c r="E254" s="565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4">
        <v>4680115886681</v>
      </c>
      <c r="E255" s="565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7"/>
      <c r="R255" s="567"/>
      <c r="S255" s="567"/>
      <c r="T255" s="568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4">
        <v>4680115886735</v>
      </c>
      <c r="E256" s="565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7"/>
      <c r="R256" s="567"/>
      <c r="S256" s="567"/>
      <c r="T256" s="568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4">
        <v>4680115886728</v>
      </c>
      <c r="E257" s="565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8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7"/>
      <c r="R257" s="567"/>
      <c r="S257" s="567"/>
      <c r="T257" s="568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4">
        <v>4680115886711</v>
      </c>
      <c r="E258" s="565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7"/>
      <c r="R258" s="567"/>
      <c r="S258" s="567"/>
      <c r="T258" s="568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5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6"/>
      <c r="P259" s="559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6"/>
      <c r="P260" s="559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91" t="s">
        <v>428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550"/>
      <c r="AB261" s="550"/>
      <c r="AC261" s="550"/>
    </row>
    <row r="262" spans="1:68" ht="14.25" hidden="1" customHeight="1" x14ac:dyDescent="0.25">
      <c r="A262" s="569" t="s">
        <v>103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4">
        <v>4680115885837</v>
      </c>
      <c r="E263" s="565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55">
        <v>108</v>
      </c>
      <c r="Y263" s="556">
        <f>IFERROR(IF(X263="",0,CEILING((X263/$H263),1)*$H263),"")</f>
        <v>108</v>
      </c>
      <c r="Z263" s="36">
        <f>IFERROR(IF(Y263=0,"",ROUNDUP(Y263/H263,0)*0.01898),"")</f>
        <v>0.1898</v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112.1</v>
      </c>
      <c r="BN263" s="64">
        <f>IFERROR(Y263*I263/H263,"0")</f>
        <v>112.1</v>
      </c>
      <c r="BO263" s="64">
        <f>IFERROR(1/J263*(X263/H263),"0")</f>
        <v>0.15625</v>
      </c>
      <c r="BP263" s="64">
        <f>IFERROR(1/J263*(Y263/H263),"0")</f>
        <v>0.15625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4">
        <v>4680115885851</v>
      </c>
      <c r="E264" s="565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7"/>
      <c r="R264" s="567"/>
      <c r="S264" s="567"/>
      <c r="T264" s="568"/>
      <c r="U264" s="34"/>
      <c r="V264" s="34"/>
      <c r="W264" s="35" t="s">
        <v>69</v>
      </c>
      <c r="X264" s="555">
        <v>54</v>
      </c>
      <c r="Y264" s="556">
        <f>IFERROR(IF(X264="",0,CEILING((X264/$H264),1)*$H264),"")</f>
        <v>54</v>
      </c>
      <c r="Z264" s="36">
        <f>IFERROR(IF(Y264=0,"",ROUNDUP(Y264/H264,0)*0.01898),"")</f>
        <v>9.4899999999999998E-2</v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56.05</v>
      </c>
      <c r="BN264" s="64">
        <f>IFERROR(Y264*I264/H264,"0")</f>
        <v>56.05</v>
      </c>
      <c r="BO264" s="64">
        <f>IFERROR(1/J264*(X264/H264),"0")</f>
        <v>7.8125E-2</v>
      </c>
      <c r="BP264" s="64">
        <f>IFERROR(1/J264*(Y264/H264),"0")</f>
        <v>7.8125E-2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4">
        <v>4680115885806</v>
      </c>
      <c r="E265" s="565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7"/>
      <c r="R265" s="567"/>
      <c r="S265" s="567"/>
      <c r="T265" s="568"/>
      <c r="U265" s="34"/>
      <c r="V265" s="34"/>
      <c r="W265" s="35" t="s">
        <v>69</v>
      </c>
      <c r="X265" s="555">
        <v>108</v>
      </c>
      <c r="Y265" s="556">
        <f>IFERROR(IF(X265="",0,CEILING((X265/$H265),1)*$H265),"")</f>
        <v>108</v>
      </c>
      <c r="Z265" s="36">
        <f>IFERROR(IF(Y265=0,"",ROUNDUP(Y265/H265,0)*0.01898),"")</f>
        <v>0.1898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112.1</v>
      </c>
      <c r="BN265" s="64">
        <f>IFERROR(Y265*I265/H265,"0")</f>
        <v>112.1</v>
      </c>
      <c r="BO265" s="64">
        <f>IFERROR(1/J265*(X265/H265),"0")</f>
        <v>0.15625</v>
      </c>
      <c r="BP265" s="64">
        <f>IFERROR(1/J265*(Y265/H265),"0")</f>
        <v>0.15625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4">
        <v>4680115885844</v>
      </c>
      <c r="E266" s="565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7"/>
      <c r="R266" s="567"/>
      <c r="S266" s="567"/>
      <c r="T266" s="568"/>
      <c r="U266" s="34"/>
      <c r="V266" s="34"/>
      <c r="W266" s="35" t="s">
        <v>69</v>
      </c>
      <c r="X266" s="555">
        <v>16</v>
      </c>
      <c r="Y266" s="556">
        <f>IFERROR(IF(X266="",0,CEILING((X266/$H266),1)*$H266),"")</f>
        <v>16</v>
      </c>
      <c r="Z266" s="36">
        <f>IFERROR(IF(Y266=0,"",ROUNDUP(Y266/H266,0)*0.00902),"")</f>
        <v>3.6080000000000001E-2</v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16.760000000000002</v>
      </c>
      <c r="BN266" s="64">
        <f>IFERROR(Y266*I266/H266,"0")</f>
        <v>16.760000000000002</v>
      </c>
      <c r="BO266" s="64">
        <f>IFERROR(1/J266*(X266/H266),"0")</f>
        <v>3.0303030303030304E-2</v>
      </c>
      <c r="BP266" s="64">
        <f>IFERROR(1/J266*(Y266/H266),"0")</f>
        <v>3.0303030303030304E-2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4">
        <v>4680115885820</v>
      </c>
      <c r="E267" s="565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7"/>
      <c r="R267" s="567"/>
      <c r="S267" s="567"/>
      <c r="T267" s="568"/>
      <c r="U267" s="34"/>
      <c r="V267" s="34"/>
      <c r="W267" s="35" t="s">
        <v>69</v>
      </c>
      <c r="X267" s="555">
        <v>16</v>
      </c>
      <c r="Y267" s="556">
        <f>IFERROR(IF(X267="",0,CEILING((X267/$H267),1)*$H267),"")</f>
        <v>16</v>
      </c>
      <c r="Z267" s="36">
        <f>IFERROR(IF(Y267=0,"",ROUNDUP(Y267/H267,0)*0.00902),"")</f>
        <v>3.6080000000000001E-2</v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16.760000000000002</v>
      </c>
      <c r="BN267" s="64">
        <f>IFERROR(Y267*I267/H267,"0")</f>
        <v>16.760000000000002</v>
      </c>
      <c r="BO267" s="64">
        <f>IFERROR(1/J267*(X267/H267),"0")</f>
        <v>3.0303030303030304E-2</v>
      </c>
      <c r="BP267" s="64">
        <f>IFERROR(1/J267*(Y267/H267),"0")</f>
        <v>3.0303030303030304E-2</v>
      </c>
    </row>
    <row r="268" spans="1:68" x14ac:dyDescent="0.2">
      <c r="A268" s="575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6"/>
      <c r="P268" s="559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33</v>
      </c>
      <c r="Y268" s="557">
        <f>IFERROR(Y263/H263,"0")+IFERROR(Y264/H264,"0")+IFERROR(Y265/H265,"0")+IFERROR(Y266/H266,"0")+IFERROR(Y267/H267,"0")</f>
        <v>33</v>
      </c>
      <c r="Z268" s="557">
        <f>IFERROR(IF(Z263="",0,Z263),"0")+IFERROR(IF(Z264="",0,Z264),"0")+IFERROR(IF(Z265="",0,Z265),"0")+IFERROR(IF(Z266="",0,Z266),"0")+IFERROR(IF(Z267="",0,Z267),"0")</f>
        <v>0.54666000000000003</v>
      </c>
      <c r="AA268" s="558"/>
      <c r="AB268" s="558"/>
      <c r="AC268" s="558"/>
    </row>
    <row r="269" spans="1:68" x14ac:dyDescent="0.2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6"/>
      <c r="P269" s="559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302</v>
      </c>
      <c r="Y269" s="557">
        <f>IFERROR(SUM(Y263:Y267),"0")</f>
        <v>302</v>
      </c>
      <c r="Z269" s="37"/>
      <c r="AA269" s="558"/>
      <c r="AB269" s="558"/>
      <c r="AC269" s="558"/>
    </row>
    <row r="270" spans="1:68" ht="16.5" hidden="1" customHeight="1" x14ac:dyDescent="0.25">
      <c r="A270" s="591" t="s">
        <v>444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550"/>
      <c r="AB270" s="550"/>
      <c r="AC270" s="550"/>
    </row>
    <row r="271" spans="1:68" ht="14.25" hidden="1" customHeight="1" x14ac:dyDescent="0.25">
      <c r="A271" s="569" t="s">
        <v>103</v>
      </c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4">
        <v>4607091383423</v>
      </c>
      <c r="E272" s="565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7"/>
      <c r="R272" s="567"/>
      <c r="S272" s="567"/>
      <c r="T272" s="568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4">
        <v>4680115886957</v>
      </c>
      <c r="E273" s="565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7"/>
      <c r="R273" s="567"/>
      <c r="S273" s="567"/>
      <c r="T273" s="568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4">
        <v>4680115885660</v>
      </c>
      <c r="E274" s="565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7"/>
      <c r="R274" s="567"/>
      <c r="S274" s="567"/>
      <c r="T274" s="568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4">
        <v>4680115886773</v>
      </c>
      <c r="E275" s="565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8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7"/>
      <c r="R275" s="567"/>
      <c r="S275" s="567"/>
      <c r="T275" s="568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75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6"/>
      <c r="P276" s="559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6"/>
      <c r="P277" s="559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91" t="s">
        <v>455</v>
      </c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  <c r="AA278" s="550"/>
      <c r="AB278" s="550"/>
      <c r="AC278" s="550"/>
    </row>
    <row r="279" spans="1:68" ht="14.25" hidden="1" customHeight="1" x14ac:dyDescent="0.25">
      <c r="A279" s="569" t="s">
        <v>77</v>
      </c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4">
        <v>4680115886186</v>
      </c>
      <c r="E280" s="565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7"/>
      <c r="R280" s="567"/>
      <c r="S280" s="567"/>
      <c r="T280" s="568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4">
        <v>4680115881228</v>
      </c>
      <c r="E281" s="565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7"/>
      <c r="R281" s="567"/>
      <c r="S281" s="567"/>
      <c r="T281" s="568"/>
      <c r="U281" s="34"/>
      <c r="V281" s="34"/>
      <c r="W281" s="35" t="s">
        <v>69</v>
      </c>
      <c r="X281" s="555">
        <v>7.2</v>
      </c>
      <c r="Y281" s="556">
        <f>IFERROR(IF(X281="",0,CEILING((X281/$H281),1)*$H281),"")</f>
        <v>7.1999999999999993</v>
      </c>
      <c r="Z281" s="36">
        <f>IFERROR(IF(Y281=0,"",ROUNDUP(Y281/H281,0)*0.00651),"")</f>
        <v>1.9529999999999999E-2</v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7.9560000000000004</v>
      </c>
      <c r="BN281" s="64">
        <f>IFERROR(Y281*I281/H281,"0")</f>
        <v>7.9560000000000004</v>
      </c>
      <c r="BO281" s="64">
        <f>IFERROR(1/J281*(X281/H281),"0")</f>
        <v>1.6483516483516484E-2</v>
      </c>
      <c r="BP281" s="64">
        <f>IFERROR(1/J281*(Y281/H281),"0")</f>
        <v>1.6483516483516484E-2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4">
        <v>4680115881211</v>
      </c>
      <c r="E282" s="565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7"/>
      <c r="R282" s="567"/>
      <c r="S282" s="567"/>
      <c r="T282" s="568"/>
      <c r="U282" s="34"/>
      <c r="V282" s="34"/>
      <c r="W282" s="35" t="s">
        <v>69</v>
      </c>
      <c r="X282" s="555">
        <v>7.2</v>
      </c>
      <c r="Y282" s="556">
        <f>IFERROR(IF(X282="",0,CEILING((X282/$H282),1)*$H282),"")</f>
        <v>7.1999999999999993</v>
      </c>
      <c r="Z282" s="36">
        <f>IFERROR(IF(Y282=0,"",ROUNDUP(Y282/H282,0)*0.00651),"")</f>
        <v>1.9529999999999999E-2</v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7.74</v>
      </c>
      <c r="BN282" s="64">
        <f>IFERROR(Y282*I282/H282,"0")</f>
        <v>7.7399999999999993</v>
      </c>
      <c r="BO282" s="64">
        <f>IFERROR(1/J282*(X282/H282),"0")</f>
        <v>1.6483516483516484E-2</v>
      </c>
      <c r="BP282" s="64">
        <f>IFERROR(1/J282*(Y282/H282),"0")</f>
        <v>1.6483516483516484E-2</v>
      </c>
    </row>
    <row r="283" spans="1:68" x14ac:dyDescent="0.2">
      <c r="A283" s="575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6"/>
      <c r="P283" s="559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6</v>
      </c>
      <c r="Y283" s="557">
        <f>IFERROR(Y280/H280,"0")+IFERROR(Y281/H281,"0")+IFERROR(Y282/H282,"0")</f>
        <v>6</v>
      </c>
      <c r="Z283" s="557">
        <f>IFERROR(IF(Z280="",0,Z280),"0")+IFERROR(IF(Z281="",0,Z281),"0")+IFERROR(IF(Z282="",0,Z282),"0")</f>
        <v>3.9059999999999997E-2</v>
      </c>
      <c r="AA283" s="558"/>
      <c r="AB283" s="558"/>
      <c r="AC283" s="558"/>
    </row>
    <row r="284" spans="1:68" x14ac:dyDescent="0.2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6"/>
      <c r="P284" s="559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14.4</v>
      </c>
      <c r="Y284" s="557">
        <f>IFERROR(SUM(Y280:Y282),"0")</f>
        <v>14.399999999999999</v>
      </c>
      <c r="Z284" s="37"/>
      <c r="AA284" s="558"/>
      <c r="AB284" s="558"/>
      <c r="AC284" s="558"/>
    </row>
    <row r="285" spans="1:68" ht="16.5" hidden="1" customHeight="1" x14ac:dyDescent="0.25">
      <c r="A285" s="591" t="s">
        <v>464</v>
      </c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  <c r="AA285" s="550"/>
      <c r="AB285" s="550"/>
      <c r="AC285" s="550"/>
    </row>
    <row r="286" spans="1:68" ht="14.25" hidden="1" customHeight="1" x14ac:dyDescent="0.25">
      <c r="A286" s="569" t="s">
        <v>64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4">
        <v>4680115880344</v>
      </c>
      <c r="E287" s="565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7"/>
      <c r="R287" s="567"/>
      <c r="S287" s="567"/>
      <c r="T287" s="568"/>
      <c r="U287" s="34"/>
      <c r="V287" s="34"/>
      <c r="W287" s="35" t="s">
        <v>69</v>
      </c>
      <c r="X287" s="555">
        <v>8.4</v>
      </c>
      <c r="Y287" s="556">
        <f>IFERROR(IF(X287="",0,CEILING((X287/$H287),1)*$H287),"")</f>
        <v>8.4</v>
      </c>
      <c r="Z287" s="36">
        <f>IFERROR(IF(Y287=0,"",ROUNDUP(Y287/H287,0)*0.00502),"")</f>
        <v>2.5100000000000001E-2</v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8.9000000000000021</v>
      </c>
      <c r="BN287" s="64">
        <f>IFERROR(Y287*I287/H287,"0")</f>
        <v>8.9000000000000021</v>
      </c>
      <c r="BO287" s="64">
        <f>IFERROR(1/J287*(X287/H287),"0")</f>
        <v>2.1367521367521368E-2</v>
      </c>
      <c r="BP287" s="64">
        <f>IFERROR(1/J287*(Y287/H287),"0")</f>
        <v>2.1367521367521368E-2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4">
        <v>4680115886919</v>
      </c>
      <c r="E288" s="565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75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6"/>
      <c r="P289" s="559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5</v>
      </c>
      <c r="Y289" s="557">
        <f>IFERROR(Y287/H287,"0")+IFERROR(Y288/H288,"0")</f>
        <v>5</v>
      </c>
      <c r="Z289" s="557">
        <f>IFERROR(IF(Z287="",0,Z287),"0")+IFERROR(IF(Z288="",0,Z288),"0")</f>
        <v>2.5100000000000001E-2</v>
      </c>
      <c r="AA289" s="558"/>
      <c r="AB289" s="558"/>
      <c r="AC289" s="558"/>
    </row>
    <row r="290" spans="1:68" x14ac:dyDescent="0.2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6"/>
      <c r="P290" s="559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8.4</v>
      </c>
      <c r="Y290" s="557">
        <f>IFERROR(SUM(Y287:Y288),"0")</f>
        <v>8.4</v>
      </c>
      <c r="Z290" s="37"/>
      <c r="AA290" s="558"/>
      <c r="AB290" s="558"/>
      <c r="AC290" s="558"/>
    </row>
    <row r="291" spans="1:68" ht="14.25" hidden="1" customHeight="1" x14ac:dyDescent="0.25">
      <c r="A291" s="569" t="s">
        <v>77</v>
      </c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4">
        <v>4680115884618</v>
      </c>
      <c r="E292" s="565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7"/>
      <c r="R292" s="567"/>
      <c r="S292" s="567"/>
      <c r="T292" s="568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4">
        <v>4680115887114</v>
      </c>
      <c r="E293" s="565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7"/>
      <c r="R293" s="567"/>
      <c r="S293" s="567"/>
      <c r="T293" s="568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75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6"/>
      <c r="P294" s="559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6"/>
      <c r="P295" s="559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91" t="s">
        <v>477</v>
      </c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  <c r="AA296" s="550"/>
      <c r="AB296" s="550"/>
      <c r="AC296" s="550"/>
    </row>
    <row r="297" spans="1:68" ht="14.25" hidden="1" customHeight="1" x14ac:dyDescent="0.25">
      <c r="A297" s="569" t="s">
        <v>103</v>
      </c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  <c r="AA297" s="551"/>
      <c r="AB297" s="551"/>
      <c r="AC297" s="551"/>
    </row>
    <row r="298" spans="1:68" ht="27" hidden="1" customHeight="1" x14ac:dyDescent="0.25">
      <c r="A298" s="54" t="s">
        <v>478</v>
      </c>
      <c r="B298" s="54" t="s">
        <v>479</v>
      </c>
      <c r="C298" s="31">
        <v>4301012126</v>
      </c>
      <c r="D298" s="564">
        <v>4607091386004</v>
      </c>
      <c r="E298" s="565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4">
        <v>4680115885615</v>
      </c>
      <c r="E299" s="565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55">
        <v>108</v>
      </c>
      <c r="Y299" s="556">
        <f t="shared" si="31"/>
        <v>108</v>
      </c>
      <c r="Z299" s="36">
        <f>IFERROR(IF(Y299=0,"",ROUNDUP(Y299/H299,0)*0.01898),"")</f>
        <v>0.1898</v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112.1</v>
      </c>
      <c r="BN299" s="64">
        <f t="shared" si="33"/>
        <v>112.1</v>
      </c>
      <c r="BO299" s="64">
        <f t="shared" si="34"/>
        <v>0.15625</v>
      </c>
      <c r="BP299" s="64">
        <f t="shared" si="35"/>
        <v>0.15625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4">
        <v>4680115885646</v>
      </c>
      <c r="E300" s="565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7"/>
      <c r="R300" s="567"/>
      <c r="S300" s="567"/>
      <c r="T300" s="568"/>
      <c r="U300" s="34"/>
      <c r="V300" s="34"/>
      <c r="W300" s="35" t="s">
        <v>69</v>
      </c>
      <c r="X300" s="555">
        <v>54</v>
      </c>
      <c r="Y300" s="556">
        <f t="shared" si="31"/>
        <v>54</v>
      </c>
      <c r="Z300" s="36">
        <f>IFERROR(IF(Y300=0,"",ROUNDUP(Y300/H300,0)*0.01898),"")</f>
        <v>9.4899999999999998E-2</v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56.05</v>
      </c>
      <c r="BN300" s="64">
        <f t="shared" si="33"/>
        <v>56.05</v>
      </c>
      <c r="BO300" s="64">
        <f t="shared" si="34"/>
        <v>7.8125E-2</v>
      </c>
      <c r="BP300" s="64">
        <f t="shared" si="35"/>
        <v>7.8125E-2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4301012016</v>
      </c>
      <c r="D301" s="564">
        <v>4680115885554</v>
      </c>
      <c r="E301" s="565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7"/>
      <c r="R301" s="567"/>
      <c r="S301" s="567"/>
      <c r="T301" s="568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490</v>
      </c>
      <c r="B302" s="54" t="s">
        <v>491</v>
      </c>
      <c r="C302" s="31">
        <v>4301011857</v>
      </c>
      <c r="D302" s="564">
        <v>4680115885622</v>
      </c>
      <c r="E302" s="565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6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7"/>
      <c r="R302" s="567"/>
      <c r="S302" s="567"/>
      <c r="T302" s="568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492</v>
      </c>
      <c r="B303" s="54" t="s">
        <v>493</v>
      </c>
      <c r="C303" s="31">
        <v>4301011859</v>
      </c>
      <c r="D303" s="564">
        <v>4680115885608</v>
      </c>
      <c r="E303" s="565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7"/>
      <c r="R303" s="567"/>
      <c r="S303" s="567"/>
      <c r="T303" s="568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75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6"/>
      <c r="P304" s="559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15</v>
      </c>
      <c r="Y304" s="557">
        <f>IFERROR(Y298/H298,"0")+IFERROR(Y299/H299,"0")+IFERROR(Y300/H300,"0")+IFERROR(Y301/H301,"0")+IFERROR(Y302/H302,"0")+IFERROR(Y303/H303,"0")</f>
        <v>15</v>
      </c>
      <c r="Z304" s="557">
        <f>IFERROR(IF(Z298="",0,Z298),"0")+IFERROR(IF(Z299="",0,Z299),"0")+IFERROR(IF(Z300="",0,Z300),"0")+IFERROR(IF(Z301="",0,Z301),"0")+IFERROR(IF(Z302="",0,Z302),"0")+IFERROR(IF(Z303="",0,Z303),"0")</f>
        <v>0.28470000000000001</v>
      </c>
      <c r="AA304" s="558"/>
      <c r="AB304" s="558"/>
      <c r="AC304" s="558"/>
    </row>
    <row r="305" spans="1:68" x14ac:dyDescent="0.2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6"/>
      <c r="P305" s="559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162</v>
      </c>
      <c r="Y305" s="557">
        <f>IFERROR(SUM(Y298:Y303),"0")</f>
        <v>162</v>
      </c>
      <c r="Z305" s="37"/>
      <c r="AA305" s="558"/>
      <c r="AB305" s="558"/>
      <c r="AC305" s="558"/>
    </row>
    <row r="306" spans="1:68" ht="14.25" hidden="1" customHeight="1" x14ac:dyDescent="0.25">
      <c r="A306" s="569" t="s">
        <v>64</v>
      </c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  <c r="AA306" s="551"/>
      <c r="AB306" s="551"/>
      <c r="AC306" s="551"/>
    </row>
    <row r="307" spans="1:68" ht="27" hidden="1" customHeight="1" x14ac:dyDescent="0.25">
      <c r="A307" s="54" t="s">
        <v>495</v>
      </c>
      <c r="B307" s="54" t="s">
        <v>496</v>
      </c>
      <c r="C307" s="31">
        <v>4301030878</v>
      </c>
      <c r="D307" s="564">
        <v>4607091387193</v>
      </c>
      <c r="E307" s="565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4">
        <v>4607091387230</v>
      </c>
      <c r="E308" s="565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55">
        <v>42</v>
      </c>
      <c r="Y308" s="556">
        <f t="shared" si="36"/>
        <v>42</v>
      </c>
      <c r="Z308" s="36">
        <f>IFERROR(IF(Y308=0,"",ROUNDUP(Y308/H308,0)*0.00902),"")</f>
        <v>9.0200000000000002E-2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44.5</v>
      </c>
      <c r="BN308" s="64">
        <f t="shared" si="38"/>
        <v>44.5</v>
      </c>
      <c r="BO308" s="64">
        <f t="shared" si="39"/>
        <v>7.575757575757576E-2</v>
      </c>
      <c r="BP308" s="64">
        <f t="shared" si="40"/>
        <v>7.575757575757576E-2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4">
        <v>4607091387292</v>
      </c>
      <c r="E309" s="565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7"/>
      <c r="R309" s="567"/>
      <c r="S309" s="567"/>
      <c r="T309" s="568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4">
        <v>4607091387285</v>
      </c>
      <c r="E310" s="565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7"/>
      <c r="R310" s="567"/>
      <c r="S310" s="567"/>
      <c r="T310" s="568"/>
      <c r="U310" s="34"/>
      <c r="V310" s="34"/>
      <c r="W310" s="35" t="s">
        <v>69</v>
      </c>
      <c r="X310" s="555">
        <v>10.5</v>
      </c>
      <c r="Y310" s="556">
        <f t="shared" si="36"/>
        <v>10.5</v>
      </c>
      <c r="Z310" s="36">
        <f>IFERROR(IF(Y310=0,"",ROUNDUP(Y310/H310,0)*0.00502),"")</f>
        <v>2.5100000000000001E-2</v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11.149999999999999</v>
      </c>
      <c r="BN310" s="64">
        <f t="shared" si="38"/>
        <v>11.149999999999999</v>
      </c>
      <c r="BO310" s="64">
        <f t="shared" si="39"/>
        <v>2.1367521367521368E-2</v>
      </c>
      <c r="BP310" s="64">
        <f t="shared" si="40"/>
        <v>2.1367521367521368E-2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4">
        <v>4607091389845</v>
      </c>
      <c r="E311" s="565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7"/>
      <c r="R311" s="567"/>
      <c r="S311" s="567"/>
      <c r="T311" s="568"/>
      <c r="U311" s="34"/>
      <c r="V311" s="34"/>
      <c r="W311" s="35" t="s">
        <v>69</v>
      </c>
      <c r="X311" s="555">
        <v>10.5</v>
      </c>
      <c r="Y311" s="556">
        <f t="shared" si="36"/>
        <v>10.5</v>
      </c>
      <c r="Z311" s="36">
        <f>IFERROR(IF(Y311=0,"",ROUNDUP(Y311/H311,0)*0.00502),"")</f>
        <v>2.5100000000000001E-2</v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11</v>
      </c>
      <c r="BN311" s="64">
        <f t="shared" si="38"/>
        <v>11</v>
      </c>
      <c r="BO311" s="64">
        <f t="shared" si="39"/>
        <v>2.1367521367521368E-2</v>
      </c>
      <c r="BP311" s="64">
        <f t="shared" si="40"/>
        <v>2.1367521367521368E-2</v>
      </c>
    </row>
    <row r="312" spans="1:68" ht="27" hidden="1" customHeight="1" x14ac:dyDescent="0.25">
      <c r="A312" s="54" t="s">
        <v>509</v>
      </c>
      <c r="B312" s="54" t="s">
        <v>510</v>
      </c>
      <c r="C312" s="31">
        <v>4301031066</v>
      </c>
      <c r="D312" s="564">
        <v>4607091383836</v>
      </c>
      <c r="E312" s="565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7"/>
      <c r="R312" s="567"/>
      <c r="S312" s="567"/>
      <c r="T312" s="568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75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6"/>
      <c r="P313" s="559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20</v>
      </c>
      <c r="Y313" s="557">
        <f>IFERROR(Y307/H307,"0")+IFERROR(Y308/H308,"0")+IFERROR(Y309/H309,"0")+IFERROR(Y310/H310,"0")+IFERROR(Y311/H311,"0")+IFERROR(Y312/H312,"0")</f>
        <v>20</v>
      </c>
      <c r="Z313" s="557">
        <f>IFERROR(IF(Z307="",0,Z307),"0")+IFERROR(IF(Z308="",0,Z308),"0")+IFERROR(IF(Z309="",0,Z309),"0")+IFERROR(IF(Z310="",0,Z310),"0")+IFERROR(IF(Z311="",0,Z311),"0")+IFERROR(IF(Z312="",0,Z312),"0")</f>
        <v>0.1404</v>
      </c>
      <c r="AA313" s="558"/>
      <c r="AB313" s="558"/>
      <c r="AC313" s="558"/>
    </row>
    <row r="314" spans="1:68" x14ac:dyDescent="0.2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6"/>
      <c r="P314" s="559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63</v>
      </c>
      <c r="Y314" s="557">
        <f>IFERROR(SUM(Y307:Y312),"0")</f>
        <v>63</v>
      </c>
      <c r="Z314" s="37"/>
      <c r="AA314" s="558"/>
      <c r="AB314" s="558"/>
      <c r="AC314" s="558"/>
    </row>
    <row r="315" spans="1:68" ht="14.25" hidden="1" customHeight="1" x14ac:dyDescent="0.25">
      <c r="A315" s="569" t="s">
        <v>77</v>
      </c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4">
        <v>4607091387766</v>
      </c>
      <c r="E316" s="565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5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7"/>
      <c r="R316" s="567"/>
      <c r="S316" s="567"/>
      <c r="T316" s="568"/>
      <c r="U316" s="34"/>
      <c r="V316" s="34"/>
      <c r="W316" s="35" t="s">
        <v>69</v>
      </c>
      <c r="X316" s="555">
        <v>998.4</v>
      </c>
      <c r="Y316" s="556">
        <f>IFERROR(IF(X316="",0,CEILING((X316/$H316),1)*$H316),"")</f>
        <v>998.4</v>
      </c>
      <c r="Z316" s="36">
        <f>IFERROR(IF(Y316=0,"",ROUNDUP(Y316/H316,0)*0.01898),"")</f>
        <v>2.42944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1060.864</v>
      </c>
      <c r="BN316" s="64">
        <f>IFERROR(Y316*I316/H316,"0")</f>
        <v>1060.864</v>
      </c>
      <c r="BO316" s="64">
        <f>IFERROR(1/J316*(X316/H316),"0")</f>
        <v>2</v>
      </c>
      <c r="BP316" s="64">
        <f>IFERROR(1/J316*(Y316/H316),"0")</f>
        <v>2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4">
        <v>4607091387957</v>
      </c>
      <c r="E317" s="565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7"/>
      <c r="R317" s="567"/>
      <c r="S317" s="567"/>
      <c r="T317" s="568"/>
      <c r="U317" s="34"/>
      <c r="V317" s="34"/>
      <c r="W317" s="35" t="s">
        <v>69</v>
      </c>
      <c r="X317" s="555">
        <v>23.4</v>
      </c>
      <c r="Y317" s="556">
        <f>IFERROR(IF(X317="",0,CEILING((X317/$H317),1)*$H317),"")</f>
        <v>23.4</v>
      </c>
      <c r="Z317" s="36">
        <f>IFERROR(IF(Y317=0,"",ROUNDUP(Y317/H317,0)*0.01898),"")</f>
        <v>5.6940000000000004E-2</v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24.882000000000001</v>
      </c>
      <c r="BN317" s="64">
        <f>IFERROR(Y317*I317/H317,"0")</f>
        <v>24.882000000000001</v>
      </c>
      <c r="BO317" s="64">
        <f>IFERROR(1/J317*(X317/H317),"0")</f>
        <v>4.6875E-2</v>
      </c>
      <c r="BP317" s="64">
        <f>IFERROR(1/J317*(Y317/H317),"0")</f>
        <v>4.6875E-2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4">
        <v>4607091387964</v>
      </c>
      <c r="E318" s="565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7"/>
      <c r="R318" s="567"/>
      <c r="S318" s="567"/>
      <c r="T318" s="568"/>
      <c r="U318" s="34"/>
      <c r="V318" s="34"/>
      <c r="W318" s="35" t="s">
        <v>69</v>
      </c>
      <c r="X318" s="555">
        <v>24.3</v>
      </c>
      <c r="Y318" s="556">
        <f>IFERROR(IF(X318="",0,CEILING((X318/$H318),1)*$H318),"")</f>
        <v>24.299999999999997</v>
      </c>
      <c r="Z318" s="36">
        <f>IFERROR(IF(Y318=0,"",ROUNDUP(Y318/H318,0)*0.01898),"")</f>
        <v>5.6940000000000004E-2</v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25.728000000000002</v>
      </c>
      <c r="BN318" s="64">
        <f>IFERROR(Y318*I318/H318,"0")</f>
        <v>25.727999999999998</v>
      </c>
      <c r="BO318" s="64">
        <f>IFERROR(1/J318*(X318/H318),"0")</f>
        <v>4.6875E-2</v>
      </c>
      <c r="BP318" s="64">
        <f>IFERROR(1/J318*(Y318/H318),"0")</f>
        <v>4.6875E-2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4">
        <v>4680115884588</v>
      </c>
      <c r="E319" s="565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55">
        <v>6</v>
      </c>
      <c r="Y319" s="556">
        <f>IFERROR(IF(X319="",0,CEILING((X319/$H319),1)*$H319),"")</f>
        <v>6</v>
      </c>
      <c r="Z319" s="36">
        <f>IFERROR(IF(Y319=0,"",ROUNDUP(Y319/H319,0)*0.00651),"")</f>
        <v>1.302E-2</v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6.492</v>
      </c>
      <c r="BN319" s="64">
        <f>IFERROR(Y319*I319/H319,"0")</f>
        <v>6.492</v>
      </c>
      <c r="BO319" s="64">
        <f>IFERROR(1/J319*(X319/H319),"0")</f>
        <v>1.098901098901099E-2</v>
      </c>
      <c r="BP319" s="64">
        <f>IFERROR(1/J319*(Y319/H319),"0")</f>
        <v>1.098901098901099E-2</v>
      </c>
    </row>
    <row r="320" spans="1:68" x14ac:dyDescent="0.2">
      <c r="A320" s="575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6"/>
      <c r="P320" s="559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136</v>
      </c>
      <c r="Y320" s="557">
        <f>IFERROR(Y316/H316,"0")+IFERROR(Y317/H317,"0")+IFERROR(Y318/H318,"0")+IFERROR(Y319/H319,"0")</f>
        <v>136</v>
      </c>
      <c r="Z320" s="557">
        <f>IFERROR(IF(Z316="",0,Z316),"0")+IFERROR(IF(Z317="",0,Z317),"0")+IFERROR(IF(Z318="",0,Z318),"0")+IFERROR(IF(Z319="",0,Z319),"0")</f>
        <v>2.5563400000000001</v>
      </c>
      <c r="AA320" s="558"/>
      <c r="AB320" s="558"/>
      <c r="AC320" s="558"/>
    </row>
    <row r="321" spans="1:68" x14ac:dyDescent="0.2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6"/>
      <c r="P321" s="559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1052.0999999999999</v>
      </c>
      <c r="Y321" s="557">
        <f>IFERROR(SUM(Y316:Y319),"0")</f>
        <v>1052.0999999999999</v>
      </c>
      <c r="Z321" s="37"/>
      <c r="AA321" s="558"/>
      <c r="AB321" s="558"/>
      <c r="AC321" s="558"/>
    </row>
    <row r="322" spans="1:68" ht="14.25" hidden="1" customHeight="1" x14ac:dyDescent="0.25">
      <c r="A322" s="569" t="s">
        <v>163</v>
      </c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4">
        <v>4607091380880</v>
      </c>
      <c r="E323" s="565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7"/>
      <c r="R323" s="567"/>
      <c r="S323" s="567"/>
      <c r="T323" s="568"/>
      <c r="U323" s="34"/>
      <c r="V323" s="34"/>
      <c r="W323" s="35" t="s">
        <v>69</v>
      </c>
      <c r="X323" s="555">
        <v>16.8</v>
      </c>
      <c r="Y323" s="556">
        <f>IFERROR(IF(X323="",0,CEILING((X323/$H323),1)*$H323),"")</f>
        <v>16.8</v>
      </c>
      <c r="Z323" s="36">
        <f>IFERROR(IF(Y323=0,"",ROUNDUP(Y323/H323,0)*0.01898),"")</f>
        <v>3.7960000000000001E-2</v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17.788</v>
      </c>
      <c r="BN323" s="64">
        <f>IFERROR(Y323*I323/H323,"0")</f>
        <v>17.788</v>
      </c>
      <c r="BO323" s="64">
        <f>IFERROR(1/J323*(X323/H323),"0")</f>
        <v>3.125E-2</v>
      </c>
      <c r="BP323" s="64">
        <f>IFERROR(1/J323*(Y323/H323),"0")</f>
        <v>3.125E-2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4">
        <v>4607091384482</v>
      </c>
      <c r="E324" s="565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8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7"/>
      <c r="R324" s="567"/>
      <c r="S324" s="567"/>
      <c r="T324" s="568"/>
      <c r="U324" s="34"/>
      <c r="V324" s="34"/>
      <c r="W324" s="35" t="s">
        <v>69</v>
      </c>
      <c r="X324" s="555">
        <v>23.4</v>
      </c>
      <c r="Y324" s="556">
        <f>IFERROR(IF(X324="",0,CEILING((X324/$H324),1)*$H324),"")</f>
        <v>23.4</v>
      </c>
      <c r="Z324" s="36">
        <f>IFERROR(IF(Y324=0,"",ROUNDUP(Y324/H324,0)*0.01898),"")</f>
        <v>5.6940000000000004E-2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24.882000000000001</v>
      </c>
      <c r="BN324" s="64">
        <f>IFERROR(Y324*I324/H324,"0")</f>
        <v>24.882000000000001</v>
      </c>
      <c r="BO324" s="64">
        <f>IFERROR(1/J324*(X324/H324),"0")</f>
        <v>4.6875E-2</v>
      </c>
      <c r="BP324" s="64">
        <f>IFERROR(1/J324*(Y324/H324),"0")</f>
        <v>4.6875E-2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4">
        <v>4607091380897</v>
      </c>
      <c r="E325" s="565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7"/>
      <c r="R325" s="567"/>
      <c r="S325" s="567"/>
      <c r="T325" s="568"/>
      <c r="U325" s="34"/>
      <c r="V325" s="34"/>
      <c r="W325" s="35" t="s">
        <v>69</v>
      </c>
      <c r="X325" s="555">
        <v>42</v>
      </c>
      <c r="Y325" s="556">
        <f>IFERROR(IF(X325="",0,CEILING((X325/$H325),1)*$H325),"")</f>
        <v>42</v>
      </c>
      <c r="Z325" s="36">
        <f>IFERROR(IF(Y325=0,"",ROUNDUP(Y325/H325,0)*0.01898),"")</f>
        <v>9.4899999999999998E-2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44.47</v>
      </c>
      <c r="BN325" s="64">
        <f>IFERROR(Y325*I325/H325,"0")</f>
        <v>44.47</v>
      </c>
      <c r="BO325" s="64">
        <f>IFERROR(1/J325*(X325/H325),"0")</f>
        <v>7.8125E-2</v>
      </c>
      <c r="BP325" s="64">
        <f>IFERROR(1/J325*(Y325/H325),"0")</f>
        <v>7.8125E-2</v>
      </c>
    </row>
    <row r="326" spans="1:68" x14ac:dyDescent="0.2">
      <c r="A326" s="575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6"/>
      <c r="P326" s="559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10</v>
      </c>
      <c r="Y326" s="557">
        <f>IFERROR(Y323/H323,"0")+IFERROR(Y324/H324,"0")+IFERROR(Y325/H325,"0")</f>
        <v>10</v>
      </c>
      <c r="Z326" s="557">
        <f>IFERROR(IF(Z323="",0,Z323),"0")+IFERROR(IF(Z324="",0,Z324),"0")+IFERROR(IF(Z325="",0,Z325),"0")</f>
        <v>0.18980000000000002</v>
      </c>
      <c r="AA326" s="558"/>
      <c r="AB326" s="558"/>
      <c r="AC326" s="558"/>
    </row>
    <row r="327" spans="1:68" x14ac:dyDescent="0.2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6"/>
      <c r="P327" s="559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82.2</v>
      </c>
      <c r="Y327" s="557">
        <f>IFERROR(SUM(Y323:Y325),"0")</f>
        <v>82.2</v>
      </c>
      <c r="Z327" s="37"/>
      <c r="AA327" s="558"/>
      <c r="AB327" s="558"/>
      <c r="AC327" s="558"/>
    </row>
    <row r="328" spans="1:68" ht="14.25" hidden="1" customHeight="1" x14ac:dyDescent="0.25">
      <c r="A328" s="569" t="s">
        <v>95</v>
      </c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4">
        <v>4607091388381</v>
      </c>
      <c r="E329" s="565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7"/>
      <c r="R329" s="567"/>
      <c r="S329" s="567"/>
      <c r="T329" s="568"/>
      <c r="U329" s="34"/>
      <c r="V329" s="34"/>
      <c r="W329" s="35" t="s">
        <v>69</v>
      </c>
      <c r="X329" s="555">
        <v>3.04</v>
      </c>
      <c r="Y329" s="556">
        <f>IFERROR(IF(X329="",0,CEILING((X329/$H329),1)*$H329),"")</f>
        <v>3.04</v>
      </c>
      <c r="Z329" s="36">
        <f>IFERROR(IF(Y329=0,"",ROUNDUP(Y329/H329,0)*0.00902),"")</f>
        <v>9.0200000000000002E-3</v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3.31</v>
      </c>
      <c r="BN329" s="64">
        <f>IFERROR(Y329*I329/H329,"0")</f>
        <v>3.31</v>
      </c>
      <c r="BO329" s="64">
        <f>IFERROR(1/J329*(X329/H329),"0")</f>
        <v>7.575757575757576E-3</v>
      </c>
      <c r="BP329" s="64">
        <f>IFERROR(1/J329*(Y329/H329),"0")</f>
        <v>7.575757575757576E-3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4">
        <v>4607091388374</v>
      </c>
      <c r="E330" s="565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7"/>
      <c r="R330" s="567"/>
      <c r="S330" s="567"/>
      <c r="T330" s="568"/>
      <c r="U330" s="34"/>
      <c r="V330" s="34"/>
      <c r="W330" s="35" t="s">
        <v>69</v>
      </c>
      <c r="X330" s="555">
        <v>3.04</v>
      </c>
      <c r="Y330" s="556">
        <f>IFERROR(IF(X330="",0,CEILING((X330/$H330),1)*$H330),"")</f>
        <v>3.04</v>
      </c>
      <c r="Z330" s="36">
        <f>IFERROR(IF(Y330=0,"",ROUNDUP(Y330/H330,0)*0.00902),"")</f>
        <v>9.0200000000000002E-3</v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3.2699999999999996</v>
      </c>
      <c r="BN330" s="64">
        <f>IFERROR(Y330*I330/H330,"0")</f>
        <v>3.2699999999999996</v>
      </c>
      <c r="BO330" s="64">
        <f>IFERROR(1/J330*(X330/H330),"0")</f>
        <v>7.575757575757576E-3</v>
      </c>
      <c r="BP330" s="64">
        <f>IFERROR(1/J330*(Y330/H330),"0")</f>
        <v>7.575757575757576E-3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4">
        <v>4607091383102</v>
      </c>
      <c r="E331" s="565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7"/>
      <c r="R331" s="567"/>
      <c r="S331" s="567"/>
      <c r="T331" s="568"/>
      <c r="U331" s="34"/>
      <c r="V331" s="34"/>
      <c r="W331" s="35" t="s">
        <v>69</v>
      </c>
      <c r="X331" s="555">
        <v>2.5499999999999998</v>
      </c>
      <c r="Y331" s="556">
        <f>IFERROR(IF(X331="",0,CEILING((X331/$H331),1)*$H331),"")</f>
        <v>2.5499999999999998</v>
      </c>
      <c r="Z331" s="36">
        <f>IFERROR(IF(Y331=0,"",ROUNDUP(Y331/H331,0)*0.00651),"")</f>
        <v>6.5100000000000002E-3</v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2.9550000000000001</v>
      </c>
      <c r="BN331" s="64">
        <f>IFERROR(Y331*I331/H331,"0")</f>
        <v>2.9550000000000001</v>
      </c>
      <c r="BO331" s="64">
        <f>IFERROR(1/J331*(X331/H331),"0")</f>
        <v>5.4945054945054949E-3</v>
      </c>
      <c r="BP331" s="64">
        <f>IFERROR(1/J331*(Y331/H331),"0")</f>
        <v>5.4945054945054949E-3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4">
        <v>4607091388404</v>
      </c>
      <c r="E332" s="565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7"/>
      <c r="R332" s="567"/>
      <c r="S332" s="567"/>
      <c r="T332" s="568"/>
      <c r="U332" s="34"/>
      <c r="V332" s="34"/>
      <c r="W332" s="35" t="s">
        <v>69</v>
      </c>
      <c r="X332" s="555">
        <v>2.5499999999999998</v>
      </c>
      <c r="Y332" s="556">
        <f>IFERROR(IF(X332="",0,CEILING((X332/$H332),1)*$H332),"")</f>
        <v>2.5499999999999998</v>
      </c>
      <c r="Z332" s="36">
        <f>IFERROR(IF(Y332=0,"",ROUNDUP(Y332/H332,0)*0.00651),"")</f>
        <v>6.5100000000000002E-3</v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2.88</v>
      </c>
      <c r="BN332" s="64">
        <f>IFERROR(Y332*I332/H332,"0")</f>
        <v>2.88</v>
      </c>
      <c r="BO332" s="64">
        <f>IFERROR(1/J332*(X332/H332),"0")</f>
        <v>5.4945054945054949E-3</v>
      </c>
      <c r="BP332" s="64">
        <f>IFERROR(1/J332*(Y332/H332),"0")</f>
        <v>5.4945054945054949E-3</v>
      </c>
    </row>
    <row r="333" spans="1:68" x14ac:dyDescent="0.2">
      <c r="A333" s="575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6"/>
      <c r="P333" s="559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4</v>
      </c>
      <c r="Y333" s="557">
        <f>IFERROR(Y329/H329,"0")+IFERROR(Y330/H330,"0")+IFERROR(Y331/H331,"0")+IFERROR(Y332/H332,"0")</f>
        <v>4</v>
      </c>
      <c r="Z333" s="557">
        <f>IFERROR(IF(Z329="",0,Z329),"0")+IFERROR(IF(Z330="",0,Z330),"0")+IFERROR(IF(Z331="",0,Z331),"0")+IFERROR(IF(Z332="",0,Z332),"0")</f>
        <v>3.1060000000000004E-2</v>
      </c>
      <c r="AA333" s="558"/>
      <c r="AB333" s="558"/>
      <c r="AC333" s="558"/>
    </row>
    <row r="334" spans="1:68" x14ac:dyDescent="0.2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6"/>
      <c r="P334" s="559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11.18</v>
      </c>
      <c r="Y334" s="557">
        <f>IFERROR(SUM(Y329:Y332),"0")</f>
        <v>11.18</v>
      </c>
      <c r="Z334" s="37"/>
      <c r="AA334" s="558"/>
      <c r="AB334" s="558"/>
      <c r="AC334" s="558"/>
    </row>
    <row r="335" spans="1:68" ht="14.25" hidden="1" customHeight="1" x14ac:dyDescent="0.25">
      <c r="A335" s="569" t="s">
        <v>543</v>
      </c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4">
        <v>4680115881808</v>
      </c>
      <c r="E336" s="565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7"/>
      <c r="R336" s="567"/>
      <c r="S336" s="567"/>
      <c r="T336" s="568"/>
      <c r="U336" s="34"/>
      <c r="V336" s="34"/>
      <c r="W336" s="35" t="s">
        <v>69</v>
      </c>
      <c r="X336" s="555">
        <v>2</v>
      </c>
      <c r="Y336" s="556">
        <f>IFERROR(IF(X336="",0,CEILING((X336/$H336),1)*$H336),"")</f>
        <v>2</v>
      </c>
      <c r="Z336" s="36">
        <f>IFERROR(IF(Y336=0,"",ROUNDUP(Y336/H336,0)*0.00474),"")</f>
        <v>4.7400000000000003E-3</v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2.2400000000000002</v>
      </c>
      <c r="BN336" s="64">
        <f>IFERROR(Y336*I336/H336,"0")</f>
        <v>2.2400000000000002</v>
      </c>
      <c r="BO336" s="64">
        <f>IFERROR(1/J336*(X336/H336),"0")</f>
        <v>4.2016806722689074E-3</v>
      </c>
      <c r="BP336" s="64">
        <f>IFERROR(1/J336*(Y336/H336),"0")</f>
        <v>4.2016806722689074E-3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4">
        <v>4680115881822</v>
      </c>
      <c r="E337" s="565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7"/>
      <c r="R337" s="567"/>
      <c r="S337" s="567"/>
      <c r="T337" s="568"/>
      <c r="U337" s="34"/>
      <c r="V337" s="34"/>
      <c r="W337" s="35" t="s">
        <v>69</v>
      </c>
      <c r="X337" s="555">
        <v>2</v>
      </c>
      <c r="Y337" s="556">
        <f>IFERROR(IF(X337="",0,CEILING((X337/$H337),1)*$H337),"")</f>
        <v>2</v>
      </c>
      <c r="Z337" s="36">
        <f>IFERROR(IF(Y337=0,"",ROUNDUP(Y337/H337,0)*0.00474),"")</f>
        <v>4.7400000000000003E-3</v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2.2400000000000002</v>
      </c>
      <c r="BN337" s="64">
        <f>IFERROR(Y337*I337/H337,"0")</f>
        <v>2.2400000000000002</v>
      </c>
      <c r="BO337" s="64">
        <f>IFERROR(1/J337*(X337/H337),"0")</f>
        <v>4.2016806722689074E-3</v>
      </c>
      <c r="BP337" s="64">
        <f>IFERROR(1/J337*(Y337/H337),"0")</f>
        <v>4.2016806722689074E-3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4">
        <v>4680115880016</v>
      </c>
      <c r="E338" s="565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7"/>
      <c r="R338" s="567"/>
      <c r="S338" s="567"/>
      <c r="T338" s="568"/>
      <c r="U338" s="34"/>
      <c r="V338" s="34"/>
      <c r="W338" s="35" t="s">
        <v>69</v>
      </c>
      <c r="X338" s="555">
        <v>2</v>
      </c>
      <c r="Y338" s="556">
        <f>IFERROR(IF(X338="",0,CEILING((X338/$H338),1)*$H338),"")</f>
        <v>2</v>
      </c>
      <c r="Z338" s="36">
        <f>IFERROR(IF(Y338=0,"",ROUNDUP(Y338/H338,0)*0.00474),"")</f>
        <v>4.7400000000000003E-3</v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2.2400000000000002</v>
      </c>
      <c r="BN338" s="64">
        <f>IFERROR(Y338*I338/H338,"0")</f>
        <v>2.2400000000000002</v>
      </c>
      <c r="BO338" s="64">
        <f>IFERROR(1/J338*(X338/H338),"0")</f>
        <v>4.2016806722689074E-3</v>
      </c>
      <c r="BP338" s="64">
        <f>IFERROR(1/J338*(Y338/H338),"0")</f>
        <v>4.2016806722689074E-3</v>
      </c>
    </row>
    <row r="339" spans="1:68" x14ac:dyDescent="0.2">
      <c r="A339" s="575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6"/>
      <c r="P339" s="559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3</v>
      </c>
      <c r="Y339" s="557">
        <f>IFERROR(Y336/H336,"0")+IFERROR(Y337/H337,"0")+IFERROR(Y338/H338,"0")</f>
        <v>3</v>
      </c>
      <c r="Z339" s="557">
        <f>IFERROR(IF(Z336="",0,Z336),"0")+IFERROR(IF(Z337="",0,Z337),"0")+IFERROR(IF(Z338="",0,Z338),"0")</f>
        <v>1.422E-2</v>
      </c>
      <c r="AA339" s="558"/>
      <c r="AB339" s="558"/>
      <c r="AC339" s="558"/>
    </row>
    <row r="340" spans="1:68" x14ac:dyDescent="0.2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6"/>
      <c r="P340" s="559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6</v>
      </c>
      <c r="Y340" s="557">
        <f>IFERROR(SUM(Y336:Y338),"0")</f>
        <v>6</v>
      </c>
      <c r="Z340" s="37"/>
      <c r="AA340" s="558"/>
      <c r="AB340" s="558"/>
      <c r="AC340" s="558"/>
    </row>
    <row r="341" spans="1:68" ht="16.5" hidden="1" customHeight="1" x14ac:dyDescent="0.25">
      <c r="A341" s="591" t="s">
        <v>552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550"/>
      <c r="AB341" s="550"/>
      <c r="AC341" s="550"/>
    </row>
    <row r="342" spans="1:68" ht="14.25" hidden="1" customHeight="1" x14ac:dyDescent="0.25">
      <c r="A342" s="569" t="s">
        <v>77</v>
      </c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4">
        <v>4607091387919</v>
      </c>
      <c r="E343" s="565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7"/>
      <c r="R343" s="567"/>
      <c r="S343" s="567"/>
      <c r="T343" s="568"/>
      <c r="U343" s="34"/>
      <c r="V343" s="34"/>
      <c r="W343" s="35" t="s">
        <v>69</v>
      </c>
      <c r="X343" s="555">
        <v>40.5</v>
      </c>
      <c r="Y343" s="556">
        <f>IFERROR(IF(X343="",0,CEILING((X343/$H343),1)*$H343),"")</f>
        <v>40.5</v>
      </c>
      <c r="Z343" s="36">
        <f>IFERROR(IF(Y343=0,"",ROUNDUP(Y343/H343,0)*0.01898),"")</f>
        <v>9.4899999999999998E-2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42.97</v>
      </c>
      <c r="BN343" s="64">
        <f>IFERROR(Y343*I343/H343,"0")</f>
        <v>42.97</v>
      </c>
      <c r="BO343" s="64">
        <f>IFERROR(1/J343*(X343/H343),"0")</f>
        <v>7.8125E-2</v>
      </c>
      <c r="BP343" s="64">
        <f>IFERROR(1/J343*(Y343/H343),"0")</f>
        <v>7.8125E-2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4">
        <v>4680115883604</v>
      </c>
      <c r="E344" s="565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7"/>
      <c r="R344" s="567"/>
      <c r="S344" s="567"/>
      <c r="T344" s="568"/>
      <c r="U344" s="34"/>
      <c r="V344" s="34"/>
      <c r="W344" s="35" t="s">
        <v>69</v>
      </c>
      <c r="X344" s="555">
        <v>10.5</v>
      </c>
      <c r="Y344" s="556">
        <f>IFERROR(IF(X344="",0,CEILING((X344/$H344),1)*$H344),"")</f>
        <v>10.5</v>
      </c>
      <c r="Z344" s="36">
        <f>IFERROR(IF(Y344=0,"",ROUNDUP(Y344/H344,0)*0.00651),"")</f>
        <v>3.2550000000000003E-2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11.759999999999998</v>
      </c>
      <c r="BN344" s="64">
        <f>IFERROR(Y344*I344/H344,"0")</f>
        <v>11.759999999999998</v>
      </c>
      <c r="BO344" s="64">
        <f>IFERROR(1/J344*(X344/H344),"0")</f>
        <v>2.7472527472527476E-2</v>
      </c>
      <c r="BP344" s="64">
        <f>IFERROR(1/J344*(Y344/H344),"0")</f>
        <v>2.7472527472527476E-2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4">
        <v>4680115883567</v>
      </c>
      <c r="E345" s="565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7"/>
      <c r="R345" s="567"/>
      <c r="S345" s="567"/>
      <c r="T345" s="568"/>
      <c r="U345" s="34"/>
      <c r="V345" s="34"/>
      <c r="W345" s="35" t="s">
        <v>69</v>
      </c>
      <c r="X345" s="555">
        <v>10.5</v>
      </c>
      <c r="Y345" s="556">
        <f>IFERROR(IF(X345="",0,CEILING((X345/$H345),1)*$H345),"")</f>
        <v>10.5</v>
      </c>
      <c r="Z345" s="36">
        <f>IFERROR(IF(Y345=0,"",ROUNDUP(Y345/H345,0)*0.00651),"")</f>
        <v>3.2550000000000003E-2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11.7</v>
      </c>
      <c r="BN345" s="64">
        <f>IFERROR(Y345*I345/H345,"0")</f>
        <v>11.7</v>
      </c>
      <c r="BO345" s="64">
        <f>IFERROR(1/J345*(X345/H345),"0")</f>
        <v>2.7472527472527476E-2</v>
      </c>
      <c r="BP345" s="64">
        <f>IFERROR(1/J345*(Y345/H345),"0")</f>
        <v>2.7472527472527476E-2</v>
      </c>
    </row>
    <row r="346" spans="1:68" x14ac:dyDescent="0.2">
      <c r="A346" s="575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6"/>
      <c r="P346" s="559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15</v>
      </c>
      <c r="Y346" s="557">
        <f>IFERROR(Y343/H343,"0")+IFERROR(Y344/H344,"0")+IFERROR(Y345/H345,"0")</f>
        <v>15</v>
      </c>
      <c r="Z346" s="557">
        <f>IFERROR(IF(Z343="",0,Z343),"0")+IFERROR(IF(Z344="",0,Z344),"0")+IFERROR(IF(Z345="",0,Z345),"0")</f>
        <v>0.16</v>
      </c>
      <c r="AA346" s="558"/>
      <c r="AB346" s="558"/>
      <c r="AC346" s="558"/>
    </row>
    <row r="347" spans="1:68" x14ac:dyDescent="0.2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6"/>
      <c r="P347" s="559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61.5</v>
      </c>
      <c r="Y347" s="557">
        <f>IFERROR(SUM(Y343:Y345),"0")</f>
        <v>61.5</v>
      </c>
      <c r="Z347" s="37"/>
      <c r="AA347" s="558"/>
      <c r="AB347" s="558"/>
      <c r="AC347" s="558"/>
    </row>
    <row r="348" spans="1:68" ht="27.75" hidden="1" customHeight="1" x14ac:dyDescent="0.2">
      <c r="A348" s="744" t="s">
        <v>562</v>
      </c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5"/>
      <c r="P348" s="745"/>
      <c r="Q348" s="745"/>
      <c r="R348" s="745"/>
      <c r="S348" s="745"/>
      <c r="T348" s="745"/>
      <c r="U348" s="745"/>
      <c r="V348" s="745"/>
      <c r="W348" s="745"/>
      <c r="X348" s="745"/>
      <c r="Y348" s="745"/>
      <c r="Z348" s="745"/>
      <c r="AA348" s="48"/>
      <c r="AB348" s="48"/>
      <c r="AC348" s="48"/>
    </row>
    <row r="349" spans="1:68" ht="16.5" hidden="1" customHeight="1" x14ac:dyDescent="0.25">
      <c r="A349" s="591" t="s">
        <v>563</v>
      </c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  <c r="AA349" s="550"/>
      <c r="AB349" s="550"/>
      <c r="AC349" s="550"/>
    </row>
    <row r="350" spans="1:68" ht="14.25" hidden="1" customHeight="1" x14ac:dyDescent="0.25">
      <c r="A350" s="569" t="s">
        <v>103</v>
      </c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  <c r="AA350" s="551"/>
      <c r="AB350" s="551"/>
      <c r="AC350" s="551"/>
    </row>
    <row r="351" spans="1:68" ht="37.5" hidden="1" customHeight="1" x14ac:dyDescent="0.25">
      <c r="A351" s="54" t="s">
        <v>564</v>
      </c>
      <c r="B351" s="54" t="s">
        <v>565</v>
      </c>
      <c r="C351" s="31">
        <v>4301011869</v>
      </c>
      <c r="D351" s="564">
        <v>4680115884847</v>
      </c>
      <c r="E351" s="565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6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55">
        <v>0</v>
      </c>
      <c r="Y351" s="556">
        <f t="shared" ref="Y351:Y357" si="41">IFERROR(IF(X351="",0,CEILING((X351/$H351),1)*$H351),"")</f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0</v>
      </c>
      <c r="BN351" s="64">
        <f t="shared" ref="BN351:BN357" si="43">IFERROR(Y351*I351/H351,"0")</f>
        <v>0</v>
      </c>
      <c r="BO351" s="64">
        <f t="shared" ref="BO351:BO357" si="44">IFERROR(1/J351*(X351/H351),"0")</f>
        <v>0</v>
      </c>
      <c r="BP351" s="64">
        <f t="shared" ref="BP351:BP357" si="45">IFERROR(1/J351*(Y351/H351),"0")</f>
        <v>0</v>
      </c>
    </row>
    <row r="352" spans="1:68" ht="27" hidden="1" customHeight="1" x14ac:dyDescent="0.25">
      <c r="A352" s="54" t="s">
        <v>567</v>
      </c>
      <c r="B352" s="54" t="s">
        <v>568</v>
      </c>
      <c r="C352" s="31">
        <v>4301011870</v>
      </c>
      <c r="D352" s="564">
        <v>4680115884854</v>
      </c>
      <c r="E352" s="565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7"/>
      <c r="R352" s="567"/>
      <c r="S352" s="567"/>
      <c r="T352" s="568"/>
      <c r="U352" s="34"/>
      <c r="V352" s="34"/>
      <c r="W352" s="35" t="s">
        <v>69</v>
      </c>
      <c r="X352" s="555">
        <v>0</v>
      </c>
      <c r="Y352" s="556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4">
        <v>4680115884830</v>
      </c>
      <c r="E353" s="565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7"/>
      <c r="R353" s="567"/>
      <c r="S353" s="567"/>
      <c r="T353" s="568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4">
        <v>4680115887046</v>
      </c>
      <c r="E354" s="565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7"/>
      <c r="R354" s="567"/>
      <c r="S354" s="567"/>
      <c r="T354" s="568"/>
      <c r="U354" s="34"/>
      <c r="V354" s="34"/>
      <c r="W354" s="35" t="s">
        <v>69</v>
      </c>
      <c r="X354" s="555">
        <v>720</v>
      </c>
      <c r="Y354" s="556">
        <f t="shared" si="41"/>
        <v>720</v>
      </c>
      <c r="Z354" s="36">
        <f>IFERROR(IF(Y354=0,"",ROUNDUP(Y354/H354,0)*0.02175),"")</f>
        <v>1.044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742.56</v>
      </c>
      <c r="BN354" s="64">
        <f t="shared" si="43"/>
        <v>742.56</v>
      </c>
      <c r="BO354" s="64">
        <f t="shared" si="44"/>
        <v>1</v>
      </c>
      <c r="BP354" s="64">
        <f t="shared" si="45"/>
        <v>1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4">
        <v>4680115882638</v>
      </c>
      <c r="E355" s="565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7"/>
      <c r="R355" s="567"/>
      <c r="S355" s="567"/>
      <c r="T355" s="568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hidden="1" customHeight="1" x14ac:dyDescent="0.25">
      <c r="A356" s="54" t="s">
        <v>579</v>
      </c>
      <c r="B356" s="54" t="s">
        <v>580</v>
      </c>
      <c r="C356" s="31">
        <v>4301011952</v>
      </c>
      <c r="D356" s="564">
        <v>4680115884922</v>
      </c>
      <c r="E356" s="565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7"/>
      <c r="R356" s="567"/>
      <c r="S356" s="567"/>
      <c r="T356" s="568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hidden="1" customHeight="1" x14ac:dyDescent="0.25">
      <c r="A357" s="54" t="s">
        <v>581</v>
      </c>
      <c r="B357" s="54" t="s">
        <v>582</v>
      </c>
      <c r="C357" s="31">
        <v>4301011868</v>
      </c>
      <c r="D357" s="564">
        <v>4680115884861</v>
      </c>
      <c r="E357" s="565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7"/>
      <c r="R357" s="567"/>
      <c r="S357" s="567"/>
      <c r="T357" s="568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75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6"/>
      <c r="P358" s="559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48</v>
      </c>
      <c r="Y358" s="557">
        <f>IFERROR(Y351/H351,"0")+IFERROR(Y352/H352,"0")+IFERROR(Y353/H353,"0")+IFERROR(Y354/H354,"0")+IFERROR(Y355/H355,"0")+IFERROR(Y356/H356,"0")+IFERROR(Y357/H357,"0")</f>
        <v>48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1.044</v>
      </c>
      <c r="AA358" s="558"/>
      <c r="AB358" s="558"/>
      <c r="AC358" s="558"/>
    </row>
    <row r="359" spans="1:68" x14ac:dyDescent="0.2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6"/>
      <c r="P359" s="559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720</v>
      </c>
      <c r="Y359" s="557">
        <f>IFERROR(SUM(Y351:Y357),"0")</f>
        <v>720</v>
      </c>
      <c r="Z359" s="37"/>
      <c r="AA359" s="558"/>
      <c r="AB359" s="558"/>
      <c r="AC359" s="558"/>
    </row>
    <row r="360" spans="1:68" ht="14.25" hidden="1" customHeight="1" x14ac:dyDescent="0.25">
      <c r="A360" s="569" t="s">
        <v>138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4">
        <v>4607091383980</v>
      </c>
      <c r="E361" s="565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7"/>
      <c r="R361" s="567"/>
      <c r="S361" s="567"/>
      <c r="T361" s="568"/>
      <c r="U361" s="34"/>
      <c r="V361" s="34"/>
      <c r="W361" s="35" t="s">
        <v>69</v>
      </c>
      <c r="X361" s="555">
        <v>720</v>
      </c>
      <c r="Y361" s="556">
        <f>IFERROR(IF(X361="",0,CEILING((X361/$H361),1)*$H361),"")</f>
        <v>720</v>
      </c>
      <c r="Z361" s="36">
        <f>IFERROR(IF(Y361=0,"",ROUNDUP(Y361/H361,0)*0.02175),"")</f>
        <v>1.044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742.56</v>
      </c>
      <c r="BN361" s="64">
        <f>IFERROR(Y361*I361/H361,"0")</f>
        <v>742.56</v>
      </c>
      <c r="BO361" s="64">
        <f>IFERROR(1/J361*(X361/H361),"0")</f>
        <v>1</v>
      </c>
      <c r="BP361" s="64">
        <f>IFERROR(1/J361*(Y361/H361),"0")</f>
        <v>1</v>
      </c>
    </row>
    <row r="362" spans="1:68" ht="27" hidden="1" customHeight="1" x14ac:dyDescent="0.25">
      <c r="A362" s="54" t="s">
        <v>586</v>
      </c>
      <c r="B362" s="54" t="s">
        <v>587</v>
      </c>
      <c r="C362" s="31">
        <v>4301020179</v>
      </c>
      <c r="D362" s="564">
        <v>4607091384178</v>
      </c>
      <c r="E362" s="565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7"/>
      <c r="R362" s="567"/>
      <c r="S362" s="567"/>
      <c r="T362" s="568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75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6"/>
      <c r="P363" s="559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48</v>
      </c>
      <c r="Y363" s="557">
        <f>IFERROR(Y361/H361,"0")+IFERROR(Y362/H362,"0")</f>
        <v>48</v>
      </c>
      <c r="Z363" s="557">
        <f>IFERROR(IF(Z361="",0,Z361),"0")+IFERROR(IF(Z362="",0,Z362),"0")</f>
        <v>1.044</v>
      </c>
      <c r="AA363" s="558"/>
      <c r="AB363" s="558"/>
      <c r="AC363" s="558"/>
    </row>
    <row r="364" spans="1:68" x14ac:dyDescent="0.2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6"/>
      <c r="P364" s="559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720</v>
      </c>
      <c r="Y364" s="557">
        <f>IFERROR(SUM(Y361:Y362),"0")</f>
        <v>720</v>
      </c>
      <c r="Z364" s="37"/>
      <c r="AA364" s="558"/>
      <c r="AB364" s="558"/>
      <c r="AC364" s="558"/>
    </row>
    <row r="365" spans="1:68" ht="14.25" hidden="1" customHeight="1" x14ac:dyDescent="0.25">
      <c r="A365" s="569" t="s">
        <v>77</v>
      </c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4">
        <v>4607091383928</v>
      </c>
      <c r="E366" s="565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5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7"/>
      <c r="R366" s="567"/>
      <c r="S366" s="567"/>
      <c r="T366" s="568"/>
      <c r="U366" s="34"/>
      <c r="V366" s="34"/>
      <c r="W366" s="35" t="s">
        <v>69</v>
      </c>
      <c r="X366" s="555">
        <v>36</v>
      </c>
      <c r="Y366" s="556">
        <f>IFERROR(IF(X366="",0,CEILING((X366/$H366),1)*$H366),"")</f>
        <v>36</v>
      </c>
      <c r="Z366" s="36">
        <f>IFERROR(IF(Y366=0,"",ROUNDUP(Y366/H366,0)*0.01898),"")</f>
        <v>7.5920000000000001E-2</v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38</v>
      </c>
      <c r="BN366" s="64">
        <f>IFERROR(Y366*I366/H366,"0")</f>
        <v>38</v>
      </c>
      <c r="BO366" s="64">
        <f>IFERROR(1/J366*(X366/H366),"0")</f>
        <v>6.25E-2</v>
      </c>
      <c r="BP366" s="64">
        <f>IFERROR(1/J366*(Y366/H366),"0")</f>
        <v>6.25E-2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4301051897</v>
      </c>
      <c r="D367" s="564">
        <v>4607091384260</v>
      </c>
      <c r="E367" s="565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75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6"/>
      <c r="P368" s="559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4</v>
      </c>
      <c r="Y368" s="557">
        <f>IFERROR(Y366/H366,"0")+IFERROR(Y367/H367,"0")</f>
        <v>4</v>
      </c>
      <c r="Z368" s="557">
        <f>IFERROR(IF(Z366="",0,Z366),"0")+IFERROR(IF(Z367="",0,Z367),"0")</f>
        <v>7.5920000000000001E-2</v>
      </c>
      <c r="AA368" s="558"/>
      <c r="AB368" s="558"/>
      <c r="AC368" s="558"/>
    </row>
    <row r="369" spans="1:68" x14ac:dyDescent="0.2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6"/>
      <c r="P369" s="559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36</v>
      </c>
      <c r="Y369" s="557">
        <f>IFERROR(SUM(Y366:Y367),"0")</f>
        <v>36</v>
      </c>
      <c r="Z369" s="37"/>
      <c r="AA369" s="558"/>
      <c r="AB369" s="558"/>
      <c r="AC369" s="558"/>
    </row>
    <row r="370" spans="1:68" ht="14.25" hidden="1" customHeight="1" x14ac:dyDescent="0.25">
      <c r="A370" s="569" t="s">
        <v>163</v>
      </c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  <c r="AA370" s="551"/>
      <c r="AB370" s="551"/>
      <c r="AC370" s="551"/>
    </row>
    <row r="371" spans="1:68" ht="16.5" hidden="1" customHeight="1" x14ac:dyDescent="0.25">
      <c r="A371" s="54" t="s">
        <v>595</v>
      </c>
      <c r="B371" s="54" t="s">
        <v>596</v>
      </c>
      <c r="C371" s="31">
        <v>4301060524</v>
      </c>
      <c r="D371" s="564">
        <v>4607091384673</v>
      </c>
      <c r="E371" s="565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7"/>
      <c r="R371" s="567"/>
      <c r="S371" s="567"/>
      <c r="T371" s="568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575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6"/>
      <c r="P372" s="559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hidden="1" x14ac:dyDescent="0.2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6"/>
      <c r="P373" s="559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hidden="1" customHeight="1" x14ac:dyDescent="0.25">
      <c r="A374" s="591" t="s">
        <v>598</v>
      </c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  <c r="AA374" s="550"/>
      <c r="AB374" s="550"/>
      <c r="AC374" s="550"/>
    </row>
    <row r="375" spans="1:68" ht="14.25" hidden="1" customHeight="1" x14ac:dyDescent="0.25">
      <c r="A375" s="569" t="s">
        <v>103</v>
      </c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4">
        <v>4680115884885</v>
      </c>
      <c r="E376" s="565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7"/>
      <c r="R376" s="567"/>
      <c r="S376" s="567"/>
      <c r="T376" s="568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4">
        <v>4680115884908</v>
      </c>
      <c r="E377" s="565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7"/>
      <c r="R377" s="567"/>
      <c r="S377" s="567"/>
      <c r="T377" s="568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5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6"/>
      <c r="P378" s="559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6"/>
      <c r="P379" s="559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69" t="s">
        <v>64</v>
      </c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  <c r="AA380" s="551"/>
      <c r="AB380" s="551"/>
      <c r="AC380" s="551"/>
    </row>
    <row r="381" spans="1:68" ht="27" hidden="1" customHeight="1" x14ac:dyDescent="0.25">
      <c r="A381" s="54" t="s">
        <v>604</v>
      </c>
      <c r="B381" s="54" t="s">
        <v>605</v>
      </c>
      <c r="C381" s="31">
        <v>4301031303</v>
      </c>
      <c r="D381" s="564">
        <v>4607091384802</v>
      </c>
      <c r="E381" s="565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7"/>
      <c r="R381" s="567"/>
      <c r="S381" s="567"/>
      <c r="T381" s="568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4">
        <v>4607091384802</v>
      </c>
      <c r="E382" s="565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575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6"/>
      <c r="P383" s="559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hidden="1" x14ac:dyDescent="0.2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6"/>
      <c r="P384" s="559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hidden="1" customHeight="1" x14ac:dyDescent="0.25">
      <c r="A385" s="569" t="s">
        <v>77</v>
      </c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4">
        <v>4607091384246</v>
      </c>
      <c r="E386" s="565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7"/>
      <c r="R386" s="567"/>
      <c r="S386" s="567"/>
      <c r="T386" s="568"/>
      <c r="U386" s="34"/>
      <c r="V386" s="34"/>
      <c r="W386" s="35" t="s">
        <v>69</v>
      </c>
      <c r="X386" s="555">
        <v>9</v>
      </c>
      <c r="Y386" s="556">
        <f>IFERROR(IF(X386="",0,CEILING((X386/$H386),1)*$H386),"")</f>
        <v>9</v>
      </c>
      <c r="Z386" s="36">
        <f>IFERROR(IF(Y386=0,"",ROUNDUP(Y386/H386,0)*0.01898),"")</f>
        <v>1.898E-2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9.4939999999999998</v>
      </c>
      <c r="BN386" s="64">
        <f>IFERROR(Y386*I386/H386,"0")</f>
        <v>9.4939999999999998</v>
      </c>
      <c r="BO386" s="64">
        <f>IFERROR(1/J386*(X386/H386),"0")</f>
        <v>1.5625E-2</v>
      </c>
      <c r="BP386" s="64">
        <f>IFERROR(1/J386*(Y386/H386),"0")</f>
        <v>1.5625E-2</v>
      </c>
    </row>
    <row r="387" spans="1:68" ht="27" hidden="1" customHeight="1" x14ac:dyDescent="0.25">
      <c r="A387" s="54" t="s">
        <v>612</v>
      </c>
      <c r="B387" s="54" t="s">
        <v>613</v>
      </c>
      <c r="C387" s="31">
        <v>4301051660</v>
      </c>
      <c r="D387" s="564">
        <v>4607091384253</v>
      </c>
      <c r="E387" s="565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7"/>
      <c r="R387" s="567"/>
      <c r="S387" s="567"/>
      <c r="T387" s="568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4">
        <v>4607091384253</v>
      </c>
      <c r="E388" s="565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7"/>
      <c r="R388" s="567"/>
      <c r="S388" s="567"/>
      <c r="T388" s="568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75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6"/>
      <c r="P389" s="559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1</v>
      </c>
      <c r="Y389" s="557">
        <f>IFERROR(Y386/H386,"0")+IFERROR(Y387/H387,"0")+IFERROR(Y388/H388,"0")</f>
        <v>1</v>
      </c>
      <c r="Z389" s="557">
        <f>IFERROR(IF(Z386="",0,Z386),"0")+IFERROR(IF(Z387="",0,Z387),"0")+IFERROR(IF(Z388="",0,Z388),"0")</f>
        <v>1.898E-2</v>
      </c>
      <c r="AA389" s="558"/>
      <c r="AB389" s="558"/>
      <c r="AC389" s="558"/>
    </row>
    <row r="390" spans="1:68" x14ac:dyDescent="0.2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6"/>
      <c r="P390" s="559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9</v>
      </c>
      <c r="Y390" s="557">
        <f>IFERROR(SUM(Y386:Y388),"0")</f>
        <v>9</v>
      </c>
      <c r="Z390" s="37"/>
      <c r="AA390" s="558"/>
      <c r="AB390" s="558"/>
      <c r="AC390" s="558"/>
    </row>
    <row r="391" spans="1:68" ht="27.75" hidden="1" customHeight="1" x14ac:dyDescent="0.2">
      <c r="A391" s="744" t="s">
        <v>616</v>
      </c>
      <c r="B391" s="745"/>
      <c r="C391" s="745"/>
      <c r="D391" s="745"/>
      <c r="E391" s="745"/>
      <c r="F391" s="745"/>
      <c r="G391" s="745"/>
      <c r="H391" s="745"/>
      <c r="I391" s="745"/>
      <c r="J391" s="745"/>
      <c r="K391" s="745"/>
      <c r="L391" s="745"/>
      <c r="M391" s="745"/>
      <c r="N391" s="745"/>
      <c r="O391" s="745"/>
      <c r="P391" s="745"/>
      <c r="Q391" s="745"/>
      <c r="R391" s="745"/>
      <c r="S391" s="745"/>
      <c r="T391" s="745"/>
      <c r="U391" s="745"/>
      <c r="V391" s="745"/>
      <c r="W391" s="745"/>
      <c r="X391" s="745"/>
      <c r="Y391" s="745"/>
      <c r="Z391" s="745"/>
      <c r="AA391" s="48"/>
      <c r="AB391" s="48"/>
      <c r="AC391" s="48"/>
    </row>
    <row r="392" spans="1:68" ht="16.5" hidden="1" customHeight="1" x14ac:dyDescent="0.25">
      <c r="A392" s="591" t="s">
        <v>617</v>
      </c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550"/>
      <c r="AB392" s="550"/>
      <c r="AC392" s="550"/>
    </row>
    <row r="393" spans="1:68" ht="14.25" hidden="1" customHeight="1" x14ac:dyDescent="0.25">
      <c r="A393" s="569" t="s">
        <v>64</v>
      </c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4">
        <v>4680115886100</v>
      </c>
      <c r="E394" s="565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7"/>
      <c r="R394" s="567"/>
      <c r="S394" s="567"/>
      <c r="T394" s="568"/>
      <c r="U394" s="34"/>
      <c r="V394" s="34"/>
      <c r="W394" s="35" t="s">
        <v>69</v>
      </c>
      <c r="X394" s="555">
        <v>21.6</v>
      </c>
      <c r="Y394" s="556">
        <f t="shared" ref="Y394:Y402" si="46">IFERROR(IF(X394="",0,CEILING((X394/$H394),1)*$H394),"")</f>
        <v>21.6</v>
      </c>
      <c r="Z394" s="36">
        <f>IFERROR(IF(Y394=0,"",ROUNDUP(Y394/H394,0)*0.00902),"")</f>
        <v>3.6080000000000001E-2</v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22.36</v>
      </c>
      <c r="BN394" s="64">
        <f t="shared" ref="BN394:BN402" si="48">IFERROR(Y394*I394/H394,"0")</f>
        <v>22.36</v>
      </c>
      <c r="BO394" s="64">
        <f t="shared" ref="BO394:BO402" si="49">IFERROR(1/J394*(X394/H394),"0")</f>
        <v>3.0303030303030304E-2</v>
      </c>
      <c r="BP394" s="64">
        <f t="shared" ref="BP394:BP402" si="50">IFERROR(1/J394*(Y394/H394),"0")</f>
        <v>3.0303030303030304E-2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4">
        <v>4680115886117</v>
      </c>
      <c r="E395" s="565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7"/>
      <c r="R395" s="567"/>
      <c r="S395" s="567"/>
      <c r="T395" s="568"/>
      <c r="U395" s="34"/>
      <c r="V395" s="34"/>
      <c r="W395" s="35" t="s">
        <v>69</v>
      </c>
      <c r="X395" s="555">
        <v>21.6</v>
      </c>
      <c r="Y395" s="556">
        <f t="shared" si="46"/>
        <v>21.6</v>
      </c>
      <c r="Z395" s="36">
        <f>IFERROR(IF(Y395=0,"",ROUNDUP(Y395/H395,0)*0.00902),"")</f>
        <v>3.6080000000000001E-2</v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22.36</v>
      </c>
      <c r="BN395" s="64">
        <f t="shared" si="48"/>
        <v>22.36</v>
      </c>
      <c r="BO395" s="64">
        <f t="shared" si="49"/>
        <v>3.0303030303030304E-2</v>
      </c>
      <c r="BP395" s="64">
        <f t="shared" si="50"/>
        <v>3.0303030303030304E-2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4">
        <v>4680115886124</v>
      </c>
      <c r="E396" s="565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55">
        <v>21.6</v>
      </c>
      <c r="Y396" s="556">
        <f t="shared" si="46"/>
        <v>21.6</v>
      </c>
      <c r="Z396" s="36">
        <f>IFERROR(IF(Y396=0,"",ROUNDUP(Y396/H396,0)*0.00902),"")</f>
        <v>3.6080000000000001E-2</v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22.36</v>
      </c>
      <c r="BN396" s="64">
        <f t="shared" si="48"/>
        <v>22.36</v>
      </c>
      <c r="BO396" s="64">
        <f t="shared" si="49"/>
        <v>3.0303030303030304E-2</v>
      </c>
      <c r="BP396" s="64">
        <f t="shared" si="50"/>
        <v>3.0303030303030304E-2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4">
        <v>4680115883147</v>
      </c>
      <c r="E397" s="565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7"/>
      <c r="R397" s="567"/>
      <c r="S397" s="567"/>
      <c r="T397" s="568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4">
        <v>4607091384338</v>
      </c>
      <c r="E398" s="565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55">
        <v>6.3</v>
      </c>
      <c r="Y398" s="556">
        <f t="shared" si="46"/>
        <v>6.3000000000000007</v>
      </c>
      <c r="Z398" s="36">
        <f t="shared" si="51"/>
        <v>1.506E-2</v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6.6899999999999995</v>
      </c>
      <c r="BN398" s="64">
        <f t="shared" si="48"/>
        <v>6.69</v>
      </c>
      <c r="BO398" s="64">
        <f t="shared" si="49"/>
        <v>1.2820512820512822E-2</v>
      </c>
      <c r="BP398" s="64">
        <f t="shared" si="50"/>
        <v>1.2820512820512822E-2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4">
        <v>4607091389524</v>
      </c>
      <c r="E399" s="565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7"/>
      <c r="R399" s="567"/>
      <c r="S399" s="567"/>
      <c r="T399" s="568"/>
      <c r="U399" s="34"/>
      <c r="V399" s="34"/>
      <c r="W399" s="35" t="s">
        <v>69</v>
      </c>
      <c r="X399" s="555">
        <v>10.5</v>
      </c>
      <c r="Y399" s="556">
        <f t="shared" si="46"/>
        <v>10.5</v>
      </c>
      <c r="Z399" s="36">
        <f t="shared" si="51"/>
        <v>2.5100000000000001E-2</v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11.149999999999999</v>
      </c>
      <c r="BN399" s="64">
        <f t="shared" si="48"/>
        <v>11.149999999999999</v>
      </c>
      <c r="BO399" s="64">
        <f t="shared" si="49"/>
        <v>2.1367521367521368E-2</v>
      </c>
      <c r="BP399" s="64">
        <f t="shared" si="50"/>
        <v>2.1367521367521368E-2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4">
        <v>4680115883161</v>
      </c>
      <c r="E400" s="565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7"/>
      <c r="R400" s="567"/>
      <c r="S400" s="567"/>
      <c r="T400" s="568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4">
        <v>4607091389531</v>
      </c>
      <c r="E401" s="565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7"/>
      <c r="R401" s="567"/>
      <c r="S401" s="567"/>
      <c r="T401" s="568"/>
      <c r="U401" s="34"/>
      <c r="V401" s="34"/>
      <c r="W401" s="35" t="s">
        <v>69</v>
      </c>
      <c r="X401" s="555">
        <v>10.5</v>
      </c>
      <c r="Y401" s="556">
        <f t="shared" si="46"/>
        <v>10.5</v>
      </c>
      <c r="Z401" s="36">
        <f t="shared" si="51"/>
        <v>2.5100000000000001E-2</v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11.149999999999999</v>
      </c>
      <c r="BN401" s="64">
        <f t="shared" si="48"/>
        <v>11.149999999999999</v>
      </c>
      <c r="BO401" s="64">
        <f t="shared" si="49"/>
        <v>2.1367521367521368E-2</v>
      </c>
      <c r="BP401" s="64">
        <f t="shared" si="50"/>
        <v>2.1367521367521368E-2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4">
        <v>4607091384345</v>
      </c>
      <c r="E402" s="565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55">
        <v>10.5</v>
      </c>
      <c r="Y402" s="556">
        <f t="shared" si="46"/>
        <v>10.5</v>
      </c>
      <c r="Z402" s="36">
        <f t="shared" si="51"/>
        <v>2.5100000000000001E-2</v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11.149999999999999</v>
      </c>
      <c r="BN402" s="64">
        <f t="shared" si="48"/>
        <v>11.149999999999999</v>
      </c>
      <c r="BO402" s="64">
        <f t="shared" si="49"/>
        <v>2.1367521367521368E-2</v>
      </c>
      <c r="BP402" s="64">
        <f t="shared" si="50"/>
        <v>2.1367521367521368E-2</v>
      </c>
    </row>
    <row r="403" spans="1:68" x14ac:dyDescent="0.2">
      <c r="A403" s="575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6"/>
      <c r="P403" s="559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30</v>
      </c>
      <c r="Y403" s="557">
        <f>IFERROR(Y394/H394,"0")+IFERROR(Y395/H395,"0")+IFERROR(Y396/H396,"0")+IFERROR(Y397/H397,"0")+IFERROR(Y398/H398,"0")+IFERROR(Y399/H399,"0")+IFERROR(Y400/H400,"0")+IFERROR(Y401/H401,"0")+IFERROR(Y402/H402,"0")</f>
        <v>30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0.19860000000000003</v>
      </c>
      <c r="AA403" s="558"/>
      <c r="AB403" s="558"/>
      <c r="AC403" s="558"/>
    </row>
    <row r="404" spans="1:68" x14ac:dyDescent="0.2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6"/>
      <c r="P404" s="559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102.60000000000001</v>
      </c>
      <c r="Y404" s="557">
        <f>IFERROR(SUM(Y394:Y402),"0")</f>
        <v>102.60000000000001</v>
      </c>
      <c r="Z404" s="37"/>
      <c r="AA404" s="558"/>
      <c r="AB404" s="558"/>
      <c r="AC404" s="558"/>
    </row>
    <row r="405" spans="1:68" ht="14.25" hidden="1" customHeight="1" x14ac:dyDescent="0.25">
      <c r="A405" s="569" t="s">
        <v>77</v>
      </c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4">
        <v>4607091384352</v>
      </c>
      <c r="E406" s="565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7"/>
      <c r="R406" s="567"/>
      <c r="S406" s="567"/>
      <c r="T406" s="568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4">
        <v>4607091389654</v>
      </c>
      <c r="E407" s="565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2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7"/>
      <c r="R407" s="567"/>
      <c r="S407" s="567"/>
      <c r="T407" s="568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5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6"/>
      <c r="P408" s="559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6"/>
      <c r="P409" s="559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91" t="s">
        <v>648</v>
      </c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550"/>
      <c r="AB410" s="550"/>
      <c r="AC410" s="550"/>
    </row>
    <row r="411" spans="1:68" ht="14.25" hidden="1" customHeight="1" x14ac:dyDescent="0.25">
      <c r="A411" s="569" t="s">
        <v>138</v>
      </c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4">
        <v>4680115885240</v>
      </c>
      <c r="E412" s="565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55">
        <v>6.3</v>
      </c>
      <c r="Y412" s="556">
        <f>IFERROR(IF(X412="",0,CEILING((X412/$H412),1)*$H412),"")</f>
        <v>6.3000000000000007</v>
      </c>
      <c r="Z412" s="36">
        <f>IFERROR(IF(Y412=0,"",ROUNDUP(Y412/H412,0)*0.00651),"")</f>
        <v>1.9529999999999999E-2</v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6.9299999999999988</v>
      </c>
      <c r="BN412" s="64">
        <f>IFERROR(Y412*I412/H412,"0")</f>
        <v>6.9300000000000006</v>
      </c>
      <c r="BO412" s="64">
        <f>IFERROR(1/J412*(X412/H412),"0")</f>
        <v>1.6483516483516484E-2</v>
      </c>
      <c r="BP412" s="64">
        <f>IFERROR(1/J412*(Y412/H412),"0")</f>
        <v>1.6483516483516484E-2</v>
      </c>
    </row>
    <row r="413" spans="1:68" x14ac:dyDescent="0.2">
      <c r="A413" s="575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6"/>
      <c r="P413" s="559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3</v>
      </c>
      <c r="Y413" s="557">
        <f>IFERROR(Y412/H412,"0")</f>
        <v>3</v>
      </c>
      <c r="Z413" s="557">
        <f>IFERROR(IF(Z412="",0,Z412),"0")</f>
        <v>1.9529999999999999E-2</v>
      </c>
      <c r="AA413" s="558"/>
      <c r="AB413" s="558"/>
      <c r="AC413" s="558"/>
    </row>
    <row r="414" spans="1:68" x14ac:dyDescent="0.2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6"/>
      <c r="P414" s="559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6.3</v>
      </c>
      <c r="Y414" s="557">
        <f>IFERROR(SUM(Y412:Y412),"0")</f>
        <v>6.3000000000000007</v>
      </c>
      <c r="Z414" s="37"/>
      <c r="AA414" s="558"/>
      <c r="AB414" s="558"/>
      <c r="AC414" s="558"/>
    </row>
    <row r="415" spans="1:68" ht="14.25" hidden="1" customHeight="1" x14ac:dyDescent="0.25">
      <c r="A415" s="569" t="s">
        <v>64</v>
      </c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4">
        <v>4680115886094</v>
      </c>
      <c r="E416" s="565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7"/>
      <c r="R416" s="567"/>
      <c r="S416" s="567"/>
      <c r="T416" s="568"/>
      <c r="U416" s="34"/>
      <c r="V416" s="34"/>
      <c r="W416" s="35" t="s">
        <v>69</v>
      </c>
      <c r="X416" s="555">
        <v>27</v>
      </c>
      <c r="Y416" s="556">
        <f>IFERROR(IF(X416="",0,CEILING((X416/$H416),1)*$H416),"")</f>
        <v>27</v>
      </c>
      <c r="Z416" s="36">
        <f>IFERROR(IF(Y416=0,"",ROUNDUP(Y416/H416,0)*0.00902),"")</f>
        <v>4.5100000000000001E-2</v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27.95</v>
      </c>
      <c r="BN416" s="64">
        <f>IFERROR(Y416*I416/H416,"0")</f>
        <v>27.95</v>
      </c>
      <c r="BO416" s="64">
        <f>IFERROR(1/J416*(X416/H416),"0")</f>
        <v>3.787878787878788E-2</v>
      </c>
      <c r="BP416" s="64">
        <f>IFERROR(1/J416*(Y416/H416),"0")</f>
        <v>3.787878787878788E-2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4">
        <v>4607091389425</v>
      </c>
      <c r="E417" s="565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7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7"/>
      <c r="R417" s="567"/>
      <c r="S417" s="567"/>
      <c r="T417" s="568"/>
      <c r="U417" s="34"/>
      <c r="V417" s="34"/>
      <c r="W417" s="35" t="s">
        <v>69</v>
      </c>
      <c r="X417" s="555">
        <v>6.3</v>
      </c>
      <c r="Y417" s="556">
        <f>IFERROR(IF(X417="",0,CEILING((X417/$H417),1)*$H417),"")</f>
        <v>6.3000000000000007</v>
      </c>
      <c r="Z417" s="36">
        <f>IFERROR(IF(Y417=0,"",ROUNDUP(Y417/H417,0)*0.00502),"")</f>
        <v>1.506E-2</v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6.6899999999999995</v>
      </c>
      <c r="BN417" s="64">
        <f>IFERROR(Y417*I417/H417,"0")</f>
        <v>6.69</v>
      </c>
      <c r="BO417" s="64">
        <f>IFERROR(1/J417*(X417/H417),"0")</f>
        <v>1.2820512820512822E-2</v>
      </c>
      <c r="BP417" s="64">
        <f>IFERROR(1/J417*(Y417/H417),"0")</f>
        <v>1.2820512820512822E-2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4">
        <v>4680115880771</v>
      </c>
      <c r="E418" s="565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7"/>
      <c r="R418" s="567"/>
      <c r="S418" s="567"/>
      <c r="T418" s="568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4">
        <v>4607091389500</v>
      </c>
      <c r="E419" s="565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7"/>
      <c r="R419" s="567"/>
      <c r="S419" s="567"/>
      <c r="T419" s="568"/>
      <c r="U419" s="34"/>
      <c r="V419" s="34"/>
      <c r="W419" s="35" t="s">
        <v>69</v>
      </c>
      <c r="X419" s="555">
        <v>6.3</v>
      </c>
      <c r="Y419" s="556">
        <f>IFERROR(IF(X419="",0,CEILING((X419/$H419),1)*$H419),"")</f>
        <v>6.3000000000000007</v>
      </c>
      <c r="Z419" s="36">
        <f>IFERROR(IF(Y419=0,"",ROUNDUP(Y419/H419,0)*0.00502),"")</f>
        <v>1.506E-2</v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6.6899999999999995</v>
      </c>
      <c r="BN419" s="64">
        <f>IFERROR(Y419*I419/H419,"0")</f>
        <v>6.69</v>
      </c>
      <c r="BO419" s="64">
        <f>IFERROR(1/J419*(X419/H419),"0")</f>
        <v>1.2820512820512822E-2</v>
      </c>
      <c r="BP419" s="64">
        <f>IFERROR(1/J419*(Y419/H419),"0")</f>
        <v>1.2820512820512822E-2</v>
      </c>
    </row>
    <row r="420" spans="1:68" x14ac:dyDescent="0.2">
      <c r="A420" s="575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6"/>
      <c r="P420" s="559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11</v>
      </c>
      <c r="Y420" s="557">
        <f>IFERROR(Y416/H416,"0")+IFERROR(Y417/H417,"0")+IFERROR(Y418/H418,"0")+IFERROR(Y419/H419,"0")</f>
        <v>11</v>
      </c>
      <c r="Z420" s="557">
        <f>IFERROR(IF(Z416="",0,Z416),"0")+IFERROR(IF(Z417="",0,Z417),"0")+IFERROR(IF(Z418="",0,Z418),"0")+IFERROR(IF(Z419="",0,Z419),"0")</f>
        <v>7.5220000000000009E-2</v>
      </c>
      <c r="AA420" s="558"/>
      <c r="AB420" s="558"/>
      <c r="AC420" s="558"/>
    </row>
    <row r="421" spans="1:68" x14ac:dyDescent="0.2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6"/>
      <c r="P421" s="559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39.599999999999994</v>
      </c>
      <c r="Y421" s="557">
        <f>IFERROR(SUM(Y416:Y419),"0")</f>
        <v>39.599999999999994</v>
      </c>
      <c r="Z421" s="37"/>
      <c r="AA421" s="558"/>
      <c r="AB421" s="558"/>
      <c r="AC421" s="558"/>
    </row>
    <row r="422" spans="1:68" ht="16.5" hidden="1" customHeight="1" x14ac:dyDescent="0.25">
      <c r="A422" s="591" t="s">
        <v>663</v>
      </c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  <c r="AA422" s="550"/>
      <c r="AB422" s="550"/>
      <c r="AC422" s="550"/>
    </row>
    <row r="423" spans="1:68" ht="14.25" hidden="1" customHeight="1" x14ac:dyDescent="0.25">
      <c r="A423" s="569" t="s">
        <v>64</v>
      </c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4">
        <v>4680115885110</v>
      </c>
      <c r="E424" s="565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7"/>
      <c r="R424" s="567"/>
      <c r="S424" s="567"/>
      <c r="T424" s="568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75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6"/>
      <c r="P425" s="559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6"/>
      <c r="P426" s="559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744" t="s">
        <v>667</v>
      </c>
      <c r="B427" s="745"/>
      <c r="C427" s="745"/>
      <c r="D427" s="745"/>
      <c r="E427" s="745"/>
      <c r="F427" s="745"/>
      <c r="G427" s="745"/>
      <c r="H427" s="745"/>
      <c r="I427" s="745"/>
      <c r="J427" s="745"/>
      <c r="K427" s="745"/>
      <c r="L427" s="745"/>
      <c r="M427" s="745"/>
      <c r="N427" s="745"/>
      <c r="O427" s="745"/>
      <c r="P427" s="745"/>
      <c r="Q427" s="745"/>
      <c r="R427" s="745"/>
      <c r="S427" s="745"/>
      <c r="T427" s="745"/>
      <c r="U427" s="745"/>
      <c r="V427" s="745"/>
      <c r="W427" s="745"/>
      <c r="X427" s="745"/>
      <c r="Y427" s="745"/>
      <c r="Z427" s="745"/>
      <c r="AA427" s="48"/>
      <c r="AB427" s="48"/>
      <c r="AC427" s="48"/>
    </row>
    <row r="428" spans="1:68" ht="16.5" hidden="1" customHeight="1" x14ac:dyDescent="0.25">
      <c r="A428" s="591" t="s">
        <v>667</v>
      </c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  <c r="AA428" s="550"/>
      <c r="AB428" s="550"/>
      <c r="AC428" s="550"/>
    </row>
    <row r="429" spans="1:68" ht="14.25" hidden="1" customHeight="1" x14ac:dyDescent="0.25">
      <c r="A429" s="569" t="s">
        <v>103</v>
      </c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  <c r="AA429" s="551"/>
      <c r="AB429" s="551"/>
      <c r="AC429" s="551"/>
    </row>
    <row r="430" spans="1:68" ht="27" hidden="1" customHeight="1" x14ac:dyDescent="0.25">
      <c r="A430" s="54" t="s">
        <v>668</v>
      </c>
      <c r="B430" s="54" t="s">
        <v>669</v>
      </c>
      <c r="C430" s="31">
        <v>4301011795</v>
      </c>
      <c r="D430" s="564">
        <v>4607091389067</v>
      </c>
      <c r="E430" s="565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7"/>
      <c r="R430" s="567"/>
      <c r="S430" s="567"/>
      <c r="T430" s="568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4">
        <v>4607091383522</v>
      </c>
      <c r="E431" s="565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4"/>
      <c r="V431" s="34"/>
      <c r="W431" s="35" t="s">
        <v>69</v>
      </c>
      <c r="X431" s="555">
        <v>10.56</v>
      </c>
      <c r="Y431" s="556">
        <f t="shared" si="52"/>
        <v>10.56</v>
      </c>
      <c r="Z431" s="36">
        <f t="shared" si="53"/>
        <v>2.392E-2</v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11.26</v>
      </c>
      <c r="BN431" s="64">
        <f t="shared" si="55"/>
        <v>11.26</v>
      </c>
      <c r="BO431" s="64">
        <f t="shared" si="56"/>
        <v>1.9230769230769232E-2</v>
      </c>
      <c r="BP431" s="64">
        <f t="shared" si="57"/>
        <v>1.9230769230769232E-2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4">
        <v>4607091383522</v>
      </c>
      <c r="E432" s="565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8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7"/>
      <c r="R432" s="567"/>
      <c r="S432" s="567"/>
      <c r="T432" s="568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4">
        <v>4680115885271</v>
      </c>
      <c r="E433" s="565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7"/>
      <c r="R433" s="567"/>
      <c r="S433" s="567"/>
      <c r="T433" s="568"/>
      <c r="U433" s="34"/>
      <c r="V433" s="34"/>
      <c r="W433" s="35" t="s">
        <v>69</v>
      </c>
      <c r="X433" s="555">
        <v>10.56</v>
      </c>
      <c r="Y433" s="556">
        <f t="shared" si="52"/>
        <v>10.56</v>
      </c>
      <c r="Z433" s="36">
        <f t="shared" si="53"/>
        <v>2.392E-2</v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11.26</v>
      </c>
      <c r="BN433" s="64">
        <f t="shared" si="55"/>
        <v>11.26</v>
      </c>
      <c r="BO433" s="64">
        <f t="shared" si="56"/>
        <v>1.9230769230769232E-2</v>
      </c>
      <c r="BP433" s="64">
        <f t="shared" si="57"/>
        <v>1.9230769230769232E-2</v>
      </c>
    </row>
    <row r="434" spans="1:68" ht="27" hidden="1" customHeight="1" x14ac:dyDescent="0.25">
      <c r="A434" s="54" t="s">
        <v>677</v>
      </c>
      <c r="B434" s="54" t="s">
        <v>678</v>
      </c>
      <c r="C434" s="31">
        <v>4301011376</v>
      </c>
      <c r="D434" s="564">
        <v>4680115885226</v>
      </c>
      <c r="E434" s="565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4">
        <v>4680115884502</v>
      </c>
      <c r="E435" s="565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4">
        <v>4607091389104</v>
      </c>
      <c r="E436" s="565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55">
        <v>10.56</v>
      </c>
      <c r="Y436" s="556">
        <f t="shared" si="52"/>
        <v>10.56</v>
      </c>
      <c r="Z436" s="36">
        <f t="shared" si="53"/>
        <v>2.392E-2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11.26</v>
      </c>
      <c r="BN436" s="64">
        <f t="shared" si="55"/>
        <v>11.26</v>
      </c>
      <c r="BO436" s="64">
        <f t="shared" si="56"/>
        <v>1.9230769230769232E-2</v>
      </c>
      <c r="BP436" s="64">
        <f t="shared" si="57"/>
        <v>1.9230769230769232E-2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4">
        <v>4680115886391</v>
      </c>
      <c r="E437" s="565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7"/>
      <c r="R437" s="567"/>
      <c r="S437" s="567"/>
      <c r="T437" s="568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4">
        <v>4680115880603</v>
      </c>
      <c r="E438" s="565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7"/>
      <c r="R438" s="567"/>
      <c r="S438" s="567"/>
      <c r="T438" s="568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4">
        <v>4680115882782</v>
      </c>
      <c r="E439" s="565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7"/>
      <c r="R439" s="567"/>
      <c r="S439" s="567"/>
      <c r="T439" s="568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4">
        <v>4680115885479</v>
      </c>
      <c r="E440" s="565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7"/>
      <c r="R440" s="567"/>
      <c r="S440" s="567"/>
      <c r="T440" s="568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4">
        <v>4607091389982</v>
      </c>
      <c r="E441" s="565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7"/>
      <c r="R441" s="567"/>
      <c r="S441" s="567"/>
      <c r="T441" s="568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75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6"/>
      <c r="P442" s="559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6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6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7.1760000000000004E-2</v>
      </c>
      <c r="AA442" s="558"/>
      <c r="AB442" s="558"/>
      <c r="AC442" s="558"/>
    </row>
    <row r="443" spans="1:68" x14ac:dyDescent="0.2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6"/>
      <c r="P443" s="559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31.68</v>
      </c>
      <c r="Y443" s="557">
        <f>IFERROR(SUM(Y430:Y441),"0")</f>
        <v>31.68</v>
      </c>
      <c r="Z443" s="37"/>
      <c r="AA443" s="558"/>
      <c r="AB443" s="558"/>
      <c r="AC443" s="558"/>
    </row>
    <row r="444" spans="1:68" ht="14.25" hidden="1" customHeight="1" x14ac:dyDescent="0.25">
      <c r="A444" s="569" t="s">
        <v>138</v>
      </c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4">
        <v>4607091388930</v>
      </c>
      <c r="E445" s="565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7"/>
      <c r="R445" s="567"/>
      <c r="S445" s="567"/>
      <c r="T445" s="568"/>
      <c r="U445" s="34"/>
      <c r="V445" s="34"/>
      <c r="W445" s="35" t="s">
        <v>69</v>
      </c>
      <c r="X445" s="555">
        <v>15.84</v>
      </c>
      <c r="Y445" s="556">
        <f>IFERROR(IF(X445="",0,CEILING((X445/$H445),1)*$H445),"")</f>
        <v>15.84</v>
      </c>
      <c r="Z445" s="36">
        <f>IFERROR(IF(Y445=0,"",ROUNDUP(Y445/H445,0)*0.01196),"")</f>
        <v>3.5880000000000002E-2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16.889999999999997</v>
      </c>
      <c r="BN445" s="64">
        <f>IFERROR(Y445*I445/H445,"0")</f>
        <v>16.889999999999997</v>
      </c>
      <c r="BO445" s="64">
        <f>IFERROR(1/J445*(X445/H445),"0")</f>
        <v>2.8846153846153848E-2</v>
      </c>
      <c r="BP445" s="64">
        <f>IFERROR(1/J445*(Y445/H445),"0")</f>
        <v>2.8846153846153848E-2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4">
        <v>4680115886407</v>
      </c>
      <c r="E446" s="565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7"/>
      <c r="R446" s="567"/>
      <c r="S446" s="567"/>
      <c r="T446" s="568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4">
        <v>4680115880054</v>
      </c>
      <c r="E447" s="565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75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6"/>
      <c r="P448" s="559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3</v>
      </c>
      <c r="Y448" s="557">
        <f>IFERROR(Y445/H445,"0")+IFERROR(Y446/H446,"0")+IFERROR(Y447/H447,"0")</f>
        <v>3</v>
      </c>
      <c r="Z448" s="557">
        <f>IFERROR(IF(Z445="",0,Z445),"0")+IFERROR(IF(Z446="",0,Z446),"0")+IFERROR(IF(Z447="",0,Z447),"0")</f>
        <v>3.5880000000000002E-2</v>
      </c>
      <c r="AA448" s="558"/>
      <c r="AB448" s="558"/>
      <c r="AC448" s="558"/>
    </row>
    <row r="449" spans="1:68" x14ac:dyDescent="0.2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6"/>
      <c r="P449" s="559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15.84</v>
      </c>
      <c r="Y449" s="557">
        <f>IFERROR(SUM(Y445:Y447),"0")</f>
        <v>15.84</v>
      </c>
      <c r="Z449" s="37"/>
      <c r="AA449" s="558"/>
      <c r="AB449" s="558"/>
      <c r="AC449" s="558"/>
    </row>
    <row r="450" spans="1:68" ht="14.25" hidden="1" customHeight="1" x14ac:dyDescent="0.25">
      <c r="A450" s="569" t="s">
        <v>64</v>
      </c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4">
        <v>4680115883116</v>
      </c>
      <c r="E451" s="565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7"/>
      <c r="R451" s="567"/>
      <c r="S451" s="567"/>
      <c r="T451" s="568"/>
      <c r="U451" s="34"/>
      <c r="V451" s="34"/>
      <c r="W451" s="35" t="s">
        <v>69</v>
      </c>
      <c r="X451" s="555">
        <v>10.56</v>
      </c>
      <c r="Y451" s="556">
        <f t="shared" ref="Y451:Y456" si="58">IFERROR(IF(X451="",0,CEILING((X451/$H451),1)*$H451),"")</f>
        <v>10.56</v>
      </c>
      <c r="Z451" s="36">
        <f>IFERROR(IF(Y451=0,"",ROUNDUP(Y451/H451,0)*0.01196),"")</f>
        <v>2.392E-2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11.26</v>
      </c>
      <c r="BN451" s="64">
        <f t="shared" ref="BN451:BN456" si="60">IFERROR(Y451*I451/H451,"0")</f>
        <v>11.26</v>
      </c>
      <c r="BO451" s="64">
        <f t="shared" ref="BO451:BO456" si="61">IFERROR(1/J451*(X451/H451),"0")</f>
        <v>1.9230769230769232E-2</v>
      </c>
      <c r="BP451" s="64">
        <f t="shared" ref="BP451:BP456" si="62">IFERROR(1/J451*(Y451/H451),"0")</f>
        <v>1.9230769230769232E-2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4">
        <v>4680115883093</v>
      </c>
      <c r="E452" s="565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7"/>
      <c r="R452" s="567"/>
      <c r="S452" s="567"/>
      <c r="T452" s="568"/>
      <c r="U452" s="34"/>
      <c r="V452" s="34"/>
      <c r="W452" s="35" t="s">
        <v>69</v>
      </c>
      <c r="X452" s="555">
        <v>10.56</v>
      </c>
      <c r="Y452" s="556">
        <f t="shared" si="58"/>
        <v>10.56</v>
      </c>
      <c r="Z452" s="36">
        <f>IFERROR(IF(Y452=0,"",ROUNDUP(Y452/H452,0)*0.01196),"")</f>
        <v>2.392E-2</v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11.26</v>
      </c>
      <c r="BN452" s="64">
        <f t="shared" si="60"/>
        <v>11.26</v>
      </c>
      <c r="BO452" s="64">
        <f t="shared" si="61"/>
        <v>1.9230769230769232E-2</v>
      </c>
      <c r="BP452" s="64">
        <f t="shared" si="62"/>
        <v>1.9230769230769232E-2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4">
        <v>4680115883109</v>
      </c>
      <c r="E453" s="565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7"/>
      <c r="R453" s="567"/>
      <c r="S453" s="567"/>
      <c r="T453" s="568"/>
      <c r="U453" s="34"/>
      <c r="V453" s="34"/>
      <c r="W453" s="35" t="s">
        <v>69</v>
      </c>
      <c r="X453" s="555">
        <v>10.56</v>
      </c>
      <c r="Y453" s="556">
        <f t="shared" si="58"/>
        <v>10.56</v>
      </c>
      <c r="Z453" s="36">
        <f>IFERROR(IF(Y453=0,"",ROUNDUP(Y453/H453,0)*0.01196),"")</f>
        <v>2.392E-2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11.26</v>
      </c>
      <c r="BN453" s="64">
        <f t="shared" si="60"/>
        <v>11.26</v>
      </c>
      <c r="BO453" s="64">
        <f t="shared" si="61"/>
        <v>1.9230769230769232E-2</v>
      </c>
      <c r="BP453" s="64">
        <f t="shared" si="62"/>
        <v>1.9230769230769232E-2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4">
        <v>4680115882072</v>
      </c>
      <c r="E454" s="565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7"/>
      <c r="R454" s="567"/>
      <c r="S454" s="567"/>
      <c r="T454" s="568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4">
        <v>4680115882102</v>
      </c>
      <c r="E455" s="565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7"/>
      <c r="R455" s="567"/>
      <c r="S455" s="567"/>
      <c r="T455" s="568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4">
        <v>4680115882096</v>
      </c>
      <c r="E456" s="565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7"/>
      <c r="R456" s="567"/>
      <c r="S456" s="567"/>
      <c r="T456" s="568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75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6"/>
      <c r="P457" s="559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6</v>
      </c>
      <c r="Y457" s="557">
        <f>IFERROR(Y451/H451,"0")+IFERROR(Y452/H452,"0")+IFERROR(Y453/H453,"0")+IFERROR(Y454/H454,"0")+IFERROR(Y455/H455,"0")+IFERROR(Y456/H456,"0")</f>
        <v>6</v>
      </c>
      <c r="Z457" s="557">
        <f>IFERROR(IF(Z451="",0,Z451),"0")+IFERROR(IF(Z452="",0,Z452),"0")+IFERROR(IF(Z453="",0,Z453),"0")+IFERROR(IF(Z454="",0,Z454),"0")+IFERROR(IF(Z455="",0,Z455),"0")+IFERROR(IF(Z456="",0,Z456),"0")</f>
        <v>7.1760000000000004E-2</v>
      </c>
      <c r="AA457" s="558"/>
      <c r="AB457" s="558"/>
      <c r="AC457" s="558"/>
    </row>
    <row r="458" spans="1:68" x14ac:dyDescent="0.2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6"/>
      <c r="P458" s="559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31.68</v>
      </c>
      <c r="Y458" s="557">
        <f>IFERROR(SUM(Y451:Y456),"0")</f>
        <v>31.68</v>
      </c>
      <c r="Z458" s="37"/>
      <c r="AA458" s="558"/>
      <c r="AB458" s="558"/>
      <c r="AC458" s="558"/>
    </row>
    <row r="459" spans="1:68" ht="14.25" hidden="1" customHeight="1" x14ac:dyDescent="0.25">
      <c r="A459" s="569" t="s">
        <v>77</v>
      </c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4">
        <v>4680115883536</v>
      </c>
      <c r="E460" s="565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7"/>
      <c r="R460" s="567"/>
      <c r="S460" s="567"/>
      <c r="T460" s="568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5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6"/>
      <c r="P461" s="559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6"/>
      <c r="P462" s="559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744" t="s">
        <v>722</v>
      </c>
      <c r="B463" s="745"/>
      <c r="C463" s="745"/>
      <c r="D463" s="745"/>
      <c r="E463" s="745"/>
      <c r="F463" s="745"/>
      <c r="G463" s="745"/>
      <c r="H463" s="745"/>
      <c r="I463" s="745"/>
      <c r="J463" s="745"/>
      <c r="K463" s="745"/>
      <c r="L463" s="745"/>
      <c r="M463" s="745"/>
      <c r="N463" s="745"/>
      <c r="O463" s="745"/>
      <c r="P463" s="745"/>
      <c r="Q463" s="745"/>
      <c r="R463" s="745"/>
      <c r="S463" s="745"/>
      <c r="T463" s="745"/>
      <c r="U463" s="745"/>
      <c r="V463" s="745"/>
      <c r="W463" s="745"/>
      <c r="X463" s="745"/>
      <c r="Y463" s="745"/>
      <c r="Z463" s="745"/>
      <c r="AA463" s="48"/>
      <c r="AB463" s="48"/>
      <c r="AC463" s="48"/>
    </row>
    <row r="464" spans="1:68" ht="16.5" hidden="1" customHeight="1" x14ac:dyDescent="0.25">
      <c r="A464" s="591" t="s">
        <v>722</v>
      </c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  <c r="AA464" s="550"/>
      <c r="AB464" s="550"/>
      <c r="AC464" s="550"/>
    </row>
    <row r="465" spans="1:68" ht="14.25" hidden="1" customHeight="1" x14ac:dyDescent="0.25">
      <c r="A465" s="569" t="s">
        <v>103</v>
      </c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4">
        <v>4640242181011</v>
      </c>
      <c r="E466" s="565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4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7"/>
      <c r="R466" s="567"/>
      <c r="S466" s="567"/>
      <c r="T466" s="568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4">
        <v>4640242180441</v>
      </c>
      <c r="E467" s="565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7"/>
      <c r="R467" s="567"/>
      <c r="S467" s="567"/>
      <c r="T467" s="568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4301011584</v>
      </c>
      <c r="D468" s="564">
        <v>4640242180564</v>
      </c>
      <c r="E468" s="565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5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7"/>
      <c r="R468" s="567"/>
      <c r="S468" s="567"/>
      <c r="T468" s="568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4">
        <v>4640242181189</v>
      </c>
      <c r="E469" s="565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7"/>
      <c r="R469" s="567"/>
      <c r="S469" s="567"/>
      <c r="T469" s="568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5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6"/>
      <c r="P470" s="559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hidden="1" x14ac:dyDescent="0.2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6"/>
      <c r="P471" s="559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hidden="1" customHeight="1" x14ac:dyDescent="0.25">
      <c r="A472" s="569" t="s">
        <v>138</v>
      </c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4">
        <v>4640242180519</v>
      </c>
      <c r="E473" s="565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7"/>
      <c r="R473" s="567"/>
      <c r="S473" s="567"/>
      <c r="T473" s="568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4">
        <v>4640242180526</v>
      </c>
      <c r="E474" s="565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7"/>
      <c r="R474" s="567"/>
      <c r="S474" s="567"/>
      <c r="T474" s="568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5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6"/>
      <c r="P475" s="559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6"/>
      <c r="P476" s="559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69" t="s">
        <v>64</v>
      </c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4">
        <v>4640242180595</v>
      </c>
      <c r="E478" s="565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7"/>
      <c r="R478" s="567"/>
      <c r="S478" s="567"/>
      <c r="T478" s="568"/>
      <c r="U478" s="34"/>
      <c r="V478" s="34"/>
      <c r="W478" s="35" t="s">
        <v>69</v>
      </c>
      <c r="X478" s="555">
        <v>21</v>
      </c>
      <c r="Y478" s="556">
        <f>IFERROR(IF(X478="",0,CEILING((X478/$H478),1)*$H478),"")</f>
        <v>21</v>
      </c>
      <c r="Z478" s="36">
        <f>IFERROR(IF(Y478=0,"",ROUNDUP(Y478/H478,0)*0.00902),"")</f>
        <v>4.5100000000000001E-2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22.25</v>
      </c>
      <c r="BN478" s="64">
        <f>IFERROR(Y478*I478/H478,"0")</f>
        <v>22.25</v>
      </c>
      <c r="BO478" s="64">
        <f>IFERROR(1/J478*(X478/H478),"0")</f>
        <v>3.787878787878788E-2</v>
      </c>
      <c r="BP478" s="64">
        <f>IFERROR(1/J478*(Y478/H478),"0")</f>
        <v>3.787878787878788E-2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4">
        <v>4640242180595</v>
      </c>
      <c r="E479" s="565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4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55">
        <v>14.4</v>
      </c>
      <c r="Y479" s="556">
        <f>IFERROR(IF(X479="",0,CEILING((X479/$H479),1)*$H479),"")</f>
        <v>14.399999999999999</v>
      </c>
      <c r="Z479" s="36">
        <f>IFERROR(IF(Y479=0,"",ROUNDUP(Y479/H479,0)*0.00902),"")</f>
        <v>2.7060000000000001E-2</v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15.15</v>
      </c>
      <c r="BN479" s="64">
        <f>IFERROR(Y479*I479/H479,"0")</f>
        <v>15.149999999999997</v>
      </c>
      <c r="BO479" s="64">
        <f>IFERROR(1/J479*(X479/H479),"0")</f>
        <v>2.2727272727272728E-2</v>
      </c>
      <c r="BP479" s="64">
        <f>IFERROR(1/J479*(Y479/H479),"0")</f>
        <v>2.2727272727272728E-2</v>
      </c>
    </row>
    <row r="480" spans="1:68" x14ac:dyDescent="0.2">
      <c r="A480" s="575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6"/>
      <c r="P480" s="559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8</v>
      </c>
      <c r="Y480" s="557">
        <f>IFERROR(Y478/H478,"0")+IFERROR(Y479/H479,"0")</f>
        <v>8</v>
      </c>
      <c r="Z480" s="557">
        <f>IFERROR(IF(Z478="",0,Z478),"0")+IFERROR(IF(Z479="",0,Z479),"0")</f>
        <v>7.2160000000000002E-2</v>
      </c>
      <c r="AA480" s="558"/>
      <c r="AB480" s="558"/>
      <c r="AC480" s="558"/>
    </row>
    <row r="481" spans="1:68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6"/>
      <c r="P481" s="559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35.4</v>
      </c>
      <c r="Y481" s="557">
        <f>IFERROR(SUM(Y478:Y479),"0")</f>
        <v>35.4</v>
      </c>
      <c r="Z481" s="37"/>
      <c r="AA481" s="558"/>
      <c r="AB481" s="558"/>
      <c r="AC481" s="558"/>
    </row>
    <row r="482" spans="1:68" ht="14.25" hidden="1" customHeight="1" x14ac:dyDescent="0.25">
      <c r="A482" s="569" t="s">
        <v>77</v>
      </c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4">
        <v>4640242180533</v>
      </c>
      <c r="E483" s="565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55">
        <v>36</v>
      </c>
      <c r="Y483" s="556">
        <f>IFERROR(IF(X483="",0,CEILING((X483/$H483),1)*$H483),"")</f>
        <v>36</v>
      </c>
      <c r="Z483" s="36">
        <f>IFERROR(IF(Y483=0,"",ROUNDUP(Y483/H483,0)*0.01898),"")</f>
        <v>7.5920000000000001E-2</v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37.975999999999999</v>
      </c>
      <c r="BN483" s="64">
        <f>IFERROR(Y483*I483/H483,"0")</f>
        <v>37.975999999999999</v>
      </c>
      <c r="BO483" s="64">
        <f>IFERROR(1/J483*(X483/H483),"0")</f>
        <v>6.25E-2</v>
      </c>
      <c r="BP483" s="64">
        <f>IFERROR(1/J483*(Y483/H483),"0")</f>
        <v>6.25E-2</v>
      </c>
    </row>
    <row r="484" spans="1:68" x14ac:dyDescent="0.2">
      <c r="A484" s="575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6"/>
      <c r="P484" s="559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4</v>
      </c>
      <c r="Y484" s="557">
        <f>IFERROR(Y483/H483,"0")</f>
        <v>4</v>
      </c>
      <c r="Z484" s="557">
        <f>IFERROR(IF(Z483="",0,Z483),"0")</f>
        <v>7.5920000000000001E-2</v>
      </c>
      <c r="AA484" s="558"/>
      <c r="AB484" s="558"/>
      <c r="AC484" s="558"/>
    </row>
    <row r="485" spans="1:68" x14ac:dyDescent="0.2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6"/>
      <c r="P485" s="559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36</v>
      </c>
      <c r="Y485" s="557">
        <f>IFERROR(SUM(Y483:Y483),"0")</f>
        <v>36</v>
      </c>
      <c r="Z485" s="37"/>
      <c r="AA485" s="558"/>
      <c r="AB485" s="558"/>
      <c r="AC485" s="558"/>
    </row>
    <row r="486" spans="1:68" ht="14.25" hidden="1" customHeight="1" x14ac:dyDescent="0.25">
      <c r="A486" s="569" t="s">
        <v>163</v>
      </c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4">
        <v>4640242180120</v>
      </c>
      <c r="E487" s="565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7"/>
      <c r="R487" s="567"/>
      <c r="S487" s="567"/>
      <c r="T487" s="568"/>
      <c r="U487" s="34"/>
      <c r="V487" s="34"/>
      <c r="W487" s="35" t="s">
        <v>69</v>
      </c>
      <c r="X487" s="555">
        <v>9</v>
      </c>
      <c r="Y487" s="556">
        <f>IFERROR(IF(X487="",0,CEILING((X487/$H487),1)*$H487),"")</f>
        <v>9</v>
      </c>
      <c r="Z487" s="36">
        <f>IFERROR(IF(Y487=0,"",ROUNDUP(Y487/H487,0)*0.01898),"")</f>
        <v>1.898E-2</v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9.41</v>
      </c>
      <c r="BN487" s="64">
        <f>IFERROR(Y487*I487/H487,"0")</f>
        <v>9.41</v>
      </c>
      <c r="BO487" s="64">
        <f>IFERROR(1/J487*(X487/H487),"0")</f>
        <v>1.5625E-2</v>
      </c>
      <c r="BP487" s="64">
        <f>IFERROR(1/J487*(Y487/H487),"0")</f>
        <v>1.5625E-2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4">
        <v>4640242180137</v>
      </c>
      <c r="E488" s="565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7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7"/>
      <c r="R488" s="567"/>
      <c r="S488" s="567"/>
      <c r="T488" s="568"/>
      <c r="U488" s="34"/>
      <c r="V488" s="34"/>
      <c r="W488" s="35" t="s">
        <v>69</v>
      </c>
      <c r="X488" s="555">
        <v>9</v>
      </c>
      <c r="Y488" s="556">
        <f>IFERROR(IF(X488="",0,CEILING((X488/$H488),1)*$H488),"")</f>
        <v>9</v>
      </c>
      <c r="Z488" s="36">
        <f>IFERROR(IF(Y488=0,"",ROUNDUP(Y488/H488,0)*0.01898),"")</f>
        <v>1.898E-2</v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9.41</v>
      </c>
      <c r="BN488" s="64">
        <f>IFERROR(Y488*I488/H488,"0")</f>
        <v>9.41</v>
      </c>
      <c r="BO488" s="64">
        <f>IFERROR(1/J488*(X488/H488),"0")</f>
        <v>1.5625E-2</v>
      </c>
      <c r="BP488" s="64">
        <f>IFERROR(1/J488*(Y488/H488),"0")</f>
        <v>1.5625E-2</v>
      </c>
    </row>
    <row r="489" spans="1:68" x14ac:dyDescent="0.2">
      <c r="A489" s="575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6"/>
      <c r="P489" s="559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2</v>
      </c>
      <c r="Y489" s="557">
        <f>IFERROR(Y487/H487,"0")+IFERROR(Y488/H488,"0")</f>
        <v>2</v>
      </c>
      <c r="Z489" s="557">
        <f>IFERROR(IF(Z487="",0,Z487),"0")+IFERROR(IF(Z488="",0,Z488),"0")</f>
        <v>3.7960000000000001E-2</v>
      </c>
      <c r="AA489" s="558"/>
      <c r="AB489" s="558"/>
      <c r="AC489" s="558"/>
    </row>
    <row r="490" spans="1:68" x14ac:dyDescent="0.2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6"/>
      <c r="P490" s="559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18</v>
      </c>
      <c r="Y490" s="557">
        <f>IFERROR(SUM(Y487:Y488),"0")</f>
        <v>18</v>
      </c>
      <c r="Z490" s="37"/>
      <c r="AA490" s="558"/>
      <c r="AB490" s="558"/>
      <c r="AC490" s="558"/>
    </row>
    <row r="491" spans="1:68" ht="16.5" hidden="1" customHeight="1" x14ac:dyDescent="0.25">
      <c r="A491" s="591" t="s">
        <v>754</v>
      </c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  <c r="AA491" s="550"/>
      <c r="AB491" s="550"/>
      <c r="AC491" s="550"/>
    </row>
    <row r="492" spans="1:68" ht="14.25" hidden="1" customHeight="1" x14ac:dyDescent="0.25">
      <c r="A492" s="569" t="s">
        <v>138</v>
      </c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4">
        <v>4640242180090</v>
      </c>
      <c r="E493" s="565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5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7"/>
      <c r="R493" s="567"/>
      <c r="S493" s="567"/>
      <c r="T493" s="568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75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6"/>
      <c r="P494" s="559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6"/>
      <c r="P495" s="559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46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737"/>
      <c r="P496" s="715" t="s">
        <v>758</v>
      </c>
      <c r="Q496" s="681"/>
      <c r="R496" s="681"/>
      <c r="S496" s="681"/>
      <c r="T496" s="681"/>
      <c r="U496" s="681"/>
      <c r="V496" s="682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4604.7600000000011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4605.9600000000019</v>
      </c>
      <c r="Z496" s="37"/>
      <c r="AA496" s="558"/>
      <c r="AB496" s="558"/>
      <c r="AC496" s="558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737"/>
      <c r="P497" s="715" t="s">
        <v>759</v>
      </c>
      <c r="Q497" s="681"/>
      <c r="R497" s="681"/>
      <c r="S497" s="681"/>
      <c r="T497" s="681"/>
      <c r="U497" s="681"/>
      <c r="V497" s="682"/>
      <c r="W497" s="37" t="s">
        <v>69</v>
      </c>
      <c r="X497" s="557">
        <f>IFERROR(SUM(BM22:BM493),"0")</f>
        <v>4820.5368620689624</v>
      </c>
      <c r="Y497" s="557">
        <f>IFERROR(SUM(BN22:BN493),"0")</f>
        <v>4821.8049999999967</v>
      </c>
      <c r="Z497" s="37"/>
      <c r="AA497" s="558"/>
      <c r="AB497" s="558"/>
      <c r="AC497" s="558"/>
    </row>
    <row r="498" spans="1:32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737"/>
      <c r="P498" s="715" t="s">
        <v>760</v>
      </c>
      <c r="Q498" s="681"/>
      <c r="R498" s="681"/>
      <c r="S498" s="681"/>
      <c r="T498" s="681"/>
      <c r="U498" s="681"/>
      <c r="V498" s="682"/>
      <c r="W498" s="37" t="s">
        <v>761</v>
      </c>
      <c r="X498" s="38">
        <f>ROUNDUP(SUM(BO22:BO493),0)</f>
        <v>8</v>
      </c>
      <c r="Y498" s="38">
        <f>ROUNDUP(SUM(BP22:BP493),0)</f>
        <v>8</v>
      </c>
      <c r="Z498" s="37"/>
      <c r="AA498" s="558"/>
      <c r="AB498" s="558"/>
      <c r="AC498" s="558"/>
    </row>
    <row r="499" spans="1:32" x14ac:dyDescent="0.2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737"/>
      <c r="P499" s="715" t="s">
        <v>762</v>
      </c>
      <c r="Q499" s="681"/>
      <c r="R499" s="681"/>
      <c r="S499" s="681"/>
      <c r="T499" s="681"/>
      <c r="U499" s="681"/>
      <c r="V499" s="682"/>
      <c r="W499" s="37" t="s">
        <v>69</v>
      </c>
      <c r="X499" s="557">
        <f>GrossWeightTotal+PalletQtyTotal*25</f>
        <v>5020.5368620689624</v>
      </c>
      <c r="Y499" s="557">
        <f>GrossWeightTotalR+PalletQtyTotalR*25</f>
        <v>5021.8049999999967</v>
      </c>
      <c r="Z499" s="37"/>
      <c r="AA499" s="558"/>
      <c r="AB499" s="558"/>
      <c r="AC499" s="558"/>
    </row>
    <row r="500" spans="1:32" x14ac:dyDescent="0.2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737"/>
      <c r="P500" s="715" t="s">
        <v>763</v>
      </c>
      <c r="Q500" s="681"/>
      <c r="R500" s="681"/>
      <c r="S500" s="681"/>
      <c r="T500" s="681"/>
      <c r="U500" s="681"/>
      <c r="V500" s="682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611.86206896551721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612</v>
      </c>
      <c r="Z500" s="37"/>
      <c r="AA500" s="558"/>
      <c r="AB500" s="558"/>
      <c r="AC500" s="558"/>
    </row>
    <row r="501" spans="1:32" ht="14.25" hidden="1" customHeight="1" x14ac:dyDescent="0.2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737"/>
      <c r="P501" s="715" t="s">
        <v>764</v>
      </c>
      <c r="Q501" s="681"/>
      <c r="R501" s="681"/>
      <c r="S501" s="681"/>
      <c r="T501" s="681"/>
      <c r="U501" s="681"/>
      <c r="V501" s="682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8.933600000000002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94" t="s">
        <v>101</v>
      </c>
      <c r="D503" s="776"/>
      <c r="E503" s="776"/>
      <c r="F503" s="776"/>
      <c r="G503" s="776"/>
      <c r="H503" s="777"/>
      <c r="I503" s="594" t="s">
        <v>268</v>
      </c>
      <c r="J503" s="776"/>
      <c r="K503" s="776"/>
      <c r="L503" s="776"/>
      <c r="M503" s="776"/>
      <c r="N503" s="776"/>
      <c r="O503" s="776"/>
      <c r="P503" s="776"/>
      <c r="Q503" s="776"/>
      <c r="R503" s="777"/>
      <c r="S503" s="594" t="s">
        <v>562</v>
      </c>
      <c r="T503" s="777"/>
      <c r="U503" s="594" t="s">
        <v>616</v>
      </c>
      <c r="V503" s="776"/>
      <c r="W503" s="777"/>
      <c r="X503" s="552" t="s">
        <v>667</v>
      </c>
      <c r="Y503" s="594" t="s">
        <v>722</v>
      </c>
      <c r="Z503" s="777"/>
      <c r="AB503" s="52"/>
      <c r="AC503" s="52"/>
      <c r="AF503" s="553"/>
    </row>
    <row r="504" spans="1:32" ht="14.25" customHeight="1" thickTop="1" x14ac:dyDescent="0.2">
      <c r="A504" s="764" t="s">
        <v>767</v>
      </c>
      <c r="B504" s="594" t="s">
        <v>63</v>
      </c>
      <c r="C504" s="594" t="s">
        <v>102</v>
      </c>
      <c r="D504" s="594" t="s">
        <v>119</v>
      </c>
      <c r="E504" s="594" t="s">
        <v>170</v>
      </c>
      <c r="F504" s="594" t="s">
        <v>192</v>
      </c>
      <c r="G504" s="594" t="s">
        <v>229</v>
      </c>
      <c r="H504" s="594" t="s">
        <v>101</v>
      </c>
      <c r="I504" s="594" t="s">
        <v>269</v>
      </c>
      <c r="J504" s="594" t="s">
        <v>327</v>
      </c>
      <c r="K504" s="594" t="s">
        <v>387</v>
      </c>
      <c r="L504" s="594" t="s">
        <v>428</v>
      </c>
      <c r="M504" s="594" t="s">
        <v>444</v>
      </c>
      <c r="N504" s="553"/>
      <c r="O504" s="594" t="s">
        <v>455</v>
      </c>
      <c r="P504" s="594" t="s">
        <v>464</v>
      </c>
      <c r="Q504" s="594" t="s">
        <v>477</v>
      </c>
      <c r="R504" s="594" t="s">
        <v>552</v>
      </c>
      <c r="S504" s="594" t="s">
        <v>563</v>
      </c>
      <c r="T504" s="594" t="s">
        <v>598</v>
      </c>
      <c r="U504" s="594" t="s">
        <v>617</v>
      </c>
      <c r="V504" s="594" t="s">
        <v>648</v>
      </c>
      <c r="W504" s="594" t="s">
        <v>663</v>
      </c>
      <c r="X504" s="594" t="s">
        <v>667</v>
      </c>
      <c r="Y504" s="594" t="s">
        <v>722</v>
      </c>
      <c r="Z504" s="594" t="s">
        <v>754</v>
      </c>
      <c r="AB504" s="52"/>
      <c r="AC504" s="52"/>
      <c r="AF504" s="553"/>
    </row>
    <row r="505" spans="1:32" ht="13.5" customHeight="1" thickBot="1" x14ac:dyDescent="0.25">
      <c r="A505" s="76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53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5.04</v>
      </c>
      <c r="C506" s="46">
        <f>IFERROR(Y41*1,"0")+IFERROR(Y42*1,"0")+IFERROR(Y43*1,"0")+IFERROR(Y47*1,"0")</f>
        <v>108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278.02000000000004</v>
      </c>
      <c r="E506" s="46">
        <f>IFERROR(Y85*1,"0")+IFERROR(Y86*1,"0")+IFERROR(Y87*1,"0")+IFERROR(Y88*1,"0")+IFERROR(Y92*1,"0")+IFERROR(Y93*1,"0")+IFERROR(Y94*1,"0")+IFERROR(Y95*1,"0")</f>
        <v>99.18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183.00000000000003</v>
      </c>
      <c r="G506" s="46">
        <f>IFERROR(Y127*1,"0")+IFERROR(Y128*1,"0")+IFERROR(Y132*1,"0")+IFERROR(Y133*1,"0")+IFERROR(Y137*1,"0")+IFERROR(Y138*1,"0")</f>
        <v>17.439999999999998</v>
      </c>
      <c r="H506" s="46">
        <f>IFERROR(Y143*1,"0")+IFERROR(Y144*1,"0")+IFERROR(Y148*1,"0")+IFERROR(Y149*1,"0")+IFERROR(Y150*1,"0")+IFERROR(Y151*1,"0")+IFERROR(Y152*1,"0")+IFERROR(Y153*1,"0")+IFERROR(Y157*1,"0")</f>
        <v>79.400000000000006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104.2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166.80000000000007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302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14.399999999999999</v>
      </c>
      <c r="P506" s="46">
        <f>IFERROR(Y287*1,"0")+IFERROR(Y288*1,"0")+IFERROR(Y292*1,"0")+IFERROR(Y293*1,"0")</f>
        <v>8.4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1376.48</v>
      </c>
      <c r="R506" s="46">
        <f>IFERROR(Y343*1,"0")+IFERROR(Y344*1,"0")+IFERROR(Y345*1,"0")</f>
        <v>61.5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1476</v>
      </c>
      <c r="T506" s="46">
        <f>IFERROR(Y376*1,"0")+IFERROR(Y377*1,"0")+IFERROR(Y381*1,"0")+IFERROR(Y382*1,"0")+IFERROR(Y386*1,"0")+IFERROR(Y387*1,"0")+IFERROR(Y388*1,"0")</f>
        <v>9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102.60000000000001</v>
      </c>
      <c r="V506" s="46">
        <f>IFERROR(Y412*1,"0")+IFERROR(Y416*1,"0")+IFERROR(Y417*1,"0")+IFERROR(Y418*1,"0")+IFERROR(Y419*1,"0")</f>
        <v>45.899999999999991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79.2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89.4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0"/>
        <filter val="1 052,10"/>
        <filter val="1,00"/>
        <filter val="1,80"/>
        <filter val="1,98"/>
        <filter val="10,00"/>
        <filter val="10,50"/>
        <filter val="10,56"/>
        <filter val="10,80"/>
        <filter val="10,86"/>
        <filter val="102,60"/>
        <filter val="104,20"/>
        <filter val="108,00"/>
        <filter val="11,00"/>
        <filter val="11,18"/>
        <filter val="113,20"/>
        <filter val="12,00"/>
        <filter val="12,60"/>
        <filter val="121,50"/>
        <filter val="13,00"/>
        <filter val="13,50"/>
        <filter val="136,00"/>
        <filter val="14,40"/>
        <filter val="15,00"/>
        <filter val="15,84"/>
        <filter val="16,00"/>
        <filter val="16,20"/>
        <filter val="16,80"/>
        <filter val="162,00"/>
        <filter val="18,00"/>
        <filter val="2,00"/>
        <filter val="2,40"/>
        <filter val="2,52"/>
        <filter val="2,55"/>
        <filter val="2,64"/>
        <filter val="2,70"/>
        <filter val="20,00"/>
        <filter val="21,00"/>
        <filter val="21,60"/>
        <filter val="23,40"/>
        <filter val="24,30"/>
        <filter val="24,72"/>
        <filter val="27,00"/>
        <filter val="3,00"/>
        <filter val="3,04"/>
        <filter val="3,60"/>
        <filter val="30,00"/>
        <filter val="302,00"/>
        <filter val="31,68"/>
        <filter val="32,40"/>
        <filter val="33,00"/>
        <filter val="35,40"/>
        <filter val="36,00"/>
        <filter val="37,20"/>
        <filter val="39,60"/>
        <filter val="4 604,76"/>
        <filter val="4 820,54"/>
        <filter val="4,00"/>
        <filter val="4,80"/>
        <filter val="40,50"/>
        <filter val="41,00"/>
        <filter val="42,00"/>
        <filter val="44,80"/>
        <filter val="45,18"/>
        <filter val="45,90"/>
        <filter val="48,00"/>
        <filter val="5 020,54"/>
        <filter val="5,00"/>
        <filter val="5,04"/>
        <filter val="5,40"/>
        <filter val="54,00"/>
        <filter val="59,40"/>
        <filter val="6,00"/>
        <filter val="6,30"/>
        <filter val="6,40"/>
        <filter val="60,60"/>
        <filter val="61,50"/>
        <filter val="611,86"/>
        <filter val="63,00"/>
        <filter val="7,00"/>
        <filter val="7,20"/>
        <filter val="7,80"/>
        <filter val="720,00"/>
        <filter val="8"/>
        <filter val="8,00"/>
        <filter val="8,40"/>
        <filter val="82,20"/>
        <filter val="86,40"/>
        <filter val="9,00"/>
        <filter val="99,90"/>
        <filter val="998,40"/>
      </filters>
    </filterColumn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2026-01-06T10:40:34Z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