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6A1A4EA-B6FC-45A2-8309-896E3BE14A3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Z505" i="1" s="1"/>
  <c r="P492" i="1"/>
  <c r="X489" i="1"/>
  <c r="X488" i="1"/>
  <c r="BO487" i="1"/>
  <c r="BM487" i="1"/>
  <c r="Y487" i="1"/>
  <c r="BP487" i="1" s="1"/>
  <c r="P487" i="1"/>
  <c r="BO486" i="1"/>
  <c r="BM486" i="1"/>
  <c r="Y486" i="1"/>
  <c r="Y488" i="1" s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Y474" i="1" s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P455" i="1"/>
  <c r="BO455" i="1"/>
  <c r="BN455" i="1"/>
  <c r="BM455" i="1"/>
  <c r="Z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Y448" i="1" s="1"/>
  <c r="P444" i="1"/>
  <c r="X442" i="1"/>
  <c r="X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Y424" i="1" s="1"/>
  <c r="P423" i="1"/>
  <c r="X420" i="1"/>
  <c r="X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Y407" i="1" s="1"/>
  <c r="P405" i="1"/>
  <c r="X403" i="1"/>
  <c r="X402" i="1"/>
  <c r="BO401" i="1"/>
  <c r="BM401" i="1"/>
  <c r="Y401" i="1"/>
  <c r="BP401" i="1" s="1"/>
  <c r="P401" i="1"/>
  <c r="BO400" i="1"/>
  <c r="BM400" i="1"/>
  <c r="Y400" i="1"/>
  <c r="P400" i="1"/>
  <c r="BO399" i="1"/>
  <c r="BM399" i="1"/>
  <c r="Y399" i="1"/>
  <c r="BP399" i="1" s="1"/>
  <c r="P399" i="1"/>
  <c r="BO398" i="1"/>
  <c r="BM398" i="1"/>
  <c r="Y398" i="1"/>
  <c r="P398" i="1"/>
  <c r="BO397" i="1"/>
  <c r="BM397" i="1"/>
  <c r="Y397" i="1"/>
  <c r="BP397" i="1" s="1"/>
  <c r="P397" i="1"/>
  <c r="BO396" i="1"/>
  <c r="BM396" i="1"/>
  <c r="Y396" i="1"/>
  <c r="P396" i="1"/>
  <c r="BO395" i="1"/>
  <c r="BM395" i="1"/>
  <c r="Y395" i="1"/>
  <c r="BP395" i="1" s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BP387" i="1" s="1"/>
  <c r="P387" i="1"/>
  <c r="BO386" i="1"/>
  <c r="BM386" i="1"/>
  <c r="Y386" i="1"/>
  <c r="P386" i="1"/>
  <c r="BO385" i="1"/>
  <c r="BM385" i="1"/>
  <c r="Y385" i="1"/>
  <c r="Y389" i="1" s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T505" i="1" s="1"/>
  <c r="P375" i="1"/>
  <c r="X372" i="1"/>
  <c r="X371" i="1"/>
  <c r="BO370" i="1"/>
  <c r="BM370" i="1"/>
  <c r="Y370" i="1"/>
  <c r="Y372" i="1" s="1"/>
  <c r="P370" i="1"/>
  <c r="X368" i="1"/>
  <c r="X367" i="1"/>
  <c r="BO366" i="1"/>
  <c r="BM366" i="1"/>
  <c r="Y366" i="1"/>
  <c r="Y368" i="1" s="1"/>
  <c r="P366" i="1"/>
  <c r="BP365" i="1"/>
  <c r="BO365" i="1"/>
  <c r="BN365" i="1"/>
  <c r="BM365" i="1"/>
  <c r="Z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BP356" i="1" s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BP352" i="1" s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R505" i="1" s="1"/>
  <c r="P342" i="1"/>
  <c r="X339" i="1"/>
  <c r="X338" i="1"/>
  <c r="BO337" i="1"/>
  <c r="BM337" i="1"/>
  <c r="Y337" i="1"/>
  <c r="BP337" i="1" s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Y333" i="1" s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BP309" i="1" s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P287" i="1"/>
  <c r="BO287" i="1"/>
  <c r="BN287" i="1"/>
  <c r="BM287" i="1"/>
  <c r="Z287" i="1"/>
  <c r="Y287" i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N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BP234" i="1" s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Y214" i="1" s="1"/>
  <c r="P206" i="1"/>
  <c r="BP205" i="1"/>
  <c r="BO205" i="1"/>
  <c r="BN205" i="1"/>
  <c r="BM205" i="1"/>
  <c r="Z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Y132" i="1"/>
  <c r="Y134" i="1" s="1"/>
  <c r="P132" i="1"/>
  <c r="X130" i="1"/>
  <c r="X129" i="1"/>
  <c r="BO128" i="1"/>
  <c r="BM128" i="1"/>
  <c r="Y128" i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19" i="1" s="1"/>
  <c r="P115" i="1"/>
  <c r="X113" i="1"/>
  <c r="X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Y105" i="1" s="1"/>
  <c r="P101" i="1"/>
  <c r="BP100" i="1"/>
  <c r="BO100" i="1"/>
  <c r="BN100" i="1"/>
  <c r="BM100" i="1"/>
  <c r="Z100" i="1"/>
  <c r="Y100" i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Y90" i="1" s="1"/>
  <c r="P86" i="1"/>
  <c r="BP85" i="1"/>
  <c r="BO85" i="1"/>
  <c r="BN85" i="1"/>
  <c r="BM85" i="1"/>
  <c r="Z85" i="1"/>
  <c r="Y85" i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Y59" i="1" s="1"/>
  <c r="P53" i="1"/>
  <c r="BP52" i="1"/>
  <c r="BO52" i="1"/>
  <c r="BN52" i="1"/>
  <c r="BM52" i="1"/>
  <c r="Z52" i="1"/>
  <c r="Y52" i="1"/>
  <c r="P52" i="1"/>
  <c r="X49" i="1"/>
  <c r="Y48" i="1"/>
  <c r="X48" i="1"/>
  <c r="BP47" i="1"/>
  <c r="BO47" i="1"/>
  <c r="BN47" i="1"/>
  <c r="BM47" i="1"/>
  <c r="Z47" i="1"/>
  <c r="Z48" i="1" s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BP118" i="1" l="1"/>
  <c r="BN118" i="1"/>
  <c r="Z118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2" i="1"/>
  <c r="BN282" i="1"/>
  <c r="Z282" i="1"/>
  <c r="BP308" i="1"/>
  <c r="BN308" i="1"/>
  <c r="Z308" i="1"/>
  <c r="BP336" i="1"/>
  <c r="BN336" i="1"/>
  <c r="Z336" i="1"/>
  <c r="BP380" i="1"/>
  <c r="BN380" i="1"/>
  <c r="Z380" i="1"/>
  <c r="BP417" i="1"/>
  <c r="BN417" i="1"/>
  <c r="Z417" i="1"/>
  <c r="BP451" i="1"/>
  <c r="BN451" i="1"/>
  <c r="Z451" i="1"/>
  <c r="X496" i="1"/>
  <c r="Z23" i="1"/>
  <c r="BN23" i="1"/>
  <c r="X495" i="1"/>
  <c r="Y33" i="1"/>
  <c r="Z35" i="1"/>
  <c r="Z36" i="1" s="1"/>
  <c r="BN35" i="1"/>
  <c r="BP35" i="1"/>
  <c r="Y36" i="1"/>
  <c r="Z41" i="1"/>
  <c r="BN41" i="1"/>
  <c r="Y44" i="1"/>
  <c r="Z56" i="1"/>
  <c r="BN56" i="1"/>
  <c r="Z74" i="1"/>
  <c r="BN74" i="1"/>
  <c r="Z93" i="1"/>
  <c r="BN93" i="1"/>
  <c r="Z104" i="1"/>
  <c r="BN104" i="1"/>
  <c r="Y112" i="1"/>
  <c r="BP144" i="1"/>
  <c r="BN144" i="1"/>
  <c r="Z144" i="1"/>
  <c r="BP178" i="1"/>
  <c r="BN178" i="1"/>
  <c r="Z178" i="1"/>
  <c r="BP209" i="1"/>
  <c r="BN209" i="1"/>
  <c r="Z209" i="1"/>
  <c r="BP236" i="1"/>
  <c r="BN236" i="1"/>
  <c r="Z236" i="1"/>
  <c r="BP266" i="1"/>
  <c r="BN266" i="1"/>
  <c r="Z266" i="1"/>
  <c r="BP298" i="1"/>
  <c r="BN298" i="1"/>
  <c r="Z298" i="1"/>
  <c r="BP322" i="1"/>
  <c r="BN322" i="1"/>
  <c r="Z322" i="1"/>
  <c r="BP355" i="1"/>
  <c r="BN355" i="1"/>
  <c r="Z355" i="1"/>
  <c r="BP398" i="1"/>
  <c r="BN398" i="1"/>
  <c r="Z398" i="1"/>
  <c r="BP435" i="1"/>
  <c r="BN435" i="1"/>
  <c r="Z435" i="1"/>
  <c r="BP467" i="1"/>
  <c r="BN467" i="1"/>
  <c r="Z467" i="1"/>
  <c r="Y154" i="1"/>
  <c r="Y182" i="1"/>
  <c r="Y198" i="1"/>
  <c r="Y259" i="1"/>
  <c r="Y303" i="1"/>
  <c r="Y325" i="1"/>
  <c r="Y383" i="1"/>
  <c r="Y283" i="1"/>
  <c r="BP300" i="1"/>
  <c r="BN300" i="1"/>
  <c r="Y312" i="1"/>
  <c r="BP306" i="1"/>
  <c r="BN306" i="1"/>
  <c r="Z306" i="1"/>
  <c r="BP318" i="1"/>
  <c r="BN318" i="1"/>
  <c r="Z318" i="1"/>
  <c r="BP330" i="1"/>
  <c r="BN330" i="1"/>
  <c r="Z330" i="1"/>
  <c r="BP353" i="1"/>
  <c r="BN353" i="1"/>
  <c r="Z353" i="1"/>
  <c r="BP376" i="1"/>
  <c r="BN376" i="1"/>
  <c r="Z376" i="1"/>
  <c r="BP396" i="1"/>
  <c r="BN396" i="1"/>
  <c r="Z396" i="1"/>
  <c r="Y412" i="1"/>
  <c r="BP411" i="1"/>
  <c r="BN411" i="1"/>
  <c r="Z411" i="1"/>
  <c r="Z412" i="1" s="1"/>
  <c r="Y419" i="1"/>
  <c r="BP415" i="1"/>
  <c r="BN415" i="1"/>
  <c r="Z415" i="1"/>
  <c r="BP433" i="1"/>
  <c r="BN433" i="1"/>
  <c r="Z433" i="1"/>
  <c r="BP445" i="1"/>
  <c r="BN445" i="1"/>
  <c r="Z445" i="1"/>
  <c r="Y461" i="1"/>
  <c r="Y460" i="1"/>
  <c r="BP459" i="1"/>
  <c r="BN459" i="1"/>
  <c r="Z459" i="1"/>
  <c r="Z460" i="1" s="1"/>
  <c r="BP465" i="1"/>
  <c r="BN465" i="1"/>
  <c r="Z465" i="1"/>
  <c r="B505" i="1"/>
  <c r="X497" i="1"/>
  <c r="X498" i="1" s="1"/>
  <c r="Z27" i="1"/>
  <c r="BN27" i="1"/>
  <c r="BP27" i="1"/>
  <c r="Y32" i="1"/>
  <c r="Z31" i="1"/>
  <c r="BN31" i="1"/>
  <c r="Z43" i="1"/>
  <c r="BN43" i="1"/>
  <c r="Z54" i="1"/>
  <c r="BN54" i="1"/>
  <c r="Z62" i="1"/>
  <c r="BN62" i="1"/>
  <c r="Z72" i="1"/>
  <c r="BN72" i="1"/>
  <c r="BP72" i="1"/>
  <c r="Y77" i="1"/>
  <c r="Z80" i="1"/>
  <c r="BN80" i="1"/>
  <c r="Z87" i="1"/>
  <c r="BN87" i="1"/>
  <c r="Y96" i="1"/>
  <c r="Z95" i="1"/>
  <c r="BN95" i="1"/>
  <c r="Z102" i="1"/>
  <c r="BN102" i="1"/>
  <c r="Z108" i="1"/>
  <c r="BN108" i="1"/>
  <c r="BP108" i="1"/>
  <c r="Y113" i="1"/>
  <c r="Z116" i="1"/>
  <c r="BN116" i="1"/>
  <c r="Z122" i="1"/>
  <c r="Z123" i="1" s="1"/>
  <c r="BN122" i="1"/>
  <c r="BP122" i="1"/>
  <c r="Y123" i="1"/>
  <c r="Z127" i="1"/>
  <c r="BN127" i="1"/>
  <c r="Y130" i="1"/>
  <c r="Z137" i="1"/>
  <c r="BN137" i="1"/>
  <c r="BP137" i="1"/>
  <c r="Y140" i="1"/>
  <c r="H505" i="1"/>
  <c r="Z148" i="1"/>
  <c r="BN148" i="1"/>
  <c r="BP148" i="1"/>
  <c r="Y155" i="1"/>
  <c r="Z152" i="1"/>
  <c r="BN152" i="1"/>
  <c r="I505" i="1"/>
  <c r="Z167" i="1"/>
  <c r="BN167" i="1"/>
  <c r="BP167" i="1"/>
  <c r="Z168" i="1"/>
  <c r="BN168" i="1"/>
  <c r="Y181" i="1"/>
  <c r="Z172" i="1"/>
  <c r="BN172" i="1"/>
  <c r="Z176" i="1"/>
  <c r="BN176" i="1"/>
  <c r="Z180" i="1"/>
  <c r="BN180" i="1"/>
  <c r="Y188" i="1"/>
  <c r="Z186" i="1"/>
  <c r="BN186" i="1"/>
  <c r="Z201" i="1"/>
  <c r="BN201" i="1"/>
  <c r="Y213" i="1"/>
  <c r="Z207" i="1"/>
  <c r="BN207" i="1"/>
  <c r="Z211" i="1"/>
  <c r="BN211" i="1"/>
  <c r="Y226" i="1"/>
  <c r="Z219" i="1"/>
  <c r="BN219" i="1"/>
  <c r="Z223" i="1"/>
  <c r="BN223" i="1"/>
  <c r="Z234" i="1"/>
  <c r="BN234" i="1"/>
  <c r="Y243" i="1"/>
  <c r="Z238" i="1"/>
  <c r="BN238" i="1"/>
  <c r="Z242" i="1"/>
  <c r="BN242" i="1"/>
  <c r="Y260" i="1"/>
  <c r="Z256" i="1"/>
  <c r="BN256" i="1"/>
  <c r="Z263" i="1"/>
  <c r="Z264" i="1"/>
  <c r="BN264" i="1"/>
  <c r="Z273" i="1"/>
  <c r="BN273" i="1"/>
  <c r="Z280" i="1"/>
  <c r="BN280" i="1"/>
  <c r="Z293" i="1"/>
  <c r="BN293" i="1"/>
  <c r="Z300" i="1"/>
  <c r="BP310" i="1"/>
  <c r="BN310" i="1"/>
  <c r="Z310" i="1"/>
  <c r="BP324" i="1"/>
  <c r="BN324" i="1"/>
  <c r="Z324" i="1"/>
  <c r="BP343" i="1"/>
  <c r="BN343" i="1"/>
  <c r="Z343" i="1"/>
  <c r="BP361" i="1"/>
  <c r="BN361" i="1"/>
  <c r="Z361" i="1"/>
  <c r="BP386" i="1"/>
  <c r="BN386" i="1"/>
  <c r="Z386" i="1"/>
  <c r="BP400" i="1"/>
  <c r="BN400" i="1"/>
  <c r="Z400" i="1"/>
  <c r="X505" i="1"/>
  <c r="BP429" i="1"/>
  <c r="BN429" i="1"/>
  <c r="Z429" i="1"/>
  <c r="BP437" i="1"/>
  <c r="BN437" i="1"/>
  <c r="Z437" i="1"/>
  <c r="BP453" i="1"/>
  <c r="BN453" i="1"/>
  <c r="Z453" i="1"/>
  <c r="BP473" i="1"/>
  <c r="BN473" i="1"/>
  <c r="Z473" i="1"/>
  <c r="BP477" i="1"/>
  <c r="BN477" i="1"/>
  <c r="Z477" i="1"/>
  <c r="Y313" i="1"/>
  <c r="Y319" i="1"/>
  <c r="Y326" i="1"/>
  <c r="Y332" i="1"/>
  <c r="Y339" i="1"/>
  <c r="S505" i="1"/>
  <c r="Y367" i="1"/>
  <c r="Y382" i="1"/>
  <c r="U505" i="1"/>
  <c r="Y420" i="1"/>
  <c r="Y470" i="1"/>
  <c r="H9" i="1"/>
  <c r="A10" i="1"/>
  <c r="Y24" i="1"/>
  <c r="F9" i="1"/>
  <c r="J9" i="1"/>
  <c r="Z22" i="1"/>
  <c r="BN22" i="1"/>
  <c r="BP22" i="1"/>
  <c r="X499" i="1"/>
  <c r="Y25" i="1"/>
  <c r="Z28" i="1"/>
  <c r="Z32" i="1" s="1"/>
  <c r="BN28" i="1"/>
  <c r="BP28" i="1"/>
  <c r="Z30" i="1"/>
  <c r="BN30" i="1"/>
  <c r="C505" i="1"/>
  <c r="Z42" i="1"/>
  <c r="Z44" i="1" s="1"/>
  <c r="BN42" i="1"/>
  <c r="BP42" i="1"/>
  <c r="Y45" i="1"/>
  <c r="D505" i="1"/>
  <c r="Z53" i="1"/>
  <c r="BN53" i="1"/>
  <c r="BP53" i="1"/>
  <c r="Z55" i="1"/>
  <c r="BN55" i="1"/>
  <c r="Z57" i="1"/>
  <c r="BN57" i="1"/>
  <c r="Y58" i="1"/>
  <c r="Z61" i="1"/>
  <c r="BN61" i="1"/>
  <c r="BP61" i="1"/>
  <c r="Z63" i="1"/>
  <c r="BN63" i="1"/>
  <c r="Y64" i="1"/>
  <c r="Z67" i="1"/>
  <c r="Z69" i="1" s="1"/>
  <c r="BN67" i="1"/>
  <c r="BP67" i="1"/>
  <c r="Y70" i="1"/>
  <c r="Z73" i="1"/>
  <c r="BN73" i="1"/>
  <c r="BP73" i="1"/>
  <c r="Z75" i="1"/>
  <c r="BN75" i="1"/>
  <c r="Z79" i="1"/>
  <c r="Z81" i="1" s="1"/>
  <c r="BN79" i="1"/>
  <c r="BP79" i="1"/>
  <c r="Y82" i="1"/>
  <c r="E505" i="1"/>
  <c r="Z86" i="1"/>
  <c r="BN86" i="1"/>
  <c r="BP86" i="1"/>
  <c r="Z88" i="1"/>
  <c r="BN88" i="1"/>
  <c r="Y89" i="1"/>
  <c r="Z92" i="1"/>
  <c r="BN92" i="1"/>
  <c r="BP92" i="1"/>
  <c r="Z94" i="1"/>
  <c r="BN94" i="1"/>
  <c r="Y97" i="1"/>
  <c r="F505" i="1"/>
  <c r="Z101" i="1"/>
  <c r="Z105" i="1" s="1"/>
  <c r="BN101" i="1"/>
  <c r="BP101" i="1"/>
  <c r="Z103" i="1"/>
  <c r="BN103" i="1"/>
  <c r="Y106" i="1"/>
  <c r="Z109" i="1"/>
  <c r="Z112" i="1" s="1"/>
  <c r="BN109" i="1"/>
  <c r="BP109" i="1"/>
  <c r="Z111" i="1"/>
  <c r="BN111" i="1"/>
  <c r="Z115" i="1"/>
  <c r="BN115" i="1"/>
  <c r="BP115" i="1"/>
  <c r="Z117" i="1"/>
  <c r="BN117" i="1"/>
  <c r="Y120" i="1"/>
  <c r="G505" i="1"/>
  <c r="Z128" i="1"/>
  <c r="Z129" i="1" s="1"/>
  <c r="BN128" i="1"/>
  <c r="BP128" i="1"/>
  <c r="Y129" i="1"/>
  <c r="Z132" i="1"/>
  <c r="Z134" i="1" s="1"/>
  <c r="BN132" i="1"/>
  <c r="BP132" i="1"/>
  <c r="Y135" i="1"/>
  <c r="Z138" i="1"/>
  <c r="Z139" i="1" s="1"/>
  <c r="BN138" i="1"/>
  <c r="BP138" i="1"/>
  <c r="Z143" i="1"/>
  <c r="BN143" i="1"/>
  <c r="BP143" i="1"/>
  <c r="Y146" i="1"/>
  <c r="Z149" i="1"/>
  <c r="BN149" i="1"/>
  <c r="BP149" i="1"/>
  <c r="Z151" i="1"/>
  <c r="BN151" i="1"/>
  <c r="Z153" i="1"/>
  <c r="BN153" i="1"/>
  <c r="Z157" i="1"/>
  <c r="Z158" i="1" s="1"/>
  <c r="BN157" i="1"/>
  <c r="BP157" i="1"/>
  <c r="Y158" i="1"/>
  <c r="Z163" i="1"/>
  <c r="Z164" i="1" s="1"/>
  <c r="BN163" i="1"/>
  <c r="BP163" i="1"/>
  <c r="Y164" i="1"/>
  <c r="Z169" i="1"/>
  <c r="Z181" i="1" s="1"/>
  <c r="BN169" i="1"/>
  <c r="BP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BP185" i="1"/>
  <c r="J505" i="1"/>
  <c r="Z196" i="1"/>
  <c r="BN196" i="1"/>
  <c r="BP196" i="1"/>
  <c r="Y197" i="1"/>
  <c r="Z200" i="1"/>
  <c r="Z202" i="1" s="1"/>
  <c r="BN200" i="1"/>
  <c r="BP200" i="1"/>
  <c r="Y203" i="1"/>
  <c r="Z206" i="1"/>
  <c r="BN206" i="1"/>
  <c r="BP206" i="1"/>
  <c r="Z208" i="1"/>
  <c r="BN208" i="1"/>
  <c r="Z210" i="1"/>
  <c r="BN210" i="1"/>
  <c r="Z212" i="1"/>
  <c r="BN212" i="1"/>
  <c r="Z216" i="1"/>
  <c r="Z225" i="1" s="1"/>
  <c r="BN216" i="1"/>
  <c r="BP216" i="1"/>
  <c r="Z218" i="1"/>
  <c r="BN218" i="1"/>
  <c r="Z220" i="1"/>
  <c r="BN220" i="1"/>
  <c r="Z222" i="1"/>
  <c r="BN222" i="1"/>
  <c r="Z224" i="1"/>
  <c r="BN224" i="1"/>
  <c r="Y225" i="1"/>
  <c r="Z228" i="1"/>
  <c r="Z230" i="1" s="1"/>
  <c r="BN228" i="1"/>
  <c r="BP228" i="1"/>
  <c r="Y231" i="1"/>
  <c r="K505" i="1"/>
  <c r="Z235" i="1"/>
  <c r="BN235" i="1"/>
  <c r="BP235" i="1"/>
  <c r="Z237" i="1"/>
  <c r="BN237" i="1"/>
  <c r="Z239" i="1"/>
  <c r="BN239" i="1"/>
  <c r="Z241" i="1"/>
  <c r="BN241" i="1"/>
  <c r="Y244" i="1"/>
  <c r="Z255" i="1"/>
  <c r="BN255" i="1"/>
  <c r="BP255" i="1"/>
  <c r="Z257" i="1"/>
  <c r="BN257" i="1"/>
  <c r="L505" i="1"/>
  <c r="Y268" i="1"/>
  <c r="BP263" i="1"/>
  <c r="BP267" i="1"/>
  <c r="BN267" i="1"/>
  <c r="Z267" i="1"/>
  <c r="Y269" i="1"/>
  <c r="M505" i="1"/>
  <c r="Y277" i="1"/>
  <c r="BP272" i="1"/>
  <c r="BN272" i="1"/>
  <c r="Z272" i="1"/>
  <c r="Y276" i="1"/>
  <c r="BP281" i="1"/>
  <c r="BN281" i="1"/>
  <c r="Z281" i="1"/>
  <c r="Z325" i="1"/>
  <c r="Y145" i="1"/>
  <c r="Y165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O505" i="1"/>
  <c r="Y284" i="1"/>
  <c r="P505" i="1"/>
  <c r="Y289" i="1"/>
  <c r="Q505" i="1"/>
  <c r="Z299" i="1"/>
  <c r="Z303" i="1" s="1"/>
  <c r="BN299" i="1"/>
  <c r="BP299" i="1"/>
  <c r="Z301" i="1"/>
  <c r="BN301" i="1"/>
  <c r="Y304" i="1"/>
  <c r="Z307" i="1"/>
  <c r="Z312" i="1" s="1"/>
  <c r="BN307" i="1"/>
  <c r="BP307" i="1"/>
  <c r="Z309" i="1"/>
  <c r="BN309" i="1"/>
  <c r="Z311" i="1"/>
  <c r="BN311" i="1"/>
  <c r="Z315" i="1"/>
  <c r="BN315" i="1"/>
  <c r="BP315" i="1"/>
  <c r="Z317" i="1"/>
  <c r="BN317" i="1"/>
  <c r="Y320" i="1"/>
  <c r="Z323" i="1"/>
  <c r="BN323" i="1"/>
  <c r="BP323" i="1"/>
  <c r="Z329" i="1"/>
  <c r="Z332" i="1" s="1"/>
  <c r="BN329" i="1"/>
  <c r="BP329" i="1"/>
  <c r="Z331" i="1"/>
  <c r="BN331" i="1"/>
  <c r="Z335" i="1"/>
  <c r="BN335" i="1"/>
  <c r="BP335" i="1"/>
  <c r="Z337" i="1"/>
  <c r="BN337" i="1"/>
  <c r="Y338" i="1"/>
  <c r="Z342" i="1"/>
  <c r="BN342" i="1"/>
  <c r="BP342" i="1"/>
  <c r="Z344" i="1"/>
  <c r="BN344" i="1"/>
  <c r="Y345" i="1"/>
  <c r="Z350" i="1"/>
  <c r="BN350" i="1"/>
  <c r="BP350" i="1"/>
  <c r="Z352" i="1"/>
  <c r="BN352" i="1"/>
  <c r="Z354" i="1"/>
  <c r="BN354" i="1"/>
  <c r="Z356" i="1"/>
  <c r="BN356" i="1"/>
  <c r="Y357" i="1"/>
  <c r="Z360" i="1"/>
  <c r="BN360" i="1"/>
  <c r="BP360" i="1"/>
  <c r="Y363" i="1"/>
  <c r="Z366" i="1"/>
  <c r="Z367" i="1" s="1"/>
  <c r="BN366" i="1"/>
  <c r="BP366" i="1"/>
  <c r="Z370" i="1"/>
  <c r="Z371" i="1" s="1"/>
  <c r="BN370" i="1"/>
  <c r="BP370" i="1"/>
  <c r="Y371" i="1"/>
  <c r="Z375" i="1"/>
  <c r="Z377" i="1" s="1"/>
  <c r="BN375" i="1"/>
  <c r="BP375" i="1"/>
  <c r="Y378" i="1"/>
  <c r="Z381" i="1"/>
  <c r="Z382" i="1" s="1"/>
  <c r="BN381" i="1"/>
  <c r="BP381" i="1"/>
  <c r="Z385" i="1"/>
  <c r="BN385" i="1"/>
  <c r="BP385" i="1"/>
  <c r="Z387" i="1"/>
  <c r="BN387" i="1"/>
  <c r="Y388" i="1"/>
  <c r="Z393" i="1"/>
  <c r="BN393" i="1"/>
  <c r="BP393" i="1"/>
  <c r="Z395" i="1"/>
  <c r="BN395" i="1"/>
  <c r="Z397" i="1"/>
  <c r="BN397" i="1"/>
  <c r="Z399" i="1"/>
  <c r="BN399" i="1"/>
  <c r="Z401" i="1"/>
  <c r="BN401" i="1"/>
  <c r="Y402" i="1"/>
  <c r="Z405" i="1"/>
  <c r="Z407" i="1" s="1"/>
  <c r="BN405" i="1"/>
  <c r="BP405" i="1"/>
  <c r="Y408" i="1"/>
  <c r="V505" i="1"/>
  <c r="Y413" i="1"/>
  <c r="Z416" i="1"/>
  <c r="BN416" i="1"/>
  <c r="BP416" i="1"/>
  <c r="Z418" i="1"/>
  <c r="BN418" i="1"/>
  <c r="Z423" i="1"/>
  <c r="Z424" i="1" s="1"/>
  <c r="BN423" i="1"/>
  <c r="BP423" i="1"/>
  <c r="BP430" i="1"/>
  <c r="BN430" i="1"/>
  <c r="Z430" i="1"/>
  <c r="BP434" i="1"/>
  <c r="BN434" i="1"/>
  <c r="Z434" i="1"/>
  <c r="BP438" i="1"/>
  <c r="BN438" i="1"/>
  <c r="Z438" i="1"/>
  <c r="BP446" i="1"/>
  <c r="BN446" i="1"/>
  <c r="Z446" i="1"/>
  <c r="Y457" i="1"/>
  <c r="BP450" i="1"/>
  <c r="BN450" i="1"/>
  <c r="Z450" i="1"/>
  <c r="Z456" i="1" s="1"/>
  <c r="BP454" i="1"/>
  <c r="BN454" i="1"/>
  <c r="Z454" i="1"/>
  <c r="Y505" i="1"/>
  <c r="BP468" i="1"/>
  <c r="BN468" i="1"/>
  <c r="Z468" i="1"/>
  <c r="Y475" i="1"/>
  <c r="BP472" i="1"/>
  <c r="BN472" i="1"/>
  <c r="Z472" i="1"/>
  <c r="Z474" i="1" s="1"/>
  <c r="Y479" i="1"/>
  <c r="Y346" i="1"/>
  <c r="Y358" i="1"/>
  <c r="Y377" i="1"/>
  <c r="Y403" i="1"/>
  <c r="W505" i="1"/>
  <c r="Y425" i="1"/>
  <c r="BP432" i="1"/>
  <c r="BN432" i="1"/>
  <c r="Z432" i="1"/>
  <c r="BP436" i="1"/>
  <c r="BN436" i="1"/>
  <c r="Z436" i="1"/>
  <c r="BP440" i="1"/>
  <c r="BN440" i="1"/>
  <c r="Z440" i="1"/>
  <c r="Y442" i="1"/>
  <c r="Y447" i="1"/>
  <c r="BP444" i="1"/>
  <c r="BN444" i="1"/>
  <c r="Z444" i="1"/>
  <c r="Z447" i="1" s="1"/>
  <c r="BP452" i="1"/>
  <c r="BN452" i="1"/>
  <c r="Z452" i="1"/>
  <c r="Y456" i="1"/>
  <c r="BP466" i="1"/>
  <c r="BN466" i="1"/>
  <c r="Z466" i="1"/>
  <c r="BP478" i="1"/>
  <c r="BN478" i="1"/>
  <c r="Z478" i="1"/>
  <c r="Z479" i="1" s="1"/>
  <c r="Y480" i="1"/>
  <c r="Y483" i="1"/>
  <c r="BP482" i="1"/>
  <c r="BN482" i="1"/>
  <c r="Z482" i="1"/>
  <c r="Z483" i="1" s="1"/>
  <c r="Y484" i="1"/>
  <c r="Y441" i="1"/>
  <c r="Y469" i="1"/>
  <c r="Z486" i="1"/>
  <c r="BN486" i="1"/>
  <c r="BP486" i="1"/>
  <c r="Y489" i="1"/>
  <c r="Y494" i="1"/>
  <c r="Z487" i="1"/>
  <c r="BN487" i="1"/>
  <c r="Z492" i="1"/>
  <c r="Z493" i="1" s="1"/>
  <c r="BN492" i="1"/>
  <c r="BP492" i="1"/>
  <c r="Y493" i="1"/>
  <c r="Z469" i="1" l="1"/>
  <c r="Z197" i="1"/>
  <c r="Z145" i="1"/>
  <c r="Z24" i="1"/>
  <c r="Z488" i="1"/>
  <c r="Z441" i="1"/>
  <c r="Z419" i="1"/>
  <c r="Z362" i="1"/>
  <c r="Z268" i="1"/>
  <c r="Z283" i="1"/>
  <c r="Z259" i="1"/>
  <c r="Z243" i="1"/>
  <c r="Z213" i="1"/>
  <c r="Z154" i="1"/>
  <c r="Z89" i="1"/>
  <c r="Z76" i="1"/>
  <c r="Z58" i="1"/>
  <c r="Z402" i="1"/>
  <c r="Z388" i="1"/>
  <c r="Z357" i="1"/>
  <c r="Z345" i="1"/>
  <c r="Z338" i="1"/>
  <c r="Z319" i="1"/>
  <c r="Z276" i="1"/>
  <c r="Z119" i="1"/>
  <c r="Z96" i="1"/>
  <c r="Z64" i="1"/>
  <c r="Y495" i="1"/>
  <c r="Y497" i="1"/>
  <c r="Z500" i="1"/>
  <c r="Y496" i="1"/>
  <c r="Y498" i="1" s="1"/>
  <c r="Y499" i="1"/>
</calcChain>
</file>

<file path=xl/sharedStrings.xml><?xml version="1.0" encoding="utf-8"?>
<sst xmlns="http://schemas.openxmlformats.org/spreadsheetml/2006/main" count="2359" uniqueCount="782">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</sst>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46034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0.45833333333333331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250</v>
      </c>
      <c r="Y41" s="554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23.148148148148145</v>
      </c>
      <c r="Y44" s="555">
        <f>IFERROR(Y41/H41,"0")+IFERROR(Y42/H42,"0")+IFERROR(Y43/H43,"0")</f>
        <v>24.000000000000004</v>
      </c>
      <c r="Z44" s="555">
        <f>IFERROR(IF(Z41="",0,Z41),"0")+IFERROR(IF(Z42="",0,Z42),"0")+IFERROR(IF(Z43="",0,Z43),"0")</f>
        <v>0.45552000000000004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250</v>
      </c>
      <c r="Y45" s="555">
        <f>IFERROR(SUM(Y41:Y43),"0")</f>
        <v>259.20000000000005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250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</v>
      </c>
      <c r="Y57" s="554">
        <f t="shared" si="0"/>
        <v>45</v>
      </c>
      <c r="Z57" s="36">
        <f>IFERROR(IF(Y57=0,"",ROUNDUP(Y57/H57,0)*0.00902),"")</f>
        <v>9.0200000000000002E-2</v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46.900000000000006</v>
      </c>
      <c r="BN57" s="64">
        <f t="shared" si="2"/>
        <v>46.900000000000006</v>
      </c>
      <c r="BO57" s="64">
        <f t="shared" si="3"/>
        <v>7.575757575757576E-2</v>
      </c>
      <c r="BP57" s="64">
        <f t="shared" si="4"/>
        <v>7.575757575757576E-2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33.148148148148145</v>
      </c>
      <c r="Y58" s="555">
        <f>IFERROR(Y52/H52,"0")+IFERROR(Y53/H53,"0")+IFERROR(Y54/H54,"0")+IFERROR(Y55/H55,"0")+IFERROR(Y56/H56,"0")+IFERROR(Y57/H57,"0")</f>
        <v>34</v>
      </c>
      <c r="Z58" s="555">
        <f>IFERROR(IF(Z52="",0,Z52),"0")+IFERROR(IF(Z53="",0,Z53),"0")+IFERROR(IF(Z54="",0,Z54),"0")+IFERROR(IF(Z55="",0,Z55),"0")+IFERROR(IF(Z56="",0,Z56),"0")+IFERROR(IF(Z57="",0,Z57),"0")</f>
        <v>0.54571999999999998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295</v>
      </c>
      <c r="Y59" s="555">
        <f>IFERROR(SUM(Y52:Y57),"0")</f>
        <v>304.20000000000005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200</v>
      </c>
      <c r="Y61" s="554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18.518518518518519</v>
      </c>
      <c r="Y64" s="555">
        <f>IFERROR(Y61/H61,"0")+IFERROR(Y62/H62,"0")+IFERROR(Y63/H63,"0")</f>
        <v>19</v>
      </c>
      <c r="Z64" s="555">
        <f>IFERROR(IF(Z61="",0,Z61),"0")+IFERROR(IF(Z62="",0,Z62),"0")+IFERROR(IF(Z63="",0,Z63),"0")</f>
        <v>0.36062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200</v>
      </c>
      <c r="Y65" s="555">
        <f>IFERROR(SUM(Y61:Y63),"0")</f>
        <v>205.20000000000002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350</v>
      </c>
      <c r="Y85" s="554">
        <f>IFERROR(IF(X85="",0,CEILING((X85/$H85),1)*$H85),"")</f>
        <v>356.40000000000003</v>
      </c>
      <c r="Z85" s="36">
        <f>IFERROR(IF(Y85=0,"",ROUNDUP(Y85/H85,0)*0.01898),"")</f>
        <v>0.62634000000000001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363.28703703703707</v>
      </c>
      <c r="BN85" s="64">
        <f>IFERROR(Y85*I85/H85,"0")</f>
        <v>369.93</v>
      </c>
      <c r="BO85" s="64">
        <f>IFERROR(1/J85*(X85/H85),"0")</f>
        <v>0.5063657407407407</v>
      </c>
      <c r="BP85" s="64">
        <f>IFERROR(1/J85*(Y85/H85),"0")</f>
        <v>0.515625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32.407407407407405</v>
      </c>
      <c r="Y89" s="555">
        <f>IFERROR(Y85/H85,"0")+IFERROR(Y86/H86,"0")+IFERROR(Y87/H87,"0")+IFERROR(Y88/H88,"0")</f>
        <v>33</v>
      </c>
      <c r="Z89" s="555">
        <f>IFERROR(IF(Z85="",0,Z85),"0")+IFERROR(IF(Z86="",0,Z86),"0")+IFERROR(IF(Z87="",0,Z87),"0")+IFERROR(IF(Z88="",0,Z88),"0")</f>
        <v>0.62634000000000001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350</v>
      </c>
      <c r="Y90" s="555">
        <f>IFERROR(SUM(Y85:Y88),"0")</f>
        <v>356.40000000000003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300</v>
      </c>
      <c r="Y92" s="554">
        <f>IFERROR(IF(X92="",0,CEILING((X92/$H92),1)*$H92),"")</f>
        <v>307.8</v>
      </c>
      <c r="Z92" s="36">
        <f>IFERROR(IF(Y92=0,"",ROUNDUP(Y92/H92,0)*0.01898),"")</f>
        <v>0.72123999999999999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318.2962962962963</v>
      </c>
      <c r="BN92" s="64">
        <f>IFERROR(Y92*I92/H92,"0")</f>
        <v>326.572</v>
      </c>
      <c r="BO92" s="64">
        <f>IFERROR(1/J92*(X92/H92),"0")</f>
        <v>0.57870370370370372</v>
      </c>
      <c r="BP92" s="64">
        <f>IFERROR(1/J92*(Y92/H92),"0")</f>
        <v>0.59375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90</v>
      </c>
      <c r="Y94" s="554">
        <f>IFERROR(IF(X94="",0,CEILING((X94/$H94),1)*$H94),"")</f>
        <v>91.800000000000011</v>
      </c>
      <c r="Z94" s="36">
        <f>IFERROR(IF(Y94=0,"",ROUNDUP(Y94/H94,0)*0.00651),"")</f>
        <v>0.22134000000000001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98.399999999999991</v>
      </c>
      <c r="BN94" s="64">
        <f>IFERROR(Y94*I94/H94,"0")</f>
        <v>100.36799999999999</v>
      </c>
      <c r="BO94" s="64">
        <f>IFERROR(1/J94*(X94/H94),"0")</f>
        <v>0.18315018315018314</v>
      </c>
      <c r="BP94" s="64">
        <f>IFERROR(1/J94*(Y94/H94),"0")</f>
        <v>0.18681318681318682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70.370370370370367</v>
      </c>
      <c r="Y96" s="555">
        <f>IFERROR(Y92/H92,"0")+IFERROR(Y93/H93,"0")+IFERROR(Y94/H94,"0")+IFERROR(Y95/H95,"0")</f>
        <v>72</v>
      </c>
      <c r="Z96" s="555">
        <f>IFERROR(IF(Z92="",0,Z92),"0")+IFERROR(IF(Z93="",0,Z93),"0")+IFERROR(IF(Z94="",0,Z94),"0")+IFERROR(IF(Z95="",0,Z95),"0")</f>
        <v>0.94257999999999997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390</v>
      </c>
      <c r="Y97" s="555">
        <f>IFERROR(SUM(Y92:Y95),"0")</f>
        <v>399.6</v>
      </c>
      <c r="Z97" s="37"/>
      <c r="AA97" s="556"/>
      <c r="AB97" s="556"/>
      <c r="AC97" s="556"/>
    </row>
    <row r="98" spans="1:68" ht="16.5" hidden="1" customHeight="1" x14ac:dyDescent="0.25">
      <c r="A98" s="578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250</v>
      </c>
      <c r="Y100" s="554">
        <f>IFERROR(IF(X100="",0,CEILING((X100/$H100),1)*$H100),"")</f>
        <v>259.20000000000005</v>
      </c>
      <c r="Z100" s="36">
        <f>IFERROR(IF(Y100=0,"",ROUNDUP(Y100/H100,0)*0.01898),"")</f>
        <v>0.45552000000000004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259.4907407407407</v>
      </c>
      <c r="BN100" s="64">
        <f>IFERROR(Y100*I100/H100,"0")</f>
        <v>269.04000000000002</v>
      </c>
      <c r="BO100" s="64">
        <f>IFERROR(1/J100*(X100/H100),"0")</f>
        <v>0.36168981481481477</v>
      </c>
      <c r="BP100" s="64">
        <f>IFERROR(1/J100*(Y100/H100),"0")</f>
        <v>0.37500000000000006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23.148148148148145</v>
      </c>
      <c r="Y105" s="555">
        <f>IFERROR(Y100/H100,"0")+IFERROR(Y101/H101,"0")+IFERROR(Y102/H102,"0")+IFERROR(Y103/H103,"0")+IFERROR(Y104/H104,"0")</f>
        <v>24.000000000000004</v>
      </c>
      <c r="Z105" s="555">
        <f>IFERROR(IF(Z100="",0,Z100),"0")+IFERROR(IF(Z101="",0,Z101),"0")+IFERROR(IF(Z102="",0,Z102),"0")+IFERROR(IF(Z103="",0,Z103),"0")+IFERROR(IF(Z104="",0,Z104),"0")</f>
        <v>0.45552000000000004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250</v>
      </c>
      <c r="Y106" s="555">
        <f>IFERROR(SUM(Y100:Y104),"0")</f>
        <v>259.20000000000005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90</v>
      </c>
      <c r="Y117" s="554">
        <f>IFERROR(IF(X117="",0,CEILING((X117/$H117),1)*$H117),"")</f>
        <v>91.800000000000011</v>
      </c>
      <c r="Z117" s="36">
        <f>IFERROR(IF(Y117=0,"",ROUNDUP(Y117/H117,0)*0.00651),"")</f>
        <v>0.22134000000000001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98.399999999999991</v>
      </c>
      <c r="BN117" s="64">
        <f>IFERROR(Y117*I117/H117,"0")</f>
        <v>100.36799999999999</v>
      </c>
      <c r="BO117" s="64">
        <f>IFERROR(1/J117*(X117/H117),"0")</f>
        <v>0.18315018315018314</v>
      </c>
      <c r="BP117" s="64">
        <f>IFERROR(1/J117*(Y117/H117),"0")</f>
        <v>0.18681318681318682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33.333333333333329</v>
      </c>
      <c r="Y119" s="555">
        <f>IFERROR(Y115/H115,"0")+IFERROR(Y116/H116,"0")+IFERROR(Y117/H117,"0")+IFERROR(Y118/H118,"0")</f>
        <v>34</v>
      </c>
      <c r="Z119" s="555">
        <f>IFERROR(IF(Z115="",0,Z115),"0")+IFERROR(IF(Z116="",0,Z116),"0")+IFERROR(IF(Z117="",0,Z117),"0")+IFERROR(IF(Z118="",0,Z118),"0")</f>
        <v>0.22134000000000001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90</v>
      </c>
      <c r="Y120" s="555">
        <f>IFERROR(SUM(Y115:Y118),"0")</f>
        <v>91.800000000000011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250</v>
      </c>
      <c r="Y169" s="554">
        <f t="shared" si="10"/>
        <v>252</v>
      </c>
      <c r="Z169" s="36">
        <f>IFERROR(IF(Y169=0,"",ROUNDUP(Y169/H169,0)*0.00902),"")</f>
        <v>0.54120000000000001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264.88095238095235</v>
      </c>
      <c r="BN169" s="64">
        <f t="shared" si="12"/>
        <v>267</v>
      </c>
      <c r="BO169" s="64">
        <f t="shared" si="13"/>
        <v>0.45093795093795092</v>
      </c>
      <c r="BP169" s="64">
        <f t="shared" si="14"/>
        <v>0.45454545454545459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59.523809523809518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60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0.54120000000000001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250</v>
      </c>
      <c r="Y182" s="555">
        <f>IFERROR(SUM(Y167:Y180),"0")</f>
        <v>252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hidden="1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120</v>
      </c>
      <c r="Y221" s="554">
        <f t="shared" si="20"/>
        <v>120</v>
      </c>
      <c r="Z221" s="36">
        <f t="shared" si="25"/>
        <v>0.32550000000000001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132.60000000000002</v>
      </c>
      <c r="BN221" s="64">
        <f t="shared" si="22"/>
        <v>132.60000000000002</v>
      </c>
      <c r="BO221" s="64">
        <f t="shared" si="23"/>
        <v>0.27472527472527475</v>
      </c>
      <c r="BP221" s="64">
        <f t="shared" si="24"/>
        <v>0.27472527472527475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50</v>
      </c>
      <c r="Y225" s="555">
        <f>IFERROR(Y216/H216,"0")+IFERROR(Y217/H217,"0")+IFERROR(Y218/H218,"0")+IFERROR(Y219/H219,"0")+IFERROR(Y220/H220,"0")+IFERROR(Y221/H221,"0")+IFERROR(Y222/H222,"0")+IFERROR(Y223/H223,"0")+IFERROR(Y224/H224,"0")</f>
        <v>50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0.32550000000000001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120</v>
      </c>
      <c r="Y226" s="555">
        <f>IFERROR(SUM(Y216:Y224),"0")</f>
        <v>120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150</v>
      </c>
      <c r="Y306" s="554">
        <f t="shared" ref="Y306:Y311" si="31">IFERROR(IF(X306="",0,CEILING((X306/$H306),1)*$H306),"")</f>
        <v>151.20000000000002</v>
      </c>
      <c r="Z306" s="36">
        <f>IFERROR(IF(Y306=0,"",ROUNDUP(Y306/H306,0)*0.00902),"")</f>
        <v>0.32472000000000001</v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158.92857142857142</v>
      </c>
      <c r="BN306" s="64">
        <f t="shared" ref="BN306:BN311" si="33">IFERROR(Y306*I306/H306,"0")</f>
        <v>160.20000000000002</v>
      </c>
      <c r="BO306" s="64">
        <f t="shared" ref="BO306:BO311" si="34">IFERROR(1/J306*(X306/H306),"0")</f>
        <v>0.27056277056277056</v>
      </c>
      <c r="BP306" s="64">
        <f t="shared" ref="BP306:BP311" si="35">IFERROR(1/J306*(Y306/H306),"0")</f>
        <v>0.27272727272727271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35.714285714285715</v>
      </c>
      <c r="Y312" s="555">
        <f>IFERROR(Y306/H306,"0")+IFERROR(Y307/H307,"0")+IFERROR(Y308/H308,"0")+IFERROR(Y309/H309,"0")+IFERROR(Y310/H310,"0")+IFERROR(Y311/H311,"0")</f>
        <v>36</v>
      </c>
      <c r="Z312" s="555">
        <f>IFERROR(IF(Z306="",0,Z306),"0")+IFERROR(IF(Z307="",0,Z307),"0")+IFERROR(IF(Z308="",0,Z308),"0")+IFERROR(IF(Z309="",0,Z309),"0")+IFERROR(IF(Z310="",0,Z310),"0")+IFERROR(IF(Z311="",0,Z311),"0")</f>
        <v>0.32472000000000001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150</v>
      </c>
      <c r="Y313" s="555">
        <f>IFERROR(SUM(Y306:Y311),"0")</f>
        <v>151.20000000000002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350</v>
      </c>
      <c r="Y322" s="554">
        <f>IFERROR(IF(X322="",0,CEILING((X322/$H322),1)*$H322),"")</f>
        <v>352.8</v>
      </c>
      <c r="Z322" s="36">
        <f>IFERROR(IF(Y322=0,"",ROUNDUP(Y322/H322,0)*0.01898),"")</f>
        <v>0.79715999999999998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370.58333333333331</v>
      </c>
      <c r="BN322" s="64">
        <f>IFERROR(Y322*I322/H322,"0")</f>
        <v>373.548</v>
      </c>
      <c r="BO322" s="64">
        <f>IFERROR(1/J322*(X322/H322),"0")</f>
        <v>0.65104166666666663</v>
      </c>
      <c r="BP322" s="64">
        <f>IFERROR(1/J322*(Y322/H322),"0")</f>
        <v>0.65625</v>
      </c>
    </row>
    <row r="323" spans="1:68" ht="27" hidden="1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41.666666666666664</v>
      </c>
      <c r="Y325" s="555">
        <f>IFERROR(Y322/H322,"0")+IFERROR(Y323/H323,"0")+IFERROR(Y324/H324,"0")</f>
        <v>42</v>
      </c>
      <c r="Z325" s="555">
        <f>IFERROR(IF(Z322="",0,Z322),"0")+IFERROR(IF(Z323="",0,Z323),"0")+IFERROR(IF(Z324="",0,Z324),"0")</f>
        <v>0.79715999999999998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350</v>
      </c>
      <c r="Y326" s="555">
        <f>IFERROR(SUM(Y322:Y324),"0")</f>
        <v>352.8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1500</v>
      </c>
      <c r="Y350" s="554">
        <f t="shared" ref="Y350:Y356" si="36">IFERROR(IF(X350="",0,CEILING((X350/$H350),1)*$H350),"")</f>
        <v>1500</v>
      </c>
      <c r="Z350" s="36">
        <f>IFERROR(IF(Y350=0,"",ROUNDUP(Y350/H350,0)*0.02175),"")</f>
        <v>2.1749999999999998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1547</v>
      </c>
      <c r="BN350" s="64">
        <f t="shared" ref="BN350:BN356" si="38">IFERROR(Y350*I350/H350,"0")</f>
        <v>1547</v>
      </c>
      <c r="BO350" s="64">
        <f t="shared" ref="BO350:BO356" si="39">IFERROR(1/J350*(X350/H350),"0")</f>
        <v>2.083333333333333</v>
      </c>
      <c r="BP350" s="64">
        <f t="shared" ref="BP350:BP356" si="40">IFERROR(1/J350*(Y350/H350),"0")</f>
        <v>2.083333333333333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2000</v>
      </c>
      <c r="Y351" s="554">
        <f t="shared" si="36"/>
        <v>2010</v>
      </c>
      <c r="Z351" s="36">
        <f>IFERROR(IF(Y351=0,"",ROUNDUP(Y351/H351,0)*0.02175),"")</f>
        <v>2.9144999999999999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2062.6666666666665</v>
      </c>
      <c r="BN351" s="64">
        <f t="shared" si="38"/>
        <v>2072.98</v>
      </c>
      <c r="BO351" s="64">
        <f t="shared" si="39"/>
        <v>2.7777777777777777</v>
      </c>
      <c r="BP351" s="64">
        <f t="shared" si="40"/>
        <v>2.7916666666666665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3000</v>
      </c>
      <c r="Y352" s="554">
        <f t="shared" si="36"/>
        <v>3000</v>
      </c>
      <c r="Z352" s="36">
        <f>IFERROR(IF(Y352=0,"",ROUNDUP(Y352/H352,0)*0.02175),"")</f>
        <v>4.3499999999999996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3094</v>
      </c>
      <c r="BN352" s="64">
        <f t="shared" si="38"/>
        <v>3094</v>
      </c>
      <c r="BO352" s="64">
        <f t="shared" si="39"/>
        <v>4.1666666666666661</v>
      </c>
      <c r="BP352" s="64">
        <f t="shared" si="40"/>
        <v>4.1666666666666661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433.33333333333337</v>
      </c>
      <c r="Y357" s="555">
        <f>IFERROR(Y350/H350,"0")+IFERROR(Y351/H351,"0")+IFERROR(Y352/H352,"0")+IFERROR(Y353/H353,"0")+IFERROR(Y354/H354,"0")+IFERROR(Y355/H355,"0")+IFERROR(Y356/H356,"0")</f>
        <v>434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9.4394999999999989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6500</v>
      </c>
      <c r="Y358" s="555">
        <f>IFERROR(SUM(Y350:Y356),"0")</f>
        <v>6510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4500</v>
      </c>
      <c r="Y360" s="554">
        <f>IFERROR(IF(X360="",0,CEILING((X360/$H360),1)*$H360),"")</f>
        <v>4500</v>
      </c>
      <c r="Z360" s="36">
        <f>IFERROR(IF(Y360=0,"",ROUNDUP(Y360/H360,0)*0.02175),"")</f>
        <v>6.5249999999999995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4641</v>
      </c>
      <c r="BN360" s="64">
        <f>IFERROR(Y360*I360/H360,"0")</f>
        <v>4641</v>
      </c>
      <c r="BO360" s="64">
        <f>IFERROR(1/J360*(X360/H360),"0")</f>
        <v>6.25</v>
      </c>
      <c r="BP360" s="64">
        <f>IFERROR(1/J360*(Y360/H360),"0")</f>
        <v>6.25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300</v>
      </c>
      <c r="Y362" s="555">
        <f>IFERROR(Y360/H360,"0")+IFERROR(Y361/H361,"0")</f>
        <v>300</v>
      </c>
      <c r="Z362" s="555">
        <f>IFERROR(IF(Z360="",0,Z360),"0")+IFERROR(IF(Z361="",0,Z361),"0")</f>
        <v>6.5249999999999995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4500</v>
      </c>
      <c r="Y363" s="555">
        <f>IFERROR(SUM(Y360:Y361),"0")</f>
        <v>4500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250</v>
      </c>
      <c r="Y366" s="554">
        <f>IFERROR(IF(X366="",0,CEILING((X366/$H366),1)*$H366),"")</f>
        <v>252</v>
      </c>
      <c r="Z366" s="36">
        <f>IFERROR(IF(Y366=0,"",ROUNDUP(Y366/H366,0)*0.01898),"")</f>
        <v>0.53144000000000002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263.72222222222223</v>
      </c>
      <c r="BN366" s="64">
        <f>IFERROR(Y366*I366/H366,"0")</f>
        <v>265.83199999999999</v>
      </c>
      <c r="BO366" s="64">
        <f>IFERROR(1/J366*(X366/H366),"0")</f>
        <v>0.43402777777777779</v>
      </c>
      <c r="BP366" s="64">
        <f>IFERROR(1/J366*(Y366/H366),"0")</f>
        <v>0.4375</v>
      </c>
    </row>
    <row r="367" spans="1:68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27.777777777777779</v>
      </c>
      <c r="Y367" s="555">
        <f>IFERROR(Y365/H365,"0")+IFERROR(Y366/H366,"0")</f>
        <v>28</v>
      </c>
      <c r="Z367" s="555">
        <f>IFERROR(IF(Z365="",0,Z365),"0")+IFERROR(IF(Z366="",0,Z366),"0")</f>
        <v>0.53144000000000002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250</v>
      </c>
      <c r="Y368" s="555">
        <f>IFERROR(SUM(Y365:Y366),"0")</f>
        <v>252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350</v>
      </c>
      <c r="Y370" s="554">
        <f>IFERROR(IF(X370="",0,CEILING((X370/$H370),1)*$H370),"")</f>
        <v>351</v>
      </c>
      <c r="Z370" s="36">
        <f>IFERROR(IF(Y370=0,"",ROUNDUP(Y370/H370,0)*0.01898),"")</f>
        <v>0.74021999999999999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369.21111111111111</v>
      </c>
      <c r="BN370" s="64">
        <f>IFERROR(Y370*I370/H370,"0")</f>
        <v>370.26599999999996</v>
      </c>
      <c r="BO370" s="64">
        <f>IFERROR(1/J370*(X370/H370),"0")</f>
        <v>0.60763888888888884</v>
      </c>
      <c r="BP370" s="64">
        <f>IFERROR(1/J370*(Y370/H370),"0")</f>
        <v>0.609375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38.888888888888886</v>
      </c>
      <c r="Y371" s="555">
        <f>IFERROR(Y370/H370,"0")</f>
        <v>39</v>
      </c>
      <c r="Z371" s="555">
        <f>IFERROR(IF(Z370="",0,Z370),"0")</f>
        <v>0.74021999999999999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350</v>
      </c>
      <c r="Y372" s="555">
        <f>IFERROR(SUM(Y370:Y370),"0")</f>
        <v>351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250</v>
      </c>
      <c r="Y393" s="554">
        <f t="shared" ref="Y393:Y401" si="41">IFERROR(IF(X393="",0,CEILING((X393/$H393),1)*$H393),"")</f>
        <v>253.8</v>
      </c>
      <c r="Z393" s="36">
        <f>IFERROR(IF(Y393=0,"",ROUNDUP(Y393/H393,0)*0.00902),"")</f>
        <v>0.42393999999999998</v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258.7962962962963</v>
      </c>
      <c r="BN393" s="64">
        <f t="shared" ref="BN393:BN401" si="43">IFERROR(Y393*I393/H393,"0")</f>
        <v>262.72999999999996</v>
      </c>
      <c r="BO393" s="64">
        <f t="shared" ref="BO393:BO401" si="44">IFERROR(1/J393*(X393/H393),"0")</f>
        <v>0.35072951739618402</v>
      </c>
      <c r="BP393" s="64">
        <f t="shared" ref="BP393:BP401" si="45">IFERROR(1/J393*(Y393/H393),"0")</f>
        <v>0.35606060606060608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100</v>
      </c>
      <c r="Y394" s="554">
        <f t="shared" si="41"/>
        <v>102.60000000000001</v>
      </c>
      <c r="Z394" s="36">
        <f>IFERROR(IF(Y394=0,"",ROUNDUP(Y394/H394,0)*0.00902),"")</f>
        <v>0.17138</v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103.5185185185185</v>
      </c>
      <c r="BN394" s="64">
        <f t="shared" si="43"/>
        <v>106.21</v>
      </c>
      <c r="BO394" s="64">
        <f t="shared" si="44"/>
        <v>0.14029180695847362</v>
      </c>
      <c r="BP394" s="64">
        <f t="shared" si="45"/>
        <v>0.14393939393939395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300</v>
      </c>
      <c r="Y395" s="554">
        <f t="shared" si="41"/>
        <v>302.40000000000003</v>
      </c>
      <c r="Z395" s="36">
        <f>IFERROR(IF(Y395=0,"",ROUNDUP(Y395/H395,0)*0.00902),"")</f>
        <v>0.50512000000000001</v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310.55555555555554</v>
      </c>
      <c r="BN395" s="64">
        <f t="shared" si="43"/>
        <v>313.04000000000002</v>
      </c>
      <c r="BO395" s="64">
        <f t="shared" si="44"/>
        <v>0.42087542087542085</v>
      </c>
      <c r="BP395" s="64">
        <f t="shared" si="45"/>
        <v>0.42424242424242425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21</v>
      </c>
      <c r="Y398" s="554">
        <f t="shared" si="41"/>
        <v>21</v>
      </c>
      <c r="Z398" s="36">
        <f t="shared" si="46"/>
        <v>5.0200000000000002E-2</v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22.299999999999997</v>
      </c>
      <c r="BN398" s="64">
        <f t="shared" si="43"/>
        <v>22.299999999999997</v>
      </c>
      <c r="BO398" s="64">
        <f t="shared" si="44"/>
        <v>4.2735042735042736E-2</v>
      </c>
      <c r="BP398" s="64">
        <f t="shared" si="45"/>
        <v>4.2735042735042736E-2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35</v>
      </c>
      <c r="Y401" s="554">
        <f t="shared" si="41"/>
        <v>35.700000000000003</v>
      </c>
      <c r="Z401" s="36">
        <f t="shared" si="46"/>
        <v>8.5339999999999999E-2</v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37.166666666666664</v>
      </c>
      <c r="BN401" s="64">
        <f t="shared" si="43"/>
        <v>37.910000000000004</v>
      </c>
      <c r="BO401" s="64">
        <f t="shared" si="44"/>
        <v>7.1225071225071226E-2</v>
      </c>
      <c r="BP401" s="64">
        <f t="shared" si="45"/>
        <v>7.2649572649572655E-2</v>
      </c>
    </row>
    <row r="402" spans="1:68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147.03703703703701</v>
      </c>
      <c r="Y402" s="555">
        <f>IFERROR(Y393/H393,"0")+IFERROR(Y394/H394,"0")+IFERROR(Y395/H395,"0")+IFERROR(Y396/H396,"0")+IFERROR(Y397/H397,"0")+IFERROR(Y398/H398,"0")+IFERROR(Y399/H399,"0")+IFERROR(Y400/H400,"0")+IFERROR(Y401/H401,"0")</f>
        <v>149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1.2359799999999999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706</v>
      </c>
      <c r="Y403" s="555">
        <f>IFERROR(SUM(Y393:Y401),"0")</f>
        <v>715.50000000000011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400</v>
      </c>
      <c r="Y415" s="554">
        <f>IFERROR(IF(X415="",0,CEILING((X415/$H415),1)*$H415),"")</f>
        <v>405</v>
      </c>
      <c r="Z415" s="36">
        <f>IFERROR(IF(Y415=0,"",ROUNDUP(Y415/H415,0)*0.00902),"")</f>
        <v>0.67649999999999999</v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414.07407407407402</v>
      </c>
      <c r="BN415" s="64">
        <f>IFERROR(Y415*I415/H415,"0")</f>
        <v>419.24999999999994</v>
      </c>
      <c r="BO415" s="64">
        <f>IFERROR(1/J415*(X415/H415),"0")</f>
        <v>0.5611672278338945</v>
      </c>
      <c r="BP415" s="64">
        <f>IFERROR(1/J415*(Y415/H415),"0")</f>
        <v>0.56818181818181823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35</v>
      </c>
      <c r="Y418" s="554">
        <f>IFERROR(IF(X418="",0,CEILING((X418/$H418),1)*$H418),"")</f>
        <v>35.700000000000003</v>
      </c>
      <c r="Z418" s="36">
        <f>IFERROR(IF(Y418=0,"",ROUNDUP(Y418/H418,0)*0.00502),"")</f>
        <v>8.5339999999999999E-2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37.166666666666664</v>
      </c>
      <c r="BN418" s="64">
        <f>IFERROR(Y418*I418/H418,"0")</f>
        <v>37.910000000000004</v>
      </c>
      <c r="BO418" s="64">
        <f>IFERROR(1/J418*(X418/H418),"0")</f>
        <v>7.1225071225071226E-2</v>
      </c>
      <c r="BP418" s="64">
        <f>IFERROR(1/J418*(Y418/H418),"0")</f>
        <v>7.2649572649572655E-2</v>
      </c>
    </row>
    <row r="419" spans="1:68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90.740740740740733</v>
      </c>
      <c r="Y419" s="555">
        <f>IFERROR(Y415/H415,"0")+IFERROR(Y416/H416,"0")+IFERROR(Y417/H417,"0")+IFERROR(Y418/H418,"0")</f>
        <v>92</v>
      </c>
      <c r="Z419" s="555">
        <f>IFERROR(IF(Z415="",0,Z415),"0")+IFERROR(IF(Z416="",0,Z416),"0")+IFERROR(IF(Z417="",0,Z417),"0")+IFERROR(IF(Z418="",0,Z418),"0")</f>
        <v>0.76183999999999996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435</v>
      </c>
      <c r="Y420" s="555">
        <f>IFERROR(SUM(Y415:Y418),"0")</f>
        <v>440.7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30</v>
      </c>
      <c r="Y432" s="554">
        <f t="shared" si="47"/>
        <v>31.68</v>
      </c>
      <c r="Z432" s="36">
        <f t="shared" si="48"/>
        <v>7.1760000000000004E-2</v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31.988636363636363</v>
      </c>
      <c r="BN432" s="64">
        <f t="shared" si="50"/>
        <v>33.779999999999994</v>
      </c>
      <c r="BO432" s="64">
        <f t="shared" si="51"/>
        <v>5.4632867132867136E-2</v>
      </c>
      <c r="BP432" s="64">
        <f t="shared" si="52"/>
        <v>5.7692307692307696E-2</v>
      </c>
    </row>
    <row r="433" spans="1:68" ht="27" hidden="1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350</v>
      </c>
      <c r="Y435" s="554">
        <f t="shared" si="47"/>
        <v>353.76</v>
      </c>
      <c r="Z435" s="36">
        <f t="shared" si="48"/>
        <v>0.80132000000000003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373.20075757575756</v>
      </c>
      <c r="BN435" s="64">
        <f t="shared" si="50"/>
        <v>377.21</v>
      </c>
      <c r="BO435" s="64">
        <f t="shared" si="51"/>
        <v>0.63738344988344986</v>
      </c>
      <c r="BP435" s="64">
        <f t="shared" si="52"/>
        <v>0.64423076923076927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71.969696969696969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73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0.87308000000000008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380</v>
      </c>
      <c r="Y442" s="555">
        <f>IFERROR(SUM(Y429:Y440),"0")</f>
        <v>385.44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600</v>
      </c>
      <c r="Y444" s="554">
        <f>IFERROR(IF(X444="",0,CEILING((X444/$H444),1)*$H444),"")</f>
        <v>601.92000000000007</v>
      </c>
      <c r="Z444" s="36">
        <f>IFERROR(IF(Y444=0,"",ROUNDUP(Y444/H444,0)*0.01196),"")</f>
        <v>1.36344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639.77272727272725</v>
      </c>
      <c r="BN444" s="64">
        <f>IFERROR(Y444*I444/H444,"0")</f>
        <v>641.82000000000005</v>
      </c>
      <c r="BO444" s="64">
        <f>IFERROR(1/J444*(X444/H444),"0")</f>
        <v>1.0926573426573427</v>
      </c>
      <c r="BP444" s="64">
        <f>IFERROR(1/J444*(Y444/H444),"0")</f>
        <v>1.0961538461538463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113.63636363636363</v>
      </c>
      <c r="Y447" s="555">
        <f>IFERROR(Y444/H444,"0")+IFERROR(Y445/H445,"0")+IFERROR(Y446/H446,"0")</f>
        <v>114.00000000000001</v>
      </c>
      <c r="Z447" s="555">
        <f>IFERROR(IF(Z444="",0,Z444),"0")+IFERROR(IF(Z445="",0,Z445),"0")+IFERROR(IF(Z446="",0,Z446),"0")</f>
        <v>1.36344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600</v>
      </c>
      <c r="Y448" s="555">
        <f>IFERROR(SUM(Y444:Y446),"0")</f>
        <v>601.92000000000007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200</v>
      </c>
      <c r="Y450" s="554">
        <f t="shared" ref="Y450:Y455" si="53">IFERROR(IF(X450="",0,CEILING((X450/$H450),1)*$H450),"")</f>
        <v>200.64000000000001</v>
      </c>
      <c r="Z450" s="36">
        <f>IFERROR(IF(Y450=0,"",ROUNDUP(Y450/H450,0)*0.01196),"")</f>
        <v>0.45448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213.25757575757575</v>
      </c>
      <c r="BN450" s="64">
        <f t="shared" ref="BN450:BN455" si="55">IFERROR(Y450*I450/H450,"0")</f>
        <v>213.94</v>
      </c>
      <c r="BO450" s="64">
        <f t="shared" ref="BO450:BO455" si="56">IFERROR(1/J450*(X450/H450),"0")</f>
        <v>0.36421911421911418</v>
      </c>
      <c r="BP450" s="64">
        <f t="shared" ref="BP450:BP455" si="57">IFERROR(1/J450*(Y450/H450),"0")</f>
        <v>0.36538461538461542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100</v>
      </c>
      <c r="Y451" s="554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200</v>
      </c>
      <c r="Y452" s="554">
        <f t="shared" si="53"/>
        <v>200.64000000000001</v>
      </c>
      <c r="Z452" s="36">
        <f>IFERROR(IF(Y452=0,"",ROUNDUP(Y452/H452,0)*0.01196),"")</f>
        <v>0.45448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213.25757575757575</v>
      </c>
      <c r="BN452" s="64">
        <f t="shared" si="55"/>
        <v>213.94</v>
      </c>
      <c r="BO452" s="64">
        <f t="shared" si="56"/>
        <v>0.36421911421911418</v>
      </c>
      <c r="BP452" s="64">
        <f t="shared" si="57"/>
        <v>0.36538461538461542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94.696969696969688</v>
      </c>
      <c r="Y456" s="555">
        <f>IFERROR(Y450/H450,"0")+IFERROR(Y451/H451,"0")+IFERROR(Y452/H452,"0")+IFERROR(Y453/H453,"0")+IFERROR(Y454/H454,"0")+IFERROR(Y455/H455,"0")</f>
        <v>95</v>
      </c>
      <c r="Z456" s="555">
        <f>IFERROR(IF(Z450="",0,Z450),"0")+IFERROR(IF(Z451="",0,Z451),"0")+IFERROR(IF(Z452="",0,Z452),"0")+IFERROR(IF(Z453="",0,Z453),"0")+IFERROR(IF(Z454="",0,Z454),"0")+IFERROR(IF(Z455="",0,Z455),"0")</f>
        <v>1.1362000000000001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500</v>
      </c>
      <c r="Y457" s="555">
        <f>IFERROR(SUM(Y450:Y455),"0")</f>
        <v>501.6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200</v>
      </c>
      <c r="Y477" s="554">
        <f>IFERROR(IF(X477="",0,CEILING((X477/$H477),1)*$H477),"")</f>
        <v>201.60000000000002</v>
      </c>
      <c r="Z477" s="36">
        <f>IFERROR(IF(Y477=0,"",ROUNDUP(Y477/H477,0)*0.00902),"")</f>
        <v>0.43296000000000001</v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211.9047619047619</v>
      </c>
      <c r="BN477" s="64">
        <f>IFERROR(Y477*I477/H477,"0")</f>
        <v>213.60000000000002</v>
      </c>
      <c r="BO477" s="64">
        <f>IFERROR(1/J477*(X477/H477),"0")</f>
        <v>0.36075036075036077</v>
      </c>
      <c r="BP477" s="64">
        <f>IFERROR(1/J477*(Y477/H477),"0")</f>
        <v>0.36363636363636365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47.61904761904762</v>
      </c>
      <c r="Y479" s="555">
        <f>IFERROR(Y477/H477,"0")+IFERROR(Y478/H478,"0")</f>
        <v>48</v>
      </c>
      <c r="Z479" s="555">
        <f>IFERROR(IF(Z477="",0,Z477),"0")+IFERROR(IF(Z478="",0,Z478),"0")</f>
        <v>0.43296000000000001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200</v>
      </c>
      <c r="Y480" s="555">
        <f>IFERROR(SUM(Y477:Y478),"0")</f>
        <v>201.60000000000002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17116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17211.36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17789.529605579606</v>
      </c>
      <c r="Y496" s="555">
        <f>IFERROR(SUM(BN22:BN492),"0")</f>
        <v>17889.283999999996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26</v>
      </c>
      <c r="Y497" s="38">
        <f>ROUNDUP(SUM(BP22:BP492),0)</f>
        <v>26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18439.529605579606</v>
      </c>
      <c r="Y498" s="555">
        <f>GrossWeightTotalR+PalletQtyTotalR*25</f>
        <v>18539.283999999996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1786.6786916786916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1800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28.63588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192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259.20000000000005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509.40000000000009</v>
      </c>
      <c r="E505" s="46">
        <f>IFERROR(Y85*1,"0")+IFERROR(Y86*1,"0")+IFERROR(Y87*1,"0")+IFERROR(Y88*1,"0")+IFERROR(Y92*1,"0")+IFERROR(Y93*1,"0")+IFERROR(Y94*1,"0")+IFERROR(Y95*1,"0")</f>
        <v>756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351.00000000000006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252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120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504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11613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715.50000000000011</v>
      </c>
      <c r="V505" s="46">
        <f>IFERROR(Y411*1,"0")+IFERROR(Y415*1,"0")+IFERROR(Y416*1,"0")+IFERROR(Y417*1,"0")+IFERROR(Y418*1,"0")</f>
        <v>440.7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1488.9600000000003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201.60000000000002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 786,68"/>
        <filter val="100,00"/>
        <filter val="113,64"/>
        <filter val="120,00"/>
        <filter val="147,04"/>
        <filter val="150,00"/>
        <filter val="17 116,00"/>
        <filter val="17 789,53"/>
        <filter val="18 439,53"/>
        <filter val="18,52"/>
        <filter val="2 000,00"/>
        <filter val="200,00"/>
        <filter val="21,00"/>
        <filter val="23,15"/>
        <filter val="250,00"/>
        <filter val="26"/>
        <filter val="27,78"/>
        <filter val="295,00"/>
        <filter val="3 000,00"/>
        <filter val="30,00"/>
        <filter val="300,00"/>
        <filter val="32,41"/>
        <filter val="33,15"/>
        <filter val="33,33"/>
        <filter val="35,00"/>
        <filter val="35,71"/>
        <filter val="350,00"/>
        <filter val="38,89"/>
        <filter val="380,00"/>
        <filter val="390,00"/>
        <filter val="4 500,00"/>
        <filter val="400,00"/>
        <filter val="41,67"/>
        <filter val="433,33"/>
        <filter val="435,00"/>
        <filter val="45,00"/>
        <filter val="47,62"/>
        <filter val="50,00"/>
        <filter val="500,00"/>
        <filter val="59,52"/>
        <filter val="6 500,00"/>
        <filter val="600,00"/>
        <filter val="70,37"/>
        <filter val="706,00"/>
        <filter val="71,97"/>
        <filter val="90,00"/>
        <filter val="90,74"/>
        <filter val="94,7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2026-01-09T10:34:35Z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