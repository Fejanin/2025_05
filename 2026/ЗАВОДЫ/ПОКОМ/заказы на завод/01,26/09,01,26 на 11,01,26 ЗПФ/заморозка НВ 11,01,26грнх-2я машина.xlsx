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B96035-3637-4046-B8E3-CB0A322F12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4" i="1"/>
  <c r="Y271" i="1"/>
  <c r="Y273" i="1" s="1"/>
  <c r="X273" i="1"/>
  <c r="Y270" i="1"/>
  <c r="C283" i="1" l="1"/>
  <c r="B283" i="1"/>
  <c r="A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<sst xmlns="http://schemas.openxmlformats.org/spreadsheetml/2006/main" count="1223" uniqueCount="395">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</sst>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46033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Воскресенье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112</v>
      </c>
      <c r="Y39" s="269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154</v>
      </c>
      <c r="Y40" s="269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266</v>
      </c>
      <c r="Y41" s="270">
        <f>IFERROR(SUM(Y39:Y40),"0")</f>
        <v>266</v>
      </c>
      <c r="Z41" s="270">
        <f>IFERROR(IF(Z39="",0,Z39),"0")+IFERROR(IF(Z40="",0,Z40),"0")</f>
        <v>2.5030600000000001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399</v>
      </c>
      <c r="Y42" s="270">
        <f>IFERROR(SUMPRODUCT(Y39:Y40*H39:H40),"0")</f>
        <v>399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60</v>
      </c>
      <c r="Y45" s="269">
        <f>IFERROR(IF(X45="","",X45),"")</f>
        <v>60</v>
      </c>
      <c r="Z45" s="36">
        <f>IFERROR(IF(X45="","",X45*0.0155),"")</f>
        <v>0.92999999999999994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352.2</v>
      </c>
      <c r="BN45" s="67">
        <f>IFERROR(Y45*I45,"0")</f>
        <v>352.2</v>
      </c>
      <c r="BO45" s="67">
        <f>IFERROR(X45/J45,"0")</f>
        <v>0.7142857142857143</v>
      </c>
      <c r="BP45" s="67">
        <f>IFERROR(Y45/J45,"0")</f>
        <v>0.7142857142857143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60</v>
      </c>
      <c r="Y46" s="269">
        <f>IFERROR(IF(X46="","",X46),"")</f>
        <v>60</v>
      </c>
      <c r="Z46" s="36">
        <f>IFERROR(IF(X46="","",X46*0.0155),"")</f>
        <v>0.92999999999999994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352.2</v>
      </c>
      <c r="BN46" s="67">
        <f>IFERROR(Y46*I46,"0")</f>
        <v>352.2</v>
      </c>
      <c r="BO46" s="67">
        <f>IFERROR(X46/J46,"0")</f>
        <v>0.7142857142857143</v>
      </c>
      <c r="BP46" s="67">
        <f>IFERROR(Y46/J46,"0")</f>
        <v>0.7142857142857143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144</v>
      </c>
      <c r="Y48" s="270">
        <f>IFERROR(SUM(Y45:Y47),"0")</f>
        <v>144</v>
      </c>
      <c r="Z48" s="270">
        <f>IFERROR(IF(Z45="",0,Z45),"0")+IFERROR(IF(Z46="",0,Z46),"0")+IFERROR(IF(Z47="",0,Z47),"0")</f>
        <v>2.2319999999999998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806.4</v>
      </c>
      <c r="Y49" s="270">
        <f>IFERROR(SUMPRODUCT(Y45:Y47*H45:H47),"0")</f>
        <v>806.4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36</v>
      </c>
      <c r="Y54" s="26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241.90559999999999</v>
      </c>
      <c r="BN54" s="67">
        <f>IFERROR(Y54*I54,"0")</f>
        <v>241.90559999999999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566.4</v>
      </c>
      <c r="Y57" s="270">
        <f>IFERROR(SUMPRODUCT(Y52:Y55*H52:H55),"0")</f>
        <v>566.4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36</v>
      </c>
      <c r="Y81" s="269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36</v>
      </c>
      <c r="Y82" s="270">
        <f>IFERROR(SUM(Y80:Y81),"0")</f>
        <v>36</v>
      </c>
      <c r="Z82" s="270">
        <f>IFERROR(IF(Z80="",0,Z80),"0")+IFERROR(IF(Z81="",0,Z81),"0")</f>
        <v>0.31175999999999998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180</v>
      </c>
      <c r="Y83" s="270">
        <f>IFERROR(SUMPRODUCT(Y80:Y81*H80:H81),"0")</f>
        <v>180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98</v>
      </c>
      <c r="Y91" s="269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70</v>
      </c>
      <c r="Y92" s="269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168</v>
      </c>
      <c r="Y93" s="270">
        <f>IFERROR(SUM(Y91:Y92),"0")</f>
        <v>168</v>
      </c>
      <c r="Z93" s="270">
        <f>IFERROR(IF(Z91="",0,Z91),"0")+IFERROR(IF(Z92="",0,Z92),"0")</f>
        <v>3.0038400000000003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604.79999999999995</v>
      </c>
      <c r="Y94" s="270">
        <f>IFERROR(SUMPRODUCT(Y91:Y92*H91:H92),"0")</f>
        <v>604.79999999999995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98</v>
      </c>
      <c r="Y97" s="269">
        <f t="shared" ref="Y97:Y102" si="6">IFERROR(IF(X97="","",X97),"")</f>
        <v>98</v>
      </c>
      <c r="Z97" s="36">
        <f t="shared" ref="Z97:Z102" si="7">IFERROR(IF(X97="","",X97*0.01788),"")</f>
        <v>1.75224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351.19280000000003</v>
      </c>
      <c r="BN97" s="67">
        <f t="shared" ref="BN97:BN102" si="9">IFERROR(Y97*I97,"0")</f>
        <v>351.19280000000003</v>
      </c>
      <c r="BO97" s="67">
        <f t="shared" ref="BO97:BO102" si="10">IFERROR(X97/J97,"0")</f>
        <v>1.4</v>
      </c>
      <c r="BP97" s="67">
        <f t="shared" ref="BP97:BP102" si="11">IFERROR(Y97/J97,"0")</f>
        <v>1.4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42</v>
      </c>
      <c r="Y101" s="269">
        <f t="shared" si="6"/>
        <v>42</v>
      </c>
      <c r="Z101" s="36">
        <f t="shared" si="7"/>
        <v>0.75095999999999996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336</v>
      </c>
      <c r="Y103" s="270">
        <f>IFERROR(SUM(Y97:Y102),"0")</f>
        <v>336</v>
      </c>
      <c r="Z103" s="270">
        <f>IFERROR(IF(Z97="",0,Z97),"0")+IFERROR(IF(Z98="",0,Z98),"0")+IFERROR(IF(Z99="",0,Z99),"0")+IFERROR(IF(Z100="",0,Z100),"0")+IFERROR(IF(Z101="",0,Z101),"0")+IFERROR(IF(Z102="",0,Z102),"0")</f>
        <v>6.0076799999999997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1026.48</v>
      </c>
      <c r="Y104" s="270">
        <f>IFERROR(SUMPRODUCT(Y97:Y102*H97:H102),"0")</f>
        <v>1026.48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144</v>
      </c>
      <c r="Y116" s="269">
        <f t="shared" si="12"/>
        <v>144</v>
      </c>
      <c r="Z116" s="36">
        <f t="shared" si="13"/>
        <v>2.2320000000000002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84</v>
      </c>
      <c r="Y118" s="269">
        <f t="shared" si="12"/>
        <v>84</v>
      </c>
      <c r="Z118" s="36">
        <f t="shared" si="13"/>
        <v>1.302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564.44640000000004</v>
      </c>
      <c r="BN118" s="67">
        <f t="shared" si="15"/>
        <v>564.44640000000004</v>
      </c>
      <c r="BO118" s="67">
        <f t="shared" si="16"/>
        <v>1</v>
      </c>
      <c r="BP118" s="67">
        <f t="shared" si="17"/>
        <v>1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96</v>
      </c>
      <c r="Y119" s="269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360</v>
      </c>
      <c r="Y121" s="270">
        <f>IFERROR(SUM(Y113:Y120),"0")</f>
        <v>360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5.58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2448</v>
      </c>
      <c r="Y122" s="270">
        <f>IFERROR(SUMPRODUCT(Y113:Y120*H113:H120),"0")</f>
        <v>2448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84</v>
      </c>
      <c r="Y133" s="269">
        <f>IFERROR(IF(X133="","",X133),"")</f>
        <v>84</v>
      </c>
      <c r="Z133" s="36">
        <f>IFERROR(IF(X133="","",X133*0.01788),"")</f>
        <v>1.5019199999999999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311.10239999999999</v>
      </c>
      <c r="BN133" s="67">
        <f>IFERROR(Y133*I133,"0")</f>
        <v>311.10239999999999</v>
      </c>
      <c r="BO133" s="67">
        <f>IFERROR(X133/J133,"0")</f>
        <v>1.2</v>
      </c>
      <c r="BP133" s="67">
        <f>IFERROR(Y133/J133,"0")</f>
        <v>1.2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126</v>
      </c>
      <c r="Y134" s="269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210</v>
      </c>
      <c r="Y135" s="270">
        <f>IFERROR(SUM(Y133:Y134),"0")</f>
        <v>210</v>
      </c>
      <c r="Z135" s="270">
        <f>IFERROR(IF(Z133="",0,Z133),"0")+IFERROR(IF(Z134="",0,Z134),"0")</f>
        <v>3.7548000000000004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630</v>
      </c>
      <c r="Y136" s="270">
        <f>IFERROR(SUMPRODUCT(Y133:Y134*H133:H134),"0")</f>
        <v>630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182</v>
      </c>
      <c r="Y140" s="269">
        <f>IFERROR(IF(X140="","",X140),"")</f>
        <v>182</v>
      </c>
      <c r="Z140" s="36">
        <f>IFERROR(IF(X140="","",X140*0.01788),"")</f>
        <v>3.2541600000000002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674.05520000000001</v>
      </c>
      <c r="BN140" s="67">
        <f>IFERROR(Y140*I140,"0")</f>
        <v>674.05520000000001</v>
      </c>
      <c r="BO140" s="67">
        <f>IFERROR(X140/J140,"0")</f>
        <v>2.6</v>
      </c>
      <c r="BP140" s="67">
        <f>IFERROR(Y140/J140,"0")</f>
        <v>2.6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182</v>
      </c>
      <c r="Y141" s="270">
        <f>IFERROR(SUM(Y139:Y140),"0")</f>
        <v>182</v>
      </c>
      <c r="Z141" s="270">
        <f>IFERROR(IF(Z139="",0,Z139),"0")+IFERROR(IF(Z140="",0,Z140),"0")</f>
        <v>3.2541600000000002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546</v>
      </c>
      <c r="Y142" s="270">
        <f>IFERROR(SUMPRODUCT(Y139:Y140*H139:H140),"0")</f>
        <v>546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126</v>
      </c>
      <c r="Y145" s="269">
        <f>IFERROR(IF(X145="","",X145),"")</f>
        <v>126</v>
      </c>
      <c r="Z145" s="36">
        <f>IFERROR(IF(X145="","",X145*0.01788),"")</f>
        <v>2.2528800000000002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337.68</v>
      </c>
      <c r="BN145" s="67">
        <f>IFERROR(Y145*I145,"0")</f>
        <v>337.68</v>
      </c>
      <c r="BO145" s="67">
        <f>IFERROR(X145/J145,"0")</f>
        <v>1.8</v>
      </c>
      <c r="BP145" s="67">
        <f>IFERROR(Y145/J145,"0")</f>
        <v>1.8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154</v>
      </c>
      <c r="Y147" s="270">
        <f>IFERROR(SUM(Y145:Y146),"0")</f>
        <v>154</v>
      </c>
      <c r="Z147" s="270">
        <f>IFERROR(IF(Z145="",0,Z145),"0")+IFERROR(IF(Z146="",0,Z146),"0")</f>
        <v>2.75352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369.59999999999997</v>
      </c>
      <c r="Y148" s="270">
        <f>IFERROR(SUMPRODUCT(Y145:Y146*H145:H146),"0")</f>
        <v>369.59999999999997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56</v>
      </c>
      <c r="Y151" s="269">
        <f>IFERROR(IF(X151="","",X151),"")</f>
        <v>56</v>
      </c>
      <c r="Z151" s="36">
        <f>IFERROR(IF(X151="","",X151*0.01788),"")</f>
        <v>1.0012799999999999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207.40159999999997</v>
      </c>
      <c r="BN151" s="67">
        <f>IFERROR(Y151*I151,"0")</f>
        <v>207.40159999999997</v>
      </c>
      <c r="BO151" s="67">
        <f>IFERROR(X151/J151,"0")</f>
        <v>0.8</v>
      </c>
      <c r="BP151" s="67">
        <f>IFERROR(Y151/J151,"0")</f>
        <v>0.8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56</v>
      </c>
      <c r="Y152" s="270">
        <f>IFERROR(SUM(Y151:Y151),"0")</f>
        <v>56</v>
      </c>
      <c r="Z152" s="270">
        <f>IFERROR(IF(Z151="",0,Z151),"0")</f>
        <v>1.0012799999999999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168</v>
      </c>
      <c r="Y153" s="270">
        <f>IFERROR(SUMPRODUCT(Y151:Y151*H151:H151),"0")</f>
        <v>168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126</v>
      </c>
      <c r="Y166" s="269">
        <f>IFERROR(IF(X166="","",X166),"")</f>
        <v>126</v>
      </c>
      <c r="Z166" s="36">
        <f>IFERROR(IF(X166="","",X166*0.00941),"")</f>
        <v>1.1856599999999999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264.82679999999999</v>
      </c>
      <c r="BN166" s="67">
        <f>IFERROR(Y166*I166,"0")</f>
        <v>264.82679999999999</v>
      </c>
      <c r="BO166" s="67">
        <f>IFERROR(X166/J166,"0")</f>
        <v>0.9</v>
      </c>
      <c r="BP166" s="67">
        <f>IFERROR(Y166/J166,"0")</f>
        <v>0.9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126</v>
      </c>
      <c r="Y167" s="270">
        <f>IFERROR(SUM(Y166:Y166),"0")</f>
        <v>126</v>
      </c>
      <c r="Z167" s="270">
        <f>IFERROR(IF(Z166="",0,Z166),"0")</f>
        <v>1.1856599999999999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211.67999999999998</v>
      </c>
      <c r="Y168" s="270">
        <f>IFERROR(SUMPRODUCT(Y166:Y166*H166:H166),"0")</f>
        <v>211.67999999999998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126</v>
      </c>
      <c r="Y179" s="269">
        <f>IFERROR(IF(X179="","",X179),"")</f>
        <v>126</v>
      </c>
      <c r="Z179" s="36">
        <f>IFERROR(IF(X179="","",X179*0.01788),"")</f>
        <v>2.2528800000000002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426.88799999999998</v>
      </c>
      <c r="BN179" s="67">
        <f>IFERROR(Y179*I179,"0")</f>
        <v>426.88799999999998</v>
      </c>
      <c r="BO179" s="67">
        <f>IFERROR(X179/J179,"0")</f>
        <v>1.8</v>
      </c>
      <c r="BP179" s="67">
        <f>IFERROR(Y179/J179,"0")</f>
        <v>1.8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168</v>
      </c>
      <c r="Y182" s="270">
        <f>IFERROR(SUM(Y179:Y181),"0")</f>
        <v>168</v>
      </c>
      <c r="Z182" s="270">
        <f>IFERROR(IF(Z179="",0,Z179),"0")+IFERROR(IF(Z180="",0,Z180),"0")+IFERROR(IF(Z181="",0,Z181),"0")</f>
        <v>3.0038400000000003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504</v>
      </c>
      <c r="Y183" s="270">
        <f>IFERROR(SUMPRODUCT(Y179:Y181*H179:H181),"0")</f>
        <v>504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48</v>
      </c>
      <c r="Y247" s="269">
        <f>IFERROR(IF(X247="","",X247),"")</f>
        <v>48</v>
      </c>
      <c r="Z247" s="36">
        <f>IFERROR(IF(X247="","",X247*0.0155),"")</f>
        <v>0.74399999999999999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300.48</v>
      </c>
      <c r="BN247" s="67">
        <f>IFERROR(Y247*I247,"0")</f>
        <v>300.48</v>
      </c>
      <c r="BO247" s="67">
        <f>IFERROR(X247/J247,"0")</f>
        <v>0.5714285714285714</v>
      </c>
      <c r="BP247" s="67">
        <f>IFERROR(Y247/J247,"0")</f>
        <v>0.5714285714285714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48</v>
      </c>
      <c r="Y249" s="270">
        <f>IFERROR(SUM(Y247:Y248),"0")</f>
        <v>48</v>
      </c>
      <c r="Z249" s="270">
        <f>IFERROR(IF(Z247="",0,Z247),"0")+IFERROR(IF(Z248="",0,Z248),"0")</f>
        <v>0.74399999999999999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288</v>
      </c>
      <c r="Y250" s="270">
        <f>IFERROR(SUMPRODUCT(Y247:Y248*H247:H248),"0")</f>
        <v>288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126</v>
      </c>
      <c r="Y259" s="269">
        <f t="shared" si="18"/>
        <v>126</v>
      </c>
      <c r="Z259" s="36">
        <f>IFERROR(IF(X259="","",X259*0.00936),"")</f>
        <v>1.17936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490.392</v>
      </c>
      <c r="BN259" s="67">
        <f t="shared" si="20"/>
        <v>490.392</v>
      </c>
      <c r="BO259" s="67">
        <f t="shared" si="21"/>
        <v>1</v>
      </c>
      <c r="BP259" s="67">
        <f t="shared" si="22"/>
        <v>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96</v>
      </c>
      <c r="Y260" s="269">
        <f t="shared" si="18"/>
        <v>96</v>
      </c>
      <c r="Z260" s="36">
        <f>IFERROR(IF(X260="","",X260*0.0155),"")</f>
        <v>1.488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550.56000000000006</v>
      </c>
      <c r="BN260" s="67">
        <f t="shared" si="20"/>
        <v>550.56000000000006</v>
      </c>
      <c r="BO260" s="67">
        <f t="shared" si="21"/>
        <v>1.1428571428571428</v>
      </c>
      <c r="BP260" s="67">
        <f t="shared" si="22"/>
        <v>1.1428571428571428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112</v>
      </c>
      <c r="Y261" s="269">
        <f t="shared" si="18"/>
        <v>112</v>
      </c>
      <c r="Z261" s="36">
        <f t="shared" ref="Z261:Z266" si="23">IFERROR(IF(X261="","",X261*0.00936),"")</f>
        <v>1.0483199999999999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357.50400000000002</v>
      </c>
      <c r="BN261" s="67">
        <f t="shared" si="20"/>
        <v>357.50400000000002</v>
      </c>
      <c r="BO261" s="67">
        <f t="shared" si="21"/>
        <v>0.88888888888888884</v>
      </c>
      <c r="BP261" s="67">
        <f t="shared" si="22"/>
        <v>0.88888888888888884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252</v>
      </c>
      <c r="Y262" s="269">
        <f t="shared" si="18"/>
        <v>252</v>
      </c>
      <c r="Z262" s="36">
        <f t="shared" si="23"/>
        <v>2.3587199999999999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980.78399999999999</v>
      </c>
      <c r="BN262" s="67">
        <f t="shared" si="20"/>
        <v>980.78399999999999</v>
      </c>
      <c r="BO262" s="67">
        <f t="shared" si="21"/>
        <v>2</v>
      </c>
      <c r="BP262" s="67">
        <f t="shared" si="22"/>
        <v>2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586</v>
      </c>
      <c r="Y268" s="270">
        <f>IFERROR(SUM(Y258:Y267),"0")</f>
        <v>586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6.0743999999999998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2262.6000000000004</v>
      </c>
      <c r="Y269" s="270">
        <f>IFERROR(SUMPRODUCT(Y258:Y267*H258:H267),"0")</f>
        <v>2262.6000000000004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11061.36</v>
      </c>
      <c r="Y270" s="270">
        <f>IFERROR(Y29+Y35+Y42+Y49+Y57+Y62+Y66+Y71+Y77+Y83+Y88+Y94+Y104+Y110+Y122+Y126+Y130+Y136+Y142+Y148+Y153+Y158+Y163+Y168+Y175+Y183+Y187+Y193+Y201+Y206+Y211+Y216+Y222+Y228+Y234+Y238+Y245+Y250+Y256+Y269,"0")</f>
        <v>11061.36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12317.3968</v>
      </c>
      <c r="Y271" s="270">
        <f>IFERROR(SUM(BN22:BN267),"0")</f>
        <v>12317.3968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35</v>
      </c>
      <c r="Y272" s="38">
        <f>ROUNDUP(SUM(BP22:BP267),0)</f>
        <v>35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13192.3968</v>
      </c>
      <c r="Y273" s="270">
        <f>GrossWeightTotalR+PalletQtyTotalR*25</f>
        <v>13192.3968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2938</v>
      </c>
      <c r="Y274" s="270">
        <f>IFERROR(Y28+Y34+Y41+Y48+Y56+Y61+Y65+Y70+Y76+Y82+Y87+Y93+Y103+Y109+Y121+Y125+Y129+Y135+Y141+Y147+Y152+Y157+Y162+Y167+Y174+Y182+Y186+Y192+Y200+Y205+Y210+Y215+Y221+Y227+Y233+Y237+Y244+Y249+Y255+Y268,"0")</f>
        <v>2938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42.962319999999991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399</v>
      </c>
      <c r="E280" s="46">
        <f>IFERROR(X45*H45,"0")+IFERROR(X46*H46,"0")+IFERROR(X47*H47,"0")</f>
        <v>806.4</v>
      </c>
      <c r="F280" s="46">
        <f>IFERROR(X52*H52,"0")+IFERROR(X53*H53,"0")+IFERROR(X54*H54,"0")+IFERROR(X55*H55,"0")</f>
        <v>566.4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180</v>
      </c>
      <c r="I280" s="46">
        <f>IFERROR(X86*H86,"0")</f>
        <v>50.4</v>
      </c>
      <c r="J280" s="46">
        <f>IFERROR(X91*H91,"0")+IFERROR(X92*H92,"0")</f>
        <v>604.79999999999995</v>
      </c>
      <c r="K280" s="46">
        <f>IFERROR(X97*H97,"0")+IFERROR(X98*H98,"0")+IFERROR(X99*H99,"0")+IFERROR(X100*H100,"0")+IFERROR(X101*H101,"0")+IFERROR(X102*H102,"0")</f>
        <v>1026.48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2448</v>
      </c>
      <c r="N280" s="266"/>
      <c r="O280" s="46">
        <f>IFERROR(X133*H133,"0")+IFERROR(X134*H134,"0")</f>
        <v>630</v>
      </c>
      <c r="P280" s="46">
        <f>IFERROR(X139*H139,"0")+IFERROR(X140*H140,"0")</f>
        <v>546</v>
      </c>
      <c r="Q280" s="46">
        <f>IFERROR(X145*H145,"0")+IFERROR(X146*H146,"0")</f>
        <v>369.59999999999997</v>
      </c>
      <c r="R280" s="46">
        <f>IFERROR(X151*H151,"0")</f>
        <v>168</v>
      </c>
      <c r="S280" s="46">
        <f>IFERROR(X156*H156,"0")</f>
        <v>0</v>
      </c>
      <c r="T280" s="46">
        <f>IFERROR(X161*H161,"0")</f>
        <v>0</v>
      </c>
      <c r="U280" s="46">
        <f>IFERROR(X166*H166,"0")</f>
        <v>211.67999999999998</v>
      </c>
      <c r="V280" s="46">
        <f>IFERROR(X172*H172,"0")+IFERROR(X173*H173,"0")</f>
        <v>0</v>
      </c>
      <c r="W280" s="46">
        <f>IFERROR(X179*H179,"0")+IFERROR(X180*H180,"0")+IFERROR(X181*H181,"0")+IFERROR(X185*H185,"0")</f>
        <v>504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2550.6000000000004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4000.7999999999997</v>
      </c>
      <c r="B283" s="60">
        <f>SUMPRODUCT(--(BB:BB="ПГП"),--(W:W="кор"),H:H,Y:Y)+SUMPRODUCT(--(BB:BB="ПГП"),--(W:W="кг"),Y:Y)</f>
        <v>7060.5599999999995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6,48"/>
        <filter val="11 061,36"/>
        <filter val="112,00"/>
        <filter val="12 317,40"/>
        <filter val="126,00"/>
        <filter val="13 192,40"/>
        <filter val="14,00"/>
        <filter val="144,00"/>
        <filter val="154,00"/>
        <filter val="168,00"/>
        <filter val="180,00"/>
        <filter val="182,00"/>
        <filter val="2 262,60"/>
        <filter val="2 448,00"/>
        <filter val="2 938,00"/>
        <filter val="210,00"/>
        <filter val="211,68"/>
        <filter val="24,00"/>
        <filter val="252,00"/>
        <filter val="266,00"/>
        <filter val="28,00"/>
        <filter val="288,00"/>
        <filter val="336,00"/>
        <filter val="35"/>
        <filter val="36,00"/>
        <filter val="360,00"/>
        <filter val="369,60"/>
        <filter val="399,00"/>
        <filter val="42,00"/>
        <filter val="48,00"/>
        <filter val="50,40"/>
        <filter val="504,00"/>
        <filter val="546,00"/>
        <filter val="56,00"/>
        <filter val="566,40"/>
        <filter val="586,00"/>
        <filter val="60,00"/>
        <filter val="604,80"/>
        <filter val="630,00"/>
        <filter val="70,00"/>
        <filter val="806,40"/>
        <filter val="84,00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