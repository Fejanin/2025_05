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7F1A95-620B-4F2A-B3FE-96FCE1FAC7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Z504" i="1" s="1"/>
  <c r="P491" i="1"/>
  <c r="X488" i="1"/>
  <c r="X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Y448" i="1" s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Y389" i="1" s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T504" i="1" s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6" i="1"/>
  <c r="X345" i="1"/>
  <c r="BO344" i="1"/>
  <c r="BM344" i="1"/>
  <c r="Y344" i="1"/>
  <c r="Z344" i="1" s="1"/>
  <c r="P344" i="1"/>
  <c r="BO343" i="1"/>
  <c r="BM343" i="1"/>
  <c r="Y343" i="1"/>
  <c r="P343" i="1"/>
  <c r="BO342" i="1"/>
  <c r="BM342" i="1"/>
  <c r="Y342" i="1"/>
  <c r="Y346" i="1" s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Y313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O504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Y229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Y225" i="1" s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39" i="1"/>
  <c r="X138" i="1"/>
  <c r="BO137" i="1"/>
  <c r="BM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04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N27" i="1"/>
  <c r="BM27" i="1"/>
  <c r="Z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F10" i="1" s="1"/>
  <c r="D7" i="1"/>
  <c r="Q6" i="1"/>
  <c r="P2" i="1"/>
  <c r="BP54" i="1" l="1"/>
  <c r="BN54" i="1"/>
  <c r="Z54" i="1"/>
  <c r="BP85" i="1"/>
  <c r="BN85" i="1"/>
  <c r="Z85" i="1"/>
  <c r="BP114" i="1"/>
  <c r="BN114" i="1"/>
  <c r="Z114" i="1"/>
  <c r="BP152" i="1"/>
  <c r="BN152" i="1"/>
  <c r="Z152" i="1"/>
  <c r="BP184" i="1"/>
  <c r="BN184" i="1"/>
  <c r="Z184" i="1"/>
  <c r="BP185" i="1"/>
  <c r="BN185" i="1"/>
  <c r="Z185" i="1"/>
  <c r="BP218" i="1"/>
  <c r="BN218" i="1"/>
  <c r="Z218" i="1"/>
  <c r="BP241" i="1"/>
  <c r="BN241" i="1"/>
  <c r="Z241" i="1"/>
  <c r="BP273" i="1"/>
  <c r="BN273" i="1"/>
  <c r="Z273" i="1"/>
  <c r="BP308" i="1"/>
  <c r="BN308" i="1"/>
  <c r="Z308" i="1"/>
  <c r="BP336" i="1"/>
  <c r="BN336" i="1"/>
  <c r="Z336" i="1"/>
  <c r="BP380" i="1"/>
  <c r="BN380" i="1"/>
  <c r="Z380" i="1"/>
  <c r="BP417" i="1"/>
  <c r="BN417" i="1"/>
  <c r="Z417" i="1"/>
  <c r="BP451" i="1"/>
  <c r="BN451" i="1"/>
  <c r="Z451" i="1"/>
  <c r="X496" i="1"/>
  <c r="BP66" i="1"/>
  <c r="BN66" i="1"/>
  <c r="Z66" i="1"/>
  <c r="BP100" i="1"/>
  <c r="BN100" i="1"/>
  <c r="Z100" i="1"/>
  <c r="BP137" i="1"/>
  <c r="BN137" i="1"/>
  <c r="Z137" i="1"/>
  <c r="BP172" i="1"/>
  <c r="BN172" i="1"/>
  <c r="Z172" i="1"/>
  <c r="Y213" i="1"/>
  <c r="BP206" i="1"/>
  <c r="BN206" i="1"/>
  <c r="Z206" i="1"/>
  <c r="BP233" i="1"/>
  <c r="BN233" i="1"/>
  <c r="Z233" i="1"/>
  <c r="BP262" i="1"/>
  <c r="BN262" i="1"/>
  <c r="Z262" i="1"/>
  <c r="BP298" i="1"/>
  <c r="BN298" i="1"/>
  <c r="Z298" i="1"/>
  <c r="BP322" i="1"/>
  <c r="BN322" i="1"/>
  <c r="Z322" i="1"/>
  <c r="BP355" i="1"/>
  <c r="BN355" i="1"/>
  <c r="Z355" i="1"/>
  <c r="BP398" i="1"/>
  <c r="BN398" i="1"/>
  <c r="Z398" i="1"/>
  <c r="BP435" i="1"/>
  <c r="BN435" i="1"/>
  <c r="Z435" i="1"/>
  <c r="BP467" i="1"/>
  <c r="BN467" i="1"/>
  <c r="Z467" i="1"/>
  <c r="Y180" i="1"/>
  <c r="Y259" i="1"/>
  <c r="Y267" i="1"/>
  <c r="Y383" i="1"/>
  <c r="BP318" i="1"/>
  <c r="BN318" i="1"/>
  <c r="Z318" i="1"/>
  <c r="BP330" i="1"/>
  <c r="BN330" i="1"/>
  <c r="Z330" i="1"/>
  <c r="BP353" i="1"/>
  <c r="BN353" i="1"/>
  <c r="Z353" i="1"/>
  <c r="BP376" i="1"/>
  <c r="BN376" i="1"/>
  <c r="Z376" i="1"/>
  <c r="BP396" i="1"/>
  <c r="BN396" i="1"/>
  <c r="Z396" i="1"/>
  <c r="Y412" i="1"/>
  <c r="BP411" i="1"/>
  <c r="BN411" i="1"/>
  <c r="Z411" i="1"/>
  <c r="Z412" i="1" s="1"/>
  <c r="BP415" i="1"/>
  <c r="BN415" i="1"/>
  <c r="Z415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BP465" i="1"/>
  <c r="BN465" i="1"/>
  <c r="Z465" i="1"/>
  <c r="Z23" i="1"/>
  <c r="BN23" i="1"/>
  <c r="X494" i="1"/>
  <c r="Y31" i="1"/>
  <c r="Z29" i="1"/>
  <c r="BN29" i="1"/>
  <c r="Z52" i="1"/>
  <c r="BN52" i="1"/>
  <c r="Z56" i="1"/>
  <c r="BN56" i="1"/>
  <c r="Y64" i="1"/>
  <c r="Z62" i="1"/>
  <c r="BN62" i="1"/>
  <c r="Y68" i="1"/>
  <c r="Z72" i="1"/>
  <c r="BN72" i="1"/>
  <c r="Z78" i="1"/>
  <c r="BN78" i="1"/>
  <c r="BP78" i="1"/>
  <c r="E504" i="1"/>
  <c r="Z87" i="1"/>
  <c r="BN87" i="1"/>
  <c r="Y95" i="1"/>
  <c r="Z93" i="1"/>
  <c r="BN93" i="1"/>
  <c r="F504" i="1"/>
  <c r="Z102" i="1"/>
  <c r="BN102" i="1"/>
  <c r="Y112" i="1"/>
  <c r="Z110" i="1"/>
  <c r="BN110" i="1"/>
  <c r="Y118" i="1"/>
  <c r="Z116" i="1"/>
  <c r="BN116" i="1"/>
  <c r="G504" i="1"/>
  <c r="Z131" i="1"/>
  <c r="BN131" i="1"/>
  <c r="BP131" i="1"/>
  <c r="Z142" i="1"/>
  <c r="BN142" i="1"/>
  <c r="Y154" i="1"/>
  <c r="Z150" i="1"/>
  <c r="BN150" i="1"/>
  <c r="Z156" i="1"/>
  <c r="Z157" i="1" s="1"/>
  <c r="BN156" i="1"/>
  <c r="BP156" i="1"/>
  <c r="Y157" i="1"/>
  <c r="Z162" i="1"/>
  <c r="Z163" i="1" s="1"/>
  <c r="BN162" i="1"/>
  <c r="BP162" i="1"/>
  <c r="Z166" i="1"/>
  <c r="BN166" i="1"/>
  <c r="BP166" i="1"/>
  <c r="Z170" i="1"/>
  <c r="BN170" i="1"/>
  <c r="Z174" i="1"/>
  <c r="BN174" i="1"/>
  <c r="Z178" i="1"/>
  <c r="BN178" i="1"/>
  <c r="Z189" i="1"/>
  <c r="Z190" i="1" s="1"/>
  <c r="BN189" i="1"/>
  <c r="BP189" i="1"/>
  <c r="Y190" i="1"/>
  <c r="Z194" i="1"/>
  <c r="BN194" i="1"/>
  <c r="Z204" i="1"/>
  <c r="BN204" i="1"/>
  <c r="BP204" i="1"/>
  <c r="Z208" i="1"/>
  <c r="BN208" i="1"/>
  <c r="Z216" i="1"/>
  <c r="BN216" i="1"/>
  <c r="Z220" i="1"/>
  <c r="BN220" i="1"/>
  <c r="Z228" i="1"/>
  <c r="BN228" i="1"/>
  <c r="Z235" i="1"/>
  <c r="BN235" i="1"/>
  <c r="Z239" i="1"/>
  <c r="BN239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BP253" i="1"/>
  <c r="Y258" i="1"/>
  <c r="Z257" i="1"/>
  <c r="BN257" i="1"/>
  <c r="Z264" i="1"/>
  <c r="BN264" i="1"/>
  <c r="Z271" i="1"/>
  <c r="BN271" i="1"/>
  <c r="Y276" i="1"/>
  <c r="Z280" i="1"/>
  <c r="BN280" i="1"/>
  <c r="P504" i="1"/>
  <c r="Z291" i="1"/>
  <c r="BN291" i="1"/>
  <c r="BP291" i="1"/>
  <c r="Y294" i="1"/>
  <c r="Q504" i="1"/>
  <c r="Z300" i="1"/>
  <c r="BN300" i="1"/>
  <c r="Z306" i="1"/>
  <c r="BN306" i="1"/>
  <c r="BP306" i="1"/>
  <c r="Z310" i="1"/>
  <c r="BN310" i="1"/>
  <c r="Y319" i="1"/>
  <c r="BP324" i="1"/>
  <c r="BN324" i="1"/>
  <c r="Z324" i="1"/>
  <c r="BP343" i="1"/>
  <c r="BN343" i="1"/>
  <c r="Z343" i="1"/>
  <c r="BP361" i="1"/>
  <c r="BN361" i="1"/>
  <c r="Z361" i="1"/>
  <c r="BP386" i="1"/>
  <c r="BN386" i="1"/>
  <c r="Z386" i="1"/>
  <c r="BP400" i="1"/>
  <c r="BN400" i="1"/>
  <c r="Z400" i="1"/>
  <c r="Y425" i="1"/>
  <c r="Y424" i="1"/>
  <c r="BP423" i="1"/>
  <c r="BN423" i="1"/>
  <c r="Z423" i="1"/>
  <c r="Z424" i="1" s="1"/>
  <c r="X504" i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Y487" i="1"/>
  <c r="BP485" i="1"/>
  <c r="BN485" i="1"/>
  <c r="Z485" i="1"/>
  <c r="Y325" i="1"/>
  <c r="Y333" i="1"/>
  <c r="Y339" i="1"/>
  <c r="Y367" i="1"/>
  <c r="Y382" i="1"/>
  <c r="U504" i="1"/>
  <c r="Y470" i="1"/>
  <c r="H9" i="1"/>
  <c r="A10" i="1"/>
  <c r="X495" i="1"/>
  <c r="X497" i="1" s="1"/>
  <c r="BP28" i="1"/>
  <c r="BN28" i="1"/>
  <c r="Z28" i="1"/>
  <c r="F9" i="1"/>
  <c r="J9" i="1"/>
  <c r="B504" i="1"/>
  <c r="Y25" i="1"/>
  <c r="BP22" i="1"/>
  <c r="BN22" i="1"/>
  <c r="Z22" i="1"/>
  <c r="Z24" i="1" s="1"/>
  <c r="BP30" i="1"/>
  <c r="BN30" i="1"/>
  <c r="Z30" i="1"/>
  <c r="Y32" i="1"/>
  <c r="Y35" i="1"/>
  <c r="BP34" i="1"/>
  <c r="BN34" i="1"/>
  <c r="Z34" i="1"/>
  <c r="Z35" i="1" s="1"/>
  <c r="Y36" i="1"/>
  <c r="C504" i="1"/>
  <c r="Y43" i="1"/>
  <c r="BP40" i="1"/>
  <c r="BN40" i="1"/>
  <c r="Z40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81" i="1"/>
  <c r="Y186" i="1"/>
  <c r="Y197" i="1"/>
  <c r="BP195" i="1"/>
  <c r="BN195" i="1"/>
  <c r="Z195" i="1"/>
  <c r="Z196" i="1" s="1"/>
  <c r="X498" i="1"/>
  <c r="Z42" i="1"/>
  <c r="BN42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504" i="1"/>
  <c r="Z143" i="1"/>
  <c r="Z144" i="1" s="1"/>
  <c r="BN143" i="1"/>
  <c r="Y144" i="1"/>
  <c r="Z147" i="1"/>
  <c r="BN147" i="1"/>
  <c r="BP147" i="1"/>
  <c r="Z149" i="1"/>
  <c r="BN149" i="1"/>
  <c r="Z151" i="1"/>
  <c r="BN151" i="1"/>
  <c r="I504" i="1"/>
  <c r="Y164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Z186" i="1" s="1"/>
  <c r="BN183" i="1"/>
  <c r="BP183" i="1"/>
  <c r="J504" i="1"/>
  <c r="Y196" i="1"/>
  <c r="Z199" i="1"/>
  <c r="Z201" i="1" s="1"/>
  <c r="BN199" i="1"/>
  <c r="BP199" i="1"/>
  <c r="Y202" i="1"/>
  <c r="Z205" i="1"/>
  <c r="BN205" i="1"/>
  <c r="Z207" i="1"/>
  <c r="BN207" i="1"/>
  <c r="Z209" i="1"/>
  <c r="BN209" i="1"/>
  <c r="Z211" i="1"/>
  <c r="BN211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Y224" i="1"/>
  <c r="Z227" i="1"/>
  <c r="Z229" i="1" s="1"/>
  <c r="BN227" i="1"/>
  <c r="BP227" i="1"/>
  <c r="Y230" i="1"/>
  <c r="K504" i="1"/>
  <c r="Z234" i="1"/>
  <c r="BN234" i="1"/>
  <c r="Z236" i="1"/>
  <c r="BN236" i="1"/>
  <c r="Z238" i="1"/>
  <c r="BN238" i="1"/>
  <c r="Z240" i="1"/>
  <c r="BN240" i="1"/>
  <c r="Y243" i="1"/>
  <c r="Z254" i="1"/>
  <c r="BN254" i="1"/>
  <c r="BP254" i="1"/>
  <c r="Z256" i="1"/>
  <c r="BN256" i="1"/>
  <c r="L504" i="1"/>
  <c r="Z263" i="1"/>
  <c r="BN263" i="1"/>
  <c r="BP263" i="1"/>
  <c r="Z265" i="1"/>
  <c r="BN265" i="1"/>
  <c r="Y268" i="1"/>
  <c r="M504" i="1"/>
  <c r="Z272" i="1"/>
  <c r="BN272" i="1"/>
  <c r="BP272" i="1"/>
  <c r="Z274" i="1"/>
  <c r="BN274" i="1"/>
  <c r="Y275" i="1"/>
  <c r="Z279" i="1"/>
  <c r="BN279" i="1"/>
  <c r="BP279" i="1"/>
  <c r="Z281" i="1"/>
  <c r="BN281" i="1"/>
  <c r="Y282" i="1"/>
  <c r="Z286" i="1"/>
  <c r="Z288" i="1" s="1"/>
  <c r="BN286" i="1"/>
  <c r="BP286" i="1"/>
  <c r="Y289" i="1"/>
  <c r="Z292" i="1"/>
  <c r="Z293" i="1" s="1"/>
  <c r="BN292" i="1"/>
  <c r="BP292" i="1"/>
  <c r="Z297" i="1"/>
  <c r="BN297" i="1"/>
  <c r="BP297" i="1"/>
  <c r="Z299" i="1"/>
  <c r="BN299" i="1"/>
  <c r="Z301" i="1"/>
  <c r="BN301" i="1"/>
  <c r="Y304" i="1"/>
  <c r="Z307" i="1"/>
  <c r="BN307" i="1"/>
  <c r="Z309" i="1"/>
  <c r="BN309" i="1"/>
  <c r="Z311" i="1"/>
  <c r="BN311" i="1"/>
  <c r="Y312" i="1"/>
  <c r="Z315" i="1"/>
  <c r="BN315" i="1"/>
  <c r="BP315" i="1"/>
  <c r="Z317" i="1"/>
  <c r="BN317" i="1"/>
  <c r="Y320" i="1"/>
  <c r="Z323" i="1"/>
  <c r="BN323" i="1"/>
  <c r="Y326" i="1"/>
  <c r="Z329" i="1"/>
  <c r="BN329" i="1"/>
  <c r="Z331" i="1"/>
  <c r="BN331" i="1"/>
  <c r="Y332" i="1"/>
  <c r="Z335" i="1"/>
  <c r="BN335" i="1"/>
  <c r="BP335" i="1"/>
  <c r="Z337" i="1"/>
  <c r="BN337" i="1"/>
  <c r="Y338" i="1"/>
  <c r="Z342" i="1"/>
  <c r="Z345" i="1" s="1"/>
  <c r="BN342" i="1"/>
  <c r="BP342" i="1"/>
  <c r="S504" i="1"/>
  <c r="Y357" i="1"/>
  <c r="BP350" i="1"/>
  <c r="BN350" i="1"/>
  <c r="Z350" i="1"/>
  <c r="BP354" i="1"/>
  <c r="BN354" i="1"/>
  <c r="Z354" i="1"/>
  <c r="BP366" i="1"/>
  <c r="BN366" i="1"/>
  <c r="Z366" i="1"/>
  <c r="Z367" i="1" s="1"/>
  <c r="Y368" i="1"/>
  <c r="Y371" i="1"/>
  <c r="BP370" i="1"/>
  <c r="BN370" i="1"/>
  <c r="Z370" i="1"/>
  <c r="Z371" i="1" s="1"/>
  <c r="Y372" i="1"/>
  <c r="Y242" i="1"/>
  <c r="Y283" i="1"/>
  <c r="Y288" i="1"/>
  <c r="Y303" i="1"/>
  <c r="R504" i="1"/>
  <c r="Y345" i="1"/>
  <c r="BP344" i="1"/>
  <c r="BN344" i="1"/>
  <c r="BP352" i="1"/>
  <c r="BN352" i="1"/>
  <c r="Z352" i="1"/>
  <c r="BP356" i="1"/>
  <c r="BN356" i="1"/>
  <c r="Z356" i="1"/>
  <c r="Y358" i="1"/>
  <c r="Y363" i="1"/>
  <c r="BP360" i="1"/>
  <c r="BN360" i="1"/>
  <c r="Z360" i="1"/>
  <c r="Z375" i="1"/>
  <c r="Z377" i="1" s="1"/>
  <c r="BN375" i="1"/>
  <c r="BP375" i="1"/>
  <c r="Y378" i="1"/>
  <c r="Z381" i="1"/>
  <c r="Z382" i="1" s="1"/>
  <c r="BN381" i="1"/>
  <c r="BP381" i="1"/>
  <c r="Z385" i="1"/>
  <c r="BN385" i="1"/>
  <c r="BP385" i="1"/>
  <c r="Z387" i="1"/>
  <c r="BN387" i="1"/>
  <c r="Y388" i="1"/>
  <c r="Z393" i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Y408" i="1"/>
  <c r="V504" i="1"/>
  <c r="Y413" i="1"/>
  <c r="Y420" i="1"/>
  <c r="Z416" i="1"/>
  <c r="BN416" i="1"/>
  <c r="Z418" i="1"/>
  <c r="BN418" i="1"/>
  <c r="Y419" i="1"/>
  <c r="BP430" i="1"/>
  <c r="BN430" i="1"/>
  <c r="Z430" i="1"/>
  <c r="BP434" i="1"/>
  <c r="BN434" i="1"/>
  <c r="Z434" i="1"/>
  <c r="BP438" i="1"/>
  <c r="BN438" i="1"/>
  <c r="Z438" i="1"/>
  <c r="BP446" i="1"/>
  <c r="BN446" i="1"/>
  <c r="Z446" i="1"/>
  <c r="Y457" i="1"/>
  <c r="BP450" i="1"/>
  <c r="BN450" i="1"/>
  <c r="Z450" i="1"/>
  <c r="BP454" i="1"/>
  <c r="BN454" i="1"/>
  <c r="Z454" i="1"/>
  <c r="Y469" i="1"/>
  <c r="BP468" i="1"/>
  <c r="BN468" i="1"/>
  <c r="Z468" i="1"/>
  <c r="Y475" i="1"/>
  <c r="BP472" i="1"/>
  <c r="BN472" i="1"/>
  <c r="Z472" i="1"/>
  <c r="Y377" i="1"/>
  <c r="Y403" i="1"/>
  <c r="Z419" i="1"/>
  <c r="BP432" i="1"/>
  <c r="BN432" i="1"/>
  <c r="Z432" i="1"/>
  <c r="BP436" i="1"/>
  <c r="BN436" i="1"/>
  <c r="Z436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6" i="1"/>
  <c r="BP466" i="1"/>
  <c r="BN466" i="1"/>
  <c r="Z466" i="1"/>
  <c r="Y488" i="1"/>
  <c r="Y493" i="1"/>
  <c r="W504" i="1"/>
  <c r="Y504" i="1"/>
  <c r="Y441" i="1"/>
  <c r="Z486" i="1"/>
  <c r="BN486" i="1"/>
  <c r="Z491" i="1"/>
  <c r="Z492" i="1" s="1"/>
  <c r="BN491" i="1"/>
  <c r="BP491" i="1"/>
  <c r="Y492" i="1"/>
  <c r="Z487" i="1" l="1"/>
  <c r="Z469" i="1"/>
  <c r="Z474" i="1"/>
  <c r="Z362" i="1"/>
  <c r="Z338" i="1"/>
  <c r="Z325" i="1"/>
  <c r="Z319" i="1"/>
  <c r="Z282" i="1"/>
  <c r="Z275" i="1"/>
  <c r="Z258" i="1"/>
  <c r="Z63" i="1"/>
  <c r="Z242" i="1"/>
  <c r="Z212" i="1"/>
  <c r="Z118" i="1"/>
  <c r="Y498" i="1"/>
  <c r="Z402" i="1"/>
  <c r="Z388" i="1"/>
  <c r="Z332" i="1"/>
  <c r="Z312" i="1"/>
  <c r="Z267" i="1"/>
  <c r="Z180" i="1"/>
  <c r="Z111" i="1"/>
  <c r="Z104" i="1"/>
  <c r="Z95" i="1"/>
  <c r="Z88" i="1"/>
  <c r="Z441" i="1"/>
  <c r="Z43" i="1"/>
  <c r="Y496" i="1"/>
  <c r="Z456" i="1"/>
  <c r="Z357" i="1"/>
  <c r="Z303" i="1"/>
  <c r="Z224" i="1"/>
  <c r="Z153" i="1"/>
  <c r="Z75" i="1"/>
  <c r="Z57" i="1"/>
  <c r="Y495" i="1"/>
  <c r="Y497" i="1" s="1"/>
  <c r="Y494" i="1"/>
  <c r="Z31" i="1"/>
  <c r="Z499" i="1" s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<sst xmlns="http://schemas.openxmlformats.org/spreadsheetml/2006/main" count="2364" uniqueCount="777">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</sst>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46043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Среда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0.41666666666666669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200</v>
      </c>
      <c r="Y40" s="55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18.518518518518519</v>
      </c>
      <c r="Y43" s="553">
        <f>IFERROR(Y40/H40,"0")+IFERROR(Y41/H41,"0")+IFERROR(Y42/H42,"0")</f>
        <v>19</v>
      </c>
      <c r="Z43" s="553">
        <f>IFERROR(IF(Z40="",0,Z40),"0")+IFERROR(IF(Z41="",0,Z41),"0")+IFERROR(IF(Z42="",0,Z42),"0")</f>
        <v>0.36062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200</v>
      </c>
      <c r="Y44" s="553">
        <f>IFERROR(SUM(Y40:Y42),"0")</f>
        <v>205.20000000000002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500</v>
      </c>
      <c r="Y52" s="552">
        <f t="shared" si="0"/>
        <v>507.6</v>
      </c>
      <c r="Z52" s="36">
        <f>IFERROR(IF(Y52=0,"",ROUNDUP(Y52/H52,0)*0.01898),"")</f>
        <v>0.89205999999999996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518.98148148148141</v>
      </c>
      <c r="BN52" s="64">
        <f t="shared" si="2"/>
        <v>526.87</v>
      </c>
      <c r="BO52" s="64">
        <f t="shared" si="3"/>
        <v>0.72337962962962954</v>
      </c>
      <c r="BP52" s="64">
        <f t="shared" si="4"/>
        <v>0.734375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46.296296296296291</v>
      </c>
      <c r="Y57" s="553">
        <f>IFERROR(Y51/H51,"0")+IFERROR(Y52/H52,"0")+IFERROR(Y53/H53,"0")+IFERROR(Y54/H54,"0")+IFERROR(Y55/H55,"0")+IFERROR(Y56/H56,"0")</f>
        <v>47</v>
      </c>
      <c r="Z57" s="553">
        <f>IFERROR(IF(Z51="",0,Z51),"0")+IFERROR(IF(Z52="",0,Z52),"0")+IFERROR(IF(Z53="",0,Z53),"0")+IFERROR(IF(Z54="",0,Z54),"0")+IFERROR(IF(Z55="",0,Z55),"0")+IFERROR(IF(Z56="",0,Z56),"0")</f>
        <v>0.89205999999999996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500</v>
      </c>
      <c r="Y58" s="553">
        <f>IFERROR(SUM(Y51:Y56),"0")</f>
        <v>507.6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hidden="1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300</v>
      </c>
      <c r="Y84" s="552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311.38888888888891</v>
      </c>
      <c r="BN84" s="64">
        <f>IFERROR(Y84*I84/H84,"0")</f>
        <v>313.88</v>
      </c>
      <c r="BO84" s="64">
        <f>IFERROR(1/J84*(X84/H84),"0")</f>
        <v>0.43402777777777773</v>
      </c>
      <c r="BP84" s="64">
        <f>IFERROR(1/J84*(Y84/H84),"0")</f>
        <v>0.4375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27.777777777777775</v>
      </c>
      <c r="Y88" s="553">
        <f>IFERROR(Y84/H84,"0")+IFERROR(Y85/H85,"0")+IFERROR(Y86/H86,"0")+IFERROR(Y87/H87,"0")</f>
        <v>28</v>
      </c>
      <c r="Z88" s="553">
        <f>IFERROR(IF(Z84="",0,Z84),"0")+IFERROR(IF(Z85="",0,Z85),"0")+IFERROR(IF(Z86="",0,Z86),"0")+IFERROR(IF(Z87="",0,Z87),"0")</f>
        <v>0.53144000000000002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300</v>
      </c>
      <c r="Y89" s="553">
        <f>IFERROR(SUM(Y84:Y87),"0")</f>
        <v>302.40000000000003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1000</v>
      </c>
      <c r="Y91" s="552">
        <f>IFERROR(IF(X91="",0,CEILING((X91/$H91),1)*$H91),"")</f>
        <v>1004.4</v>
      </c>
      <c r="Z91" s="36">
        <f>IFERROR(IF(Y91=0,"",ROUNDUP(Y91/H91,0)*0.01898),"")</f>
        <v>2.3535200000000001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1060.9876543209878</v>
      </c>
      <c r="BN91" s="64">
        <f>IFERROR(Y91*I91/H91,"0")</f>
        <v>1065.6559999999999</v>
      </c>
      <c r="BO91" s="64">
        <f>IFERROR(1/J91*(X91/H91),"0")</f>
        <v>1.9290123456790125</v>
      </c>
      <c r="BP91" s="64">
        <f>IFERROR(1/J91*(Y91/H91),"0")</f>
        <v>1.9375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450</v>
      </c>
      <c r="Y93" s="552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290.12345679012344</v>
      </c>
      <c r="Y95" s="553">
        <f>IFERROR(Y91/H91,"0")+IFERROR(Y92/H92,"0")+IFERROR(Y93/H93,"0")+IFERROR(Y94/H94,"0")</f>
        <v>291</v>
      </c>
      <c r="Z95" s="553">
        <f>IFERROR(IF(Z91="",0,Z91),"0")+IFERROR(IF(Z92="",0,Z92),"0")+IFERROR(IF(Z93="",0,Z93),"0")+IFERROR(IF(Z94="",0,Z94),"0")</f>
        <v>3.44069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1450</v>
      </c>
      <c r="Y96" s="553">
        <f>IFERROR(SUM(Y91:Y94),"0")</f>
        <v>1455.3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500</v>
      </c>
      <c r="Y114" s="552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900</v>
      </c>
      <c r="Y116" s="552">
        <f>IFERROR(IF(X116="",0,CEILING((X116/$H116),1)*$H116),"")</f>
        <v>901.80000000000007</v>
      </c>
      <c r="Z116" s="36">
        <f>IFERROR(IF(Y116=0,"",ROUNDUP(Y116/H116,0)*0.00651),"")</f>
        <v>2.1743399999999999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984</v>
      </c>
      <c r="BN116" s="64">
        <f>IFERROR(Y116*I116/H116,"0")</f>
        <v>985.96799999999996</v>
      </c>
      <c r="BO116" s="64">
        <f>IFERROR(1/J116*(X116/H116),"0")</f>
        <v>1.8315018315018314</v>
      </c>
      <c r="BP116" s="64">
        <f>IFERROR(1/J116*(Y116/H116),"0")</f>
        <v>1.8351648351648353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395.06172839506172</v>
      </c>
      <c r="Y118" s="553">
        <f>IFERROR(Y114/H114,"0")+IFERROR(Y115/H115,"0")+IFERROR(Y116/H116,"0")+IFERROR(Y117/H117,"0")</f>
        <v>396</v>
      </c>
      <c r="Z118" s="553">
        <f>IFERROR(IF(Z114="",0,Z114),"0")+IFERROR(IF(Z115="",0,Z115),"0")+IFERROR(IF(Z116="",0,Z116),"0")+IFERROR(IF(Z117="",0,Z117),"0")</f>
        <v>3.3510999999999997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1400</v>
      </c>
      <c r="Y119" s="553">
        <f>IFERROR(SUM(Y114:Y117),"0")</f>
        <v>1404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hidden="1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hidden="1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120</v>
      </c>
      <c r="Y220" s="552">
        <f t="shared" si="20"/>
        <v>120</v>
      </c>
      <c r="Z220" s="36">
        <f t="shared" si="25"/>
        <v>0.32550000000000001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132.60000000000002</v>
      </c>
      <c r="BN220" s="64">
        <f t="shared" si="22"/>
        <v>132.60000000000002</v>
      </c>
      <c r="BO220" s="64">
        <f t="shared" si="23"/>
        <v>0.27472527472527475</v>
      </c>
      <c r="BP220" s="64">
        <f t="shared" si="24"/>
        <v>0.27472527472527475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120</v>
      </c>
      <c r="Y221" s="552">
        <f t="shared" si="20"/>
        <v>120</v>
      </c>
      <c r="Z221" s="36">
        <f t="shared" si="25"/>
        <v>0.32550000000000001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100</v>
      </c>
      <c r="Y224" s="553">
        <f>IFERROR(Y215/H215,"0")+IFERROR(Y216/H216,"0")+IFERROR(Y217/H217,"0")+IFERROR(Y218/H218,"0")+IFERROR(Y219/H219,"0")+IFERROR(Y220/H220,"0")+IFERROR(Y221/H221,"0")+IFERROR(Y222/H222,"0")+IFERROR(Y223/H223,"0")</f>
        <v>100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0.65100000000000002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240</v>
      </c>
      <c r="Y225" s="553">
        <f>IFERROR(SUM(Y215:Y223),"0")</f>
        <v>240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hidden="1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idden="1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hidden="1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hidden="1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idden="1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hidden="1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500</v>
      </c>
      <c r="Y315" s="552">
        <f>IFERROR(IF(X315="",0,CEILING((X315/$H315),1)*$H315),"")</f>
        <v>507</v>
      </c>
      <c r="Z315" s="36">
        <f>IFERROR(IF(Y315=0,"",ROUNDUP(Y315/H315,0)*0.01898),"")</f>
        <v>1.2337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531.28205128205127</v>
      </c>
      <c r="BN315" s="64">
        <f>IFERROR(Y315*I315/H315,"0")</f>
        <v>538.72</v>
      </c>
      <c r="BO315" s="64">
        <f>IFERROR(1/J315*(X315/H315),"0")</f>
        <v>1.0016025641025641</v>
      </c>
      <c r="BP315" s="64">
        <f>IFERROR(1/J315*(Y315/H315),"0")</f>
        <v>1.015625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64.102564102564102</v>
      </c>
      <c r="Y319" s="553">
        <f>IFERROR(Y315/H315,"0")+IFERROR(Y316/H316,"0")+IFERROR(Y317/H317,"0")+IFERROR(Y318/H318,"0")</f>
        <v>65</v>
      </c>
      <c r="Z319" s="553">
        <f>IFERROR(IF(Z315="",0,Z315),"0")+IFERROR(IF(Z316="",0,Z316),"0")+IFERROR(IF(Z317="",0,Z317),"0")+IFERROR(IF(Z318="",0,Z318),"0")</f>
        <v>1.2337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500</v>
      </c>
      <c r="Y320" s="553">
        <f>IFERROR(SUM(Y315:Y318),"0")</f>
        <v>507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300</v>
      </c>
      <c r="Y323" s="552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hidden="1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38.46153846153846</v>
      </c>
      <c r="Y325" s="553">
        <f>IFERROR(Y322/H322,"0")+IFERROR(Y323/H323,"0")+IFERROR(Y324/H324,"0")</f>
        <v>39</v>
      </c>
      <c r="Z325" s="553">
        <f>IFERROR(IF(Z322="",0,Z322),"0")+IFERROR(IF(Z323="",0,Z323),"0")+IFERROR(IF(Z324="",0,Z324),"0")</f>
        <v>0.74021999999999999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300</v>
      </c>
      <c r="Y326" s="553">
        <f>IFERROR(SUM(Y322:Y324),"0")</f>
        <v>304.2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168</v>
      </c>
      <c r="Y344" s="552">
        <f>IFERROR(IF(X344="",0,CEILING((X344/$H344),1)*$H344),"")</f>
        <v>168</v>
      </c>
      <c r="Z344" s="36">
        <f>IFERROR(IF(Y344=0,"",ROUNDUP(Y344/H344,0)*0.00651),"")</f>
        <v>0.52080000000000004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187.2</v>
      </c>
      <c r="BN344" s="64">
        <f>IFERROR(Y344*I344/H344,"0")</f>
        <v>187.2</v>
      </c>
      <c r="BO344" s="64">
        <f>IFERROR(1/J344*(X344/H344),"0")</f>
        <v>0.43956043956043961</v>
      </c>
      <c r="BP344" s="64">
        <f>IFERROR(1/J344*(Y344/H344),"0")</f>
        <v>0.43956043956043961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80</v>
      </c>
      <c r="Y345" s="553">
        <f>IFERROR(Y342/H342,"0")+IFERROR(Y343/H343,"0")+IFERROR(Y344/H344,"0")</f>
        <v>80</v>
      </c>
      <c r="Z345" s="553">
        <f>IFERROR(IF(Z342="",0,Z342),"0")+IFERROR(IF(Z343="",0,Z343),"0")+IFERROR(IF(Z344="",0,Z344),"0")</f>
        <v>0.52080000000000004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168</v>
      </c>
      <c r="Y346" s="553">
        <f>IFERROR(SUM(Y342:Y344),"0")</f>
        <v>168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1000</v>
      </c>
      <c r="Y350" s="552">
        <f t="shared" ref="Y350:Y356" si="41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1031.3333333333333</v>
      </c>
      <c r="BN350" s="64">
        <f t="shared" ref="BN350:BN356" si="43">IFERROR(Y350*I350/H350,"0")</f>
        <v>1036.49</v>
      </c>
      <c r="BO350" s="64">
        <f t="shared" ref="BO350:BO356" si="44">IFERROR(1/J350*(X350/H350),"0")</f>
        <v>1.3888888888888888</v>
      </c>
      <c r="BP350" s="64">
        <f t="shared" ref="BP350:BP356" si="45">IFERROR(1/J350*(Y350/H350),"0")</f>
        <v>1.3958333333333333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1000</v>
      </c>
      <c r="Y351" s="552">
        <f t="shared" si="41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1031.3333333333333</v>
      </c>
      <c r="BN351" s="64">
        <f t="shared" si="43"/>
        <v>1036.49</v>
      </c>
      <c r="BO351" s="64">
        <f t="shared" si="44"/>
        <v>1.3888888888888888</v>
      </c>
      <c r="BP351" s="64">
        <f t="shared" si="45"/>
        <v>1.3958333333333333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1000</v>
      </c>
      <c r="Y352" s="552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200</v>
      </c>
      <c r="Y357" s="553">
        <f>IFERROR(Y350/H350,"0")+IFERROR(Y351/H351,"0")+IFERROR(Y352/H352,"0")+IFERROR(Y353/H353,"0")+IFERROR(Y354/H354,"0")+IFERROR(Y355/H355,"0")+IFERROR(Y356/H356,"0")</f>
        <v>201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4.3717499999999996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3000</v>
      </c>
      <c r="Y358" s="553">
        <f>IFERROR(SUM(Y350:Y356),"0")</f>
        <v>3015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1500</v>
      </c>
      <c r="Y360" s="552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100</v>
      </c>
      <c r="Y362" s="553">
        <f>IFERROR(Y360/H360,"0")+IFERROR(Y361/H361,"0")</f>
        <v>100</v>
      </c>
      <c r="Z362" s="553">
        <f>IFERROR(IF(Z360="",0,Z360),"0")+IFERROR(IF(Z361="",0,Z361),"0")</f>
        <v>2.1749999999999998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1500</v>
      </c>
      <c r="Y363" s="553">
        <f>IFERROR(SUM(Y360:Y361),"0")</f>
        <v>1500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3000</v>
      </c>
      <c r="Y385" s="552">
        <f>IFERROR(IF(X385="",0,CEILING((X385/$H385),1)*$H385),"")</f>
        <v>3006</v>
      </c>
      <c r="Z385" s="36">
        <f>IFERROR(IF(Y385=0,"",ROUNDUP(Y385/H385,0)*0.01898),"")</f>
        <v>6.3393199999999998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3164.6666666666665</v>
      </c>
      <c r="BN385" s="64">
        <f>IFERROR(Y385*I385/H385,"0")</f>
        <v>3170.9960000000001</v>
      </c>
      <c r="BO385" s="64">
        <f>IFERROR(1/J385*(X385/H385),"0")</f>
        <v>5.208333333333333</v>
      </c>
      <c r="BP385" s="64">
        <f>IFERROR(1/J385*(Y385/H385),"0")</f>
        <v>5.21875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80</v>
      </c>
      <c r="Y386" s="552">
        <f>IFERROR(IF(X386="",0,CEILING((X386/$H386),1)*$H386),"")</f>
        <v>81.599999999999994</v>
      </c>
      <c r="Z386" s="36">
        <f>IFERROR(IF(Y386=0,"",ROUNDUP(Y386/H386,0)*0.00651),"")</f>
        <v>0.22134000000000001</v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88.800000000000011</v>
      </c>
      <c r="BN386" s="64">
        <f>IFERROR(Y386*I386/H386,"0")</f>
        <v>90.575999999999993</v>
      </c>
      <c r="BO386" s="64">
        <f>IFERROR(1/J386*(X386/H386),"0")</f>
        <v>0.18315018315018317</v>
      </c>
      <c r="BP386" s="64">
        <f>IFERROR(1/J386*(Y386/H386),"0")</f>
        <v>0.18681318681318682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366.66666666666663</v>
      </c>
      <c r="Y388" s="553">
        <f>IFERROR(Y385/H385,"0")+IFERROR(Y386/H386,"0")+IFERROR(Y387/H387,"0")</f>
        <v>368</v>
      </c>
      <c r="Z388" s="553">
        <f>IFERROR(IF(Z385="",0,Z385),"0")+IFERROR(IF(Z386="",0,Z386),"0")+IFERROR(IF(Z387="",0,Z387),"0")</f>
        <v>6.5606599999999995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3080</v>
      </c>
      <c r="Y389" s="553">
        <f>IFERROR(SUM(Y385:Y387),"0")</f>
        <v>3087.6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idden="1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hidden="1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hidden="1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hidden="1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100</v>
      </c>
      <c r="Y429" s="552">
        <f t="shared" ref="Y429:Y440" si="52">IFERROR(IF(X429="",0,CEILING((X429/$H429),1)*$H429),"")</f>
        <v>100.32000000000001</v>
      </c>
      <c r="Z429" s="36">
        <f t="shared" ref="Z429:Z435" si="53">IFERROR(IF(Y429=0,"",ROUNDUP(Y429/H429,0)*0.01196),"")</f>
        <v>0.22724</v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106.62878787878788</v>
      </c>
      <c r="BN429" s="64">
        <f t="shared" ref="BN429:BN440" si="55">IFERROR(Y429*I429/H429,"0")</f>
        <v>106.97</v>
      </c>
      <c r="BO429" s="64">
        <f t="shared" ref="BO429:BO440" si="56">IFERROR(1/J429*(X429/H429),"0")</f>
        <v>0.18210955710955709</v>
      </c>
      <c r="BP429" s="64">
        <f t="shared" ref="BP429:BP440" si="57">IFERROR(1/J429*(Y429/H429),"0")</f>
        <v>0.18269230769230771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350</v>
      </c>
      <c r="Y432" s="552">
        <f t="shared" si="52"/>
        <v>353.76</v>
      </c>
      <c r="Z432" s="36">
        <f t="shared" si="53"/>
        <v>0.80132000000000003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373.20075757575756</v>
      </c>
      <c r="BN432" s="64">
        <f t="shared" si="55"/>
        <v>377.21</v>
      </c>
      <c r="BO432" s="64">
        <f t="shared" si="56"/>
        <v>0.63738344988344986</v>
      </c>
      <c r="BP432" s="64">
        <f t="shared" si="57"/>
        <v>0.64423076923076927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1000</v>
      </c>
      <c r="Y433" s="552">
        <f t="shared" si="52"/>
        <v>1003.2</v>
      </c>
      <c r="Z433" s="36">
        <f t="shared" si="53"/>
        <v>2.2724000000000002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1066.2878787878788</v>
      </c>
      <c r="BN433" s="64">
        <f t="shared" si="55"/>
        <v>1069.7</v>
      </c>
      <c r="BO433" s="64">
        <f t="shared" si="56"/>
        <v>1.821095571095571</v>
      </c>
      <c r="BP433" s="64">
        <f t="shared" si="57"/>
        <v>1.8269230769230771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1000</v>
      </c>
      <c r="Y435" s="552">
        <f t="shared" si="52"/>
        <v>1003.2</v>
      </c>
      <c r="Z435" s="36">
        <f t="shared" si="53"/>
        <v>2.2724000000000002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1066.2878787878788</v>
      </c>
      <c r="BN435" s="64">
        <f t="shared" si="55"/>
        <v>1069.7</v>
      </c>
      <c r="BO435" s="64">
        <f t="shared" si="56"/>
        <v>1.821095571095571</v>
      </c>
      <c r="BP435" s="64">
        <f t="shared" si="57"/>
        <v>1.8269230769230771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464.0151515151515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466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5.573360000000001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2450</v>
      </c>
      <c r="Y442" s="553">
        <f>IFERROR(SUM(Y429:Y440),"0")</f>
        <v>2460.48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500</v>
      </c>
      <c r="Y444" s="552">
        <f>IFERROR(IF(X444="",0,CEILING((X444/$H444),1)*$H444),"")</f>
        <v>501.6</v>
      </c>
      <c r="Z444" s="36">
        <f>IFERROR(IF(Y444=0,"",ROUNDUP(Y444/H444,0)*0.01196),"")</f>
        <v>1.1362000000000001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533.14393939393938</v>
      </c>
      <c r="BN444" s="64">
        <f>IFERROR(Y444*I444/H444,"0")</f>
        <v>534.85</v>
      </c>
      <c r="BO444" s="64">
        <f>IFERROR(1/J444*(X444/H444),"0")</f>
        <v>0.91054778554778548</v>
      </c>
      <c r="BP444" s="64">
        <f>IFERROR(1/J444*(Y444/H444),"0")</f>
        <v>0.91346153846153855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94.696969696969688</v>
      </c>
      <c r="Y447" s="553">
        <f>IFERROR(Y444/H444,"0")+IFERROR(Y445/H445,"0")+IFERROR(Y446/H446,"0")</f>
        <v>95</v>
      </c>
      <c r="Z447" s="553">
        <f>IFERROR(IF(Z444="",0,Z444),"0")+IFERROR(IF(Z445="",0,Z445),"0")+IFERROR(IF(Z446="",0,Z446),"0")</f>
        <v>1.1362000000000001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500</v>
      </c>
      <c r="Y448" s="553">
        <f>IFERROR(SUM(Y444:Y446),"0")</f>
        <v>501.6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300</v>
      </c>
      <c r="Y450" s="552">
        <f t="shared" ref="Y450:Y455" si="58">IFERROR(IF(X450="",0,CEILING((X450/$H450),1)*$H450),"")</f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319.88636363636363</v>
      </c>
      <c r="BN450" s="64">
        <f t="shared" ref="BN450:BN455" si="60">IFERROR(Y450*I450/H450,"0")</f>
        <v>320.91000000000003</v>
      </c>
      <c r="BO450" s="64">
        <f t="shared" ref="BO450:BO455" si="61">IFERROR(1/J450*(X450/H450),"0")</f>
        <v>0.54632867132867136</v>
      </c>
      <c r="BP450" s="64">
        <f t="shared" ref="BP450:BP455" si="62">IFERROR(1/J450*(Y450/H450),"0")</f>
        <v>0.54807692307692313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300</v>
      </c>
      <c r="Y451" s="552">
        <f t="shared" si="58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319.88636363636363</v>
      </c>
      <c r="BN451" s="64">
        <f t="shared" si="60"/>
        <v>320.91000000000003</v>
      </c>
      <c r="BO451" s="64">
        <f t="shared" si="61"/>
        <v>0.54632867132867136</v>
      </c>
      <c r="BP451" s="64">
        <f t="shared" si="62"/>
        <v>0.54807692307692313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500</v>
      </c>
      <c r="Y452" s="552">
        <f t="shared" si="58"/>
        <v>501.6</v>
      </c>
      <c r="Z452" s="36">
        <f>IFERROR(IF(Y452=0,"",ROUNDUP(Y452/H452,0)*0.01196),"")</f>
        <v>1.1362000000000001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533.14393939393938</v>
      </c>
      <c r="BN452" s="64">
        <f t="shared" si="60"/>
        <v>534.85</v>
      </c>
      <c r="BO452" s="64">
        <f t="shared" si="61"/>
        <v>0.91054778554778548</v>
      </c>
      <c r="BP452" s="64">
        <f t="shared" si="62"/>
        <v>0.91346153846153855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208.33333333333331</v>
      </c>
      <c r="Y456" s="553">
        <f>IFERROR(Y450/H450,"0")+IFERROR(Y451/H451,"0")+IFERROR(Y452/H452,"0")+IFERROR(Y453/H453,"0")+IFERROR(Y454/H454,"0")+IFERROR(Y455/H455,"0")</f>
        <v>209</v>
      </c>
      <c r="Z456" s="553">
        <f>IFERROR(IF(Z450="",0,Z450),"0")+IFERROR(IF(Z451="",0,Z451),"0")+IFERROR(IF(Z452="",0,Z452),"0")+IFERROR(IF(Z453="",0,Z453),"0")+IFERROR(IF(Z454="",0,Z454),"0")+IFERROR(IF(Z455="",0,Z455),"0")</f>
        <v>2.4996400000000003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1100</v>
      </c>
      <c r="Y457" s="553">
        <f>IFERROR(SUM(Y450:Y455),"0")</f>
        <v>1103.52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150</v>
      </c>
      <c r="Y467" s="552">
        <f>IFERROR(IF(X467="",0,CEILING((X467/$H467),1)*$H467),"")</f>
        <v>156</v>
      </c>
      <c r="Z467" s="36">
        <f>IFERROR(IF(Y467=0,"",ROUNDUP(Y467/H467,0)*0.01898),"")</f>
        <v>0.24674000000000001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155.125</v>
      </c>
      <c r="BN467" s="64">
        <f>IFERROR(Y467*I467/H467,"0")</f>
        <v>161.33000000000001</v>
      </c>
      <c r="BO467" s="64">
        <f>IFERROR(1/J467*(X467/H467),"0")</f>
        <v>0.1953125</v>
      </c>
      <c r="BP467" s="64">
        <f>IFERROR(1/J467*(Y467/H467),"0")</f>
        <v>0.203125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12.5</v>
      </c>
      <c r="Y469" s="553">
        <f>IFERROR(Y465/H465,"0")+IFERROR(Y466/H466,"0")+IFERROR(Y467/H467,"0")+IFERROR(Y468/H468,"0")</f>
        <v>13</v>
      </c>
      <c r="Z469" s="553">
        <f>IFERROR(IF(Z465="",0,Z465),"0")+IFERROR(IF(Z466="",0,Z466),"0")+IFERROR(IF(Z467="",0,Z467),"0")+IFERROR(IF(Z468="",0,Z468),"0")</f>
        <v>0.24674000000000001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150</v>
      </c>
      <c r="Y470" s="553">
        <f>IFERROR(SUM(Y465:Y468),"0")</f>
        <v>156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500</v>
      </c>
      <c r="Y481" s="552">
        <f>IFERROR(IF(X481="",0,CEILING((X481/$H481),1)*$H481),"")</f>
        <v>504</v>
      </c>
      <c r="Z481" s="36">
        <f>IFERROR(IF(Y481=0,"",ROUNDUP(Y481/H481,0)*0.01898),"")</f>
        <v>1.06288</v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527.44444444444446</v>
      </c>
      <c r="BN481" s="64">
        <f>IFERROR(Y481*I481/H481,"0")</f>
        <v>531.66399999999999</v>
      </c>
      <c r="BO481" s="64">
        <f>IFERROR(1/J481*(X481/H481),"0")</f>
        <v>0.86805555555555558</v>
      </c>
      <c r="BP481" s="64">
        <f>IFERROR(1/J481*(Y481/H481),"0")</f>
        <v>0.875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55.555555555555557</v>
      </c>
      <c r="Y482" s="553">
        <f>IFERROR(Y481/H481,"0")</f>
        <v>56</v>
      </c>
      <c r="Z482" s="553">
        <f>IFERROR(IF(Z481="",0,Z481),"0")</f>
        <v>1.06288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500</v>
      </c>
      <c r="Y483" s="553">
        <f>IFERROR(SUM(Y481:Y481),"0")</f>
        <v>504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17338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17421.900000000001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18303.258145558146</v>
      </c>
      <c r="Y495" s="553">
        <f>IFERROR(SUM(BN22:BN491),"0")</f>
        <v>18391.525999999998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30</v>
      </c>
      <c r="Y496" s="38">
        <f>ROUNDUP(SUM(BP22:BP491),0)</f>
        <v>30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19053.258145558146</v>
      </c>
      <c r="Y497" s="553">
        <f>GrossWeightTotalR+PalletQtyTotalR*25</f>
        <v>19141.525999999998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2562.109557109557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2573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35.347860000000004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205.20000000000002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507.6</v>
      </c>
      <c r="E504" s="46">
        <f>IFERROR(Y84*1,"0")+IFERROR(Y85*1,"0")+IFERROR(Y86*1,"0")+IFERROR(Y87*1,"0")+IFERROR(Y91*1,"0")+IFERROR(Y92*1,"0")+IFERROR(Y93*1,"0")+IFERROR(Y94*1,"0")</f>
        <v>1757.7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1404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240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811.2</v>
      </c>
      <c r="R504" s="46">
        <f>IFERROR(Y342*1,"0")+IFERROR(Y343*1,"0")+IFERROR(Y344*1,"0")</f>
        <v>168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4515</v>
      </c>
      <c r="T504" s="46">
        <f>IFERROR(Y375*1,"0")+IFERROR(Y376*1,"0")+IFERROR(Y380*1,"0")+IFERROR(Y381*1,"0")+IFERROR(Y385*1,"0")+IFERROR(Y386*1,"0")+IFERROR(Y387*1,"0")</f>
        <v>3087.6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4065.6</v>
      </c>
      <c r="Y504" s="46">
        <f>IFERROR(Y465*1,"0")+IFERROR(Y466*1,"0")+IFERROR(Y467*1,"0")+IFERROR(Y468*1,"0")+IFERROR(Y472*1,"0")+IFERROR(Y473*1,"0")+IFERROR(Y477*1,"0")+IFERROR(Y481*1,"0")+IFERROR(Y485*1,"0")+IFERROR(Y486*1,"0")</f>
        <v>660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400,00"/>
        <filter val="1 450,00"/>
        <filter val="1 500,00"/>
        <filter val="100,00"/>
        <filter val="12,50"/>
        <filter val="120,00"/>
        <filter val="150,00"/>
        <filter val="168,00"/>
        <filter val="17 338,00"/>
        <filter val="18 303,26"/>
        <filter val="18,52"/>
        <filter val="19 053,26"/>
        <filter val="2 450,00"/>
        <filter val="2 562,11"/>
        <filter val="200,00"/>
        <filter val="208,33"/>
        <filter val="240,00"/>
        <filter val="27,78"/>
        <filter val="290,12"/>
        <filter val="3 000,00"/>
        <filter val="3 080,00"/>
        <filter val="30"/>
        <filter val="300,00"/>
        <filter val="350,00"/>
        <filter val="366,67"/>
        <filter val="38,46"/>
        <filter val="395,06"/>
        <filter val="450,00"/>
        <filter val="46,30"/>
        <filter val="464,02"/>
        <filter val="500,00"/>
        <filter val="55,56"/>
        <filter val="64,10"/>
        <filter val="80,00"/>
        <filter val="900,00"/>
        <filter val="94,70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2026-01-19T11:14:28Z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