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55133F-0AA1-49F6-AD09-4BDA5C2C33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BP384" i="1" s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BP321" i="1" s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Z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30" i="1" l="1"/>
  <c r="BN30" i="1"/>
  <c r="Z173" i="1"/>
  <c r="BN173" i="1"/>
  <c r="Z240" i="1"/>
  <c r="BN240" i="1"/>
  <c r="Z307" i="1"/>
  <c r="BN307" i="1"/>
  <c r="Z384" i="1"/>
  <c r="BN384" i="1"/>
  <c r="Z450" i="1"/>
  <c r="BN450" i="1"/>
  <c r="Z53" i="1"/>
  <c r="BN53" i="1"/>
  <c r="Z94" i="1"/>
  <c r="BN94" i="1"/>
  <c r="Z115" i="1"/>
  <c r="BN115" i="1"/>
  <c r="Z155" i="1"/>
  <c r="Z156" i="1" s="1"/>
  <c r="BN155" i="1"/>
  <c r="BP155" i="1"/>
  <c r="Y156" i="1"/>
  <c r="Z161" i="1"/>
  <c r="Z162" i="1" s="1"/>
  <c r="BN161" i="1"/>
  <c r="BP161" i="1"/>
  <c r="Z165" i="1"/>
  <c r="BN165" i="1"/>
  <c r="Z194" i="1"/>
  <c r="BN194" i="1"/>
  <c r="Z199" i="1"/>
  <c r="BN199" i="1"/>
  <c r="Z203" i="1"/>
  <c r="BN203" i="1"/>
  <c r="Z227" i="1"/>
  <c r="BN227" i="1"/>
  <c r="Z232" i="1"/>
  <c r="BN232" i="1"/>
  <c r="Z261" i="1"/>
  <c r="BN261" i="1"/>
  <c r="Z297" i="1"/>
  <c r="BN297" i="1"/>
  <c r="Z321" i="1"/>
  <c r="BN321" i="1"/>
  <c r="Z355" i="1"/>
  <c r="BN355" i="1"/>
  <c r="Z398" i="1"/>
  <c r="BN398" i="1"/>
  <c r="Z434" i="1"/>
  <c r="BN434" i="1"/>
  <c r="Z462" i="1"/>
  <c r="BN462" i="1"/>
  <c r="BP149" i="1"/>
  <c r="BN149" i="1"/>
  <c r="Z149" i="1"/>
  <c r="BP177" i="1"/>
  <c r="BN177" i="1"/>
  <c r="Z177" i="1"/>
  <c r="BP219" i="1"/>
  <c r="BN219" i="1"/>
  <c r="Z219" i="1"/>
  <c r="BP254" i="1"/>
  <c r="BN254" i="1"/>
  <c r="Z254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Y25" i="1"/>
  <c r="Z42" i="1"/>
  <c r="BN42" i="1"/>
  <c r="Z61" i="1"/>
  <c r="BN61" i="1"/>
  <c r="Z86" i="1"/>
  <c r="BN86" i="1"/>
  <c r="Z101" i="1"/>
  <c r="BN101" i="1"/>
  <c r="BP107" i="1"/>
  <c r="BN107" i="1"/>
  <c r="Y123" i="1"/>
  <c r="Y122" i="1"/>
  <c r="BP121" i="1"/>
  <c r="BN121" i="1"/>
  <c r="Z121" i="1"/>
  <c r="Z122" i="1" s="1"/>
  <c r="BP126" i="1"/>
  <c r="BN126" i="1"/>
  <c r="Z126" i="1"/>
  <c r="BP169" i="1"/>
  <c r="BN169" i="1"/>
  <c r="Z169" i="1"/>
  <c r="BP207" i="1"/>
  <c r="BN207" i="1"/>
  <c r="Z207" i="1"/>
  <c r="BP236" i="1"/>
  <c r="BN236" i="1"/>
  <c r="Z236" i="1"/>
  <c r="BP265" i="1"/>
  <c r="BN265" i="1"/>
  <c r="Z265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X493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Z71" i="1"/>
  <c r="BN71" i="1"/>
  <c r="Y76" i="1"/>
  <c r="Z79" i="1"/>
  <c r="BN79" i="1"/>
  <c r="Z84" i="1"/>
  <c r="BN84" i="1"/>
  <c r="Y89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7" i="1"/>
  <c r="BN167" i="1"/>
  <c r="Z171" i="1"/>
  <c r="BN171" i="1"/>
  <c r="Z175" i="1"/>
  <c r="BN175" i="1"/>
  <c r="Z183" i="1"/>
  <c r="BN183" i="1"/>
  <c r="Z205" i="1"/>
  <c r="BN205" i="1"/>
  <c r="Z209" i="1"/>
  <c r="BN209" i="1"/>
  <c r="Z217" i="1"/>
  <c r="BN217" i="1"/>
  <c r="Z221" i="1"/>
  <c r="BN221" i="1"/>
  <c r="Z234" i="1"/>
  <c r="BN234" i="1"/>
  <c r="Z238" i="1"/>
  <c r="BN238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Z256" i="1"/>
  <c r="BN256" i="1"/>
  <c r="Z263" i="1"/>
  <c r="BN263" i="1"/>
  <c r="Z270" i="1"/>
  <c r="BN270" i="1"/>
  <c r="Z279" i="1"/>
  <c r="BN279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331" i="1"/>
  <c r="Y388" i="1"/>
  <c r="Y387" i="1"/>
  <c r="Y482" i="1"/>
  <c r="H9" i="1"/>
  <c r="A10" i="1"/>
  <c r="B499" i="1"/>
  <c r="X490" i="1"/>
  <c r="X491" i="1"/>
  <c r="Z23" i="1"/>
  <c r="Z24" i="1" s="1"/>
  <c r="BN23" i="1"/>
  <c r="BP23" i="1"/>
  <c r="Y24" i="1"/>
  <c r="X489" i="1"/>
  <c r="Z27" i="1"/>
  <c r="BN27" i="1"/>
  <c r="BP27" i="1"/>
  <c r="Z29" i="1"/>
  <c r="BN29" i="1"/>
  <c r="Y32" i="1"/>
  <c r="C499" i="1"/>
  <c r="Z41" i="1"/>
  <c r="BN41" i="1"/>
  <c r="BP41" i="1"/>
  <c r="Y44" i="1"/>
  <c r="D499" i="1"/>
  <c r="Y57" i="1"/>
  <c r="Z52" i="1"/>
  <c r="BN52" i="1"/>
  <c r="BP52" i="1"/>
  <c r="BP62" i="1"/>
  <c r="BN62" i="1"/>
  <c r="Z62" i="1"/>
  <c r="Y69" i="1"/>
  <c r="BP66" i="1"/>
  <c r="BN66" i="1"/>
  <c r="Z66" i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Y179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H499" i="1"/>
  <c r="F9" i="1"/>
  <c r="J9" i="1"/>
  <c r="BP54" i="1"/>
  <c r="BN54" i="1"/>
  <c r="BP56" i="1"/>
  <c r="BN56" i="1"/>
  <c r="Z56" i="1"/>
  <c r="Y63" i="1"/>
  <c r="BP60" i="1"/>
  <c r="BN60" i="1"/>
  <c r="Z60" i="1"/>
  <c r="Z63" i="1" s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Y129" i="1"/>
  <c r="Y134" i="1"/>
  <c r="BP131" i="1"/>
  <c r="BN131" i="1"/>
  <c r="Z131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482" i="1" l="1"/>
  <c r="Z274" i="1"/>
  <c r="Z241" i="1"/>
  <c r="Z185" i="1"/>
  <c r="Z128" i="1"/>
  <c r="Z195" i="1"/>
  <c r="Z401" i="1"/>
  <c r="Z387" i="1"/>
  <c r="Z133" i="1"/>
  <c r="Z75" i="1"/>
  <c r="Z324" i="1"/>
  <c r="Z57" i="1"/>
  <c r="Z43" i="1"/>
  <c r="Z152" i="1"/>
  <c r="Z356" i="1"/>
  <c r="Z179" i="1"/>
  <c r="Z311" i="1"/>
  <c r="Y489" i="1"/>
  <c r="Z464" i="1"/>
  <c r="Z446" i="1"/>
  <c r="Z440" i="1"/>
  <c r="Z361" i="1"/>
  <c r="Z381" i="1"/>
  <c r="Z344" i="1"/>
  <c r="Z331" i="1"/>
  <c r="Z302" i="1"/>
  <c r="Z281" i="1"/>
  <c r="Z257" i="1"/>
  <c r="Z211" i="1"/>
  <c r="Z266" i="1"/>
  <c r="Z104" i="1"/>
  <c r="Z88" i="1"/>
  <c r="Y490" i="1"/>
  <c r="Y491" i="1"/>
  <c r="Z144" i="1"/>
  <c r="Z68" i="1"/>
  <c r="Z223" i="1"/>
  <c r="Z337" i="1"/>
  <c r="Z318" i="1"/>
  <c r="Z111" i="1"/>
  <c r="Z31" i="1"/>
  <c r="Y493" i="1"/>
  <c r="Z455" i="1"/>
  <c r="Z418" i="1"/>
  <c r="Z95" i="1"/>
  <c r="X492" i="1"/>
  <c r="Z494" i="1" l="1"/>
  <c r="Y492" i="1"/>
</calcChain>
</file>

<file path=xl/sharedStrings.xml><?xml version="1.0" encoding="utf-8"?>
<sst xmlns="http://schemas.openxmlformats.org/spreadsheetml/2006/main" count="2241" uniqueCount="771">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</sst>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46047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0.375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30</v>
      </c>
      <c r="Y40" s="548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83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4">
        <v>4607091385687</v>
      </c>
      <c r="E41" s="555"/>
      <c r="F41" s="546">
        <v>0.4</v>
      </c>
      <c r="G41" s="32">
        <v>10</v>
      </c>
      <c r="H41" s="546">
        <v>4</v>
      </c>
      <c r="I41" s="546">
        <v>4.1900000000000004</v>
      </c>
      <c r="J41" s="32">
        <v>132</v>
      </c>
      <c r="K41" s="32" t="s">
        <v>110</v>
      </c>
      <c r="L41" s="32" t="s">
        <v>111</v>
      </c>
      <c r="M41" s="33" t="s">
        <v>81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83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110</v>
      </c>
      <c r="L42" s="32"/>
      <c r="M42" s="33" t="s">
        <v>81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2.7777777777777777</v>
      </c>
      <c r="Y43" s="549">
        <f>IFERROR(Y40/H40,"0")+IFERROR(Y41/H41,"0")+IFERROR(Y42/H42,"0")</f>
        <v>3.0000000000000004</v>
      </c>
      <c r="Z43" s="549">
        <f>IFERROR(IF(Z40="",0,Z40),"0")+IFERROR(IF(Z41="",0,Z41),"0")+IFERROR(IF(Z42="",0,Z42),"0")</f>
        <v>5.6940000000000004E-2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30</v>
      </c>
      <c r="Y44" s="549">
        <f>IFERROR(SUM(Y40:Y42),"0")</f>
        <v>32.400000000000006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/>
      <c r="M46" s="33" t="s">
        <v>81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/>
      <c r="M51" s="33" t="s">
        <v>81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100</v>
      </c>
      <c r="Y52" s="548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/>
      <c r="M55" s="33" t="s">
        <v>88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31.5</v>
      </c>
      <c r="Y56" s="548">
        <f t="shared" si="0"/>
        <v>31.5</v>
      </c>
      <c r="Z56" s="36">
        <f>IFERROR(IF(Y56=0,"",ROUNDUP(Y56/H56,0)*0.00902),"")</f>
        <v>6.3140000000000002E-2</v>
      </c>
      <c r="AA56" s="56"/>
      <c r="AB56" s="57"/>
      <c r="AC56" s="101" t="s">
        <v>135</v>
      </c>
      <c r="AG56" s="64"/>
      <c r="AJ56" s="68" t="s">
        <v>83</v>
      </c>
      <c r="AK56" s="68">
        <v>54</v>
      </c>
      <c r="BB56" s="102" t="s">
        <v>1</v>
      </c>
      <c r="BM56" s="64">
        <f t="shared" si="1"/>
        <v>32.830000000000005</v>
      </c>
      <c r="BN56" s="64">
        <f t="shared" si="2"/>
        <v>32.830000000000005</v>
      </c>
      <c r="BO56" s="64">
        <f t="shared" si="3"/>
        <v>5.3030303030303032E-2</v>
      </c>
      <c r="BP56" s="64">
        <f t="shared" si="4"/>
        <v>5.3030303030303032E-2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16.25925925925926</v>
      </c>
      <c r="Y57" s="549">
        <f>IFERROR(Y51/H51,"0")+IFERROR(Y52/H52,"0")+IFERROR(Y53/H53,"0")+IFERROR(Y54/H54,"0")+IFERROR(Y55/H55,"0")+IFERROR(Y56/H56,"0")</f>
        <v>17</v>
      </c>
      <c r="Z57" s="549">
        <f>IFERROR(IF(Z51="",0,Z51),"0")+IFERROR(IF(Z52="",0,Z52),"0")+IFERROR(IF(Z53="",0,Z53),"0")+IFERROR(IF(Z54="",0,Z54),"0")+IFERROR(IF(Z55="",0,Z55),"0")+IFERROR(IF(Z56="",0,Z56),"0")</f>
        <v>0.25294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131.5</v>
      </c>
      <c r="Y58" s="549">
        <f>IFERROR(SUM(Y51:Y56),"0")</f>
        <v>139.5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81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 t="s">
        <v>80</v>
      </c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83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hidden="1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81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/>
      <c r="M72" s="33" t="s">
        <v>81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/>
      <c r="M78" s="33" t="s">
        <v>88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/>
      <c r="M79" s="33" t="s">
        <v>81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88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60</v>
      </c>
      <c r="Y84" s="548">
        <f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25" t="s">
        <v>171</v>
      </c>
      <c r="AG84" s="64"/>
      <c r="AJ84" s="68" t="s">
        <v>83</v>
      </c>
      <c r="AK84" s="68">
        <v>86.4</v>
      </c>
      <c r="BB84" s="126" t="s">
        <v>1</v>
      </c>
      <c r="BM84" s="64">
        <f>IFERROR(X84*I84/H84,"0")</f>
        <v>62.277777777777779</v>
      </c>
      <c r="BN84" s="64">
        <f>IFERROR(Y84*I84/H84,"0")</f>
        <v>67.260000000000005</v>
      </c>
      <c r="BO84" s="64">
        <f>IFERROR(1/J84*(X84/H84),"0")</f>
        <v>8.6805555555555552E-2</v>
      </c>
      <c r="BP84" s="64">
        <f>IFERROR(1/J84*(Y84/H84),"0")</f>
        <v>9.3750000000000014E-2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81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111</v>
      </c>
      <c r="M87" s="33" t="s">
        <v>88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31.5</v>
      </c>
      <c r="Y87" s="548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171</v>
      </c>
      <c r="AG87" s="64"/>
      <c r="AJ87" s="68" t="s">
        <v>83</v>
      </c>
      <c r="AK87" s="68">
        <v>54</v>
      </c>
      <c r="BB87" s="132" t="s">
        <v>1</v>
      </c>
      <c r="BM87" s="64">
        <f>IFERROR(X87*I87/H87,"0")</f>
        <v>32.830000000000005</v>
      </c>
      <c r="BN87" s="64">
        <f>IFERROR(Y87*I87/H87,"0")</f>
        <v>32.830000000000005</v>
      </c>
      <c r="BO87" s="64">
        <f>IFERROR(1/J87*(X87/H87),"0")</f>
        <v>5.3030303030303032E-2</v>
      </c>
      <c r="BP87" s="64">
        <f>IFERROR(1/J87*(Y87/H87),"0")</f>
        <v>5.3030303030303032E-2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12.555555555555555</v>
      </c>
      <c r="Y88" s="549">
        <f>IFERROR(Y84/H84,"0")+IFERROR(Y85/H85,"0")+IFERROR(Y86/H86,"0")+IFERROR(Y87/H87,"0")</f>
        <v>13</v>
      </c>
      <c r="Z88" s="549">
        <f>IFERROR(IF(Z84="",0,Z84),"0")+IFERROR(IF(Z85="",0,Z85),"0")+IFERROR(IF(Z86="",0,Z86),"0")+IFERROR(IF(Z87="",0,Z87),"0")</f>
        <v>0.17702000000000001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91.5</v>
      </c>
      <c r="Y89" s="549">
        <f>IFERROR(SUM(Y84:Y87),"0")</f>
        <v>96.300000000000011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/>
      <c r="M91" s="33" t="s">
        <v>88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40</v>
      </c>
      <c r="Y91" s="548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182</v>
      </c>
      <c r="AG91" s="64"/>
      <c r="AJ91" s="68"/>
      <c r="AK91" s="68">
        <v>0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81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88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/>
      <c r="M94" s="33" t="s">
        <v>81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4.9382716049382722</v>
      </c>
      <c r="Y95" s="549">
        <f>IFERROR(Y91/H91,"0")+IFERROR(Y92/H92,"0")+IFERROR(Y93/H93,"0")+IFERROR(Y94/H94,"0")</f>
        <v>5</v>
      </c>
      <c r="Z95" s="549">
        <f>IFERROR(IF(Z91="",0,Z91),"0")+IFERROR(IF(Z92="",0,Z92),"0")+IFERROR(IF(Z93="",0,Z93),"0")+IFERROR(IF(Z94="",0,Z94),"0")</f>
        <v>9.4899999999999998E-2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40</v>
      </c>
      <c r="Y96" s="549">
        <f>IFERROR(SUM(Y91:Y94),"0")</f>
        <v>40.5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83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/>
      <c r="M101" s="33" t="s">
        <v>81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111</v>
      </c>
      <c r="M102" s="33" t="s">
        <v>81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83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hidden="1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/>
      <c r="M114" s="33" t="s">
        <v>88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200</v>
      </c>
      <c r="Y114" s="548">
        <f>IFERROR(IF(X114="",0,CEILING((X114/$H114),1)*$H114),"")</f>
        <v>202.5</v>
      </c>
      <c r="Z114" s="36">
        <f>IFERROR(IF(Y114=0,"",ROUNDUP(Y114/H114,0)*0.01898),"")</f>
        <v>0.47450000000000003</v>
      </c>
      <c r="AA114" s="56"/>
      <c r="AB114" s="57"/>
      <c r="AC114" s="159" t="s">
        <v>216</v>
      </c>
      <c r="AG114" s="64"/>
      <c r="AJ114" s="68"/>
      <c r="AK114" s="68">
        <v>0</v>
      </c>
      <c r="BB114" s="160" t="s">
        <v>1</v>
      </c>
      <c r="BM114" s="64">
        <f>IFERROR(X114*I114/H114,"0")</f>
        <v>212.04938271604939</v>
      </c>
      <c r="BN114" s="64">
        <f>IFERROR(Y114*I114/H114,"0")</f>
        <v>214.7</v>
      </c>
      <c r="BO114" s="64">
        <f>IFERROR(1/J114*(X114/H114),"0")</f>
        <v>0.38580246913580246</v>
      </c>
      <c r="BP114" s="64">
        <f>IFERROR(1/J114*(Y114/H114),"0")</f>
        <v>0.390625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/>
      <c r="M115" s="33" t="s">
        <v>88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13.5</v>
      </c>
      <c r="Y116" s="548">
        <f>IFERROR(IF(X116="",0,CEILING((X116/$H116),1)*$H116),"")</f>
        <v>13.5</v>
      </c>
      <c r="Z116" s="36">
        <f>IFERROR(IF(Y116=0,"",ROUNDUP(Y116/H116,0)*0.00651),"")</f>
        <v>3.2550000000000003E-2</v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14.759999999999998</v>
      </c>
      <c r="BN116" s="64">
        <f>IFERROR(Y116*I116/H116,"0")</f>
        <v>14.759999999999998</v>
      </c>
      <c r="BO116" s="64">
        <f>IFERROR(1/J116*(X116/H116),"0")</f>
        <v>2.7472527472527476E-2</v>
      </c>
      <c r="BP116" s="64">
        <f>IFERROR(1/J116*(Y116/H116),"0")</f>
        <v>2.7472527472527476E-2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80</v>
      </c>
      <c r="M117" s="33" t="s">
        <v>81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83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29.691358024691358</v>
      </c>
      <c r="Y118" s="549">
        <f>IFERROR(Y114/H114,"0")+IFERROR(Y115/H115,"0")+IFERROR(Y116/H116,"0")+IFERROR(Y117/H117,"0")</f>
        <v>30</v>
      </c>
      <c r="Z118" s="549">
        <f>IFERROR(IF(Z114="",0,Z114),"0")+IFERROR(IF(Z115="",0,Z115),"0")+IFERROR(IF(Z116="",0,Z116),"0")+IFERROR(IF(Z117="",0,Z117),"0")</f>
        <v>0.50705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213.5</v>
      </c>
      <c r="Y119" s="549">
        <f>IFERROR(SUM(Y114:Y117),"0")</f>
        <v>216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80</v>
      </c>
      <c r="M121" s="33" t="s">
        <v>81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83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/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/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/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/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81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83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111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25</v>
      </c>
      <c r="Y167" s="548">
        <f t="shared" si="5"/>
        <v>25.200000000000003</v>
      </c>
      <c r="Z167" s="36">
        <f>IFERROR(IF(Y167=0,"",ROUNDUP(Y167/H167,0)*0.00902),"")</f>
        <v>5.4120000000000001E-2</v>
      </c>
      <c r="AA167" s="56"/>
      <c r="AB167" s="57"/>
      <c r="AC167" s="203" t="s">
        <v>276</v>
      </c>
      <c r="AG167" s="64"/>
      <c r="AJ167" s="68" t="s">
        <v>83</v>
      </c>
      <c r="AK167" s="68">
        <v>50.4</v>
      </c>
      <c r="BB167" s="204" t="s">
        <v>1</v>
      </c>
      <c r="BM167" s="64">
        <f t="shared" si="6"/>
        <v>26.130952380952376</v>
      </c>
      <c r="BN167" s="64">
        <f t="shared" si="7"/>
        <v>26.34</v>
      </c>
      <c r="BO167" s="64">
        <f t="shared" si="8"/>
        <v>4.5093795093795096E-2</v>
      </c>
      <c r="BP167" s="64">
        <f t="shared" si="9"/>
        <v>4.5454545454545456E-2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287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83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287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83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5.9523809523809526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6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5.4120000000000001E-2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25</v>
      </c>
      <c r="Y180" s="549">
        <f>IFERROR(SUM(Y165:Y178),"0")</f>
        <v>25.200000000000003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111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60</v>
      </c>
      <c r="Y203" s="548">
        <f t="shared" ref="Y203:Y210" si="10">IFERROR(IF(X203="",0,CEILING((X203/$H203),1)*$H203),"")</f>
        <v>64.800000000000011</v>
      </c>
      <c r="Z203" s="36">
        <f>IFERROR(IF(Y203=0,"",ROUNDUP(Y203/H203,0)*0.00902),"")</f>
        <v>0.10824</v>
      </c>
      <c r="AA203" s="56"/>
      <c r="AB203" s="57"/>
      <c r="AC203" s="243" t="s">
        <v>332</v>
      </c>
      <c r="AG203" s="64"/>
      <c r="AJ203" s="68" t="s">
        <v>83</v>
      </c>
      <c r="AK203" s="68">
        <v>64.8</v>
      </c>
      <c r="BB203" s="244" t="s">
        <v>1</v>
      </c>
      <c r="BM203" s="64">
        <f t="shared" ref="BM203:BM210" si="11">IFERROR(X203*I203/H203,"0")</f>
        <v>62.1111111111111</v>
      </c>
      <c r="BN203" s="64">
        <f t="shared" ref="BN203:BN210" si="12">IFERROR(Y203*I203/H203,"0")</f>
        <v>67.08</v>
      </c>
      <c r="BO203" s="64">
        <f t="shared" ref="BO203:BO210" si="13">IFERROR(1/J203*(X203/H203),"0")</f>
        <v>8.4175084175084181E-2</v>
      </c>
      <c r="BP203" s="64">
        <f t="shared" ref="BP203:BP210" si="14">IFERROR(1/J203*(Y203/H203),"0")</f>
        <v>9.0909090909090925E-2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20</v>
      </c>
      <c r="Y204" s="548">
        <f t="shared" si="10"/>
        <v>21.6</v>
      </c>
      <c r="Z204" s="36">
        <f>IFERROR(IF(Y204=0,"",ROUNDUP(Y204/H204,0)*0.00902),"")</f>
        <v>3.6080000000000001E-2</v>
      </c>
      <c r="AA204" s="56"/>
      <c r="AB204" s="57"/>
      <c r="AC204" s="245" t="s">
        <v>335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1"/>
        <v>20.703703703703702</v>
      </c>
      <c r="BN204" s="64">
        <f t="shared" si="12"/>
        <v>22.36</v>
      </c>
      <c r="BO204" s="64">
        <f t="shared" si="13"/>
        <v>2.8058361391694722E-2</v>
      </c>
      <c r="BP204" s="64">
        <f t="shared" si="14"/>
        <v>3.0303030303030304E-2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60</v>
      </c>
      <c r="Y205" s="548">
        <f t="shared" si="10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1"/>
        <v>62.1111111111111</v>
      </c>
      <c r="BN205" s="64">
        <f t="shared" si="12"/>
        <v>67.08</v>
      </c>
      <c r="BO205" s="64">
        <f t="shared" si="13"/>
        <v>8.4175084175084181E-2</v>
      </c>
      <c r="BP205" s="64">
        <f t="shared" si="14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70</v>
      </c>
      <c r="Y206" s="548">
        <f t="shared" si="10"/>
        <v>70.2</v>
      </c>
      <c r="Z206" s="36">
        <f>IFERROR(IF(Y206=0,"",ROUNDUP(Y206/H206,0)*0.00902),"")</f>
        <v>0.11726</v>
      </c>
      <c r="AA206" s="56"/>
      <c r="AB206" s="57"/>
      <c r="AC206" s="249" t="s">
        <v>341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1"/>
        <v>72.462962962962962</v>
      </c>
      <c r="BN206" s="64">
        <f t="shared" si="12"/>
        <v>72.67</v>
      </c>
      <c r="BO206" s="64">
        <f t="shared" si="13"/>
        <v>9.8204264870931535E-2</v>
      </c>
      <c r="BP206" s="64">
        <f t="shared" si="14"/>
        <v>9.8484848484848481E-2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287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287</v>
      </c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287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38.888888888888886</v>
      </c>
      <c r="Y211" s="549">
        <f>IFERROR(Y203/H203,"0")+IFERROR(Y204/H204,"0")+IFERROR(Y205/H205,"0")+IFERROR(Y206/H206,"0")+IFERROR(Y207/H207,"0")+IFERROR(Y208/H208,"0")+IFERROR(Y209/H209,"0")+IFERROR(Y210/H210,"0")</f>
        <v>41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0.36982000000000004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210</v>
      </c>
      <c r="Y212" s="549">
        <f>IFERROR(SUM(Y203:Y210),"0")</f>
        <v>221.40000000000003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81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30</v>
      </c>
      <c r="Y214" s="548">
        <f t="shared" ref="Y214:Y222" si="15">IFERROR(IF(X214="",0,CEILING((X214/$H214),1)*$H214),"")</f>
        <v>32.4</v>
      </c>
      <c r="Z214" s="36">
        <f>IFERROR(IF(Y214=0,"",ROUNDUP(Y214/H214,0)*0.01898),"")</f>
        <v>7.5920000000000001E-2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31.829629629629629</v>
      </c>
      <c r="BN214" s="64">
        <f t="shared" ref="BN214:BN222" si="17">IFERROR(Y214*I214/H214,"0")</f>
        <v>34.375999999999998</v>
      </c>
      <c r="BO214" s="64">
        <f t="shared" ref="BO214:BO222" si="18">IFERROR(1/J214*(X214/H214),"0")</f>
        <v>5.7870370370370371E-2</v>
      </c>
      <c r="BP214" s="64">
        <f t="shared" ref="BP214:BP222" si="19">IFERROR(1/J214*(Y214/H214),"0")</f>
        <v>6.25E-2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81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25</v>
      </c>
      <c r="Y215" s="548">
        <f t="shared" si="15"/>
        <v>32.4</v>
      </c>
      <c r="Z215" s="36">
        <f>IFERROR(IF(Y215=0,"",ROUNDUP(Y215/H215,0)*0.01898),"")</f>
        <v>7.5920000000000001E-2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26.469135802469136</v>
      </c>
      <c r="BN215" s="64">
        <f t="shared" si="17"/>
        <v>34.304000000000002</v>
      </c>
      <c r="BO215" s="64">
        <f t="shared" si="18"/>
        <v>4.8225308641975308E-2</v>
      </c>
      <c r="BP215" s="64">
        <f t="shared" si="19"/>
        <v>6.25E-2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81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83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80</v>
      </c>
      <c r="M217" s="33" t="s">
        <v>81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7.2</v>
      </c>
      <c r="Y217" s="548">
        <f t="shared" si="15"/>
        <v>7.1999999999999993</v>
      </c>
      <c r="Z217" s="36">
        <f t="shared" ref="Z217:Z222" si="20">IFERROR(IF(Y217=0,"",ROUNDUP(Y217/H217,0)*0.00651),"")</f>
        <v>1.9529999999999999E-2</v>
      </c>
      <c r="AA217" s="56"/>
      <c r="AB217" s="57"/>
      <c r="AC217" s="265" t="s">
        <v>361</v>
      </c>
      <c r="AG217" s="64"/>
      <c r="AJ217" s="68" t="s">
        <v>83</v>
      </c>
      <c r="AK217" s="68">
        <v>33.6</v>
      </c>
      <c r="BB217" s="266" t="s">
        <v>1</v>
      </c>
      <c r="BM217" s="64">
        <f t="shared" si="16"/>
        <v>8.01</v>
      </c>
      <c r="BN217" s="64">
        <f t="shared" si="17"/>
        <v>8.009999999999998</v>
      </c>
      <c r="BO217" s="64">
        <f t="shared" si="18"/>
        <v>1.6483516483516484E-2</v>
      </c>
      <c r="BP217" s="64">
        <f t="shared" si="19"/>
        <v>1.6483516483516484E-2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88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80</v>
      </c>
      <c r="M219" s="33" t="s">
        <v>81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12</v>
      </c>
      <c r="Y219" s="548">
        <f t="shared" si="15"/>
        <v>12</v>
      </c>
      <c r="Z219" s="36">
        <f t="shared" si="20"/>
        <v>3.2550000000000003E-2</v>
      </c>
      <c r="AA219" s="56"/>
      <c r="AB219" s="57"/>
      <c r="AC219" s="269" t="s">
        <v>358</v>
      </c>
      <c r="AG219" s="64"/>
      <c r="AJ219" s="68" t="s">
        <v>83</v>
      </c>
      <c r="AK219" s="68">
        <v>33.6</v>
      </c>
      <c r="BB219" s="270" t="s">
        <v>1</v>
      </c>
      <c r="BM219" s="64">
        <f t="shared" si="16"/>
        <v>13.260000000000002</v>
      </c>
      <c r="BN219" s="64">
        <f t="shared" si="17"/>
        <v>13.260000000000002</v>
      </c>
      <c r="BO219" s="64">
        <f t="shared" si="18"/>
        <v>2.7472527472527476E-2</v>
      </c>
      <c r="BP219" s="64">
        <f t="shared" si="19"/>
        <v>2.7472527472527476E-2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80</v>
      </c>
      <c r="M221" s="33" t="s">
        <v>88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83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80</v>
      </c>
      <c r="M222" s="33" t="s">
        <v>81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83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14.790123456790123</v>
      </c>
      <c r="Y223" s="549">
        <f>IFERROR(Y214/H214,"0")+IFERROR(Y215/H215,"0")+IFERROR(Y216/H216,"0")+IFERROR(Y217/H217,"0")+IFERROR(Y218/H218,"0")+IFERROR(Y219/H219,"0")+IFERROR(Y220/H220,"0")+IFERROR(Y221/H221,"0")+IFERROR(Y222/H222,"0")</f>
        <v>16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0.20391999999999999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74.2</v>
      </c>
      <c r="Y224" s="549">
        <f>IFERROR(SUM(Y214:Y222),"0")</f>
        <v>84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80</v>
      </c>
      <c r="M226" s="33" t="s">
        <v>88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83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80</v>
      </c>
      <c r="M227" s="33" t="s">
        <v>81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83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4301012196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4301011824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4301012195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/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4301011722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 t="s">
        <v>83</v>
      </c>
      <c r="AK240" s="68">
        <v>48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81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81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81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81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81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80</v>
      </c>
      <c r="M279" s="33" t="s">
        <v>88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83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81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/>
      <c r="M290" s="33" t="s">
        <v>81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81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81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81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/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idden="1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hidden="1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/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30</v>
      </c>
      <c r="Y305" s="548">
        <f t="shared" ref="Y305:Y310" si="31">IFERROR(IF(X305="",0,CEILING((X305/$H305),1)*$H305),"")</f>
        <v>33.6</v>
      </c>
      <c r="Z305" s="36">
        <f>IFERROR(IF(Y305=0,"",ROUNDUP(Y305/H305,0)*0.00902),"")</f>
        <v>7.2160000000000002E-2</v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31.785714285714285</v>
      </c>
      <c r="BN305" s="64">
        <f t="shared" ref="BN305:BN310" si="33">IFERROR(Y305*I305/H305,"0")</f>
        <v>35.6</v>
      </c>
      <c r="BO305" s="64">
        <f t="shared" ref="BO305:BO310" si="34">IFERROR(1/J305*(X305/H305),"0")</f>
        <v>5.4112554112554112E-2</v>
      </c>
      <c r="BP305" s="64">
        <f t="shared" ref="BP305:BP310" si="35">IFERROR(1/J305*(Y305/H305),"0")</f>
        <v>6.0606060606060608E-2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/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287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83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80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83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7.1428571428571423</v>
      </c>
      <c r="Y311" s="549">
        <f>IFERROR(Y305/H305,"0")+IFERROR(Y306/H306,"0")+IFERROR(Y307/H307,"0")+IFERROR(Y308/H308,"0")+IFERROR(Y309/H309,"0")+IFERROR(Y310/H310,"0")</f>
        <v>8</v>
      </c>
      <c r="Z311" s="549">
        <f>IFERROR(IF(Z305="",0,Z305),"0")+IFERROR(IF(Z306="",0,Z306),"0")+IFERROR(IF(Z307="",0,Z307),"0")+IFERROR(IF(Z308="",0,Z308),"0")+IFERROR(IF(Z309="",0,Z309),"0")+IFERROR(IF(Z310="",0,Z310),"0")</f>
        <v>7.2160000000000002E-2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30</v>
      </c>
      <c r="Y312" s="549">
        <f>IFERROR(SUM(Y305:Y310),"0")</f>
        <v>33.6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/>
      <c r="M314" s="33" t="s">
        <v>81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81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81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/>
      <c r="M317" s="33" t="s">
        <v>81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hidden="1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81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83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81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60</v>
      </c>
      <c r="Y322" s="548">
        <f>IFERROR(IF(X322="",0,CEILING((X322/$H322),1)*$H322),"")</f>
        <v>62.4</v>
      </c>
      <c r="Z322" s="36">
        <f>IFERROR(IF(Y322=0,"",ROUNDUP(Y322/H322,0)*0.01898),"")</f>
        <v>0.15184</v>
      </c>
      <c r="AA322" s="56"/>
      <c r="AB322" s="57"/>
      <c r="AC322" s="379" t="s">
        <v>521</v>
      </c>
      <c r="AG322" s="64"/>
      <c r="AJ322" s="68" t="s">
        <v>83</v>
      </c>
      <c r="AK322" s="68">
        <v>62.4</v>
      </c>
      <c r="BB322" s="380" t="s">
        <v>1</v>
      </c>
      <c r="BM322" s="64">
        <f>IFERROR(X322*I322/H322,"0")</f>
        <v>63.800000000000004</v>
      </c>
      <c r="BN322" s="64">
        <f>IFERROR(Y322*I322/H322,"0")</f>
        <v>66.352000000000004</v>
      </c>
      <c r="BO322" s="64">
        <f>IFERROR(1/J322*(X322/H322),"0")</f>
        <v>0.1201923076923077</v>
      </c>
      <c r="BP322" s="64">
        <f>IFERROR(1/J322*(Y322/H322),"0")</f>
        <v>0.125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/>
      <c r="M323" s="33" t="s">
        <v>88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7.6923076923076925</v>
      </c>
      <c r="Y324" s="549">
        <f>IFERROR(Y321/H321,"0")+IFERROR(Y322/H322,"0")+IFERROR(Y323/H323,"0")</f>
        <v>8</v>
      </c>
      <c r="Z324" s="549">
        <f>IFERROR(IF(Z321="",0,Z321),"0")+IFERROR(IF(Z322="",0,Z322),"0")+IFERROR(IF(Z323="",0,Z323),"0")</f>
        <v>0.15184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60</v>
      </c>
      <c r="Y325" s="549">
        <f>IFERROR(SUM(Y321:Y323),"0")</f>
        <v>62.4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 t="s">
        <v>80</v>
      </c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83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/>
      <c r="M341" s="33" t="s">
        <v>88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80</v>
      </c>
      <c r="M342" s="33" t="s">
        <v>81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10.5</v>
      </c>
      <c r="Y342" s="548">
        <f>IFERROR(IF(X342="",0,CEILING((X342/$H342),1)*$H342),"")</f>
        <v>10.5</v>
      </c>
      <c r="Z342" s="36">
        <f>IFERROR(IF(Y342=0,"",ROUNDUP(Y342/H342,0)*0.00651),"")</f>
        <v>3.2550000000000003E-2</v>
      </c>
      <c r="AA342" s="56"/>
      <c r="AB342" s="57"/>
      <c r="AC342" s="399" t="s">
        <v>549</v>
      </c>
      <c r="AG342" s="64"/>
      <c r="AJ342" s="68" t="s">
        <v>83</v>
      </c>
      <c r="AK342" s="68">
        <v>29.4</v>
      </c>
      <c r="BB342" s="400" t="s">
        <v>1</v>
      </c>
      <c r="BM342" s="64">
        <f>IFERROR(X342*I342/H342,"0")</f>
        <v>11.759999999999998</v>
      </c>
      <c r="BN342" s="64">
        <f>IFERROR(Y342*I342/H342,"0")</f>
        <v>11.759999999999998</v>
      </c>
      <c r="BO342" s="64">
        <f>IFERROR(1/J342*(X342/H342),"0")</f>
        <v>2.7472527472527476E-2</v>
      </c>
      <c r="BP342" s="64">
        <f>IFERROR(1/J342*(Y342/H342),"0")</f>
        <v>2.7472527472527476E-2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80</v>
      </c>
      <c r="M343" s="33" t="s">
        <v>88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4.1999999999999993</v>
      </c>
      <c r="Y343" s="548">
        <f>IFERROR(IF(X343="",0,CEILING((X343/$H343),1)*$H343),"")</f>
        <v>4.2</v>
      </c>
      <c r="Z343" s="36">
        <f>IFERROR(IF(Y343=0,"",ROUNDUP(Y343/H343,0)*0.00651),"")</f>
        <v>1.302E-2</v>
      </c>
      <c r="AA343" s="56"/>
      <c r="AB343" s="57"/>
      <c r="AC343" s="401" t="s">
        <v>552</v>
      </c>
      <c r="AG343" s="64"/>
      <c r="AJ343" s="68" t="s">
        <v>83</v>
      </c>
      <c r="AK343" s="68">
        <v>29.4</v>
      </c>
      <c r="BB343" s="402" t="s">
        <v>1</v>
      </c>
      <c r="BM343" s="64">
        <f>IFERROR(X343*I343/H343,"0")</f>
        <v>4.6799999999999988</v>
      </c>
      <c r="BN343" s="64">
        <f>IFERROR(Y343*I343/H343,"0")</f>
        <v>4.68</v>
      </c>
      <c r="BO343" s="64">
        <f>IFERROR(1/J343*(X343/H343),"0")</f>
        <v>1.0989010989010988E-2</v>
      </c>
      <c r="BP343" s="64">
        <f>IFERROR(1/J343*(Y343/H343),"0")</f>
        <v>1.098901098901099E-2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7</v>
      </c>
      <c r="Y344" s="549">
        <f>IFERROR(Y341/H341,"0")+IFERROR(Y342/H342,"0")+IFERROR(Y343/H343,"0")</f>
        <v>7</v>
      </c>
      <c r="Z344" s="549">
        <f>IFERROR(IF(Z341="",0,Z341),"0")+IFERROR(IF(Z342="",0,Z342),"0")+IFERROR(IF(Z343="",0,Z343),"0")</f>
        <v>4.5569999999999999E-2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14.7</v>
      </c>
      <c r="Y345" s="549">
        <f>IFERROR(SUM(Y341:Y343),"0")</f>
        <v>14.7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83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83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88</v>
      </c>
      <c r="N351" s="33"/>
      <c r="O351" s="32">
        <v>60</v>
      </c>
      <c r="P351" s="65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4">
        <v>4680115884830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100</v>
      </c>
      <c r="Y352" s="548">
        <f t="shared" si="36"/>
        <v>105</v>
      </c>
      <c r="Z352" s="36">
        <f>IFERROR(IF(Y352=0,"",ROUNDUP(Y352/H352,0)*0.02175),"")</f>
        <v>0.15225</v>
      </c>
      <c r="AA352" s="56"/>
      <c r="AB352" s="57"/>
      <c r="AC352" s="409" t="s">
        <v>566</v>
      </c>
      <c r="AG352" s="64"/>
      <c r="AJ352" s="68" t="s">
        <v>83</v>
      </c>
      <c r="AK352" s="68">
        <v>120</v>
      </c>
      <c r="BB352" s="410" t="s">
        <v>1</v>
      </c>
      <c r="BM352" s="64">
        <f t="shared" si="37"/>
        <v>103.13333333333334</v>
      </c>
      <c r="BN352" s="64">
        <f t="shared" si="38"/>
        <v>108.29</v>
      </c>
      <c r="BO352" s="64">
        <f t="shared" si="39"/>
        <v>0.1388888888888889</v>
      </c>
      <c r="BP352" s="64">
        <f t="shared" si="40"/>
        <v>0.14583333333333331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6.666666666666667</v>
      </c>
      <c r="Y356" s="549">
        <f>IFERROR(Y349/H349,"0")+IFERROR(Y350/H350,"0")+IFERROR(Y351/H351,"0")+IFERROR(Y352/H352,"0")+IFERROR(Y353/H353,"0")+IFERROR(Y354/H354,"0")+IFERROR(Y355/H355,"0")</f>
        <v>7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0.15225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100</v>
      </c>
      <c r="Y357" s="549">
        <f>IFERROR(SUM(Y349:Y355),"0")</f>
        <v>105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 t="s">
        <v>105</v>
      </c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150</v>
      </c>
      <c r="Y359" s="548">
        <f>IFERROR(IF(X359="",0,CEILING((X359/$H359),1)*$H359),"")</f>
        <v>150</v>
      </c>
      <c r="Z359" s="36">
        <f>IFERROR(IF(Y359=0,"",ROUNDUP(Y359/H359,0)*0.02175),"")</f>
        <v>0.21749999999999997</v>
      </c>
      <c r="AA359" s="56"/>
      <c r="AB359" s="57"/>
      <c r="AC359" s="417" t="s">
        <v>576</v>
      </c>
      <c r="AG359" s="64"/>
      <c r="AJ359" s="68" t="s">
        <v>83</v>
      </c>
      <c r="AK359" s="68">
        <v>120</v>
      </c>
      <c r="BB359" s="418" t="s">
        <v>1</v>
      </c>
      <c r="BM359" s="64">
        <f>IFERROR(X359*I359/H359,"0")</f>
        <v>154.69999999999999</v>
      </c>
      <c r="BN359" s="64">
        <f>IFERROR(Y359*I359/H359,"0")</f>
        <v>154.69999999999999</v>
      </c>
      <c r="BO359" s="64">
        <f>IFERROR(1/J359*(X359/H359),"0")</f>
        <v>0.20833333333333331</v>
      </c>
      <c r="BP359" s="64">
        <f>IFERROR(1/J359*(Y359/H359),"0")</f>
        <v>0.20833333333333331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10</v>
      </c>
      <c r="Y361" s="549">
        <f>IFERROR(Y359/H359,"0")+IFERROR(Y360/H360,"0")</f>
        <v>10</v>
      </c>
      <c r="Z361" s="549">
        <f>IFERROR(IF(Z359="",0,Z359),"0")+IFERROR(IF(Z360="",0,Z360),"0")</f>
        <v>0.21749999999999997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150</v>
      </c>
      <c r="Y362" s="549">
        <f>IFERROR(SUM(Y359:Y360),"0")</f>
        <v>150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/>
      <c r="M364" s="33" t="s">
        <v>81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/>
      <c r="M365" s="33" t="s">
        <v>81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81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/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50</v>
      </c>
      <c r="Y374" s="548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4.166666666666667</v>
      </c>
      <c r="Y376" s="549">
        <f>IFERROR(Y374/H374,"0")+IFERROR(Y375/H375,"0")</f>
        <v>5</v>
      </c>
      <c r="Z376" s="549">
        <f>IFERROR(IF(Z374="",0,Z374),"0")+IFERROR(IF(Z375="",0,Z375),"0")</f>
        <v>9.4899999999999998E-2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50</v>
      </c>
      <c r="Y377" s="549">
        <f>IFERROR(SUM(Y374:Y375),"0")</f>
        <v>60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110</v>
      </c>
      <c r="L379" s="32"/>
      <c r="M379" s="33" t="s">
        <v>68</v>
      </c>
      <c r="N379" s="33"/>
      <c r="O379" s="32">
        <v>50</v>
      </c>
      <c r="P379" s="5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4">
        <v>4607091384802</v>
      </c>
      <c r="E380" s="555"/>
      <c r="F380" s="546">
        <v>0.73</v>
      </c>
      <c r="G380" s="32">
        <v>6</v>
      </c>
      <c r="H380" s="546">
        <v>4.38</v>
      </c>
      <c r="I380" s="546">
        <v>4.63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35</v>
      </c>
      <c r="P380" s="7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/>
      <c r="M384" s="33" t="s">
        <v>81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81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606</v>
      </c>
      <c r="C386" s="31">
        <v>4301051660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81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hidden="1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/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30</v>
      </c>
      <c r="Y392" s="548">
        <f t="shared" ref="Y392:Y400" si="41">IFERROR(IF(X392="",0,CEILING((X392/$H392),1)*$H392),"")</f>
        <v>32.400000000000006</v>
      </c>
      <c r="Z392" s="36">
        <f>IFERROR(IF(Y392=0,"",ROUNDUP(Y392/H392,0)*0.00902),"")</f>
        <v>5.4120000000000001E-2</v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31.05555555555555</v>
      </c>
      <c r="BN392" s="64">
        <f t="shared" ref="BN392:BN400" si="43">IFERROR(Y392*I392/H392,"0")</f>
        <v>33.54</v>
      </c>
      <c r="BO392" s="64">
        <f t="shared" ref="BO392:BO400" si="44">IFERROR(1/J392*(X392/H392),"0")</f>
        <v>4.208754208754209E-2</v>
      </c>
      <c r="BP392" s="64">
        <f t="shared" ref="BP392:BP400" si="45">IFERROR(1/J392*(Y392/H392),"0")</f>
        <v>4.5454545454545463E-2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25</v>
      </c>
      <c r="Y394" s="548">
        <f t="shared" si="41"/>
        <v>27</v>
      </c>
      <c r="Z394" s="36">
        <f>IFERROR(IF(Y394=0,"",ROUNDUP(Y394/H394,0)*0.00902),"")</f>
        <v>4.5100000000000001E-2</v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25.879629629629626</v>
      </c>
      <c r="BN394" s="64">
        <f t="shared" si="43"/>
        <v>27.95</v>
      </c>
      <c r="BO394" s="64">
        <f t="shared" si="44"/>
        <v>3.5072951739618406E-2</v>
      </c>
      <c r="BP394" s="64">
        <f t="shared" si="45"/>
        <v>3.787878787878788E-2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287</v>
      </c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 t="s">
        <v>83</v>
      </c>
      <c r="AK396" s="68">
        <v>37.799999999999997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10.185185185185185</v>
      </c>
      <c r="Y401" s="549">
        <f>IFERROR(Y392/H392,"0")+IFERROR(Y393/H393,"0")+IFERROR(Y394/H394,"0")+IFERROR(Y395/H395,"0")+IFERROR(Y396/H396,"0")+IFERROR(Y397/H397,"0")+IFERROR(Y398/H398,"0")+IFERROR(Y399/H399,"0")+IFERROR(Y400/H400,"0")</f>
        <v>11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9.9220000000000003E-2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55</v>
      </c>
      <c r="Y402" s="549">
        <f>IFERROR(SUM(Y392:Y400),"0")</f>
        <v>59.400000000000006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/>
      <c r="M404" s="33" t="s">
        <v>81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/>
      <c r="M405" s="33" t="s">
        <v>81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/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30</v>
      </c>
      <c r="Y414" s="548">
        <f>IFERROR(IF(X414="",0,CEILING((X414/$H414),1)*$H414),"")</f>
        <v>32.400000000000006</v>
      </c>
      <c r="Z414" s="36">
        <f>IFERROR(IF(Y414=0,"",ROUNDUP(Y414/H414,0)*0.00902),"")</f>
        <v>5.4120000000000001E-2</v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31.05555555555555</v>
      </c>
      <c r="BN414" s="64">
        <f>IFERROR(Y414*I414/H414,"0")</f>
        <v>33.54</v>
      </c>
      <c r="BO414" s="64">
        <f>IFERROR(1/J414*(X414/H414),"0")</f>
        <v>4.208754208754209E-2</v>
      </c>
      <c r="BP414" s="64">
        <f>IFERROR(1/J414*(Y414/H414),"0")</f>
        <v>4.5454545454545463E-2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5.5555555555555554</v>
      </c>
      <c r="Y418" s="549">
        <f>IFERROR(Y414/H414,"0")+IFERROR(Y415/H415,"0")+IFERROR(Y416/H416,"0")+IFERROR(Y417/H417,"0")</f>
        <v>6.0000000000000009</v>
      </c>
      <c r="Z418" s="549">
        <f>IFERROR(IF(Z414="",0,Z414),"0")+IFERROR(IF(Z415="",0,Z415),"0")+IFERROR(IF(Z416="",0,Z416),"0")+IFERROR(IF(Z417="",0,Z417),"0")</f>
        <v>5.4120000000000001E-2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30</v>
      </c>
      <c r="Y419" s="549">
        <f>IFERROR(SUM(Y414:Y417),"0")</f>
        <v>32.400000000000006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40</v>
      </c>
      <c r="Y428" s="548">
        <f t="shared" ref="Y428:Y439" si="47">IFERROR(IF(X428="",0,CEILING((X428/$H428),1)*$H428),"")</f>
        <v>42.24</v>
      </c>
      <c r="Z428" s="36">
        <f t="shared" ref="Z428:Z434" si="48">IFERROR(IF(Y428=0,"",ROUNDUP(Y428/H428,0)*0.01196),"")</f>
        <v>9.5680000000000001E-2</v>
      </c>
      <c r="AA428" s="56"/>
      <c r="AB428" s="57"/>
      <c r="AC428" s="475" t="s">
        <v>107</v>
      </c>
      <c r="AG428" s="64"/>
      <c r="AJ428" s="68" t="s">
        <v>83</v>
      </c>
      <c r="AK428" s="68">
        <v>42.24</v>
      </c>
      <c r="BB428" s="476" t="s">
        <v>1</v>
      </c>
      <c r="BM428" s="64">
        <f t="shared" ref="BM428:BM439" si="49">IFERROR(X428*I428/H428,"0")</f>
        <v>42.651515151515149</v>
      </c>
      <c r="BN428" s="64">
        <f t="shared" ref="BN428:BN439" si="50">IFERROR(Y428*I428/H428,"0")</f>
        <v>45.04</v>
      </c>
      <c r="BO428" s="64">
        <f t="shared" ref="BO428:BO439" si="51">IFERROR(1/J428*(X428/H428),"0")</f>
        <v>7.2843822843822847E-2</v>
      </c>
      <c r="BP428" s="64">
        <f t="shared" ref="BP428:BP439" si="52">IFERROR(1/J428*(Y428/H428),"0")</f>
        <v>7.6923076923076927E-2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81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150</v>
      </c>
      <c r="Y432" s="548">
        <f t="shared" si="47"/>
        <v>153.12</v>
      </c>
      <c r="Z432" s="36">
        <f t="shared" si="48"/>
        <v>0.34683999999999998</v>
      </c>
      <c r="AA432" s="56"/>
      <c r="AB432" s="57"/>
      <c r="AC432" s="483" t="s">
        <v>670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49"/>
        <v>159.94318181818181</v>
      </c>
      <c r="BN432" s="64">
        <f t="shared" si="50"/>
        <v>163.26999999999998</v>
      </c>
      <c r="BO432" s="64">
        <f t="shared" si="51"/>
        <v>0.27316433566433568</v>
      </c>
      <c r="BP432" s="64">
        <f t="shared" si="52"/>
        <v>0.27884615384615385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150</v>
      </c>
      <c r="Y434" s="548">
        <f t="shared" si="47"/>
        <v>153.12</v>
      </c>
      <c r="Z434" s="36">
        <f t="shared" si="48"/>
        <v>0.34683999999999998</v>
      </c>
      <c r="AA434" s="56"/>
      <c r="AB434" s="57"/>
      <c r="AC434" s="487" t="s">
        <v>676</v>
      </c>
      <c r="AG434" s="64"/>
      <c r="AJ434" s="68" t="s">
        <v>83</v>
      </c>
      <c r="AK434" s="68">
        <v>42.24</v>
      </c>
      <c r="BB434" s="488" t="s">
        <v>1</v>
      </c>
      <c r="BM434" s="64">
        <f t="shared" si="49"/>
        <v>159.94318181818181</v>
      </c>
      <c r="BN434" s="64">
        <f t="shared" si="50"/>
        <v>163.26999999999998</v>
      </c>
      <c r="BO434" s="64">
        <f t="shared" si="51"/>
        <v>0.27316433566433568</v>
      </c>
      <c r="BP434" s="64">
        <f t="shared" si="52"/>
        <v>0.27884615384615385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81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64.393939393939391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66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0.78935999999999995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340</v>
      </c>
      <c r="Y441" s="549">
        <f>IFERROR(SUM(Y428:Y439),"0")</f>
        <v>348.48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/>
      <c r="M443" s="33" t="s">
        <v>81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70</v>
      </c>
      <c r="Y443" s="548">
        <f>IFERROR(IF(X443="",0,CEILING((X443/$H443),1)*$H443),"")</f>
        <v>73.92</v>
      </c>
      <c r="Z443" s="36">
        <f>IFERROR(IF(Y443=0,"",ROUNDUP(Y443/H443,0)*0.01196),"")</f>
        <v>0.16744000000000001</v>
      </c>
      <c r="AA443" s="56"/>
      <c r="AB443" s="57"/>
      <c r="AC443" s="499" t="s">
        <v>690</v>
      </c>
      <c r="AG443" s="64"/>
      <c r="AJ443" s="68"/>
      <c r="AK443" s="68">
        <v>0</v>
      </c>
      <c r="BB443" s="500" t="s">
        <v>1</v>
      </c>
      <c r="BM443" s="64">
        <f>IFERROR(X443*I443/H443,"0")</f>
        <v>74.640151515151501</v>
      </c>
      <c r="BN443" s="64">
        <f>IFERROR(Y443*I443/H443,"0")</f>
        <v>78.819999999999993</v>
      </c>
      <c r="BO443" s="64">
        <f>IFERROR(1/J443*(X443/H443),"0")</f>
        <v>0.12747668997668998</v>
      </c>
      <c r="BP443" s="64">
        <f>IFERROR(1/J443*(Y443/H443),"0")</f>
        <v>0.13461538461538464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81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13.257575757575758</v>
      </c>
      <c r="Y446" s="549">
        <f>IFERROR(Y443/H443,"0")+IFERROR(Y444/H444,"0")+IFERROR(Y445/H445,"0")</f>
        <v>14</v>
      </c>
      <c r="Z446" s="549">
        <f>IFERROR(IF(Z443="",0,Z443),"0")+IFERROR(IF(Z444="",0,Z444),"0")+IFERROR(IF(Z445="",0,Z445),"0")</f>
        <v>0.16744000000000001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70</v>
      </c>
      <c r="Y447" s="549">
        <f>IFERROR(SUM(Y443:Y445),"0")</f>
        <v>73.92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/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/>
      <c r="AK449" s="68">
        <v>0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83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60</v>
      </c>
      <c r="Y451" s="548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703</v>
      </c>
      <c r="AG451" s="64"/>
      <c r="AJ451" s="68" t="s">
        <v>83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11.363636363636363</v>
      </c>
      <c r="Y455" s="549">
        <f>IFERROR(Y449/H449,"0")+IFERROR(Y450/H450,"0")+IFERROR(Y451/H451,"0")+IFERROR(Y452/H452,"0")+IFERROR(Y453/H453,"0")+IFERROR(Y454/H454,"0")</f>
        <v>12</v>
      </c>
      <c r="Z455" s="549">
        <f>IFERROR(IF(Z449="",0,Z449),"0")+IFERROR(IF(Z450="",0,Z450),"0")+IFERROR(IF(Z451="",0,Z451),"0")+IFERROR(IF(Z452="",0,Z452),"0")+IFERROR(IF(Z453="",0,Z453),"0")+IFERROR(IF(Z454="",0,Z454),"0")</f>
        <v>0.14352000000000001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60</v>
      </c>
      <c r="Y456" s="549">
        <f>IFERROR(SUM(Y449:Y454),"0")</f>
        <v>63.36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81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/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40</v>
      </c>
      <c r="Y462" s="548">
        <f>IFERROR(IF(X462="",0,CEILING((X462/$H462),1)*$H462),"")</f>
        <v>48</v>
      </c>
      <c r="Z462" s="36">
        <f>IFERROR(IF(Y462=0,"",ROUNDUP(Y462/H462,0)*0.01898),"")</f>
        <v>7.5920000000000001E-2</v>
      </c>
      <c r="AA462" s="56"/>
      <c r="AB462" s="57"/>
      <c r="AC462" s="521" t="s">
        <v>719</v>
      </c>
      <c r="AG462" s="64"/>
      <c r="AJ462" s="68"/>
      <c r="AK462" s="68">
        <v>0</v>
      </c>
      <c r="BB462" s="522" t="s">
        <v>1</v>
      </c>
      <c r="BM462" s="64">
        <f>IFERROR(X462*I462/H462,"0")</f>
        <v>41.366666666666667</v>
      </c>
      <c r="BN462" s="64">
        <f>IFERROR(Y462*I462/H462,"0")</f>
        <v>49.640000000000008</v>
      </c>
      <c r="BO462" s="64">
        <f>IFERROR(1/J462*(X462/H462),"0")</f>
        <v>5.2083333333333336E-2</v>
      </c>
      <c r="BP462" s="64">
        <f>IFERROR(1/J462*(Y462/H462),"0")</f>
        <v>6.25E-2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81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3.3333333333333335</v>
      </c>
      <c r="Y464" s="549">
        <f>IFERROR(Y460/H460,"0")+IFERROR(Y461/H461,"0")+IFERROR(Y462/H462,"0")+IFERROR(Y463/H463,"0")</f>
        <v>4</v>
      </c>
      <c r="Z464" s="549">
        <f>IFERROR(IF(Z460="",0,Z460),"0")+IFERROR(IF(Z461="",0,Z461),"0")+IFERROR(IF(Z462="",0,Z462),"0")+IFERROR(IF(Z463="",0,Z463),"0")</f>
        <v>7.5920000000000001E-2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40</v>
      </c>
      <c r="Y465" s="549">
        <f>IFERROR(SUM(Y460:Y463),"0")</f>
        <v>48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/>
      <c r="M476" s="33" t="s">
        <v>88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81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81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1815.4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1906.5600000000004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1907.2905499438832</v>
      </c>
      <c r="Y490" s="549">
        <f>IFERROR(SUM(BN22:BN486),"0")</f>
        <v>2002.6219999999998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4</v>
      </c>
      <c r="Y491" s="38">
        <f>ROUNDUP(SUM(BP22:BP486),0)</f>
        <v>4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2007.2905499438832</v>
      </c>
      <c r="Y492" s="549">
        <f>GrossWeightTotalR+PalletQtyTotalR*25</f>
        <v>2102.6219999999998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276.61133927800591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289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3.7805099999999996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32.400000000000006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139.5</v>
      </c>
      <c r="E499" s="46">
        <f>IFERROR(Y84*1,"0")+IFERROR(Y85*1,"0")+IFERROR(Y86*1,"0")+IFERROR(Y87*1,"0")+IFERROR(Y91*1,"0")+IFERROR(Y92*1,"0")+IFERROR(Y93*1,"0")+IFERROR(Y94*1,"0")</f>
        <v>136.80000000000001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216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25.200000000000003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305.40000000000003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96</v>
      </c>
      <c r="R499" s="46">
        <f>IFERROR(Y341*1,"0")+IFERROR(Y342*1,"0")+IFERROR(Y343*1,"0")</f>
        <v>14.7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255</v>
      </c>
      <c r="T499" s="46">
        <f>IFERROR(Y374*1,"0")+IFERROR(Y375*1,"0")+IFERROR(Y379*1,"0")+IFERROR(Y380*1,"0")+IFERROR(Y384*1,"0")+IFERROR(Y385*1,"0")+IFERROR(Y386*1,"0")</f>
        <v>60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59.400000000000006</v>
      </c>
      <c r="V499" s="46">
        <f>IFERROR(Y410*1,"0")+IFERROR(Y414*1,"0")+IFERROR(Y415*1,"0")+IFERROR(Y416*1,"0")+IFERROR(Y417*1,"0")</f>
        <v>32.400000000000006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485.76000000000005</v>
      </c>
      <c r="Y499" s="46">
        <f>IFERROR(Y460*1,"0")+IFERROR(Y461*1,"0")+IFERROR(Y462*1,"0")+IFERROR(Y463*1,"0")+IFERROR(Y467*1,"0")+IFERROR(Y468*1,"0")+IFERROR(Y472*1,"0")+IFERROR(Y476*1,"0")+IFERROR(Y480*1,"0")+IFERROR(Y481*1,"0")</f>
        <v>48</v>
      </c>
      <c r="Z499" s="46">
        <f>IFERROR(Y486*1,"0")</f>
        <v>0</v>
      </c>
      <c r="AB499" s="52"/>
      <c r="AC499" s="52"/>
      <c r="AF499" s="545"/>
    </row>
  </sheetData>
  <sheetProtection algorithmName="SHA-512" hashValue="sWJLvuocHP3CFqZKjcj9w5gaXIShKU5M6pBhMC0Hur8wYFfpm+uX3yyMEFgHVH1S+Y8fmoxPEaxIFx5OIsH7Zg==" saltValue="IJQ2mugdV3Rekjpz9dAnU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15,40"/>
        <filter val="1 907,29"/>
        <filter val="10,00"/>
        <filter val="10,19"/>
        <filter val="10,50"/>
        <filter val="100,00"/>
        <filter val="11,36"/>
        <filter val="12,00"/>
        <filter val="12,56"/>
        <filter val="13,26"/>
        <filter val="13,50"/>
        <filter val="131,50"/>
        <filter val="14,70"/>
        <filter val="14,79"/>
        <filter val="150,00"/>
        <filter val="16,26"/>
        <filter val="2 007,29"/>
        <filter val="2,78"/>
        <filter val="20,00"/>
        <filter val="200,00"/>
        <filter val="210,00"/>
        <filter val="213,50"/>
        <filter val="25,00"/>
        <filter val="276,61"/>
        <filter val="29,69"/>
        <filter val="3,33"/>
        <filter val="30,00"/>
        <filter val="31,50"/>
        <filter val="340,00"/>
        <filter val="38,89"/>
        <filter val="4"/>
        <filter val="4,17"/>
        <filter val="4,20"/>
        <filter val="4,94"/>
        <filter val="40,00"/>
        <filter val="5,56"/>
        <filter val="5,95"/>
        <filter val="50,00"/>
        <filter val="55,00"/>
        <filter val="6,67"/>
        <filter val="60,00"/>
        <filter val="64,39"/>
        <filter val="7,00"/>
        <filter val="7,14"/>
        <filter val="7,20"/>
        <filter val="7,69"/>
        <filter val="70,00"/>
        <filter val="74,20"/>
        <filter val="91,50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0:X41 X56 X62 X84 X87 X99 X102 X117 X121 X165 X167 X171 X176 X203:X206 X208:X210 X216:X217 X219 X221:X222 X226:X227 X240 X279 X309:X310 X321:X322 X329 X342:X343 X349:X350 X352 X359 X396 X428 X432 X434 X450:X45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i9EkOURKIXmMPTJhgIuXmUEb0H/KCL7Nfrch3ZcLMNWVWifibSBBYMkwAUeDAOchl/OxsI6LNGldYt0mUDvfMg==" saltValue="t1cgYgMAEj2yy/9oMrhe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2026-01-22T10:20:11Z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