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20A96C5-B430-425E-A168-D137A23515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08" i="1" l="1"/>
  <c r="BN108" i="1"/>
  <c r="Z108" i="1"/>
  <c r="BP150" i="1"/>
  <c r="BN150" i="1"/>
  <c r="Z150" i="1"/>
  <c r="BP182" i="1"/>
  <c r="BN182" i="1"/>
  <c r="Z182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2" i="1"/>
  <c r="BN22" i="1"/>
  <c r="Z42" i="1"/>
  <c r="BN42" i="1"/>
  <c r="Z56" i="1"/>
  <c r="BN56" i="1"/>
  <c r="Z66" i="1"/>
  <c r="BN66" i="1"/>
  <c r="Z85" i="1"/>
  <c r="BN85" i="1"/>
  <c r="BP91" i="1"/>
  <c r="BN91" i="1"/>
  <c r="Z91" i="1"/>
  <c r="BP127" i="1"/>
  <c r="BN127" i="1"/>
  <c r="Z127" i="1"/>
  <c r="BP172" i="1"/>
  <c r="BN172" i="1"/>
  <c r="Z172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F9" i="1"/>
  <c r="F10" i="1"/>
  <c r="Y63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J9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4" i="1"/>
  <c r="BN54" i="1"/>
  <c r="Z60" i="1"/>
  <c r="BN60" i="1"/>
  <c r="BP60" i="1"/>
  <c r="Z72" i="1"/>
  <c r="BN72" i="1"/>
  <c r="Z78" i="1"/>
  <c r="BN78" i="1"/>
  <c r="Z87" i="1"/>
  <c r="BN87" i="1"/>
  <c r="Z93" i="1"/>
  <c r="BN93" i="1"/>
  <c r="Z102" i="1"/>
  <c r="BN102" i="1"/>
  <c r="Z110" i="1"/>
  <c r="BN110" i="1"/>
  <c r="Y118" i="1"/>
  <c r="Z116" i="1"/>
  <c r="BN116" i="1"/>
  <c r="Z131" i="1"/>
  <c r="BN131" i="1"/>
  <c r="BP131" i="1"/>
  <c r="Z148" i="1"/>
  <c r="BN148" i="1"/>
  <c r="Z166" i="1"/>
  <c r="BN166" i="1"/>
  <c r="Z170" i="1"/>
  <c r="BN170" i="1"/>
  <c r="Z174" i="1"/>
  <c r="BN174" i="1"/>
  <c r="Z178" i="1"/>
  <c r="BN178" i="1"/>
  <c r="Y186" i="1"/>
  <c r="Z184" i="1"/>
  <c r="BN184" i="1"/>
  <c r="Y185" i="1"/>
  <c r="Z188" i="1"/>
  <c r="Z189" i="1" s="1"/>
  <c r="BN188" i="1"/>
  <c r="BP188" i="1"/>
  <c r="Y189" i="1"/>
  <c r="Z193" i="1"/>
  <c r="BN193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87" i="1"/>
  <c r="Y386" i="1"/>
  <c r="Y481" i="1"/>
  <c r="Y25" i="1"/>
  <c r="Y31" i="1"/>
  <c r="Y43" i="1"/>
  <c r="BP55" i="1"/>
  <c r="BN55" i="1"/>
  <c r="Z55" i="1"/>
  <c r="BP67" i="1"/>
  <c r="BN67" i="1"/>
  <c r="Z67" i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B498" i="1"/>
  <c r="X489" i="1"/>
  <c r="X490" i="1"/>
  <c r="Z23" i="1"/>
  <c r="BN23" i="1"/>
  <c r="Y24" i="1"/>
  <c r="X488" i="1"/>
  <c r="Z27" i="1"/>
  <c r="BN27" i="1"/>
  <c r="BP27" i="1"/>
  <c r="Z29" i="1"/>
  <c r="BN29" i="1"/>
  <c r="C498" i="1"/>
  <c r="Z41" i="1"/>
  <c r="BN41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Y128" i="1"/>
  <c r="BP132" i="1"/>
  <c r="BN132" i="1"/>
  <c r="Z132" i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Y380" i="1"/>
  <c r="O498" i="1"/>
  <c r="Y282" i="1"/>
  <c r="P498" i="1"/>
  <c r="Y287" i="1"/>
  <c r="S498" i="1"/>
  <c r="BP351" i="1"/>
  <c r="BN351" i="1"/>
  <c r="Z351" i="1"/>
  <c r="Z355" i="1" s="1"/>
  <c r="BP359" i="1"/>
  <c r="BN359" i="1"/>
  <c r="Z359" i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360" i="1" l="1"/>
  <c r="Z380" i="1"/>
  <c r="Z343" i="1"/>
  <c r="Z330" i="1"/>
  <c r="Z281" i="1"/>
  <c r="Z185" i="1"/>
  <c r="Z133" i="1"/>
  <c r="Z111" i="1"/>
  <c r="Z43" i="1"/>
  <c r="Z24" i="1"/>
  <c r="Z68" i="1"/>
  <c r="Z439" i="1"/>
  <c r="Z266" i="1"/>
  <c r="Z223" i="1"/>
  <c r="Y490" i="1"/>
  <c r="Y489" i="1"/>
  <c r="Y491" i="1" s="1"/>
  <c r="Z400" i="1"/>
  <c r="Z310" i="1"/>
  <c r="Z336" i="1"/>
  <c r="Z241" i="1"/>
  <c r="Z463" i="1"/>
  <c r="Z445" i="1"/>
  <c r="Z454" i="1"/>
  <c r="Z417" i="1"/>
  <c r="Z274" i="1"/>
  <c r="Z257" i="1"/>
  <c r="Z211" i="1"/>
  <c r="Z118" i="1"/>
  <c r="Z104" i="1"/>
  <c r="Z31" i="1"/>
  <c r="Y492" i="1"/>
  <c r="X491" i="1"/>
  <c r="Z152" i="1"/>
  <c r="Z88" i="1"/>
  <c r="Z75" i="1"/>
  <c r="Y488" i="1"/>
  <c r="Z317" i="1"/>
  <c r="Z179" i="1"/>
  <c r="Z493" i="1" l="1"/>
</calcChain>
</file>

<file path=xl/sharedStrings.xml><?xml version="1.0" encoding="utf-8"?>
<sst xmlns="http://schemas.openxmlformats.org/spreadsheetml/2006/main" count="2282" uniqueCount="768">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</sst>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46047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Воскресенье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0.375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50</v>
      </c>
      <c r="Y40" s="546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140</v>
      </c>
      <c r="Y41" s="546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146.65</v>
      </c>
      <c r="BN41" s="64">
        <f>IFERROR(Y41*I41/H41,"0")</f>
        <v>146.65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39.629629629629633</v>
      </c>
      <c r="Y43" s="547">
        <f>IFERROR(Y40/H40,"0")+IFERROR(Y41/H41,"0")+IFERROR(Y42/H42,"0")</f>
        <v>40</v>
      </c>
      <c r="Z43" s="547">
        <f>IFERROR(IF(Z40="",0,Z40),"0")+IFERROR(IF(Z41="",0,Z41),"0")+IFERROR(IF(Z42="",0,Z42),"0")</f>
        <v>0.41059999999999997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190</v>
      </c>
      <c r="Y44" s="547">
        <f>IFERROR(SUM(Y40:Y42),"0")</f>
        <v>194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250</v>
      </c>
      <c r="Y52" s="546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259.4907407407407</v>
      </c>
      <c r="BN52" s="64">
        <f t="shared" si="2"/>
        <v>269.04000000000002</v>
      </c>
      <c r="BO52" s="64">
        <f t="shared" si="3"/>
        <v>0.36168981481481477</v>
      </c>
      <c r="BP52" s="64">
        <f t="shared" si="4"/>
        <v>0.37500000000000006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225</v>
      </c>
      <c r="Y56" s="546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73.148148148148152</v>
      </c>
      <c r="Y57" s="547">
        <f>IFERROR(Y51/H51,"0")+IFERROR(Y52/H52,"0")+IFERROR(Y53/H53,"0")+IFERROR(Y54/H54,"0")+IFERROR(Y55/H55,"0")+IFERROR(Y56/H56,"0")</f>
        <v>74</v>
      </c>
      <c r="Z57" s="547">
        <f>IFERROR(IF(Z51="",0,Z51),"0")+IFERROR(IF(Z52="",0,Z52),"0")+IFERROR(IF(Z53="",0,Z53),"0")+IFERROR(IF(Z54="",0,Z54),"0")+IFERROR(IF(Z55="",0,Z55),"0")+IFERROR(IF(Z56="",0,Z56),"0")</f>
        <v>0.90651999999999999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475</v>
      </c>
      <c r="Y58" s="547">
        <f>IFERROR(SUM(Y51:Y56),"0")</f>
        <v>484.20000000000005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280</v>
      </c>
      <c r="Y60" s="546">
        <f>IFERROR(IF(X60="",0,CEILING((X60/$H60),1)*$H60),"")</f>
        <v>280.8</v>
      </c>
      <c r="Z60" s="36">
        <f>IFERROR(IF(Y60=0,"",ROUNDUP(Y60/H60,0)*0.01898),"")</f>
        <v>0.49348000000000003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290.62962962962962</v>
      </c>
      <c r="BN60" s="64">
        <f>IFERROR(Y60*I60/H60,"0")</f>
        <v>291.46000000000004</v>
      </c>
      <c r="BO60" s="64">
        <f>IFERROR(1/J60*(X60/H60),"0")</f>
        <v>0.40509259259259256</v>
      </c>
      <c r="BP60" s="64">
        <f>IFERROR(1/J60*(Y60/H60),"0")</f>
        <v>0.40625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112.5</v>
      </c>
      <c r="Y62" s="546">
        <f>IFERROR(IF(X62="",0,CEILING((X62/$H62),1)*$H62),"")</f>
        <v>113.4</v>
      </c>
      <c r="Z62" s="36">
        <f>IFERROR(IF(Y62=0,"",ROUNDUP(Y62/H62,0)*0.00651),"")</f>
        <v>0.27342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119.99999999999999</v>
      </c>
      <c r="BN62" s="64">
        <f>IFERROR(Y62*I62/H62,"0")</f>
        <v>120.95999999999998</v>
      </c>
      <c r="BO62" s="64">
        <f>IFERROR(1/J62*(X62/H62),"0")</f>
        <v>0.22893772893772893</v>
      </c>
      <c r="BP62" s="64">
        <f>IFERROR(1/J62*(Y62/H62),"0")</f>
        <v>0.23076923076923078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67.592592592592581</v>
      </c>
      <c r="Y63" s="547">
        <f>IFERROR(Y60/H60,"0")+IFERROR(Y61/H61,"0")+IFERROR(Y62/H62,"0")</f>
        <v>68</v>
      </c>
      <c r="Z63" s="547">
        <f>IFERROR(IF(Z60="",0,Z60),"0")+IFERROR(IF(Z61="",0,Z61),"0")+IFERROR(IF(Z62="",0,Z62),"0")</f>
        <v>0.76690000000000003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392.5</v>
      </c>
      <c r="Y64" s="547">
        <f>IFERROR(SUM(Y60:Y62),"0")</f>
        <v>394.20000000000005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50</v>
      </c>
      <c r="Y78" s="546">
        <f>IFERROR(IF(X78="",0,CEILING((X78/$H78),1)*$H78),"")</f>
        <v>54.6</v>
      </c>
      <c r="Z78" s="36">
        <f>IFERROR(IF(Y78=0,"",ROUNDUP(Y78/H78,0)*0.01898),"")</f>
        <v>0.13286000000000001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52.628205128205138</v>
      </c>
      <c r="BN78" s="64">
        <f>IFERROR(Y78*I78/H78,"0")</f>
        <v>57.470000000000013</v>
      </c>
      <c r="BO78" s="64">
        <f>IFERROR(1/J78*(X78/H78),"0")</f>
        <v>0.10016025641025642</v>
      </c>
      <c r="BP78" s="64">
        <f>IFERROR(1/J78*(Y78/H78),"0")</f>
        <v>0.109375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6.4102564102564106</v>
      </c>
      <c r="Y80" s="547">
        <f>IFERROR(Y78/H78,"0")+IFERROR(Y79/H79,"0")</f>
        <v>7</v>
      </c>
      <c r="Z80" s="547">
        <f>IFERROR(IF(Z78="",0,Z78),"0")+IFERROR(IF(Z79="",0,Z79),"0")</f>
        <v>0.13286000000000001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50</v>
      </c>
      <c r="Y81" s="547">
        <f>IFERROR(SUM(Y78:Y79),"0")</f>
        <v>54.6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315</v>
      </c>
      <c r="Y87" s="546">
        <f>IFERROR(IF(X87="",0,CEILING((X87/$H87),1)*$H87),"")</f>
        <v>315</v>
      </c>
      <c r="Z87" s="36">
        <f>IFERROR(IF(Y87=0,"",ROUNDUP(Y87/H87,0)*0.00902),"")</f>
        <v>0.63139999999999996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328.3</v>
      </c>
      <c r="BN87" s="64">
        <f>IFERROR(Y87*I87/H87,"0")</f>
        <v>328.3</v>
      </c>
      <c r="BO87" s="64">
        <f>IFERROR(1/J87*(X87/H87),"0")</f>
        <v>0.53030303030303028</v>
      </c>
      <c r="BP87" s="64">
        <f>IFERROR(1/J87*(Y87/H87),"0")</f>
        <v>0.53030303030303028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79.259259259259267</v>
      </c>
      <c r="Y88" s="547">
        <f>IFERROR(Y84/H84,"0")+IFERROR(Y85/H85,"0")+IFERROR(Y86/H86,"0")+IFERROR(Y87/H87,"0")</f>
        <v>80</v>
      </c>
      <c r="Z88" s="547">
        <f>IFERROR(IF(Z84="",0,Z84),"0")+IFERROR(IF(Z85="",0,Z85),"0")+IFERROR(IF(Z86="",0,Z86),"0")+IFERROR(IF(Z87="",0,Z87),"0")</f>
        <v>0.82119999999999993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415</v>
      </c>
      <c r="Y89" s="547">
        <f>IFERROR(SUM(Y84:Y87),"0")</f>
        <v>423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470</v>
      </c>
      <c r="Y91" s="546">
        <f>IFERROR(IF(X91="",0,CEILING((X91/$H91),1)*$H91),"")</f>
        <v>477.9</v>
      </c>
      <c r="Z91" s="36">
        <f>IFERROR(IF(Y91=0,"",ROUNDUP(Y91/H91,0)*0.01898),"")</f>
        <v>1.11982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498.66419753086421</v>
      </c>
      <c r="BN91" s="64">
        <f>IFERROR(Y91*I91/H91,"0")</f>
        <v>507.04599999999994</v>
      </c>
      <c r="BO91" s="64">
        <f>IFERROR(1/J91*(X91/H91),"0")</f>
        <v>0.90663580246913589</v>
      </c>
      <c r="BP91" s="64">
        <f>IFERROR(1/J91*(Y91/H91),"0")</f>
        <v>0.921875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292.5</v>
      </c>
      <c r="Y93" s="546">
        <f>IFERROR(IF(X93="",0,CEILING((X93/$H93),1)*$H93),"")</f>
        <v>294.3</v>
      </c>
      <c r="Z93" s="36">
        <f>IFERROR(IF(Y93=0,"",ROUNDUP(Y93/H93,0)*0.00651),"")</f>
        <v>0.70959000000000005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319.8</v>
      </c>
      <c r="BN93" s="64">
        <f>IFERROR(Y93*I93/H93,"0")</f>
        <v>321.76799999999997</v>
      </c>
      <c r="BO93" s="64">
        <f>IFERROR(1/J93*(X93/H93),"0")</f>
        <v>0.59523809523809523</v>
      </c>
      <c r="BP93" s="64">
        <f>IFERROR(1/J93*(Y93/H93),"0")</f>
        <v>0.59890109890109899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166.35802469135803</v>
      </c>
      <c r="Y95" s="547">
        <f>IFERROR(Y91/H91,"0")+IFERROR(Y92/H92,"0")+IFERROR(Y93/H93,"0")+IFERROR(Y94/H94,"0")</f>
        <v>168</v>
      </c>
      <c r="Z95" s="547">
        <f>IFERROR(IF(Z91="",0,Z91),"0")+IFERROR(IF(Z92="",0,Z92),"0")+IFERROR(IF(Z93="",0,Z93),"0")+IFERROR(IF(Z94="",0,Z94),"0")</f>
        <v>1.8294100000000002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762.5</v>
      </c>
      <c r="Y96" s="547">
        <f>IFERROR(SUM(Y91:Y94),"0")</f>
        <v>772.2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40</v>
      </c>
      <c r="Y99" s="546">
        <f>IFERROR(IF(X99="",0,CEILING((X99/$H99),1)*$H99),"")</f>
        <v>43.2</v>
      </c>
      <c r="Z99" s="36">
        <f>IFERROR(IF(Y99=0,"",ROUNDUP(Y99/H99,0)*0.01898),"")</f>
        <v>7.5920000000000001E-2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41.518518518518519</v>
      </c>
      <c r="BN99" s="64">
        <f>IFERROR(Y99*I99/H99,"0")</f>
        <v>44.84</v>
      </c>
      <c r="BO99" s="64">
        <f>IFERROR(1/J99*(X99/H99),"0")</f>
        <v>5.7870370370370364E-2</v>
      </c>
      <c r="BP99" s="64">
        <f>IFERROR(1/J99*(Y99/H99),"0")</f>
        <v>6.25E-2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225</v>
      </c>
      <c r="Y102" s="546">
        <f>IFERROR(IF(X102="",0,CEILING((X102/$H102),1)*$H102),"")</f>
        <v>225</v>
      </c>
      <c r="Z102" s="36">
        <f>IFERROR(IF(Y102=0,"",ROUNDUP(Y102/H102,0)*0.00902),"")</f>
        <v>0.45100000000000001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234.5</v>
      </c>
      <c r="BN102" s="64">
        <f>IFERROR(Y102*I102/H102,"0")</f>
        <v>234.5</v>
      </c>
      <c r="BO102" s="64">
        <f>IFERROR(1/J102*(X102/H102),"0")</f>
        <v>0.37878787878787878</v>
      </c>
      <c r="BP102" s="64">
        <f>IFERROR(1/J102*(Y102/H102),"0")</f>
        <v>0.37878787878787878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53.703703703703702</v>
      </c>
      <c r="Y104" s="547">
        <f>IFERROR(Y99/H99,"0")+IFERROR(Y100/H100,"0")+IFERROR(Y101/H101,"0")+IFERROR(Y102/H102,"0")+IFERROR(Y103/H103,"0")</f>
        <v>54</v>
      </c>
      <c r="Z104" s="547">
        <f>IFERROR(IF(Z99="",0,Z99),"0")+IFERROR(IF(Z100="",0,Z100),"0")+IFERROR(IF(Z101="",0,Z101),"0")+IFERROR(IF(Z102="",0,Z102),"0")+IFERROR(IF(Z103="",0,Z103),"0")</f>
        <v>0.52692000000000005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265</v>
      </c>
      <c r="Y105" s="547">
        <f>IFERROR(SUM(Y99:Y103),"0")</f>
        <v>268.2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300</v>
      </c>
      <c r="Y114" s="546">
        <f>IFERROR(IF(X114="",0,CEILING((X114/$H114),1)*$H114),"")</f>
        <v>307.8</v>
      </c>
      <c r="Z114" s="36">
        <f>IFERROR(IF(Y114=0,"",ROUNDUP(Y114/H114,0)*0.01898),"")</f>
        <v>0.72123999999999999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318.07407407407402</v>
      </c>
      <c r="BN114" s="64">
        <f>IFERROR(Y114*I114/H114,"0")</f>
        <v>326.34399999999999</v>
      </c>
      <c r="BO114" s="64">
        <f>IFERROR(1/J114*(X114/H114),"0")</f>
        <v>0.57870370370370372</v>
      </c>
      <c r="BP114" s="64">
        <f>IFERROR(1/J114*(Y114/H114),"0")</f>
        <v>0.59375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292.5</v>
      </c>
      <c r="Y116" s="546">
        <f>IFERROR(IF(X116="",0,CEILING((X116/$H116),1)*$H116),"")</f>
        <v>294.3</v>
      </c>
      <c r="Z116" s="36">
        <f>IFERROR(IF(Y116=0,"",ROUNDUP(Y116/H116,0)*0.00651),"")</f>
        <v>0.70959000000000005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319.8</v>
      </c>
      <c r="BN116" s="64">
        <f>IFERROR(Y116*I116/H116,"0")</f>
        <v>321.76799999999997</v>
      </c>
      <c r="BO116" s="64">
        <f>IFERROR(1/J116*(X116/H116),"0")</f>
        <v>0.59523809523809523</v>
      </c>
      <c r="BP116" s="64">
        <f>IFERROR(1/J116*(Y116/H116),"0")</f>
        <v>0.59890109890109899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 t="s">
        <v>220</v>
      </c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9</v>
      </c>
      <c r="Y117" s="546">
        <f>IFERROR(IF(X117="",0,CEILING((X117/$H117),1)*$H117),"")</f>
        <v>9</v>
      </c>
      <c r="Z117" s="36">
        <f>IFERROR(IF(Y117=0,"",ROUNDUP(Y117/H117,0)*0.00651),"")</f>
        <v>3.2550000000000003E-2</v>
      </c>
      <c r="AA117" s="56"/>
      <c r="AB117" s="57"/>
      <c r="AC117" s="165" t="s">
        <v>223</v>
      </c>
      <c r="AG117" s="64"/>
      <c r="AJ117" s="68" t="s">
        <v>106</v>
      </c>
      <c r="AK117" s="68">
        <v>25.2</v>
      </c>
      <c r="BB117" s="166" t="s">
        <v>1</v>
      </c>
      <c r="BM117" s="64">
        <f>IFERROR(X117*I117/H117,"0")</f>
        <v>9.9</v>
      </c>
      <c r="BN117" s="64">
        <f>IFERROR(Y117*I117/H117,"0")</f>
        <v>9.9</v>
      </c>
      <c r="BO117" s="64">
        <f>IFERROR(1/J117*(X117/H117),"0")</f>
        <v>2.7472527472527476E-2</v>
      </c>
      <c r="BP117" s="64">
        <f>IFERROR(1/J117*(Y117/H117),"0")</f>
        <v>2.7472527472527476E-2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150.37037037037038</v>
      </c>
      <c r="Y118" s="547">
        <f>IFERROR(Y114/H114,"0")+IFERROR(Y115/H115,"0")+IFERROR(Y116/H116,"0")+IFERROR(Y117/H117,"0")</f>
        <v>152</v>
      </c>
      <c r="Z118" s="547">
        <f>IFERROR(IF(Z114="",0,Z114),"0")+IFERROR(IF(Z115="",0,Z115),"0")+IFERROR(IF(Z116="",0,Z116),"0")+IFERROR(IF(Z117="",0,Z117),"0")</f>
        <v>1.4633800000000001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601.5</v>
      </c>
      <c r="Y119" s="547">
        <f>IFERROR(SUM(Y114:Y117),"0")</f>
        <v>611.1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 t="s">
        <v>220</v>
      </c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16.5</v>
      </c>
      <c r="Y121" s="546">
        <f>IFERROR(IF(X121="",0,CEILING((X121/$H121),1)*$H121),"")</f>
        <v>17.82</v>
      </c>
      <c r="Z121" s="36">
        <f>IFERROR(IF(Y121=0,"",ROUNDUP(Y121/H121,0)*0.00651),"")</f>
        <v>5.8590000000000003E-2</v>
      </c>
      <c r="AA121" s="56"/>
      <c r="AB121" s="57"/>
      <c r="AC121" s="167" t="s">
        <v>226</v>
      </c>
      <c r="AG121" s="64"/>
      <c r="AJ121" s="68" t="s">
        <v>106</v>
      </c>
      <c r="AK121" s="68">
        <v>27.72</v>
      </c>
      <c r="BB121" s="168" t="s">
        <v>1</v>
      </c>
      <c r="BM121" s="64">
        <f>IFERROR(X121*I121/H121,"0")</f>
        <v>18.649999999999999</v>
      </c>
      <c r="BN121" s="64">
        <f>IFERROR(Y121*I121/H121,"0")</f>
        <v>20.141999999999999</v>
      </c>
      <c r="BO121" s="64">
        <f>IFERROR(1/J121*(X121/H121),"0")</f>
        <v>4.5787545787545791E-2</v>
      </c>
      <c r="BP121" s="64">
        <f>IFERROR(1/J121*(Y121/H121),"0")</f>
        <v>4.9450549450549455E-2</v>
      </c>
    </row>
    <row r="122" spans="1:68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8.3333333333333339</v>
      </c>
      <c r="Y122" s="547">
        <f>IFERROR(Y121/H121,"0")</f>
        <v>9</v>
      </c>
      <c r="Z122" s="547">
        <f>IFERROR(IF(Z121="",0,Z121),"0")</f>
        <v>5.8590000000000003E-2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16.5</v>
      </c>
      <c r="Y123" s="547">
        <f>IFERROR(SUM(Y121:Y121),"0")</f>
        <v>17.82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220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60</v>
      </c>
      <c r="Y127" s="546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18.75</v>
      </c>
      <c r="Y128" s="547">
        <f>IFERROR(Y126/H126,"0")+IFERROR(Y127/H127,"0")</f>
        <v>19</v>
      </c>
      <c r="Z128" s="547">
        <f>IFERROR(IF(Z126="",0,Z126),"0")+IFERROR(IF(Z127="",0,Z127),"0")</f>
        <v>0.12369000000000001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60</v>
      </c>
      <c r="Y129" s="547">
        <f>IFERROR(SUM(Y126:Y127),"0")</f>
        <v>60.800000000000004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220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59.499999999999993</v>
      </c>
      <c r="Y131" s="546">
        <f>IFERROR(IF(X131="",0,CEILING((X131/$H131),1)*$H131),"")</f>
        <v>61.599999999999994</v>
      </c>
      <c r="Z131" s="36">
        <f>IFERROR(IF(Y131=0,"",ROUNDUP(Y131/H131,0)*0.00651),"")</f>
        <v>0.14322000000000001</v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65.195000000000007</v>
      </c>
      <c r="BN131" s="64">
        <f>IFERROR(Y131*I131/H131,"0")</f>
        <v>67.496000000000009</v>
      </c>
      <c r="BO131" s="64">
        <f>IFERROR(1/J131*(X131/H131),"0")</f>
        <v>0.11675824175824177</v>
      </c>
      <c r="BP131" s="64">
        <f>IFERROR(1/J131*(Y131/H131),"0")</f>
        <v>0.12087912087912089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21.25</v>
      </c>
      <c r="Y133" s="547">
        <f>IFERROR(Y131/H131,"0")+IFERROR(Y132/H132,"0")</f>
        <v>22</v>
      </c>
      <c r="Z133" s="547">
        <f>IFERROR(IF(Z131="",0,Z131),"0")+IFERROR(IF(Z132="",0,Z132),"0")</f>
        <v>0.14322000000000001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59.499999999999993</v>
      </c>
      <c r="Y134" s="547">
        <f>IFERROR(SUM(Y131:Y132),"0")</f>
        <v>61.599999999999994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 t="s">
        <v>220</v>
      </c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66</v>
      </c>
      <c r="Y137" s="546">
        <f>IFERROR(IF(X137="",0,CEILING((X137/$H137),1)*$H137),"")</f>
        <v>66</v>
      </c>
      <c r="Z137" s="36">
        <f>IFERROR(IF(Y137=0,"",ROUNDUP(Y137/H137,0)*0.00651),"")</f>
        <v>0.16275000000000001</v>
      </c>
      <c r="AA137" s="56"/>
      <c r="AB137" s="57"/>
      <c r="AC137" s="179" t="s">
        <v>230</v>
      </c>
      <c r="AG137" s="64"/>
      <c r="AJ137" s="68" t="s">
        <v>106</v>
      </c>
      <c r="AK137" s="68">
        <v>36.96</v>
      </c>
      <c r="BB137" s="180" t="s">
        <v>1</v>
      </c>
      <c r="BM137" s="64">
        <f>IFERROR(X137*I137/H137,"0")</f>
        <v>72.699999999999989</v>
      </c>
      <c r="BN137" s="64">
        <f>IFERROR(Y137*I137/H137,"0")</f>
        <v>72.699999999999989</v>
      </c>
      <c r="BO137" s="64">
        <f>IFERROR(1/J137*(X137/H137),"0")</f>
        <v>0.13736263736263737</v>
      </c>
      <c r="BP137" s="64">
        <f>IFERROR(1/J137*(Y137/H137),"0")</f>
        <v>0.13736263736263737</v>
      </c>
    </row>
    <row r="138" spans="1:68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25</v>
      </c>
      <c r="Y138" s="547">
        <f>IFERROR(Y136/H136,"0")+IFERROR(Y137/H137,"0")</f>
        <v>25</v>
      </c>
      <c r="Z138" s="547">
        <f>IFERROR(IF(Z136="",0,Z136),"0")+IFERROR(IF(Z137="",0,Z137),"0")</f>
        <v>0.16275000000000001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66</v>
      </c>
      <c r="Y139" s="547">
        <f>IFERROR(SUM(Y136:Y137),"0")</f>
        <v>66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40</v>
      </c>
      <c r="Y147" s="546">
        <f>IFERROR(IF(X147="",0,CEILING((X147/$H147),1)*$H147),"")</f>
        <v>42</v>
      </c>
      <c r="Z147" s="36">
        <f>IFERROR(IF(Y147=0,"",ROUNDUP(Y147/H147,0)*0.00902),"")</f>
        <v>9.0200000000000002E-2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41.809523809523803</v>
      </c>
      <c r="BN147" s="64">
        <f>IFERROR(Y147*I147/H147,"0")</f>
        <v>43.9</v>
      </c>
      <c r="BO147" s="64">
        <f>IFERROR(1/J147*(X147/H147),"0")</f>
        <v>7.2150072150072145E-2</v>
      </c>
      <c r="BP147" s="64">
        <f>IFERROR(1/J147*(Y147/H147),"0")</f>
        <v>7.575757575757576E-2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70</v>
      </c>
      <c r="Y149" s="546">
        <f>IFERROR(IF(X149="",0,CEILING((X149/$H149),1)*$H149),"")</f>
        <v>71.400000000000006</v>
      </c>
      <c r="Z149" s="36">
        <f>IFERROR(IF(Y149=0,"",ROUNDUP(Y149/H149,0)*0.00902),"")</f>
        <v>0.15334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73.166666666666657</v>
      </c>
      <c r="BN149" s="64">
        <f>IFERROR(Y149*I149/H149,"0")</f>
        <v>74.63000000000001</v>
      </c>
      <c r="BO149" s="64">
        <f>IFERROR(1/J149*(X149/H149),"0")</f>
        <v>0.12626262626262624</v>
      </c>
      <c r="BP149" s="64">
        <f>IFERROR(1/J149*(Y149/H149),"0")</f>
        <v>0.12878787878787878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50</v>
      </c>
      <c r="Y151" s="546">
        <f>IFERROR(IF(X151="",0,CEILING((X151/$H151),1)*$H151),"")</f>
        <v>50.400000000000006</v>
      </c>
      <c r="Z151" s="36">
        <f>IFERROR(IF(Y151=0,"",ROUNDUP(Y151/H151,0)*0.00902),"")</f>
        <v>0.10824</v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52.261904761904752</v>
      </c>
      <c r="BN151" s="64">
        <f>IFERROR(Y151*I151/H151,"0")</f>
        <v>52.68</v>
      </c>
      <c r="BO151" s="64">
        <f>IFERROR(1/J151*(X151/H151),"0")</f>
        <v>9.0187590187590191E-2</v>
      </c>
      <c r="BP151" s="64">
        <f>IFERROR(1/J151*(Y151/H151),"0")</f>
        <v>9.0909090909090912E-2</v>
      </c>
    </row>
    <row r="152" spans="1:68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38.095238095238095</v>
      </c>
      <c r="Y152" s="547">
        <f>IFERROR(Y147/H147,"0")+IFERROR(Y148/H148,"0")+IFERROR(Y149/H149,"0")+IFERROR(Y150/H150,"0")+IFERROR(Y151/H151,"0")</f>
        <v>39</v>
      </c>
      <c r="Z152" s="547">
        <f>IFERROR(IF(Z147="",0,Z147),"0")+IFERROR(IF(Z148="",0,Z148),"0")+IFERROR(IF(Z149="",0,Z149),"0")+IFERROR(IF(Z150="",0,Z150),"0")+IFERROR(IF(Z151="",0,Z151),"0")</f>
        <v>0.35177999999999998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160</v>
      </c>
      <c r="Y153" s="547">
        <f>IFERROR(SUM(Y147:Y151),"0")</f>
        <v>163.80000000000001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30</v>
      </c>
      <c r="Y166" s="546">
        <f t="shared" si="5"/>
        <v>33.6</v>
      </c>
      <c r="Z166" s="36">
        <f>IFERROR(IF(Y166=0,"",ROUNDUP(Y166/H166,0)*0.00902),"")</f>
        <v>7.2160000000000002E-2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si="6"/>
        <v>31.785714285714285</v>
      </c>
      <c r="BN166" s="64">
        <f t="shared" si="7"/>
        <v>35.6</v>
      </c>
      <c r="BO166" s="64">
        <f t="shared" si="8"/>
        <v>5.4112554112554112E-2</v>
      </c>
      <c r="BP166" s="64">
        <f t="shared" si="9"/>
        <v>6.0606060606060608E-2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40</v>
      </c>
      <c r="Y167" s="546">
        <f t="shared" si="5"/>
        <v>42</v>
      </c>
      <c r="Z167" s="36">
        <f>IFERROR(IF(Y167=0,"",ROUNDUP(Y167/H167,0)*0.00902),"")</f>
        <v>9.0200000000000002E-2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41.809523809523803</v>
      </c>
      <c r="BN167" s="64">
        <f t="shared" si="7"/>
        <v>43.9</v>
      </c>
      <c r="BO167" s="64">
        <f t="shared" si="8"/>
        <v>7.2150072150072145E-2</v>
      </c>
      <c r="BP167" s="64">
        <f t="shared" si="9"/>
        <v>7.575757575757576E-2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12</v>
      </c>
      <c r="Y168" s="546">
        <f t="shared" si="5"/>
        <v>12</v>
      </c>
      <c r="Z168" s="36">
        <f>IFERROR(IF(Y168=0,"",ROUNDUP(Y168/H168,0)*0.00556),"")</f>
        <v>8.3400000000000002E-2</v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13.95</v>
      </c>
      <c r="BN168" s="64">
        <f t="shared" si="7"/>
        <v>13.95</v>
      </c>
      <c r="BO168" s="64">
        <f t="shared" si="8"/>
        <v>6.9444444444444448E-2</v>
      </c>
      <c r="BP168" s="64">
        <f t="shared" si="9"/>
        <v>6.9444444444444448E-2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87.5</v>
      </c>
      <c r="Y169" s="546">
        <f t="shared" si="5"/>
        <v>88.2</v>
      </c>
      <c r="Z169" s="36">
        <f>IFERROR(IF(Y169=0,"",ROUNDUP(Y169/H169,0)*0.00502),"")</f>
        <v>0.21084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92.916666666666657</v>
      </c>
      <c r="BN169" s="64">
        <f t="shared" si="7"/>
        <v>93.66</v>
      </c>
      <c r="BO169" s="64">
        <f t="shared" si="8"/>
        <v>0.17806267806267806</v>
      </c>
      <c r="BP169" s="64">
        <f t="shared" si="9"/>
        <v>0.17948717948717952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77</v>
      </c>
      <c r="Y171" s="546">
        <f t="shared" si="5"/>
        <v>77.7</v>
      </c>
      <c r="Z171" s="36">
        <f>IFERROR(IF(Y171=0,"",ROUNDUP(Y171/H171,0)*0.00502),"")</f>
        <v>0.18574000000000002</v>
      </c>
      <c r="AA171" s="56"/>
      <c r="AB171" s="57"/>
      <c r="AC171" s="211" t="s">
        <v>273</v>
      </c>
      <c r="AG171" s="64"/>
      <c r="AJ171" s="68" t="s">
        <v>106</v>
      </c>
      <c r="AK171" s="68">
        <v>37.799999999999997</v>
      </c>
      <c r="BB171" s="212" t="s">
        <v>1</v>
      </c>
      <c r="BM171" s="64">
        <f t="shared" si="6"/>
        <v>81.766666666666666</v>
      </c>
      <c r="BN171" s="64">
        <f t="shared" si="7"/>
        <v>82.51</v>
      </c>
      <c r="BO171" s="64">
        <f t="shared" si="8"/>
        <v>0.15669515669515671</v>
      </c>
      <c r="BP171" s="64">
        <f t="shared" si="9"/>
        <v>0.15811965811965814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8</v>
      </c>
      <c r="Y175" s="546">
        <f t="shared" si="5"/>
        <v>8</v>
      </c>
      <c r="Z175" s="36">
        <f>IFERROR(IF(Y175=0,"",ROUNDUP(Y175/H175,0)*0.00417),"")</f>
        <v>4.1700000000000001E-2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10.1</v>
      </c>
      <c r="BN175" s="64">
        <f t="shared" si="7"/>
        <v>10.1</v>
      </c>
      <c r="BO175" s="64">
        <f t="shared" si="8"/>
        <v>2.976190476190476E-2</v>
      </c>
      <c r="BP175" s="64">
        <f t="shared" si="9"/>
        <v>2.976190476190476E-2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105</v>
      </c>
      <c r="Y176" s="546">
        <f t="shared" si="5"/>
        <v>105</v>
      </c>
      <c r="Z176" s="36">
        <f>IFERROR(IF(Y176=0,"",ROUNDUP(Y176/H176,0)*0.00502),"")</f>
        <v>0.251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110.00000000000001</v>
      </c>
      <c r="BN176" s="64">
        <f t="shared" si="7"/>
        <v>110.00000000000001</v>
      </c>
      <c r="BO176" s="64">
        <f t="shared" si="8"/>
        <v>0.21367521367521369</v>
      </c>
      <c r="BP176" s="64">
        <f t="shared" si="9"/>
        <v>0.21367521367521369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170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172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0.93503999999999998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359.5</v>
      </c>
      <c r="Y180" s="547">
        <f>IFERROR(SUM(Y165:Y178),"0")</f>
        <v>366.5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7.0000000000000009</v>
      </c>
      <c r="Y182" s="546">
        <f>IFERROR(IF(X182="",0,CEILING((X182/$H182),1)*$H182),"")</f>
        <v>7.5600000000000005</v>
      </c>
      <c r="Z182" s="36">
        <f>IFERROR(IF(Y182=0,"",ROUNDUP(Y182/H182,0)*0.0059),"")</f>
        <v>3.5400000000000001E-2</v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8.0555555555555554</v>
      </c>
      <c r="BN182" s="64">
        <f>IFERROR(Y182*I182/H182,"0")</f>
        <v>8.6999999999999993</v>
      </c>
      <c r="BO182" s="64">
        <f>IFERROR(1/J182*(X182/H182),"0")</f>
        <v>2.5720164609053499E-2</v>
      </c>
      <c r="BP182" s="64">
        <f>IFERROR(1/J182*(Y182/H182),"0")</f>
        <v>2.7777777777777776E-2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7.0000000000000009</v>
      </c>
      <c r="Y183" s="546">
        <f>IFERROR(IF(X183="",0,CEILING((X183/$H183),1)*$H183),"")</f>
        <v>7.5600000000000005</v>
      </c>
      <c r="Z183" s="36">
        <f>IFERROR(IF(Y183=0,"",ROUNDUP(Y183/H183,0)*0.0059),"")</f>
        <v>3.5400000000000001E-2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8.0555555555555554</v>
      </c>
      <c r="BN183" s="64">
        <f>IFERROR(Y183*I183/H183,"0")</f>
        <v>8.6999999999999993</v>
      </c>
      <c r="BO183" s="64">
        <f>IFERROR(1/J183*(X183/H183),"0")</f>
        <v>2.5720164609053499E-2</v>
      </c>
      <c r="BP183" s="64">
        <f>IFERROR(1/J183*(Y183/H183),"0")</f>
        <v>2.7777777777777776E-2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10.5</v>
      </c>
      <c r="Y184" s="546">
        <f>IFERROR(IF(X184="",0,CEILING((X184/$H184),1)*$H184),"")</f>
        <v>11.34</v>
      </c>
      <c r="Z184" s="36">
        <f>IFERROR(IF(Y184=0,"",ROUNDUP(Y184/H184,0)*0.0059),"")</f>
        <v>5.3100000000000001E-2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12.083333333333332</v>
      </c>
      <c r="BN184" s="64">
        <f>IFERROR(Y184*I184/H184,"0")</f>
        <v>13.049999999999999</v>
      </c>
      <c r="BO184" s="64">
        <f>IFERROR(1/J184*(X184/H184),"0")</f>
        <v>3.8580246913580245E-2</v>
      </c>
      <c r="BP184" s="64">
        <f>IFERROR(1/J184*(Y184/H184),"0")</f>
        <v>4.1666666666666664E-2</v>
      </c>
    </row>
    <row r="185" spans="1:68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19.444444444444446</v>
      </c>
      <c r="Y185" s="547">
        <f>IFERROR(Y182/H182,"0")+IFERROR(Y183/H183,"0")+IFERROR(Y184/H184,"0")</f>
        <v>21</v>
      </c>
      <c r="Z185" s="547">
        <f>IFERROR(IF(Z182="",0,Z182),"0")+IFERROR(IF(Z183="",0,Z183),"0")+IFERROR(IF(Z184="",0,Z184),"0")</f>
        <v>0.12390000000000001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24.5</v>
      </c>
      <c r="Y186" s="547">
        <f>IFERROR(SUM(Y182:Y184),"0")</f>
        <v>26.46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7.0000000000000009</v>
      </c>
      <c r="Y188" s="546">
        <f>IFERROR(IF(X188="",0,CEILING((X188/$H188),1)*$H188),"")</f>
        <v>7.5600000000000005</v>
      </c>
      <c r="Z188" s="36">
        <f>IFERROR(IF(Y188=0,"",ROUNDUP(Y188/H188,0)*0.0059),"")</f>
        <v>3.5400000000000001E-2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8.0555555555555554</v>
      </c>
      <c r="BN188" s="64">
        <f>IFERROR(Y188*I188/H188,"0")</f>
        <v>8.6999999999999993</v>
      </c>
      <c r="BO188" s="64">
        <f>IFERROR(1/J188*(X188/H188),"0")</f>
        <v>2.5720164609053499E-2</v>
      </c>
      <c r="BP188" s="64">
        <f>IFERROR(1/J188*(Y188/H188),"0")</f>
        <v>2.7777777777777776E-2</v>
      </c>
    </row>
    <row r="189" spans="1:68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5.5555555555555562</v>
      </c>
      <c r="Y189" s="547">
        <f>IFERROR(Y188/H188,"0")</f>
        <v>6</v>
      </c>
      <c r="Z189" s="547">
        <f>IFERROR(IF(Z188="",0,Z188),"0")</f>
        <v>3.5400000000000001E-2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7.0000000000000009</v>
      </c>
      <c r="Y190" s="547">
        <f>IFERROR(SUM(Y188:Y188),"0")</f>
        <v>7.5600000000000005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80</v>
      </c>
      <c r="Y203" s="546">
        <f t="shared" ref="Y203:Y210" si="10">IFERROR(IF(X203="",0,CEILING((X203/$H203),1)*$H203),"")</f>
        <v>81</v>
      </c>
      <c r="Z203" s="36">
        <f>IFERROR(IF(Y203=0,"",ROUNDUP(Y203/H203,0)*0.00902),"")</f>
        <v>0.1353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82.81481481481481</v>
      </c>
      <c r="BN203" s="64">
        <f t="shared" ref="BN203:BN210" si="12">IFERROR(Y203*I203/H203,"0")</f>
        <v>83.85</v>
      </c>
      <c r="BO203" s="64">
        <f t="shared" ref="BO203:BO210" si="13">IFERROR(1/J203*(X203/H203),"0")</f>
        <v>0.11223344556677889</v>
      </c>
      <c r="BP203" s="64">
        <f t="shared" ref="BP203:BP210" si="14">IFERROR(1/J203*(Y203/H203),"0")</f>
        <v>0.11363636363636363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40</v>
      </c>
      <c r="Y204" s="546">
        <f t="shared" si="10"/>
        <v>43.2</v>
      </c>
      <c r="Z204" s="36">
        <f>IFERROR(IF(Y204=0,"",ROUNDUP(Y204/H204,0)*0.00902),"")</f>
        <v>7.2160000000000002E-2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41.407407407407405</v>
      </c>
      <c r="BN204" s="64">
        <f t="shared" si="12"/>
        <v>44.72</v>
      </c>
      <c r="BO204" s="64">
        <f t="shared" si="13"/>
        <v>5.6116722783389444E-2</v>
      </c>
      <c r="BP204" s="64">
        <f t="shared" si="14"/>
        <v>6.0606060606060608E-2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400</v>
      </c>
      <c r="Y205" s="546">
        <f t="shared" si="10"/>
        <v>405</v>
      </c>
      <c r="Z205" s="36">
        <f>IFERROR(IF(Y205=0,"",ROUNDUP(Y205/H205,0)*0.00902),"")</f>
        <v>0.67649999999999999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414.07407407407402</v>
      </c>
      <c r="BN205" s="64">
        <f t="shared" si="12"/>
        <v>419.24999999999994</v>
      </c>
      <c r="BO205" s="64">
        <f t="shared" si="13"/>
        <v>0.5611672278338945</v>
      </c>
      <c r="BP205" s="64">
        <f t="shared" si="14"/>
        <v>0.56818181818181823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50</v>
      </c>
      <c r="Y206" s="546">
        <f t="shared" si="10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51.759259259259252</v>
      </c>
      <c r="BN206" s="64">
        <f t="shared" si="12"/>
        <v>55.9</v>
      </c>
      <c r="BO206" s="64">
        <f t="shared" si="13"/>
        <v>7.0145903479236812E-2</v>
      </c>
      <c r="BP206" s="64">
        <f t="shared" si="14"/>
        <v>7.575757575757576E-2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84</v>
      </c>
      <c r="Y207" s="546">
        <f t="shared" si="10"/>
        <v>84.600000000000009</v>
      </c>
      <c r="Z207" s="36">
        <f>IFERROR(IF(Y207=0,"",ROUNDUP(Y207/H207,0)*0.00502),"")</f>
        <v>0.23594000000000001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90.066666666666663</v>
      </c>
      <c r="BN207" s="64">
        <f t="shared" si="12"/>
        <v>90.710000000000008</v>
      </c>
      <c r="BO207" s="64">
        <f t="shared" si="13"/>
        <v>0.19943019943019943</v>
      </c>
      <c r="BP207" s="64">
        <f t="shared" si="14"/>
        <v>0.20085470085470092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36</v>
      </c>
      <c r="Y208" s="546">
        <f t="shared" si="10"/>
        <v>36</v>
      </c>
      <c r="Z208" s="36">
        <f>IFERROR(IF(Y208=0,"",ROUNDUP(Y208/H208,0)*0.00502),"")</f>
        <v>0.1004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37.999999999999993</v>
      </c>
      <c r="BN208" s="64">
        <f t="shared" si="12"/>
        <v>37.999999999999993</v>
      </c>
      <c r="BO208" s="64">
        <f t="shared" si="13"/>
        <v>8.5470085470085472E-2</v>
      </c>
      <c r="BP208" s="64">
        <f t="shared" si="14"/>
        <v>8.5470085470085472E-2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 t="s">
        <v>282</v>
      </c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90</v>
      </c>
      <c r="Y209" s="546">
        <f t="shared" si="10"/>
        <v>90</v>
      </c>
      <c r="Z209" s="36">
        <f>IFERROR(IF(Y209=0,"",ROUNDUP(Y209/H209,0)*0.00502),"")</f>
        <v>0.251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1"/>
        <v>95</v>
      </c>
      <c r="BN209" s="64">
        <f t="shared" si="12"/>
        <v>95</v>
      </c>
      <c r="BO209" s="64">
        <f t="shared" si="13"/>
        <v>0.21367521367521369</v>
      </c>
      <c r="BP209" s="64">
        <f t="shared" si="14"/>
        <v>0.21367521367521369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60</v>
      </c>
      <c r="Y210" s="546">
        <f t="shared" si="10"/>
        <v>61.2</v>
      </c>
      <c r="Z210" s="36">
        <f>IFERROR(IF(Y210=0,"",ROUNDUP(Y210/H210,0)*0.00502),"")</f>
        <v>0.17068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63.333333333333329</v>
      </c>
      <c r="BN210" s="64">
        <f t="shared" si="12"/>
        <v>64.599999999999994</v>
      </c>
      <c r="BO210" s="64">
        <f t="shared" si="13"/>
        <v>0.14245014245014248</v>
      </c>
      <c r="BP210" s="64">
        <f t="shared" si="14"/>
        <v>0.14529914529914531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255.55555555555557</v>
      </c>
      <c r="Y211" s="547">
        <f>IFERROR(Y203/H203,"0")+IFERROR(Y204/H204,"0")+IFERROR(Y205/H205,"0")+IFERROR(Y206/H206,"0")+IFERROR(Y207/H207,"0")+IFERROR(Y208/H208,"0")+IFERROR(Y209/H209,"0")+IFERROR(Y210/H210,"0")</f>
        <v>259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1.7321800000000001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840</v>
      </c>
      <c r="Y212" s="547">
        <f>IFERROR(SUM(Y203:Y210),"0")</f>
        <v>855.00000000000011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130</v>
      </c>
      <c r="Y216" s="546">
        <f t="shared" si="15"/>
        <v>130.5</v>
      </c>
      <c r="Z216" s="36">
        <f>IFERROR(IF(Y216=0,"",ROUNDUP(Y216/H216,0)*0.01898),"")</f>
        <v>0.28470000000000001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137.38160919540232</v>
      </c>
      <c r="BN216" s="64">
        <f t="shared" si="17"/>
        <v>137.91000000000003</v>
      </c>
      <c r="BO216" s="64">
        <f t="shared" si="18"/>
        <v>0.2334770114942529</v>
      </c>
      <c r="BP216" s="64">
        <f t="shared" si="19"/>
        <v>0.23437500000000003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160</v>
      </c>
      <c r="Y217" s="546">
        <f t="shared" si="15"/>
        <v>160.79999999999998</v>
      </c>
      <c r="Z217" s="36">
        <f t="shared" ref="Z217:Z222" si="20">IFERROR(IF(Y217=0,"",ROUNDUP(Y217/H217,0)*0.00651),"")</f>
        <v>0.43617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178</v>
      </c>
      <c r="BN217" s="64">
        <f t="shared" si="17"/>
        <v>178.89</v>
      </c>
      <c r="BO217" s="64">
        <f t="shared" si="18"/>
        <v>0.36630036630036633</v>
      </c>
      <c r="BP217" s="64">
        <f t="shared" si="19"/>
        <v>0.36813186813186816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240</v>
      </c>
      <c r="Y219" s="546">
        <f t="shared" si="15"/>
        <v>240</v>
      </c>
      <c r="Z219" s="36">
        <f t="shared" si="20"/>
        <v>0.65100000000000002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265.20000000000005</v>
      </c>
      <c r="BN219" s="64">
        <f t="shared" si="17"/>
        <v>265.20000000000005</v>
      </c>
      <c r="BO219" s="64">
        <f t="shared" si="18"/>
        <v>0.5494505494505495</v>
      </c>
      <c r="BP219" s="64">
        <f t="shared" si="19"/>
        <v>0.5494505494505495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/>
      <c r="AK220" s="68">
        <v>0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80</v>
      </c>
      <c r="Y221" s="546">
        <f t="shared" si="15"/>
        <v>81.599999999999994</v>
      </c>
      <c r="Z221" s="36">
        <f t="shared" si="20"/>
        <v>0.22134000000000001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88.40000000000002</v>
      </c>
      <c r="BN221" s="64">
        <f t="shared" si="17"/>
        <v>90.168000000000006</v>
      </c>
      <c r="BO221" s="64">
        <f t="shared" si="18"/>
        <v>0.18315018315018317</v>
      </c>
      <c r="BP221" s="64">
        <f t="shared" si="19"/>
        <v>0.18681318681318682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100</v>
      </c>
      <c r="Y222" s="546">
        <f t="shared" si="15"/>
        <v>100.8</v>
      </c>
      <c r="Z222" s="36">
        <f t="shared" si="20"/>
        <v>0.27342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110.75000000000001</v>
      </c>
      <c r="BN222" s="64">
        <f t="shared" si="17"/>
        <v>111.63600000000001</v>
      </c>
      <c r="BO222" s="64">
        <f t="shared" si="18"/>
        <v>0.22893772893772898</v>
      </c>
      <c r="BP222" s="64">
        <f t="shared" si="19"/>
        <v>0.23076923076923078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256.60919540229884</v>
      </c>
      <c r="Y223" s="547">
        <f>IFERROR(Y214/H214,"0")+IFERROR(Y215/H215,"0")+IFERROR(Y216/H216,"0")+IFERROR(Y217/H217,"0")+IFERROR(Y218/H218,"0")+IFERROR(Y219/H219,"0")+IFERROR(Y220/H220,"0")+IFERROR(Y221/H221,"0")+IFERROR(Y222/H222,"0")</f>
        <v>258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1.86663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710</v>
      </c>
      <c r="Y224" s="547">
        <f>IFERROR(SUM(Y214:Y222),"0")</f>
        <v>713.69999999999993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220</v>
      </c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20</v>
      </c>
      <c r="Y226" s="546">
        <f>IFERROR(IF(X226="",0,CEILING((X226/$H226),1)*$H226),"")</f>
        <v>21.599999999999998</v>
      </c>
      <c r="Z226" s="36">
        <f>IFERROR(IF(Y226=0,"",ROUNDUP(Y226/H226,0)*0.00651),"")</f>
        <v>5.8590000000000003E-2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22.100000000000005</v>
      </c>
      <c r="BN226" s="64">
        <f>IFERROR(Y226*I226/H226,"0")</f>
        <v>23.868000000000002</v>
      </c>
      <c r="BO226" s="64">
        <f>IFERROR(1/J226*(X226/H226),"0")</f>
        <v>4.5787545787545791E-2</v>
      </c>
      <c r="BP226" s="64">
        <f>IFERROR(1/J226*(Y226/H226),"0")</f>
        <v>4.9450549450549455E-2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220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20</v>
      </c>
      <c r="Y227" s="546">
        <f>IFERROR(IF(X227="",0,CEILING((X227/$H227),1)*$H227),"")</f>
        <v>21.599999999999998</v>
      </c>
      <c r="Z227" s="36">
        <f>IFERROR(IF(Y227=0,"",ROUNDUP(Y227/H227,0)*0.00651),"")</f>
        <v>5.8590000000000003E-2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22.100000000000005</v>
      </c>
      <c r="BN227" s="64">
        <f>IFERROR(Y227*I227/H227,"0")</f>
        <v>23.868000000000002</v>
      </c>
      <c r="BO227" s="64">
        <f>IFERROR(1/J227*(X227/H227),"0")</f>
        <v>4.5787545787545791E-2</v>
      </c>
      <c r="BP227" s="64">
        <f>IFERROR(1/J227*(Y227/H227),"0")</f>
        <v>4.9450549450549455E-2</v>
      </c>
    </row>
    <row r="228" spans="1:68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16.666666666666668</v>
      </c>
      <c r="Y228" s="547">
        <f>IFERROR(Y226/H226,"0")+IFERROR(Y227/H227,"0")</f>
        <v>18</v>
      </c>
      <c r="Z228" s="547">
        <f>IFERROR(IF(Z226="",0,Z226),"0")+IFERROR(IF(Z227="",0,Z227),"0")</f>
        <v>0.11718000000000001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40</v>
      </c>
      <c r="Y229" s="547">
        <f>IFERROR(SUM(Y226:Y227),"0")</f>
        <v>43.199999999999996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30</v>
      </c>
      <c r="Y232" s="546">
        <f t="shared" ref="Y232:Y240" si="21">IFERROR(IF(X232="",0,CEILING((X232/$H232),1)*$H232),"")</f>
        <v>34.799999999999997</v>
      </c>
      <c r="Z232" s="36">
        <f>IFERROR(IF(Y232=0,"",ROUNDUP(Y232/H232,0)*0.01898),"")</f>
        <v>5.6940000000000004E-2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31.06034482758621</v>
      </c>
      <c r="BN232" s="64">
        <f t="shared" ref="BN232:BN240" si="23">IFERROR(Y232*I232/H232,"0")</f>
        <v>36.03</v>
      </c>
      <c r="BO232" s="64">
        <f t="shared" ref="BO232:BO240" si="24">IFERROR(1/J232*(X232/H232),"0")</f>
        <v>4.0409482758620691E-2</v>
      </c>
      <c r="BP232" s="64">
        <f t="shared" ref="BP232:BP240" si="25">IFERROR(1/J232*(Y232/H232),"0")</f>
        <v>4.6875E-2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 t="s">
        <v>103</v>
      </c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50</v>
      </c>
      <c r="Y234" s="546">
        <f t="shared" si="21"/>
        <v>58</v>
      </c>
      <c r="Z234" s="36">
        <f>IFERROR(IF(Y234=0,"",ROUNDUP(Y234/H234,0)*0.01898),"")</f>
        <v>9.4899999999999998E-2</v>
      </c>
      <c r="AA234" s="56"/>
      <c r="AB234" s="57"/>
      <c r="AC234" s="285" t="s">
        <v>388</v>
      </c>
      <c r="AG234" s="64"/>
      <c r="AJ234" s="68" t="s">
        <v>106</v>
      </c>
      <c r="AK234" s="68">
        <v>92.8</v>
      </c>
      <c r="BB234" s="286" t="s">
        <v>1</v>
      </c>
      <c r="BM234" s="64">
        <f t="shared" si="22"/>
        <v>51.767241379310349</v>
      </c>
      <c r="BN234" s="64">
        <f t="shared" si="23"/>
        <v>60.050000000000004</v>
      </c>
      <c r="BO234" s="64">
        <f t="shared" si="24"/>
        <v>6.7349137931034489E-2</v>
      </c>
      <c r="BP234" s="64">
        <f t="shared" si="25"/>
        <v>7.8125E-2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 t="s">
        <v>110</v>
      </c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20</v>
      </c>
      <c r="Y235" s="546">
        <f t="shared" si="21"/>
        <v>20</v>
      </c>
      <c r="Z235" s="36">
        <f>IFERROR(IF(Y235=0,"",ROUNDUP(Y235/H235,0)*0.00902),"")</f>
        <v>4.5100000000000001E-2</v>
      </c>
      <c r="AA235" s="56"/>
      <c r="AB235" s="57"/>
      <c r="AC235" s="287" t="s">
        <v>382</v>
      </c>
      <c r="AG235" s="64"/>
      <c r="AJ235" s="68" t="s">
        <v>106</v>
      </c>
      <c r="AK235" s="68">
        <v>48</v>
      </c>
      <c r="BB235" s="288" t="s">
        <v>1</v>
      </c>
      <c r="BM235" s="64">
        <f t="shared" si="22"/>
        <v>20.950000000000003</v>
      </c>
      <c r="BN235" s="64">
        <f t="shared" si="23"/>
        <v>20.950000000000003</v>
      </c>
      <c r="BO235" s="64">
        <f t="shared" si="24"/>
        <v>3.787878787878788E-2</v>
      </c>
      <c r="BP235" s="64">
        <f t="shared" si="25"/>
        <v>3.787878787878788E-2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20</v>
      </c>
      <c r="Y239" s="546">
        <f t="shared" si="21"/>
        <v>20</v>
      </c>
      <c r="Z239" s="36">
        <f>IFERROR(IF(Y239=0,"",ROUNDUP(Y239/H239,0)*0.00902),"")</f>
        <v>4.5100000000000001E-2</v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20.950000000000003</v>
      </c>
      <c r="BN239" s="64">
        <f t="shared" si="23"/>
        <v>20.950000000000003</v>
      </c>
      <c r="BO239" s="64">
        <f t="shared" si="24"/>
        <v>3.787878787878788E-2</v>
      </c>
      <c r="BP239" s="64">
        <f t="shared" si="25"/>
        <v>3.787878787878788E-2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16.896551724137932</v>
      </c>
      <c r="Y241" s="547">
        <f>IFERROR(Y232/H232,"0")+IFERROR(Y233/H233,"0")+IFERROR(Y234/H234,"0")+IFERROR(Y235/H235,"0")+IFERROR(Y236/H236,"0")+IFERROR(Y237/H237,"0")+IFERROR(Y238/H238,"0")+IFERROR(Y239/H239,"0")+IFERROR(Y240/H240,"0")</f>
        <v>18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0.24204000000000001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120</v>
      </c>
      <c r="Y242" s="547">
        <f>IFERROR(SUM(Y232:Y240),"0")</f>
        <v>132.80000000000001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6</v>
      </c>
      <c r="Y248" s="546">
        <f>IFERROR(IF(X248="",0,CEILING((X248/$H248),1)*$H248),"")</f>
        <v>7.2</v>
      </c>
      <c r="Z248" s="36">
        <f>IFERROR(IF(Y248=0,"",ROUNDUP(Y248/H248,0)*0.0059),"")</f>
        <v>2.3599999999999999E-2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6.5833333333333339</v>
      </c>
      <c r="BN248" s="64">
        <f>IFERROR(Y248*I248/H248,"0")</f>
        <v>7.9</v>
      </c>
      <c r="BO248" s="64">
        <f>IFERROR(1/J248*(X248/H248),"0")</f>
        <v>1.5432098765432096E-2</v>
      </c>
      <c r="BP248" s="64">
        <f>IFERROR(1/J248*(Y248/H248),"0")</f>
        <v>1.8518518518518517E-2</v>
      </c>
    </row>
    <row r="249" spans="1:68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3.333333333333333</v>
      </c>
      <c r="Y249" s="547">
        <f>IFERROR(Y248/H248,"0")</f>
        <v>4</v>
      </c>
      <c r="Z249" s="547">
        <f>IFERROR(IF(Z248="",0,Z248),"0")</f>
        <v>2.3599999999999999E-2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6</v>
      </c>
      <c r="Y250" s="547">
        <f>IFERROR(SUM(Y248:Y248),"0")</f>
        <v>7.2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6</v>
      </c>
      <c r="Y253" s="546">
        <f>IFERROR(IF(X253="",0,CEILING((X253/$H253),1)*$H253),"")</f>
        <v>7.2</v>
      </c>
      <c r="Z253" s="36">
        <f>IFERROR(IF(Y253=0,"",ROUNDUP(Y253/H253,0)*0.0059),"")</f>
        <v>2.3599999999999999E-2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6.5833333333333339</v>
      </c>
      <c r="BN253" s="64">
        <f>IFERROR(Y253*I253/H253,"0")</f>
        <v>7.9</v>
      </c>
      <c r="BO253" s="64">
        <f>IFERROR(1/J253*(X253/H253),"0")</f>
        <v>1.5432098765432096E-2</v>
      </c>
      <c r="BP253" s="64">
        <f>IFERROR(1/J253*(Y253/H253),"0")</f>
        <v>1.8518518518518517E-2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3.333333333333333</v>
      </c>
      <c r="Y257" s="547">
        <f>IFERROR(Y252/H252,"0")+IFERROR(Y253/H253,"0")+IFERROR(Y254/H254,"0")+IFERROR(Y255/H255,"0")+IFERROR(Y256/H256,"0")</f>
        <v>4</v>
      </c>
      <c r="Z257" s="547">
        <f>IFERROR(IF(Z252="",0,Z252),"0")+IFERROR(IF(Z253="",0,Z253),"0")+IFERROR(IF(Z254="",0,Z254),"0")+IFERROR(IF(Z255="",0,Z255),"0")+IFERROR(IF(Z256="",0,Z256),"0")</f>
        <v>2.3599999999999999E-2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6</v>
      </c>
      <c r="Y258" s="547">
        <f>IFERROR(SUM(Y252:Y256),"0")</f>
        <v>7.2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88</v>
      </c>
      <c r="Y279" s="546">
        <f>IFERROR(IF(X279="",0,CEILING((X279/$H279),1)*$H279),"")</f>
        <v>88.8</v>
      </c>
      <c r="Z279" s="36">
        <f>IFERROR(IF(Y279=0,"",ROUNDUP(Y279/H279,0)*0.00651),"")</f>
        <v>0.24087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97.240000000000009</v>
      </c>
      <c r="BN279" s="64">
        <f>IFERROR(Y279*I279/H279,"0")</f>
        <v>98.124000000000009</v>
      </c>
      <c r="BO279" s="64">
        <f>IFERROR(1/J279*(X279/H279),"0")</f>
        <v>0.2014652014652015</v>
      </c>
      <c r="BP279" s="64">
        <f>IFERROR(1/J279*(Y279/H279),"0")</f>
        <v>0.20329670329670332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140</v>
      </c>
      <c r="Y280" s="546">
        <f>IFERROR(IF(X280="",0,CEILING((X280/$H280),1)*$H280),"")</f>
        <v>141.6</v>
      </c>
      <c r="Z280" s="36">
        <f>IFERROR(IF(Y280=0,"",ROUNDUP(Y280/H280,0)*0.00651),"")</f>
        <v>0.38408999999999999</v>
      </c>
      <c r="AA280" s="56"/>
      <c r="AB280" s="57"/>
      <c r="AC280" s="335" t="s">
        <v>450</v>
      </c>
      <c r="AG280" s="64"/>
      <c r="AJ280" s="68"/>
      <c r="AK280" s="68">
        <v>0</v>
      </c>
      <c r="BB280" s="336" t="s">
        <v>1</v>
      </c>
      <c r="BM280" s="64">
        <f>IFERROR(X280*I280/H280,"0")</f>
        <v>150.5</v>
      </c>
      <c r="BN280" s="64">
        <f>IFERROR(Y280*I280/H280,"0")</f>
        <v>152.22</v>
      </c>
      <c r="BO280" s="64">
        <f>IFERROR(1/J280*(X280/H280),"0")</f>
        <v>0.32051282051282054</v>
      </c>
      <c r="BP280" s="64">
        <f>IFERROR(1/J280*(Y280/H280),"0")</f>
        <v>0.32417582417582419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95</v>
      </c>
      <c r="Y281" s="547">
        <f>IFERROR(Y278/H278,"0")+IFERROR(Y279/H279,"0")+IFERROR(Y280/H280,"0")</f>
        <v>96</v>
      </c>
      <c r="Z281" s="547">
        <f>IFERROR(IF(Z278="",0,Z278),"0")+IFERROR(IF(Z279="",0,Z279),"0")+IFERROR(IF(Z280="",0,Z280),"0")</f>
        <v>0.62495999999999996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228</v>
      </c>
      <c r="Y282" s="547">
        <f>IFERROR(SUM(Y278:Y280),"0")</f>
        <v>230.39999999999998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 t="s">
        <v>282</v>
      </c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 t="s">
        <v>106</v>
      </c>
      <c r="AK307" s="68">
        <v>37.799999999999997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122.5</v>
      </c>
      <c r="Y308" s="546">
        <f t="shared" si="26"/>
        <v>123.9</v>
      </c>
      <c r="Z308" s="36">
        <f>IFERROR(IF(Y308=0,"",ROUNDUP(Y308/H308,0)*0.00502),"")</f>
        <v>0.29618</v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128.33333333333331</v>
      </c>
      <c r="BN308" s="64">
        <f t="shared" si="28"/>
        <v>129.80000000000001</v>
      </c>
      <c r="BO308" s="64">
        <f t="shared" si="29"/>
        <v>0.2492877492877493</v>
      </c>
      <c r="BP308" s="64">
        <f t="shared" si="30"/>
        <v>0.25213675213675218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 t="s">
        <v>220</v>
      </c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24</v>
      </c>
      <c r="Y309" s="546">
        <f t="shared" si="26"/>
        <v>25.2</v>
      </c>
      <c r="Z309" s="36">
        <f>IFERROR(IF(Y309=0,"",ROUNDUP(Y309/H309,0)*0.00651),"")</f>
        <v>9.1139999999999999E-2</v>
      </c>
      <c r="AA309" s="56"/>
      <c r="AB309" s="57"/>
      <c r="AC309" s="365" t="s">
        <v>500</v>
      </c>
      <c r="AG309" s="64"/>
      <c r="AJ309" s="68" t="s">
        <v>106</v>
      </c>
      <c r="AK309" s="68">
        <v>25.2</v>
      </c>
      <c r="BB309" s="366" t="s">
        <v>1</v>
      </c>
      <c r="BM309" s="64">
        <f t="shared" si="27"/>
        <v>27.04</v>
      </c>
      <c r="BN309" s="64">
        <f t="shared" si="28"/>
        <v>28.391999999999999</v>
      </c>
      <c r="BO309" s="64">
        <f t="shared" si="29"/>
        <v>7.3260073260073263E-2</v>
      </c>
      <c r="BP309" s="64">
        <f t="shared" si="30"/>
        <v>7.6923076923076927E-2</v>
      </c>
    </row>
    <row r="310" spans="1:68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71.666666666666657</v>
      </c>
      <c r="Y310" s="547">
        <f>IFERROR(Y304/H304,"0")+IFERROR(Y305/H305,"0")+IFERROR(Y306/H306,"0")+IFERROR(Y307/H307,"0")+IFERROR(Y308/H308,"0")+IFERROR(Y309/H309,"0")</f>
        <v>73</v>
      </c>
      <c r="Z310" s="547">
        <f>IFERROR(IF(Z304="",0,Z304),"0")+IFERROR(IF(Z305="",0,Z305),"0")+IFERROR(IF(Z306="",0,Z306),"0")+IFERROR(IF(Z307="",0,Z307),"0")+IFERROR(IF(Z308="",0,Z308),"0")+IFERROR(IF(Z309="",0,Z309),"0")</f>
        <v>0.38732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146.5</v>
      </c>
      <c r="Y311" s="547">
        <f>IFERROR(SUM(Y304:Y309),"0")</f>
        <v>149.1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20</v>
      </c>
      <c r="Y320" s="546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21.176190476190474</v>
      </c>
      <c r="BN320" s="64">
        <f>IFERROR(Y320*I320/H320,"0")</f>
        <v>26.682000000000002</v>
      </c>
      <c r="BO320" s="64">
        <f>IFERROR(1/J320*(X320/H320),"0")</f>
        <v>3.7202380952380952E-2</v>
      </c>
      <c r="BP320" s="64">
        <f>IFERROR(1/J320*(Y320/H320),"0")</f>
        <v>4.6875E-2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200</v>
      </c>
      <c r="Y321" s="546">
        <f>IFERROR(IF(X321="",0,CEILING((X321/$H321),1)*$H321),"")</f>
        <v>202.79999999999998</v>
      </c>
      <c r="Z321" s="36">
        <f>IFERROR(IF(Y321=0,"",ROUNDUP(Y321/H321,0)*0.01898),"")</f>
        <v>0.49348000000000003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212.66666666666669</v>
      </c>
      <c r="BN321" s="64">
        <f>IFERROR(Y321*I321/H321,"0")</f>
        <v>215.64399999999998</v>
      </c>
      <c r="BO321" s="64">
        <f>IFERROR(1/J321*(X321/H321),"0")</f>
        <v>0.40064102564102566</v>
      </c>
      <c r="BP321" s="64">
        <f>IFERROR(1/J321*(Y321/H321),"0")</f>
        <v>0.40625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300</v>
      </c>
      <c r="Y322" s="546">
        <f>IFERROR(IF(X322="",0,CEILING((X322/$H322),1)*$H322),"")</f>
        <v>302.40000000000003</v>
      </c>
      <c r="Z322" s="36">
        <f>IFERROR(IF(Y322=0,"",ROUNDUP(Y322/H322,0)*0.01898),"")</f>
        <v>0.68328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317.64285714285711</v>
      </c>
      <c r="BN322" s="64">
        <f>IFERROR(Y322*I322/H322,"0")</f>
        <v>320.18400000000003</v>
      </c>
      <c r="BO322" s="64">
        <f>IFERROR(1/J322*(X322/H322),"0")</f>
        <v>0.5580357142857143</v>
      </c>
      <c r="BP322" s="64">
        <f>IFERROR(1/J322*(Y322/H322),"0")</f>
        <v>0.5625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63.736263736263737</v>
      </c>
      <c r="Y323" s="547">
        <f>IFERROR(Y320/H320,"0")+IFERROR(Y321/H321,"0")+IFERROR(Y322/H322,"0")</f>
        <v>65</v>
      </c>
      <c r="Z323" s="547">
        <f>IFERROR(IF(Z320="",0,Z320),"0")+IFERROR(IF(Z321="",0,Z321),"0")+IFERROR(IF(Z322="",0,Z322),"0")</f>
        <v>1.2337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520</v>
      </c>
      <c r="Y324" s="547">
        <f>IFERROR(SUM(Y320:Y322),"0")</f>
        <v>530.40000000000009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220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220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220</v>
      </c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220</v>
      </c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220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560</v>
      </c>
      <c r="Y341" s="546">
        <f>IFERROR(IF(X341="",0,CEILING((X341/$H341),1)*$H341),"")</f>
        <v>560.70000000000005</v>
      </c>
      <c r="Z341" s="36">
        <f>IFERROR(IF(Y341=0,"",ROUNDUP(Y341/H341,0)*0.00651),"")</f>
        <v>1.73817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627.19999999999993</v>
      </c>
      <c r="BN341" s="64">
        <f>IFERROR(Y341*I341/H341,"0")</f>
        <v>627.98399999999992</v>
      </c>
      <c r="BO341" s="64">
        <f>IFERROR(1/J341*(X341/H341),"0")</f>
        <v>1.4652014652014651</v>
      </c>
      <c r="BP341" s="64">
        <f>IFERROR(1/J341*(Y341/H341),"0")</f>
        <v>1.4670329670329672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220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350</v>
      </c>
      <c r="Y342" s="546">
        <f>IFERROR(IF(X342="",0,CEILING((X342/$H342),1)*$H342),"")</f>
        <v>350.7</v>
      </c>
      <c r="Z342" s="36">
        <f>IFERROR(IF(Y342=0,"",ROUNDUP(Y342/H342,0)*0.00651),"")</f>
        <v>1.08717</v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390</v>
      </c>
      <c r="BN342" s="64">
        <f>IFERROR(Y342*I342/H342,"0")</f>
        <v>390.78</v>
      </c>
      <c r="BO342" s="64">
        <f>IFERROR(1/J342*(X342/H342),"0")</f>
        <v>0.91575091575091572</v>
      </c>
      <c r="BP342" s="64">
        <f>IFERROR(1/J342*(Y342/H342),"0")</f>
        <v>0.91758241758241765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433.33333333333326</v>
      </c>
      <c r="Y343" s="547">
        <f>IFERROR(Y340/H340,"0")+IFERROR(Y341/H341,"0")+IFERROR(Y342/H342,"0")</f>
        <v>434</v>
      </c>
      <c r="Z343" s="547">
        <f>IFERROR(IF(Z340="",0,Z340),"0")+IFERROR(IF(Z341="",0,Z341),"0")+IFERROR(IF(Z342="",0,Z342),"0")</f>
        <v>2.8253399999999997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910</v>
      </c>
      <c r="Y344" s="547">
        <f>IFERROR(SUM(Y340:Y342),"0")</f>
        <v>911.40000000000009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/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2400</v>
      </c>
      <c r="Y348" s="546">
        <f t="shared" ref="Y348:Y354" si="31">IFERROR(IF(X348="",0,CEILING((X348/$H348),1)*$H348),"")</f>
        <v>2400</v>
      </c>
      <c r="Z348" s="36">
        <f>IFERROR(IF(Y348=0,"",ROUNDUP(Y348/H348,0)*0.02175),"")</f>
        <v>3.4799999999999995</v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ref="BM348:BM354" si="32">IFERROR(X348*I348/H348,"0")</f>
        <v>2475.1999999999998</v>
      </c>
      <c r="BN348" s="64">
        <f t="shared" ref="BN348:BN354" si="33">IFERROR(Y348*I348/H348,"0")</f>
        <v>2475.1999999999998</v>
      </c>
      <c r="BO348" s="64">
        <f t="shared" ref="BO348:BO354" si="34">IFERROR(1/J348*(X348/H348),"0")</f>
        <v>3.333333333333333</v>
      </c>
      <c r="BP348" s="64">
        <f t="shared" ref="BP348:BP354" si="35">IFERROR(1/J348*(Y348/H348),"0")</f>
        <v>3.333333333333333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1400</v>
      </c>
      <c r="Y349" s="546">
        <f t="shared" si="31"/>
        <v>1410</v>
      </c>
      <c r="Z349" s="36">
        <f>IFERROR(IF(Y349=0,"",ROUNDUP(Y349/H349,0)*0.02175),"")</f>
        <v>2.0444999999999998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si="32"/>
        <v>1443.8666666666666</v>
      </c>
      <c r="BN349" s="64">
        <f t="shared" si="33"/>
        <v>1454.18</v>
      </c>
      <c r="BO349" s="64">
        <f t="shared" si="34"/>
        <v>1.9444444444444442</v>
      </c>
      <c r="BP349" s="64">
        <f t="shared" si="35"/>
        <v>1.9583333333333333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1200</v>
      </c>
      <c r="Y350" s="546">
        <f t="shared" si="31"/>
        <v>1200</v>
      </c>
      <c r="Z350" s="36">
        <f>IFERROR(IF(Y350=0,"",ROUNDUP(Y350/H350,0)*0.02175),"")</f>
        <v>1.7399999999999998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1237.5999999999999</v>
      </c>
      <c r="BN350" s="64">
        <f t="shared" si="33"/>
        <v>1237.5999999999999</v>
      </c>
      <c r="BO350" s="64">
        <f t="shared" si="34"/>
        <v>1.6666666666666665</v>
      </c>
      <c r="BP350" s="64">
        <f t="shared" si="35"/>
        <v>1.6666666666666665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200</v>
      </c>
      <c r="Y351" s="546">
        <f t="shared" si="31"/>
        <v>210</v>
      </c>
      <c r="Z351" s="36">
        <f>IFERROR(IF(Y351=0,"",ROUNDUP(Y351/H351,0)*0.02175),"")</f>
        <v>0.30449999999999999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206.26666666666668</v>
      </c>
      <c r="BN351" s="64">
        <f t="shared" si="33"/>
        <v>216.58</v>
      </c>
      <c r="BO351" s="64">
        <f t="shared" si="34"/>
        <v>0.27777777777777779</v>
      </c>
      <c r="BP351" s="64">
        <f t="shared" si="35"/>
        <v>0.29166666666666663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346.66666666666663</v>
      </c>
      <c r="Y355" s="547">
        <f>IFERROR(Y348/H348,"0")+IFERROR(Y349/H349,"0")+IFERROR(Y350/H350,"0")+IFERROR(Y351/H351,"0")+IFERROR(Y352/H352,"0")+IFERROR(Y353/H353,"0")+IFERROR(Y354/H354,"0")</f>
        <v>348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7.569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5200</v>
      </c>
      <c r="Y356" s="547">
        <f>IFERROR(SUM(Y348:Y354),"0")</f>
        <v>5220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/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1500</v>
      </c>
      <c r="Y358" s="546">
        <f>IFERROR(IF(X358="",0,CEILING((X358/$H358),1)*$H358),"")</f>
        <v>1500</v>
      </c>
      <c r="Z358" s="36">
        <f>IFERROR(IF(Y358=0,"",ROUNDUP(Y358/H358,0)*0.02175),"")</f>
        <v>2.1749999999999998</v>
      </c>
      <c r="AA358" s="56"/>
      <c r="AB358" s="57"/>
      <c r="AC358" s="415" t="s">
        <v>573</v>
      </c>
      <c r="AG358" s="64"/>
      <c r="AJ358" s="68"/>
      <c r="AK358" s="68">
        <v>0</v>
      </c>
      <c r="BB358" s="416" t="s">
        <v>1</v>
      </c>
      <c r="BM358" s="64">
        <f>IFERROR(X358*I358/H358,"0")</f>
        <v>1547</v>
      </c>
      <c r="BN358" s="64">
        <f>IFERROR(Y358*I358/H358,"0")</f>
        <v>1547</v>
      </c>
      <c r="BO358" s="64">
        <f>IFERROR(1/J358*(X358/H358),"0")</f>
        <v>2.083333333333333</v>
      </c>
      <c r="BP358" s="64">
        <f>IFERROR(1/J358*(Y358/H358),"0")</f>
        <v>2.083333333333333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100</v>
      </c>
      <c r="Y360" s="547">
        <f>IFERROR(Y358/H358,"0")+IFERROR(Y359/H359,"0")</f>
        <v>100</v>
      </c>
      <c r="Z360" s="547">
        <f>IFERROR(IF(Z358="",0,Z358),"0")+IFERROR(IF(Z359="",0,Z359),"0")</f>
        <v>2.1749999999999998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1500</v>
      </c>
      <c r="Y361" s="547">
        <f>IFERROR(SUM(Y358:Y359),"0")</f>
        <v>1500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40</v>
      </c>
      <c r="Y368" s="546">
        <f>IFERROR(IF(X368="",0,CEILING((X368/$H368),1)*$H368),"")</f>
        <v>45</v>
      </c>
      <c r="Z368" s="36">
        <f>IFERROR(IF(Y368=0,"",ROUNDUP(Y368/H368,0)*0.01898),"")</f>
        <v>9.4899999999999998E-2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42.195555555555558</v>
      </c>
      <c r="BN368" s="64">
        <f>IFERROR(Y368*I368/H368,"0")</f>
        <v>47.47</v>
      </c>
      <c r="BO368" s="64">
        <f>IFERROR(1/J368*(X368/H368),"0")</f>
        <v>6.9444444444444448E-2</v>
      </c>
      <c r="BP368" s="64">
        <f>IFERROR(1/J368*(Y368/H368),"0")</f>
        <v>7.8125E-2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4.4444444444444446</v>
      </c>
      <c r="Y369" s="547">
        <f>IFERROR(Y368/H368,"0")</f>
        <v>5</v>
      </c>
      <c r="Z369" s="547">
        <f>IFERROR(IF(Z368="",0,Z368),"0")</f>
        <v>9.4899999999999998E-2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40</v>
      </c>
      <c r="Y370" s="547">
        <f>IFERROR(SUM(Y368:Y368),"0")</f>
        <v>45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70</v>
      </c>
      <c r="Y373" s="546">
        <f>IFERROR(IF(X373="",0,CEILING((X373/$H373),1)*$H373),"")</f>
        <v>72</v>
      </c>
      <c r="Z373" s="36">
        <f>IFERROR(IF(Y373=0,"",ROUNDUP(Y373/H373,0)*0.01898),"")</f>
        <v>0.11388000000000001</v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72.391666666666666</v>
      </c>
      <c r="BN373" s="64">
        <f>IFERROR(Y373*I373/H373,"0")</f>
        <v>74.459999999999994</v>
      </c>
      <c r="BO373" s="64">
        <f>IFERROR(1/J373*(X373/H373),"0")</f>
        <v>9.1145833333333329E-2</v>
      </c>
      <c r="BP373" s="64">
        <f>IFERROR(1/J373*(Y373/H373),"0")</f>
        <v>9.375E-2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5.833333333333333</v>
      </c>
      <c r="Y375" s="547">
        <f>IFERROR(Y373/H373,"0")+IFERROR(Y374/H374,"0")</f>
        <v>6</v>
      </c>
      <c r="Z375" s="547">
        <f>IFERROR(IF(Z373="",0,Z373),"0")+IFERROR(IF(Z374="",0,Z374),"0")</f>
        <v>0.11388000000000001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70</v>
      </c>
      <c r="Y376" s="547">
        <f>IFERROR(SUM(Y373:Y374),"0")</f>
        <v>72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hidden="1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hidden="1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 t="s">
        <v>282</v>
      </c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 t="s">
        <v>106</v>
      </c>
      <c r="AK395" s="68">
        <v>37.799999999999997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282</v>
      </c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14</v>
      </c>
      <c r="Y396" s="546">
        <f t="shared" si="36"/>
        <v>14.700000000000001</v>
      </c>
      <c r="Z396" s="36">
        <f t="shared" si="41"/>
        <v>3.5140000000000005E-2</v>
      </c>
      <c r="AA396" s="56"/>
      <c r="AB396" s="57"/>
      <c r="AC396" s="449" t="s">
        <v>621</v>
      </c>
      <c r="AG396" s="64"/>
      <c r="AJ396" s="68" t="s">
        <v>106</v>
      </c>
      <c r="AK396" s="68">
        <v>37.799999999999997</v>
      </c>
      <c r="BB396" s="450" t="s">
        <v>1</v>
      </c>
      <c r="BM396" s="64">
        <f t="shared" si="37"/>
        <v>14.866666666666665</v>
      </c>
      <c r="BN396" s="64">
        <f t="shared" si="38"/>
        <v>15.61</v>
      </c>
      <c r="BO396" s="64">
        <f t="shared" si="39"/>
        <v>2.8490028490028491E-2</v>
      </c>
      <c r="BP396" s="64">
        <f t="shared" si="40"/>
        <v>2.9914529914529919E-2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17.5</v>
      </c>
      <c r="Y398" s="546">
        <f t="shared" si="36"/>
        <v>18.900000000000002</v>
      </c>
      <c r="Z398" s="36">
        <f t="shared" si="41"/>
        <v>4.5179999999999998E-2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18.583333333333332</v>
      </c>
      <c r="BN398" s="64">
        <f t="shared" si="38"/>
        <v>20.07</v>
      </c>
      <c r="BO398" s="64">
        <f t="shared" si="39"/>
        <v>3.5612535612535613E-2</v>
      </c>
      <c r="BP398" s="64">
        <f t="shared" si="40"/>
        <v>3.8461538461538464E-2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14.999999999999998</v>
      </c>
      <c r="Y400" s="547">
        <f>IFERROR(Y391/H391,"0")+IFERROR(Y392/H392,"0")+IFERROR(Y393/H393,"0")+IFERROR(Y394/H394,"0")+IFERROR(Y395/H395,"0")+IFERROR(Y396/H396,"0")+IFERROR(Y397/H397,"0")+IFERROR(Y398/H398,"0")+IFERROR(Y399/H399,"0")</f>
        <v>16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8.0320000000000003E-2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31.5</v>
      </c>
      <c r="Y401" s="547">
        <f>IFERROR(SUM(Y391:Y399),"0")</f>
        <v>33.6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 t="s">
        <v>220</v>
      </c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20</v>
      </c>
      <c r="Y421" s="546">
        <f>IFERROR(IF(X421="",0,CEILING((X421/$H421),1)*$H421),"")</f>
        <v>20.399999999999999</v>
      </c>
      <c r="Z421" s="36">
        <f>IFERROR(IF(Y421=0,"",ROUNDUP(Y421/H421,0)*0.00651),"")</f>
        <v>0.11067</v>
      </c>
      <c r="AA421" s="56"/>
      <c r="AB421" s="57"/>
      <c r="AC421" s="471" t="s">
        <v>654</v>
      </c>
      <c r="AG421" s="64"/>
      <c r="AJ421" s="68" t="s">
        <v>106</v>
      </c>
      <c r="AK421" s="68">
        <v>16.8</v>
      </c>
      <c r="BB421" s="472" t="s">
        <v>1</v>
      </c>
      <c r="BM421" s="64">
        <f>IFERROR(X421*I421/H421,"0")</f>
        <v>35</v>
      </c>
      <c r="BN421" s="64">
        <f>IFERROR(Y421*I421/H421,"0")</f>
        <v>35.699999999999996</v>
      </c>
      <c r="BO421" s="64">
        <f>IFERROR(1/J421*(X421/H421),"0")</f>
        <v>9.1575091575091583E-2</v>
      </c>
      <c r="BP421" s="64">
        <f>IFERROR(1/J421*(Y421/H421),"0")</f>
        <v>9.3406593406593408E-2</v>
      </c>
    </row>
    <row r="422" spans="1:68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16.666666666666668</v>
      </c>
      <c r="Y422" s="547">
        <f>IFERROR(Y421/H421,"0")</f>
        <v>17</v>
      </c>
      <c r="Z422" s="547">
        <f>IFERROR(IF(Z421="",0,Z421),"0")</f>
        <v>0.11067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20</v>
      </c>
      <c r="Y423" s="547">
        <f>IFERROR(SUM(Y421:Y421),"0")</f>
        <v>20.399999999999999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70</v>
      </c>
      <c r="Y427" s="546">
        <f t="shared" ref="Y427:Y438" si="42">IFERROR(IF(X427="",0,CEILING((X427/$H427),1)*$H427),"")</f>
        <v>73.92</v>
      </c>
      <c r="Z427" s="36">
        <f t="shared" ref="Z427:Z433" si="43">IFERROR(IF(Y427=0,"",ROUNDUP(Y427/H427,0)*0.01196),"")</f>
        <v>0.16744000000000001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74.640151515151501</v>
      </c>
      <c r="BN427" s="64">
        <f t="shared" ref="BN427:BN438" si="45">IFERROR(Y427*I427/H427,"0")</f>
        <v>78.819999999999993</v>
      </c>
      <c r="BO427" s="64">
        <f t="shared" ref="BO427:BO438" si="46">IFERROR(1/J427*(X427/H427),"0")</f>
        <v>0.12747668997668998</v>
      </c>
      <c r="BP427" s="64">
        <f t="shared" ref="BP427:BP438" si="47">IFERROR(1/J427*(Y427/H427),"0")</f>
        <v>0.13461538461538464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50</v>
      </c>
      <c r="Y431" s="546">
        <f t="shared" si="42"/>
        <v>52.800000000000004</v>
      </c>
      <c r="Z431" s="36">
        <f t="shared" si="43"/>
        <v>0.1196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53.314393939393938</v>
      </c>
      <c r="BN431" s="64">
        <f t="shared" si="45"/>
        <v>56.3</v>
      </c>
      <c r="BO431" s="64">
        <f t="shared" si="46"/>
        <v>9.1054778554778545E-2</v>
      </c>
      <c r="BP431" s="64">
        <f t="shared" si="47"/>
        <v>9.6153846153846159E-2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110</v>
      </c>
      <c r="Y433" s="546">
        <f t="shared" si="42"/>
        <v>110.88000000000001</v>
      </c>
      <c r="Z433" s="36">
        <f t="shared" si="43"/>
        <v>0.25115999999999999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117.29166666666666</v>
      </c>
      <c r="BN433" s="64">
        <f t="shared" si="45"/>
        <v>118.23</v>
      </c>
      <c r="BO433" s="64">
        <f t="shared" si="46"/>
        <v>0.20032051282051283</v>
      </c>
      <c r="BP433" s="64">
        <f t="shared" si="47"/>
        <v>0.20192307692307693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60</v>
      </c>
      <c r="Y435" s="546">
        <f t="shared" si="42"/>
        <v>62.4</v>
      </c>
      <c r="Z435" s="36">
        <f>IFERROR(IF(Y435=0,"",ROUNDUP(Y435/H435,0)*0.00902),"")</f>
        <v>0.11726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86.375000000000014</v>
      </c>
      <c r="BN435" s="64">
        <f t="shared" si="45"/>
        <v>89.830000000000013</v>
      </c>
      <c r="BO435" s="64">
        <f t="shared" si="46"/>
        <v>9.4696969696969696E-2</v>
      </c>
      <c r="BP435" s="64">
        <f t="shared" si="47"/>
        <v>9.8484848484848481E-2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72</v>
      </c>
      <c r="Y438" s="546">
        <f t="shared" si="42"/>
        <v>72</v>
      </c>
      <c r="Z438" s="36">
        <f>IFERROR(IF(Y438=0,"",ROUNDUP(Y438/H438,0)*0.00902),"")</f>
        <v>0.1353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103.65</v>
      </c>
      <c r="BN438" s="64">
        <f t="shared" si="45"/>
        <v>103.65</v>
      </c>
      <c r="BO438" s="64">
        <f t="shared" si="46"/>
        <v>0.11363636363636365</v>
      </c>
      <c r="BP438" s="64">
        <f t="shared" si="47"/>
        <v>0.11363636363636365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71.060606060606062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0.79076000000000002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362</v>
      </c>
      <c r="Y440" s="547">
        <f>IFERROR(SUM(Y427:Y438),"0")</f>
        <v>372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100</v>
      </c>
      <c r="Y442" s="546">
        <f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106.62878787878788</v>
      </c>
      <c r="BN442" s="64">
        <f>IFERROR(Y442*I442/H442,"0")</f>
        <v>106.97</v>
      </c>
      <c r="BO442" s="64">
        <f>IFERROR(1/J442*(X442/H442),"0")</f>
        <v>0.18210955710955709</v>
      </c>
      <c r="BP442" s="64">
        <f>IFERROR(1/J442*(Y442/H442),"0")</f>
        <v>0.18269230769230771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18.939393939393938</v>
      </c>
      <c r="Y445" s="547">
        <f>IFERROR(Y442/H442,"0")+IFERROR(Y443/H443,"0")+IFERROR(Y444/H444,"0")</f>
        <v>19</v>
      </c>
      <c r="Z445" s="547">
        <f>IFERROR(IF(Z442="",0,Z442),"0")+IFERROR(IF(Z443="",0,Z443),"0")+IFERROR(IF(Z444="",0,Z444),"0")</f>
        <v>0.22724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100</v>
      </c>
      <c r="Y446" s="547">
        <f>IFERROR(SUM(Y442:Y444),"0")</f>
        <v>100.32000000000001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30</v>
      </c>
      <c r="Y448" s="546">
        <f t="shared" ref="Y448:Y453" si="48">IFERROR(IF(X448="",0,CEILING((X448/$H448),1)*$H448),"")</f>
        <v>31.68</v>
      </c>
      <c r="Z448" s="36">
        <f>IFERROR(IF(Y448=0,"",ROUNDUP(Y448/H448,0)*0.01196),"")</f>
        <v>7.1760000000000004E-2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31.988636363636363</v>
      </c>
      <c r="BN448" s="64">
        <f t="shared" ref="BN448:BN453" si="50">IFERROR(Y448*I448/H448,"0")</f>
        <v>33.779999999999994</v>
      </c>
      <c r="BO448" s="64">
        <f t="shared" ref="BO448:BO453" si="51">IFERROR(1/J448*(X448/H448),"0")</f>
        <v>5.4632867132867136E-2</v>
      </c>
      <c r="BP448" s="64">
        <f t="shared" ref="BP448:BP453" si="52">IFERROR(1/J448*(Y448/H448),"0")</f>
        <v>5.7692307692307696E-2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80</v>
      </c>
      <c r="Y449" s="546">
        <f t="shared" si="48"/>
        <v>84.48</v>
      </c>
      <c r="Z449" s="36">
        <f>IFERROR(IF(Y449=0,"",ROUNDUP(Y449/H449,0)*0.01196),"")</f>
        <v>0.19136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85.303030303030297</v>
      </c>
      <c r="BN449" s="64">
        <f t="shared" si="50"/>
        <v>90.08</v>
      </c>
      <c r="BO449" s="64">
        <f t="shared" si="51"/>
        <v>0.14568764568764569</v>
      </c>
      <c r="BP449" s="64">
        <f t="shared" si="52"/>
        <v>0.15384615384615385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30</v>
      </c>
      <c r="Y450" s="546">
        <f t="shared" si="48"/>
        <v>31.68</v>
      </c>
      <c r="Z450" s="36">
        <f>IFERROR(IF(Y450=0,"",ROUNDUP(Y450/H450,0)*0.01196),"")</f>
        <v>7.1760000000000004E-2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31.988636363636363</v>
      </c>
      <c r="BN450" s="64">
        <f t="shared" si="50"/>
        <v>33.779999999999994</v>
      </c>
      <c r="BO450" s="64">
        <f t="shared" si="51"/>
        <v>5.4632867132867136E-2</v>
      </c>
      <c r="BP450" s="64">
        <f t="shared" si="52"/>
        <v>5.7692307692307696E-2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 t="s">
        <v>110</v>
      </c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24</v>
      </c>
      <c r="Y451" s="546">
        <f t="shared" si="48"/>
        <v>24</v>
      </c>
      <c r="Z451" s="36">
        <f>IFERROR(IF(Y451=0,"",ROUNDUP(Y451/H451,0)*0.00902),"")</f>
        <v>4.5100000000000001E-2</v>
      </c>
      <c r="AA451" s="56"/>
      <c r="AB451" s="57"/>
      <c r="AC451" s="509" t="s">
        <v>694</v>
      </c>
      <c r="AG451" s="64"/>
      <c r="AJ451" s="68" t="s">
        <v>106</v>
      </c>
      <c r="AK451" s="68">
        <v>57.6</v>
      </c>
      <c r="BB451" s="510" t="s">
        <v>1</v>
      </c>
      <c r="BM451" s="64">
        <f t="shared" si="49"/>
        <v>34.550000000000004</v>
      </c>
      <c r="BN451" s="64">
        <f t="shared" si="50"/>
        <v>34.550000000000004</v>
      </c>
      <c r="BO451" s="64">
        <f t="shared" si="51"/>
        <v>3.787878787878788E-2</v>
      </c>
      <c r="BP451" s="64">
        <f t="shared" si="52"/>
        <v>3.787878787878788E-2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 t="s">
        <v>110</v>
      </c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18</v>
      </c>
      <c r="Y452" s="546">
        <f t="shared" si="48"/>
        <v>19.2</v>
      </c>
      <c r="Z452" s="36">
        <f>IFERROR(IF(Y452=0,"",ROUNDUP(Y452/H452,0)*0.00902),"")</f>
        <v>3.6080000000000001E-2</v>
      </c>
      <c r="AA452" s="56"/>
      <c r="AB452" s="57"/>
      <c r="AC452" s="511" t="s">
        <v>697</v>
      </c>
      <c r="AG452" s="64"/>
      <c r="AJ452" s="68" t="s">
        <v>106</v>
      </c>
      <c r="AK452" s="68">
        <v>57.6</v>
      </c>
      <c r="BB452" s="512" t="s">
        <v>1</v>
      </c>
      <c r="BM452" s="64">
        <f t="shared" si="49"/>
        <v>25.012500000000003</v>
      </c>
      <c r="BN452" s="64">
        <f t="shared" si="50"/>
        <v>26.68</v>
      </c>
      <c r="BO452" s="64">
        <f t="shared" si="51"/>
        <v>2.8409090909090912E-2</v>
      </c>
      <c r="BP452" s="64">
        <f t="shared" si="52"/>
        <v>3.0303030303030304E-2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 t="s">
        <v>110</v>
      </c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60</v>
      </c>
      <c r="Y453" s="546">
        <f t="shared" si="48"/>
        <v>62.4</v>
      </c>
      <c r="Z453" s="36">
        <f>IFERROR(IF(Y453=0,"",ROUNDUP(Y453/H453,0)*0.00902),"")</f>
        <v>0.11726</v>
      </c>
      <c r="AA453" s="56"/>
      <c r="AB453" s="57"/>
      <c r="AC453" s="513" t="s">
        <v>700</v>
      </c>
      <c r="AG453" s="64"/>
      <c r="AJ453" s="68" t="s">
        <v>106</v>
      </c>
      <c r="AK453" s="68">
        <v>57.6</v>
      </c>
      <c r="BB453" s="514" t="s">
        <v>1</v>
      </c>
      <c r="BM453" s="64">
        <f t="shared" si="49"/>
        <v>83.375</v>
      </c>
      <c r="BN453" s="64">
        <f t="shared" si="50"/>
        <v>86.71</v>
      </c>
      <c r="BO453" s="64">
        <f t="shared" si="51"/>
        <v>9.4696969696969696E-2</v>
      </c>
      <c r="BP453" s="64">
        <f t="shared" si="52"/>
        <v>9.8484848484848481E-2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47.765151515151516</v>
      </c>
      <c r="Y454" s="547">
        <f>IFERROR(Y448/H448,"0")+IFERROR(Y449/H449,"0")+IFERROR(Y450/H450,"0")+IFERROR(Y451/H451,"0")+IFERROR(Y452/H452,"0")+IFERROR(Y453/H453,"0")</f>
        <v>50</v>
      </c>
      <c r="Z454" s="547">
        <f>IFERROR(IF(Z448="",0,Z448),"0")+IFERROR(IF(Z449="",0,Z449),"0")+IFERROR(IF(Z450="",0,Z450),"0")+IFERROR(IF(Z451="",0,Z451),"0")+IFERROR(IF(Z452="",0,Z452),"0")+IFERROR(IF(Z453="",0,Z453),"0")</f>
        <v>0.53332000000000002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242</v>
      </c>
      <c r="Y455" s="547">
        <f>IFERROR(SUM(Y448:Y453),"0")</f>
        <v>253.44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500</v>
      </c>
      <c r="Y475" s="546">
        <f>IFERROR(IF(X475="",0,CEILING((X475/$H475),1)*$H475),"")</f>
        <v>504</v>
      </c>
      <c r="Z475" s="36">
        <f>IFERROR(IF(Y475=0,"",ROUNDUP(Y475/H475,0)*0.01898),"")</f>
        <v>1.06288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527.44444444444446</v>
      </c>
      <c r="BN475" s="64">
        <f>IFERROR(Y475*I475/H475,"0")</f>
        <v>531.66399999999999</v>
      </c>
      <c r="BO475" s="64">
        <f>IFERROR(1/J475*(X475/H475),"0")</f>
        <v>0.86805555555555558</v>
      </c>
      <c r="BP475" s="64">
        <f>IFERROR(1/J475*(Y475/H475),"0")</f>
        <v>0.875</v>
      </c>
    </row>
    <row r="476" spans="1:68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55.555555555555557</v>
      </c>
      <c r="Y476" s="547">
        <f>IFERROR(Y475/H475,"0")</f>
        <v>56</v>
      </c>
      <c r="Z476" s="547">
        <f>IFERROR(IF(Z475="",0,Z475),"0")</f>
        <v>1.06288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500</v>
      </c>
      <c r="Y477" s="547">
        <f>IFERROR(SUM(Y475:Y475),"0")</f>
        <v>504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15496.5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15673.199999999999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16400.499745007011</v>
      </c>
      <c r="Y489" s="547">
        <f>IFERROR(SUM(BN22:BN485),"0")</f>
        <v>16589.407999999996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27</v>
      </c>
      <c r="Y490" s="38">
        <f>ROUNDUP(SUM(BP22:BP485),0)</f>
        <v>27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17075.499745007011</v>
      </c>
      <c r="Y491" s="547">
        <f>GrossWeightTotalR+PalletQtyTotalR*25</f>
        <v>17264.407999999996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2840.9632741672967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2875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30.626679999999997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194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933</v>
      </c>
      <c r="E498" s="46">
        <f>IFERROR(Y84*1,"0")+IFERROR(Y85*1,"0")+IFERROR(Y86*1,"0")+IFERROR(Y87*1,"0")+IFERROR(Y91*1,"0")+IFERROR(Y92*1,"0")+IFERROR(Y93*1,"0")+IFERROR(Y94*1,"0")</f>
        <v>1195.2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897.12</v>
      </c>
      <c r="G498" s="46">
        <f>IFERROR(Y126*1,"0")+IFERROR(Y127*1,"0")+IFERROR(Y131*1,"0")+IFERROR(Y132*1,"0")+IFERROR(Y136*1,"0")+IFERROR(Y137*1,"0")</f>
        <v>188.4</v>
      </c>
      <c r="H498" s="46">
        <f>IFERROR(Y142*1,"0")+IFERROR(Y143*1,"0")+IFERROR(Y147*1,"0")+IFERROR(Y148*1,"0")+IFERROR(Y149*1,"0")+IFERROR(Y150*1,"0")+IFERROR(Y151*1,"0")+IFERROR(Y155*1,"0")</f>
        <v>163.80000000000001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400.52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1611.8999999999999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147.19999999999999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230.39999999999998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679.5</v>
      </c>
      <c r="R498" s="46">
        <f>IFERROR(Y340*1,"0")+IFERROR(Y341*1,"0")+IFERROR(Y342*1,"0")</f>
        <v>911.40000000000009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6765</v>
      </c>
      <c r="T498" s="46">
        <f>IFERROR(Y373*1,"0")+IFERROR(Y374*1,"0")+IFERROR(Y378*1,"0")+IFERROR(Y379*1,"0")+IFERROR(Y383*1,"0")+IFERROR(Y384*1,"0")+IFERROR(Y385*1,"0")</f>
        <v>72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33.6</v>
      </c>
      <c r="V498" s="46">
        <f>IFERROR(Y409*1,"0")+IFERROR(Y413*1,"0")+IFERROR(Y414*1,"0")+IFERROR(Y415*1,"0")+IFERROR(Y416*1,"0")</f>
        <v>0</v>
      </c>
      <c r="W498" s="46">
        <f>IFERROR(Y421*1,"0")</f>
        <v>20.399999999999999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725.76</v>
      </c>
      <c r="Y498" s="46">
        <f>IFERROR(Y459*1,"0")+IFERROR(Y460*1,"0")+IFERROR(Y461*1,"0")+IFERROR(Y462*1,"0")+IFERROR(Y466*1,"0")+IFERROR(Y467*1,"0")+IFERROR(Y471*1,"0")+IFERROR(Y475*1,"0")+IFERROR(Y479*1,"0")+IFERROR(Y480*1,"0")</f>
        <v>504</v>
      </c>
      <c r="Z498" s="46">
        <f>IFERROR(Y485*1,"0")</f>
        <v>0</v>
      </c>
      <c r="AB498" s="52"/>
      <c r="AC498" s="52"/>
      <c r="AF498" s="543"/>
    </row>
  </sheetData>
  <sheetProtection algorithmName="SHA-512" hashValue="n9N6r4Lc0RAz94GviOfo5MzAmgDtOYZtc8v07MnizkElJq/v3r6KQi0zUZ3/S6HxhVmOkpMXf7pSorANe8CjAQ==" saltValue="C3eOmH3VZaTjM7qMMCZPh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400,00"/>
        <filter val="1 500,00"/>
        <filter val="10,50"/>
        <filter val="100,00"/>
        <filter val="105,00"/>
        <filter val="110,00"/>
        <filter val="112,50"/>
        <filter val="12,00"/>
        <filter val="120,00"/>
        <filter val="122,50"/>
        <filter val="130,00"/>
        <filter val="14,00"/>
        <filter val="140,00"/>
        <filter val="146,50"/>
        <filter val="15 496,50"/>
        <filter val="15,00"/>
        <filter val="150,37"/>
        <filter val="16 400,50"/>
        <filter val="16,50"/>
        <filter val="16,67"/>
        <filter val="16,90"/>
        <filter val="160,00"/>
        <filter val="166,36"/>
        <filter val="17 075,50"/>
        <filter val="17,50"/>
        <filter val="170,00"/>
        <filter val="18,00"/>
        <filter val="18,75"/>
        <filter val="18,94"/>
        <filter val="19,44"/>
        <filter val="190,00"/>
        <filter val="2 400,00"/>
        <filter val="2 840,96"/>
        <filter val="20,00"/>
        <filter val="200,00"/>
        <filter val="21,25"/>
        <filter val="225,00"/>
        <filter val="228,00"/>
        <filter val="24,00"/>
        <filter val="24,50"/>
        <filter val="240,00"/>
        <filter val="242,00"/>
        <filter val="25,00"/>
        <filter val="250,00"/>
        <filter val="255,56"/>
        <filter val="256,61"/>
        <filter val="265,00"/>
        <filter val="27"/>
        <filter val="280,00"/>
        <filter val="292,50"/>
        <filter val="3,33"/>
        <filter val="30,00"/>
        <filter val="300,00"/>
        <filter val="31,50"/>
        <filter val="315,00"/>
        <filter val="346,67"/>
        <filter val="350,00"/>
        <filter val="359,50"/>
        <filter val="36,00"/>
        <filter val="362,00"/>
        <filter val="38,10"/>
        <filter val="39,63"/>
        <filter val="392,50"/>
        <filter val="4,44"/>
        <filter val="40,00"/>
        <filter val="400,00"/>
        <filter val="415,00"/>
        <filter val="433,33"/>
        <filter val="47,77"/>
        <filter val="470,00"/>
        <filter val="475,00"/>
        <filter val="5 200,00"/>
        <filter val="5,56"/>
        <filter val="5,83"/>
        <filter val="50,00"/>
        <filter val="500,00"/>
        <filter val="520,00"/>
        <filter val="53,70"/>
        <filter val="55,56"/>
        <filter val="560,00"/>
        <filter val="59,50"/>
        <filter val="6,00"/>
        <filter val="6,41"/>
        <filter val="60,00"/>
        <filter val="601,50"/>
        <filter val="63,74"/>
        <filter val="66,00"/>
        <filter val="67,59"/>
        <filter val="7,00"/>
        <filter val="70,00"/>
        <filter val="71,06"/>
        <filter val="71,67"/>
        <filter val="710,00"/>
        <filter val="72,00"/>
        <filter val="73,15"/>
        <filter val="762,50"/>
        <filter val="77,00"/>
        <filter val="79,26"/>
        <filter val="8,00"/>
        <filter val="8,33"/>
        <filter val="80,00"/>
        <filter val="84,00"/>
        <filter val="840,00"/>
        <filter val="87,50"/>
        <filter val="88,00"/>
        <filter val="9,00"/>
        <filter val="90,00"/>
        <filter val="910,00"/>
        <filter val="95,0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8 X84 X91 X99 X102 X107 X114 X116:X117 X121 X127 X131 X137 X165:X167 X169 X171 X176 X203:X210 X216:X217 X219 X221:X222 X226:X227 X232 X234:X235 X239 X279 X307:X309 X320:X322 X328:X329 X333 X335 X341:X342 X364 X373 X383 X395:X396 X398 X421 X427 X431 X433 X442 X448:X453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0aZSfaOEA6RK2CWYuiBWyyoHCsS8+3LlxZdCMjQ5LKOkY0NGWWCLBFj5COrNHwY974ilkAJLafeOy+8R77C3Zg==" saltValue="gv1fKt/SzzPqzLvUVk9i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2026-01-22T10:19:29Z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