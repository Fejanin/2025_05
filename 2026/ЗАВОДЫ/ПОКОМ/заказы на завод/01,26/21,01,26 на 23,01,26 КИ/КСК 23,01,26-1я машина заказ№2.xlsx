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15125D-DFAF-493B-B873-6ECC4E8993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F9" i="1"/>
  <c r="F10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J9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Z302" i="1" s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356" i="1"/>
  <c r="Z331" i="1"/>
  <c r="Z153" i="1"/>
  <c r="Z111" i="1"/>
  <c r="Z104" i="1"/>
  <c r="Z95" i="1"/>
  <c r="Z43" i="1"/>
  <c r="Z201" i="1"/>
  <c r="Z440" i="1"/>
  <c r="Y495" i="1"/>
  <c r="Z311" i="1"/>
  <c r="Z88" i="1"/>
  <c r="Z212" i="1"/>
  <c r="Z401" i="1"/>
  <c r="Z275" i="1"/>
  <c r="Z224" i="1"/>
  <c r="Z57" i="1"/>
  <c r="Y494" i="1"/>
  <c r="Z75" i="1"/>
  <c r="Y496" i="1"/>
  <c r="Z258" i="1"/>
  <c r="Z318" i="1"/>
  <c r="Z180" i="1"/>
  <c r="Z468" i="1"/>
  <c r="Z455" i="1"/>
  <c r="Z418" i="1"/>
  <c r="Z337" i="1"/>
  <c r="Z267" i="1"/>
  <c r="Z242" i="1"/>
  <c r="Z31" i="1"/>
  <c r="Y497" i="1"/>
  <c r="X496" i="1"/>
  <c r="Z118" i="1"/>
  <c r="Z63" i="1"/>
  <c r="Y493" i="1"/>
  <c r="Z498" i="1" l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<sst xmlns="http://schemas.openxmlformats.org/spreadsheetml/2006/main" count="2301" uniqueCount="774">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</sst>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4" t="s">
        <v>0</v>
      </c>
      <c r="E1" s="577"/>
      <c r="F1" s="577"/>
      <c r="G1" s="12" t="s">
        <v>1</v>
      </c>
      <c r="H1" s="624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69" t="s">
        <v>8</v>
      </c>
      <c r="B5" s="670"/>
      <c r="C5" s="671"/>
      <c r="D5" s="630"/>
      <c r="E5" s="631"/>
      <c r="F5" s="832" t="s">
        <v>9</v>
      </c>
      <c r="G5" s="671"/>
      <c r="H5" s="630" t="s">
        <v>773</v>
      </c>
      <c r="I5" s="781"/>
      <c r="J5" s="781"/>
      <c r="K5" s="781"/>
      <c r="L5" s="781"/>
      <c r="M5" s="631"/>
      <c r="N5" s="58"/>
      <c r="P5" s="24" t="s">
        <v>10</v>
      </c>
      <c r="Q5" s="839">
        <v>46045</v>
      </c>
      <c r="R5" s="665"/>
      <c r="T5" s="719" t="s">
        <v>11</v>
      </c>
      <c r="U5" s="720"/>
      <c r="V5" s="721" t="s">
        <v>12</v>
      </c>
      <c r="W5" s="665"/>
      <c r="AB5" s="51"/>
      <c r="AC5" s="51"/>
      <c r="AD5" s="51"/>
      <c r="AE5" s="51"/>
    </row>
    <row r="6" spans="1:32" s="546" customFormat="1" ht="24" customHeight="1" x14ac:dyDescent="0.2">
      <c r="A6" s="669" t="s">
        <v>13</v>
      </c>
      <c r="B6" s="670"/>
      <c r="C6" s="671"/>
      <c r="D6" s="782" t="s">
        <v>14</v>
      </c>
      <c r="E6" s="783"/>
      <c r="F6" s="783"/>
      <c r="G6" s="783"/>
      <c r="H6" s="783"/>
      <c r="I6" s="783"/>
      <c r="J6" s="783"/>
      <c r="K6" s="783"/>
      <c r="L6" s="783"/>
      <c r="M6" s="665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Пятница</v>
      </c>
      <c r="R6" s="560"/>
      <c r="T6" s="724" t="s">
        <v>16</v>
      </c>
      <c r="U6" s="720"/>
      <c r="V6" s="765" t="s">
        <v>17</v>
      </c>
      <c r="W6" s="588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7"/>
      <c r="U7" s="720"/>
      <c r="V7" s="766"/>
      <c r="W7" s="767"/>
      <c r="AB7" s="51"/>
      <c r="AC7" s="51"/>
      <c r="AD7" s="51"/>
      <c r="AE7" s="51"/>
    </row>
    <row r="8" spans="1:32" s="546" customFormat="1" ht="25.5" customHeight="1" x14ac:dyDescent="0.2">
      <c r="A8" s="856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83">
        <v>0.375</v>
      </c>
      <c r="R8" s="607"/>
      <c r="T8" s="557"/>
      <c r="U8" s="720"/>
      <c r="V8" s="766"/>
      <c r="W8" s="767"/>
      <c r="AB8" s="51"/>
      <c r="AC8" s="51"/>
      <c r="AD8" s="51"/>
      <c r="AE8" s="51"/>
    </row>
    <row r="9" spans="1:32" s="546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9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7"/>
      <c r="P9" s="26" t="s">
        <v>21</v>
      </c>
      <c r="Q9" s="659"/>
      <c r="R9" s="660"/>
      <c r="T9" s="557"/>
      <c r="U9" s="720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9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1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25"/>
      <c r="R10" s="726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800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5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83"/>
      <c r="R12" s="607"/>
      <c r="S12" s="23"/>
      <c r="U12" s="24"/>
      <c r="V12" s="577"/>
      <c r="W12" s="557"/>
      <c r="AB12" s="51"/>
      <c r="AC12" s="51"/>
      <c r="AD12" s="51"/>
      <c r="AE12" s="51"/>
    </row>
    <row r="13" spans="1:32" s="546" customFormat="1" ht="23.25" customHeight="1" x14ac:dyDescent="0.2">
      <c r="A13" s="715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5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29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699" t="s">
        <v>38</v>
      </c>
      <c r="D17" s="593" t="s">
        <v>39</v>
      </c>
      <c r="E17" s="653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2"/>
      <c r="R17" s="652"/>
      <c r="S17" s="652"/>
      <c r="T17" s="653"/>
      <c r="U17" s="845" t="s">
        <v>51</v>
      </c>
      <c r="V17" s="671"/>
      <c r="W17" s="593" t="s">
        <v>52</v>
      </c>
      <c r="X17" s="593" t="s">
        <v>53</v>
      </c>
      <c r="Y17" s="867" t="s">
        <v>54</v>
      </c>
      <c r="Z17" s="779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4"/>
      <c r="E18" s="656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4"/>
      <c r="X18" s="594"/>
      <c r="Y18" s="868"/>
      <c r="Z18" s="780"/>
      <c r="AA18" s="753"/>
      <c r="AB18" s="753"/>
      <c r="AC18" s="753"/>
      <c r="AD18" s="829"/>
      <c r="AE18" s="830"/>
      <c r="AF18" s="831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4"/>
      <c r="AB20" s="544"/>
      <c r="AC20" s="544"/>
    </row>
    <row r="21" spans="1:68" ht="14.25" hidden="1" customHeight="1" x14ac:dyDescent="0.25">
      <c r="A21" s="561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1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64" t="s">
        <v>75</v>
      </c>
      <c r="Q31" s="565"/>
      <c r="R31" s="565"/>
      <c r="S31" s="565"/>
      <c r="T31" s="565"/>
      <c r="U31" s="565"/>
      <c r="V31" s="566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4" t="s">
        <v>75</v>
      </c>
      <c r="Q32" s="565"/>
      <c r="R32" s="565"/>
      <c r="S32" s="565"/>
      <c r="T32" s="565"/>
      <c r="U32" s="565"/>
      <c r="V32" s="566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1" t="s">
        <v>91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43"/>
      <c r="AB33" s="543"/>
      <c r="AC33" s="543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9">
        <v>4607091388503</v>
      </c>
      <c r="E34" s="560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64" t="s">
        <v>75</v>
      </c>
      <c r="Q35" s="565"/>
      <c r="R35" s="565"/>
      <c r="S35" s="565"/>
      <c r="T35" s="565"/>
      <c r="U35" s="565"/>
      <c r="V35" s="566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4" t="s">
        <v>75</v>
      </c>
      <c r="Q36" s="565"/>
      <c r="R36" s="565"/>
      <c r="S36" s="565"/>
      <c r="T36" s="565"/>
      <c r="U36" s="565"/>
      <c r="V36" s="566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70" t="s">
        <v>98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44"/>
      <c r="AB38" s="544"/>
      <c r="AC38" s="544"/>
    </row>
    <row r="39" spans="1:68" ht="14.25" hidden="1" customHeight="1" x14ac:dyDescent="0.25">
      <c r="A39" s="561" t="s">
        <v>99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9">
        <v>4607091385670</v>
      </c>
      <c r="E40" s="560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9">
        <v>4607091385687</v>
      </c>
      <c r="E41" s="560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160</v>
      </c>
      <c r="Y41" s="55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9">
        <v>4680115882539</v>
      </c>
      <c r="E42" s="560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64" t="s">
        <v>75</v>
      </c>
      <c r="Q43" s="565"/>
      <c r="R43" s="565"/>
      <c r="S43" s="565"/>
      <c r="T43" s="565"/>
      <c r="U43" s="565"/>
      <c r="V43" s="566"/>
      <c r="W43" s="37" t="s">
        <v>76</v>
      </c>
      <c r="X43" s="551">
        <f>IFERROR(X40/H40,"0")+IFERROR(X41/H41,"0")+IFERROR(X42/H42,"0")</f>
        <v>40</v>
      </c>
      <c r="Y43" s="551">
        <f>IFERROR(Y40/H40,"0")+IFERROR(Y41/H41,"0")+IFERROR(Y42/H42,"0")</f>
        <v>40</v>
      </c>
      <c r="Z43" s="551">
        <f>IFERROR(IF(Z40="",0,Z40),"0")+IFERROR(IF(Z41="",0,Z41),"0")+IFERROR(IF(Z42="",0,Z42),"0")</f>
        <v>0.36080000000000001</v>
      </c>
      <c r="AA43" s="552"/>
      <c r="AB43" s="552"/>
      <c r="AC43" s="55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4" t="s">
        <v>75</v>
      </c>
      <c r="Q44" s="565"/>
      <c r="R44" s="565"/>
      <c r="S44" s="565"/>
      <c r="T44" s="565"/>
      <c r="U44" s="565"/>
      <c r="V44" s="566"/>
      <c r="W44" s="37" t="s">
        <v>69</v>
      </c>
      <c r="X44" s="551">
        <f>IFERROR(SUM(X40:X42),"0")</f>
        <v>160</v>
      </c>
      <c r="Y44" s="551">
        <f>IFERROR(SUM(Y40:Y42),"0")</f>
        <v>160</v>
      </c>
      <c r="Z44" s="37"/>
      <c r="AA44" s="552"/>
      <c r="AB44" s="552"/>
      <c r="AC44" s="552"/>
    </row>
    <row r="45" spans="1:68" ht="14.25" hidden="1" customHeight="1" x14ac:dyDescent="0.25">
      <c r="A45" s="561" t="s">
        <v>77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43"/>
      <c r="AB45" s="543"/>
      <c r="AC45" s="543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9">
        <v>4680115884915</v>
      </c>
      <c r="E46" s="560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64" t="s">
        <v>75</v>
      </c>
      <c r="Q47" s="565"/>
      <c r="R47" s="565"/>
      <c r="S47" s="565"/>
      <c r="T47" s="565"/>
      <c r="U47" s="565"/>
      <c r="V47" s="566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4" t="s">
        <v>75</v>
      </c>
      <c r="Q48" s="565"/>
      <c r="R48" s="565"/>
      <c r="S48" s="565"/>
      <c r="T48" s="565"/>
      <c r="U48" s="565"/>
      <c r="V48" s="566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0" t="s">
        <v>116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44"/>
      <c r="AB49" s="544"/>
      <c r="AC49" s="544"/>
    </row>
    <row r="50" spans="1:68" ht="14.25" hidden="1" customHeight="1" x14ac:dyDescent="0.25">
      <c r="A50" s="561" t="s">
        <v>99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9">
        <v>4680115885882</v>
      </c>
      <c r="E51" s="560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9">
        <v>4680115881426</v>
      </c>
      <c r="E52" s="560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9">
        <v>4680115880283</v>
      </c>
      <c r="E53" s="560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9">
        <v>4680115881525</v>
      </c>
      <c r="E54" s="560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9">
        <v>4680115885899</v>
      </c>
      <c r="E55" s="560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9">
        <v>4680115881419</v>
      </c>
      <c r="E56" s="560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225</v>
      </c>
      <c r="Y56" s="55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64" t="s">
        <v>75</v>
      </c>
      <c r="Q57" s="565"/>
      <c r="R57" s="565"/>
      <c r="S57" s="565"/>
      <c r="T57" s="565"/>
      <c r="U57" s="565"/>
      <c r="V57" s="566"/>
      <c r="W57" s="37" t="s">
        <v>76</v>
      </c>
      <c r="X57" s="551">
        <f>IFERROR(X51/H51,"0")+IFERROR(X52/H52,"0")+IFERROR(X53/H53,"0")+IFERROR(X54/H54,"0")+IFERROR(X55/H55,"0")+IFERROR(X56/H56,"0")</f>
        <v>50</v>
      </c>
      <c r="Y57" s="551">
        <f>IFERROR(Y51/H51,"0")+IFERROR(Y52/H52,"0")+IFERROR(Y53/H53,"0")+IFERROR(Y54/H54,"0")+IFERROR(Y55/H55,"0")+IFERROR(Y56/H56,"0")</f>
        <v>50</v>
      </c>
      <c r="Z57" s="551">
        <f>IFERROR(IF(Z51="",0,Z51),"0")+IFERROR(IF(Z52="",0,Z52),"0")+IFERROR(IF(Z53="",0,Z53),"0")+IFERROR(IF(Z54="",0,Z54),"0")+IFERROR(IF(Z55="",0,Z55),"0")+IFERROR(IF(Z56="",0,Z56),"0")</f>
        <v>0.45100000000000001</v>
      </c>
      <c r="AA57" s="552"/>
      <c r="AB57" s="552"/>
      <c r="AC57" s="55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4" t="s">
        <v>75</v>
      </c>
      <c r="Q58" s="565"/>
      <c r="R58" s="565"/>
      <c r="S58" s="565"/>
      <c r="T58" s="565"/>
      <c r="U58" s="565"/>
      <c r="V58" s="566"/>
      <c r="W58" s="37" t="s">
        <v>69</v>
      </c>
      <c r="X58" s="551">
        <f>IFERROR(SUM(X51:X56),"0")</f>
        <v>225</v>
      </c>
      <c r="Y58" s="551">
        <f>IFERROR(SUM(Y51:Y56),"0")</f>
        <v>225</v>
      </c>
      <c r="Z58" s="37"/>
      <c r="AA58" s="552"/>
      <c r="AB58" s="552"/>
      <c r="AC58" s="552"/>
    </row>
    <row r="59" spans="1:68" ht="14.25" hidden="1" customHeight="1" x14ac:dyDescent="0.25">
      <c r="A59" s="561" t="s">
        <v>135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9">
        <v>4680115881440</v>
      </c>
      <c r="E60" s="560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100</v>
      </c>
      <c r="Y60" s="55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9">
        <v>4680115885950</v>
      </c>
      <c r="E61" s="560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9">
        <v>4680115881433</v>
      </c>
      <c r="E62" s="560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90</v>
      </c>
      <c r="Y62" s="550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64" t="s">
        <v>75</v>
      </c>
      <c r="Q63" s="565"/>
      <c r="R63" s="565"/>
      <c r="S63" s="565"/>
      <c r="T63" s="565"/>
      <c r="U63" s="565"/>
      <c r="V63" s="566"/>
      <c r="W63" s="37" t="s">
        <v>76</v>
      </c>
      <c r="X63" s="551">
        <f>IFERROR(X60/H60,"0")+IFERROR(X61/H61,"0")+IFERROR(X62/H62,"0")</f>
        <v>42.592592592592588</v>
      </c>
      <c r="Y63" s="551">
        <f>IFERROR(Y60/H60,"0")+IFERROR(Y61/H61,"0")+IFERROR(Y62/H62,"0")</f>
        <v>44</v>
      </c>
      <c r="Z63" s="551">
        <f>IFERROR(IF(Z60="",0,Z60),"0")+IFERROR(IF(Z61="",0,Z61),"0")+IFERROR(IF(Z62="",0,Z62),"0")</f>
        <v>0.41114000000000001</v>
      </c>
      <c r="AA63" s="552"/>
      <c r="AB63" s="552"/>
      <c r="AC63" s="55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4" t="s">
        <v>75</v>
      </c>
      <c r="Q64" s="565"/>
      <c r="R64" s="565"/>
      <c r="S64" s="565"/>
      <c r="T64" s="565"/>
      <c r="U64" s="565"/>
      <c r="V64" s="566"/>
      <c r="W64" s="37" t="s">
        <v>69</v>
      </c>
      <c r="X64" s="551">
        <f>IFERROR(SUM(X60:X62),"0")</f>
        <v>190</v>
      </c>
      <c r="Y64" s="551">
        <f>IFERROR(SUM(Y60:Y62),"0")</f>
        <v>199.8</v>
      </c>
      <c r="Z64" s="37"/>
      <c r="AA64" s="552"/>
      <c r="AB64" s="552"/>
      <c r="AC64" s="552"/>
    </row>
    <row r="65" spans="1:68" ht="14.25" hidden="1" customHeight="1" x14ac:dyDescent="0.25">
      <c r="A65" s="561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43"/>
      <c r="AB65" s="543"/>
      <c r="AC65" s="543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9">
        <v>4680115885073</v>
      </c>
      <c r="E66" s="560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9">
        <v>4680115885097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8"/>
      <c r="P68" s="564" t="s">
        <v>75</v>
      </c>
      <c r="Q68" s="565"/>
      <c r="R68" s="565"/>
      <c r="S68" s="565"/>
      <c r="T68" s="565"/>
      <c r="U68" s="565"/>
      <c r="V68" s="566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4" t="s">
        <v>75</v>
      </c>
      <c r="Q69" s="565"/>
      <c r="R69" s="565"/>
      <c r="S69" s="565"/>
      <c r="T69" s="565"/>
      <c r="U69" s="565"/>
      <c r="V69" s="566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1" t="s">
        <v>77</v>
      </c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43"/>
      <c r="AB70" s="543"/>
      <c r="AC70" s="543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9">
        <v>4680115885769</v>
      </c>
      <c r="E71" s="560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9">
        <v>4680115884311</v>
      </c>
      <c r="E72" s="560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9">
        <v>4680115885929</v>
      </c>
      <c r="E73" s="560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9">
        <v>4680115884403</v>
      </c>
      <c r="E74" s="560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8"/>
      <c r="P75" s="564" t="s">
        <v>75</v>
      </c>
      <c r="Q75" s="565"/>
      <c r="R75" s="565"/>
      <c r="S75" s="565"/>
      <c r="T75" s="565"/>
      <c r="U75" s="565"/>
      <c r="V75" s="566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4" t="s">
        <v>75</v>
      </c>
      <c r="Q76" s="565"/>
      <c r="R76" s="565"/>
      <c r="S76" s="565"/>
      <c r="T76" s="565"/>
      <c r="U76" s="565"/>
      <c r="V76" s="566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1" t="s">
        <v>160</v>
      </c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43"/>
      <c r="AB77" s="543"/>
      <c r="AC77" s="543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9">
        <v>4680115881532</v>
      </c>
      <c r="E78" s="560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9">
        <v>4680115881464</v>
      </c>
      <c r="E79" s="560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56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/>
      <c r="P80" s="564" t="s">
        <v>75</v>
      </c>
      <c r="Q80" s="565"/>
      <c r="R80" s="565"/>
      <c r="S80" s="565"/>
      <c r="T80" s="565"/>
      <c r="U80" s="565"/>
      <c r="V80" s="566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4" t="s">
        <v>75</v>
      </c>
      <c r="Q81" s="565"/>
      <c r="R81" s="565"/>
      <c r="S81" s="565"/>
      <c r="T81" s="565"/>
      <c r="U81" s="565"/>
      <c r="V81" s="566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0" t="s">
        <v>167</v>
      </c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  <c r="Z82" s="557"/>
      <c r="AA82" s="544"/>
      <c r="AB82" s="544"/>
      <c r="AC82" s="544"/>
    </row>
    <row r="83" spans="1:68" ht="14.25" hidden="1" customHeight="1" x14ac:dyDescent="0.25">
      <c r="A83" s="561" t="s">
        <v>99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9">
        <v>4680115881327</v>
      </c>
      <c r="E84" s="560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9">
        <v>4680115887732</v>
      </c>
      <c r="E85" s="560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225</v>
      </c>
      <c r="Y87" s="55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64" t="s">
        <v>75</v>
      </c>
      <c r="Q88" s="565"/>
      <c r="R88" s="565"/>
      <c r="S88" s="565"/>
      <c r="T88" s="565"/>
      <c r="U88" s="565"/>
      <c r="V88" s="566"/>
      <c r="W88" s="37" t="s">
        <v>76</v>
      </c>
      <c r="X88" s="551">
        <f>IFERROR(X84/H84,"0")+IFERROR(X85/H85,"0")+IFERROR(X86/H86,"0")+IFERROR(X87/H87,"0")</f>
        <v>50</v>
      </c>
      <c r="Y88" s="551">
        <f>IFERROR(Y84/H84,"0")+IFERROR(Y85/H85,"0")+IFERROR(Y86/H86,"0")+IFERROR(Y87/H87,"0")</f>
        <v>50</v>
      </c>
      <c r="Z88" s="551">
        <f>IFERROR(IF(Z84="",0,Z84),"0")+IFERROR(IF(Z85="",0,Z85),"0")+IFERROR(IF(Z86="",0,Z86),"0")+IFERROR(IF(Z87="",0,Z87),"0")</f>
        <v>0.45100000000000001</v>
      </c>
      <c r="AA88" s="552"/>
      <c r="AB88" s="552"/>
      <c r="AC88" s="55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4" t="s">
        <v>75</v>
      </c>
      <c r="Q89" s="565"/>
      <c r="R89" s="565"/>
      <c r="S89" s="565"/>
      <c r="T89" s="565"/>
      <c r="U89" s="565"/>
      <c r="V89" s="566"/>
      <c r="W89" s="37" t="s">
        <v>69</v>
      </c>
      <c r="X89" s="551">
        <f>IFERROR(SUM(X84:X87),"0")</f>
        <v>225</v>
      </c>
      <c r="Y89" s="551">
        <f>IFERROR(SUM(Y84:Y87),"0")</f>
        <v>225</v>
      </c>
      <c r="Z89" s="37"/>
      <c r="AA89" s="552"/>
      <c r="AB89" s="552"/>
      <c r="AC89" s="552"/>
    </row>
    <row r="90" spans="1:68" ht="14.25" hidden="1" customHeight="1" x14ac:dyDescent="0.25">
      <c r="A90" s="561" t="s">
        <v>77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150</v>
      </c>
      <c r="Y91" s="550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9">
        <v>4607091385731</v>
      </c>
      <c r="E93" s="560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180</v>
      </c>
      <c r="Y93" s="550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9">
        <v>4680115880894</v>
      </c>
      <c r="E94" s="560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64" t="s">
        <v>75</v>
      </c>
      <c r="Q95" s="565"/>
      <c r="R95" s="565"/>
      <c r="S95" s="565"/>
      <c r="T95" s="565"/>
      <c r="U95" s="565"/>
      <c r="V95" s="566"/>
      <c r="W95" s="37" t="s">
        <v>76</v>
      </c>
      <c r="X95" s="551">
        <f>IFERROR(X91/H91,"0")+IFERROR(X92/H92,"0")+IFERROR(X93/H93,"0")+IFERROR(X94/H94,"0")</f>
        <v>85.185185185185176</v>
      </c>
      <c r="Y95" s="551">
        <f>IFERROR(Y91/H91,"0")+IFERROR(Y92/H92,"0")+IFERROR(Y93/H93,"0")+IFERROR(Y94/H94,"0")</f>
        <v>86</v>
      </c>
      <c r="Z95" s="551">
        <f>IFERROR(IF(Z91="",0,Z91),"0")+IFERROR(IF(Z92="",0,Z92),"0")+IFERROR(IF(Z93="",0,Z93),"0")+IFERROR(IF(Z94="",0,Z94),"0")</f>
        <v>0.79679</v>
      </c>
      <c r="AA95" s="552"/>
      <c r="AB95" s="552"/>
      <c r="AC95" s="55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4" t="s">
        <v>75</v>
      </c>
      <c r="Q96" s="565"/>
      <c r="R96" s="565"/>
      <c r="S96" s="565"/>
      <c r="T96" s="565"/>
      <c r="U96" s="565"/>
      <c r="V96" s="566"/>
      <c r="W96" s="37" t="s">
        <v>69</v>
      </c>
      <c r="X96" s="551">
        <f>IFERROR(SUM(X91:X94),"0")</f>
        <v>330</v>
      </c>
      <c r="Y96" s="551">
        <f>IFERROR(SUM(Y91:Y94),"0")</f>
        <v>334.8</v>
      </c>
      <c r="Z96" s="37"/>
      <c r="AA96" s="552"/>
      <c r="AB96" s="552"/>
      <c r="AC96" s="552"/>
    </row>
    <row r="97" spans="1:68" ht="16.5" hidden="1" customHeight="1" x14ac:dyDescent="0.25">
      <c r="A97" s="570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44"/>
      <c r="AB97" s="544"/>
      <c r="AC97" s="544"/>
    </row>
    <row r="98" spans="1:68" ht="14.25" hidden="1" customHeight="1" x14ac:dyDescent="0.25">
      <c r="A98" s="561" t="s">
        <v>99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9">
        <v>4680115882133</v>
      </c>
      <c r="E99" s="560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9">
        <v>4680115887718</v>
      </c>
      <c r="E100" s="560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9">
        <v>4680115880269</v>
      </c>
      <c r="E101" s="560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9">
        <v>4680115880429</v>
      </c>
      <c r="E102" s="560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180</v>
      </c>
      <c r="Y102" s="550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9">
        <v>4680115881457</v>
      </c>
      <c r="E103" s="560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64" t="s">
        <v>75</v>
      </c>
      <c r="Q104" s="565"/>
      <c r="R104" s="565"/>
      <c r="S104" s="565"/>
      <c r="T104" s="565"/>
      <c r="U104" s="565"/>
      <c r="V104" s="566"/>
      <c r="W104" s="37" t="s">
        <v>76</v>
      </c>
      <c r="X104" s="551">
        <f>IFERROR(X99/H99,"0")+IFERROR(X100/H100,"0")+IFERROR(X101/H101,"0")+IFERROR(X102/H102,"0")+IFERROR(X103/H103,"0")</f>
        <v>40</v>
      </c>
      <c r="Y104" s="551">
        <f>IFERROR(Y99/H99,"0")+IFERROR(Y100/H100,"0")+IFERROR(Y101/H101,"0")+IFERROR(Y102/H102,"0")+IFERROR(Y103/H103,"0")</f>
        <v>40</v>
      </c>
      <c r="Z104" s="551">
        <f>IFERROR(IF(Z99="",0,Z99),"0")+IFERROR(IF(Z100="",0,Z100),"0")+IFERROR(IF(Z101="",0,Z101),"0")+IFERROR(IF(Z102="",0,Z102),"0")+IFERROR(IF(Z103="",0,Z103),"0")</f>
        <v>0.36080000000000001</v>
      </c>
      <c r="AA104" s="552"/>
      <c r="AB104" s="552"/>
      <c r="AC104" s="552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4" t="s">
        <v>75</v>
      </c>
      <c r="Q105" s="565"/>
      <c r="R105" s="565"/>
      <c r="S105" s="565"/>
      <c r="T105" s="565"/>
      <c r="U105" s="565"/>
      <c r="V105" s="566"/>
      <c r="W105" s="37" t="s">
        <v>69</v>
      </c>
      <c r="X105" s="551">
        <f>IFERROR(SUM(X99:X103),"0")</f>
        <v>180</v>
      </c>
      <c r="Y105" s="551">
        <f>IFERROR(SUM(Y99:Y103),"0")</f>
        <v>180</v>
      </c>
      <c r="Z105" s="37"/>
      <c r="AA105" s="552"/>
      <c r="AB105" s="552"/>
      <c r="AC105" s="552"/>
    </row>
    <row r="106" spans="1:68" ht="14.25" hidden="1" customHeight="1" x14ac:dyDescent="0.25">
      <c r="A106" s="561" t="s">
        <v>135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43"/>
      <c r="AB106" s="543"/>
      <c r="AC106" s="543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9">
        <v>4680115881488</v>
      </c>
      <c r="E107" s="560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9">
        <v>4680115887664</v>
      </c>
      <c r="E108" s="560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9">
        <v>4680115882775</v>
      </c>
      <c r="E109" s="560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9">
        <v>4680115880658</v>
      </c>
      <c r="E110" s="560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56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64" t="s">
        <v>75</v>
      </c>
      <c r="Q111" s="565"/>
      <c r="R111" s="565"/>
      <c r="S111" s="565"/>
      <c r="T111" s="565"/>
      <c r="U111" s="565"/>
      <c r="V111" s="566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4" t="s">
        <v>75</v>
      </c>
      <c r="Q112" s="565"/>
      <c r="R112" s="565"/>
      <c r="S112" s="565"/>
      <c r="T112" s="565"/>
      <c r="U112" s="565"/>
      <c r="V112" s="566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1" t="s">
        <v>77</v>
      </c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9">
        <v>4607091385168</v>
      </c>
      <c r="E114" s="560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9">
        <v>4607091383256</v>
      </c>
      <c r="E115" s="560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9">
        <v>4607091385748</v>
      </c>
      <c r="E116" s="560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450</v>
      </c>
      <c r="Y116" s="550">
        <f>IFERROR(IF(X116="",0,CEILING((X116/$H116),1)*$H116),"")</f>
        <v>450.90000000000003</v>
      </c>
      <c r="Z116" s="36">
        <f>IFERROR(IF(Y116=0,"",ROUNDUP(Y116/H116,0)*0.00651),"")</f>
        <v>1.08717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492</v>
      </c>
      <c r="BN116" s="64">
        <f>IFERROR(Y116*I116/H116,"0")</f>
        <v>492.98399999999998</v>
      </c>
      <c r="BO116" s="64">
        <f>IFERROR(1/J116*(X116/H116),"0")</f>
        <v>0.91575091575091572</v>
      </c>
      <c r="BP116" s="64">
        <f>IFERROR(1/J116*(Y116/H116),"0")</f>
        <v>0.91758241758241765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56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64" t="s">
        <v>75</v>
      </c>
      <c r="Q118" s="565"/>
      <c r="R118" s="565"/>
      <c r="S118" s="565"/>
      <c r="T118" s="565"/>
      <c r="U118" s="565"/>
      <c r="V118" s="566"/>
      <c r="W118" s="37" t="s">
        <v>76</v>
      </c>
      <c r="X118" s="551">
        <f>IFERROR(X114/H114,"0")+IFERROR(X115/H115,"0")+IFERROR(X116/H116,"0")+IFERROR(X117/H117,"0")</f>
        <v>179.01234567901233</v>
      </c>
      <c r="Y118" s="551">
        <f>IFERROR(Y114/H114,"0")+IFERROR(Y115/H115,"0")+IFERROR(Y116/H116,"0")+IFERROR(Y117/H117,"0")</f>
        <v>180</v>
      </c>
      <c r="Z118" s="551">
        <f>IFERROR(IF(Z114="",0,Z114),"0")+IFERROR(IF(Z115="",0,Z115),"0")+IFERROR(IF(Z116="",0,Z116),"0")+IFERROR(IF(Z117="",0,Z117),"0")</f>
        <v>1.3339099999999999</v>
      </c>
      <c r="AA118" s="552"/>
      <c r="AB118" s="552"/>
      <c r="AC118" s="552"/>
    </row>
    <row r="119" spans="1:68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4" t="s">
        <v>75</v>
      </c>
      <c r="Q119" s="565"/>
      <c r="R119" s="565"/>
      <c r="S119" s="565"/>
      <c r="T119" s="565"/>
      <c r="U119" s="565"/>
      <c r="V119" s="566"/>
      <c r="W119" s="37" t="s">
        <v>69</v>
      </c>
      <c r="X119" s="551">
        <f>IFERROR(SUM(X114:X117),"0")</f>
        <v>550</v>
      </c>
      <c r="Y119" s="551">
        <f>IFERROR(SUM(Y114:Y117),"0")</f>
        <v>556.20000000000005</v>
      </c>
      <c r="Z119" s="37"/>
      <c r="AA119" s="552"/>
      <c r="AB119" s="552"/>
      <c r="AC119" s="552"/>
    </row>
    <row r="120" spans="1:68" ht="14.25" hidden="1" customHeight="1" x14ac:dyDescent="0.25">
      <c r="A120" s="561" t="s">
        <v>160</v>
      </c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33</v>
      </c>
      <c r="Y121" s="550">
        <f>IFERROR(IF(X121="",0,CEILING((X121/$H121),1)*$H121),"")</f>
        <v>33.659999999999997</v>
      </c>
      <c r="Z121" s="36">
        <f>IFERROR(IF(Y121=0,"",ROUNDUP(Y121/H121,0)*0.00651),"")</f>
        <v>0.11067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37.299999999999997</v>
      </c>
      <c r="BN121" s="64">
        <f>IFERROR(Y121*I121/H121,"0")</f>
        <v>38.045999999999992</v>
      </c>
      <c r="BO121" s="64">
        <f>IFERROR(1/J121*(X121/H121),"0")</f>
        <v>9.1575091575091583E-2</v>
      </c>
      <c r="BP121" s="64">
        <f>IFERROR(1/J121*(Y121/H121),"0")</f>
        <v>9.3406593406593408E-2</v>
      </c>
    </row>
    <row r="122" spans="1:68" x14ac:dyDescent="0.2">
      <c r="A122" s="556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64" t="s">
        <v>75</v>
      </c>
      <c r="Q122" s="565"/>
      <c r="R122" s="565"/>
      <c r="S122" s="565"/>
      <c r="T122" s="565"/>
      <c r="U122" s="565"/>
      <c r="V122" s="566"/>
      <c r="W122" s="37" t="s">
        <v>76</v>
      </c>
      <c r="X122" s="551">
        <f>IFERROR(X121/H121,"0")</f>
        <v>16.666666666666668</v>
      </c>
      <c r="Y122" s="551">
        <f>IFERROR(Y121/H121,"0")</f>
        <v>17</v>
      </c>
      <c r="Z122" s="551">
        <f>IFERROR(IF(Z121="",0,Z121),"0")</f>
        <v>0.11067</v>
      </c>
      <c r="AA122" s="552"/>
      <c r="AB122" s="552"/>
      <c r="AC122" s="552"/>
    </row>
    <row r="123" spans="1:68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4" t="s">
        <v>75</v>
      </c>
      <c r="Q123" s="565"/>
      <c r="R123" s="565"/>
      <c r="S123" s="565"/>
      <c r="T123" s="565"/>
      <c r="U123" s="565"/>
      <c r="V123" s="566"/>
      <c r="W123" s="37" t="s">
        <v>69</v>
      </c>
      <c r="X123" s="551">
        <f>IFERROR(SUM(X121:X121),"0")</f>
        <v>33</v>
      </c>
      <c r="Y123" s="551">
        <f>IFERROR(SUM(Y121:Y121),"0")</f>
        <v>33.659999999999997</v>
      </c>
      <c r="Z123" s="37"/>
      <c r="AA123" s="552"/>
      <c r="AB123" s="552"/>
      <c r="AC123" s="552"/>
    </row>
    <row r="124" spans="1:68" ht="16.5" hidden="1" customHeight="1" x14ac:dyDescent="0.25">
      <c r="A124" s="570" t="s">
        <v>227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44"/>
      <c r="AB124" s="544"/>
      <c r="AC124" s="544"/>
    </row>
    <row r="125" spans="1:68" ht="14.25" hidden="1" customHeight="1" x14ac:dyDescent="0.25">
      <c r="A125" s="561" t="s">
        <v>99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9">
        <v>4680115882577</v>
      </c>
      <c r="E126" s="560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40</v>
      </c>
      <c r="Y126" s="550">
        <f>IFERROR(IF(X126="",0,CEILING((X126/$H126),1)*$H126),"")</f>
        <v>41.6</v>
      </c>
      <c r="Z126" s="36">
        <f>IFERROR(IF(Y126=0,"",ROUNDUP(Y126/H126,0)*0.00651),"")</f>
        <v>8.4629999999999997E-2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42.249999999999993</v>
      </c>
      <c r="BN126" s="64">
        <f>IFERROR(Y126*I126/H126,"0")</f>
        <v>43.94</v>
      </c>
      <c r="BO126" s="64">
        <f>IFERROR(1/J126*(X126/H126),"0")</f>
        <v>6.8681318681318687E-2</v>
      </c>
      <c r="BP126" s="64">
        <f>IFERROR(1/J126*(Y126/H126),"0")</f>
        <v>7.1428571428571438E-2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64" t="s">
        <v>75</v>
      </c>
      <c r="Q128" s="565"/>
      <c r="R128" s="565"/>
      <c r="S128" s="565"/>
      <c r="T128" s="565"/>
      <c r="U128" s="565"/>
      <c r="V128" s="566"/>
      <c r="W128" s="37" t="s">
        <v>76</v>
      </c>
      <c r="X128" s="551">
        <f>IFERROR(X126/H126,"0")+IFERROR(X127/H127,"0")</f>
        <v>12.5</v>
      </c>
      <c r="Y128" s="551">
        <f>IFERROR(Y126/H126,"0")+IFERROR(Y127/H127,"0")</f>
        <v>13</v>
      </c>
      <c r="Z128" s="551">
        <f>IFERROR(IF(Z126="",0,Z126),"0")+IFERROR(IF(Z127="",0,Z127),"0")</f>
        <v>8.4629999999999997E-2</v>
      </c>
      <c r="AA128" s="552"/>
      <c r="AB128" s="552"/>
      <c r="AC128" s="552"/>
    </row>
    <row r="129" spans="1:68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4" t="s">
        <v>75</v>
      </c>
      <c r="Q129" s="565"/>
      <c r="R129" s="565"/>
      <c r="S129" s="565"/>
      <c r="T129" s="565"/>
      <c r="U129" s="565"/>
      <c r="V129" s="566"/>
      <c r="W129" s="37" t="s">
        <v>69</v>
      </c>
      <c r="X129" s="551">
        <f>IFERROR(SUM(X126:X127),"0")</f>
        <v>40</v>
      </c>
      <c r="Y129" s="551">
        <f>IFERROR(SUM(Y126:Y127),"0")</f>
        <v>41.6</v>
      </c>
      <c r="Z129" s="37"/>
      <c r="AA129" s="552"/>
      <c r="AB129" s="552"/>
      <c r="AC129" s="552"/>
    </row>
    <row r="130" spans="1:68" ht="14.25" hidden="1" customHeight="1" x14ac:dyDescent="0.25">
      <c r="A130" s="561" t="s">
        <v>64</v>
      </c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9">
        <v>4680115883444</v>
      </c>
      <c r="E131" s="560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35</v>
      </c>
      <c r="Y132" s="550">
        <f>IFERROR(IF(X132="",0,CEILING((X132/$H132),1)*$H132),"")</f>
        <v>36.4</v>
      </c>
      <c r="Z132" s="36">
        <f>IFERROR(IF(Y132=0,"",ROUNDUP(Y132/H132,0)*0.00651),"")</f>
        <v>8.4629999999999997E-2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38.35</v>
      </c>
      <c r="BN132" s="64">
        <f>IFERROR(Y132*I132/H132,"0")</f>
        <v>39.884</v>
      </c>
      <c r="BO132" s="64">
        <f>IFERROR(1/J132*(X132/H132),"0")</f>
        <v>6.8681318681318687E-2</v>
      </c>
      <c r="BP132" s="64">
        <f>IFERROR(1/J132*(Y132/H132),"0")</f>
        <v>7.1428571428571438E-2</v>
      </c>
    </row>
    <row r="133" spans="1:68" x14ac:dyDescent="0.2">
      <c r="A133" s="556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64" t="s">
        <v>75</v>
      </c>
      <c r="Q133" s="565"/>
      <c r="R133" s="565"/>
      <c r="S133" s="565"/>
      <c r="T133" s="565"/>
      <c r="U133" s="565"/>
      <c r="V133" s="566"/>
      <c r="W133" s="37" t="s">
        <v>76</v>
      </c>
      <c r="X133" s="551">
        <f>IFERROR(X131/H131,"0")+IFERROR(X132/H132,"0")</f>
        <v>12.5</v>
      </c>
      <c r="Y133" s="551">
        <f>IFERROR(Y131/H131,"0")+IFERROR(Y132/H132,"0")</f>
        <v>13</v>
      </c>
      <c r="Z133" s="551">
        <f>IFERROR(IF(Z131="",0,Z131),"0")+IFERROR(IF(Z132="",0,Z132),"0")</f>
        <v>8.4629999999999997E-2</v>
      </c>
      <c r="AA133" s="552"/>
      <c r="AB133" s="552"/>
      <c r="AC133" s="552"/>
    </row>
    <row r="134" spans="1:68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4" t="s">
        <v>75</v>
      </c>
      <c r="Q134" s="565"/>
      <c r="R134" s="565"/>
      <c r="S134" s="565"/>
      <c r="T134" s="565"/>
      <c r="U134" s="565"/>
      <c r="V134" s="566"/>
      <c r="W134" s="37" t="s">
        <v>69</v>
      </c>
      <c r="X134" s="551">
        <f>IFERROR(SUM(X131:X132),"0")</f>
        <v>35</v>
      </c>
      <c r="Y134" s="551">
        <f>IFERROR(SUM(Y131:Y132),"0")</f>
        <v>36.4</v>
      </c>
      <c r="Z134" s="37"/>
      <c r="AA134" s="552"/>
      <c r="AB134" s="552"/>
      <c r="AC134" s="552"/>
    </row>
    <row r="135" spans="1:68" ht="14.25" hidden="1" customHeight="1" x14ac:dyDescent="0.25">
      <c r="A135" s="561" t="s">
        <v>77</v>
      </c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33</v>
      </c>
      <c r="Y137" s="550">
        <f>IFERROR(IF(X137="",0,CEILING((X137/$H137),1)*$H137),"")</f>
        <v>34.32</v>
      </c>
      <c r="Z137" s="36">
        <f>IFERROR(IF(Y137=0,"",ROUNDUP(Y137/H137,0)*0.00651),"")</f>
        <v>8.4629999999999997E-2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36.349999999999994</v>
      </c>
      <c r="BN137" s="64">
        <f>IFERROR(Y137*I137/H137,"0")</f>
        <v>37.803999999999995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x14ac:dyDescent="0.2">
      <c r="A138" s="556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64" t="s">
        <v>75</v>
      </c>
      <c r="Q138" s="565"/>
      <c r="R138" s="565"/>
      <c r="S138" s="565"/>
      <c r="T138" s="565"/>
      <c r="U138" s="565"/>
      <c r="V138" s="566"/>
      <c r="W138" s="37" t="s">
        <v>76</v>
      </c>
      <c r="X138" s="551">
        <f>IFERROR(X136/H136,"0")+IFERROR(X137/H137,"0")</f>
        <v>12.5</v>
      </c>
      <c r="Y138" s="551">
        <f>IFERROR(Y136/H136,"0")+IFERROR(Y137/H137,"0")</f>
        <v>13</v>
      </c>
      <c r="Z138" s="551">
        <f>IFERROR(IF(Z136="",0,Z136),"0")+IFERROR(IF(Z137="",0,Z137),"0")</f>
        <v>8.4629999999999997E-2</v>
      </c>
      <c r="AA138" s="552"/>
      <c r="AB138" s="552"/>
      <c r="AC138" s="552"/>
    </row>
    <row r="139" spans="1:68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4" t="s">
        <v>75</v>
      </c>
      <c r="Q139" s="565"/>
      <c r="R139" s="565"/>
      <c r="S139" s="565"/>
      <c r="T139" s="565"/>
      <c r="U139" s="565"/>
      <c r="V139" s="566"/>
      <c r="W139" s="37" t="s">
        <v>69</v>
      </c>
      <c r="X139" s="551">
        <f>IFERROR(SUM(X136:X137),"0")</f>
        <v>33</v>
      </c>
      <c r="Y139" s="551">
        <f>IFERROR(SUM(Y136:Y137),"0")</f>
        <v>34.32</v>
      </c>
      <c r="Z139" s="37"/>
      <c r="AA139" s="552"/>
      <c r="AB139" s="552"/>
      <c r="AC139" s="552"/>
    </row>
    <row r="140" spans="1:68" ht="16.5" hidden="1" customHeight="1" x14ac:dyDescent="0.25">
      <c r="A140" s="570" t="s">
        <v>97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44"/>
      <c r="AB140" s="544"/>
      <c r="AC140" s="544"/>
    </row>
    <row r="141" spans="1:68" ht="14.25" hidden="1" customHeight="1" x14ac:dyDescent="0.25">
      <c r="A141" s="561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64" t="s">
        <v>75</v>
      </c>
      <c r="Q144" s="565"/>
      <c r="R144" s="565"/>
      <c r="S144" s="565"/>
      <c r="T144" s="565"/>
      <c r="U144" s="565"/>
      <c r="V144" s="566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4" t="s">
        <v>75</v>
      </c>
      <c r="Q145" s="565"/>
      <c r="R145" s="565"/>
      <c r="S145" s="565"/>
      <c r="T145" s="565"/>
      <c r="U145" s="565"/>
      <c r="V145" s="566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1" t="s">
        <v>64</v>
      </c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56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64" t="s">
        <v>75</v>
      </c>
      <c r="Q153" s="565"/>
      <c r="R153" s="565"/>
      <c r="S153" s="565"/>
      <c r="T153" s="565"/>
      <c r="U153" s="565"/>
      <c r="V153" s="566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4" t="s">
        <v>75</v>
      </c>
      <c r="Q154" s="565"/>
      <c r="R154" s="565"/>
      <c r="S154" s="565"/>
      <c r="T154" s="565"/>
      <c r="U154" s="565"/>
      <c r="V154" s="566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1" t="s">
        <v>77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43"/>
      <c r="AB155" s="543"/>
      <c r="AC155" s="543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56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8"/>
      <c r="P157" s="564" t="s">
        <v>75</v>
      </c>
      <c r="Q157" s="565"/>
      <c r="R157" s="565"/>
      <c r="S157" s="565"/>
      <c r="T157" s="565"/>
      <c r="U157" s="565"/>
      <c r="V157" s="566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4" t="s">
        <v>75</v>
      </c>
      <c r="Q158" s="565"/>
      <c r="R158" s="565"/>
      <c r="S158" s="565"/>
      <c r="T158" s="565"/>
      <c r="U158" s="565"/>
      <c r="V158" s="566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70" t="s">
        <v>267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4"/>
      <c r="AB160" s="544"/>
      <c r="AC160" s="544"/>
    </row>
    <row r="161" spans="1:68" ht="14.25" hidden="1" customHeight="1" x14ac:dyDescent="0.25">
      <c r="A161" s="561" t="s">
        <v>135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56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8"/>
      <c r="P163" s="564" t="s">
        <v>75</v>
      </c>
      <c r="Q163" s="565"/>
      <c r="R163" s="565"/>
      <c r="S163" s="565"/>
      <c r="T163" s="565"/>
      <c r="U163" s="565"/>
      <c r="V163" s="566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4" t="s">
        <v>75</v>
      </c>
      <c r="Q164" s="565"/>
      <c r="R164" s="565"/>
      <c r="S164" s="565"/>
      <c r="T164" s="565"/>
      <c r="U164" s="565"/>
      <c r="V164" s="566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1" t="s">
        <v>64</v>
      </c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43"/>
      <c r="AB165" s="543"/>
      <c r="AC165" s="543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70</v>
      </c>
      <c r="Y172" s="550">
        <f t="shared" si="10"/>
        <v>71.400000000000006</v>
      </c>
      <c r="Z172" s="36">
        <f>IFERROR(IF(Y172=0,"",ROUNDUP(Y172/H172,0)*0.00502),"")</f>
        <v>0.17068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74.333333333333329</v>
      </c>
      <c r="BN172" s="64">
        <f t="shared" si="12"/>
        <v>75.820000000000007</v>
      </c>
      <c r="BO172" s="64">
        <f t="shared" si="13"/>
        <v>0.14245014245014245</v>
      </c>
      <c r="BP172" s="64">
        <f t="shared" si="14"/>
        <v>0.14529914529914531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105</v>
      </c>
      <c r="Y177" s="550">
        <f t="shared" si="10"/>
        <v>105</v>
      </c>
      <c r="Z177" s="36">
        <f>IFERROR(IF(Y177=0,"",ROUNDUP(Y177/H177,0)*0.00502),"")</f>
        <v>0.251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110.00000000000001</v>
      </c>
      <c r="BN177" s="64">
        <f t="shared" si="12"/>
        <v>110.00000000000001</v>
      </c>
      <c r="BO177" s="64">
        <f t="shared" si="13"/>
        <v>0.21367521367521369</v>
      </c>
      <c r="BP177" s="64">
        <f t="shared" si="14"/>
        <v>0.21367521367521369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56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4" t="s">
        <v>75</v>
      </c>
      <c r="Q180" s="565"/>
      <c r="R180" s="565"/>
      <c r="S180" s="565"/>
      <c r="T180" s="565"/>
      <c r="U180" s="565"/>
      <c r="V180" s="566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83.333333333333329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84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0.42168</v>
      </c>
      <c r="AA180" s="552"/>
      <c r="AB180" s="552"/>
      <c r="AC180" s="552"/>
    </row>
    <row r="181" spans="1:68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64" t="s">
        <v>75</v>
      </c>
      <c r="Q181" s="565"/>
      <c r="R181" s="565"/>
      <c r="S181" s="565"/>
      <c r="T181" s="565"/>
      <c r="U181" s="565"/>
      <c r="V181" s="566"/>
      <c r="W181" s="37" t="s">
        <v>69</v>
      </c>
      <c r="X181" s="551">
        <f>IFERROR(SUM(X166:X179),"0")</f>
        <v>175</v>
      </c>
      <c r="Y181" s="551">
        <f>IFERROR(SUM(Y166:Y179),"0")</f>
        <v>176.4</v>
      </c>
      <c r="Z181" s="37"/>
      <c r="AA181" s="552"/>
      <c r="AB181" s="552"/>
      <c r="AC181" s="552"/>
    </row>
    <row r="182" spans="1:68" ht="14.25" hidden="1" customHeight="1" x14ac:dyDescent="0.25">
      <c r="A182" s="561" t="s">
        <v>91</v>
      </c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43"/>
      <c r="AB182" s="543"/>
      <c r="AC182" s="543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56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4" t="s">
        <v>75</v>
      </c>
      <c r="Q186" s="565"/>
      <c r="R186" s="565"/>
      <c r="S186" s="565"/>
      <c r="T186" s="565"/>
      <c r="U186" s="565"/>
      <c r="V186" s="566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64" t="s">
        <v>75</v>
      </c>
      <c r="Q187" s="565"/>
      <c r="R187" s="565"/>
      <c r="S187" s="565"/>
      <c r="T187" s="565"/>
      <c r="U187" s="565"/>
      <c r="V187" s="566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1" t="s">
        <v>319</v>
      </c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  <c r="Z188" s="557"/>
      <c r="AA188" s="543"/>
      <c r="AB188" s="543"/>
      <c r="AC188" s="543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56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4" t="s">
        <v>75</v>
      </c>
      <c r="Q190" s="565"/>
      <c r="R190" s="565"/>
      <c r="S190" s="565"/>
      <c r="T190" s="565"/>
      <c r="U190" s="565"/>
      <c r="V190" s="566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8"/>
      <c r="P191" s="564" t="s">
        <v>75</v>
      </c>
      <c r="Q191" s="565"/>
      <c r="R191" s="565"/>
      <c r="S191" s="565"/>
      <c r="T191" s="565"/>
      <c r="U191" s="565"/>
      <c r="V191" s="566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0" t="s">
        <v>322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14.25" hidden="1" customHeight="1" x14ac:dyDescent="0.25">
      <c r="A193" s="561" t="s">
        <v>99</v>
      </c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  <c r="Z193" s="557"/>
      <c r="AA193" s="543"/>
      <c r="AB193" s="543"/>
      <c r="AC193" s="543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56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4" t="s">
        <v>75</v>
      </c>
      <c r="Q196" s="565"/>
      <c r="R196" s="565"/>
      <c r="S196" s="565"/>
      <c r="T196" s="565"/>
      <c r="U196" s="565"/>
      <c r="V196" s="566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8"/>
      <c r="P197" s="564" t="s">
        <v>75</v>
      </c>
      <c r="Q197" s="565"/>
      <c r="R197" s="565"/>
      <c r="S197" s="565"/>
      <c r="T197" s="565"/>
      <c r="U197" s="565"/>
      <c r="V197" s="566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1" t="s">
        <v>135</v>
      </c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  <c r="Z198" s="557"/>
      <c r="AA198" s="543"/>
      <c r="AB198" s="543"/>
      <c r="AC198" s="543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56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4" t="s">
        <v>75</v>
      </c>
      <c r="Q201" s="565"/>
      <c r="R201" s="565"/>
      <c r="S201" s="565"/>
      <c r="T201" s="565"/>
      <c r="U201" s="565"/>
      <c r="V201" s="566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8"/>
      <c r="P202" s="564" t="s">
        <v>75</v>
      </c>
      <c r="Q202" s="565"/>
      <c r="R202" s="565"/>
      <c r="S202" s="565"/>
      <c r="T202" s="565"/>
      <c r="U202" s="565"/>
      <c r="V202" s="566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1" t="s">
        <v>64</v>
      </c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  <c r="Z203" s="557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50</v>
      </c>
      <c r="Y204" s="550">
        <f t="shared" ref="Y204:Y211" si="15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51.759259259259252</v>
      </c>
      <c r="BN204" s="64">
        <f t="shared" ref="BN204:BN211" si="17">IFERROR(Y204*I204/H204,"0")</f>
        <v>55.9</v>
      </c>
      <c r="BO204" s="64">
        <f t="shared" ref="BO204:BO211" si="18">IFERROR(1/J204*(X204/H204),"0")</f>
        <v>7.0145903479236812E-2</v>
      </c>
      <c r="BP204" s="64">
        <f t="shared" ref="BP204:BP211" si="19">IFERROR(1/J204*(Y204/H204),"0")</f>
        <v>7.575757575757576E-2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200</v>
      </c>
      <c r="Y206" s="550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50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30</v>
      </c>
      <c r="Y208" s="550">
        <f t="shared" si="15"/>
        <v>30.6</v>
      </c>
      <c r="Z208" s="36">
        <f>IFERROR(IF(Y208=0,"",ROUNDUP(Y208/H208,0)*0.00502),"")</f>
        <v>8.5339999999999999E-2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32.166666666666664</v>
      </c>
      <c r="BN208" s="64">
        <f t="shared" si="17"/>
        <v>32.81</v>
      </c>
      <c r="BO208" s="64">
        <f t="shared" si="18"/>
        <v>7.122507122507124E-2</v>
      </c>
      <c r="BP208" s="64">
        <f t="shared" si="19"/>
        <v>7.2649572649572655E-2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30</v>
      </c>
      <c r="Y209" s="550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31.666666666666664</v>
      </c>
      <c r="BN209" s="64">
        <f t="shared" si="17"/>
        <v>32.299999999999997</v>
      </c>
      <c r="BO209" s="64">
        <f t="shared" si="18"/>
        <v>7.122507122507124E-2</v>
      </c>
      <c r="BP209" s="64">
        <f t="shared" si="19"/>
        <v>7.2649572649572655E-2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30</v>
      </c>
      <c r="Y210" s="550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30</v>
      </c>
      <c r="Y211" s="550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x14ac:dyDescent="0.2">
      <c r="A212" s="556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4" t="s">
        <v>75</v>
      </c>
      <c r="Q212" s="565"/>
      <c r="R212" s="565"/>
      <c r="S212" s="565"/>
      <c r="T212" s="565"/>
      <c r="U212" s="565"/>
      <c r="V212" s="566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122.22222222222224</v>
      </c>
      <c r="Y212" s="551">
        <f>IFERROR(Y204/H204,"0")+IFERROR(Y205/H205,"0")+IFERROR(Y206/H206,"0")+IFERROR(Y207/H207,"0")+IFERROR(Y208/H208,"0")+IFERROR(Y209/H209,"0")+IFERROR(Y210/H210,"0")+IFERROR(Y211/H211,"0")</f>
        <v>126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0.86451999999999996</v>
      </c>
      <c r="AA212" s="552"/>
      <c r="AB212" s="552"/>
      <c r="AC212" s="552"/>
    </row>
    <row r="213" spans="1:68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8"/>
      <c r="P213" s="564" t="s">
        <v>75</v>
      </c>
      <c r="Q213" s="565"/>
      <c r="R213" s="565"/>
      <c r="S213" s="565"/>
      <c r="T213" s="565"/>
      <c r="U213" s="565"/>
      <c r="V213" s="566"/>
      <c r="W213" s="37" t="s">
        <v>69</v>
      </c>
      <c r="X213" s="551">
        <f>IFERROR(SUM(X204:X211),"0")</f>
        <v>420</v>
      </c>
      <c r="Y213" s="551">
        <f>IFERROR(SUM(Y204:Y211),"0")</f>
        <v>435.60000000000014</v>
      </c>
      <c r="Z213" s="37"/>
      <c r="AA213" s="552"/>
      <c r="AB213" s="552"/>
      <c r="AC213" s="552"/>
    </row>
    <row r="214" spans="1:68" ht="14.25" hidden="1" customHeight="1" x14ac:dyDescent="0.25">
      <c r="A214" s="561" t="s">
        <v>77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  <c r="Z214" s="557"/>
      <c r="AA214" s="543"/>
      <c r="AB214" s="543"/>
      <c r="AC214" s="543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120</v>
      </c>
      <c r="Y218" s="550">
        <f t="shared" si="20"/>
        <v>120</v>
      </c>
      <c r="Z218" s="36">
        <f t="shared" ref="Z218:Z223" si="25">IFERROR(IF(Y218=0,"",ROUNDUP(Y218/H218,0)*0.00651),"")</f>
        <v>0.32550000000000001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133.5</v>
      </c>
      <c r="BN218" s="64">
        <f t="shared" si="22"/>
        <v>133.5</v>
      </c>
      <c r="BO218" s="64">
        <f t="shared" si="23"/>
        <v>0.27472527472527475</v>
      </c>
      <c r="BP218" s="64">
        <f t="shared" si="24"/>
        <v>0.27472527472527475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120</v>
      </c>
      <c r="Y220" s="550">
        <f t="shared" si="20"/>
        <v>120</v>
      </c>
      <c r="Z220" s="36">
        <f t="shared" si="25"/>
        <v>0.32550000000000001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132.60000000000002</v>
      </c>
      <c r="BN220" s="64">
        <f t="shared" si="22"/>
        <v>132.60000000000002</v>
      </c>
      <c r="BO220" s="64">
        <f t="shared" si="23"/>
        <v>0.27472527472527475</v>
      </c>
      <c r="BP220" s="64">
        <f t="shared" si="24"/>
        <v>0.27472527472527475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60</v>
      </c>
      <c r="Y222" s="550">
        <f t="shared" si="20"/>
        <v>60</v>
      </c>
      <c r="Z222" s="36">
        <f t="shared" si="25"/>
        <v>0.16275000000000001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66.300000000000011</v>
      </c>
      <c r="BN222" s="64">
        <f t="shared" si="22"/>
        <v>66.300000000000011</v>
      </c>
      <c r="BO222" s="64">
        <f t="shared" si="23"/>
        <v>0.13736263736263737</v>
      </c>
      <c r="BP222" s="64">
        <f t="shared" si="24"/>
        <v>0.13736263736263737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56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4" t="s">
        <v>75</v>
      </c>
      <c r="Q224" s="565"/>
      <c r="R224" s="565"/>
      <c r="S224" s="565"/>
      <c r="T224" s="565"/>
      <c r="U224" s="565"/>
      <c r="V224" s="566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186.49425287356323</v>
      </c>
      <c r="Y224" s="551">
        <f>IFERROR(Y215/H215,"0")+IFERROR(Y216/H216,"0")+IFERROR(Y217/H217,"0")+IFERROR(Y218/H218,"0")+IFERROR(Y219/H219,"0")+IFERROR(Y220/H220,"0")+IFERROR(Y221/H221,"0")+IFERROR(Y222/H222,"0")+IFERROR(Y223/H223,"0")</f>
        <v>187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1.3670100000000001</v>
      </c>
      <c r="AA224" s="552"/>
      <c r="AB224" s="552"/>
      <c r="AC224" s="552"/>
    </row>
    <row r="225" spans="1:68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8"/>
      <c r="P225" s="564" t="s">
        <v>75</v>
      </c>
      <c r="Q225" s="565"/>
      <c r="R225" s="565"/>
      <c r="S225" s="565"/>
      <c r="T225" s="565"/>
      <c r="U225" s="565"/>
      <c r="V225" s="566"/>
      <c r="W225" s="37" t="s">
        <v>69</v>
      </c>
      <c r="X225" s="551">
        <f>IFERROR(SUM(X215:X223),"0")</f>
        <v>520</v>
      </c>
      <c r="Y225" s="551">
        <f>IFERROR(SUM(Y215:Y223),"0")</f>
        <v>524.4</v>
      </c>
      <c r="Z225" s="37"/>
      <c r="AA225" s="552"/>
      <c r="AB225" s="552"/>
      <c r="AC225" s="552"/>
    </row>
    <row r="226" spans="1:68" ht="14.25" hidden="1" customHeight="1" x14ac:dyDescent="0.25">
      <c r="A226" s="561" t="s">
        <v>160</v>
      </c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  <c r="Z226" s="557"/>
      <c r="AA226" s="543"/>
      <c r="AB226" s="543"/>
      <c r="AC226" s="543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56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4" t="s">
        <v>75</v>
      </c>
      <c r="Q229" s="565"/>
      <c r="R229" s="565"/>
      <c r="S229" s="565"/>
      <c r="T229" s="565"/>
      <c r="U229" s="565"/>
      <c r="V229" s="566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8"/>
      <c r="P230" s="564" t="s">
        <v>75</v>
      </c>
      <c r="Q230" s="565"/>
      <c r="R230" s="565"/>
      <c r="S230" s="565"/>
      <c r="T230" s="565"/>
      <c r="U230" s="565"/>
      <c r="V230" s="566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0" t="s">
        <v>382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14.25" hidden="1" customHeight="1" x14ac:dyDescent="0.25">
      <c r="A232" s="561" t="s">
        <v>99</v>
      </c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  <c r="Z232" s="557"/>
      <c r="AA232" s="543"/>
      <c r="AB232" s="543"/>
      <c r="AC232" s="543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4" t="s">
        <v>75</v>
      </c>
      <c r="Q242" s="565"/>
      <c r="R242" s="565"/>
      <c r="S242" s="565"/>
      <c r="T242" s="565"/>
      <c r="U242" s="565"/>
      <c r="V242" s="566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64" t="s">
        <v>75</v>
      </c>
      <c r="Q243" s="565"/>
      <c r="R243" s="565"/>
      <c r="S243" s="565"/>
      <c r="T243" s="565"/>
      <c r="U243" s="565"/>
      <c r="V243" s="566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1" t="s">
        <v>135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43"/>
      <c r="AB244" s="543"/>
      <c r="AC244" s="543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56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4" t="s">
        <v>75</v>
      </c>
      <c r="Q246" s="565"/>
      <c r="R246" s="565"/>
      <c r="S246" s="565"/>
      <c r="T246" s="565"/>
      <c r="U246" s="565"/>
      <c r="V246" s="566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8"/>
      <c r="P247" s="564" t="s">
        <v>75</v>
      </c>
      <c r="Q247" s="565"/>
      <c r="R247" s="565"/>
      <c r="S247" s="565"/>
      <c r="T247" s="565"/>
      <c r="U247" s="565"/>
      <c r="V247" s="566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1" t="s">
        <v>407</v>
      </c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  <c r="Z248" s="557"/>
      <c r="AA248" s="543"/>
      <c r="AB248" s="543"/>
      <c r="AC248" s="543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4" t="s">
        <v>75</v>
      </c>
      <c r="Q250" s="565"/>
      <c r="R250" s="565"/>
      <c r="S250" s="565"/>
      <c r="T250" s="565"/>
      <c r="U250" s="565"/>
      <c r="V250" s="566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64" t="s">
        <v>75</v>
      </c>
      <c r="Q251" s="565"/>
      <c r="R251" s="565"/>
      <c r="S251" s="565"/>
      <c r="T251" s="565"/>
      <c r="U251" s="565"/>
      <c r="V251" s="566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1" t="s">
        <v>411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43"/>
      <c r="AB252" s="543"/>
      <c r="AC252" s="543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56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4" t="s">
        <v>75</v>
      </c>
      <c r="Q258" s="565"/>
      <c r="R258" s="565"/>
      <c r="S258" s="565"/>
      <c r="T258" s="565"/>
      <c r="U258" s="565"/>
      <c r="V258" s="566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64" t="s">
        <v>75</v>
      </c>
      <c r="Q259" s="565"/>
      <c r="R259" s="565"/>
      <c r="S259" s="565"/>
      <c r="T259" s="565"/>
      <c r="U259" s="565"/>
      <c r="V259" s="566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70" t="s">
        <v>423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14.25" hidden="1" customHeight="1" x14ac:dyDescent="0.25">
      <c r="A261" s="561" t="s">
        <v>99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43"/>
      <c r="AB261" s="543"/>
      <c r="AC261" s="543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4" t="s">
        <v>75</v>
      </c>
      <c r="Q267" s="565"/>
      <c r="R267" s="565"/>
      <c r="S267" s="565"/>
      <c r="T267" s="565"/>
      <c r="U267" s="565"/>
      <c r="V267" s="566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64" t="s">
        <v>75</v>
      </c>
      <c r="Q268" s="565"/>
      <c r="R268" s="565"/>
      <c r="S268" s="565"/>
      <c r="T268" s="565"/>
      <c r="U268" s="565"/>
      <c r="V268" s="566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0" t="s">
        <v>439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14.25" hidden="1" customHeight="1" x14ac:dyDescent="0.25">
      <c r="A270" s="561" t="s">
        <v>99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43"/>
      <c r="AB270" s="543"/>
      <c r="AC270" s="543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6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4" t="s">
        <v>75</v>
      </c>
      <c r="Q275" s="565"/>
      <c r="R275" s="565"/>
      <c r="S275" s="565"/>
      <c r="T275" s="565"/>
      <c r="U275" s="565"/>
      <c r="V275" s="566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64" t="s">
        <v>75</v>
      </c>
      <c r="Q276" s="565"/>
      <c r="R276" s="565"/>
      <c r="S276" s="565"/>
      <c r="T276" s="565"/>
      <c r="U276" s="565"/>
      <c r="V276" s="566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0" t="s">
        <v>450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14.25" hidden="1" customHeight="1" x14ac:dyDescent="0.25">
      <c r="A278" s="561" t="s">
        <v>77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43"/>
      <c r="AB278" s="543"/>
      <c r="AC278" s="543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80</v>
      </c>
      <c r="Y281" s="550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86</v>
      </c>
      <c r="BN281" s="64">
        <f>IFERROR(Y281*I281/H281,"0")</f>
        <v>87.72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x14ac:dyDescent="0.2">
      <c r="A282" s="556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4" t="s">
        <v>75</v>
      </c>
      <c r="Q282" s="565"/>
      <c r="R282" s="565"/>
      <c r="S282" s="565"/>
      <c r="T282" s="565"/>
      <c r="U282" s="565"/>
      <c r="V282" s="566"/>
      <c r="W282" s="37" t="s">
        <v>76</v>
      </c>
      <c r="X282" s="551">
        <f>IFERROR(X279/H279,"0")+IFERROR(X280/H280,"0")+IFERROR(X281/H281,"0")</f>
        <v>50</v>
      </c>
      <c r="Y282" s="551">
        <f>IFERROR(Y279/H279,"0")+IFERROR(Y280/H280,"0")+IFERROR(Y281/H281,"0")</f>
        <v>51</v>
      </c>
      <c r="Z282" s="551">
        <f>IFERROR(IF(Z279="",0,Z279),"0")+IFERROR(IF(Z280="",0,Z280),"0")+IFERROR(IF(Z281="",0,Z281),"0")</f>
        <v>0.33201000000000003</v>
      </c>
      <c r="AA282" s="552"/>
      <c r="AB282" s="552"/>
      <c r="AC282" s="552"/>
    </row>
    <row r="283" spans="1:68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8"/>
      <c r="P283" s="564" t="s">
        <v>75</v>
      </c>
      <c r="Q283" s="565"/>
      <c r="R283" s="565"/>
      <c r="S283" s="565"/>
      <c r="T283" s="565"/>
      <c r="U283" s="565"/>
      <c r="V283" s="566"/>
      <c r="W283" s="37" t="s">
        <v>69</v>
      </c>
      <c r="X283" s="551">
        <f>IFERROR(SUM(X279:X281),"0")</f>
        <v>120</v>
      </c>
      <c r="Y283" s="551">
        <f>IFERROR(SUM(Y279:Y281),"0")</f>
        <v>122.39999999999999</v>
      </c>
      <c r="Z283" s="37"/>
      <c r="AA283" s="552"/>
      <c r="AB283" s="552"/>
      <c r="AC283" s="552"/>
    </row>
    <row r="284" spans="1:68" ht="16.5" hidden="1" customHeight="1" x14ac:dyDescent="0.25">
      <c r="A284" s="570" t="s">
        <v>459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14.25" hidden="1" customHeight="1" x14ac:dyDescent="0.25">
      <c r="A285" s="561" t="s">
        <v>64</v>
      </c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  <c r="Z285" s="557"/>
      <c r="AA285" s="543"/>
      <c r="AB285" s="543"/>
      <c r="AC285" s="543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56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4" t="s">
        <v>75</v>
      </c>
      <c r="Q288" s="565"/>
      <c r="R288" s="565"/>
      <c r="S288" s="565"/>
      <c r="T288" s="565"/>
      <c r="U288" s="565"/>
      <c r="V288" s="566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8"/>
      <c r="P289" s="564" t="s">
        <v>75</v>
      </c>
      <c r="Q289" s="565"/>
      <c r="R289" s="565"/>
      <c r="S289" s="565"/>
      <c r="T289" s="565"/>
      <c r="U289" s="565"/>
      <c r="V289" s="566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1" t="s">
        <v>77</v>
      </c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  <c r="Z290" s="557"/>
      <c r="AA290" s="543"/>
      <c r="AB290" s="543"/>
      <c r="AC290" s="543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6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4" t="s">
        <v>75</v>
      </c>
      <c r="Q293" s="565"/>
      <c r="R293" s="565"/>
      <c r="S293" s="565"/>
      <c r="T293" s="565"/>
      <c r="U293" s="565"/>
      <c r="V293" s="566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64" t="s">
        <v>75</v>
      </c>
      <c r="Q294" s="565"/>
      <c r="R294" s="565"/>
      <c r="S294" s="565"/>
      <c r="T294" s="565"/>
      <c r="U294" s="565"/>
      <c r="V294" s="566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0" t="s">
        <v>472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14.25" hidden="1" customHeight="1" x14ac:dyDescent="0.25">
      <c r="A296" s="561" t="s">
        <v>99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43"/>
      <c r="AB296" s="543"/>
      <c r="AC296" s="543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4" t="s">
        <v>75</v>
      </c>
      <c r="Q302" s="565"/>
      <c r="R302" s="565"/>
      <c r="S302" s="565"/>
      <c r="T302" s="565"/>
      <c r="U302" s="565"/>
      <c r="V302" s="566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4" t="s">
        <v>75</v>
      </c>
      <c r="Q303" s="565"/>
      <c r="R303" s="565"/>
      <c r="S303" s="565"/>
      <c r="T303" s="565"/>
      <c r="U303" s="565"/>
      <c r="V303" s="566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1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6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4" t="s">
        <v>75</v>
      </c>
      <c r="Q311" s="565"/>
      <c r="R311" s="565"/>
      <c r="S311" s="565"/>
      <c r="T311" s="565"/>
      <c r="U311" s="565"/>
      <c r="V311" s="566"/>
      <c r="W311" s="37" t="s">
        <v>76</v>
      </c>
      <c r="X311" s="551">
        <f>IFERROR(X305/H305,"0")+IFERROR(X306/H306,"0")+IFERROR(X307/H307,"0")+IFERROR(X308/H308,"0")+IFERROR(X309/H309,"0")+IFERROR(X310/H310,"0")</f>
        <v>66.666666666666657</v>
      </c>
      <c r="Y311" s="551">
        <f>IFERROR(Y305/H305,"0")+IFERROR(Y306/H306,"0")+IFERROR(Y307/H307,"0")+IFERROR(Y308/H308,"0")+IFERROR(Y309/H309,"0")+IFERROR(Y310/H310,"0")</f>
        <v>67</v>
      </c>
      <c r="Z311" s="551">
        <f>IFERROR(IF(Z305="",0,Z305),"0")+IFERROR(IF(Z306="",0,Z306),"0")+IFERROR(IF(Z307="",0,Z307),"0")+IFERROR(IF(Z308="",0,Z308),"0")+IFERROR(IF(Z309="",0,Z309),"0")+IFERROR(IF(Z310="",0,Z310),"0")</f>
        <v>0.33634000000000003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4" t="s">
        <v>75</v>
      </c>
      <c r="Q312" s="565"/>
      <c r="R312" s="565"/>
      <c r="S312" s="565"/>
      <c r="T312" s="565"/>
      <c r="U312" s="565"/>
      <c r="V312" s="566"/>
      <c r="W312" s="37" t="s">
        <v>69</v>
      </c>
      <c r="X312" s="551">
        <f>IFERROR(SUM(X305:X310),"0")</f>
        <v>140</v>
      </c>
      <c r="Y312" s="551">
        <f>IFERROR(SUM(Y305:Y310),"0")</f>
        <v>140.70000000000002</v>
      </c>
      <c r="Z312" s="37"/>
      <c r="AA312" s="552"/>
      <c r="AB312" s="552"/>
      <c r="AC312" s="552"/>
    </row>
    <row r="313" spans="1:68" ht="14.25" hidden="1" customHeight="1" x14ac:dyDescent="0.25">
      <c r="A313" s="561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4" t="s">
        <v>75</v>
      </c>
      <c r="Q318" s="565"/>
      <c r="R318" s="565"/>
      <c r="S318" s="565"/>
      <c r="T318" s="565"/>
      <c r="U318" s="565"/>
      <c r="V318" s="566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4" t="s">
        <v>75</v>
      </c>
      <c r="Q319" s="565"/>
      <c r="R319" s="565"/>
      <c r="S319" s="565"/>
      <c r="T319" s="565"/>
      <c r="U319" s="565"/>
      <c r="V319" s="566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1" t="s">
        <v>160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150</v>
      </c>
      <c r="Y323" s="550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4" t="s">
        <v>75</v>
      </c>
      <c r="Q324" s="565"/>
      <c r="R324" s="565"/>
      <c r="S324" s="565"/>
      <c r="T324" s="565"/>
      <c r="U324" s="565"/>
      <c r="V324" s="566"/>
      <c r="W324" s="37" t="s">
        <v>76</v>
      </c>
      <c r="X324" s="551">
        <f>IFERROR(X321/H321,"0")+IFERROR(X322/H322,"0")+IFERROR(X323/H323,"0")</f>
        <v>72.710622710622715</v>
      </c>
      <c r="Y324" s="551">
        <f>IFERROR(Y321/H321,"0")+IFERROR(Y322/H322,"0")+IFERROR(Y323/H323,"0")</f>
        <v>74</v>
      </c>
      <c r="Z324" s="551">
        <f>IFERROR(IF(Z321="",0,Z321),"0")+IFERROR(IF(Z322="",0,Z322),"0")+IFERROR(IF(Z323="",0,Z323),"0")</f>
        <v>1.40452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4" t="s">
        <v>75</v>
      </c>
      <c r="Q325" s="565"/>
      <c r="R325" s="565"/>
      <c r="S325" s="565"/>
      <c r="T325" s="565"/>
      <c r="U325" s="565"/>
      <c r="V325" s="566"/>
      <c r="W325" s="37" t="s">
        <v>69</v>
      </c>
      <c r="X325" s="551">
        <f>IFERROR(SUM(X321:X323),"0")</f>
        <v>580</v>
      </c>
      <c r="Y325" s="551">
        <f>IFERROR(SUM(Y321:Y323),"0")</f>
        <v>590.4</v>
      </c>
      <c r="Z325" s="37"/>
      <c r="AA325" s="552"/>
      <c r="AB325" s="552"/>
      <c r="AC325" s="552"/>
    </row>
    <row r="326" spans="1:68" ht="14.25" hidden="1" customHeight="1" x14ac:dyDescent="0.25">
      <c r="A326" s="561" t="s">
        <v>91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8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4" t="s">
        <v>75</v>
      </c>
      <c r="Q331" s="565"/>
      <c r="R331" s="565"/>
      <c r="S331" s="565"/>
      <c r="T331" s="565"/>
      <c r="U331" s="565"/>
      <c r="V331" s="566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4" t="s">
        <v>75</v>
      </c>
      <c r="Q332" s="565"/>
      <c r="R332" s="565"/>
      <c r="S332" s="565"/>
      <c r="T332" s="565"/>
      <c r="U332" s="565"/>
      <c r="V332" s="566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1" t="s">
        <v>534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4" t="s">
        <v>75</v>
      </c>
      <c r="Q337" s="565"/>
      <c r="R337" s="565"/>
      <c r="S337" s="565"/>
      <c r="T337" s="565"/>
      <c r="U337" s="565"/>
      <c r="V337" s="566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4" t="s">
        <v>75</v>
      </c>
      <c r="Q338" s="565"/>
      <c r="R338" s="565"/>
      <c r="S338" s="565"/>
      <c r="T338" s="565"/>
      <c r="U338" s="565"/>
      <c r="V338" s="566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543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4"/>
      <c r="AB339" s="544"/>
      <c r="AC339" s="544"/>
    </row>
    <row r="340" spans="1:68" ht="14.25" hidden="1" customHeight="1" x14ac:dyDescent="0.25">
      <c r="A340" s="561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350</v>
      </c>
      <c r="Y342" s="550">
        <f>IFERROR(IF(X342="",0,CEILING((X342/$H342),1)*$H342),"")</f>
        <v>350.7</v>
      </c>
      <c r="Z342" s="36">
        <f>IFERROR(IF(Y342=0,"",ROUNDUP(Y342/H342,0)*0.00651),"")</f>
        <v>1.08717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391.99999999999994</v>
      </c>
      <c r="BN342" s="64">
        <f>IFERROR(Y342*I342/H342,"0")</f>
        <v>392.78399999999993</v>
      </c>
      <c r="BO342" s="64">
        <f>IFERROR(1/J342*(X342/H342),"0")</f>
        <v>0.91575091575091572</v>
      </c>
      <c r="BP342" s="64">
        <f>IFERROR(1/J342*(Y342/H342),"0")</f>
        <v>0.91758241758241765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350</v>
      </c>
      <c r="Y343" s="550">
        <f>IFERROR(IF(X343="",0,CEILING((X343/$H343),1)*$H343),"")</f>
        <v>350.7</v>
      </c>
      <c r="Z343" s="36">
        <f>IFERROR(IF(Y343=0,"",ROUNDUP(Y343/H343,0)*0.00651),"")</f>
        <v>1.08717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390</v>
      </c>
      <c r="BN343" s="64">
        <f>IFERROR(Y343*I343/H343,"0")</f>
        <v>390.78</v>
      </c>
      <c r="BO343" s="64">
        <f>IFERROR(1/J343*(X343/H343),"0")</f>
        <v>0.91575091575091572</v>
      </c>
      <c r="BP343" s="64">
        <f>IFERROR(1/J343*(Y343/H343),"0")</f>
        <v>0.91758241758241765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4" t="s">
        <v>75</v>
      </c>
      <c r="Q344" s="565"/>
      <c r="R344" s="565"/>
      <c r="S344" s="565"/>
      <c r="T344" s="565"/>
      <c r="U344" s="565"/>
      <c r="V344" s="566"/>
      <c r="W344" s="37" t="s">
        <v>76</v>
      </c>
      <c r="X344" s="551">
        <f>IFERROR(X341/H341,"0")+IFERROR(X342/H342,"0")+IFERROR(X343/H343,"0")</f>
        <v>333.33333333333331</v>
      </c>
      <c r="Y344" s="551">
        <f>IFERROR(Y341/H341,"0")+IFERROR(Y342/H342,"0")+IFERROR(Y343/H343,"0")</f>
        <v>334</v>
      </c>
      <c r="Z344" s="551">
        <f>IFERROR(IF(Z341="",0,Z341),"0")+IFERROR(IF(Z342="",0,Z342),"0")+IFERROR(IF(Z343="",0,Z343),"0")</f>
        <v>2.1743399999999999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4" t="s">
        <v>75</v>
      </c>
      <c r="Q345" s="565"/>
      <c r="R345" s="565"/>
      <c r="S345" s="565"/>
      <c r="T345" s="565"/>
      <c r="U345" s="565"/>
      <c r="V345" s="566"/>
      <c r="W345" s="37" t="s">
        <v>69</v>
      </c>
      <c r="X345" s="551">
        <f>IFERROR(SUM(X341:X343),"0")</f>
        <v>700</v>
      </c>
      <c r="Y345" s="551">
        <f>IFERROR(SUM(Y341:Y343),"0")</f>
        <v>701.4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70" t="s">
        <v>554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4"/>
      <c r="AB347" s="544"/>
      <c r="AC347" s="544"/>
    </row>
    <row r="348" spans="1:68" ht="14.25" hidden="1" customHeight="1" x14ac:dyDescent="0.25">
      <c r="A348" s="561" t="s">
        <v>99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1400</v>
      </c>
      <c r="Y350" s="550">
        <f t="shared" si="36"/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1443.8666666666666</v>
      </c>
      <c r="BN350" s="64">
        <f t="shared" si="38"/>
        <v>1454.18</v>
      </c>
      <c r="BO350" s="64">
        <f t="shared" si="39"/>
        <v>1.9444444444444442</v>
      </c>
      <c r="BP350" s="64">
        <f t="shared" si="40"/>
        <v>1.9583333333333333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1000</v>
      </c>
      <c r="Y351" s="550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4" t="s">
        <v>75</v>
      </c>
      <c r="Q356" s="565"/>
      <c r="R356" s="565"/>
      <c r="S356" s="565"/>
      <c r="T356" s="565"/>
      <c r="U356" s="565"/>
      <c r="V356" s="566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226.66666666666669</v>
      </c>
      <c r="Y356" s="551">
        <f>IFERROR(Y349/H349,"0")+IFERROR(Y350/H350,"0")+IFERROR(Y351/H351,"0")+IFERROR(Y352/H352,"0")+IFERROR(Y353/H353,"0")+IFERROR(Y354/H354,"0")+IFERROR(Y355/H355,"0")</f>
        <v>228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4.9589999999999996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4" t="s">
        <v>75</v>
      </c>
      <c r="Q357" s="565"/>
      <c r="R357" s="565"/>
      <c r="S357" s="565"/>
      <c r="T357" s="565"/>
      <c r="U357" s="565"/>
      <c r="V357" s="566"/>
      <c r="W357" s="37" t="s">
        <v>69</v>
      </c>
      <c r="X357" s="551">
        <f>IFERROR(SUM(X349:X355),"0")</f>
        <v>3400</v>
      </c>
      <c r="Y357" s="551">
        <f>IFERROR(SUM(Y349:Y355),"0")</f>
        <v>3420</v>
      </c>
      <c r="Z357" s="37"/>
      <c r="AA357" s="552"/>
      <c r="AB357" s="552"/>
      <c r="AC357" s="552"/>
    </row>
    <row r="358" spans="1:68" ht="14.25" hidden="1" customHeight="1" x14ac:dyDescent="0.25">
      <c r="A358" s="561" t="s">
        <v>135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4" t="s">
        <v>75</v>
      </c>
      <c r="Q361" s="565"/>
      <c r="R361" s="565"/>
      <c r="S361" s="565"/>
      <c r="T361" s="565"/>
      <c r="U361" s="565"/>
      <c r="V361" s="566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4" t="s">
        <v>75</v>
      </c>
      <c r="Q362" s="565"/>
      <c r="R362" s="565"/>
      <c r="S362" s="565"/>
      <c r="T362" s="565"/>
      <c r="U362" s="565"/>
      <c r="V362" s="566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hidden="1" customHeight="1" x14ac:dyDescent="0.25">
      <c r="A363" s="561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4" t="s">
        <v>75</v>
      </c>
      <c r="Q366" s="565"/>
      <c r="R366" s="565"/>
      <c r="S366" s="565"/>
      <c r="T366" s="565"/>
      <c r="U366" s="565"/>
      <c r="V366" s="566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4" t="s">
        <v>75</v>
      </c>
      <c r="Q367" s="565"/>
      <c r="R367" s="565"/>
      <c r="S367" s="565"/>
      <c r="T367" s="565"/>
      <c r="U367" s="565"/>
      <c r="V367" s="566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1" t="s">
        <v>160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4" t="s">
        <v>75</v>
      </c>
      <c r="Q370" s="565"/>
      <c r="R370" s="565"/>
      <c r="S370" s="565"/>
      <c r="T370" s="565"/>
      <c r="U370" s="565"/>
      <c r="V370" s="566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4" t="s">
        <v>75</v>
      </c>
      <c r="Q371" s="565"/>
      <c r="R371" s="565"/>
      <c r="S371" s="565"/>
      <c r="T371" s="565"/>
      <c r="U371" s="565"/>
      <c r="V371" s="566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0" t="s">
        <v>589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4"/>
      <c r="AB372" s="544"/>
      <c r="AC372" s="544"/>
    </row>
    <row r="373" spans="1:68" ht="14.25" hidden="1" customHeight="1" x14ac:dyDescent="0.25">
      <c r="A373" s="561" t="s">
        <v>99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4" t="s">
        <v>75</v>
      </c>
      <c r="Q376" s="565"/>
      <c r="R376" s="565"/>
      <c r="S376" s="565"/>
      <c r="T376" s="565"/>
      <c r="U376" s="565"/>
      <c r="V376" s="566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4" t="s">
        <v>75</v>
      </c>
      <c r="Q377" s="565"/>
      <c r="R377" s="565"/>
      <c r="S377" s="565"/>
      <c r="T377" s="565"/>
      <c r="U377" s="565"/>
      <c r="V377" s="566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1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4" t="s">
        <v>75</v>
      </c>
      <c r="Q381" s="565"/>
      <c r="R381" s="565"/>
      <c r="S381" s="565"/>
      <c r="T381" s="565"/>
      <c r="U381" s="565"/>
      <c r="V381" s="566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4" t="s">
        <v>75</v>
      </c>
      <c r="Q382" s="565"/>
      <c r="R382" s="565"/>
      <c r="S382" s="565"/>
      <c r="T382" s="565"/>
      <c r="U382" s="565"/>
      <c r="V382" s="566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1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4" t="s">
        <v>75</v>
      </c>
      <c r="Q387" s="565"/>
      <c r="R387" s="565"/>
      <c r="S387" s="565"/>
      <c r="T387" s="565"/>
      <c r="U387" s="565"/>
      <c r="V387" s="566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4" t="s">
        <v>75</v>
      </c>
      <c r="Q388" s="565"/>
      <c r="R388" s="565"/>
      <c r="S388" s="565"/>
      <c r="T388" s="565"/>
      <c r="U388" s="565"/>
      <c r="V388" s="566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70" t="s">
        <v>608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4"/>
      <c r="AB390" s="544"/>
      <c r="AC390" s="544"/>
    </row>
    <row r="391" spans="1:68" ht="14.25" hidden="1" customHeight="1" x14ac:dyDescent="0.25">
      <c r="A391" s="561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17.5</v>
      </c>
      <c r="Y396" s="550">
        <f t="shared" si="41"/>
        <v>18.900000000000002</v>
      </c>
      <c r="Z396" s="36">
        <f t="shared" si="46"/>
        <v>4.5179999999999998E-2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18.583333333333332</v>
      </c>
      <c r="BN396" s="64">
        <f t="shared" si="43"/>
        <v>20.07</v>
      </c>
      <c r="BO396" s="64">
        <f t="shared" si="44"/>
        <v>3.5612535612535613E-2</v>
      </c>
      <c r="BP396" s="64">
        <f t="shared" si="45"/>
        <v>3.8461538461538464E-2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4" t="s">
        <v>75</v>
      </c>
      <c r="Q401" s="565"/>
      <c r="R401" s="565"/>
      <c r="S401" s="565"/>
      <c r="T401" s="565"/>
      <c r="U401" s="565"/>
      <c r="V401" s="566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8.3333333333333321</v>
      </c>
      <c r="Y401" s="551">
        <f>IFERROR(Y392/H392,"0")+IFERROR(Y393/H393,"0")+IFERROR(Y394/H394,"0")+IFERROR(Y395/H395,"0")+IFERROR(Y396/H396,"0")+IFERROR(Y397/H397,"0")+IFERROR(Y398/H398,"0")+IFERROR(Y399/H399,"0")+IFERROR(Y400/H400,"0")</f>
        <v>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4.5179999999999998E-2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4" t="s">
        <v>75</v>
      </c>
      <c r="Q402" s="565"/>
      <c r="R402" s="565"/>
      <c r="S402" s="565"/>
      <c r="T402" s="565"/>
      <c r="U402" s="565"/>
      <c r="V402" s="566"/>
      <c r="W402" s="37" t="s">
        <v>69</v>
      </c>
      <c r="X402" s="551">
        <f>IFERROR(SUM(X392:X400),"0")</f>
        <v>17.5</v>
      </c>
      <c r="Y402" s="551">
        <f>IFERROR(SUM(Y392:Y400),"0")</f>
        <v>18.900000000000002</v>
      </c>
      <c r="Z402" s="37"/>
      <c r="AA402" s="552"/>
      <c r="AB402" s="552"/>
      <c r="AC402" s="552"/>
    </row>
    <row r="403" spans="1:68" ht="14.25" hidden="1" customHeight="1" x14ac:dyDescent="0.25">
      <c r="A403" s="561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4" t="s">
        <v>75</v>
      </c>
      <c r="Q406" s="565"/>
      <c r="R406" s="565"/>
      <c r="S406" s="565"/>
      <c r="T406" s="565"/>
      <c r="U406" s="565"/>
      <c r="V406" s="566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4" t="s">
        <v>75</v>
      </c>
      <c r="Q407" s="565"/>
      <c r="R407" s="565"/>
      <c r="S407" s="565"/>
      <c r="T407" s="565"/>
      <c r="U407" s="565"/>
      <c r="V407" s="566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639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4"/>
      <c r="AB408" s="544"/>
      <c r="AC408" s="544"/>
    </row>
    <row r="409" spans="1:68" ht="14.25" hidden="1" customHeight="1" x14ac:dyDescent="0.25">
      <c r="A409" s="561" t="s">
        <v>135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4" t="s">
        <v>75</v>
      </c>
      <c r="Q411" s="565"/>
      <c r="R411" s="565"/>
      <c r="S411" s="565"/>
      <c r="T411" s="565"/>
      <c r="U411" s="565"/>
      <c r="V411" s="566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4" t="s">
        <v>75</v>
      </c>
      <c r="Q412" s="565"/>
      <c r="R412" s="565"/>
      <c r="S412" s="565"/>
      <c r="T412" s="565"/>
      <c r="U412" s="565"/>
      <c r="V412" s="566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1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4" t="s">
        <v>75</v>
      </c>
      <c r="Q418" s="565"/>
      <c r="R418" s="565"/>
      <c r="S418" s="565"/>
      <c r="T418" s="565"/>
      <c r="U418" s="565"/>
      <c r="V418" s="566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4" t="s">
        <v>75</v>
      </c>
      <c r="Q419" s="565"/>
      <c r="R419" s="565"/>
      <c r="S419" s="565"/>
      <c r="T419" s="565"/>
      <c r="U419" s="565"/>
      <c r="V419" s="566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0" t="s">
        <v>654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4"/>
      <c r="AB420" s="544"/>
      <c r="AC420" s="544"/>
    </row>
    <row r="421" spans="1:68" ht="14.25" hidden="1" customHeight="1" x14ac:dyDescent="0.25">
      <c r="A421" s="561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4" t="s">
        <v>75</v>
      </c>
      <c r="Q423" s="565"/>
      <c r="R423" s="565"/>
      <c r="S423" s="565"/>
      <c r="T423" s="565"/>
      <c r="U423" s="565"/>
      <c r="V423" s="566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4" t="s">
        <v>75</v>
      </c>
      <c r="Q424" s="565"/>
      <c r="R424" s="565"/>
      <c r="S424" s="565"/>
      <c r="T424" s="565"/>
      <c r="U424" s="565"/>
      <c r="V424" s="566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70" t="s">
        <v>658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4"/>
      <c r="AB426" s="544"/>
      <c r="AC426" s="544"/>
    </row>
    <row r="427" spans="1:68" ht="14.25" hidden="1" customHeight="1" x14ac:dyDescent="0.25">
      <c r="A427" s="561" t="s">
        <v>99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5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70</v>
      </c>
      <c r="Y428" s="550">
        <f t="shared" ref="Y428:Y439" si="47">IFERROR(IF(X428="",0,CEILING((X428/$H428),1)*$H428),"")</f>
        <v>73.92</v>
      </c>
      <c r="Z428" s="36">
        <f t="shared" ref="Z428:Z434" si="48">IFERROR(IF(Y428=0,"",ROUNDUP(Y428/H428,0)*0.01196),"")</f>
        <v>0.16744000000000001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74.640151515151501</v>
      </c>
      <c r="BN428" s="64">
        <f t="shared" ref="BN428:BN439" si="50">IFERROR(Y428*I428/H428,"0")</f>
        <v>78.819999999999993</v>
      </c>
      <c r="BO428" s="64">
        <f t="shared" ref="BO428:BO439" si="51">IFERROR(1/J428*(X428/H428),"0")</f>
        <v>0.12747668997668998</v>
      </c>
      <c r="BP428" s="64">
        <f t="shared" ref="BP428:BP439" si="52">IFERROR(1/J428*(Y428/H428),"0")</f>
        <v>0.13461538461538464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200</v>
      </c>
      <c r="Y432" s="550">
        <f t="shared" si="47"/>
        <v>200.64000000000001</v>
      </c>
      <c r="Z432" s="36">
        <f t="shared" si="48"/>
        <v>0.45448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0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47"/>
        <v>200.64000000000001</v>
      </c>
      <c r="Z434" s="36">
        <f t="shared" si="48"/>
        <v>0.45448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213.25757575757575</v>
      </c>
      <c r="BN434" s="64">
        <f t="shared" si="50"/>
        <v>213.94</v>
      </c>
      <c r="BO434" s="64">
        <f t="shared" si="51"/>
        <v>0.36421911421911418</v>
      </c>
      <c r="BP434" s="64">
        <f t="shared" si="52"/>
        <v>0.36538461538461542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90</v>
      </c>
      <c r="Y436" s="550">
        <f t="shared" si="47"/>
        <v>91.2</v>
      </c>
      <c r="Z436" s="36">
        <f>IFERROR(IF(Y436=0,"",ROUNDUP(Y436/H436,0)*0.00902),"")</f>
        <v>0.17138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129.5625</v>
      </c>
      <c r="BN436" s="64">
        <f t="shared" si="50"/>
        <v>131.29000000000002</v>
      </c>
      <c r="BO436" s="64">
        <f t="shared" si="51"/>
        <v>0.14204545454545456</v>
      </c>
      <c r="BP436" s="64">
        <f t="shared" si="52"/>
        <v>0.14393939393939395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60</v>
      </c>
      <c r="Y439" s="550">
        <f t="shared" si="47"/>
        <v>62.4</v>
      </c>
      <c r="Z439" s="36">
        <f>IFERROR(IF(Y439=0,"",ROUNDUP(Y439/H439,0)*0.00902),"")</f>
        <v>0.11726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86.375000000000014</v>
      </c>
      <c r="BN439" s="64">
        <f t="shared" si="50"/>
        <v>89.830000000000013</v>
      </c>
      <c r="BO439" s="64">
        <f t="shared" si="51"/>
        <v>9.4696969696969696E-2</v>
      </c>
      <c r="BP439" s="64">
        <f t="shared" si="52"/>
        <v>9.8484848484848481E-2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4" t="s">
        <v>75</v>
      </c>
      <c r="Q440" s="565"/>
      <c r="R440" s="565"/>
      <c r="S440" s="565"/>
      <c r="T440" s="565"/>
      <c r="U440" s="565"/>
      <c r="V440" s="566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120.2651515151515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1.36504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4" t="s">
        <v>75</v>
      </c>
      <c r="Q441" s="565"/>
      <c r="R441" s="565"/>
      <c r="S441" s="565"/>
      <c r="T441" s="565"/>
      <c r="U441" s="565"/>
      <c r="V441" s="566"/>
      <c r="W441" s="37" t="s">
        <v>69</v>
      </c>
      <c r="X441" s="551">
        <f>IFERROR(SUM(X428:X439),"0")</f>
        <v>620</v>
      </c>
      <c r="Y441" s="551">
        <f>IFERROR(SUM(Y428:Y439),"0")</f>
        <v>628.80000000000007</v>
      </c>
      <c r="Z441" s="37"/>
      <c r="AA441" s="552"/>
      <c r="AB441" s="552"/>
      <c r="AC441" s="552"/>
    </row>
    <row r="442" spans="1:68" ht="14.25" hidden="1" customHeight="1" x14ac:dyDescent="0.25">
      <c r="A442" s="561" t="s">
        <v>135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4" t="s">
        <v>75</v>
      </c>
      <c r="Q446" s="565"/>
      <c r="R446" s="565"/>
      <c r="S446" s="565"/>
      <c r="T446" s="565"/>
      <c r="U446" s="565"/>
      <c r="V446" s="566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4" t="s">
        <v>75</v>
      </c>
      <c r="Q447" s="565"/>
      <c r="R447" s="565"/>
      <c r="S447" s="565"/>
      <c r="T447" s="565"/>
      <c r="U447" s="565"/>
      <c r="V447" s="566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hidden="1" customHeight="1" x14ac:dyDescent="0.25">
      <c r="A448" s="561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5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100</v>
      </c>
      <c r="Y449" s="550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50</v>
      </c>
      <c r="Y450" s="550">
        <f t="shared" si="53"/>
        <v>52.800000000000004</v>
      </c>
      <c r="Z450" s="36">
        <f>IFERROR(IF(Y450=0,"",ROUNDUP(Y450/H450,0)*0.01196),"")</f>
        <v>0.1196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53.314393939393938</v>
      </c>
      <c r="BN450" s="64">
        <f t="shared" si="55"/>
        <v>56.3</v>
      </c>
      <c r="BO450" s="64">
        <f t="shared" si="56"/>
        <v>9.1054778554778545E-2</v>
      </c>
      <c r="BP450" s="64">
        <f t="shared" si="57"/>
        <v>9.6153846153846159E-2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48</v>
      </c>
      <c r="Y454" s="550">
        <f t="shared" si="53"/>
        <v>48</v>
      </c>
      <c r="Z454" s="36">
        <f>IFERROR(IF(Y454=0,"",ROUNDUP(Y454/H454,0)*0.00902),"")</f>
        <v>9.0200000000000002E-2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66.7</v>
      </c>
      <c r="BN454" s="64">
        <f t="shared" si="55"/>
        <v>66.7</v>
      </c>
      <c r="BO454" s="64">
        <f t="shared" si="56"/>
        <v>7.575757575757576E-2</v>
      </c>
      <c r="BP454" s="64">
        <f t="shared" si="57"/>
        <v>7.575757575757576E-2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4" t="s">
        <v>75</v>
      </c>
      <c r="Q455" s="565"/>
      <c r="R455" s="565"/>
      <c r="S455" s="565"/>
      <c r="T455" s="565"/>
      <c r="U455" s="565"/>
      <c r="V455" s="566"/>
      <c r="W455" s="37" t="s">
        <v>76</v>
      </c>
      <c r="X455" s="551">
        <f>IFERROR(X449/H449,"0")+IFERROR(X450/H450,"0")+IFERROR(X451/H451,"0")+IFERROR(X452/H452,"0")+IFERROR(X453/H453,"0")+IFERROR(X454/H454,"0")</f>
        <v>38.409090909090907</v>
      </c>
      <c r="Y455" s="551">
        <f>IFERROR(Y449/H449,"0")+IFERROR(Y450/H450,"0")+IFERROR(Y451/H451,"0")+IFERROR(Y452/H452,"0")+IFERROR(Y453/H453,"0")+IFERROR(Y454/H454,"0")</f>
        <v>39</v>
      </c>
      <c r="Z455" s="551">
        <f>IFERROR(IF(Z449="",0,Z449),"0")+IFERROR(IF(Z450="",0,Z450),"0")+IFERROR(IF(Z451="",0,Z451),"0")+IFERROR(IF(Z452="",0,Z452),"0")+IFERROR(IF(Z453="",0,Z453),"0")+IFERROR(IF(Z454="",0,Z454),"0")</f>
        <v>0.43703999999999998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4" t="s">
        <v>75</v>
      </c>
      <c r="Q456" s="565"/>
      <c r="R456" s="565"/>
      <c r="S456" s="565"/>
      <c r="T456" s="565"/>
      <c r="U456" s="565"/>
      <c r="V456" s="566"/>
      <c r="W456" s="37" t="s">
        <v>69</v>
      </c>
      <c r="X456" s="551">
        <f>IFERROR(SUM(X449:X454),"0")</f>
        <v>198</v>
      </c>
      <c r="Y456" s="551">
        <f>IFERROR(SUM(Y449:Y454),"0")</f>
        <v>201.12</v>
      </c>
      <c r="Z456" s="37"/>
      <c r="AA456" s="552"/>
      <c r="AB456" s="552"/>
      <c r="AC456" s="552"/>
    </row>
    <row r="457" spans="1:68" ht="14.25" hidden="1" customHeight="1" x14ac:dyDescent="0.25">
      <c r="A457" s="561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3"/>
      <c r="AB457" s="543"/>
      <c r="AC457" s="543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4" t="s">
        <v>75</v>
      </c>
      <c r="Q459" s="565"/>
      <c r="R459" s="565"/>
      <c r="S459" s="565"/>
      <c r="T459" s="565"/>
      <c r="U459" s="565"/>
      <c r="V459" s="566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4" t="s">
        <v>75</v>
      </c>
      <c r="Q460" s="565"/>
      <c r="R460" s="565"/>
      <c r="S460" s="565"/>
      <c r="T460" s="565"/>
      <c r="U460" s="565"/>
      <c r="V460" s="566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70" t="s">
        <v>713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4"/>
      <c r="AB462" s="544"/>
      <c r="AC462" s="544"/>
    </row>
    <row r="463" spans="1:68" ht="14.25" hidden="1" customHeight="1" x14ac:dyDescent="0.25">
      <c r="A463" s="561" t="s">
        <v>99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3"/>
      <c r="AB463" s="543"/>
      <c r="AC463" s="543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4" t="s">
        <v>75</v>
      </c>
      <c r="Q468" s="565"/>
      <c r="R468" s="565"/>
      <c r="S468" s="565"/>
      <c r="T468" s="565"/>
      <c r="U468" s="565"/>
      <c r="V468" s="566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4" t="s">
        <v>75</v>
      </c>
      <c r="Q469" s="565"/>
      <c r="R469" s="565"/>
      <c r="S469" s="565"/>
      <c r="T469" s="565"/>
      <c r="U469" s="565"/>
      <c r="V469" s="566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1" t="s">
        <v>135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3"/>
      <c r="AB470" s="543"/>
      <c r="AC470" s="543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4" t="s">
        <v>75</v>
      </c>
      <c r="Q473" s="565"/>
      <c r="R473" s="565"/>
      <c r="S473" s="565"/>
      <c r="T473" s="565"/>
      <c r="U473" s="565"/>
      <c r="V473" s="566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4" t="s">
        <v>75</v>
      </c>
      <c r="Q474" s="565"/>
      <c r="R474" s="565"/>
      <c r="S474" s="565"/>
      <c r="T474" s="565"/>
      <c r="U474" s="565"/>
      <c r="V474" s="566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1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9">
        <v>4640242180595</v>
      </c>
      <c r="E476" s="560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4" t="s">
        <v>75</v>
      </c>
      <c r="Q477" s="565"/>
      <c r="R477" s="565"/>
      <c r="S477" s="565"/>
      <c r="T477" s="565"/>
      <c r="U477" s="565"/>
      <c r="V477" s="566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4" t="s">
        <v>75</v>
      </c>
      <c r="Q478" s="565"/>
      <c r="R478" s="565"/>
      <c r="S478" s="565"/>
      <c r="T478" s="565"/>
      <c r="U478" s="565"/>
      <c r="V478" s="566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1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4" t="s">
        <v>75</v>
      </c>
      <c r="Q481" s="565"/>
      <c r="R481" s="565"/>
      <c r="S481" s="565"/>
      <c r="T481" s="565"/>
      <c r="U481" s="565"/>
      <c r="V481" s="566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4" t="s">
        <v>75</v>
      </c>
      <c r="Q482" s="565"/>
      <c r="R482" s="565"/>
      <c r="S482" s="565"/>
      <c r="T482" s="565"/>
      <c r="U482" s="565"/>
      <c r="V482" s="566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hidden="1" customHeight="1" x14ac:dyDescent="0.25">
      <c r="A483" s="561" t="s">
        <v>160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3"/>
      <c r="AB483" s="543"/>
      <c r="AC483" s="543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7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4" t="s">
        <v>75</v>
      </c>
      <c r="Q486" s="565"/>
      <c r="R486" s="565"/>
      <c r="S486" s="565"/>
      <c r="T486" s="565"/>
      <c r="U486" s="565"/>
      <c r="V486" s="566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4" t="s">
        <v>75</v>
      </c>
      <c r="Q487" s="565"/>
      <c r="R487" s="565"/>
      <c r="S487" s="565"/>
      <c r="T487" s="565"/>
      <c r="U487" s="565"/>
      <c r="V487" s="566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743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4"/>
      <c r="AB488" s="544"/>
      <c r="AC488" s="544"/>
    </row>
    <row r="489" spans="1:68" ht="14.25" hidden="1" customHeight="1" x14ac:dyDescent="0.25">
      <c r="A489" s="561" t="s">
        <v>135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3"/>
      <c r="AB489" s="543"/>
      <c r="AC489" s="543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4" t="s">
        <v>75</v>
      </c>
      <c r="Q491" s="565"/>
      <c r="R491" s="565"/>
      <c r="S491" s="565"/>
      <c r="T491" s="565"/>
      <c r="U491" s="565"/>
      <c r="V491" s="566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4" t="s">
        <v>75</v>
      </c>
      <c r="Q492" s="565"/>
      <c r="R492" s="565"/>
      <c r="S492" s="565"/>
      <c r="T492" s="565"/>
      <c r="U492" s="565"/>
      <c r="V492" s="566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4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0"/>
      <c r="P493" s="714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11091.5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11200.539999999999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0"/>
      <c r="P494" s="714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11768.37101605823</v>
      </c>
      <c r="Y494" s="551">
        <f>IFERROR(SUM(BN22:BN490),"0")</f>
        <v>11884.472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0"/>
      <c r="P495" s="714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20</v>
      </c>
      <c r="Y495" s="38">
        <f>ROUNDUP(SUM(BP22:BP490),0)</f>
        <v>20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0"/>
      <c r="P496" s="714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12268.37101605823</v>
      </c>
      <c r="Y496" s="551">
        <f>GrossWeightTotalR+PalletQtyTotalR*25</f>
        <v>12384.472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0"/>
      <c r="P497" s="714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2065.0480293440069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2084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20"/>
      <c r="P498" s="714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22.274169999999994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90" t="s">
        <v>97</v>
      </c>
      <c r="D500" s="734"/>
      <c r="E500" s="734"/>
      <c r="F500" s="734"/>
      <c r="G500" s="734"/>
      <c r="H500" s="735"/>
      <c r="I500" s="590" t="s">
        <v>266</v>
      </c>
      <c r="J500" s="734"/>
      <c r="K500" s="734"/>
      <c r="L500" s="734"/>
      <c r="M500" s="734"/>
      <c r="N500" s="734"/>
      <c r="O500" s="734"/>
      <c r="P500" s="734"/>
      <c r="Q500" s="734"/>
      <c r="R500" s="735"/>
      <c r="S500" s="590" t="s">
        <v>553</v>
      </c>
      <c r="T500" s="735"/>
      <c r="U500" s="590" t="s">
        <v>607</v>
      </c>
      <c r="V500" s="734"/>
      <c r="W500" s="735"/>
      <c r="X500" s="541" t="s">
        <v>658</v>
      </c>
      <c r="Y500" s="590" t="s">
        <v>713</v>
      </c>
      <c r="Z500" s="735"/>
      <c r="AB500" s="52"/>
      <c r="AC500" s="52"/>
      <c r="AF500" s="542"/>
    </row>
    <row r="501" spans="1:32" ht="14.25" customHeight="1" thickTop="1" x14ac:dyDescent="0.2">
      <c r="A501" s="754" t="s">
        <v>756</v>
      </c>
      <c r="B501" s="590" t="s">
        <v>63</v>
      </c>
      <c r="C501" s="590" t="s">
        <v>98</v>
      </c>
      <c r="D501" s="590" t="s">
        <v>116</v>
      </c>
      <c r="E501" s="590" t="s">
        <v>167</v>
      </c>
      <c r="F501" s="590" t="s">
        <v>189</v>
      </c>
      <c r="G501" s="590" t="s">
        <v>227</v>
      </c>
      <c r="H501" s="590" t="s">
        <v>97</v>
      </c>
      <c r="I501" s="590" t="s">
        <v>267</v>
      </c>
      <c r="J501" s="590" t="s">
        <v>322</v>
      </c>
      <c r="K501" s="590" t="s">
        <v>382</v>
      </c>
      <c r="L501" s="590" t="s">
        <v>423</v>
      </c>
      <c r="M501" s="590" t="s">
        <v>439</v>
      </c>
      <c r="N501" s="542"/>
      <c r="O501" s="590" t="s">
        <v>450</v>
      </c>
      <c r="P501" s="590" t="s">
        <v>459</v>
      </c>
      <c r="Q501" s="590" t="s">
        <v>472</v>
      </c>
      <c r="R501" s="590" t="s">
        <v>543</v>
      </c>
      <c r="S501" s="590" t="s">
        <v>554</v>
      </c>
      <c r="T501" s="590" t="s">
        <v>589</v>
      </c>
      <c r="U501" s="590" t="s">
        <v>608</v>
      </c>
      <c r="V501" s="590" t="s">
        <v>639</v>
      </c>
      <c r="W501" s="590" t="s">
        <v>654</v>
      </c>
      <c r="X501" s="590" t="s">
        <v>658</v>
      </c>
      <c r="Y501" s="590" t="s">
        <v>713</v>
      </c>
      <c r="Z501" s="590" t="s">
        <v>743</v>
      </c>
      <c r="AB501" s="52"/>
      <c r="AC501" s="52"/>
      <c r="AF501" s="542"/>
    </row>
    <row r="502" spans="1:32" ht="13.5" customHeight="1" thickBot="1" x14ac:dyDescent="0.25">
      <c r="A502" s="755"/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42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  <c r="Z502" s="591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160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424.8</v>
      </c>
      <c r="E503" s="46">
        <f>IFERROR(Y84*1,"0")+IFERROR(Y85*1,"0")+IFERROR(Y86*1,"0")+IFERROR(Y87*1,"0")+IFERROR(Y91*1,"0")+IFERROR(Y92*1,"0")+IFERROR(Y93*1,"0")+IFERROR(Y94*1,"0")</f>
        <v>559.79999999999995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769.86</v>
      </c>
      <c r="G503" s="46">
        <f>IFERROR(Y126*1,"0")+IFERROR(Y127*1,"0")+IFERROR(Y131*1,"0")+IFERROR(Y132*1,"0")+IFERROR(Y136*1,"0")+IFERROR(Y137*1,"0")</f>
        <v>112.32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176.4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960.00000000000011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122.39999999999999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731.1</v>
      </c>
      <c r="R503" s="46">
        <f>IFERROR(Y341*1,"0")+IFERROR(Y342*1,"0")+IFERROR(Y343*1,"0")</f>
        <v>701.4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4425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18.900000000000002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1030.56</v>
      </c>
      <c r="Y503" s="46">
        <f>IFERROR(Y464*1,"0")+IFERROR(Y465*1,"0")+IFERROR(Y466*1,"0")+IFERROR(Y467*1,"0")+IFERROR(Y471*1,"0")+IFERROR(Y472*1,"0")+IFERROR(Y476*1,"0")+IFERROR(Y480*1,"0")+IFERROR(Y484*1,"0")+IFERROR(Y485*1,"0")</f>
        <v>1008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00,00"/>
        <filter val="100,00"/>
        <filter val="105,00"/>
        <filter val="11 091,50"/>
        <filter val="11 768,37"/>
        <filter val="111,11"/>
        <filter val="12 268,37"/>
        <filter val="12,50"/>
        <filter val="120,00"/>
        <filter val="120,27"/>
        <filter val="122,22"/>
        <filter val="140,00"/>
        <filter val="150,00"/>
        <filter val="16,67"/>
        <filter val="160,00"/>
        <filter val="17,50"/>
        <filter val="175,00"/>
        <filter val="179,01"/>
        <filter val="180,00"/>
        <filter val="186,49"/>
        <filter val="190,00"/>
        <filter val="198,00"/>
        <filter val="2 065,05"/>
        <filter val="20"/>
        <filter val="200,00"/>
        <filter val="225,00"/>
        <filter val="226,67"/>
        <filter val="3 400,00"/>
        <filter val="30,00"/>
        <filter val="33,00"/>
        <filter val="330,00"/>
        <filter val="333,33"/>
        <filter val="35,00"/>
        <filter val="350,00"/>
        <filter val="37,88"/>
        <filter val="38,41"/>
        <filter val="40,00"/>
        <filter val="400,00"/>
        <filter val="42,59"/>
        <filter val="420,00"/>
        <filter val="450,00"/>
        <filter val="48,00"/>
        <filter val="50,00"/>
        <filter val="520,00"/>
        <filter val="550,00"/>
        <filter val="580,00"/>
        <filter val="60,00"/>
        <filter val="620,00"/>
        <filter val="66,67"/>
        <filter val="70,00"/>
        <filter val="700,00"/>
        <filter val="72,71"/>
        <filter val="8,33"/>
        <filter val="80,00"/>
        <filter val="83,33"/>
        <filter val="85,19"/>
        <filter val="90,00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M17:M18"/>
    <mergeCell ref="A409:Z409"/>
    <mergeCell ref="O17:O18"/>
    <mergeCell ref="P336:T336"/>
    <mergeCell ref="P187:V187"/>
    <mergeCell ref="P258:V258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A31:O32"/>
    <mergeCell ref="P34:T34"/>
    <mergeCell ref="D86:E86"/>
    <mergeCell ref="D257:E257"/>
    <mergeCell ref="P341:T341"/>
    <mergeCell ref="D72:E72"/>
    <mergeCell ref="A326:Z326"/>
    <mergeCell ref="A120:Z120"/>
    <mergeCell ref="D235:E235"/>
    <mergeCell ref="P276:V276"/>
    <mergeCell ref="P330:T330"/>
    <mergeCell ref="P131:T131"/>
    <mergeCell ref="P79:T79"/>
    <mergeCell ref="D60:E60"/>
    <mergeCell ref="P73:T73"/>
    <mergeCell ref="P315:T315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D438:E438"/>
    <mergeCell ref="A340:Z340"/>
    <mergeCell ref="D359:E359"/>
    <mergeCell ref="P414:T414"/>
    <mergeCell ref="P352:T352"/>
    <mergeCell ref="P289:V289"/>
    <mergeCell ref="P68:V68"/>
    <mergeCell ref="D249:E249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A246:O247"/>
    <mergeCell ref="P287:T287"/>
    <mergeCell ref="P281:T281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D384:E384"/>
    <mergeCell ref="D151:E151"/>
    <mergeCell ref="A387:O388"/>
    <mergeCell ref="P262:T262"/>
    <mergeCell ref="D170:E170"/>
    <mergeCell ref="D341:E341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D309:E309"/>
    <mergeCell ref="P416:T416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267:V267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P395:T395"/>
    <mergeCell ref="Q9:R9"/>
    <mergeCell ref="A6:C6"/>
    <mergeCell ref="P167:T167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  <mergeCell ref="D445:E445"/>
    <mergeCell ref="P116:T116"/>
    <mergeCell ref="A423:O424"/>
    <mergeCell ref="P464:T4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