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D862BE-E4DD-4AEA-8FF8-30C13D8BF1E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N479" i="1"/>
  <c r="BM479" i="1"/>
  <c r="Z479" i="1"/>
  <c r="Y479" i="1"/>
  <c r="Y481" i="1" s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9" i="1" s="1"/>
  <c r="P466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BP460" i="1" s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BP432" i="1" s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6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BP353" i="1" s="1"/>
  <c r="P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P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P334" i="1" s="1"/>
  <c r="P334" i="1"/>
  <c r="BP333" i="1"/>
  <c r="BO333" i="1"/>
  <c r="BN333" i="1"/>
  <c r="BM333" i="1"/>
  <c r="Z333" i="1"/>
  <c r="Y333" i="1"/>
  <c r="P333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Y323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BP314" i="1" s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2" i="1"/>
  <c r="X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BP286" i="1" s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99" i="1" l="1"/>
  <c r="BN99" i="1"/>
  <c r="Z99" i="1"/>
  <c r="BP132" i="1"/>
  <c r="BN132" i="1"/>
  <c r="Z132" i="1"/>
  <c r="BP169" i="1"/>
  <c r="BN169" i="1"/>
  <c r="Z169" i="1"/>
  <c r="BP204" i="1"/>
  <c r="BN204" i="1"/>
  <c r="Z204" i="1"/>
  <c r="BP222" i="1"/>
  <c r="BN222" i="1"/>
  <c r="Z222" i="1"/>
  <c r="BP256" i="1"/>
  <c r="BN256" i="1"/>
  <c r="Z256" i="1"/>
  <c r="BP297" i="1"/>
  <c r="BN297" i="1"/>
  <c r="Z297" i="1"/>
  <c r="BP327" i="1"/>
  <c r="BN327" i="1"/>
  <c r="Z327" i="1"/>
  <c r="BP352" i="1"/>
  <c r="BN352" i="1"/>
  <c r="Z352" i="1"/>
  <c r="BP391" i="1"/>
  <c r="BN391" i="1"/>
  <c r="Z391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X492" i="1"/>
  <c r="Z28" i="1"/>
  <c r="BN28" i="1"/>
  <c r="Z46" i="1"/>
  <c r="Z47" i="1" s="1"/>
  <c r="BN46" i="1"/>
  <c r="BP46" i="1"/>
  <c r="Y47" i="1"/>
  <c r="Z51" i="1"/>
  <c r="BN51" i="1"/>
  <c r="Z67" i="1"/>
  <c r="BN67" i="1"/>
  <c r="BP84" i="1"/>
  <c r="BN84" i="1"/>
  <c r="Z84" i="1"/>
  <c r="BP109" i="1"/>
  <c r="BN109" i="1"/>
  <c r="Z109" i="1"/>
  <c r="BP149" i="1"/>
  <c r="BN149" i="1"/>
  <c r="Z149" i="1"/>
  <c r="BP177" i="1"/>
  <c r="BN177" i="1"/>
  <c r="Z177" i="1"/>
  <c r="BP214" i="1"/>
  <c r="BN214" i="1"/>
  <c r="Z214" i="1"/>
  <c r="BP237" i="1"/>
  <c r="BN237" i="1"/>
  <c r="Z237" i="1"/>
  <c r="BP270" i="1"/>
  <c r="BN270" i="1"/>
  <c r="Z270" i="1"/>
  <c r="BP309" i="1"/>
  <c r="BN309" i="1"/>
  <c r="Z309" i="1"/>
  <c r="BP340" i="1"/>
  <c r="BN340" i="1"/>
  <c r="Z340" i="1"/>
  <c r="Y370" i="1"/>
  <c r="Y369" i="1"/>
  <c r="BP368" i="1"/>
  <c r="BN368" i="1"/>
  <c r="Z368" i="1"/>
  <c r="Z369" i="1" s="1"/>
  <c r="BP373" i="1"/>
  <c r="BN373" i="1"/>
  <c r="Z373" i="1"/>
  <c r="BP399" i="1"/>
  <c r="BN399" i="1"/>
  <c r="Z399" i="1"/>
  <c r="BP435" i="1"/>
  <c r="BN435" i="1"/>
  <c r="Z435" i="1"/>
  <c r="BP467" i="1"/>
  <c r="BN467" i="1"/>
  <c r="Z467" i="1"/>
  <c r="Y75" i="1"/>
  <c r="Z22" i="1"/>
  <c r="BN22" i="1"/>
  <c r="Y32" i="1"/>
  <c r="Z30" i="1"/>
  <c r="BN30" i="1"/>
  <c r="Z42" i="1"/>
  <c r="BN42" i="1"/>
  <c r="Z53" i="1"/>
  <c r="BN53" i="1"/>
  <c r="Z61" i="1"/>
  <c r="BN61" i="1"/>
  <c r="Z71" i="1"/>
  <c r="BN71" i="1"/>
  <c r="BP71" i="1"/>
  <c r="Z79" i="1"/>
  <c r="BN79" i="1"/>
  <c r="Z86" i="1"/>
  <c r="BN86" i="1"/>
  <c r="Y96" i="1"/>
  <c r="Z94" i="1"/>
  <c r="BN94" i="1"/>
  <c r="Z101" i="1"/>
  <c r="BN101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Y153" i="1"/>
  <c r="BP147" i="1"/>
  <c r="BN147" i="1"/>
  <c r="Z147" i="1"/>
  <c r="BP167" i="1"/>
  <c r="BN167" i="1"/>
  <c r="Z167" i="1"/>
  <c r="BP175" i="1"/>
  <c r="BN175" i="1"/>
  <c r="Z175" i="1"/>
  <c r="Y200" i="1"/>
  <c r="BP198" i="1"/>
  <c r="BN198" i="1"/>
  <c r="Z198" i="1"/>
  <c r="BP210" i="1"/>
  <c r="BN210" i="1"/>
  <c r="Z210" i="1"/>
  <c r="BP115" i="1"/>
  <c r="BN115" i="1"/>
  <c r="Z115" i="1"/>
  <c r="Y138" i="1"/>
  <c r="BP136" i="1"/>
  <c r="BN136" i="1"/>
  <c r="Z136" i="1"/>
  <c r="BP151" i="1"/>
  <c r="BN151" i="1"/>
  <c r="Z151" i="1"/>
  <c r="BP171" i="1"/>
  <c r="BN171" i="1"/>
  <c r="Z171" i="1"/>
  <c r="BP183" i="1"/>
  <c r="BN183" i="1"/>
  <c r="Z183" i="1"/>
  <c r="BP206" i="1"/>
  <c r="BN206" i="1"/>
  <c r="Z206" i="1"/>
  <c r="BP216" i="1"/>
  <c r="BN216" i="1"/>
  <c r="Z216" i="1"/>
  <c r="H498" i="1"/>
  <c r="Y179" i="1"/>
  <c r="J498" i="1"/>
  <c r="Y212" i="1"/>
  <c r="Y224" i="1"/>
  <c r="Z220" i="1"/>
  <c r="BN220" i="1"/>
  <c r="Z226" i="1"/>
  <c r="BN226" i="1"/>
  <c r="BP226" i="1"/>
  <c r="Z235" i="1"/>
  <c r="BN235" i="1"/>
  <c r="Z240" i="1"/>
  <c r="BN240" i="1"/>
  <c r="Z254" i="1"/>
  <c r="BN254" i="1"/>
  <c r="Z261" i="1"/>
  <c r="BN261" i="1"/>
  <c r="Z265" i="1"/>
  <c r="BN265" i="1"/>
  <c r="Z272" i="1"/>
  <c r="BN272" i="1"/>
  <c r="Y282" i="1"/>
  <c r="Z286" i="1"/>
  <c r="BN286" i="1"/>
  <c r="Y292" i="1"/>
  <c r="BP290" i="1"/>
  <c r="BN290" i="1"/>
  <c r="Z290" i="1"/>
  <c r="BP307" i="1"/>
  <c r="BN307" i="1"/>
  <c r="Z307" i="1"/>
  <c r="BP321" i="1"/>
  <c r="BN321" i="1"/>
  <c r="Z321" i="1"/>
  <c r="BP335" i="1"/>
  <c r="BN335" i="1"/>
  <c r="Z335" i="1"/>
  <c r="BP350" i="1"/>
  <c r="BN350" i="1"/>
  <c r="Z350" i="1"/>
  <c r="BP364" i="1"/>
  <c r="BN364" i="1"/>
  <c r="Z364" i="1"/>
  <c r="BP385" i="1"/>
  <c r="BN385" i="1"/>
  <c r="Z385" i="1"/>
  <c r="BP397" i="1"/>
  <c r="BN397" i="1"/>
  <c r="Z397" i="1"/>
  <c r="BP416" i="1"/>
  <c r="BN416" i="1"/>
  <c r="Z416" i="1"/>
  <c r="BP433" i="1"/>
  <c r="BN433" i="1"/>
  <c r="Z433" i="1"/>
  <c r="Y455" i="1"/>
  <c r="BP449" i="1"/>
  <c r="BN449" i="1"/>
  <c r="Z449" i="1"/>
  <c r="BP461" i="1"/>
  <c r="BN461" i="1"/>
  <c r="Z461" i="1"/>
  <c r="BP299" i="1"/>
  <c r="BN299" i="1"/>
  <c r="Z299" i="1"/>
  <c r="Y317" i="1"/>
  <c r="BP313" i="1"/>
  <c r="BN313" i="1"/>
  <c r="Z313" i="1"/>
  <c r="BP329" i="1"/>
  <c r="BN329" i="1"/>
  <c r="Z329" i="1"/>
  <c r="BP342" i="1"/>
  <c r="BN342" i="1"/>
  <c r="Z342" i="1"/>
  <c r="BP354" i="1"/>
  <c r="BN354" i="1"/>
  <c r="Z354" i="1"/>
  <c r="BP379" i="1"/>
  <c r="BN379" i="1"/>
  <c r="Z379" i="1"/>
  <c r="BP393" i="1"/>
  <c r="BN393" i="1"/>
  <c r="Z393" i="1"/>
  <c r="Y405" i="1"/>
  <c r="BP403" i="1"/>
  <c r="BN403" i="1"/>
  <c r="Z403" i="1"/>
  <c r="BP429" i="1"/>
  <c r="BN429" i="1"/>
  <c r="Z429" i="1"/>
  <c r="BP437" i="1"/>
  <c r="BN437" i="1"/>
  <c r="Z437" i="1"/>
  <c r="BP453" i="1"/>
  <c r="BN453" i="1"/>
  <c r="Z453" i="1"/>
  <c r="Y473" i="1"/>
  <c r="Y472" i="1"/>
  <c r="BP471" i="1"/>
  <c r="BN471" i="1"/>
  <c r="Z471" i="1"/>
  <c r="Z472" i="1" s="1"/>
  <c r="Y477" i="1"/>
  <c r="BP475" i="1"/>
  <c r="BN475" i="1"/>
  <c r="Z475" i="1"/>
  <c r="Z476" i="1" s="1"/>
  <c r="Y311" i="1"/>
  <c r="Y331" i="1"/>
  <c r="Y337" i="1"/>
  <c r="Y360" i="1"/>
  <c r="Y387" i="1"/>
  <c r="V498" i="1"/>
  <c r="Y418" i="1"/>
  <c r="Y445" i="1"/>
  <c r="Y463" i="1"/>
  <c r="F9" i="1"/>
  <c r="J9" i="1"/>
  <c r="F10" i="1"/>
  <c r="Y25" i="1"/>
  <c r="Y31" i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2" i="1"/>
  <c r="Y180" i="1"/>
  <c r="Y186" i="1"/>
  <c r="Y190" i="1"/>
  <c r="Y195" i="1"/>
  <c r="Y201" i="1"/>
  <c r="Y211" i="1"/>
  <c r="Y223" i="1"/>
  <c r="Y229" i="1"/>
  <c r="K498" i="1"/>
  <c r="Y242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BP280" i="1"/>
  <c r="BN280" i="1"/>
  <c r="Z280" i="1"/>
  <c r="P498" i="1"/>
  <c r="Y288" i="1"/>
  <c r="BP285" i="1"/>
  <c r="BN285" i="1"/>
  <c r="Z285" i="1"/>
  <c r="Z287" i="1" s="1"/>
  <c r="H9" i="1"/>
  <c r="B498" i="1"/>
  <c r="X489" i="1"/>
  <c r="X490" i="1"/>
  <c r="Z23" i="1"/>
  <c r="BN23" i="1"/>
  <c r="Y24" i="1"/>
  <c r="X488" i="1"/>
  <c r="Z27" i="1"/>
  <c r="BN27" i="1"/>
  <c r="BP27" i="1"/>
  <c r="Z29" i="1"/>
  <c r="BN29" i="1"/>
  <c r="C498" i="1"/>
  <c r="Z41" i="1"/>
  <c r="Z43" i="1" s="1"/>
  <c r="BN41" i="1"/>
  <c r="Y44" i="1"/>
  <c r="D498" i="1"/>
  <c r="Z52" i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BN72" i="1"/>
  <c r="Z74" i="1"/>
  <c r="BN74" i="1"/>
  <c r="Z78" i="1"/>
  <c r="Z80" i="1" s="1"/>
  <c r="BN78" i="1"/>
  <c r="BP78" i="1"/>
  <c r="E498" i="1"/>
  <c r="Z85" i="1"/>
  <c r="BN85" i="1"/>
  <c r="Z87" i="1"/>
  <c r="BN87" i="1"/>
  <c r="Y88" i="1"/>
  <c r="Z91" i="1"/>
  <c r="BN91" i="1"/>
  <c r="BP91" i="1"/>
  <c r="Z93" i="1"/>
  <c r="BN93" i="1"/>
  <c r="F498" i="1"/>
  <c r="Z100" i="1"/>
  <c r="BN100" i="1"/>
  <c r="Z102" i="1"/>
  <c r="BN102" i="1"/>
  <c r="Y105" i="1"/>
  <c r="Z108" i="1"/>
  <c r="BN108" i="1"/>
  <c r="Z110" i="1"/>
  <c r="BN110" i="1"/>
  <c r="Z114" i="1"/>
  <c r="Z118" i="1" s="1"/>
  <c r="BN114" i="1"/>
  <c r="BP114" i="1"/>
  <c r="Z116" i="1"/>
  <c r="BN116" i="1"/>
  <c r="G498" i="1"/>
  <c r="Z127" i="1"/>
  <c r="Z128" i="1" s="1"/>
  <c r="BN127" i="1"/>
  <c r="Y128" i="1"/>
  <c r="Z131" i="1"/>
  <c r="BN131" i="1"/>
  <c r="BP131" i="1"/>
  <c r="Z137" i="1"/>
  <c r="Z138" i="1" s="1"/>
  <c r="BN137" i="1"/>
  <c r="Z142" i="1"/>
  <c r="Z144" i="1" s="1"/>
  <c r="BN142" i="1"/>
  <c r="BP142" i="1"/>
  <c r="Y145" i="1"/>
  <c r="Z148" i="1"/>
  <c r="BN148" i="1"/>
  <c r="Z150" i="1"/>
  <c r="BN150" i="1"/>
  <c r="I498" i="1"/>
  <c r="Y163" i="1"/>
  <c r="Z166" i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Y196" i="1"/>
  <c r="Z199" i="1"/>
  <c r="Z200" i="1" s="1"/>
  <c r="BN199" i="1"/>
  <c r="Z203" i="1"/>
  <c r="Z211" i="1" s="1"/>
  <c r="BN203" i="1"/>
  <c r="BP203" i="1"/>
  <c r="Z205" i="1"/>
  <c r="BN205" i="1"/>
  <c r="Z207" i="1"/>
  <c r="BN207" i="1"/>
  <c r="Z209" i="1"/>
  <c r="BN209" i="1"/>
  <c r="Z215" i="1"/>
  <c r="BN215" i="1"/>
  <c r="Z217" i="1"/>
  <c r="BN217" i="1"/>
  <c r="Z219" i="1"/>
  <c r="BN219" i="1"/>
  <c r="Z221" i="1"/>
  <c r="BN221" i="1"/>
  <c r="Z227" i="1"/>
  <c r="Z228" i="1" s="1"/>
  <c r="BN227" i="1"/>
  <c r="Z232" i="1"/>
  <c r="BN232" i="1"/>
  <c r="BP232" i="1"/>
  <c r="Z234" i="1"/>
  <c r="BN234" i="1"/>
  <c r="Z236" i="1"/>
  <c r="BN236" i="1"/>
  <c r="Z238" i="1"/>
  <c r="BN238" i="1"/>
  <c r="BP239" i="1"/>
  <c r="BN239" i="1"/>
  <c r="Z239" i="1"/>
  <c r="Y258" i="1"/>
  <c r="BP255" i="1"/>
  <c r="BN255" i="1"/>
  <c r="Z255" i="1"/>
  <c r="BP264" i="1"/>
  <c r="BN264" i="1"/>
  <c r="Z264" i="1"/>
  <c r="BP273" i="1"/>
  <c r="BN273" i="1"/>
  <c r="Z273" i="1"/>
  <c r="Y275" i="1"/>
  <c r="O498" i="1"/>
  <c r="Y281" i="1"/>
  <c r="BP278" i="1"/>
  <c r="BN278" i="1"/>
  <c r="Z278" i="1"/>
  <c r="Z281" i="1" s="1"/>
  <c r="Y287" i="1"/>
  <c r="BP291" i="1"/>
  <c r="BN291" i="1"/>
  <c r="Z291" i="1"/>
  <c r="Z292" i="1" s="1"/>
  <c r="Y293" i="1"/>
  <c r="Q498" i="1"/>
  <c r="Y301" i="1"/>
  <c r="BP296" i="1"/>
  <c r="BN296" i="1"/>
  <c r="Z296" i="1"/>
  <c r="Y302" i="1"/>
  <c r="Z317" i="1"/>
  <c r="Y310" i="1"/>
  <c r="Y318" i="1"/>
  <c r="Y324" i="1"/>
  <c r="Y330" i="1"/>
  <c r="Y336" i="1"/>
  <c r="Y343" i="1"/>
  <c r="Y355" i="1"/>
  <c r="Y361" i="1"/>
  <c r="Y365" i="1"/>
  <c r="Y376" i="1"/>
  <c r="Y380" i="1"/>
  <c r="Y386" i="1"/>
  <c r="Y400" i="1"/>
  <c r="Y406" i="1"/>
  <c r="Y411" i="1"/>
  <c r="BP415" i="1"/>
  <c r="BN415" i="1"/>
  <c r="Y417" i="1"/>
  <c r="BP428" i="1"/>
  <c r="BN428" i="1"/>
  <c r="Z428" i="1"/>
  <c r="L498" i="1"/>
  <c r="Y267" i="1"/>
  <c r="M498" i="1"/>
  <c r="Y274" i="1"/>
  <c r="Z298" i="1"/>
  <c r="BN298" i="1"/>
  <c r="Z300" i="1"/>
  <c r="BN300" i="1"/>
  <c r="Z304" i="1"/>
  <c r="Z310" i="1" s="1"/>
  <c r="BN304" i="1"/>
  <c r="BP304" i="1"/>
  <c r="Z306" i="1"/>
  <c r="BN306" i="1"/>
  <c r="Z308" i="1"/>
  <c r="BN308" i="1"/>
  <c r="Z314" i="1"/>
  <c r="BN314" i="1"/>
  <c r="Z316" i="1"/>
  <c r="BN316" i="1"/>
  <c r="Z320" i="1"/>
  <c r="BN320" i="1"/>
  <c r="BP320" i="1"/>
  <c r="Z322" i="1"/>
  <c r="BN322" i="1"/>
  <c r="Z326" i="1"/>
  <c r="Z330" i="1" s="1"/>
  <c r="BN326" i="1"/>
  <c r="BP326" i="1"/>
  <c r="Z328" i="1"/>
  <c r="BN328" i="1"/>
  <c r="Z334" i="1"/>
  <c r="Z336" i="1" s="1"/>
  <c r="BN334" i="1"/>
  <c r="R498" i="1"/>
  <c r="Z341" i="1"/>
  <c r="Z343" i="1" s="1"/>
  <c r="BN341" i="1"/>
  <c r="Y344" i="1"/>
  <c r="S498" i="1"/>
  <c r="Z349" i="1"/>
  <c r="BN349" i="1"/>
  <c r="Z351" i="1"/>
  <c r="BN351" i="1"/>
  <c r="Z353" i="1"/>
  <c r="BN353" i="1"/>
  <c r="Y356" i="1"/>
  <c r="Z359" i="1"/>
  <c r="Z360" i="1" s="1"/>
  <c r="BN359" i="1"/>
  <c r="Z363" i="1"/>
  <c r="Z365" i="1" s="1"/>
  <c r="BN363" i="1"/>
  <c r="BP363" i="1"/>
  <c r="T498" i="1"/>
  <c r="Z374" i="1"/>
  <c r="Z375" i="1" s="1"/>
  <c r="BN374" i="1"/>
  <c r="Y375" i="1"/>
  <c r="Z378" i="1"/>
  <c r="Z380" i="1" s="1"/>
  <c r="BN378" i="1"/>
  <c r="BP378" i="1"/>
  <c r="Z384" i="1"/>
  <c r="BN384" i="1"/>
  <c r="U498" i="1"/>
  <c r="Z392" i="1"/>
  <c r="BN392" i="1"/>
  <c r="Z394" i="1"/>
  <c r="BN394" i="1"/>
  <c r="Z396" i="1"/>
  <c r="BN396" i="1"/>
  <c r="Z398" i="1"/>
  <c r="BN398" i="1"/>
  <c r="Y401" i="1"/>
  <c r="Z404" i="1"/>
  <c r="BN404" i="1"/>
  <c r="Z409" i="1"/>
  <c r="Z410" i="1" s="1"/>
  <c r="BN409" i="1"/>
  <c r="BP409" i="1"/>
  <c r="Y410" i="1"/>
  <c r="Z413" i="1"/>
  <c r="BN413" i="1"/>
  <c r="BP413" i="1"/>
  <c r="Z415" i="1"/>
  <c r="X498" i="1"/>
  <c r="BP430" i="1"/>
  <c r="BN430" i="1"/>
  <c r="Z430" i="1"/>
  <c r="Y440" i="1"/>
  <c r="Y446" i="1"/>
  <c r="Y454" i="1"/>
  <c r="Y464" i="1"/>
  <c r="Y468" i="1"/>
  <c r="Y476" i="1"/>
  <c r="BP479" i="1"/>
  <c r="Y482" i="1"/>
  <c r="Y487" i="1"/>
  <c r="W498" i="1"/>
  <c r="Y498" i="1"/>
  <c r="Z432" i="1"/>
  <c r="BN432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Z448" i="1"/>
  <c r="Z454" i="1" s="1"/>
  <c r="BN448" i="1"/>
  <c r="BP448" i="1"/>
  <c r="Z450" i="1"/>
  <c r="BN450" i="1"/>
  <c r="Z452" i="1"/>
  <c r="BN452" i="1"/>
  <c r="Z460" i="1"/>
  <c r="BN460" i="1"/>
  <c r="Z462" i="1"/>
  <c r="BN462" i="1"/>
  <c r="Z466" i="1"/>
  <c r="BN466" i="1"/>
  <c r="BP466" i="1"/>
  <c r="Z480" i="1"/>
  <c r="Z481" i="1" s="1"/>
  <c r="BN480" i="1"/>
  <c r="Z485" i="1"/>
  <c r="Z486" i="1" s="1"/>
  <c r="BN485" i="1"/>
  <c r="BP485" i="1"/>
  <c r="Y486" i="1"/>
  <c r="Z468" i="1" l="1"/>
  <c r="Z405" i="1"/>
  <c r="Z386" i="1"/>
  <c r="Z133" i="1"/>
  <c r="Z24" i="1"/>
  <c r="Z439" i="1"/>
  <c r="Z463" i="1"/>
  <c r="Z223" i="1"/>
  <c r="Z104" i="1"/>
  <c r="Z57" i="1"/>
  <c r="Y490" i="1"/>
  <c r="Z400" i="1"/>
  <c r="Z355" i="1"/>
  <c r="Z179" i="1"/>
  <c r="Z152" i="1"/>
  <c r="Z111" i="1"/>
  <c r="Z88" i="1"/>
  <c r="Z75" i="1"/>
  <c r="Y489" i="1"/>
  <c r="Y491" i="1" s="1"/>
  <c r="Z274" i="1"/>
  <c r="Z266" i="1"/>
  <c r="Z257" i="1"/>
  <c r="Z301" i="1"/>
  <c r="Y488" i="1"/>
  <c r="Z445" i="1"/>
  <c r="Z417" i="1"/>
  <c r="Z323" i="1"/>
  <c r="Z241" i="1"/>
  <c r="Z95" i="1"/>
  <c r="Z31" i="1"/>
  <c r="Z493" i="1" s="1"/>
  <c r="Y492" i="1"/>
  <c r="X491" i="1"/>
</calcChain>
</file>

<file path=xl/sharedStrings.xml><?xml version="1.0" encoding="utf-8"?>
<sst xmlns="http://schemas.openxmlformats.org/spreadsheetml/2006/main" count="2320" uniqueCount="768">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</sst>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24</v>
      </c>
      <c r="Y41" s="546">
        <f>IFERROR(IF(X41="",0,CEILING((X41/$H41),1)*$H41),"")</f>
        <v>24</v>
      </c>
      <c r="Z41" s="36">
        <f>IFERROR(IF(Y41=0,"",ROUNDUP(Y41/H41,0)*0.00902),"")</f>
        <v>5.4120000000000001E-2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25.14</v>
      </c>
      <c r="BN41" s="64">
        <f>IFERROR(Y41*I41/H41,"0")</f>
        <v>25.14</v>
      </c>
      <c r="BO41" s="64">
        <f>IFERROR(1/J41*(X41/H41),"0")</f>
        <v>4.5454545454545456E-2</v>
      </c>
      <c r="BP41" s="64">
        <f>IFERROR(1/J41*(Y41/H41),"0")</f>
        <v>4.5454545454545456E-2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6</v>
      </c>
      <c r="Y43" s="547">
        <f>IFERROR(Y40/H40,"0")+IFERROR(Y41/H41,"0")+IFERROR(Y42/H42,"0")</f>
        <v>6</v>
      </c>
      <c r="Z43" s="547">
        <f>IFERROR(IF(Z40="",0,Z40),"0")+IFERROR(IF(Z41="",0,Z41),"0")+IFERROR(IF(Z42="",0,Z42),"0")</f>
        <v>5.4120000000000001E-2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24</v>
      </c>
      <c r="Y44" s="547">
        <f>IFERROR(SUM(Y40:Y42),"0")</f>
        <v>24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16.2</v>
      </c>
      <c r="Y56" s="546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16.884</v>
      </c>
      <c r="BN56" s="64">
        <f t="shared" si="2"/>
        <v>18.760000000000002</v>
      </c>
      <c r="BO56" s="64">
        <f t="shared" si="3"/>
        <v>2.7272727272727271E-2</v>
      </c>
      <c r="BP56" s="64">
        <f t="shared" si="4"/>
        <v>3.0303030303030304E-2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3.5999999999999996</v>
      </c>
      <c r="Y57" s="547">
        <f>IFERROR(Y51/H51,"0")+IFERROR(Y52/H52,"0")+IFERROR(Y53/H53,"0")+IFERROR(Y54/H54,"0")+IFERROR(Y55/H55,"0")+IFERROR(Y56/H56,"0")</f>
        <v>4</v>
      </c>
      <c r="Z57" s="547">
        <f>IFERROR(IF(Z51="",0,Z51),"0")+IFERROR(IF(Z52="",0,Z52),"0")+IFERROR(IF(Z53="",0,Z53),"0")+IFERROR(IF(Z54="",0,Z54),"0")+IFERROR(IF(Z55="",0,Z55),"0")+IFERROR(IF(Z56="",0,Z56),"0")</f>
        <v>3.6080000000000001E-2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16.2</v>
      </c>
      <c r="Y58" s="547">
        <f>IFERROR(SUM(Y51:Y56),"0")</f>
        <v>18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15</v>
      </c>
      <c r="Y60" s="546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15.569444444444445</v>
      </c>
      <c r="BN60" s="64">
        <f>IFERROR(Y60*I60/H60,"0")</f>
        <v>22.42</v>
      </c>
      <c r="BO60" s="64">
        <f>IFERROR(1/J60*(X60/H60),"0")</f>
        <v>2.1701388888888888E-2</v>
      </c>
      <c r="BP60" s="64">
        <f>IFERROR(1/J60*(Y60/H60),"0")</f>
        <v>3.125E-2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1.3888888888888888</v>
      </c>
      <c r="Y63" s="547">
        <f>IFERROR(Y60/H60,"0")+IFERROR(Y61/H61,"0")+IFERROR(Y62/H62,"0")</f>
        <v>2</v>
      </c>
      <c r="Z63" s="547">
        <f>IFERROR(IF(Z60="",0,Z60),"0")+IFERROR(IF(Z61="",0,Z61),"0")+IFERROR(IF(Z62="",0,Z62),"0")</f>
        <v>3.7960000000000001E-2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15</v>
      </c>
      <c r="Y64" s="547">
        <f>IFERROR(SUM(Y60:Y62),"0")</f>
        <v>21.6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80</v>
      </c>
      <c r="Y84" s="546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16.2</v>
      </c>
      <c r="Y87" s="546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16.884</v>
      </c>
      <c r="BN87" s="64">
        <f>IFERROR(Y87*I87/H87,"0")</f>
        <v>18.760000000000002</v>
      </c>
      <c r="BO87" s="64">
        <f>IFERROR(1/J87*(X87/H87),"0")</f>
        <v>2.7272727272727271E-2</v>
      </c>
      <c r="BP87" s="64">
        <f>IFERROR(1/J87*(Y87/H87),"0")</f>
        <v>3.0303030303030304E-2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11.007407407407406</v>
      </c>
      <c r="Y88" s="547">
        <f>IFERROR(Y84/H84,"0")+IFERROR(Y85/H85,"0")+IFERROR(Y86/H86,"0")+IFERROR(Y87/H87,"0")</f>
        <v>12</v>
      </c>
      <c r="Z88" s="547">
        <f>IFERROR(IF(Z84="",0,Z84),"0")+IFERROR(IF(Z85="",0,Z85),"0")+IFERROR(IF(Z86="",0,Z86),"0")+IFERROR(IF(Z87="",0,Z87),"0")</f>
        <v>0.18792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96.2</v>
      </c>
      <c r="Y89" s="547">
        <f>IFERROR(SUM(Y84:Y87),"0")</f>
        <v>104.4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130</v>
      </c>
      <c r="Y91" s="546">
        <f>IFERROR(IF(X91="",0,CEILING((X91/$H91),1)*$H91),"")</f>
        <v>137.69999999999999</v>
      </c>
      <c r="Z91" s="36">
        <f>IFERROR(IF(Y91=0,"",ROUNDUP(Y91/H91,0)*0.01898),"")</f>
        <v>0.32266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137.92839506172839</v>
      </c>
      <c r="BN91" s="64">
        <f>IFERROR(Y91*I91/H91,"0")</f>
        <v>146.09799999999998</v>
      </c>
      <c r="BO91" s="64">
        <f>IFERROR(1/J91*(X91/H91),"0")</f>
        <v>0.25077160493827161</v>
      </c>
      <c r="BP91" s="64">
        <f>IFERROR(1/J91*(Y91/H91),"0")</f>
        <v>0.265625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81</v>
      </c>
      <c r="Y93" s="546">
        <f>IFERROR(IF(X93="",0,CEILING((X93/$H93),1)*$H93),"")</f>
        <v>81</v>
      </c>
      <c r="Z93" s="36">
        <f>IFERROR(IF(Y93=0,"",ROUNDUP(Y93/H93,0)*0.00651),"")</f>
        <v>0.1953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88.559999999999988</v>
      </c>
      <c r="BN93" s="64">
        <f>IFERROR(Y93*I93/H93,"0")</f>
        <v>88.559999999999988</v>
      </c>
      <c r="BO93" s="64">
        <f>IFERROR(1/J93*(X93/H93),"0")</f>
        <v>0.16483516483516483</v>
      </c>
      <c r="BP93" s="64">
        <f>IFERROR(1/J93*(Y93/H93),"0")</f>
        <v>0.16483516483516483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46.049382716049379</v>
      </c>
      <c r="Y95" s="547">
        <f>IFERROR(Y91/H91,"0")+IFERROR(Y92/H92,"0")+IFERROR(Y93/H93,"0")+IFERROR(Y94/H94,"0")</f>
        <v>47</v>
      </c>
      <c r="Z95" s="547">
        <f>IFERROR(IF(Z91="",0,Z91),"0")+IFERROR(IF(Z92="",0,Z92),"0")+IFERROR(IF(Z93="",0,Z93),"0")+IFERROR(IF(Z94="",0,Z94),"0")</f>
        <v>0.51795999999999998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211</v>
      </c>
      <c r="Y96" s="547">
        <f>IFERROR(SUM(Y91:Y94),"0")</f>
        <v>218.7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90</v>
      </c>
      <c r="Y99" s="546">
        <f>IFERROR(IF(X99="",0,CEILING((X99/$H99),1)*$H99),"")</f>
        <v>97.2</v>
      </c>
      <c r="Z99" s="36">
        <f>IFERROR(IF(Y99=0,"",ROUNDUP(Y99/H99,0)*0.01898),"")</f>
        <v>0.17082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93.416666666666671</v>
      </c>
      <c r="BN99" s="64">
        <f>IFERROR(Y99*I99/H99,"0")</f>
        <v>100.89</v>
      </c>
      <c r="BO99" s="64">
        <f>IFERROR(1/J99*(X99/H99),"0")</f>
        <v>0.13020833333333331</v>
      </c>
      <c r="BP99" s="64">
        <f>IFERROR(1/J99*(Y99/H99),"0")</f>
        <v>0.140625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16.2</v>
      </c>
      <c r="Y102" s="546">
        <f>IFERROR(IF(X102="",0,CEILING((X102/$H102),1)*$H102),"")</f>
        <v>18</v>
      </c>
      <c r="Z102" s="36">
        <f>IFERROR(IF(Y102=0,"",ROUNDUP(Y102/H102,0)*0.00902),"")</f>
        <v>3.6080000000000001E-2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16.884</v>
      </c>
      <c r="BN102" s="64">
        <f>IFERROR(Y102*I102/H102,"0")</f>
        <v>18.760000000000002</v>
      </c>
      <c r="BO102" s="64">
        <f>IFERROR(1/J102*(X102/H102),"0")</f>
        <v>2.7272727272727271E-2</v>
      </c>
      <c r="BP102" s="64">
        <f>IFERROR(1/J102*(Y102/H102),"0")</f>
        <v>3.0303030303030304E-2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11.933333333333332</v>
      </c>
      <c r="Y104" s="547">
        <f>IFERROR(Y99/H99,"0")+IFERROR(Y100/H100,"0")+IFERROR(Y101/H101,"0")+IFERROR(Y102/H102,"0")+IFERROR(Y103/H103,"0")</f>
        <v>13</v>
      </c>
      <c r="Z104" s="547">
        <f>IFERROR(IF(Z99="",0,Z99),"0")+IFERROR(IF(Z100="",0,Z100),"0")+IFERROR(IF(Z101="",0,Z101),"0")+IFERROR(IF(Z102="",0,Z102),"0")+IFERROR(IF(Z103="",0,Z103),"0")</f>
        <v>0.2069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106.2</v>
      </c>
      <c r="Y105" s="547">
        <f>IFERROR(SUM(Y99:Y103),"0")</f>
        <v>115.2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350</v>
      </c>
      <c r="Y114" s="546">
        <f>IFERROR(IF(X114="",0,CEILING((X114/$H114),1)*$H114),"")</f>
        <v>356.4</v>
      </c>
      <c r="Z114" s="36">
        <f>IFERROR(IF(Y114=0,"",ROUNDUP(Y114/H114,0)*0.01898),"")</f>
        <v>0.83511999999999997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371.08641975308637</v>
      </c>
      <c r="BN114" s="64">
        <f>IFERROR(Y114*I114/H114,"0")</f>
        <v>377.87199999999996</v>
      </c>
      <c r="BO114" s="64">
        <f>IFERROR(1/J114*(X114/H114),"0")</f>
        <v>0.67515432098765438</v>
      </c>
      <c r="BP114" s="64">
        <f>IFERROR(1/J114*(Y114/H114),"0")</f>
        <v>0.6875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97.2</v>
      </c>
      <c r="Y116" s="546">
        <f>IFERROR(IF(X116="",0,CEILING((X116/$H116),1)*$H116),"")</f>
        <v>97.2</v>
      </c>
      <c r="Z116" s="36">
        <f>IFERROR(IF(Y116=0,"",ROUNDUP(Y116/H116,0)*0.00651),"")</f>
        <v>0.23436000000000001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106.27199999999999</v>
      </c>
      <c r="BN116" s="64">
        <f>IFERROR(Y116*I116/H116,"0")</f>
        <v>106.27199999999999</v>
      </c>
      <c r="BO116" s="64">
        <f>IFERROR(1/J116*(X116/H116),"0")</f>
        <v>0.19780219780219782</v>
      </c>
      <c r="BP116" s="64">
        <f>IFERROR(1/J116*(Y116/H116),"0")</f>
        <v>0.19780219780219782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79.209876543209873</v>
      </c>
      <c r="Y118" s="547">
        <f>IFERROR(Y114/H114,"0")+IFERROR(Y115/H115,"0")+IFERROR(Y116/H116,"0")+IFERROR(Y117/H117,"0")</f>
        <v>80</v>
      </c>
      <c r="Z118" s="547">
        <f>IFERROR(IF(Z114="",0,Z114),"0")+IFERROR(IF(Z115="",0,Z115),"0")+IFERROR(IF(Z116="",0,Z116),"0")+IFERROR(IF(Z117="",0,Z117),"0")</f>
        <v>1.06948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447.2</v>
      </c>
      <c r="Y119" s="547">
        <f>IFERROR(SUM(Y114:Y117),"0")</f>
        <v>453.59999999999997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70</v>
      </c>
      <c r="Y166" s="546">
        <f t="shared" si="5"/>
        <v>71.400000000000006</v>
      </c>
      <c r="Z166" s="36">
        <f>IFERROR(IF(Y166=0,"",ROUNDUP(Y166/H166,0)*0.00902),"")</f>
        <v>0.15334</v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74.166666666666657</v>
      </c>
      <c r="BN166" s="64">
        <f t="shared" si="7"/>
        <v>75.650000000000006</v>
      </c>
      <c r="BO166" s="64">
        <f t="shared" si="8"/>
        <v>0.12626262626262624</v>
      </c>
      <c r="BP166" s="64">
        <f t="shared" si="9"/>
        <v>0.12878787878787878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10</v>
      </c>
      <c r="Y167" s="546">
        <f t="shared" si="5"/>
        <v>12.600000000000001</v>
      </c>
      <c r="Z167" s="36">
        <f>IFERROR(IF(Y167=0,"",ROUNDUP(Y167/H167,0)*0.00902),"")</f>
        <v>2.7060000000000001E-2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10.452380952380951</v>
      </c>
      <c r="BN167" s="64">
        <f t="shared" si="7"/>
        <v>13.17</v>
      </c>
      <c r="BO167" s="64">
        <f t="shared" si="8"/>
        <v>1.8037518037518036E-2</v>
      </c>
      <c r="BP167" s="64">
        <f t="shared" si="9"/>
        <v>2.2727272727272728E-2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19.047619047619044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0.1804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80</v>
      </c>
      <c r="Y180" s="547">
        <f>IFERROR(SUM(Y165:Y178),"0")</f>
        <v>84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100</v>
      </c>
      <c r="Y203" s="546">
        <f t="shared" ref="Y203:Y210" si="10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103.5185185185185</v>
      </c>
      <c r="BN203" s="64">
        <f t="shared" ref="BN203:BN210" si="12">IFERROR(Y203*I203/H203,"0")</f>
        <v>106.21</v>
      </c>
      <c r="BO203" s="64">
        <f t="shared" ref="BO203:BO210" si="13">IFERROR(1/J203*(X203/H203),"0")</f>
        <v>0.14029180695847362</v>
      </c>
      <c r="BP203" s="64">
        <f t="shared" ref="BP203:BP210" si="14">IFERROR(1/J203*(Y203/H203),"0")</f>
        <v>0.14393939393939395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150</v>
      </c>
      <c r="Y204" s="546">
        <f t="shared" si="10"/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155.27777777777777</v>
      </c>
      <c r="BN204" s="64">
        <f t="shared" si="12"/>
        <v>156.52000000000001</v>
      </c>
      <c r="BO204" s="64">
        <f t="shared" si="13"/>
        <v>0.21043771043771042</v>
      </c>
      <c r="BP204" s="64">
        <f t="shared" si="14"/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200</v>
      </c>
      <c r="Y205" s="546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120</v>
      </c>
      <c r="Y206" s="546">
        <f t="shared" si="10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124.2222222222222</v>
      </c>
      <c r="BN206" s="64">
        <f t="shared" si="12"/>
        <v>128.57</v>
      </c>
      <c r="BO206" s="64">
        <f t="shared" si="13"/>
        <v>0.16835016835016836</v>
      </c>
      <c r="BP206" s="64">
        <f t="shared" si="14"/>
        <v>0.17424242424242425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105.55555555555554</v>
      </c>
      <c r="Y211" s="547">
        <f>IFERROR(Y203/H203,"0")+IFERROR(Y204/H204,"0")+IFERROR(Y205/H205,"0")+IFERROR(Y206/H206,"0")+IFERROR(Y207/H207,"0")+IFERROR(Y208/H208,"0")+IFERROR(Y209/H209,"0")+IFERROR(Y210/H210,"0")</f>
        <v>108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0.97415999999999991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570</v>
      </c>
      <c r="Y212" s="547">
        <f>IFERROR(SUM(Y203:Y210),"0")</f>
        <v>583.20000000000005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10</v>
      </c>
      <c r="Y214" s="546">
        <f t="shared" ref="Y214:Y222" si="15">IFERROR(IF(X214="",0,CEILING((X214/$H214),1)*$H214),"")</f>
        <v>16.2</v>
      </c>
      <c r="Z214" s="36">
        <f>IFERROR(IF(Y214=0,"",ROUNDUP(Y214/H214,0)*0.01898),"")</f>
        <v>3.7960000000000001E-2</v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10.609876543209877</v>
      </c>
      <c r="BN214" s="64">
        <f t="shared" ref="BN214:BN222" si="17">IFERROR(Y214*I214/H214,"0")</f>
        <v>17.187999999999999</v>
      </c>
      <c r="BO214" s="64">
        <f t="shared" ref="BO214:BO222" si="18">IFERROR(1/J214*(X214/H214),"0")</f>
        <v>1.9290123456790126E-2</v>
      </c>
      <c r="BP214" s="64">
        <f t="shared" ref="BP214:BP222" si="19">IFERROR(1/J214*(Y214/H214),"0")</f>
        <v>3.125E-2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288</v>
      </c>
      <c r="Y217" s="546">
        <f t="shared" si="15"/>
        <v>288</v>
      </c>
      <c r="Z217" s="36">
        <f t="shared" ref="Z217:Z222" si="20">IFERROR(IF(Y217=0,"",ROUNDUP(Y217/H217,0)*0.00651),"")</f>
        <v>0.78120000000000001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320.40000000000003</v>
      </c>
      <c r="BN217" s="64">
        <f t="shared" si="17"/>
        <v>320.40000000000003</v>
      </c>
      <c r="BO217" s="64">
        <f t="shared" si="18"/>
        <v>0.65934065934065944</v>
      </c>
      <c r="BP217" s="64">
        <f t="shared" si="19"/>
        <v>0.65934065934065944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204</v>
      </c>
      <c r="Y219" s="546">
        <f t="shared" si="15"/>
        <v>204</v>
      </c>
      <c r="Z219" s="36">
        <f t="shared" si="20"/>
        <v>0.55335000000000001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225.42000000000002</v>
      </c>
      <c r="BN219" s="64">
        <f t="shared" si="17"/>
        <v>225.42000000000002</v>
      </c>
      <c r="BO219" s="64">
        <f t="shared" si="18"/>
        <v>0.46703296703296709</v>
      </c>
      <c r="BP219" s="64">
        <f t="shared" si="19"/>
        <v>0.46703296703296709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204</v>
      </c>
      <c r="Y220" s="546">
        <f t="shared" si="15"/>
        <v>204</v>
      </c>
      <c r="Z220" s="36">
        <f t="shared" si="20"/>
        <v>0.55335000000000001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225.42000000000002</v>
      </c>
      <c r="BN220" s="64">
        <f t="shared" si="17"/>
        <v>225.42000000000002</v>
      </c>
      <c r="BO220" s="64">
        <f t="shared" si="18"/>
        <v>0.46703296703296709</v>
      </c>
      <c r="BP220" s="64">
        <f t="shared" si="19"/>
        <v>0.46703296703296709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240</v>
      </c>
      <c r="Y221" s="546">
        <f t="shared" si="15"/>
        <v>240</v>
      </c>
      <c r="Z221" s="36">
        <f t="shared" si="20"/>
        <v>0.65100000000000002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265.20000000000005</v>
      </c>
      <c r="BN221" s="64">
        <f t="shared" si="17"/>
        <v>265.20000000000005</v>
      </c>
      <c r="BO221" s="64">
        <f t="shared" si="18"/>
        <v>0.5494505494505495</v>
      </c>
      <c r="BP221" s="64">
        <f t="shared" si="19"/>
        <v>0.5494505494505495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252</v>
      </c>
      <c r="Y222" s="546">
        <f t="shared" si="15"/>
        <v>252</v>
      </c>
      <c r="Z222" s="36">
        <f t="shared" si="20"/>
        <v>0.68354999999999999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279.09000000000003</v>
      </c>
      <c r="BN222" s="64">
        <f t="shared" si="17"/>
        <v>279.09000000000003</v>
      </c>
      <c r="BO222" s="64">
        <f t="shared" si="18"/>
        <v>0.57692307692307698</v>
      </c>
      <c r="BP222" s="64">
        <f t="shared" si="19"/>
        <v>0.57692307692307698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496.23456790123458</v>
      </c>
      <c r="Y223" s="547">
        <f>IFERROR(Y214/H214,"0")+IFERROR(Y215/H215,"0")+IFERROR(Y216/H216,"0")+IFERROR(Y217/H217,"0")+IFERROR(Y218/H218,"0")+IFERROR(Y219/H219,"0")+IFERROR(Y220/H220,"0")+IFERROR(Y221/H221,"0")+IFERROR(Y222/H222,"0")</f>
        <v>497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3.2604099999999998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1198</v>
      </c>
      <c r="Y224" s="547">
        <f>IFERROR(SUM(Y214:Y222),"0")</f>
        <v>1204.2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7.2</v>
      </c>
      <c r="Y226" s="546">
        <f>IFERROR(IF(X226="",0,CEILING((X226/$H226),1)*$H226),"")</f>
        <v>7.1999999999999993</v>
      </c>
      <c r="Z226" s="36">
        <f>IFERROR(IF(Y226=0,"",ROUNDUP(Y226/H226,0)*0.00651),"")</f>
        <v>1.9529999999999999E-2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7.9560000000000004</v>
      </c>
      <c r="BN226" s="64">
        <f>IFERROR(Y226*I226/H226,"0")</f>
        <v>7.9560000000000004</v>
      </c>
      <c r="BO226" s="64">
        <f>IFERROR(1/J226*(X226/H226),"0")</f>
        <v>1.6483516483516484E-2</v>
      </c>
      <c r="BP226" s="64">
        <f>IFERROR(1/J226*(Y226/H226),"0")</f>
        <v>1.6483516483516484E-2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16.8</v>
      </c>
      <c r="Y227" s="546">
        <f>IFERROR(IF(X227="",0,CEILING((X227/$H227),1)*$H227),"")</f>
        <v>16.8</v>
      </c>
      <c r="Z227" s="36">
        <f>IFERROR(IF(Y227=0,"",ROUNDUP(Y227/H227,0)*0.00651),"")</f>
        <v>4.5569999999999999E-2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18.564000000000004</v>
      </c>
      <c r="BN227" s="64">
        <f>IFERROR(Y227*I227/H227,"0")</f>
        <v>18.564000000000004</v>
      </c>
      <c r="BO227" s="64">
        <f>IFERROR(1/J227*(X227/H227),"0")</f>
        <v>3.8461538461538471E-2</v>
      </c>
      <c r="BP227" s="64">
        <f>IFERROR(1/J227*(Y227/H227),"0")</f>
        <v>3.8461538461538471E-2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10</v>
      </c>
      <c r="Y228" s="547">
        <f>IFERROR(Y226/H226,"0")+IFERROR(Y227/H227,"0")</f>
        <v>10</v>
      </c>
      <c r="Z228" s="547">
        <f>IFERROR(IF(Z226="",0,Z226),"0")+IFERROR(IF(Z227="",0,Z227),"0")</f>
        <v>6.5099999999999991E-2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24</v>
      </c>
      <c r="Y229" s="547">
        <f>IFERROR(SUM(Y226:Y227),"0")</f>
        <v>24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80</v>
      </c>
      <c r="Y304" s="546">
        <f t="shared" ref="Y304:Y309" si="26">IFERROR(IF(X304="",0,CEILING((X304/$H304),1)*$H304),"")</f>
        <v>84</v>
      </c>
      <c r="Z304" s="36">
        <f>IFERROR(IF(Y304=0,"",ROUNDUP(Y304/H304,0)*0.00902),"")</f>
        <v>0.1804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84.761904761904759</v>
      </c>
      <c r="BN304" s="64">
        <f t="shared" ref="BN304:BN309" si="28">IFERROR(Y304*I304/H304,"0")</f>
        <v>89</v>
      </c>
      <c r="BO304" s="64">
        <f t="shared" ref="BO304:BO309" si="29">IFERROR(1/J304*(X304/H304),"0")</f>
        <v>0.14430014430014429</v>
      </c>
      <c r="BP304" s="64">
        <f t="shared" ref="BP304:BP309" si="30">IFERROR(1/J304*(Y304/H304),"0")</f>
        <v>0.15151515151515152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19.047619047619047</v>
      </c>
      <c r="Y310" s="547">
        <f>IFERROR(Y304/H304,"0")+IFERROR(Y305/H305,"0")+IFERROR(Y306/H306,"0")+IFERROR(Y307/H307,"0")+IFERROR(Y308/H308,"0")+IFERROR(Y309/H309,"0")</f>
        <v>20</v>
      </c>
      <c r="Z310" s="547">
        <f>IFERROR(IF(Z304="",0,Z304),"0")+IFERROR(IF(Z305="",0,Z305),"0")+IFERROR(IF(Z306="",0,Z306),"0")+IFERROR(IF(Z307="",0,Z307),"0")+IFERROR(IF(Z308="",0,Z308),"0")+IFERROR(IF(Z309="",0,Z309),"0")</f>
        <v>0.1804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80</v>
      </c>
      <c r="Y311" s="547">
        <f>IFERROR(SUM(Y304:Y309),"0")</f>
        <v>84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30</v>
      </c>
      <c r="Y320" s="546">
        <f>IFERROR(IF(X320="",0,CEILING((X320/$H320),1)*$H320),"")</f>
        <v>33.6</v>
      </c>
      <c r="Z320" s="36">
        <f>IFERROR(IF(Y320=0,"",ROUNDUP(Y320/H320,0)*0.01898),"")</f>
        <v>7.5920000000000001E-2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31.764285714285712</v>
      </c>
      <c r="BN320" s="64">
        <f>IFERROR(Y320*I320/H320,"0")</f>
        <v>35.576000000000001</v>
      </c>
      <c r="BO320" s="64">
        <f>IFERROR(1/J320*(X320/H320),"0")</f>
        <v>5.5803571428571425E-2</v>
      </c>
      <c r="BP320" s="64">
        <f>IFERROR(1/J320*(Y320/H320),"0")</f>
        <v>6.25E-2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150</v>
      </c>
      <c r="Y321" s="546">
        <f>IFERROR(IF(X321="",0,CEILING((X321/$H321),1)*$H321),"")</f>
        <v>156</v>
      </c>
      <c r="Z321" s="36">
        <f>IFERROR(IF(Y321=0,"",ROUNDUP(Y321/H321,0)*0.01898),"")</f>
        <v>0.37959999999999999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159.50000000000003</v>
      </c>
      <c r="BN321" s="64">
        <f>IFERROR(Y321*I321/H321,"0")</f>
        <v>165.88</v>
      </c>
      <c r="BO321" s="64">
        <f>IFERROR(1/J321*(X321/H321),"0")</f>
        <v>0.30048076923076922</v>
      </c>
      <c r="BP321" s="64">
        <f>IFERROR(1/J321*(Y321/H321),"0")</f>
        <v>0.3125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22.802197802197803</v>
      </c>
      <c r="Y323" s="547">
        <f>IFERROR(Y320/H320,"0")+IFERROR(Y321/H321,"0")+IFERROR(Y322/H322,"0")</f>
        <v>24</v>
      </c>
      <c r="Z323" s="547">
        <f>IFERROR(IF(Z320="",0,Z320),"0")+IFERROR(IF(Z321="",0,Z321),"0")+IFERROR(IF(Z322="",0,Z322),"0")</f>
        <v>0.45551999999999998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180</v>
      </c>
      <c r="Y324" s="547">
        <f>IFERROR(SUM(Y320:Y322),"0")</f>
        <v>189.6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hidden="1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5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hidden="1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0</v>
      </c>
      <c r="Y355" s="547">
        <f>IFERROR(Y348/H348,"0")+IFERROR(Y349/H349,"0")+IFERROR(Y350/H350,"0")+IFERROR(Y351/H351,"0")+IFERROR(Y352/H352,"0")+IFERROR(Y353/H353,"0")+IFERROR(Y354/H354,"0")</f>
        <v>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0</v>
      </c>
      <c r="Y356" s="547">
        <f>IFERROR(SUM(Y348:Y354),"0")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80</v>
      </c>
      <c r="Y364" s="546">
        <f>IFERROR(IF(X364="",0,CEILING((X364/$H364),1)*$H364),"")</f>
        <v>81</v>
      </c>
      <c r="Z364" s="36">
        <f>IFERROR(IF(Y364=0,"",ROUNDUP(Y364/H364,0)*0.01898),"")</f>
        <v>0.17082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84.391111111111115</v>
      </c>
      <c r="BN364" s="64">
        <f>IFERROR(Y364*I364/H364,"0")</f>
        <v>85.445999999999998</v>
      </c>
      <c r="BO364" s="64">
        <f>IFERROR(1/J364*(X364/H364),"0")</f>
        <v>0.1388888888888889</v>
      </c>
      <c r="BP364" s="64">
        <f>IFERROR(1/J364*(Y364/H364),"0")</f>
        <v>0.140625</v>
      </c>
    </row>
    <row r="365" spans="1:68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8.8888888888888893</v>
      </c>
      <c r="Y365" s="547">
        <f>IFERROR(Y363/H363,"0")+IFERROR(Y364/H364,"0")</f>
        <v>9</v>
      </c>
      <c r="Z365" s="547">
        <f>IFERROR(IF(Z363="",0,Z363),"0")+IFERROR(IF(Z364="",0,Z364),"0")</f>
        <v>0.17082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80</v>
      </c>
      <c r="Y366" s="547">
        <f>IFERROR(SUM(Y363:Y364),"0")</f>
        <v>81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600</v>
      </c>
      <c r="Y368" s="546">
        <f>IFERROR(IF(X368="",0,CEILING((X368/$H368),1)*$H368),"")</f>
        <v>603</v>
      </c>
      <c r="Z368" s="36">
        <f>IFERROR(IF(Y368=0,"",ROUNDUP(Y368/H368,0)*0.01898),"")</f>
        <v>1.27166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632.93333333333328</v>
      </c>
      <c r="BN368" s="64">
        <f>IFERROR(Y368*I368/H368,"0")</f>
        <v>636.09799999999996</v>
      </c>
      <c r="BO368" s="64">
        <f>IFERROR(1/J368*(X368/H368),"0")</f>
        <v>1.0416666666666667</v>
      </c>
      <c r="BP368" s="64">
        <f>IFERROR(1/J368*(Y368/H368),"0")</f>
        <v>1.046875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66.666666666666671</v>
      </c>
      <c r="Y369" s="547">
        <f>IFERROR(Y368/H368,"0")</f>
        <v>67</v>
      </c>
      <c r="Z369" s="547">
        <f>IFERROR(IF(Z368="",0,Z368),"0")</f>
        <v>1.27166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600</v>
      </c>
      <c r="Y370" s="547">
        <f>IFERROR(SUM(Y368:Y368),"0")</f>
        <v>603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6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100</v>
      </c>
      <c r="Y383" s="546">
        <f>IFERROR(IF(X383="",0,CEILING((X383/$H383),1)*$H383),"")</f>
        <v>108</v>
      </c>
      <c r="Z383" s="36">
        <f>IFERROR(IF(Y383=0,"",ROUNDUP(Y383/H383,0)*0.01898),"")</f>
        <v>0.22776000000000002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105.48888888888888</v>
      </c>
      <c r="BN383" s="64">
        <f>IFERROR(Y383*I383/H383,"0")</f>
        <v>113.92799999999998</v>
      </c>
      <c r="BO383" s="64">
        <f>IFERROR(1/J383*(X383/H383),"0")</f>
        <v>0.1736111111111111</v>
      </c>
      <c r="BP383" s="64">
        <f>IFERROR(1/J383*(Y383/H383),"0")</f>
        <v>0.1875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11.111111111111111</v>
      </c>
      <c r="Y386" s="547">
        <f>IFERROR(Y383/H383,"0")+IFERROR(Y384/H384,"0")+IFERROR(Y385/H385,"0")</f>
        <v>12</v>
      </c>
      <c r="Z386" s="547">
        <f>IFERROR(IF(Z383="",0,Z383),"0")+IFERROR(IF(Z384="",0,Z384),"0")+IFERROR(IF(Z385="",0,Z385),"0")</f>
        <v>0.22776000000000002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100</v>
      </c>
      <c r="Y387" s="547">
        <f>IFERROR(SUM(Y383:Y385),"0")</f>
        <v>108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6.3</v>
      </c>
      <c r="Y398" s="546">
        <f t="shared" si="36"/>
        <v>6.3000000000000007</v>
      </c>
      <c r="Z398" s="36">
        <f t="shared" si="41"/>
        <v>1.506E-2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6.6899999999999995</v>
      </c>
      <c r="BN398" s="64">
        <f t="shared" si="38"/>
        <v>6.69</v>
      </c>
      <c r="BO398" s="64">
        <f t="shared" si="39"/>
        <v>1.2820512820512822E-2</v>
      </c>
      <c r="BP398" s="64">
        <f t="shared" si="40"/>
        <v>1.2820512820512822E-2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12.6</v>
      </c>
      <c r="Y399" s="546">
        <f t="shared" si="36"/>
        <v>12.600000000000001</v>
      </c>
      <c r="Z399" s="36">
        <f t="shared" si="41"/>
        <v>3.0120000000000001E-2</v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13.379999999999999</v>
      </c>
      <c r="BN399" s="64">
        <f t="shared" si="38"/>
        <v>13.38</v>
      </c>
      <c r="BO399" s="64">
        <f t="shared" si="39"/>
        <v>2.5641025641025644E-2</v>
      </c>
      <c r="BP399" s="64">
        <f t="shared" si="40"/>
        <v>2.5641025641025644E-2</v>
      </c>
    </row>
    <row r="400" spans="1:68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9</v>
      </c>
      <c r="Y400" s="547">
        <f>IFERROR(Y391/H391,"0")+IFERROR(Y392/H392,"0")+IFERROR(Y393/H393,"0")+IFERROR(Y394/H394,"0")+IFERROR(Y395/H395,"0")+IFERROR(Y396/H396,"0")+IFERROR(Y397/H397,"0")+IFERROR(Y398/H398,"0")+IFERROR(Y399/H399,"0")</f>
        <v>9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4.5179999999999998E-2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18.899999999999999</v>
      </c>
      <c r="Y401" s="547">
        <f>IFERROR(SUM(Y391:Y399),"0")</f>
        <v>18.900000000000002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50</v>
      </c>
      <c r="Y413" s="546">
        <f>IFERROR(IF(X413="",0,CEILING((X413/$H413),1)*$H413),"")</f>
        <v>54</v>
      </c>
      <c r="Z413" s="36">
        <f>IFERROR(IF(Y413=0,"",ROUNDUP(Y413/H413,0)*0.00902),"")</f>
        <v>9.0200000000000002E-2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51.759259259259252</v>
      </c>
      <c r="BN413" s="64">
        <f>IFERROR(Y413*I413/H413,"0")</f>
        <v>55.9</v>
      </c>
      <c r="BO413" s="64">
        <f>IFERROR(1/J413*(X413/H413),"0")</f>
        <v>7.0145903479236812E-2</v>
      </c>
      <c r="BP413" s="64">
        <f>IFERROR(1/J413*(Y413/H413),"0")</f>
        <v>7.575757575757576E-2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9.2592592592592595</v>
      </c>
      <c r="Y417" s="547">
        <f>IFERROR(Y413/H413,"0")+IFERROR(Y414/H414,"0")+IFERROR(Y415/H415,"0")+IFERROR(Y416/H416,"0")</f>
        <v>10</v>
      </c>
      <c r="Z417" s="547">
        <f>IFERROR(IF(Z413="",0,Z413),"0")+IFERROR(IF(Z414="",0,Z414),"0")+IFERROR(IF(Z415="",0,Z415),"0")+IFERROR(IF(Z416="",0,Z416),"0")</f>
        <v>9.0200000000000002E-2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50</v>
      </c>
      <c r="Y418" s="547">
        <f>IFERROR(SUM(Y413:Y416),"0")</f>
        <v>54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30</v>
      </c>
      <c r="Y430" s="546">
        <f t="shared" si="42"/>
        <v>31.68</v>
      </c>
      <c r="Z430" s="36">
        <f t="shared" si="43"/>
        <v>7.1760000000000004E-2</v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31.988636363636363</v>
      </c>
      <c r="BN430" s="64">
        <f t="shared" si="45"/>
        <v>33.779999999999994</v>
      </c>
      <c r="BO430" s="64">
        <f t="shared" si="46"/>
        <v>5.4632867132867136E-2</v>
      </c>
      <c r="BP430" s="64">
        <f t="shared" si="47"/>
        <v>5.7692307692307696E-2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</v>
      </c>
      <c r="Y431" s="546">
        <f t="shared" si="42"/>
        <v>52.800000000000004</v>
      </c>
      <c r="Z431" s="36">
        <f t="shared" si="43"/>
        <v>0.1196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53.314393939393938</v>
      </c>
      <c r="BN431" s="64">
        <f t="shared" si="45"/>
        <v>56.3</v>
      </c>
      <c r="BO431" s="64">
        <f t="shared" si="46"/>
        <v>9.1054778554778545E-2</v>
      </c>
      <c r="BP431" s="64">
        <f t="shared" si="47"/>
        <v>9.6153846153846159E-2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300</v>
      </c>
      <c r="Y433" s="546">
        <f t="shared" si="42"/>
        <v>300.96000000000004</v>
      </c>
      <c r="Z433" s="36">
        <f t="shared" si="43"/>
        <v>0.68171999999999999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319.88636363636363</v>
      </c>
      <c r="BN433" s="64">
        <f t="shared" si="45"/>
        <v>320.91000000000003</v>
      </c>
      <c r="BO433" s="64">
        <f t="shared" si="46"/>
        <v>0.54632867132867136</v>
      </c>
      <c r="BP433" s="64">
        <f t="shared" si="47"/>
        <v>0.54807692307692313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71.969696969696969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0.87307999999999997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380</v>
      </c>
      <c r="Y440" s="547">
        <f>IFERROR(SUM(Y427:Y438),"0")</f>
        <v>385.44000000000005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170</v>
      </c>
      <c r="Y442" s="546">
        <f>IFERROR(IF(X442="",0,CEILING((X442/$H442),1)*$H442),"")</f>
        <v>174.24</v>
      </c>
      <c r="Z442" s="36">
        <f>IFERROR(IF(Y442=0,"",ROUNDUP(Y442/H442,0)*0.01196),"")</f>
        <v>0.39468000000000003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181.26893939393938</v>
      </c>
      <c r="BN442" s="64">
        <f>IFERROR(Y442*I442/H442,"0")</f>
        <v>185.79</v>
      </c>
      <c r="BO442" s="64">
        <f>IFERROR(1/J442*(X442/H442),"0")</f>
        <v>0.3095862470862471</v>
      </c>
      <c r="BP442" s="64">
        <f>IFERROR(1/J442*(Y442/H442),"0")</f>
        <v>0.31730769230769235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32.196969696969695</v>
      </c>
      <c r="Y445" s="547">
        <f>IFERROR(Y442/H442,"0")+IFERROR(Y443/H443,"0")+IFERROR(Y444/H444,"0")</f>
        <v>33</v>
      </c>
      <c r="Z445" s="547">
        <f>IFERROR(IF(Z442="",0,Z442),"0")+IFERROR(IF(Z443="",0,Z443),"0")+IFERROR(IF(Z444="",0,Z444),"0")</f>
        <v>0.39468000000000003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170</v>
      </c>
      <c r="Y446" s="547">
        <f>IFERROR(SUM(Y442:Y444),"0")</f>
        <v>174.24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30</v>
      </c>
      <c r="Y449" s="546">
        <f t="shared" si="48"/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31.988636363636363</v>
      </c>
      <c r="BN449" s="64">
        <f t="shared" si="50"/>
        <v>33.779999999999994</v>
      </c>
      <c r="BO449" s="64">
        <f t="shared" si="51"/>
        <v>5.4632867132867136E-2</v>
      </c>
      <c r="BP449" s="64">
        <f t="shared" si="52"/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80</v>
      </c>
      <c r="Y450" s="546">
        <f t="shared" si="48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85.303030303030297</v>
      </c>
      <c r="BN450" s="64">
        <f t="shared" si="50"/>
        <v>90.08</v>
      </c>
      <c r="BO450" s="64">
        <f t="shared" si="51"/>
        <v>0.14568764568764569</v>
      </c>
      <c r="BP450" s="64">
        <f t="shared" si="52"/>
        <v>0.15384615384615385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20.833333333333332</v>
      </c>
      <c r="Y454" s="547">
        <f>IFERROR(Y448/H448,"0")+IFERROR(Y449/H449,"0")+IFERROR(Y450/H450,"0")+IFERROR(Y451/H451,"0")+IFERROR(Y452/H452,"0")+IFERROR(Y453/H453,"0")</f>
        <v>22</v>
      </c>
      <c r="Z454" s="547">
        <f>IFERROR(IF(Z448="",0,Z448),"0")+IFERROR(IF(Z449="",0,Z449),"0")+IFERROR(IF(Z450="",0,Z450),"0")+IFERROR(IF(Z451="",0,Z451),"0")+IFERROR(IF(Z452="",0,Z452),"0")+IFERROR(IF(Z453="",0,Z453),"0")</f>
        <v>0.26312000000000002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110</v>
      </c>
      <c r="Y455" s="547">
        <f>IFERROR(SUM(Y448:Y453),"0")</f>
        <v>116.16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100</v>
      </c>
      <c r="Y471" s="546">
        <f>IFERROR(IF(X471="",0,CEILING((X471/$H471),1)*$H471),"")</f>
        <v>100.8</v>
      </c>
      <c r="Z471" s="36">
        <f>IFERROR(IF(Y471=0,"",ROUNDUP(Y471/H471,0)*0.00902),"")</f>
        <v>0.18942000000000001</v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105.20833333333334</v>
      </c>
      <c r="BN471" s="64">
        <f>IFERROR(Y471*I471/H471,"0")</f>
        <v>106.05</v>
      </c>
      <c r="BO471" s="64">
        <f>IFERROR(1/J471*(X471/H471),"0")</f>
        <v>0.15782828282828285</v>
      </c>
      <c r="BP471" s="64">
        <f>IFERROR(1/J471*(Y471/H471),"0")</f>
        <v>0.15909090909090909</v>
      </c>
    </row>
    <row r="472" spans="1:68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20.833333333333336</v>
      </c>
      <c r="Y472" s="547">
        <f>IFERROR(Y471/H471,"0")</f>
        <v>21</v>
      </c>
      <c r="Z472" s="547">
        <f>IFERROR(IF(Z471="",0,Z471),"0")</f>
        <v>0.18942000000000001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100</v>
      </c>
      <c r="Y473" s="547">
        <f>IFERROR(SUM(Y471:Y471),"0")</f>
        <v>100.8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1500</v>
      </c>
      <c r="Y475" s="546">
        <f>IFERROR(IF(X475="",0,CEILING((X475/$H475),1)*$H475),"")</f>
        <v>1503</v>
      </c>
      <c r="Z475" s="36">
        <f>IFERROR(IF(Y475=0,"",ROUNDUP(Y475/H475,0)*0.01898),"")</f>
        <v>3.1696599999999999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1582.3333333333333</v>
      </c>
      <c r="BN475" s="64">
        <f>IFERROR(Y475*I475/H475,"0")</f>
        <v>1585.498</v>
      </c>
      <c r="BO475" s="64">
        <f>IFERROR(1/J475*(X475/H475),"0")</f>
        <v>2.6041666666666665</v>
      </c>
      <c r="BP475" s="64">
        <f>IFERROR(1/J475*(Y475/H475),"0")</f>
        <v>2.609375</v>
      </c>
    </row>
    <row r="476" spans="1:68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166.66666666666666</v>
      </c>
      <c r="Y476" s="547">
        <f>IFERROR(Y475/H475,"0")</f>
        <v>167</v>
      </c>
      <c r="Z476" s="547">
        <f>IFERROR(IF(Z475="",0,Z475),"0")</f>
        <v>3.1696599999999999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1500</v>
      </c>
      <c r="Y477" s="547">
        <f>IFERROR(SUM(Y475:Y475),"0")</f>
        <v>1503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6156.7000000000007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6269.04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6560.9568924162231</v>
      </c>
      <c r="Y489" s="547">
        <f>IFERROR(SUM(BN22:BN485),"0")</f>
        <v>6679.0759999999991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12</v>
      </c>
      <c r="Y490" s="38">
        <f>ROUNDUP(SUM(BP22:BP485),0)</f>
        <v>12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6860.9568924162231</v>
      </c>
      <c r="Y491" s="547">
        <f>GrossWeightTotalR+PalletQtyTotalR*25</f>
        <v>6979.0759999999991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1249.3023741690406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1266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13.921989999999999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39.6</v>
      </c>
      <c r="E498" s="46">
        <f>IFERROR(Y84*1,"0")+IFERROR(Y85*1,"0")+IFERROR(Y86*1,"0")+IFERROR(Y87*1,"0")+IFERROR(Y91*1,"0")+IFERROR(Y92*1,"0")+IFERROR(Y93*1,"0")+IFERROR(Y94*1,"0")</f>
        <v>323.10000000000002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568.79999999999995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84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1811.4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273.60000000000002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684</v>
      </c>
      <c r="T498" s="46">
        <f>IFERROR(Y373*1,"0")+IFERROR(Y374*1,"0")+IFERROR(Y378*1,"0")+IFERROR(Y379*1,"0")+IFERROR(Y383*1,"0")+IFERROR(Y384*1,"0")+IFERROR(Y385*1,"0")</f>
        <v>108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18.900000000000002</v>
      </c>
      <c r="V498" s="46">
        <f>IFERROR(Y409*1,"0")+IFERROR(Y413*1,"0")+IFERROR(Y414*1,"0")+IFERROR(Y415*1,"0")+IFERROR(Y416*1,"0")</f>
        <v>54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675.84</v>
      </c>
      <c r="Y498" s="46">
        <f>IFERROR(Y459*1,"0")+IFERROR(Y460*1,"0")+IFERROR(Y461*1,"0")+IFERROR(Y462*1,"0")+IFERROR(Y466*1,"0")+IFERROR(Y467*1,"0")+IFERROR(Y471*1,"0")+IFERROR(Y475*1,"0")+IFERROR(Y479*1,"0")+IFERROR(Y480*1,"0")</f>
        <v>1603.8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8,00"/>
        <filter val="1 249,30"/>
        <filter val="1 500,00"/>
        <filter val="1,39"/>
        <filter val="10,00"/>
        <filter val="100,00"/>
        <filter val="105,56"/>
        <filter val="106,20"/>
        <filter val="11,01"/>
        <filter val="11,11"/>
        <filter val="11,93"/>
        <filter val="110,00"/>
        <filter val="12"/>
        <filter val="12,60"/>
        <filter val="120,00"/>
        <filter val="130,00"/>
        <filter val="15,00"/>
        <filter val="150,00"/>
        <filter val="16,20"/>
        <filter val="16,80"/>
        <filter val="166,67"/>
        <filter val="170,00"/>
        <filter val="18,90"/>
        <filter val="180,00"/>
        <filter val="19,05"/>
        <filter val="20,83"/>
        <filter val="200,00"/>
        <filter val="204,00"/>
        <filter val="211,00"/>
        <filter val="22,80"/>
        <filter val="24,00"/>
        <filter val="240,00"/>
        <filter val="252,00"/>
        <filter val="288,00"/>
        <filter val="3,60"/>
        <filter val="30,00"/>
        <filter val="300,00"/>
        <filter val="32,20"/>
        <filter val="350,00"/>
        <filter val="380,00"/>
        <filter val="447,20"/>
        <filter val="46,05"/>
        <filter val="496,23"/>
        <filter val="50,00"/>
        <filter val="570,00"/>
        <filter val="6 156,70"/>
        <filter val="6 560,96"/>
        <filter val="6 860,96"/>
        <filter val="6,00"/>
        <filter val="6,30"/>
        <filter val="600,00"/>
        <filter val="66,67"/>
        <filter val="7,20"/>
        <filter val="70,00"/>
        <filter val="71,97"/>
        <filter val="79,21"/>
        <filter val="8,89"/>
        <filter val="80,00"/>
        <filter val="81,00"/>
        <filter val="9,00"/>
        <filter val="9,26"/>
        <filter val="90,00"/>
        <filter val="96,20"/>
        <filter val="97,2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