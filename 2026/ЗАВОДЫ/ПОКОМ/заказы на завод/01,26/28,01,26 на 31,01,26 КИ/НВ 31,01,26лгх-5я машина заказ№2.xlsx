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E5131C-C511-4973-B98D-1D2E01EFF1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N87" i="1"/>
  <c r="BM87" i="1"/>
  <c r="Z87" i="1"/>
  <c r="Y87" i="1"/>
  <c r="BP87" i="1" s="1"/>
  <c r="P87" i="1"/>
  <c r="BO86" i="1"/>
  <c r="BM86" i="1"/>
  <c r="Y86" i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2" i="1" l="1"/>
  <c r="BN102" i="1"/>
  <c r="Z102" i="1"/>
  <c r="BP148" i="1"/>
  <c r="BN148" i="1"/>
  <c r="Z148" i="1"/>
  <c r="BP178" i="1"/>
  <c r="BN178" i="1"/>
  <c r="Z178" i="1"/>
  <c r="BP214" i="1"/>
  <c r="BN214" i="1"/>
  <c r="Z214" i="1"/>
  <c r="BP237" i="1"/>
  <c r="BN237" i="1"/>
  <c r="Z237" i="1"/>
  <c r="BP278" i="1"/>
  <c r="BN278" i="1"/>
  <c r="Z278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X492" i="1"/>
  <c r="Z28" i="1"/>
  <c r="BN28" i="1"/>
  <c r="Z46" i="1"/>
  <c r="Z47" i="1" s="1"/>
  <c r="BN46" i="1"/>
  <c r="BP46" i="1"/>
  <c r="Y47" i="1"/>
  <c r="Z60" i="1"/>
  <c r="BN60" i="1"/>
  <c r="Z78" i="1"/>
  <c r="BN78" i="1"/>
  <c r="BP116" i="1"/>
  <c r="BN116" i="1"/>
  <c r="Z116" i="1"/>
  <c r="BP170" i="1"/>
  <c r="BN170" i="1"/>
  <c r="Z170" i="1"/>
  <c r="BP204" i="1"/>
  <c r="BN204" i="1"/>
  <c r="Z204" i="1"/>
  <c r="BP222" i="1"/>
  <c r="BN222" i="1"/>
  <c r="Z222" i="1"/>
  <c r="BP262" i="1"/>
  <c r="BN262" i="1"/>
  <c r="Z262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BP66" i="1"/>
  <c r="BN66" i="1"/>
  <c r="Z66" i="1"/>
  <c r="BP85" i="1"/>
  <c r="BN85" i="1"/>
  <c r="Z85" i="1"/>
  <c r="BP176" i="1"/>
  <c r="BN176" i="1"/>
  <c r="Z17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J9" i="1"/>
  <c r="BP100" i="1"/>
  <c r="BN100" i="1"/>
  <c r="Z100" i="1"/>
  <c r="Y118" i="1"/>
  <c r="BP114" i="1"/>
  <c r="BN114" i="1"/>
  <c r="Z114" i="1"/>
  <c r="BP137" i="1"/>
  <c r="BN137" i="1"/>
  <c r="Z137" i="1"/>
  <c r="BP142" i="1"/>
  <c r="BN142" i="1"/>
  <c r="Z142" i="1"/>
  <c r="BP168" i="1"/>
  <c r="BN168" i="1"/>
  <c r="Z168" i="1"/>
  <c r="F9" i="1"/>
  <c r="F10" i="1"/>
  <c r="Z22" i="1"/>
  <c r="BN22" i="1"/>
  <c r="Y32" i="1"/>
  <c r="Z30" i="1"/>
  <c r="BN30" i="1"/>
  <c r="Z42" i="1"/>
  <c r="BN42" i="1"/>
  <c r="Z52" i="1"/>
  <c r="BN52" i="1"/>
  <c r="Z56" i="1"/>
  <c r="BN56" i="1"/>
  <c r="Y64" i="1"/>
  <c r="Y63" i="1"/>
  <c r="Z62" i="1"/>
  <c r="BN62" i="1"/>
  <c r="BP74" i="1"/>
  <c r="BN74" i="1"/>
  <c r="Z74" i="1"/>
  <c r="BP91" i="1"/>
  <c r="BN91" i="1"/>
  <c r="Z91" i="1"/>
  <c r="BP108" i="1"/>
  <c r="BN108" i="1"/>
  <c r="Z108" i="1"/>
  <c r="BP127" i="1"/>
  <c r="BN127" i="1"/>
  <c r="Z127" i="1"/>
  <c r="BP150" i="1"/>
  <c r="BN150" i="1"/>
  <c r="Z150" i="1"/>
  <c r="BP172" i="1"/>
  <c r="BN172" i="1"/>
  <c r="Z172" i="1"/>
  <c r="Y186" i="1"/>
  <c r="BP182" i="1"/>
  <c r="BN182" i="1"/>
  <c r="Z182" i="1"/>
  <c r="Z185" i="1" s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13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1" i="1" s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Z481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439" i="1" l="1"/>
  <c r="Z118" i="1"/>
  <c r="Z104" i="1"/>
  <c r="Z63" i="1"/>
  <c r="Z128" i="1"/>
  <c r="Z80" i="1"/>
  <c r="Z454" i="1"/>
  <c r="Z301" i="1"/>
  <c r="Z355" i="1"/>
  <c r="Z274" i="1"/>
  <c r="Z257" i="1"/>
  <c r="Z223" i="1"/>
  <c r="Y489" i="1"/>
  <c r="Y490" i="1"/>
  <c r="Z31" i="1"/>
  <c r="Z310" i="1"/>
  <c r="Z152" i="1"/>
  <c r="Z95" i="1"/>
  <c r="Z417" i="1"/>
  <c r="Z211" i="1"/>
  <c r="Y492" i="1"/>
  <c r="Z88" i="1"/>
  <c r="Z75" i="1"/>
  <c r="Y488" i="1"/>
  <c r="Z336" i="1"/>
  <c r="Z266" i="1"/>
  <c r="Z241" i="1"/>
  <c r="Z317" i="1"/>
  <c r="Z179" i="1"/>
  <c r="Z493" i="1" l="1"/>
  <c r="Y491" i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<sst xmlns="http://schemas.openxmlformats.org/spreadsheetml/2006/main" count="2256" uniqueCount="768">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</sst>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0.54166666666666663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248</v>
      </c>
      <c r="Y40" s="546">
        <f>IFERROR(IF(X40="",0,CEILING((X40/$H40),1)*$H40),"")</f>
        <v>248.4</v>
      </c>
      <c r="Z40" s="36">
        <f>IFERROR(IF(Y40=0,"",ROUNDUP(Y40/H40,0)*0.01898),"")</f>
        <v>0.43653999999999998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257.41481481481486</v>
      </c>
      <c r="BN40" s="64">
        <f>IFERROR(Y40*I40/H40,"0")</f>
        <v>257.83</v>
      </c>
      <c r="BO40" s="64">
        <f>IFERROR(1/J40*(X40/H40),"0")</f>
        <v>0.35879629629629628</v>
      </c>
      <c r="BP40" s="64">
        <f>IFERROR(1/J40*(Y40/H40),"0")</f>
        <v>0.359375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22.962962962962962</v>
      </c>
      <c r="Y43" s="547">
        <f>IFERROR(Y40/H40,"0")+IFERROR(Y41/H41,"0")+IFERROR(Y42/H42,"0")</f>
        <v>23</v>
      </c>
      <c r="Z43" s="547">
        <f>IFERROR(IF(Z40="",0,Z40),"0")+IFERROR(IF(Z41="",0,Z41),"0")+IFERROR(IF(Z42="",0,Z42),"0")</f>
        <v>0.43653999999999998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248</v>
      </c>
      <c r="Y44" s="547">
        <f>IFERROR(SUM(Y40:Y42),"0")</f>
        <v>248.4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47</v>
      </c>
      <c r="Y51" s="546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48.720535714285717</v>
      </c>
      <c r="BN51" s="64">
        <f t="shared" ref="BN51:BN56" si="2">IFERROR(Y51*I51/H51,"0")</f>
        <v>58.050000000000004</v>
      </c>
      <c r="BO51" s="64">
        <f t="shared" ref="BO51:BO56" si="3">IFERROR(1/J51*(X51/H51),"0")</f>
        <v>6.5569196428571438E-2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106</v>
      </c>
      <c r="Y52" s="546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110.02407407407406</v>
      </c>
      <c r="BN52" s="64">
        <f t="shared" si="2"/>
        <v>112.1</v>
      </c>
      <c r="BO52" s="64">
        <f t="shared" si="3"/>
        <v>0.15335648148148148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62</v>
      </c>
      <c r="Y54" s="546">
        <f t="shared" si="0"/>
        <v>64</v>
      </c>
      <c r="Z54" s="36">
        <f>IFERROR(IF(Y54=0,"",ROUNDUP(Y54/H54,0)*0.00902),"")</f>
        <v>0.14432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64.945000000000007</v>
      </c>
      <c r="BN54" s="64">
        <f t="shared" si="2"/>
        <v>67.040000000000006</v>
      </c>
      <c r="BO54" s="64">
        <f t="shared" si="3"/>
        <v>0.11742424242424243</v>
      </c>
      <c r="BP54" s="64">
        <f t="shared" si="4"/>
        <v>0.12121212121212122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68</v>
      </c>
      <c r="Y56" s="546">
        <f t="shared" si="0"/>
        <v>72</v>
      </c>
      <c r="Z56" s="36">
        <f>IFERROR(IF(Y56=0,"",ROUNDUP(Y56/H56,0)*0.00902),"")</f>
        <v>0.14432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70.871111111111119</v>
      </c>
      <c r="BN56" s="64">
        <f t="shared" si="2"/>
        <v>75.040000000000006</v>
      </c>
      <c r="BO56" s="64">
        <f t="shared" si="3"/>
        <v>0.11447811447811448</v>
      </c>
      <c r="BP56" s="64">
        <f t="shared" si="4"/>
        <v>0.12121212121212122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44.622354497354493</v>
      </c>
      <c r="Y57" s="547">
        <f>IFERROR(Y51/H51,"0")+IFERROR(Y52/H52,"0")+IFERROR(Y53/H53,"0")+IFERROR(Y54/H54,"0")+IFERROR(Y55/H55,"0")+IFERROR(Y56/H56,"0")</f>
        <v>47</v>
      </c>
      <c r="Z57" s="547">
        <f>IFERROR(IF(Z51="",0,Z51),"0")+IFERROR(IF(Z52="",0,Z52),"0")+IFERROR(IF(Z53="",0,Z53),"0")+IFERROR(IF(Z54="",0,Z54),"0")+IFERROR(IF(Z55="",0,Z55),"0")+IFERROR(IF(Z56="",0,Z56),"0")</f>
        <v>0.57333999999999996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283</v>
      </c>
      <c r="Y58" s="547">
        <f>IFERROR(SUM(Y51:Y56),"0")</f>
        <v>300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9</v>
      </c>
      <c r="Y78" s="546">
        <f>IFERROR(IF(X78="",0,CEILING((X78/$H78),1)*$H78),"")</f>
        <v>15.6</v>
      </c>
      <c r="Z78" s="36">
        <f>IFERROR(IF(Y78=0,"",ROUNDUP(Y78/H78,0)*0.01898),"")</f>
        <v>3.7960000000000001E-2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9.4730769230769258</v>
      </c>
      <c r="BN78" s="64">
        <f>IFERROR(Y78*I78/H78,"0")</f>
        <v>16.420000000000002</v>
      </c>
      <c r="BO78" s="64">
        <f>IFERROR(1/J78*(X78/H78),"0")</f>
        <v>1.8028846153846156E-2</v>
      </c>
      <c r="BP78" s="64">
        <f>IFERROR(1/J78*(Y78/H78),"0")</f>
        <v>3.125E-2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6</v>
      </c>
      <c r="Y79" s="546">
        <f>IFERROR(IF(X79="",0,CEILING((X79/$H79),1)*$H79),"")</f>
        <v>7.1999999999999993</v>
      </c>
      <c r="Z79" s="36">
        <f>IFERROR(IF(Y79=0,"",ROUNDUP(Y79/H79,0)*0.00902),"")</f>
        <v>2.7060000000000001E-2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6.4749999999999996</v>
      </c>
      <c r="BN79" s="64">
        <f>IFERROR(Y79*I79/H79,"0")</f>
        <v>7.7699999999999987</v>
      </c>
      <c r="BO79" s="64">
        <f>IFERROR(1/J79*(X79/H79),"0")</f>
        <v>1.893939393939394E-2</v>
      </c>
      <c r="BP79" s="64">
        <f>IFERROR(1/J79*(Y79/H79),"0")</f>
        <v>2.2727272727272728E-2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3.6538461538461542</v>
      </c>
      <c r="Y80" s="547">
        <f>IFERROR(Y78/H78,"0")+IFERROR(Y79/H79,"0")</f>
        <v>5</v>
      </c>
      <c r="Z80" s="547">
        <f>IFERROR(IF(Z78="",0,Z78),"0")+IFERROR(IF(Z79="",0,Z79),"0")</f>
        <v>6.5019999999999994E-2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15</v>
      </c>
      <c r="Y81" s="547">
        <f>IFERROR(SUM(Y78:Y79),"0")</f>
        <v>22.799999999999997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106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110.02407407407406</v>
      </c>
      <c r="BN84" s="64">
        <f>IFERROR(Y84*I84/H84,"0")</f>
        <v>112.1</v>
      </c>
      <c r="BO84" s="64">
        <f>IFERROR(1/J84*(X84/H84),"0")</f>
        <v>0.15335648148148148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9.8148148148148149</v>
      </c>
      <c r="Y88" s="547">
        <f>IFERROR(Y84/H84,"0")+IFERROR(Y85/H85,"0")+IFERROR(Y86/H86,"0")+IFERROR(Y87/H87,"0")</f>
        <v>10</v>
      </c>
      <c r="Z88" s="547">
        <f>IFERROR(IF(Z84="",0,Z84),"0")+IFERROR(IF(Z85="",0,Z85),"0")+IFERROR(IF(Z86="",0,Z86),"0")+IFERROR(IF(Z87="",0,Z87),"0")</f>
        <v>0.1898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106</v>
      </c>
      <c r="Y89" s="547">
        <f>IFERROR(SUM(Y84:Y87),"0")</f>
        <v>108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324</v>
      </c>
      <c r="Y91" s="546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343.76</v>
      </c>
      <c r="BN91" s="64">
        <f>IFERROR(Y91*I91/H91,"0")</f>
        <v>343.76</v>
      </c>
      <c r="BO91" s="64">
        <f>IFERROR(1/J91*(X91/H91),"0")</f>
        <v>0.625</v>
      </c>
      <c r="BP91" s="64">
        <f>IFERROR(1/J91*(Y91/H91),"0")</f>
        <v>0.625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77</v>
      </c>
      <c r="Y93" s="546">
        <f>IFERROR(IF(X93="",0,CEILING((X93/$H93),1)*$H93),"")</f>
        <v>78.300000000000011</v>
      </c>
      <c r="Z93" s="36">
        <f>IFERROR(IF(Y93=0,"",ROUNDUP(Y93/H93,0)*0.00651),"")</f>
        <v>0.18879000000000001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84.186666666666667</v>
      </c>
      <c r="BN93" s="64">
        <f>IFERROR(Y93*I93/H93,"0")</f>
        <v>85.608000000000004</v>
      </c>
      <c r="BO93" s="64">
        <f>IFERROR(1/J93*(X93/H93),"0")</f>
        <v>0.15669515669515668</v>
      </c>
      <c r="BP93" s="64">
        <f>IFERROR(1/J93*(Y93/H93),"0")</f>
        <v>0.15934065934065939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68.518518518518519</v>
      </c>
      <c r="Y95" s="547">
        <f>IFERROR(Y91/H91,"0")+IFERROR(Y92/H92,"0")+IFERROR(Y93/H93,"0")+IFERROR(Y94/H94,"0")</f>
        <v>69</v>
      </c>
      <c r="Z95" s="547">
        <f>IFERROR(IF(Z91="",0,Z91),"0")+IFERROR(IF(Z92="",0,Z92),"0")+IFERROR(IF(Z93="",0,Z93),"0")+IFERROR(IF(Z94="",0,Z94),"0")</f>
        <v>0.94799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401</v>
      </c>
      <c r="Y96" s="547">
        <f>IFERROR(SUM(Y91:Y94),"0")</f>
        <v>402.3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109</v>
      </c>
      <c r="Y99" s="546">
        <f>IFERROR(IF(X99="",0,CEILING((X99/$H99),1)*$H99),"")</f>
        <v>118.80000000000001</v>
      </c>
      <c r="Z99" s="36">
        <f>IFERROR(IF(Y99=0,"",ROUNDUP(Y99/H99,0)*0.01898),"")</f>
        <v>0.20877999999999999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113.13796296296296</v>
      </c>
      <c r="BN99" s="64">
        <f>IFERROR(Y99*I99/H99,"0")</f>
        <v>123.31000000000002</v>
      </c>
      <c r="BO99" s="64">
        <f>IFERROR(1/J99*(X99/H99),"0")</f>
        <v>0.15769675925925924</v>
      </c>
      <c r="BP99" s="64">
        <f>IFERROR(1/J99*(Y99/H99),"0")</f>
        <v>0.171875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10.092592592592592</v>
      </c>
      <c r="Y104" s="547">
        <f>IFERROR(Y99/H99,"0")+IFERROR(Y100/H100,"0")+IFERROR(Y101/H101,"0")+IFERROR(Y102/H102,"0")+IFERROR(Y103/H103,"0")</f>
        <v>11</v>
      </c>
      <c r="Z104" s="547">
        <f>IFERROR(IF(Z99="",0,Z99),"0")+IFERROR(IF(Z100="",0,Z100),"0")+IFERROR(IF(Z101="",0,Z101),"0")+IFERROR(IF(Z102="",0,Z102),"0")+IFERROR(IF(Z103="",0,Z103),"0")</f>
        <v>0.20877999999999999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109</v>
      </c>
      <c r="Y105" s="547">
        <f>IFERROR(SUM(Y99:Y103),"0")</f>
        <v>118.80000000000001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33</v>
      </c>
      <c r="Y107" s="546">
        <f>IFERROR(IF(X107="",0,CEILING((X107/$H107),1)*$H107),"")</f>
        <v>43.2</v>
      </c>
      <c r="Z107" s="36">
        <f>IFERROR(IF(Y107=0,"",ROUNDUP(Y107/H107,0)*0.01898),"")</f>
        <v>7.5920000000000001E-2</v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34.252777777777773</v>
      </c>
      <c r="BN107" s="64">
        <f>IFERROR(Y107*I107/H107,"0")</f>
        <v>44.84</v>
      </c>
      <c r="BO107" s="64">
        <f>IFERROR(1/J107*(X107/H107),"0")</f>
        <v>4.7743055555555552E-2</v>
      </c>
      <c r="BP107" s="64">
        <f>IFERROR(1/J107*(Y107/H107),"0")</f>
        <v>6.25E-2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3.0555555555555554</v>
      </c>
      <c r="Y111" s="547">
        <f>IFERROR(Y107/H107,"0")+IFERROR(Y108/H108,"0")+IFERROR(Y109/H109,"0")+IFERROR(Y110/H110,"0")</f>
        <v>4</v>
      </c>
      <c r="Z111" s="547">
        <f>IFERROR(IF(Z107="",0,Z107),"0")+IFERROR(IF(Z108="",0,Z108),"0")+IFERROR(IF(Z109="",0,Z109),"0")+IFERROR(IF(Z110="",0,Z110),"0")</f>
        <v>7.5920000000000001E-2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33</v>
      </c>
      <c r="Y112" s="547">
        <f>IFERROR(SUM(Y107:Y110),"0")</f>
        <v>43.2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234</v>
      </c>
      <c r="Y114" s="546">
        <f>IFERROR(IF(X114="",0,CEILING((X114/$H114),1)*$H114),"")</f>
        <v>234.89999999999998</v>
      </c>
      <c r="Z114" s="36">
        <f>IFERROR(IF(Y114=0,"",ROUNDUP(Y114/H114,0)*0.01898),"")</f>
        <v>0.55042000000000002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248.09777777777776</v>
      </c>
      <c r="BN114" s="64">
        <f>IFERROR(Y114*I114/H114,"0")</f>
        <v>249.05199999999996</v>
      </c>
      <c r="BO114" s="64">
        <f>IFERROR(1/J114*(X114/H114),"0")</f>
        <v>0.4513888888888889</v>
      </c>
      <c r="BP114" s="64">
        <f>IFERROR(1/J114*(Y114/H114),"0")</f>
        <v>0.453125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138</v>
      </c>
      <c r="Y116" s="546">
        <f>IFERROR(IF(X116="",0,CEILING((X116/$H116),1)*$H116),"")</f>
        <v>140.4</v>
      </c>
      <c r="Z116" s="36">
        <f>IFERROR(IF(Y116=0,"",ROUNDUP(Y116/H116,0)*0.00651),"")</f>
        <v>0.33851999999999999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150.88</v>
      </c>
      <c r="BN116" s="64">
        <f>IFERROR(Y116*I116/H116,"0")</f>
        <v>153.50399999999999</v>
      </c>
      <c r="BO116" s="64">
        <f>IFERROR(1/J116*(X116/H116),"0")</f>
        <v>0.28083028083028083</v>
      </c>
      <c r="BP116" s="64">
        <f>IFERROR(1/J116*(Y116/H116),"0")</f>
        <v>0.28571428571428575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80</v>
      </c>
      <c r="Y118" s="547">
        <f>IFERROR(Y114/H114,"0")+IFERROR(Y115/H115,"0")+IFERROR(Y116/H116,"0")+IFERROR(Y117/H117,"0")</f>
        <v>81</v>
      </c>
      <c r="Z118" s="547">
        <f>IFERROR(IF(Z114="",0,Z114),"0")+IFERROR(IF(Z115="",0,Z115),"0")+IFERROR(IF(Z116="",0,Z116),"0")+IFERROR(IF(Z117="",0,Z117),"0")</f>
        <v>0.88894000000000006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372</v>
      </c>
      <c r="Y119" s="547">
        <f>IFERROR(SUM(Y114:Y117),"0")</f>
        <v>375.29999999999995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61</v>
      </c>
      <c r="Y165" s="546">
        <f t="shared" ref="Y165:Y178" si="5">IFERROR(IF(X165="",0,CEILING((X165/$H165),1)*$H165),"")</f>
        <v>63</v>
      </c>
      <c r="Z165" s="36">
        <f>IFERROR(IF(Y165=0,"",ROUNDUP(Y165/H165,0)*0.00902),"")</f>
        <v>0.1353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64.63095238095238</v>
      </c>
      <c r="BN165" s="64">
        <f t="shared" ref="BN165:BN178" si="7">IFERROR(Y165*I165/H165,"0")</f>
        <v>66.75</v>
      </c>
      <c r="BO165" s="64">
        <f t="shared" ref="BO165:BO178" si="8">IFERROR(1/J165*(X165/H165),"0")</f>
        <v>0.11002886002886003</v>
      </c>
      <c r="BP165" s="64">
        <f t="shared" ref="BP165:BP178" si="9">IFERROR(1/J165*(Y165/H165),"0")</f>
        <v>0.11363636363636365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101</v>
      </c>
      <c r="Y167" s="546">
        <f t="shared" si="5"/>
        <v>105</v>
      </c>
      <c r="Z167" s="36">
        <f>IFERROR(IF(Y167=0,"",ROUNDUP(Y167/H167,0)*0.00902),"")</f>
        <v>0.22550000000000001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105.56904761904761</v>
      </c>
      <c r="BN167" s="64">
        <f t="shared" si="7"/>
        <v>109.74999999999999</v>
      </c>
      <c r="BO167" s="64">
        <f t="shared" si="8"/>
        <v>0.18217893217893219</v>
      </c>
      <c r="BP167" s="64">
        <f t="shared" si="9"/>
        <v>0.18939393939393939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18</v>
      </c>
      <c r="Y169" s="546">
        <f t="shared" si="5"/>
        <v>18.900000000000002</v>
      </c>
      <c r="Z169" s="36">
        <f>IFERROR(IF(Y169=0,"",ROUNDUP(Y169/H169,0)*0.00502),"")</f>
        <v>4.5179999999999998E-2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19.114285714285714</v>
      </c>
      <c r="BN169" s="64">
        <f t="shared" si="7"/>
        <v>20.07</v>
      </c>
      <c r="BO169" s="64">
        <f t="shared" si="8"/>
        <v>3.6630036630036632E-2</v>
      </c>
      <c r="BP169" s="64">
        <f t="shared" si="9"/>
        <v>3.8461538461538464E-2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3</v>
      </c>
      <c r="Y174" s="546">
        <f t="shared" si="5"/>
        <v>3.6</v>
      </c>
      <c r="Z174" s="36">
        <f>IFERROR(IF(Y174=0,"",ROUNDUP(Y174/H174,0)*0.00502),"")</f>
        <v>1.004E-2</v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3.2166666666666668</v>
      </c>
      <c r="BN174" s="64">
        <f t="shared" si="7"/>
        <v>3.8599999999999994</v>
      </c>
      <c r="BO174" s="64">
        <f t="shared" si="8"/>
        <v>7.1225071225071226E-3</v>
      </c>
      <c r="BP174" s="64">
        <f t="shared" si="9"/>
        <v>8.5470085470085479E-3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378</v>
      </c>
      <c r="Y176" s="546">
        <f t="shared" si="5"/>
        <v>378</v>
      </c>
      <c r="Z176" s="36">
        <f>IFERROR(IF(Y176=0,"",ROUNDUP(Y176/H176,0)*0.00502),"")</f>
        <v>0.90360000000000007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396</v>
      </c>
      <c r="BN176" s="64">
        <f t="shared" si="7"/>
        <v>396</v>
      </c>
      <c r="BO176" s="64">
        <f t="shared" si="8"/>
        <v>0.76923076923076927</v>
      </c>
      <c r="BP176" s="64">
        <f t="shared" si="9"/>
        <v>0.76923076923076927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228.8095238095238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231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1.31962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561</v>
      </c>
      <c r="Y180" s="547">
        <f>IFERROR(SUM(Y165:Y178),"0")</f>
        <v>568.5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1</v>
      </c>
      <c r="Y183" s="546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</v>
      </c>
      <c r="Y184" s="546">
        <f>IFERROR(IF(X184="",0,CEILING((X184/$H184),1)*$H184),"")</f>
        <v>1.26</v>
      </c>
      <c r="Z184" s="36">
        <f>IFERROR(IF(Y184=0,"",ROUNDUP(Y184/H184,0)*0.0059),"")</f>
        <v>5.8999999999999999E-3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1.1507936507936507</v>
      </c>
      <c r="BN184" s="64">
        <f>IFERROR(Y184*I184/H184,"0")</f>
        <v>1.45</v>
      </c>
      <c r="BO184" s="64">
        <f>IFERROR(1/J184*(X184/H184),"0")</f>
        <v>3.6743092298647849E-3</v>
      </c>
      <c r="BP184" s="64">
        <f>IFERROR(1/J184*(Y184/H184),"0")</f>
        <v>4.6296296296296294E-3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1.5873015873015872</v>
      </c>
      <c r="Y185" s="547">
        <f>IFERROR(Y182/H182,"0")+IFERROR(Y183/H183,"0")+IFERROR(Y184/H184,"0")</f>
        <v>2</v>
      </c>
      <c r="Z185" s="547">
        <f>IFERROR(IF(Z182="",0,Z182),"0")+IFERROR(IF(Z183="",0,Z183),"0")+IFERROR(IF(Z184="",0,Z184),"0")</f>
        <v>1.18E-2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2</v>
      </c>
      <c r="Y186" s="547">
        <f>IFERROR(SUM(Y182:Y184),"0")</f>
        <v>2.52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115</v>
      </c>
      <c r="Y203" s="546">
        <f t="shared" ref="Y203:Y210" si="10">IFERROR(IF(X203="",0,CEILING((X203/$H203),1)*$H203),"")</f>
        <v>118.80000000000001</v>
      </c>
      <c r="Z203" s="36">
        <f>IFERROR(IF(Y203=0,"",ROUNDUP(Y203/H203,0)*0.00902),"")</f>
        <v>0.19844000000000001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119.04629629629629</v>
      </c>
      <c r="BN203" s="64">
        <f t="shared" ref="BN203:BN210" si="12">IFERROR(Y203*I203/H203,"0")</f>
        <v>122.98</v>
      </c>
      <c r="BO203" s="64">
        <f t="shared" ref="BO203:BO210" si="13">IFERROR(1/J203*(X203/H203),"0")</f>
        <v>0.16133557800224466</v>
      </c>
      <c r="BP203" s="64">
        <f t="shared" ref="BP203:BP210" si="14">IFERROR(1/J203*(Y203/H203),"0")</f>
        <v>0.16666666666666669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120</v>
      </c>
      <c r="Y206" s="546">
        <f t="shared" si="10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124.2222222222222</v>
      </c>
      <c r="BN206" s="64">
        <f t="shared" si="12"/>
        <v>128.57</v>
      </c>
      <c r="BO206" s="64">
        <f t="shared" si="13"/>
        <v>0.16835016835016836</v>
      </c>
      <c r="BP206" s="64">
        <f t="shared" si="14"/>
        <v>0.17424242424242425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35</v>
      </c>
      <c r="Y207" s="546">
        <f t="shared" si="10"/>
        <v>36</v>
      </c>
      <c r="Z207" s="36">
        <f>IFERROR(IF(Y207=0,"",ROUNDUP(Y207/H207,0)*0.00502),"")</f>
        <v>0.1004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37.527777777777779</v>
      </c>
      <c r="BN207" s="64">
        <f t="shared" si="12"/>
        <v>38.6</v>
      </c>
      <c r="BO207" s="64">
        <f t="shared" si="13"/>
        <v>8.3095916429249767E-2</v>
      </c>
      <c r="BP207" s="64">
        <f t="shared" si="14"/>
        <v>8.5470085470085472E-2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26</v>
      </c>
      <c r="Y208" s="546">
        <f t="shared" si="10"/>
        <v>27</v>
      </c>
      <c r="Z208" s="36">
        <f>IFERROR(IF(Y208=0,"",ROUNDUP(Y208/H208,0)*0.00502),"")</f>
        <v>7.5300000000000006E-2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27.444444444444443</v>
      </c>
      <c r="BN208" s="64">
        <f t="shared" si="12"/>
        <v>28.499999999999996</v>
      </c>
      <c r="BO208" s="64">
        <f t="shared" si="13"/>
        <v>6.1728395061728406E-2</v>
      </c>
      <c r="BP208" s="64">
        <f t="shared" si="14"/>
        <v>6.4102564102564111E-2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38</v>
      </c>
      <c r="Y210" s="546">
        <f t="shared" si="10"/>
        <v>39.6</v>
      </c>
      <c r="Z210" s="36">
        <f>IFERROR(IF(Y210=0,"",ROUNDUP(Y210/H210,0)*0.00502),"")</f>
        <v>0.11044000000000001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40.111111111111114</v>
      </c>
      <c r="BN210" s="64">
        <f t="shared" si="12"/>
        <v>41.8</v>
      </c>
      <c r="BO210" s="64">
        <f t="shared" si="13"/>
        <v>9.0218423551756896E-2</v>
      </c>
      <c r="BP210" s="64">
        <f t="shared" si="14"/>
        <v>9.401709401709403E-2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144.81481481481481</v>
      </c>
      <c r="Y211" s="547">
        <f>IFERROR(Y203/H203,"0")+IFERROR(Y204/H204,"0")+IFERROR(Y205/H205,"0")+IFERROR(Y206/H206,"0")+IFERROR(Y207/H207,"0")+IFERROR(Y208/H208,"0")+IFERROR(Y209/H209,"0")+IFERROR(Y210/H210,"0")</f>
        <v>149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1.1159800000000002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584</v>
      </c>
      <c r="Y212" s="547">
        <f>IFERROR(SUM(Y203:Y210),"0")</f>
        <v>599.4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70</v>
      </c>
      <c r="Y214" s="546">
        <f t="shared" ref="Y214:Y222" si="15">IFERROR(IF(X214="",0,CEILING((X214/$H214),1)*$H214),"")</f>
        <v>72.899999999999991</v>
      </c>
      <c r="Z214" s="36">
        <f>IFERROR(IF(Y214=0,"",ROUNDUP(Y214/H214,0)*0.01898),"")</f>
        <v>0.17082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74.269135802469137</v>
      </c>
      <c r="BN214" s="64">
        <f t="shared" ref="BN214:BN222" si="17">IFERROR(Y214*I214/H214,"0")</f>
        <v>77.345999999999989</v>
      </c>
      <c r="BO214" s="64">
        <f t="shared" ref="BO214:BO222" si="18">IFERROR(1/J214*(X214/H214),"0")</f>
        <v>0.13503086419753088</v>
      </c>
      <c r="BP214" s="64">
        <f t="shared" ref="BP214:BP222" si="19">IFERROR(1/J214*(Y214/H214),"0")</f>
        <v>0.140625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71</v>
      </c>
      <c r="Y215" s="546">
        <f t="shared" si="15"/>
        <v>72.899999999999991</v>
      </c>
      <c r="Z215" s="36">
        <f>IFERROR(IF(Y215=0,"",ROUNDUP(Y215/H215,0)*0.01898),"")</f>
        <v>0.17082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75.172345679012352</v>
      </c>
      <c r="BN215" s="64">
        <f t="shared" si="17"/>
        <v>77.183999999999997</v>
      </c>
      <c r="BO215" s="64">
        <f t="shared" si="18"/>
        <v>0.13695987654320987</v>
      </c>
      <c r="BP215" s="64">
        <f t="shared" si="19"/>
        <v>0.140625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182</v>
      </c>
      <c r="Y216" s="546">
        <f t="shared" si="15"/>
        <v>182.7</v>
      </c>
      <c r="Z216" s="36">
        <f>IFERROR(IF(Y216=0,"",ROUNDUP(Y216/H216,0)*0.01898),"")</f>
        <v>0.39857999999999999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192.33425287356326</v>
      </c>
      <c r="BN216" s="64">
        <f t="shared" si="17"/>
        <v>193.07400000000001</v>
      </c>
      <c r="BO216" s="64">
        <f t="shared" si="18"/>
        <v>0.32686781609195403</v>
      </c>
      <c r="BP216" s="64">
        <f t="shared" si="19"/>
        <v>0.328125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72</v>
      </c>
      <c r="Y217" s="546">
        <f t="shared" si="15"/>
        <v>72</v>
      </c>
      <c r="Z217" s="36">
        <f t="shared" ref="Z217:Z222" si="20">IFERROR(IF(Y217=0,"",ROUNDUP(Y217/H217,0)*0.00651),"")</f>
        <v>0.1953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80.100000000000009</v>
      </c>
      <c r="BN217" s="64">
        <f t="shared" si="17"/>
        <v>80.100000000000009</v>
      </c>
      <c r="BO217" s="64">
        <f t="shared" si="18"/>
        <v>0.16483516483516486</v>
      </c>
      <c r="BP217" s="64">
        <f t="shared" si="19"/>
        <v>0.16483516483516486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636</v>
      </c>
      <c r="Y219" s="546">
        <f t="shared" si="15"/>
        <v>636</v>
      </c>
      <c r="Z219" s="36">
        <f t="shared" si="20"/>
        <v>1.72515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702.78000000000009</v>
      </c>
      <c r="BN219" s="64">
        <f t="shared" si="17"/>
        <v>702.78000000000009</v>
      </c>
      <c r="BO219" s="64">
        <f t="shared" si="18"/>
        <v>1.4560439560439562</v>
      </c>
      <c r="BP219" s="64">
        <f t="shared" si="19"/>
        <v>1.4560439560439562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230</v>
      </c>
      <c r="Y220" s="546">
        <f t="shared" si="15"/>
        <v>230.39999999999998</v>
      </c>
      <c r="Z220" s="36">
        <f t="shared" si="20"/>
        <v>0.62495999999999996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254.15000000000003</v>
      </c>
      <c r="BN220" s="64">
        <f t="shared" si="17"/>
        <v>254.59200000000001</v>
      </c>
      <c r="BO220" s="64">
        <f t="shared" si="18"/>
        <v>0.52655677655677668</v>
      </c>
      <c r="BP220" s="64">
        <f t="shared" si="19"/>
        <v>0.52747252747252749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58</v>
      </c>
      <c r="Y221" s="546">
        <f t="shared" si="15"/>
        <v>60</v>
      </c>
      <c r="Z221" s="36">
        <f t="shared" si="20"/>
        <v>0.16275000000000001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64.09</v>
      </c>
      <c r="BN221" s="64">
        <f t="shared" si="17"/>
        <v>66.300000000000011</v>
      </c>
      <c r="BO221" s="64">
        <f t="shared" si="18"/>
        <v>0.13278388278388281</v>
      </c>
      <c r="BP221" s="64">
        <f t="shared" si="19"/>
        <v>0.13736263736263737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28</v>
      </c>
      <c r="Y222" s="546">
        <f t="shared" si="15"/>
        <v>28.799999999999997</v>
      </c>
      <c r="Z222" s="36">
        <f t="shared" si="20"/>
        <v>7.8119999999999995E-2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31.009999999999998</v>
      </c>
      <c r="BN222" s="64">
        <f t="shared" si="17"/>
        <v>31.896000000000001</v>
      </c>
      <c r="BO222" s="64">
        <f t="shared" si="18"/>
        <v>6.4102564102564111E-2</v>
      </c>
      <c r="BP222" s="64">
        <f t="shared" si="19"/>
        <v>6.5934065934065936E-2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464.99361430395913</v>
      </c>
      <c r="Y223" s="547">
        <f>IFERROR(Y214/H214,"0")+IFERROR(Y215/H215,"0")+IFERROR(Y216/H216,"0")+IFERROR(Y217/H217,"0")+IFERROR(Y218/H218,"0")+IFERROR(Y219/H219,"0")+IFERROR(Y220/H220,"0")+IFERROR(Y221/H221,"0")+IFERROR(Y222/H222,"0")</f>
        <v>467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3.5265000000000004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1347</v>
      </c>
      <c r="Y224" s="547">
        <f>IFERROR(SUM(Y214:Y222),"0")</f>
        <v>1355.7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48</v>
      </c>
      <c r="Y226" s="546">
        <f>IFERROR(IF(X226="",0,CEILING((X226/$H226),1)*$H226),"")</f>
        <v>48</v>
      </c>
      <c r="Z226" s="36">
        <f>IFERROR(IF(Y226=0,"",ROUNDUP(Y226/H226,0)*0.00651),"")</f>
        <v>0.13020000000000001</v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53.040000000000006</v>
      </c>
      <c r="BN226" s="64">
        <f>IFERROR(Y226*I226/H226,"0")</f>
        <v>53.040000000000006</v>
      </c>
      <c r="BO226" s="64">
        <f>IFERROR(1/J226*(X226/H226),"0")</f>
        <v>0.1098901098901099</v>
      </c>
      <c r="BP226" s="64">
        <f>IFERROR(1/J226*(Y226/H226),"0")</f>
        <v>0.1098901098901099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28.333333333333336</v>
      </c>
      <c r="Y228" s="547">
        <f>IFERROR(Y226/H226,"0")+IFERROR(Y227/H227,"0")</f>
        <v>29</v>
      </c>
      <c r="Z228" s="547">
        <f>IFERROR(IF(Z226="",0,Z226),"0")+IFERROR(IF(Z227="",0,Z227),"0")</f>
        <v>0.18879000000000001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68</v>
      </c>
      <c r="Y229" s="547">
        <f>IFERROR(SUM(Y226:Y227),"0")</f>
        <v>69.599999999999994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8</v>
      </c>
      <c r="Y235" s="546">
        <f t="shared" si="21"/>
        <v>8</v>
      </c>
      <c r="Z235" s="36">
        <f>IFERROR(IF(Y235=0,"",ROUNDUP(Y235/H235,0)*0.00902),"")</f>
        <v>1.804E-2</v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8.3800000000000008</v>
      </c>
      <c r="BN235" s="64">
        <f t="shared" si="23"/>
        <v>8.3800000000000008</v>
      </c>
      <c r="BO235" s="64">
        <f t="shared" si="24"/>
        <v>1.5151515151515152E-2</v>
      </c>
      <c r="BP235" s="64">
        <f t="shared" si="25"/>
        <v>1.5151515151515152E-2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2</v>
      </c>
      <c r="Y241" s="547">
        <f>IFERROR(Y232/H232,"0")+IFERROR(Y233/H233,"0")+IFERROR(Y234/H234,"0")+IFERROR(Y235/H235,"0")+IFERROR(Y236/H236,"0")+IFERROR(Y237/H237,"0")+IFERROR(Y238/H238,"0")+IFERROR(Y239/H239,"0")+IFERROR(Y240/H240,"0")</f>
        <v>2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1.804E-2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8</v>
      </c>
      <c r="Y242" s="547">
        <f>IFERROR(SUM(Y232:Y240),"0")</f>
        <v>8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1</v>
      </c>
      <c r="Y248" s="546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0.55555555555555558</v>
      </c>
      <c r="Y249" s="547">
        <f>IFERROR(Y248/H248,"0")</f>
        <v>1</v>
      </c>
      <c r="Z249" s="547">
        <f>IFERROR(IF(Z248="",0,Z248),"0")</f>
        <v>5.8999999999999999E-3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1</v>
      </c>
      <c r="Y250" s="547">
        <f>IFERROR(SUM(Y248:Y248),"0")</f>
        <v>1.8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32</v>
      </c>
      <c r="Y279" s="546">
        <f>IFERROR(IF(X279="",0,CEILING((X279/$H279),1)*$H279),"")</f>
        <v>33.6</v>
      </c>
      <c r="Z279" s="36">
        <f>IFERROR(IF(Y279=0,"",ROUNDUP(Y279/H279,0)*0.00651),"")</f>
        <v>9.1139999999999999E-2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35.360000000000007</v>
      </c>
      <c r="BN279" s="64">
        <f>IFERROR(Y279*I279/H279,"0")</f>
        <v>37.128000000000007</v>
      </c>
      <c r="BO279" s="64">
        <f>IFERROR(1/J279*(X279/H279),"0")</f>
        <v>7.3260073260073263E-2</v>
      </c>
      <c r="BP279" s="64">
        <f>IFERROR(1/J279*(Y279/H279),"0")</f>
        <v>7.6923076923076941E-2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45</v>
      </c>
      <c r="Y280" s="546">
        <f>IFERROR(IF(X280="",0,CEILING((X280/$H280),1)*$H280),"")</f>
        <v>45.6</v>
      </c>
      <c r="Z280" s="36">
        <f>IFERROR(IF(Y280=0,"",ROUNDUP(Y280/H280,0)*0.00651),"")</f>
        <v>0.12369000000000001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48.375000000000007</v>
      </c>
      <c r="BN280" s="64">
        <f>IFERROR(Y280*I280/H280,"0")</f>
        <v>49.02</v>
      </c>
      <c r="BO280" s="64">
        <f>IFERROR(1/J280*(X280/H280),"0")</f>
        <v>0.10302197802197803</v>
      </c>
      <c r="BP280" s="64">
        <f>IFERROR(1/J280*(Y280/H280),"0")</f>
        <v>0.1043956043956044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32.083333333333336</v>
      </c>
      <c r="Y281" s="547">
        <f>IFERROR(Y278/H278,"0")+IFERROR(Y279/H279,"0")+IFERROR(Y280/H280,"0")</f>
        <v>33</v>
      </c>
      <c r="Z281" s="547">
        <f>IFERROR(IF(Z278="",0,Z278),"0")+IFERROR(IF(Z279="",0,Z279),"0")+IFERROR(IF(Z280="",0,Z280),"0")</f>
        <v>0.21483000000000002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77</v>
      </c>
      <c r="Y282" s="547">
        <f>IFERROR(SUM(Y278:Y280),"0")</f>
        <v>79.2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17</v>
      </c>
      <c r="Y309" s="546">
        <f t="shared" si="26"/>
        <v>18</v>
      </c>
      <c r="Z309" s="36">
        <f>IFERROR(IF(Y309=0,"",ROUNDUP(Y309/H309,0)*0.00651),"")</f>
        <v>6.5100000000000005E-2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19.153333333333332</v>
      </c>
      <c r="BN309" s="64">
        <f t="shared" si="28"/>
        <v>20.279999999999998</v>
      </c>
      <c r="BO309" s="64">
        <f t="shared" si="29"/>
        <v>5.1892551892551896E-2</v>
      </c>
      <c r="BP309" s="64">
        <f t="shared" si="30"/>
        <v>5.4945054945054951E-2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9.4444444444444446</v>
      </c>
      <c r="Y310" s="547">
        <f>IFERROR(Y304/H304,"0")+IFERROR(Y305/H305,"0")+IFERROR(Y306/H306,"0")+IFERROR(Y307/H307,"0")+IFERROR(Y308/H308,"0")+IFERROR(Y309/H309,"0")</f>
        <v>10</v>
      </c>
      <c r="Z310" s="547">
        <f>IFERROR(IF(Z304="",0,Z304),"0")+IFERROR(IF(Z305="",0,Z305),"0")+IFERROR(IF(Z306="",0,Z306),"0")+IFERROR(IF(Z307="",0,Z307),"0")+IFERROR(IF(Z308="",0,Z308),"0")+IFERROR(IF(Z309="",0,Z309),"0")</f>
        <v>6.5100000000000005E-2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17</v>
      </c>
      <c r="Y311" s="547">
        <f>IFERROR(SUM(Y304:Y309),"0")</f>
        <v>18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79</v>
      </c>
      <c r="Y320" s="546">
        <f>IFERROR(IF(X320="",0,CEILING((X320/$H320),1)*$H320),"")</f>
        <v>84</v>
      </c>
      <c r="Z320" s="36">
        <f>IFERROR(IF(Y320=0,"",ROUNDUP(Y320/H320,0)*0.01898),"")</f>
        <v>0.1898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83.64595238095238</v>
      </c>
      <c r="BN320" s="64">
        <f>IFERROR(Y320*I320/H320,"0")</f>
        <v>88.94</v>
      </c>
      <c r="BO320" s="64">
        <f>IFERROR(1/J320*(X320/H320),"0")</f>
        <v>0.14694940476190477</v>
      </c>
      <c r="BP320" s="64">
        <f>IFERROR(1/J320*(Y320/H320),"0")</f>
        <v>0.15625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385</v>
      </c>
      <c r="Y321" s="546">
        <f>IFERROR(IF(X321="",0,CEILING((X321/$H321),1)*$H321),"")</f>
        <v>390</v>
      </c>
      <c r="Z321" s="36">
        <f>IFERROR(IF(Y321=0,"",ROUNDUP(Y321/H321,0)*0.01898),"")</f>
        <v>0.94900000000000007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409.38333333333333</v>
      </c>
      <c r="BN321" s="64">
        <f>IFERROR(Y321*I321/H321,"0")</f>
        <v>414.70000000000005</v>
      </c>
      <c r="BO321" s="64">
        <f>IFERROR(1/J321*(X321/H321),"0")</f>
        <v>0.77123397435897434</v>
      </c>
      <c r="BP321" s="64">
        <f>IFERROR(1/J321*(Y321/H321),"0")</f>
        <v>0.78125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91</v>
      </c>
      <c r="Y322" s="546">
        <f>IFERROR(IF(X322="",0,CEILING((X322/$H322),1)*$H322),"")</f>
        <v>92.4</v>
      </c>
      <c r="Z322" s="36">
        <f>IFERROR(IF(Y322=0,"",ROUNDUP(Y322/H322,0)*0.01898),"")</f>
        <v>0.20877999999999999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96.351666666666674</v>
      </c>
      <c r="BN322" s="64">
        <f>IFERROR(Y322*I322/H322,"0")</f>
        <v>97.834000000000003</v>
      </c>
      <c r="BO322" s="64">
        <f>IFERROR(1/J322*(X322/H322),"0")</f>
        <v>0.16927083333333331</v>
      </c>
      <c r="BP322" s="64">
        <f>IFERROR(1/J322*(Y322/H322),"0")</f>
        <v>0.171875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69.597069597069591</v>
      </c>
      <c r="Y323" s="547">
        <f>IFERROR(Y320/H320,"0")+IFERROR(Y321/H321,"0")+IFERROR(Y322/H322,"0")</f>
        <v>71</v>
      </c>
      <c r="Z323" s="547">
        <f>IFERROR(IF(Z320="",0,Z320),"0")+IFERROR(IF(Z321="",0,Z321),"0")+IFERROR(IF(Z322="",0,Z322),"0")</f>
        <v>1.34758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555</v>
      </c>
      <c r="Y324" s="547">
        <f>IFERROR(SUM(Y320:Y322),"0")</f>
        <v>566.4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1</v>
      </c>
      <c r="Y334" s="546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1.1200000000000001</v>
      </c>
      <c r="BN334" s="64">
        <f>IFERROR(Y334*I334/H334,"0")</f>
        <v>2.2400000000000002</v>
      </c>
      <c r="BO334" s="64">
        <f>IFERROR(1/J334*(X334/H334),"0")</f>
        <v>2.1008403361344537E-3</v>
      </c>
      <c r="BP334" s="64">
        <f>IFERROR(1/J334*(Y334/H334),"0")</f>
        <v>4.2016806722689074E-3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0.5</v>
      </c>
      <c r="Y336" s="547">
        <f>IFERROR(Y333/H333,"0")+IFERROR(Y334/H334,"0")+IFERROR(Y335/H335,"0")</f>
        <v>1</v>
      </c>
      <c r="Z336" s="547">
        <f>IFERROR(IF(Z333="",0,Z333),"0")+IFERROR(IF(Z334="",0,Z334),"0")+IFERROR(IF(Z335="",0,Z335),"0")</f>
        <v>4.7400000000000003E-3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1</v>
      </c>
      <c r="Y337" s="547">
        <f>IFERROR(SUM(Y333:Y335),"0")</f>
        <v>2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30</v>
      </c>
      <c r="Y340" s="546">
        <f>IFERROR(IF(X340="",0,CEILING((X340/$H340),1)*$H340),"")</f>
        <v>32.4</v>
      </c>
      <c r="Z340" s="36">
        <f>IFERROR(IF(Y340=0,"",ROUNDUP(Y340/H340,0)*0.01898),"")</f>
        <v>7.5920000000000001E-2</v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31.829629629629629</v>
      </c>
      <c r="BN340" s="64">
        <f>IFERROR(Y340*I340/H340,"0")</f>
        <v>34.375999999999998</v>
      </c>
      <c r="BO340" s="64">
        <f>IFERROR(1/J340*(X340/H340),"0")</f>
        <v>5.7870370370370371E-2</v>
      </c>
      <c r="BP340" s="64">
        <f>IFERROR(1/J340*(Y340/H340),"0")</f>
        <v>6.25E-2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45.608465608465607</v>
      </c>
      <c r="Y343" s="547">
        <f>IFERROR(Y340/H340,"0")+IFERROR(Y341/H341,"0")+IFERROR(Y342/H342,"0")</f>
        <v>47</v>
      </c>
      <c r="Z343" s="547">
        <f>IFERROR(IF(Z340="",0,Z340),"0")+IFERROR(IF(Z341="",0,Z341),"0")+IFERROR(IF(Z342="",0,Z342),"0")</f>
        <v>0.35585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118</v>
      </c>
      <c r="Y344" s="547">
        <f>IFERROR(SUM(Y340:Y342),"0")</f>
        <v>122.7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355</v>
      </c>
      <c r="Y348" s="546">
        <f t="shared" ref="Y348:Y354" si="31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366.12333333333333</v>
      </c>
      <c r="BN348" s="64">
        <f t="shared" ref="BN348:BN354" si="33">IFERROR(Y348*I348/H348,"0")</f>
        <v>371.28</v>
      </c>
      <c r="BO348" s="64">
        <f t="shared" ref="BO348:BO354" si="34">IFERROR(1/J348*(X348/H348),"0")</f>
        <v>0.49305555555555558</v>
      </c>
      <c r="BP348" s="64">
        <f t="shared" ref="BP348:BP354" si="35">IFERROR(1/J348*(Y348/H348),"0")</f>
        <v>0.5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415</v>
      </c>
      <c r="Y349" s="546">
        <f t="shared" si="31"/>
        <v>420</v>
      </c>
      <c r="Z349" s="36">
        <f>IFERROR(IF(Y349=0,"",ROUNDUP(Y349/H349,0)*0.02175),"")</f>
        <v>0.60899999999999999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428.00333333333333</v>
      </c>
      <c r="BN349" s="64">
        <f t="shared" si="33"/>
        <v>433.16</v>
      </c>
      <c r="BO349" s="64">
        <f t="shared" si="34"/>
        <v>0.57638888888888884</v>
      </c>
      <c r="BP349" s="64">
        <f t="shared" si="35"/>
        <v>0.58333333333333326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132</v>
      </c>
      <c r="Y350" s="546">
        <f t="shared" si="31"/>
        <v>135</v>
      </c>
      <c r="Z350" s="36">
        <f>IFERROR(IF(Y350=0,"",ROUNDUP(Y350/H350,0)*0.02175),"")</f>
        <v>0.19574999999999998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136.13600000000002</v>
      </c>
      <c r="BN350" s="64">
        <f t="shared" si="33"/>
        <v>139.23000000000002</v>
      </c>
      <c r="BO350" s="64">
        <f t="shared" si="34"/>
        <v>0.18333333333333335</v>
      </c>
      <c r="BP350" s="64">
        <f t="shared" si="35"/>
        <v>0.1875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60.13333333333334</v>
      </c>
      <c r="Y355" s="547">
        <f>IFERROR(Y348/H348,"0")+IFERROR(Y349/H349,"0")+IFERROR(Y350/H350,"0")+IFERROR(Y351/H351,"0")+IFERROR(Y352/H352,"0")+IFERROR(Y353/H353,"0")+IFERROR(Y354/H354,"0")</f>
        <v>61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1.3267500000000001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902</v>
      </c>
      <c r="Y356" s="547">
        <f>IFERROR(SUM(Y348:Y354),"0")</f>
        <v>915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781</v>
      </c>
      <c r="Y358" s="546">
        <f>IFERROR(IF(X358="",0,CEILING((X358/$H358),1)*$H358),"")</f>
        <v>795</v>
      </c>
      <c r="Z358" s="36">
        <f>IFERROR(IF(Y358=0,"",ROUNDUP(Y358/H358,0)*0.02175),"")</f>
        <v>1.1527499999999999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805.47133333333329</v>
      </c>
      <c r="BN358" s="64">
        <f>IFERROR(Y358*I358/H358,"0")</f>
        <v>819.91</v>
      </c>
      <c r="BO358" s="64">
        <f>IFERROR(1/J358*(X358/H358),"0")</f>
        <v>1.0847222222222221</v>
      </c>
      <c r="BP358" s="64">
        <f>IFERROR(1/J358*(Y358/H358),"0")</f>
        <v>1.1041666666666665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52.06666666666667</v>
      </c>
      <c r="Y360" s="547">
        <f>IFERROR(Y358/H358,"0")+IFERROR(Y359/H359,"0")</f>
        <v>53</v>
      </c>
      <c r="Z360" s="547">
        <f>IFERROR(IF(Z358="",0,Z358),"0")+IFERROR(IF(Z359="",0,Z359),"0")</f>
        <v>1.1527499999999999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781</v>
      </c>
      <c r="Y361" s="547">
        <f>IFERROR(SUM(Y358:Y359),"0")</f>
        <v>795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50</v>
      </c>
      <c r="Y364" s="546">
        <f>IFERROR(IF(X364="",0,CEILING((X364/$H364),1)*$H364),"")</f>
        <v>54</v>
      </c>
      <c r="Z364" s="36">
        <f>IFERROR(IF(Y364=0,"",ROUNDUP(Y364/H364,0)*0.01898),"")</f>
        <v>0.11388000000000001</v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52.74444444444444</v>
      </c>
      <c r="BN364" s="64">
        <f>IFERROR(Y364*I364/H364,"0")</f>
        <v>56.963999999999992</v>
      </c>
      <c r="BO364" s="64">
        <f>IFERROR(1/J364*(X364/H364),"0")</f>
        <v>8.6805555555555552E-2</v>
      </c>
      <c r="BP364" s="64">
        <f>IFERROR(1/J364*(Y364/H364),"0")</f>
        <v>9.375E-2</v>
      </c>
    </row>
    <row r="365" spans="1:68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5.5555555555555554</v>
      </c>
      <c r="Y365" s="547">
        <f>IFERROR(Y363/H363,"0")+IFERROR(Y364/H364,"0")</f>
        <v>6</v>
      </c>
      <c r="Z365" s="547">
        <f>IFERROR(IF(Z363="",0,Z363),"0")+IFERROR(IF(Z364="",0,Z364),"0")</f>
        <v>0.11388000000000001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50</v>
      </c>
      <c r="Y366" s="547">
        <f>IFERROR(SUM(Y363:Y364),"0")</f>
        <v>54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145</v>
      </c>
      <c r="Y368" s="546">
        <f>IFERROR(IF(X368="",0,CEILING((X368/$H368),1)*$H368),"")</f>
        <v>153</v>
      </c>
      <c r="Z368" s="36">
        <f>IFERROR(IF(Y368=0,"",ROUNDUP(Y368/H368,0)*0.01898),"")</f>
        <v>0.32266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152.95888888888888</v>
      </c>
      <c r="BN368" s="64">
        <f>IFERROR(Y368*I368/H368,"0")</f>
        <v>161.398</v>
      </c>
      <c r="BO368" s="64">
        <f>IFERROR(1/J368*(X368/H368),"0")</f>
        <v>0.2517361111111111</v>
      </c>
      <c r="BP368" s="64">
        <f>IFERROR(1/J368*(Y368/H368),"0")</f>
        <v>0.265625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16.111111111111111</v>
      </c>
      <c r="Y369" s="547">
        <f>IFERROR(Y368/H368,"0")</f>
        <v>17</v>
      </c>
      <c r="Z369" s="547">
        <f>IFERROR(IF(Z368="",0,Z368),"0")</f>
        <v>0.32266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145</v>
      </c>
      <c r="Y370" s="547">
        <f>IFERROR(SUM(Y368:Y368),"0")</f>
        <v>153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15</v>
      </c>
      <c r="Y373" s="546">
        <f>IFERROR(IF(X373="",0,CEILING((X373/$H373),1)*$H373),"")</f>
        <v>24</v>
      </c>
      <c r="Z373" s="36">
        <f>IFERROR(IF(Y373=0,"",ROUNDUP(Y373/H373,0)*0.01898),"")</f>
        <v>3.7960000000000001E-2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15.512500000000001</v>
      </c>
      <c r="BN373" s="64">
        <f>IFERROR(Y373*I373/H373,"0")</f>
        <v>24.820000000000004</v>
      </c>
      <c r="BO373" s="64">
        <f>IFERROR(1/J373*(X373/H373),"0")</f>
        <v>1.953125E-2</v>
      </c>
      <c r="BP373" s="64">
        <f>IFERROR(1/J373*(Y373/H373),"0")</f>
        <v>3.125E-2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1.25</v>
      </c>
      <c r="Y375" s="547">
        <f>IFERROR(Y373/H373,"0")+IFERROR(Y374/H374,"0")</f>
        <v>2</v>
      </c>
      <c r="Z375" s="547">
        <f>IFERROR(IF(Z373="",0,Z373),"0")+IFERROR(IF(Z374="",0,Z374),"0")</f>
        <v>3.7960000000000001E-2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15</v>
      </c>
      <c r="Y376" s="547">
        <f>IFERROR(SUM(Y373:Y374),"0")</f>
        <v>24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1514</v>
      </c>
      <c r="Y383" s="546">
        <f>IFERROR(IF(X383="",0,CEILING((X383/$H383),1)*$H383),"")</f>
        <v>1521</v>
      </c>
      <c r="Z383" s="36">
        <f>IFERROR(IF(Y383=0,"",ROUNDUP(Y383/H383,0)*0.01898),"")</f>
        <v>3.2076199999999999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1597.1017777777777</v>
      </c>
      <c r="BN383" s="64">
        <f>IFERROR(Y383*I383/H383,"0")</f>
        <v>1604.4859999999999</v>
      </c>
      <c r="BO383" s="64">
        <f>IFERROR(1/J383*(X383/H383),"0")</f>
        <v>2.6284722222222223</v>
      </c>
      <c r="BP383" s="64">
        <f>IFERROR(1/J383*(Y383/H383),"0")</f>
        <v>2.640625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168.22222222222223</v>
      </c>
      <c r="Y386" s="547">
        <f>IFERROR(Y383/H383,"0")+IFERROR(Y384/H384,"0")+IFERROR(Y385/H385,"0")</f>
        <v>169</v>
      </c>
      <c r="Z386" s="547">
        <f>IFERROR(IF(Z383="",0,Z383),"0")+IFERROR(IF(Z384="",0,Z384),"0")+IFERROR(IF(Z385="",0,Z385),"0")</f>
        <v>3.2076199999999999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1514</v>
      </c>
      <c r="Y387" s="547">
        <f>IFERROR(SUM(Y383:Y385),"0")</f>
        <v>1521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21</v>
      </c>
      <c r="Y430" s="546">
        <f t="shared" si="42"/>
        <v>21.12</v>
      </c>
      <c r="Z430" s="36">
        <f t="shared" si="43"/>
        <v>4.7840000000000001E-2</v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22.392045454545453</v>
      </c>
      <c r="BN430" s="64">
        <f t="shared" si="45"/>
        <v>22.52</v>
      </c>
      <c r="BO430" s="64">
        <f t="shared" si="46"/>
        <v>3.8243006993006992E-2</v>
      </c>
      <c r="BP430" s="64">
        <f t="shared" si="47"/>
        <v>3.8461538461538464E-2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241</v>
      </c>
      <c r="Y431" s="546">
        <f t="shared" si="42"/>
        <v>242.88000000000002</v>
      </c>
      <c r="Z431" s="36">
        <f t="shared" si="43"/>
        <v>0.55015999999999998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256.97537878787875</v>
      </c>
      <c r="BN431" s="64">
        <f t="shared" si="45"/>
        <v>258.98</v>
      </c>
      <c r="BO431" s="64">
        <f t="shared" si="46"/>
        <v>0.43888403263403264</v>
      </c>
      <c r="BP431" s="64">
        <f t="shared" si="47"/>
        <v>0.44230769230769235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28</v>
      </c>
      <c r="Y435" s="546">
        <f t="shared" si="42"/>
        <v>28.799999999999997</v>
      </c>
      <c r="Z435" s="36">
        <f>IFERROR(IF(Y435=0,"",ROUNDUP(Y435/H435,0)*0.00902),"")</f>
        <v>5.4120000000000001E-2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40.308333333333337</v>
      </c>
      <c r="BN435" s="64">
        <f t="shared" si="45"/>
        <v>41.46</v>
      </c>
      <c r="BO435" s="64">
        <f t="shared" si="46"/>
        <v>4.4191919191919199E-2</v>
      </c>
      <c r="BP435" s="64">
        <f t="shared" si="47"/>
        <v>4.5454545454545456E-2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55.454545454545453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0.65212000000000003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290</v>
      </c>
      <c r="Y440" s="547">
        <f>IFERROR(SUM(Y427:Y438),"0")</f>
        <v>292.8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430</v>
      </c>
      <c r="Y442" s="546">
        <f>IFERROR(IF(X442="",0,CEILING((X442/$H442),1)*$H442),"")</f>
        <v>432.96000000000004</v>
      </c>
      <c r="Z442" s="36">
        <f>IFERROR(IF(Y442=0,"",ROUNDUP(Y442/H442,0)*0.01196),"")</f>
        <v>0.98072000000000004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458.50378787878788</v>
      </c>
      <c r="BN442" s="64">
        <f>IFERROR(Y442*I442/H442,"0")</f>
        <v>461.66</v>
      </c>
      <c r="BO442" s="64">
        <f>IFERROR(1/J442*(X442/H442),"0")</f>
        <v>0.78307109557109555</v>
      </c>
      <c r="BP442" s="64">
        <f>IFERROR(1/J442*(Y442/H442),"0")</f>
        <v>0.78846153846153855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65</v>
      </c>
      <c r="Y444" s="546">
        <f>IFERROR(IF(X444="",0,CEILING((X444/$H444),1)*$H444),"")</f>
        <v>67.2</v>
      </c>
      <c r="Z444" s="36">
        <f>IFERROR(IF(Y444=0,"",ROUNDUP(Y444/H444,0)*0.00902),"")</f>
        <v>0.12628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93.572916666666671</v>
      </c>
      <c r="BN444" s="64">
        <f>IFERROR(Y444*I444/H444,"0")</f>
        <v>96.740000000000009</v>
      </c>
      <c r="BO444" s="64">
        <f>IFERROR(1/J444*(X444/H444),"0")</f>
        <v>0.10258838383838385</v>
      </c>
      <c r="BP444" s="64">
        <f>IFERROR(1/J444*(Y444/H444),"0")</f>
        <v>0.10606060606060608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94.981060606060609</v>
      </c>
      <c r="Y445" s="547">
        <f>IFERROR(Y442/H442,"0")+IFERROR(Y443/H443,"0")+IFERROR(Y444/H444,"0")</f>
        <v>96</v>
      </c>
      <c r="Z445" s="547">
        <f>IFERROR(IF(Z442="",0,Z442),"0")+IFERROR(IF(Z443="",0,Z443),"0")+IFERROR(IF(Z444="",0,Z444),"0")</f>
        <v>1.107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495</v>
      </c>
      <c r="Y446" s="547">
        <f>IFERROR(SUM(Y442:Y444),"0")</f>
        <v>500.16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115</v>
      </c>
      <c r="Y448" s="546">
        <f t="shared" ref="Y448:Y453" si="48">IFERROR(IF(X448="",0,CEILING((X448/$H448),1)*$H448),"")</f>
        <v>116.16000000000001</v>
      </c>
      <c r="Z448" s="36">
        <f>IFERROR(IF(Y448=0,"",ROUNDUP(Y448/H448,0)*0.01196),"")</f>
        <v>0.26312000000000002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122.62310606060605</v>
      </c>
      <c r="BN448" s="64">
        <f t="shared" ref="BN448:BN453" si="50">IFERROR(Y448*I448/H448,"0")</f>
        <v>123.86</v>
      </c>
      <c r="BO448" s="64">
        <f t="shared" ref="BO448:BO453" si="51">IFERROR(1/J448*(X448/H448),"0")</f>
        <v>0.20942599067599066</v>
      </c>
      <c r="BP448" s="64">
        <f t="shared" ref="BP448:BP453" si="52">IFERROR(1/J448*(Y448/H448),"0")</f>
        <v>0.21153846153846156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84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89.568181818181813</v>
      </c>
      <c r="BN449" s="64">
        <f t="shared" si="50"/>
        <v>90.08</v>
      </c>
      <c r="BO449" s="64">
        <f t="shared" si="51"/>
        <v>0.15297202797202797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202</v>
      </c>
      <c r="Y450" s="546">
        <f t="shared" si="48"/>
        <v>205.92000000000002</v>
      </c>
      <c r="Z450" s="36">
        <f>IFERROR(IF(Y450=0,"",ROUNDUP(Y450/H450,0)*0.01196),"")</f>
        <v>0.46644000000000002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215.3901515151515</v>
      </c>
      <c r="BN450" s="64">
        <f t="shared" si="50"/>
        <v>219.57</v>
      </c>
      <c r="BO450" s="64">
        <f t="shared" si="51"/>
        <v>0.3678613053613054</v>
      </c>
      <c r="BP450" s="64">
        <f t="shared" si="52"/>
        <v>0.375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75.946969696969688</v>
      </c>
      <c r="Y454" s="547">
        <f>IFERROR(Y448/H448,"0")+IFERROR(Y449/H449,"0")+IFERROR(Y450/H450,"0")+IFERROR(Y451/H451,"0")+IFERROR(Y452/H452,"0")+IFERROR(Y453/H453,"0")</f>
        <v>77</v>
      </c>
      <c r="Z454" s="547">
        <f>IFERROR(IF(Z448="",0,Z448),"0")+IFERROR(IF(Z449="",0,Z449),"0")+IFERROR(IF(Z450="",0,Z450),"0")+IFERROR(IF(Z451="",0,Z451),"0")+IFERROR(IF(Z452="",0,Z452),"0")+IFERROR(IF(Z453="",0,Z453),"0")</f>
        <v>0.92091999999999996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401</v>
      </c>
      <c r="Y455" s="547">
        <f>IFERROR(SUM(Y448:Y453),"0")</f>
        <v>406.56000000000006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9499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9674.1399999999976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10085.730944274754</v>
      </c>
      <c r="Y489" s="547">
        <f>IFERROR(SUM(BN22:BN485),"0")</f>
        <v>10271.036999999997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17</v>
      </c>
      <c r="Y490" s="38">
        <f>ROUNDUP(SUM(BP22:BP485),0)</f>
        <v>18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10510.730944274754</v>
      </c>
      <c r="Y491" s="547">
        <f>GrossWeightTotalR+PalletQtyTotalR*25</f>
        <v>10721.036999999997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1800.7695661299108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1830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20.402719999999999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248.4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322.8</v>
      </c>
      <c r="E498" s="46">
        <f>IFERROR(Y84*1,"0")+IFERROR(Y85*1,"0")+IFERROR(Y86*1,"0")+IFERROR(Y87*1,"0")+IFERROR(Y91*1,"0")+IFERROR(Y92*1,"0")+IFERROR(Y93*1,"0")+IFERROR(Y94*1,"0")</f>
        <v>510.3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537.29999999999995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571.02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2024.6999999999996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9.8000000000000007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79.2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586.4</v>
      </c>
      <c r="R498" s="46">
        <f>IFERROR(Y340*1,"0")+IFERROR(Y341*1,"0")+IFERROR(Y342*1,"0")</f>
        <v>122.7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1917</v>
      </c>
      <c r="T498" s="46">
        <f>IFERROR(Y373*1,"0")+IFERROR(Y374*1,"0")+IFERROR(Y378*1,"0")+IFERROR(Y379*1,"0")+IFERROR(Y383*1,"0")+IFERROR(Y384*1,"0")+IFERROR(Y385*1,"0")</f>
        <v>1545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1199.52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0"/>
        <filter val="0,56"/>
        <filter val="1 347,00"/>
        <filter val="1 514,00"/>
        <filter val="1 800,77"/>
        <filter val="1,00"/>
        <filter val="1,25"/>
        <filter val="1,59"/>
        <filter val="10 085,73"/>
        <filter val="10 510,73"/>
        <filter val="10,09"/>
        <filter val="100,00"/>
        <filter val="101,00"/>
        <filter val="106,00"/>
        <filter val="109,00"/>
        <filter val="115,00"/>
        <filter val="118,00"/>
        <filter val="120,00"/>
        <filter val="132,00"/>
        <filter val="138,00"/>
        <filter val="144,81"/>
        <filter val="145,00"/>
        <filter val="15,00"/>
        <filter val="150,00"/>
        <filter val="16,11"/>
        <filter val="168,22"/>
        <filter val="17"/>
        <filter val="17,00"/>
        <filter val="18,00"/>
        <filter val="182,00"/>
        <filter val="2,00"/>
        <filter val="20,00"/>
        <filter val="202,00"/>
        <filter val="21,00"/>
        <filter val="22,96"/>
        <filter val="228,81"/>
        <filter val="230,00"/>
        <filter val="234,00"/>
        <filter val="241,00"/>
        <filter val="248,00"/>
        <filter val="26,00"/>
        <filter val="28,00"/>
        <filter val="28,33"/>
        <filter val="283,00"/>
        <filter val="290,00"/>
        <filter val="3,00"/>
        <filter val="3,06"/>
        <filter val="3,65"/>
        <filter val="30,00"/>
        <filter val="32,00"/>
        <filter val="32,08"/>
        <filter val="324,00"/>
        <filter val="33,00"/>
        <filter val="35,00"/>
        <filter val="355,00"/>
        <filter val="372,00"/>
        <filter val="378,00"/>
        <filter val="38,00"/>
        <filter val="385,00"/>
        <filter val="401,00"/>
        <filter val="415,00"/>
        <filter val="430,00"/>
        <filter val="44,62"/>
        <filter val="45,00"/>
        <filter val="45,61"/>
        <filter val="464,99"/>
        <filter val="47,00"/>
        <filter val="48,00"/>
        <filter val="495,00"/>
        <filter val="5,56"/>
        <filter val="50,00"/>
        <filter val="52,07"/>
        <filter val="53,00"/>
        <filter val="55,45"/>
        <filter val="555,00"/>
        <filter val="561,00"/>
        <filter val="58,00"/>
        <filter val="584,00"/>
        <filter val="6,00"/>
        <filter val="60,13"/>
        <filter val="61,00"/>
        <filter val="62,00"/>
        <filter val="636,00"/>
        <filter val="65,00"/>
        <filter val="68,00"/>
        <filter val="68,52"/>
        <filter val="69,60"/>
        <filter val="70,00"/>
        <filter val="71,00"/>
        <filter val="72,00"/>
        <filter val="75,95"/>
        <filter val="77,00"/>
        <filter val="781,00"/>
        <filter val="79,00"/>
        <filter val="8,00"/>
        <filter val="80,00"/>
        <filter val="84,00"/>
        <filter val="9 499,00"/>
        <filter val="9,00"/>
        <filter val="9,44"/>
        <filter val="9,81"/>
        <filter val="902,00"/>
        <filter val="91,00"/>
        <filter val="94,98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