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778E4D9-86E0-4866-967E-128161F8714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O363" i="1"/>
  <c r="BM363" i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O341" i="1"/>
  <c r="BM341" i="1"/>
  <c r="Y341" i="1"/>
  <c r="P341" i="1"/>
  <c r="BO340" i="1"/>
  <c r="BM340" i="1"/>
  <c r="Y340" i="1"/>
  <c r="Y343" i="1" s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X324" i="1"/>
  <c r="X323" i="1"/>
  <c r="BO322" i="1"/>
  <c r="BM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O304" i="1"/>
  <c r="BM304" i="1"/>
  <c r="Y304" i="1"/>
  <c r="P304" i="1"/>
  <c r="X302" i="1"/>
  <c r="X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X201" i="1"/>
  <c r="X200" i="1"/>
  <c r="BO199" i="1"/>
  <c r="BM199" i="1"/>
  <c r="Y199" i="1"/>
  <c r="Z199" i="1" s="1"/>
  <c r="P199" i="1"/>
  <c r="BO198" i="1"/>
  <c r="BM198" i="1"/>
  <c r="Y198" i="1"/>
  <c r="P198" i="1"/>
  <c r="X196" i="1"/>
  <c r="X195" i="1"/>
  <c r="BO194" i="1"/>
  <c r="BM194" i="1"/>
  <c r="Y194" i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X185" i="1"/>
  <c r="BO184" i="1"/>
  <c r="BM184" i="1"/>
  <c r="Y184" i="1"/>
  <c r="P184" i="1"/>
  <c r="BO183" i="1"/>
  <c r="BM183" i="1"/>
  <c r="Y183" i="1"/>
  <c r="P183" i="1"/>
  <c r="BO182" i="1"/>
  <c r="BM182" i="1"/>
  <c r="Y182" i="1"/>
  <c r="Y185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O136" i="1"/>
  <c r="BM136" i="1"/>
  <c r="Y136" i="1"/>
  <c r="Y138" i="1" s="1"/>
  <c r="P136" i="1"/>
  <c r="X134" i="1"/>
  <c r="X133" i="1"/>
  <c r="BO132" i="1"/>
  <c r="BM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P109" i="1"/>
  <c r="BO108" i="1"/>
  <c r="BM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N93" i="1"/>
  <c r="BM93" i="1"/>
  <c r="Z93" i="1"/>
  <c r="Y93" i="1"/>
  <c r="BP93" i="1" s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P85" i="1"/>
  <c r="BO84" i="1"/>
  <c r="BM84" i="1"/>
  <c r="Y84" i="1"/>
  <c r="P84" i="1"/>
  <c r="X81" i="1"/>
  <c r="X80" i="1"/>
  <c r="BO79" i="1"/>
  <c r="BM79" i="1"/>
  <c r="Y79" i="1"/>
  <c r="P79" i="1"/>
  <c r="BP78" i="1"/>
  <c r="BO78" i="1"/>
  <c r="BN78" i="1"/>
  <c r="BM78" i="1"/>
  <c r="Z78" i="1"/>
  <c r="Y78" i="1"/>
  <c r="P78" i="1"/>
  <c r="X76" i="1"/>
  <c r="X75" i="1"/>
  <c r="BO74" i="1"/>
  <c r="BM74" i="1"/>
  <c r="Y74" i="1"/>
  <c r="P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BP60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P53" i="1"/>
  <c r="BO52" i="1"/>
  <c r="BM52" i="1"/>
  <c r="Y52" i="1"/>
  <c r="BP52" i="1" s="1"/>
  <c r="P52" i="1"/>
  <c r="BO51" i="1"/>
  <c r="BM51" i="1"/>
  <c r="Y51" i="1"/>
  <c r="Z51" i="1" s="1"/>
  <c r="P51" i="1"/>
  <c r="X48" i="1"/>
  <c r="X47" i="1"/>
  <c r="BO46" i="1"/>
  <c r="BM46" i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BP110" i="1" l="1"/>
  <c r="BN110" i="1"/>
  <c r="Z110" i="1"/>
  <c r="BP166" i="1"/>
  <c r="BN166" i="1"/>
  <c r="Z166" i="1"/>
  <c r="BP184" i="1"/>
  <c r="BN184" i="1"/>
  <c r="Z184" i="1"/>
  <c r="BP214" i="1"/>
  <c r="BN214" i="1"/>
  <c r="Z214" i="1"/>
  <c r="BP237" i="1"/>
  <c r="BN237" i="1"/>
  <c r="Z237" i="1"/>
  <c r="BP278" i="1"/>
  <c r="BN278" i="1"/>
  <c r="Z278" i="1"/>
  <c r="BP280" i="1"/>
  <c r="BN280" i="1"/>
  <c r="Z280" i="1"/>
  <c r="BP314" i="1"/>
  <c r="BN314" i="1"/>
  <c r="Z314" i="1"/>
  <c r="BP350" i="1"/>
  <c r="BN350" i="1"/>
  <c r="Z350" i="1"/>
  <c r="BP393" i="1"/>
  <c r="BN393" i="1"/>
  <c r="Z393" i="1"/>
  <c r="BP429" i="1"/>
  <c r="BN429" i="1"/>
  <c r="Z429" i="1"/>
  <c r="BP453" i="1"/>
  <c r="BN453" i="1"/>
  <c r="Z453" i="1"/>
  <c r="Z30" i="1"/>
  <c r="BN30" i="1"/>
  <c r="Z52" i="1"/>
  <c r="BN52" i="1"/>
  <c r="Z62" i="1"/>
  <c r="BN62" i="1"/>
  <c r="Z72" i="1"/>
  <c r="BN72" i="1"/>
  <c r="Z87" i="1"/>
  <c r="BN87" i="1"/>
  <c r="BP131" i="1"/>
  <c r="BN131" i="1"/>
  <c r="Z131" i="1"/>
  <c r="BP174" i="1"/>
  <c r="BN174" i="1"/>
  <c r="Z174" i="1"/>
  <c r="BP204" i="1"/>
  <c r="BN204" i="1"/>
  <c r="Z204" i="1"/>
  <c r="BP222" i="1"/>
  <c r="BN222" i="1"/>
  <c r="Z222" i="1"/>
  <c r="BP262" i="1"/>
  <c r="BN262" i="1"/>
  <c r="Z262" i="1"/>
  <c r="BP300" i="1"/>
  <c r="BN300" i="1"/>
  <c r="Z300" i="1"/>
  <c r="BP326" i="1"/>
  <c r="BN326" i="1"/>
  <c r="Z326" i="1"/>
  <c r="BP364" i="1"/>
  <c r="BN364" i="1"/>
  <c r="Z364" i="1"/>
  <c r="Y370" i="1"/>
  <c r="Y369" i="1"/>
  <c r="BP368" i="1"/>
  <c r="BN368" i="1"/>
  <c r="Z368" i="1"/>
  <c r="Z369" i="1" s="1"/>
  <c r="BP373" i="1"/>
  <c r="BN373" i="1"/>
  <c r="Z373" i="1"/>
  <c r="BP403" i="1"/>
  <c r="BN403" i="1"/>
  <c r="Z403" i="1"/>
  <c r="BP437" i="1"/>
  <c r="BN437" i="1"/>
  <c r="Z437" i="1"/>
  <c r="Y473" i="1"/>
  <c r="Y472" i="1"/>
  <c r="BP471" i="1"/>
  <c r="BN471" i="1"/>
  <c r="Z471" i="1"/>
  <c r="Z472" i="1" s="1"/>
  <c r="Y477" i="1"/>
  <c r="Y476" i="1"/>
  <c r="BP475" i="1"/>
  <c r="BN475" i="1"/>
  <c r="Z475" i="1"/>
  <c r="Z476" i="1" s="1"/>
  <c r="BP479" i="1"/>
  <c r="BN479" i="1"/>
  <c r="Z479" i="1"/>
  <c r="J9" i="1"/>
  <c r="X49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4" i="1"/>
  <c r="BN54" i="1"/>
  <c r="Z60" i="1"/>
  <c r="BN60" i="1"/>
  <c r="BP66" i="1"/>
  <c r="BN66" i="1"/>
  <c r="Z66" i="1"/>
  <c r="BP85" i="1"/>
  <c r="BN85" i="1"/>
  <c r="Z85" i="1"/>
  <c r="BP100" i="1"/>
  <c r="BN100" i="1"/>
  <c r="Z100" i="1"/>
  <c r="Y118" i="1"/>
  <c r="BP114" i="1"/>
  <c r="BN114" i="1"/>
  <c r="Z114" i="1"/>
  <c r="BP137" i="1"/>
  <c r="BN137" i="1"/>
  <c r="Z137" i="1"/>
  <c r="BP142" i="1"/>
  <c r="BN142" i="1"/>
  <c r="Z142" i="1"/>
  <c r="BP168" i="1"/>
  <c r="BN168" i="1"/>
  <c r="Z168" i="1"/>
  <c r="BP176" i="1"/>
  <c r="BN176" i="1"/>
  <c r="Z176" i="1"/>
  <c r="BP210" i="1"/>
  <c r="BN210" i="1"/>
  <c r="Z210" i="1"/>
  <c r="BP220" i="1"/>
  <c r="BN220" i="1"/>
  <c r="Z220" i="1"/>
  <c r="BP235" i="1"/>
  <c r="BN235" i="1"/>
  <c r="Z235" i="1"/>
  <c r="BP255" i="1"/>
  <c r="BN255" i="1"/>
  <c r="Z255" i="1"/>
  <c r="BP273" i="1"/>
  <c r="BN273" i="1"/>
  <c r="Z273" i="1"/>
  <c r="F9" i="1"/>
  <c r="F10" i="1"/>
  <c r="Y64" i="1"/>
  <c r="Y63" i="1"/>
  <c r="BP74" i="1"/>
  <c r="BN74" i="1"/>
  <c r="Z74" i="1"/>
  <c r="BP91" i="1"/>
  <c r="BN91" i="1"/>
  <c r="Z91" i="1"/>
  <c r="BP108" i="1"/>
  <c r="BN108" i="1"/>
  <c r="Z108" i="1"/>
  <c r="BP127" i="1"/>
  <c r="BN127" i="1"/>
  <c r="Z127" i="1"/>
  <c r="BP150" i="1"/>
  <c r="BN150" i="1"/>
  <c r="Z150" i="1"/>
  <c r="BP172" i="1"/>
  <c r="BN172" i="1"/>
  <c r="Z172" i="1"/>
  <c r="Y186" i="1"/>
  <c r="BP182" i="1"/>
  <c r="BN182" i="1"/>
  <c r="Z182" i="1"/>
  <c r="BP206" i="1"/>
  <c r="BN206" i="1"/>
  <c r="Z206" i="1"/>
  <c r="BP216" i="1"/>
  <c r="BN216" i="1"/>
  <c r="Z216" i="1"/>
  <c r="BP226" i="1"/>
  <c r="BN226" i="1"/>
  <c r="Z226" i="1"/>
  <c r="BP239" i="1"/>
  <c r="BN239" i="1"/>
  <c r="Z239" i="1"/>
  <c r="BP264" i="1"/>
  <c r="BN264" i="1"/>
  <c r="Z264" i="1"/>
  <c r="BP285" i="1"/>
  <c r="BN285" i="1"/>
  <c r="Z285" i="1"/>
  <c r="BP304" i="1"/>
  <c r="BN304" i="1"/>
  <c r="Z304" i="1"/>
  <c r="BP316" i="1"/>
  <c r="BN316" i="1"/>
  <c r="Z316" i="1"/>
  <c r="BP328" i="1"/>
  <c r="BN328" i="1"/>
  <c r="Z328" i="1"/>
  <c r="BP352" i="1"/>
  <c r="BN352" i="1"/>
  <c r="Z352" i="1"/>
  <c r="Y133" i="1"/>
  <c r="BP298" i="1"/>
  <c r="BN298" i="1"/>
  <c r="Z298" i="1"/>
  <c r="BP308" i="1"/>
  <c r="BN308" i="1"/>
  <c r="Z308" i="1"/>
  <c r="BP322" i="1"/>
  <c r="BN322" i="1"/>
  <c r="Z322" i="1"/>
  <c r="BP341" i="1"/>
  <c r="BN341" i="1"/>
  <c r="Z341" i="1"/>
  <c r="BP342" i="1"/>
  <c r="BN342" i="1"/>
  <c r="Z342" i="1"/>
  <c r="BP348" i="1"/>
  <c r="BN348" i="1"/>
  <c r="Z348" i="1"/>
  <c r="Y360" i="1"/>
  <c r="BP358" i="1"/>
  <c r="BN358" i="1"/>
  <c r="Z358" i="1"/>
  <c r="BP385" i="1"/>
  <c r="BN385" i="1"/>
  <c r="Z385" i="1"/>
  <c r="BP391" i="1"/>
  <c r="BN391" i="1"/>
  <c r="Z391" i="1"/>
  <c r="BP399" i="1"/>
  <c r="BN399" i="1"/>
  <c r="Z399" i="1"/>
  <c r="Y423" i="1"/>
  <c r="W498" i="1"/>
  <c r="Y422" i="1"/>
  <c r="BP421" i="1"/>
  <c r="BN421" i="1"/>
  <c r="Z421" i="1"/>
  <c r="Z422" i="1" s="1"/>
  <c r="BP427" i="1"/>
  <c r="BN427" i="1"/>
  <c r="Z427" i="1"/>
  <c r="BP435" i="1"/>
  <c r="BN435" i="1"/>
  <c r="Z435" i="1"/>
  <c r="BP451" i="1"/>
  <c r="BN451" i="1"/>
  <c r="Z451" i="1"/>
  <c r="BP467" i="1"/>
  <c r="BN467" i="1"/>
  <c r="Z467" i="1"/>
  <c r="BP379" i="1"/>
  <c r="BN379" i="1"/>
  <c r="Z379" i="1"/>
  <c r="BP395" i="1"/>
  <c r="BN395" i="1"/>
  <c r="Z395" i="1"/>
  <c r="BP414" i="1"/>
  <c r="BN414" i="1"/>
  <c r="Z414" i="1"/>
  <c r="BP431" i="1"/>
  <c r="BN431" i="1"/>
  <c r="Z431" i="1"/>
  <c r="BP443" i="1"/>
  <c r="BN443" i="1"/>
  <c r="Z443" i="1"/>
  <c r="Y463" i="1"/>
  <c r="BP459" i="1"/>
  <c r="BN459" i="1"/>
  <c r="Z459" i="1"/>
  <c r="Y330" i="1"/>
  <c r="Y387" i="1"/>
  <c r="Y386" i="1"/>
  <c r="Y481" i="1"/>
  <c r="Y25" i="1"/>
  <c r="Y31" i="1"/>
  <c r="Y43" i="1"/>
  <c r="BP55" i="1"/>
  <c r="BN55" i="1"/>
  <c r="Z55" i="1"/>
  <c r="BP67" i="1"/>
  <c r="BN67" i="1"/>
  <c r="Z67" i="1"/>
  <c r="Y69" i="1"/>
  <c r="Y76" i="1"/>
  <c r="BP71" i="1"/>
  <c r="BN71" i="1"/>
  <c r="Z71" i="1"/>
  <c r="Y75" i="1"/>
  <c r="BP79" i="1"/>
  <c r="BN79" i="1"/>
  <c r="Z79" i="1"/>
  <c r="Z80" i="1" s="1"/>
  <c r="Y81" i="1"/>
  <c r="E498" i="1"/>
  <c r="Y89" i="1"/>
  <c r="BP84" i="1"/>
  <c r="BN84" i="1"/>
  <c r="Z84" i="1"/>
  <c r="Y88" i="1"/>
  <c r="BP92" i="1"/>
  <c r="BN92" i="1"/>
  <c r="Z92" i="1"/>
  <c r="BP101" i="1"/>
  <c r="BN101" i="1"/>
  <c r="Z101" i="1"/>
  <c r="BP109" i="1"/>
  <c r="BN109" i="1"/>
  <c r="Z109" i="1"/>
  <c r="BP117" i="1"/>
  <c r="BN117" i="1"/>
  <c r="Z117" i="1"/>
  <c r="Y119" i="1"/>
  <c r="Y122" i="1"/>
  <c r="BP121" i="1"/>
  <c r="BN121" i="1"/>
  <c r="Z121" i="1"/>
  <c r="Z122" i="1" s="1"/>
  <c r="Y123" i="1"/>
  <c r="G498" i="1"/>
  <c r="Y129" i="1"/>
  <c r="BP126" i="1"/>
  <c r="BN126" i="1"/>
  <c r="Z126" i="1"/>
  <c r="Z128" i="1" s="1"/>
  <c r="BP143" i="1"/>
  <c r="BN143" i="1"/>
  <c r="Z143" i="1"/>
  <c r="Y145" i="1"/>
  <c r="Y152" i="1"/>
  <c r="BP147" i="1"/>
  <c r="BN147" i="1"/>
  <c r="Z147" i="1"/>
  <c r="BP151" i="1"/>
  <c r="BN151" i="1"/>
  <c r="Z151" i="1"/>
  <c r="Y153" i="1"/>
  <c r="Y156" i="1"/>
  <c r="BP155" i="1"/>
  <c r="BN155" i="1"/>
  <c r="Z155" i="1"/>
  <c r="Z156" i="1" s="1"/>
  <c r="Y157" i="1"/>
  <c r="I498" i="1"/>
  <c r="Y162" i="1"/>
  <c r="BP161" i="1"/>
  <c r="BN161" i="1"/>
  <c r="Z161" i="1"/>
  <c r="Z162" i="1" s="1"/>
  <c r="Y163" i="1"/>
  <c r="Y180" i="1"/>
  <c r="BP165" i="1"/>
  <c r="BN165" i="1"/>
  <c r="Z165" i="1"/>
  <c r="BP169" i="1"/>
  <c r="BN169" i="1"/>
  <c r="Z169" i="1"/>
  <c r="BP173" i="1"/>
  <c r="BN173" i="1"/>
  <c r="Z173" i="1"/>
  <c r="BP177" i="1"/>
  <c r="BN177" i="1"/>
  <c r="Z177" i="1"/>
  <c r="BP194" i="1"/>
  <c r="BN194" i="1"/>
  <c r="Z194" i="1"/>
  <c r="Z195" i="1" s="1"/>
  <c r="Y196" i="1"/>
  <c r="Y200" i="1"/>
  <c r="BP198" i="1"/>
  <c r="BN198" i="1"/>
  <c r="Z198" i="1"/>
  <c r="Z200" i="1" s="1"/>
  <c r="BP297" i="1"/>
  <c r="BN297" i="1"/>
  <c r="Z297" i="1"/>
  <c r="Q498" i="1"/>
  <c r="Y301" i="1"/>
  <c r="BP305" i="1"/>
  <c r="BN305" i="1"/>
  <c r="Z305" i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Z323" i="1" s="1"/>
  <c r="Y323" i="1"/>
  <c r="H498" i="1"/>
  <c r="H9" i="1"/>
  <c r="B498" i="1"/>
  <c r="X489" i="1"/>
  <c r="X490" i="1"/>
  <c r="Z23" i="1"/>
  <c r="Z24" i="1" s="1"/>
  <c r="BN23" i="1"/>
  <c r="Y24" i="1"/>
  <c r="X488" i="1"/>
  <c r="Z27" i="1"/>
  <c r="BN27" i="1"/>
  <c r="BP27" i="1"/>
  <c r="Z29" i="1"/>
  <c r="BN29" i="1"/>
  <c r="C498" i="1"/>
  <c r="Z41" i="1"/>
  <c r="BN41" i="1"/>
  <c r="Y44" i="1"/>
  <c r="D498" i="1"/>
  <c r="Y58" i="1"/>
  <c r="BP51" i="1"/>
  <c r="BN51" i="1"/>
  <c r="BP53" i="1"/>
  <c r="BN53" i="1"/>
  <c r="Z53" i="1"/>
  <c r="Z57" i="1" s="1"/>
  <c r="Y57" i="1"/>
  <c r="BP61" i="1"/>
  <c r="BN61" i="1"/>
  <c r="Z61" i="1"/>
  <c r="Z63" i="1" s="1"/>
  <c r="Y68" i="1"/>
  <c r="BP73" i="1"/>
  <c r="BN73" i="1"/>
  <c r="Z73" i="1"/>
  <c r="Y80" i="1"/>
  <c r="BP86" i="1"/>
  <c r="BN86" i="1"/>
  <c r="Z86" i="1"/>
  <c r="Y95" i="1"/>
  <c r="BP94" i="1"/>
  <c r="BN94" i="1"/>
  <c r="Z94" i="1"/>
  <c r="Y96" i="1"/>
  <c r="F498" i="1"/>
  <c r="Y104" i="1"/>
  <c r="BP99" i="1"/>
  <c r="BN99" i="1"/>
  <c r="Z99" i="1"/>
  <c r="Z104" i="1" s="1"/>
  <c r="BP103" i="1"/>
  <c r="BN103" i="1"/>
  <c r="Z103" i="1"/>
  <c r="Y105" i="1"/>
  <c r="Y112" i="1"/>
  <c r="BP107" i="1"/>
  <c r="BN107" i="1"/>
  <c r="Z107" i="1"/>
  <c r="Z111" i="1" s="1"/>
  <c r="Y111" i="1"/>
  <c r="BP115" i="1"/>
  <c r="BN115" i="1"/>
  <c r="Z115" i="1"/>
  <c r="Z118" i="1" s="1"/>
  <c r="Y128" i="1"/>
  <c r="BP132" i="1"/>
  <c r="BN132" i="1"/>
  <c r="Z132" i="1"/>
  <c r="Z133" i="1" s="1"/>
  <c r="Y134" i="1"/>
  <c r="Y139" i="1"/>
  <c r="BP136" i="1"/>
  <c r="BN136" i="1"/>
  <c r="Z136" i="1"/>
  <c r="Z138" i="1" s="1"/>
  <c r="Y144" i="1"/>
  <c r="BP149" i="1"/>
  <c r="BN149" i="1"/>
  <c r="Z149" i="1"/>
  <c r="BP167" i="1"/>
  <c r="BN167" i="1"/>
  <c r="Z167" i="1"/>
  <c r="BP171" i="1"/>
  <c r="BN171" i="1"/>
  <c r="Z171" i="1"/>
  <c r="BP175" i="1"/>
  <c r="BN175" i="1"/>
  <c r="Z175" i="1"/>
  <c r="Y179" i="1"/>
  <c r="Z185" i="1"/>
  <c r="BP183" i="1"/>
  <c r="BN183" i="1"/>
  <c r="Z183" i="1"/>
  <c r="Y201" i="1"/>
  <c r="Y212" i="1"/>
  <c r="BP203" i="1"/>
  <c r="BN203" i="1"/>
  <c r="Z203" i="1"/>
  <c r="BP207" i="1"/>
  <c r="BN207" i="1"/>
  <c r="Z207" i="1"/>
  <c r="Y211" i="1"/>
  <c r="BP215" i="1"/>
  <c r="BN215" i="1"/>
  <c r="Z215" i="1"/>
  <c r="BP219" i="1"/>
  <c r="BN219" i="1"/>
  <c r="Z219" i="1"/>
  <c r="Y223" i="1"/>
  <c r="BP227" i="1"/>
  <c r="BN227" i="1"/>
  <c r="Z227" i="1"/>
  <c r="Z228" i="1" s="1"/>
  <c r="Y229" i="1"/>
  <c r="K498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498" i="1"/>
  <c r="Y266" i="1"/>
  <c r="BP261" i="1"/>
  <c r="BN261" i="1"/>
  <c r="Z261" i="1"/>
  <c r="BP265" i="1"/>
  <c r="BN265" i="1"/>
  <c r="Z265" i="1"/>
  <c r="Y267" i="1"/>
  <c r="M498" i="1"/>
  <c r="Y275" i="1"/>
  <c r="BP270" i="1"/>
  <c r="BN270" i="1"/>
  <c r="Z270" i="1"/>
  <c r="Y274" i="1"/>
  <c r="BP279" i="1"/>
  <c r="BN279" i="1"/>
  <c r="Z279" i="1"/>
  <c r="Y281" i="1"/>
  <c r="BP329" i="1"/>
  <c r="BN329" i="1"/>
  <c r="Z329" i="1"/>
  <c r="Y331" i="1"/>
  <c r="Y336" i="1"/>
  <c r="BP333" i="1"/>
  <c r="BN333" i="1"/>
  <c r="Z333" i="1"/>
  <c r="Y337" i="1"/>
  <c r="BP349" i="1"/>
  <c r="BN349" i="1"/>
  <c r="Z349" i="1"/>
  <c r="Y355" i="1"/>
  <c r="BP353" i="1"/>
  <c r="BN353" i="1"/>
  <c r="Z353" i="1"/>
  <c r="BP392" i="1"/>
  <c r="BN392" i="1"/>
  <c r="Z392" i="1"/>
  <c r="U498" i="1"/>
  <c r="BP396" i="1"/>
  <c r="BN396" i="1"/>
  <c r="Z396" i="1"/>
  <c r="Y400" i="1"/>
  <c r="BP404" i="1"/>
  <c r="BN404" i="1"/>
  <c r="Z404" i="1"/>
  <c r="Z405" i="1" s="1"/>
  <c r="Y406" i="1"/>
  <c r="V498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J498" i="1"/>
  <c r="Y195" i="1"/>
  <c r="BP199" i="1"/>
  <c r="BN199" i="1"/>
  <c r="BP205" i="1"/>
  <c r="BN205" i="1"/>
  <c r="Z205" i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Y3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BP335" i="1"/>
  <c r="BN335" i="1"/>
  <c r="Z335" i="1"/>
  <c r="R498" i="1"/>
  <c r="Y344" i="1"/>
  <c r="BP340" i="1"/>
  <c r="BN340" i="1"/>
  <c r="Z340" i="1"/>
  <c r="BP374" i="1"/>
  <c r="BN374" i="1"/>
  <c r="Z374" i="1"/>
  <c r="Z375" i="1" s="1"/>
  <c r="Y376" i="1"/>
  <c r="Y381" i="1"/>
  <c r="BP378" i="1"/>
  <c r="BN378" i="1"/>
  <c r="Z378" i="1"/>
  <c r="Y380" i="1"/>
  <c r="O498" i="1"/>
  <c r="Y282" i="1"/>
  <c r="P498" i="1"/>
  <c r="Y287" i="1"/>
  <c r="S498" i="1"/>
  <c r="BP351" i="1"/>
  <c r="BN351" i="1"/>
  <c r="Z351" i="1"/>
  <c r="BP359" i="1"/>
  <c r="BN359" i="1"/>
  <c r="Z359" i="1"/>
  <c r="Y361" i="1"/>
  <c r="Y366" i="1"/>
  <c r="BP363" i="1"/>
  <c r="BN363" i="1"/>
  <c r="Z363" i="1"/>
  <c r="Z365" i="1" s="1"/>
  <c r="BP384" i="1"/>
  <c r="BN384" i="1"/>
  <c r="Z384" i="1"/>
  <c r="Z386" i="1" s="1"/>
  <c r="Y401" i="1"/>
  <c r="BP394" i="1"/>
  <c r="BN394" i="1"/>
  <c r="Z394" i="1"/>
  <c r="BP398" i="1"/>
  <c r="BN398" i="1"/>
  <c r="Z398" i="1"/>
  <c r="Y405" i="1"/>
  <c r="BP415" i="1"/>
  <c r="BN415" i="1"/>
  <c r="Z415" i="1"/>
  <c r="BP462" i="1"/>
  <c r="BN462" i="1"/>
  <c r="Z462" i="1"/>
  <c r="Y464" i="1"/>
  <c r="Y469" i="1"/>
  <c r="BP466" i="1"/>
  <c r="BN466" i="1"/>
  <c r="Z466" i="1"/>
  <c r="Z468" i="1" s="1"/>
  <c r="Y468" i="1"/>
  <c r="Y498" i="1"/>
  <c r="Y356" i="1"/>
  <c r="T498" i="1"/>
  <c r="Y375" i="1"/>
  <c r="X498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BP450" i="1"/>
  <c r="BN450" i="1"/>
  <c r="Z450" i="1"/>
  <c r="BP460" i="1"/>
  <c r="BN460" i="1"/>
  <c r="Z460" i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39" i="1"/>
  <c r="Z463" i="1" l="1"/>
  <c r="Z445" i="1"/>
  <c r="Z439" i="1"/>
  <c r="Z400" i="1"/>
  <c r="Z360" i="1"/>
  <c r="Z380" i="1"/>
  <c r="Z343" i="1"/>
  <c r="Z330" i="1"/>
  <c r="Z281" i="1"/>
  <c r="Z43" i="1"/>
  <c r="Z144" i="1"/>
  <c r="Z68" i="1"/>
  <c r="Z301" i="1"/>
  <c r="Z355" i="1"/>
  <c r="Z274" i="1"/>
  <c r="Z257" i="1"/>
  <c r="Z223" i="1"/>
  <c r="Y489" i="1"/>
  <c r="Y490" i="1"/>
  <c r="Z31" i="1"/>
  <c r="X491" i="1"/>
  <c r="Z310" i="1"/>
  <c r="Z152" i="1"/>
  <c r="Z95" i="1"/>
  <c r="Z454" i="1"/>
  <c r="Z417" i="1"/>
  <c r="Z211" i="1"/>
  <c r="Y492" i="1"/>
  <c r="Z88" i="1"/>
  <c r="Z75" i="1"/>
  <c r="Y488" i="1"/>
  <c r="Z336" i="1"/>
  <c r="Z266" i="1"/>
  <c r="Z241" i="1"/>
  <c r="Z317" i="1"/>
  <c r="Z179" i="1"/>
  <c r="Z493" i="1" l="1"/>
  <c r="Y491" i="1"/>
</calcChain>
</file>

<file path=xl/sharedStrings.xml><?xml version="1.0" encoding="utf-8"?>
<sst xmlns="http://schemas.openxmlformats.org/spreadsheetml/2006/main" count="2256" uniqueCount="768">
  <si>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</si>
  <si>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</si>
  <si>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</si>
  <si>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</si>
  <si>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</si>
  <si>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</si>
  <si>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</si>
  <si>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</si>
  <si>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</si>
  <si>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</si>
  <si>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</si>
  <si>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</si>
  <si>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</si>
  <si>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</si>
  <si>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</si>
  <si>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</si>
  <si>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</si>
  <si>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</si>
  <si>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</si>
  <si>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</si>
  <si>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</si>
  <si>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</si>
  <si>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</si>
  <si>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</si>
  <si>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</si>
  <si>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</si>
  <si>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</si>
  <si>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</si>
  <si>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</si>
  <si>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</si>
  <si>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</si>
  <si>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</si>
  <si>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</si>
  <si>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</si>
  <si>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</si>
  <si>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</si>
  <si>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</si>
  <si>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</si>
  <si>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</si>
  <si>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</si>
  <si>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</si>
  <si>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</si>
  <si>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</si>
  <si>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</si>
  <si>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</si>
  <si>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</si>
  <si>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</si>
  <si>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</si>
  <si>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</si>
  <si>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</si>
  <si>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</si>
  <si>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</si>
  <si>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</si>
  <si>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</si>
  <si>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</si>
  <si>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</si>
  <si>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</si>
  <si>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</si>
  <si>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</si>
  <si>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</si>
  <si>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</si>
  <si>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</si>
  <si>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</si>
  <si>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</si>
  <si>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</si>
  <si>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</si>
  <si>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</si>
  <si>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</si>
  <si>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</si>
  <si>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</si>
  <si>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</si>
  <si>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</si>
  <si>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</si>
  <si>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</si>
  <si>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</si>
  <si>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</si>
  <si>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</si>
  <si>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</si>
  <si>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</si>
  <si>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</si>
  <si>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</si>
  <si>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</si>
  <si>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</si>
  <si>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</si>
  <si>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</si>
  <si>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</si>
  <si>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</si>
  <si>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</si>
  <si>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</si>
  <si>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</si>
  <si>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</si>
  <si>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</si>
  <si>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</si>
  <si>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</si>
  <si>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</si>
  <si>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</si>
  <si>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</si>
  <si>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</si>
  <si>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</si>
  <si>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</si>
  <si>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</si>
  <si>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</si>
  <si>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</si>
  <si>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</si>
  <si>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</si>
  <si>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</si>
  <si>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</si>
  <si>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</si>
  <si>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</si>
  <si>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</si>
  <si>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</si>
  <si>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</si>
  <si>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</si>
  <si>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</si>
  <si>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</si>
  <si>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</si>
  <si>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</si>
  <si>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</si>
  <si>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</si>
  <si>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</si>
  <si>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</si>
  <si>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</si>
  <si>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</si>
  <si>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</si>
  <si>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</si>
  <si>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</si>
  <si>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</si>
  <si>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</si>
  <si>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</si>
  <si>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</si>
  <si>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</si>
  <si>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</si>
  <si>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</si>
  <si>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</si>
  <si>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</si>
  <si>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</si>
  <si>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</si>
  <si>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</si>
  <si>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</si>
  <si>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</si>
  <si>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</si>
  <si>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</si>
  <si>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</si>
  <si>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</si>
  <si>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</si>
  <si>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</si>
  <si>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</si>
  <si>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</si>
  <si>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</si>
  <si>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</si>
  <si>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</si>
  <si>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</si>
  <si>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</si>
  <si>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</si>
  <si>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</si>
  <si>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</si>
  <si>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</si>
  <si>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</si>
  <si>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</si>
  <si>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</si>
  <si>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</si>
  <si>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</si>
  <si>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</si>
  <si>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</si>
  <si>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</si>
  <si>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</si>
  <si>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</si>
  <si>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</si>
  <si>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</si>
  <si>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</si>
  <si>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</si>
  <si>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</si>
  <si>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</si>
  <si>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</si>
  <si>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</si>
  <si>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</si>
  <si>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</si>
  <si>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</si>
  <si>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</si>
  <si>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</si>
  <si>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</si>
  <si>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</si>
  <si>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</si>
  <si>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</si>
  <si>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</si>
  <si>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</si>
  <si>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</si>
  <si>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</si>
  <si>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</si>
  <si>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</si>
  <si>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</si>
  <si>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</si>
  <si>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</si>
  <si>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</si>
  <si>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</si>
  <si>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</si>
  <si>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</si>
  <si>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</si>
  <si>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</si>
  <si>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</si>
  <si>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</si>
  <si>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</si>
  <si>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</si>
  <si>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</si>
  <si>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</si>
  <si>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</si>
  <si>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</si>
  <si>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</si>
  <si>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</si>
  <si>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</si>
  <si>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</si>
  <si>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</si>
  <si>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</si>
  <si>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</si>
  <si>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</si>
  <si>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</si>
  <si>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</si>
  <si>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</si>
  <si>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</si>
  <si>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</si>
  <si>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</si>
  <si>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</si>
  <si>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</si>
  <si>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</si>
  <si>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</si>
  <si>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</si>
  <si>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</si>
  <si>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</si>
  <si>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</si>
  <si>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</si>
  <si>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</si>
  <si>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</si>
  <si>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</si>
  <si>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</si>
  <si>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</si>
  <si>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</si>
  <si>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</si>
  <si>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</si>
  <si>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</si>
  <si>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</si>
  <si>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</si>
  <si>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</si>
  <si>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</si>
  <si>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</si>
  <si>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</si>
  <si>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</si>
  <si>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</si>
  <si>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</si>
  <si>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</si>
  <si>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</si>
  <si>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</si>
  <si>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</si>
  <si>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</si>
  <si>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</si>
  <si>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</si>
  <si>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</si>
  <si>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</si>
  <si>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</si>
  <si>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</si>
  <si>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</si>
  <si>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</si>
  <si>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</si>
  <si>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</si>
  <si>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</si>
  <si>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</si>
  <si>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</si>
  <si>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</si>
  <si>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</si>
  <si>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</si>
  <si>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</si>
  <si>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</si>
  <si>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</si>
  <si>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</si>
  <si>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</si>
  <si>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</si>
  <si>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</si>
  <si>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</si>
  <si>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</si>
  <si>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</si>
  <si>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</si>
  <si>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</si>
  <si>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</si>
  <si>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</si>
  <si>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</si>
  <si>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</si>
  <si>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</si>
  <si>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</si>
  <si>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</si>
  <si>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</si>
  <si>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</si>
  <si>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</si>
  <si>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</si>
  <si>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</si>
  <si>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</si>
  <si>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</si>
  <si>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</si>
  <si>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</si>
  <si>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</si>
  <si>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</si>
  <si>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</si>
  <si>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</si>
  <si>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</si>
  <si>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</si>
  <si>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</si>
  <si>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</si>
  <si>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</si>
  <si>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</si>
  <si>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</si>
  <si>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</si>
  <si>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</si>
  <si>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</si>
  <si>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</si>
  <si>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</si>
  <si>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</si>
  <si>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</si>
  <si>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</si>
  <si>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</si>
  <si>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</si>
  <si>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</si>
  <si>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</si>
  <si>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</si>
  <si>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</si>
  <si>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</si>
  <si>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</si>
  <si>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</si>
  <si>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</si>
  <si>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</si>
  <si>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</si>
  <si>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</si>
  <si>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</si>
  <si>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</si>
  <si>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</si>
  <si>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</si>
  <si>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</si>
  <si>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</si>
  <si>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</si>
  <si>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</si>
  <si>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</si>
  <si>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</si>
  <si>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</si>
  <si>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</si>
  <si>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</si>
  <si>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</si>
  <si>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</si>
  <si>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</si>
  <si>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</si>
  <si>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</si>
  <si>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</si>
  <si>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</si>
  <si>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</si>
  <si>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</si>
  <si>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</si>
  <si>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</si>
  <si>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</si>
  <si>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</si>
  <si>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</si>
  <si>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</si>
  <si>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</si>
  <si>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</si>
  <si>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</si>
  <si>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</si>
  <si>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</si>
  <si>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</si>
  <si>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</si>
  <si>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</si>
  <si>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</si>
  <si>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</si>
  <si>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</si>
  <si>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</si>
  <si>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</si>
  <si>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</si>
  <si>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</si>
  <si>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</si>
  <si>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</si>
  <si>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</si>
  <si>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</si>
  <si>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</si>
  <si>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</si>
  <si>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</si>
  <si>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</si>
  <si>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</si>
  <si>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</si>
  <si>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</si>
  <si>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</si>
  <si>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</si>
  <si>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</si>
  <si>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</si>
  <si>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</si>
  <si>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</si>
  <si>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</si>
  <si>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</si>
  <si>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</si>
  <si>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</si>
  <si>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</si>
  <si>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</si>
  <si>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</si>
  <si>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</si>
  <si>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</si>
  <si>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</si>
  <si>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</si>
  <si>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</si>
  <si>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</si>
  <si>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</si>
  <si>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</si>
  <si>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</si>
  <si>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</si>
  <si>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</si>
  <si>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</si>
  <si>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</si>
  <si>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</si>
  <si>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</si>
  <si>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</si>
  <si>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</si>
  <si>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</si>
  <si>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</si>
  <si>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</si>
  <si>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</si>
  <si>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</si>
  <si>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</si>
  <si>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</si>
  <si>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</si>
  <si>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</si>
  <si>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</si>
  <si>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</si>
  <si>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</si>
  <si>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</si>
  <si>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</si>
  <si>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</si>
  <si>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</si>
  <si>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</si>
  <si>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</si>
  <si>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</si>
  <si>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</si>
  <si>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</si>
  <si>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</si>
  <si>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</si>
  <si>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</si>
  <si>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</si>
  <si>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</si>
  <si>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</si>
  <si>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</si>
  <si>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</si>
  <si>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</si>
  <si>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</si>
  <si>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</si>
  <si>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</si>
  <si>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</si>
  <si>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</si>
  <si>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</si>
  <si>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</si>
  <si>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</si>
  <si>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</si>
  <si>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</si>
  <si>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</si>
  <si>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</si>
  <si>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</si>
  <si>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</si>
  <si>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</si>
  <si>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</si>
  <si>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</si>
  <si>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</si>
  <si>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</si>
  <si>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</si>
  <si>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</si>
  <si>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</si>
  <si>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</si>
  <si>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</si>
  <si>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</si>
  <si>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</si>
  <si>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</si>
  <si>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</si>
  <si>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</si>
  <si>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</si>
  <si>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</si>
  <si>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</si>
  <si>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</si>
  <si>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</si>
  <si>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</si>
  <si>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</si>
  <si>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</si>
  <si>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</si>
  <si>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</si>
  <si>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</si>
  <si>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</si>
  <si>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</si>
  <si>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</si>
  <si>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</si>
  <si>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</si>
  <si>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</si>
  <si>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</si>
  <si>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</si>
  <si>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</si>
  <si>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</si>
  <si>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</si>
  <si>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</si>
  <si>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</si>
  <si>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</si>
  <si>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</si>
  <si>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</si>
  <si>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</si>
  <si>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</si>
  <si>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</si>
  <si>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</si>
  <si>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</si>
  <si>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</si>
  <si>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</si>
  <si>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</si>
  <si>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</si>
  <si>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</si>
  <si>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</si>
  <si>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</si>
  <si>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</si>
  <si>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</si>
  <si>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</si>
  <si>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</si>
  <si>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</si>
  <si>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</si>
  <si>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</si>
  <si>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</si>
  <si>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</si>
  <si>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</si>
  <si>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</si>
  <si>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</si>
  <si>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</si>
  <si>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</si>
  <si>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</si>
  <si>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</si>
  <si>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</si>
  <si>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</si>
  <si>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</si>
  <si>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</si>
  <si>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</si>
  <si>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</si>
  <si>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</si>
  <si>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</si>
  <si>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</si>
  <si>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</si>
  <si>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</si>
  <si>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</si>
  <si>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</si>
  <si>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</si>
  <si>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</si>
  <si>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</si>
  <si>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</si>
  <si>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</si>
  <si>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</si>
  <si>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</si>
  <si>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</si>
  <si>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</si>
  <si>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</si>
  <si>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</si>
  <si>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</si>
  <si>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</si>
  <si>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</si>
  <si>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</si>
  <si>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</si>
  <si>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</si>
  <si>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</si>
  <si>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</si>
  <si>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</si>
  <si>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</si>
  <si>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</si>
  <si>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</si>
  <si>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</si>
  <si>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</si>
  <si>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</si>
  <si>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</si>
  <si>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</si>
  <si>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</si>
  <si>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</si>
  <si>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</si>
  <si>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</si>
  <si>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</si>
  <si>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</si>
  <si>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</si>
  <si>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</si>
  <si>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</si>
  <si>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</si>
  <si>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</si>
  <si>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</si>
  <si>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</si>
  <si>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</si>
  <si>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</si>
  <si>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</si>
  <si>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</si>
  <si>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</si>
  <si>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</si>
  <si>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</si>
  <si>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</si>
  <si>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</si>
  <si>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</si>
  <si>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</si>
  <si>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</si>
  <si>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</si>
  <si>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</si>
  <si>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</si>
  <si>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</si>
  <si>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</si>
  <si>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</si>
  <si>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</si>
  <si>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</si>
  <si>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</si>
  <si>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</si>
  <si>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</si>
  <si>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</si>
  <si>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</si>
  <si>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</si>
  <si>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</si>
  <si>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</si>
  <si>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</si>
  <si>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</si>
  <si>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</si>
  <si>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</si>
  <si>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</si>
  <si>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</si>
  <si>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</si>
  <si>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</si>
  <si>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</si>
  <si>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</si>
  <si>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</si>
  <si>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</si>
  <si>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</si>
  <si>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</si>
  <si>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</si>
  <si>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</si>
  <si>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</si>
  <si>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</si>
  <si>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</si>
  <si>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</si>
  <si>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</si>
  <si>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</si>
  <si>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</si>
  <si>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</si>
  <si>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</si>
  <si>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</si>
  <si>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</si>
  <si>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</si>
  <si>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</si>
  <si>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</si>
  <si>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</si>
  <si>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</si>
  <si>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</si>
  <si>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</si>
  <si>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</si>
  <si>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</si>
  <si>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</si>
  <si>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</si>
  <si>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</si>
  <si>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</si>
  <si>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</si>
  <si>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</si>
  <si>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</si>
  <si>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</si>
  <si>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</si>
  <si>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</si>
  <si>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</si>
  <si>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</si>
  <si>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</si>
  <si>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</si>
  <si>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</si>
  <si>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</si>
  <si>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</si>
  <si>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</si>
  <si>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</si>
  <si>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</si>
  <si>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</si>
  <si>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</si>
  <si>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</si>
  <si>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</si>
  <si>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</si>
  <si>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</si>
  <si>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</si>
  <si>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</si>
  <si>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</si>
  <si>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</si>
  <si>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</si>
  <si>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</si>
  <si>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</si>
  <si>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</si>
  <si>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</si>
  <si>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</si>
  <si>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</si>
  <si>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</si>
  <si>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</si>
  <si>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</si>
  <si>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</si>
  <si>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</si>
  <si>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</si>
  <si>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</si>
  <si>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</si>
  <si>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</si>
  <si>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</si>
  <si>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</si>
  <si>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</si>
  <si>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</si>
  <si>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</si>
  <si>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</si>
  <si>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</si>
  <si>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</si>
  <si>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</si>
  <si>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</si>
  <si>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</si>
  <si>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</si>
  <si>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</si>
  <si>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</si>
  <si>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</si>
  <si>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</si>
  <si>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</si>
  <si>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</si>
  <si>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</si>
  <si>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</si>
  <si>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</si>
  <si>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</si>
  <si>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</si>
  <si>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</si>
  <si>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</si>
  <si>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</si>
  <si>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</si>
  <si>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</si>
  <si>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</si>
  <si>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</si>
  <si>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</si>
  <si>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</si>
  <si>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</si>
  <si>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</si>
  <si>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</si>
  <si>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</si>
  <si>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</si>
  <si>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</si>
  <si>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</si>
  <si>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</si>
  <si>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</si>
  <si>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</si>
  <si>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</si>
  <si>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</si>
  <si>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</si>
  <si>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</si>
  <si>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</si>
  <si>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</si>
  <si>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</si>
  <si>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</si>
  <si>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</si>
  <si>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</si>
  <si>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</si>
  <si>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</si>
  <si>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</si>
  <si>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</si>
  <si>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</si>
  <si>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</si>
  <si>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</si>
  <si>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</si>
  <si>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</si>
  <si>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</si>
  <si>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</si>
  <si>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</si>
  <si>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</si>
  <si>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</si>
  <si>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</si>
  <si>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</si>
  <si>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</si>
  <si>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</si>
  <si>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</si>
  <si>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</si>
  <si>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</si>
  <si>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</si>
  <si>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</si>
  <si>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</si>
  <si>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14 европалет, подписать №2, 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</si>
</sst>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6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0" borderId="44" xfId="0" applyBorder="1" applyProtection="1">
      <protection hidden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3" t="s">
        <v>0</v>
      </c>
      <c r="E1" s="580"/>
      <c r="F1" s="580"/>
      <c r="G1" s="12" t="s">
        <v>1</v>
      </c>
      <c r="H1" s="633" t="s">
        <v>2</v>
      </c>
      <c r="I1" s="580"/>
      <c r="J1" s="580"/>
      <c r="K1" s="580"/>
      <c r="L1" s="580"/>
      <c r="M1" s="580"/>
      <c r="N1" s="580"/>
      <c r="O1" s="580"/>
      <c r="P1" s="580"/>
      <c r="Q1" s="580"/>
      <c r="R1" s="579" t="s">
        <v>3</v>
      </c>
      <c r="S1" s="580"/>
      <c r="T1" s="5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5" t="s">
        <v>8</v>
      </c>
      <c r="B5" s="654"/>
      <c r="C5" s="655"/>
      <c r="D5" s="634"/>
      <c r="E5" s="635"/>
      <c r="F5" s="831" t="s">
        <v>9</v>
      </c>
      <c r="G5" s="655"/>
      <c r="H5" s="634" t="s">
        <v>767</v>
      </c>
      <c r="I5" s="781"/>
      <c r="J5" s="781"/>
      <c r="K5" s="781"/>
      <c r="L5" s="781"/>
      <c r="M5" s="635"/>
      <c r="N5" s="58"/>
      <c r="P5" s="24" t="s">
        <v>10</v>
      </c>
      <c r="Q5" s="834">
        <v>46053</v>
      </c>
      <c r="R5" s="671"/>
      <c r="T5" s="720" t="s">
        <v>11</v>
      </c>
      <c r="U5" s="721"/>
      <c r="V5" s="722" t="s">
        <v>12</v>
      </c>
      <c r="W5" s="671"/>
      <c r="AB5" s="51"/>
      <c r="AC5" s="51"/>
      <c r="AD5" s="51"/>
      <c r="AE5" s="51"/>
    </row>
    <row r="6" spans="1:32" s="539" customFormat="1" ht="24" customHeight="1" x14ac:dyDescent="0.2">
      <c r="A6" s="675" t="s">
        <v>13</v>
      </c>
      <c r="B6" s="654"/>
      <c r="C6" s="655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71"/>
      <c r="N6" s="59"/>
      <c r="P6" s="24" t="s">
        <v>15</v>
      </c>
      <c r="Q6" s="825" t="str">
        <f>IF(Q5=0," ",CHOOSE(WEEKDAY(Q5,2),"Понедельник","Вторник","Среда","Четверг","Пятница","Суббота","Воскресенье"))</f>
        <v>Суббота</v>
      </c>
      <c r="R6" s="553"/>
      <c r="T6" s="725" t="s">
        <v>16</v>
      </c>
      <c r="U6" s="721"/>
      <c r="V6" s="766" t="s">
        <v>17</v>
      </c>
      <c r="W6" s="623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87" t="str">
        <f>IFERROR(VLOOKUP(DeliveryAddress,Table,3,0),1)</f>
        <v>1</v>
      </c>
      <c r="E7" s="588"/>
      <c r="F7" s="588"/>
      <c r="G7" s="588"/>
      <c r="H7" s="588"/>
      <c r="I7" s="588"/>
      <c r="J7" s="588"/>
      <c r="K7" s="588"/>
      <c r="L7" s="588"/>
      <c r="M7" s="589"/>
      <c r="N7" s="60"/>
      <c r="P7" s="24"/>
      <c r="Q7" s="42"/>
      <c r="R7" s="42"/>
      <c r="T7" s="559"/>
      <c r="U7" s="721"/>
      <c r="V7" s="767"/>
      <c r="W7" s="768"/>
      <c r="AB7" s="51"/>
      <c r="AC7" s="51"/>
      <c r="AD7" s="51"/>
      <c r="AE7" s="51"/>
    </row>
    <row r="8" spans="1:32" s="539" customFormat="1" ht="25.5" customHeight="1" x14ac:dyDescent="0.2">
      <c r="A8" s="855" t="s">
        <v>18</v>
      </c>
      <c r="B8" s="568"/>
      <c r="C8" s="569"/>
      <c r="D8" s="590" t="s">
        <v>19</v>
      </c>
      <c r="E8" s="591"/>
      <c r="F8" s="591"/>
      <c r="G8" s="591"/>
      <c r="H8" s="591"/>
      <c r="I8" s="591"/>
      <c r="J8" s="591"/>
      <c r="K8" s="591"/>
      <c r="L8" s="591"/>
      <c r="M8" s="592"/>
      <c r="N8" s="61"/>
      <c r="P8" s="24" t="s">
        <v>20</v>
      </c>
      <c r="Q8" s="685">
        <v>0.58333333333333337</v>
      </c>
      <c r="R8" s="589"/>
      <c r="T8" s="559"/>
      <c r="U8" s="721"/>
      <c r="V8" s="767"/>
      <c r="W8" s="768"/>
      <c r="AB8" s="51"/>
      <c r="AC8" s="51"/>
      <c r="AD8" s="51"/>
      <c r="AE8" s="51"/>
    </row>
    <row r="9" spans="1:32" s="539" customFormat="1" ht="39.950000000000003" customHeight="1" x14ac:dyDescent="0.2">
      <c r="A9" s="6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6"/>
      <c r="E9" s="572"/>
      <c r="F9" s="6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37"/>
      <c r="P9" s="26" t="s">
        <v>21</v>
      </c>
      <c r="Q9" s="666"/>
      <c r="R9" s="667"/>
      <c r="T9" s="559"/>
      <c r="U9" s="721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6"/>
      <c r="E10" s="572"/>
      <c r="F10" s="6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8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6"/>
      <c r="R10" s="727"/>
      <c r="U10" s="24" t="s">
        <v>23</v>
      </c>
      <c r="V10" s="622" t="s">
        <v>24</v>
      </c>
      <c r="W10" s="623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0"/>
      <c r="R11" s="671"/>
      <c r="U11" s="24" t="s">
        <v>27</v>
      </c>
      <c r="V11" s="808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6" t="s">
        <v>29</v>
      </c>
      <c r="B12" s="654"/>
      <c r="C12" s="654"/>
      <c r="D12" s="654"/>
      <c r="E12" s="654"/>
      <c r="F12" s="654"/>
      <c r="G12" s="654"/>
      <c r="H12" s="654"/>
      <c r="I12" s="654"/>
      <c r="J12" s="654"/>
      <c r="K12" s="654"/>
      <c r="L12" s="654"/>
      <c r="M12" s="655"/>
      <c r="N12" s="62"/>
      <c r="P12" s="24" t="s">
        <v>30</v>
      </c>
      <c r="Q12" s="685"/>
      <c r="R12" s="589"/>
      <c r="S12" s="23"/>
      <c r="U12" s="24"/>
      <c r="V12" s="580"/>
      <c r="W12" s="559"/>
      <c r="AB12" s="51"/>
      <c r="AC12" s="51"/>
      <c r="AD12" s="51"/>
      <c r="AE12" s="51"/>
    </row>
    <row r="13" spans="1:32" s="539" customFormat="1" ht="23.25" customHeight="1" x14ac:dyDescent="0.2">
      <c r="A13" s="716" t="s">
        <v>31</v>
      </c>
      <c r="B13" s="654"/>
      <c r="C13" s="654"/>
      <c r="D13" s="654"/>
      <c r="E13" s="654"/>
      <c r="F13" s="654"/>
      <c r="G13" s="654"/>
      <c r="H13" s="654"/>
      <c r="I13" s="654"/>
      <c r="J13" s="654"/>
      <c r="K13" s="654"/>
      <c r="L13" s="654"/>
      <c r="M13" s="655"/>
      <c r="N13" s="62"/>
      <c r="O13" s="26"/>
      <c r="P13" s="26" t="s">
        <v>32</v>
      </c>
      <c r="Q13" s="808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6" t="s">
        <v>33</v>
      </c>
      <c r="B14" s="654"/>
      <c r="C14" s="654"/>
      <c r="D14" s="654"/>
      <c r="E14" s="654"/>
      <c r="F14" s="654"/>
      <c r="G14" s="654"/>
      <c r="H14" s="654"/>
      <c r="I14" s="654"/>
      <c r="J14" s="654"/>
      <c r="K14" s="654"/>
      <c r="L14" s="654"/>
      <c r="M14" s="65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1" t="s">
        <v>34</v>
      </c>
      <c r="B15" s="654"/>
      <c r="C15" s="654"/>
      <c r="D15" s="654"/>
      <c r="E15" s="654"/>
      <c r="F15" s="654"/>
      <c r="G15" s="654"/>
      <c r="H15" s="654"/>
      <c r="I15" s="654"/>
      <c r="J15" s="654"/>
      <c r="K15" s="654"/>
      <c r="L15" s="654"/>
      <c r="M15" s="655"/>
      <c r="N15" s="63"/>
      <c r="P15" s="704" t="s">
        <v>35</v>
      </c>
      <c r="Q15" s="580"/>
      <c r="R15" s="580"/>
      <c r="S15" s="580"/>
      <c r="T15" s="5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1" t="s">
        <v>38</v>
      </c>
      <c r="D17" s="596" t="s">
        <v>39</v>
      </c>
      <c r="E17" s="659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8"/>
      <c r="R17" s="658"/>
      <c r="S17" s="658"/>
      <c r="T17" s="659"/>
      <c r="U17" s="862" t="s">
        <v>51</v>
      </c>
      <c r="V17" s="655"/>
      <c r="W17" s="596" t="s">
        <v>52</v>
      </c>
      <c r="X17" s="596" t="s">
        <v>53</v>
      </c>
      <c r="Y17" s="863" t="s">
        <v>54</v>
      </c>
      <c r="Z17" s="779" t="s">
        <v>55</v>
      </c>
      <c r="AA17" s="751" t="s">
        <v>56</v>
      </c>
      <c r="AB17" s="751" t="s">
        <v>57</v>
      </c>
      <c r="AC17" s="751" t="s">
        <v>58</v>
      </c>
      <c r="AD17" s="751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0"/>
      <c r="E18" s="662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0"/>
      <c r="Q18" s="661"/>
      <c r="R18" s="661"/>
      <c r="S18" s="661"/>
      <c r="T18" s="662"/>
      <c r="U18" s="67" t="s">
        <v>61</v>
      </c>
      <c r="V18" s="67" t="s">
        <v>62</v>
      </c>
      <c r="W18" s="597"/>
      <c r="X18" s="597"/>
      <c r="Y18" s="864"/>
      <c r="Z18" s="780"/>
      <c r="AA18" s="752"/>
      <c r="AB18" s="752"/>
      <c r="AC18" s="752"/>
      <c r="AD18" s="828"/>
      <c r="AE18" s="829"/>
      <c r="AF18" s="830"/>
      <c r="AG18" s="66"/>
      <c r="BD18" s="65"/>
    </row>
    <row r="19" spans="1:68" ht="27.75" hidden="1" customHeight="1" x14ac:dyDescent="0.2">
      <c r="A19" s="647" t="s">
        <v>63</v>
      </c>
      <c r="B19" s="648"/>
      <c r="C19" s="648"/>
      <c r="D19" s="648"/>
      <c r="E19" s="648"/>
      <c r="F19" s="648"/>
      <c r="G19" s="648"/>
      <c r="H19" s="648"/>
      <c r="I19" s="648"/>
      <c r="J19" s="648"/>
      <c r="K19" s="648"/>
      <c r="L19" s="648"/>
      <c r="M19" s="648"/>
      <c r="N19" s="648"/>
      <c r="O19" s="648"/>
      <c r="P19" s="648"/>
      <c r="Q19" s="648"/>
      <c r="R19" s="648"/>
      <c r="S19" s="648"/>
      <c r="T19" s="648"/>
      <c r="U19" s="648"/>
      <c r="V19" s="648"/>
      <c r="W19" s="648"/>
      <c r="X19" s="648"/>
      <c r="Y19" s="648"/>
      <c r="Z19" s="648"/>
      <c r="AA19" s="48"/>
      <c r="AB19" s="48"/>
      <c r="AC19" s="48"/>
    </row>
    <row r="20" spans="1:68" ht="16.5" hidden="1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1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62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62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1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62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hidden="1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62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hidden="1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76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1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62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hidden="1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62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hidden="1" customHeight="1" x14ac:dyDescent="0.2">
      <c r="A37" s="647" t="s">
        <v>97</v>
      </c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8"/>
      <c r="P37" s="648"/>
      <c r="Q37" s="648"/>
      <c r="R37" s="648"/>
      <c r="S37" s="648"/>
      <c r="T37" s="648"/>
      <c r="U37" s="648"/>
      <c r="V37" s="648"/>
      <c r="W37" s="648"/>
      <c r="X37" s="648"/>
      <c r="Y37" s="648"/>
      <c r="Z37" s="648"/>
      <c r="AA37" s="48"/>
      <c r="AB37" s="48"/>
      <c r="AC37" s="48"/>
    </row>
    <row r="38" spans="1:68" ht="16.5" hidden="1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hidden="1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220</v>
      </c>
      <c r="Y40" s="546">
        <f>IFERROR(IF(X40="",0,CEILING((X40/$H40),1)*$H40),"")</f>
        <v>226.8</v>
      </c>
      <c r="Z40" s="36">
        <f>IFERROR(IF(Y40=0,"",ROUNDUP(Y40/H40,0)*0.01898),"")</f>
        <v>0.39857999999999999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228.35185185185188</v>
      </c>
      <c r="BN40" s="64">
        <f>IFERROR(Y40*I40/H40,"0")</f>
        <v>235.41000000000003</v>
      </c>
      <c r="BO40" s="64">
        <f>IFERROR(1/J40*(X40/H40),"0")</f>
        <v>0.31828703703703703</v>
      </c>
      <c r="BP40" s="64">
        <f>IFERROR(1/J40*(Y40/H40),"0")</f>
        <v>0.328125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/>
      <c r="M41" s="33" t="s">
        <v>80</v>
      </c>
      <c r="N41" s="33"/>
      <c r="O41" s="32">
        <v>50</v>
      </c>
      <c r="P41" s="8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 t="s">
        <v>112</v>
      </c>
      <c r="M42" s="33" t="s">
        <v>80</v>
      </c>
      <c r="N42" s="33"/>
      <c r="O42" s="32">
        <v>50</v>
      </c>
      <c r="P42" s="64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1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62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47">
        <f>IFERROR(X40/H40,"0")+IFERROR(X41/H41,"0")+IFERROR(X42/H42,"0")</f>
        <v>20.37037037037037</v>
      </c>
      <c r="Y43" s="547">
        <f>IFERROR(Y40/H40,"0")+IFERROR(Y41/H41,"0")+IFERROR(Y42/H42,"0")</f>
        <v>21</v>
      </c>
      <c r="Z43" s="547">
        <f>IFERROR(IF(Z40="",0,Z40),"0")+IFERROR(IF(Z41="",0,Z41),"0")+IFERROR(IF(Z42="",0,Z42),"0")</f>
        <v>0.39857999999999999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62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47">
        <f>IFERROR(SUM(X40:X42),"0")</f>
        <v>220</v>
      </c>
      <c r="Y44" s="547">
        <f>IFERROR(SUM(Y40:Y42),"0")</f>
        <v>226.8</v>
      </c>
      <c r="Z44" s="37"/>
      <c r="AA44" s="548"/>
      <c r="AB44" s="548"/>
      <c r="AC44" s="548"/>
    </row>
    <row r="45" spans="1:68" ht="14.25" hidden="1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1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62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hidden="1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62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hidden="1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hidden="1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5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50</v>
      </c>
      <c r="Y51" s="546">
        <f t="shared" ref="Y51:Y56" si="0">IFERROR(IF(X51="",0,CEILING((X51/$H51),1)*$H51),"")</f>
        <v>56</v>
      </c>
      <c r="Z51" s="36">
        <f>IFERROR(IF(Y51=0,"",ROUNDUP(Y51/H51,0)*0.01898),"")</f>
        <v>9.4899999999999998E-2</v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51.830357142857146</v>
      </c>
      <c r="BN51" s="64">
        <f t="shared" ref="BN51:BN56" si="2">IFERROR(Y51*I51/H51,"0")</f>
        <v>58.050000000000004</v>
      </c>
      <c r="BO51" s="64">
        <f t="shared" ref="BO51:BO56" si="3">IFERROR(1/J51*(X51/H51),"0")</f>
        <v>6.9754464285714288E-2</v>
      </c>
      <c r="BP51" s="64">
        <f t="shared" ref="BP51:BP56" si="4">IFERROR(1/J51*(Y51/H51),"0")</f>
        <v>7.8125E-2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5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80</v>
      </c>
      <c r="Y52" s="546">
        <f t="shared" si="0"/>
        <v>86.4</v>
      </c>
      <c r="Z52" s="36">
        <f>IFERROR(IF(Y52=0,"",ROUNDUP(Y52/H52,0)*0.01898),"")</f>
        <v>0.15184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83.037037037037038</v>
      </c>
      <c r="BN52" s="64">
        <f t="shared" si="2"/>
        <v>89.68</v>
      </c>
      <c r="BO52" s="64">
        <f t="shared" si="3"/>
        <v>0.11574074074074073</v>
      </c>
      <c r="BP52" s="64">
        <f t="shared" si="4"/>
        <v>0.125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40</v>
      </c>
      <c r="Y54" s="546">
        <f t="shared" si="0"/>
        <v>40</v>
      </c>
      <c r="Z54" s="36">
        <f>IFERROR(IF(Y54=0,"",ROUNDUP(Y54/H54,0)*0.00902),"")</f>
        <v>9.0200000000000002E-2</v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41.900000000000006</v>
      </c>
      <c r="BN54" s="64">
        <f t="shared" si="2"/>
        <v>41.900000000000006</v>
      </c>
      <c r="BO54" s="64">
        <f t="shared" si="3"/>
        <v>7.575757575757576E-2</v>
      </c>
      <c r="BP54" s="64">
        <f t="shared" si="4"/>
        <v>7.575757575757576E-2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61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68</v>
      </c>
      <c r="Y56" s="546">
        <f t="shared" si="0"/>
        <v>72</v>
      </c>
      <c r="Z56" s="36">
        <f>IFERROR(IF(Y56=0,"",ROUNDUP(Y56/H56,0)*0.00902),"")</f>
        <v>0.14432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70.871111111111119</v>
      </c>
      <c r="BN56" s="64">
        <f t="shared" si="2"/>
        <v>75.040000000000006</v>
      </c>
      <c r="BO56" s="64">
        <f t="shared" si="3"/>
        <v>0.11447811447811448</v>
      </c>
      <c r="BP56" s="64">
        <f t="shared" si="4"/>
        <v>0.12121212121212122</v>
      </c>
    </row>
    <row r="57" spans="1:68" x14ac:dyDescent="0.2">
      <c r="A57" s="561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62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47">
        <f>IFERROR(X51/H51,"0")+IFERROR(X52/H52,"0")+IFERROR(X53/H53,"0")+IFERROR(X54/H54,"0")+IFERROR(X55/H55,"0")+IFERROR(X56/H56,"0")</f>
        <v>36.982804232804227</v>
      </c>
      <c r="Y57" s="547">
        <f>IFERROR(Y51/H51,"0")+IFERROR(Y52/H52,"0")+IFERROR(Y53/H53,"0")+IFERROR(Y54/H54,"0")+IFERROR(Y55/H55,"0")+IFERROR(Y56/H56,"0")</f>
        <v>39</v>
      </c>
      <c r="Z57" s="547">
        <f>IFERROR(IF(Z51="",0,Z51),"0")+IFERROR(IF(Z52="",0,Z52),"0")+IFERROR(IF(Z53="",0,Z53),"0")+IFERROR(IF(Z54="",0,Z54),"0")+IFERROR(IF(Z55="",0,Z55),"0")+IFERROR(IF(Z56="",0,Z56),"0")</f>
        <v>0.48126000000000002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62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47">
        <f>IFERROR(SUM(X51:X56),"0")</f>
        <v>238</v>
      </c>
      <c r="Y58" s="547">
        <f>IFERROR(SUM(Y51:Y56),"0")</f>
        <v>254.4</v>
      </c>
      <c r="Z58" s="37"/>
      <c r="AA58" s="548"/>
      <c r="AB58" s="548"/>
      <c r="AC58" s="548"/>
    </row>
    <row r="59" spans="1:68" ht="14.25" hidden="1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0</v>
      </c>
      <c r="Y60" s="546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61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62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47">
        <f>IFERROR(X60/H60,"0")+IFERROR(X61/H61,"0")+IFERROR(X62/H62,"0")</f>
        <v>0</v>
      </c>
      <c r="Y63" s="547">
        <f>IFERROR(Y60/H60,"0")+IFERROR(Y61/H61,"0")+IFERROR(Y62/H62,"0")</f>
        <v>0</v>
      </c>
      <c r="Z63" s="547">
        <f>IFERROR(IF(Z60="",0,Z60),"0")+IFERROR(IF(Z61="",0,Z61),"0")+IFERROR(IF(Z62="",0,Z62),"0")</f>
        <v>0</v>
      </c>
      <c r="AA63" s="548"/>
      <c r="AB63" s="548"/>
      <c r="AC63" s="548"/>
    </row>
    <row r="64" spans="1:68" hidden="1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62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47">
        <f>IFERROR(SUM(X60:X62),"0")</f>
        <v>0</v>
      </c>
      <c r="Y64" s="547">
        <f>IFERROR(SUM(Y60:Y62),"0")</f>
        <v>0</v>
      </c>
      <c r="Z64" s="37"/>
      <c r="AA64" s="548"/>
      <c r="AB64" s="548"/>
      <c r="AC64" s="548"/>
    </row>
    <row r="65" spans="1:68" ht="14.25" hidden="1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1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62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hidden="1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62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hidden="1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6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1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62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hidden="1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62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hidden="1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hidden="1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61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62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hidden="1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62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hidden="1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hidden="1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80</v>
      </c>
      <c r="Y84" s="546">
        <f>IFERROR(IF(X84="",0,CEILING((X84/$H84),1)*$H84),"")</f>
        <v>86.4</v>
      </c>
      <c r="Z84" s="36">
        <f>IFERROR(IF(Y84=0,"",ROUNDUP(Y84/H84,0)*0.01898),"")</f>
        <v>0.15184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83.037037037037038</v>
      </c>
      <c r="BN84" s="64">
        <f>IFERROR(Y84*I84/H84,"0")</f>
        <v>89.68</v>
      </c>
      <c r="BO84" s="64">
        <f>IFERROR(1/J84*(X84/H84),"0")</f>
        <v>0.11574074074074073</v>
      </c>
      <c r="BP84" s="64">
        <f>IFERROR(1/J84*(Y84/H84),"0")</f>
        <v>0.125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112</v>
      </c>
      <c r="M87" s="33" t="s">
        <v>86</v>
      </c>
      <c r="N87" s="33"/>
      <c r="O87" s="32">
        <v>50</v>
      </c>
      <c r="P87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1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62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47">
        <f>IFERROR(X84/H84,"0")+IFERROR(X85/H85,"0")+IFERROR(X86/H86,"0")+IFERROR(X87/H87,"0")</f>
        <v>7.4074074074074066</v>
      </c>
      <c r="Y88" s="547">
        <f>IFERROR(Y84/H84,"0")+IFERROR(Y85/H85,"0")+IFERROR(Y86/H86,"0")+IFERROR(Y87/H87,"0")</f>
        <v>8</v>
      </c>
      <c r="Z88" s="547">
        <f>IFERROR(IF(Z84="",0,Z84),"0")+IFERROR(IF(Z85="",0,Z85),"0")+IFERROR(IF(Z86="",0,Z86),"0")+IFERROR(IF(Z87="",0,Z87),"0")</f>
        <v>0.15184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62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47">
        <f>IFERROR(SUM(X84:X87),"0")</f>
        <v>80</v>
      </c>
      <c r="Y89" s="547">
        <f>IFERROR(SUM(Y84:Y87),"0")</f>
        <v>86.4</v>
      </c>
      <c r="Z89" s="37"/>
      <c r="AA89" s="548"/>
      <c r="AB89" s="548"/>
      <c r="AC89" s="548"/>
    </row>
    <row r="90" spans="1:68" ht="14.25" hidden="1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4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320</v>
      </c>
      <c r="Y91" s="546">
        <f>IFERROR(IF(X91="",0,CEILING((X91/$H91),1)*$H91),"")</f>
        <v>324</v>
      </c>
      <c r="Z91" s="36">
        <f>IFERROR(IF(Y91=0,"",ROUNDUP(Y91/H91,0)*0.01898),"")</f>
        <v>0.75919999999999999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339.51604938271606</v>
      </c>
      <c r="BN91" s="64">
        <f>IFERROR(Y91*I91/H91,"0")</f>
        <v>343.76</v>
      </c>
      <c r="BO91" s="64">
        <f>IFERROR(1/J91*(X91/H91),"0")</f>
        <v>0.61728395061728403</v>
      </c>
      <c r="BP91" s="64">
        <f>IFERROR(1/J91*(Y91/H91),"0")</f>
        <v>0.625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8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63</v>
      </c>
      <c r="Y93" s="546">
        <f>IFERROR(IF(X93="",0,CEILING((X93/$H93),1)*$H93),"")</f>
        <v>64.800000000000011</v>
      </c>
      <c r="Z93" s="36">
        <f>IFERROR(IF(Y93=0,"",ROUNDUP(Y93/H93,0)*0.00651),"")</f>
        <v>0.15623999999999999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68.88</v>
      </c>
      <c r="BN93" s="64">
        <f>IFERROR(Y93*I93/H93,"0")</f>
        <v>70.848000000000013</v>
      </c>
      <c r="BO93" s="64">
        <f>IFERROR(1/J93*(X93/H93),"0")</f>
        <v>0.12820512820512822</v>
      </c>
      <c r="BP93" s="64">
        <f>IFERROR(1/J93*(Y93/H93),"0")</f>
        <v>0.1318681318681319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62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47">
        <f>IFERROR(X91/H91,"0")+IFERROR(X92/H92,"0")+IFERROR(X93/H93,"0")+IFERROR(X94/H94,"0")</f>
        <v>62.839506172839506</v>
      </c>
      <c r="Y95" s="547">
        <f>IFERROR(Y91/H91,"0")+IFERROR(Y92/H92,"0")+IFERROR(Y93/H93,"0")+IFERROR(Y94/H94,"0")</f>
        <v>64</v>
      </c>
      <c r="Z95" s="547">
        <f>IFERROR(IF(Z91="",0,Z91),"0")+IFERROR(IF(Z92="",0,Z92),"0")+IFERROR(IF(Z93="",0,Z93),"0")+IFERROR(IF(Z94="",0,Z94),"0")</f>
        <v>0.91544000000000003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62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47">
        <f>IFERROR(SUM(X91:X94),"0")</f>
        <v>383</v>
      </c>
      <c r="Y96" s="547">
        <f>IFERROR(SUM(Y91:Y94),"0")</f>
        <v>388.8</v>
      </c>
      <c r="Z96" s="37"/>
      <c r="AA96" s="548"/>
      <c r="AB96" s="548"/>
      <c r="AC96" s="548"/>
    </row>
    <row r="97" spans="1:68" ht="16.5" hidden="1" customHeight="1" x14ac:dyDescent="0.25">
      <c r="A97" s="560" t="s">
        <v>189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hidden="1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2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100</v>
      </c>
      <c r="Y99" s="546">
        <f>IFERROR(IF(X99="",0,CEILING((X99/$H99),1)*$H99),"")</f>
        <v>108</v>
      </c>
      <c r="Z99" s="36">
        <f>IFERROR(IF(Y99=0,"",ROUNDUP(Y99/H99,0)*0.01898),"")</f>
        <v>0.1898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103.79629629629629</v>
      </c>
      <c r="BN99" s="64">
        <f>IFERROR(Y99*I99/H99,"0")</f>
        <v>112.1</v>
      </c>
      <c r="BO99" s="64">
        <f>IFERROR(1/J99*(X99/H99),"0")</f>
        <v>0.14467592592592593</v>
      </c>
      <c r="BP99" s="64">
        <f>IFERROR(1/J99*(Y99/H99),"0")</f>
        <v>0.15625</v>
      </c>
    </row>
    <row r="100" spans="1:68" ht="27" hidden="1" customHeight="1" x14ac:dyDescent="0.25">
      <c r="A100" s="54" t="s">
        <v>193</v>
      </c>
      <c r="B100" s="54" t="s">
        <v>194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0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112</v>
      </c>
      <c r="M102" s="33" t="s">
        <v>80</v>
      </c>
      <c r="N102" s="33"/>
      <c r="O102" s="32">
        <v>50</v>
      </c>
      <c r="P102" s="8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62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47">
        <f>IFERROR(X99/H99,"0")+IFERROR(X100/H100,"0")+IFERROR(X101/H101,"0")+IFERROR(X102/H102,"0")+IFERROR(X103/H103,"0")</f>
        <v>9.2592592592592595</v>
      </c>
      <c r="Y104" s="547">
        <f>IFERROR(Y99/H99,"0")+IFERROR(Y100/H100,"0")+IFERROR(Y101/H101,"0")+IFERROR(Y102/H102,"0")+IFERROR(Y103/H103,"0")</f>
        <v>10</v>
      </c>
      <c r="Z104" s="547">
        <f>IFERROR(IF(Z99="",0,Z99),"0")+IFERROR(IF(Z100="",0,Z100),"0")+IFERROR(IF(Z101="",0,Z101),"0")+IFERROR(IF(Z102="",0,Z102),"0")+IFERROR(IF(Z103="",0,Z103),"0")</f>
        <v>0.1898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62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47">
        <f>IFERROR(SUM(X99:X103),"0")</f>
        <v>100</v>
      </c>
      <c r="Y105" s="547">
        <f>IFERROR(SUM(Y99:Y103),"0")</f>
        <v>108</v>
      </c>
      <c r="Z105" s="37"/>
      <c r="AA105" s="548"/>
      <c r="AB105" s="548"/>
      <c r="AC105" s="548"/>
    </row>
    <row r="106" spans="1:68" ht="14.25" hidden="1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205</v>
      </c>
      <c r="B108" s="54" t="s">
        <v>206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 t="s">
        <v>213</v>
      </c>
      <c r="M110" s="33" t="s">
        <v>104</v>
      </c>
      <c r="N110" s="33"/>
      <c r="O110" s="32">
        <v>55</v>
      </c>
      <c r="P110" s="83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1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62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hidden="1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62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hidden="1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1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220</v>
      </c>
      <c r="Y114" s="546">
        <f>IFERROR(IF(X114="",0,CEILING((X114/$H114),1)*$H114),"")</f>
        <v>226.79999999999998</v>
      </c>
      <c r="Z114" s="36">
        <f>IFERROR(IF(Y114=0,"",ROUNDUP(Y114/H114,0)*0.01898),"")</f>
        <v>0.53144000000000002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233.25432098765432</v>
      </c>
      <c r="BN114" s="64">
        <f>IFERROR(Y114*I114/H114,"0")</f>
        <v>240.46399999999997</v>
      </c>
      <c r="BO114" s="64">
        <f>IFERROR(1/J114*(X114/H114),"0")</f>
        <v>0.42438271604938271</v>
      </c>
      <c r="BP114" s="64">
        <f>IFERROR(1/J114*(Y114/H114),"0")</f>
        <v>0.4375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213</v>
      </c>
      <c r="M116" s="33" t="s">
        <v>86</v>
      </c>
      <c r="N116" s="33"/>
      <c r="O116" s="32">
        <v>45</v>
      </c>
      <c r="P116" s="65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135</v>
      </c>
      <c r="Y116" s="546">
        <f>IFERROR(IF(X116="",0,CEILING((X116/$H116),1)*$H116),"")</f>
        <v>135</v>
      </c>
      <c r="Z116" s="36">
        <f>IFERROR(IF(Y116=0,"",ROUNDUP(Y116/H116,0)*0.00651),"")</f>
        <v>0.32550000000000001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147.6</v>
      </c>
      <c r="BN116" s="64">
        <f>IFERROR(Y116*I116/H116,"0")</f>
        <v>147.6</v>
      </c>
      <c r="BO116" s="64">
        <f>IFERROR(1/J116*(X116/H116),"0")</f>
        <v>0.27472527472527475</v>
      </c>
      <c r="BP116" s="64">
        <f>IFERROR(1/J116*(Y116/H116),"0")</f>
        <v>0.27472527472527475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1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62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47">
        <f>IFERROR(X114/H114,"0")+IFERROR(X115/H115,"0")+IFERROR(X116/H116,"0")+IFERROR(X117/H117,"0")</f>
        <v>77.160493827160494</v>
      </c>
      <c r="Y118" s="547">
        <f>IFERROR(Y114/H114,"0")+IFERROR(Y115/H115,"0")+IFERROR(Y116/H116,"0")+IFERROR(Y117/H117,"0")</f>
        <v>78</v>
      </c>
      <c r="Z118" s="547">
        <f>IFERROR(IF(Z114="",0,Z114),"0")+IFERROR(IF(Z115="",0,Z115),"0")+IFERROR(IF(Z116="",0,Z116),"0")+IFERROR(IF(Z117="",0,Z117),"0")</f>
        <v>0.85694000000000004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62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47">
        <f>IFERROR(SUM(X114:X117),"0")</f>
        <v>355</v>
      </c>
      <c r="Y119" s="547">
        <f>IFERROR(SUM(Y114:Y117),"0")</f>
        <v>361.79999999999995</v>
      </c>
      <c r="Z119" s="37"/>
      <c r="AA119" s="548"/>
      <c r="AB119" s="548"/>
      <c r="AC119" s="548"/>
    </row>
    <row r="120" spans="1:68" ht="14.25" hidden="1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1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62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hidden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62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hidden="1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hidden="1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1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62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hidden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62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hidden="1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4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1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62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hidden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62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hidden="1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1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62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hidden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62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hidden="1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hidden="1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1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62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hidden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62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hidden="1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hidden="1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2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6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5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1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62"/>
      <c r="P152" s="567" t="s">
        <v>75</v>
      </c>
      <c r="Q152" s="568"/>
      <c r="R152" s="568"/>
      <c r="S152" s="568"/>
      <c r="T152" s="568"/>
      <c r="U152" s="568"/>
      <c r="V152" s="569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62"/>
      <c r="P153" s="567" t="s">
        <v>75</v>
      </c>
      <c r="Q153" s="568"/>
      <c r="R153" s="568"/>
      <c r="S153" s="568"/>
      <c r="T153" s="568"/>
      <c r="U153" s="568"/>
      <c r="V153" s="569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1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62"/>
      <c r="P156" s="567" t="s">
        <v>75</v>
      </c>
      <c r="Q156" s="568"/>
      <c r="R156" s="568"/>
      <c r="S156" s="568"/>
      <c r="T156" s="568"/>
      <c r="U156" s="568"/>
      <c r="V156" s="569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62"/>
      <c r="P157" s="567" t="s">
        <v>75</v>
      </c>
      <c r="Q157" s="568"/>
      <c r="R157" s="568"/>
      <c r="S157" s="568"/>
      <c r="T157" s="568"/>
      <c r="U157" s="568"/>
      <c r="V157" s="569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647" t="s">
        <v>263</v>
      </c>
      <c r="B158" s="648"/>
      <c r="C158" s="648"/>
      <c r="D158" s="648"/>
      <c r="E158" s="648"/>
      <c r="F158" s="648"/>
      <c r="G158" s="648"/>
      <c r="H158" s="648"/>
      <c r="I158" s="648"/>
      <c r="J158" s="648"/>
      <c r="K158" s="648"/>
      <c r="L158" s="648"/>
      <c r="M158" s="648"/>
      <c r="N158" s="648"/>
      <c r="O158" s="648"/>
      <c r="P158" s="648"/>
      <c r="Q158" s="648"/>
      <c r="R158" s="648"/>
      <c r="S158" s="648"/>
      <c r="T158" s="648"/>
      <c r="U158" s="648"/>
      <c r="V158" s="648"/>
      <c r="W158" s="648"/>
      <c r="X158" s="648"/>
      <c r="Y158" s="648"/>
      <c r="Z158" s="648"/>
      <c r="AA158" s="48"/>
      <c r="AB158" s="48"/>
      <c r="AC158" s="48"/>
    </row>
    <row r="159" spans="1:68" ht="16.5" hidden="1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hidden="1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1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62"/>
      <c r="P162" s="567" t="s">
        <v>75</v>
      </c>
      <c r="Q162" s="568"/>
      <c r="R162" s="568"/>
      <c r="S162" s="568"/>
      <c r="T162" s="568"/>
      <c r="U162" s="568"/>
      <c r="V162" s="569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62"/>
      <c r="P163" s="567" t="s">
        <v>75</v>
      </c>
      <c r="Q163" s="568"/>
      <c r="R163" s="568"/>
      <c r="S163" s="568"/>
      <c r="T163" s="568"/>
      <c r="U163" s="568"/>
      <c r="V163" s="569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112</v>
      </c>
      <c r="M165" s="33" t="s">
        <v>68</v>
      </c>
      <c r="N165" s="33"/>
      <c r="O165" s="32">
        <v>40</v>
      </c>
      <c r="P165" s="6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50</v>
      </c>
      <c r="Y165" s="546">
        <f t="shared" ref="Y165:Y178" si="5">IFERROR(IF(X165="",0,CEILING((X165/$H165),1)*$H165),"")</f>
        <v>50.400000000000006</v>
      </c>
      <c r="Z165" s="36">
        <f>IFERROR(IF(Y165=0,"",ROUNDUP(Y165/H165,0)*0.00902),"")</f>
        <v>0.10824</v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52.976190476190474</v>
      </c>
      <c r="BN165" s="64">
        <f t="shared" ref="BN165:BN178" si="7">IFERROR(Y165*I165/H165,"0")</f>
        <v>53.400000000000006</v>
      </c>
      <c r="BO165" s="64">
        <f t="shared" ref="BO165:BO178" si="8">IFERROR(1/J165*(X165/H165),"0")</f>
        <v>9.0187590187590191E-2</v>
      </c>
      <c r="BP165" s="64">
        <f t="shared" ref="BP165:BP178" si="9">IFERROR(1/J165*(Y165/H165),"0")</f>
        <v>9.0909090909090912E-2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112</v>
      </c>
      <c r="M167" s="33" t="s">
        <v>68</v>
      </c>
      <c r="N167" s="33"/>
      <c r="O167" s="32">
        <v>40</v>
      </c>
      <c r="P167" s="6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50</v>
      </c>
      <c r="Y167" s="546">
        <f t="shared" si="5"/>
        <v>50.400000000000006</v>
      </c>
      <c r="Z167" s="36">
        <f>IFERROR(IF(Y167=0,"",ROUNDUP(Y167/H167,0)*0.00902),"")</f>
        <v>0.10824</v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52.261904761904752</v>
      </c>
      <c r="BN167" s="64">
        <f t="shared" si="7"/>
        <v>52.68</v>
      </c>
      <c r="BO167" s="64">
        <f t="shared" si="8"/>
        <v>9.0187590187590191E-2</v>
      </c>
      <c r="BP167" s="64">
        <f t="shared" si="9"/>
        <v>9.0909090909090912E-2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18</v>
      </c>
      <c r="Y169" s="546">
        <f t="shared" si="5"/>
        <v>18.900000000000002</v>
      </c>
      <c r="Z169" s="36">
        <f>IFERROR(IF(Y169=0,"",ROUNDUP(Y169/H169,0)*0.00502),"")</f>
        <v>4.5179999999999998E-2</v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19.114285714285714</v>
      </c>
      <c r="BN169" s="64">
        <f t="shared" si="7"/>
        <v>20.07</v>
      </c>
      <c r="BO169" s="64">
        <f t="shared" si="8"/>
        <v>3.6630036630036632E-2</v>
      </c>
      <c r="BP169" s="64">
        <f t="shared" si="9"/>
        <v>3.8461538461538464E-2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6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2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hidden="1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 t="s">
        <v>282</v>
      </c>
      <c r="M174" s="33" t="s">
        <v>68</v>
      </c>
      <c r="N174" s="33"/>
      <c r="O174" s="32">
        <v>40</v>
      </c>
      <c r="P174" s="86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 t="s">
        <v>106</v>
      </c>
      <c r="AK174" s="68">
        <v>32.4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350</v>
      </c>
      <c r="Y176" s="546">
        <f t="shared" si="5"/>
        <v>350.7</v>
      </c>
      <c r="Z176" s="36">
        <f>IFERROR(IF(Y176=0,"",ROUNDUP(Y176/H176,0)*0.00502),"")</f>
        <v>0.83833999999999997</v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366.66666666666669</v>
      </c>
      <c r="BN176" s="64">
        <f t="shared" si="7"/>
        <v>367.40000000000003</v>
      </c>
      <c r="BO176" s="64">
        <f t="shared" si="8"/>
        <v>0.71225071225071224</v>
      </c>
      <c r="BP176" s="64">
        <f t="shared" si="9"/>
        <v>0.71367521367521369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1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62"/>
      <c r="P179" s="567" t="s">
        <v>75</v>
      </c>
      <c r="Q179" s="568"/>
      <c r="R179" s="568"/>
      <c r="S179" s="568"/>
      <c r="T179" s="568"/>
      <c r="U179" s="568"/>
      <c r="V179" s="569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199.04761904761904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200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1.1000000000000001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62"/>
      <c r="P180" s="567" t="s">
        <v>75</v>
      </c>
      <c r="Q180" s="568"/>
      <c r="R180" s="568"/>
      <c r="S180" s="568"/>
      <c r="T180" s="568"/>
      <c r="U180" s="568"/>
      <c r="V180" s="569"/>
      <c r="W180" s="37" t="s">
        <v>69</v>
      </c>
      <c r="X180" s="547">
        <f>IFERROR(SUM(X165:X178),"0")</f>
        <v>468</v>
      </c>
      <c r="Y180" s="547">
        <f>IFERROR(SUM(Y165:Y178),"0")</f>
        <v>470.4</v>
      </c>
      <c r="Z180" s="37"/>
      <c r="AA180" s="548"/>
      <c r="AB180" s="548"/>
      <c r="AC180" s="548"/>
    </row>
    <row r="181" spans="1:68" ht="14.25" hidden="1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hidden="1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1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62"/>
      <c r="P185" s="567" t="s">
        <v>75</v>
      </c>
      <c r="Q185" s="568"/>
      <c r="R185" s="568"/>
      <c r="S185" s="568"/>
      <c r="T185" s="568"/>
      <c r="U185" s="568"/>
      <c r="V185" s="569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hidden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62"/>
      <c r="P186" s="567" t="s">
        <v>75</v>
      </c>
      <c r="Q186" s="568"/>
      <c r="R186" s="568"/>
      <c r="S186" s="568"/>
      <c r="T186" s="568"/>
      <c r="U186" s="568"/>
      <c r="V186" s="569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hidden="1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hidden="1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1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62"/>
      <c r="P189" s="567" t="s">
        <v>75</v>
      </c>
      <c r="Q189" s="568"/>
      <c r="R189" s="568"/>
      <c r="S189" s="568"/>
      <c r="T189" s="568"/>
      <c r="U189" s="568"/>
      <c r="V189" s="569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hidden="1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62"/>
      <c r="P190" s="567" t="s">
        <v>75</v>
      </c>
      <c r="Q190" s="568"/>
      <c r="R190" s="568"/>
      <c r="S190" s="568"/>
      <c r="T190" s="568"/>
      <c r="U190" s="568"/>
      <c r="V190" s="569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hidden="1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hidden="1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1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62"/>
      <c r="P195" s="567" t="s">
        <v>75</v>
      </c>
      <c r="Q195" s="568"/>
      <c r="R195" s="568"/>
      <c r="S195" s="568"/>
      <c r="T195" s="568"/>
      <c r="U195" s="568"/>
      <c r="V195" s="569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hidden="1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62"/>
      <c r="P196" s="567" t="s">
        <v>75</v>
      </c>
      <c r="Q196" s="568"/>
      <c r="R196" s="568"/>
      <c r="S196" s="568"/>
      <c r="T196" s="568"/>
      <c r="U196" s="568"/>
      <c r="V196" s="569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hidden="1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 t="s">
        <v>213</v>
      </c>
      <c r="M199" s="33" t="s">
        <v>104</v>
      </c>
      <c r="N199" s="33"/>
      <c r="O199" s="32">
        <v>50</v>
      </c>
      <c r="P199" s="85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 t="s">
        <v>106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1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62"/>
      <c r="P200" s="567" t="s">
        <v>75</v>
      </c>
      <c r="Q200" s="568"/>
      <c r="R200" s="568"/>
      <c r="S200" s="568"/>
      <c r="T200" s="568"/>
      <c r="U200" s="568"/>
      <c r="V200" s="569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hidden="1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62"/>
      <c r="P201" s="567" t="s">
        <v>75</v>
      </c>
      <c r="Q201" s="568"/>
      <c r="R201" s="568"/>
      <c r="S201" s="568"/>
      <c r="T201" s="568"/>
      <c r="U201" s="568"/>
      <c r="V201" s="569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hidden="1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112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100</v>
      </c>
      <c r="Y203" s="546">
        <f t="shared" ref="Y203:Y210" si="10">IFERROR(IF(X203="",0,CEILING((X203/$H203),1)*$H203),"")</f>
        <v>102.60000000000001</v>
      </c>
      <c r="Z203" s="36">
        <f>IFERROR(IF(Y203=0,"",ROUNDUP(Y203/H203,0)*0.00902),"")</f>
        <v>0.17138</v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103.5185185185185</v>
      </c>
      <c r="BN203" s="64">
        <f t="shared" ref="BN203:BN210" si="12">IFERROR(Y203*I203/H203,"0")</f>
        <v>106.21</v>
      </c>
      <c r="BO203" s="64">
        <f t="shared" ref="BO203:BO210" si="13">IFERROR(1/J203*(X203/H203),"0")</f>
        <v>0.14029180695847362</v>
      </c>
      <c r="BP203" s="64">
        <f t="shared" ref="BP203:BP210" si="14">IFERROR(1/J203*(Y203/H203),"0")</f>
        <v>0.14393939393939395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112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100</v>
      </c>
      <c r="Y204" s="546">
        <f t="shared" si="10"/>
        <v>102.60000000000001</v>
      </c>
      <c r="Z204" s="36">
        <f>IFERROR(IF(Y204=0,"",ROUNDUP(Y204/H204,0)*0.00902),"")</f>
        <v>0.17138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103.5185185185185</v>
      </c>
      <c r="BN204" s="64">
        <f t="shared" si="12"/>
        <v>106.21</v>
      </c>
      <c r="BO204" s="64">
        <f t="shared" si="13"/>
        <v>0.14029180695847362</v>
      </c>
      <c r="BP204" s="64">
        <f t="shared" si="14"/>
        <v>0.14393939393939395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/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150</v>
      </c>
      <c r="Y205" s="546">
        <f t="shared" si="10"/>
        <v>151.20000000000002</v>
      </c>
      <c r="Z205" s="36">
        <f>IFERROR(IF(Y205=0,"",ROUNDUP(Y205/H205,0)*0.00902),"")</f>
        <v>0.25256000000000001</v>
      </c>
      <c r="AA205" s="56"/>
      <c r="AB205" s="57"/>
      <c r="AC205" s="247" t="s">
        <v>338</v>
      </c>
      <c r="AG205" s="64"/>
      <c r="AJ205" s="68"/>
      <c r="AK205" s="68">
        <v>0</v>
      </c>
      <c r="BB205" s="248" t="s">
        <v>1</v>
      </c>
      <c r="BM205" s="64">
        <f t="shared" si="11"/>
        <v>155.27777777777777</v>
      </c>
      <c r="BN205" s="64">
        <f t="shared" si="12"/>
        <v>156.52000000000001</v>
      </c>
      <c r="BO205" s="64">
        <f t="shared" si="13"/>
        <v>0.21043771043771042</v>
      </c>
      <c r="BP205" s="64">
        <f t="shared" si="14"/>
        <v>0.21212121212121213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112</v>
      </c>
      <c r="M206" s="33" t="s">
        <v>68</v>
      </c>
      <c r="N206" s="33"/>
      <c r="O206" s="32">
        <v>40</v>
      </c>
      <c r="P206" s="7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100</v>
      </c>
      <c r="Y206" s="546">
        <f t="shared" si="10"/>
        <v>102.60000000000001</v>
      </c>
      <c r="Z206" s="36">
        <f>IFERROR(IF(Y206=0,"",ROUNDUP(Y206/H206,0)*0.00902),"")</f>
        <v>0.17138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103.5185185185185</v>
      </c>
      <c r="BN206" s="64">
        <f t="shared" si="12"/>
        <v>106.21</v>
      </c>
      <c r="BO206" s="64">
        <f t="shared" si="13"/>
        <v>0.14029180695847362</v>
      </c>
      <c r="BP206" s="64">
        <f t="shared" si="14"/>
        <v>0.14393939393939395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15</v>
      </c>
      <c r="Y207" s="546">
        <f t="shared" si="10"/>
        <v>16.2</v>
      </c>
      <c r="Z207" s="36">
        <f>IFERROR(IF(Y207=0,"",ROUNDUP(Y207/H207,0)*0.00502),"")</f>
        <v>4.5179999999999998E-2</v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16.083333333333332</v>
      </c>
      <c r="BN207" s="64">
        <f t="shared" si="12"/>
        <v>17.369999999999997</v>
      </c>
      <c r="BO207" s="64">
        <f t="shared" si="13"/>
        <v>3.561253561253562E-2</v>
      </c>
      <c r="BP207" s="64">
        <f t="shared" si="14"/>
        <v>3.8461538461538464E-2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15</v>
      </c>
      <c r="Y208" s="546">
        <f t="shared" si="10"/>
        <v>16.2</v>
      </c>
      <c r="Z208" s="36">
        <f>IFERROR(IF(Y208=0,"",ROUNDUP(Y208/H208,0)*0.00502),"")</f>
        <v>4.5179999999999998E-2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15.833333333333332</v>
      </c>
      <c r="BN208" s="64">
        <f t="shared" si="12"/>
        <v>17.099999999999998</v>
      </c>
      <c r="BO208" s="64">
        <f t="shared" si="13"/>
        <v>3.561253561253562E-2</v>
      </c>
      <c r="BP208" s="64">
        <f t="shared" si="14"/>
        <v>3.8461538461538464E-2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68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30</v>
      </c>
      <c r="Y210" s="546">
        <f t="shared" si="10"/>
        <v>30.6</v>
      </c>
      <c r="Z210" s="36">
        <f>IFERROR(IF(Y210=0,"",ROUNDUP(Y210/H210,0)*0.00502),"")</f>
        <v>8.5339999999999999E-2</v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31.666666666666664</v>
      </c>
      <c r="BN210" s="64">
        <f t="shared" si="12"/>
        <v>32.299999999999997</v>
      </c>
      <c r="BO210" s="64">
        <f t="shared" si="13"/>
        <v>7.122507122507124E-2</v>
      </c>
      <c r="BP210" s="64">
        <f t="shared" si="14"/>
        <v>7.2649572649572655E-2</v>
      </c>
    </row>
    <row r="211" spans="1:68" x14ac:dyDescent="0.2">
      <c r="A211" s="561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62"/>
      <c r="P211" s="567" t="s">
        <v>75</v>
      </c>
      <c r="Q211" s="568"/>
      <c r="R211" s="568"/>
      <c r="S211" s="568"/>
      <c r="T211" s="568"/>
      <c r="U211" s="568"/>
      <c r="V211" s="569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116.66666666666666</v>
      </c>
      <c r="Y211" s="547">
        <f>IFERROR(Y203/H203,"0")+IFERROR(Y204/H204,"0")+IFERROR(Y205/H205,"0")+IFERROR(Y206/H206,"0")+IFERROR(Y207/H207,"0")+IFERROR(Y208/H208,"0")+IFERROR(Y209/H209,"0")+IFERROR(Y210/H210,"0")</f>
        <v>120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0.94240000000000002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62"/>
      <c r="P212" s="567" t="s">
        <v>75</v>
      </c>
      <c r="Q212" s="568"/>
      <c r="R212" s="568"/>
      <c r="S212" s="568"/>
      <c r="T212" s="568"/>
      <c r="U212" s="568"/>
      <c r="V212" s="569"/>
      <c r="W212" s="37" t="s">
        <v>69</v>
      </c>
      <c r="X212" s="547">
        <f>IFERROR(SUM(X203:X210),"0")</f>
        <v>510</v>
      </c>
      <c r="Y212" s="547">
        <f>IFERROR(SUM(Y203:Y210),"0")</f>
        <v>522</v>
      </c>
      <c r="Z212" s="37"/>
      <c r="AA212" s="548"/>
      <c r="AB212" s="548"/>
      <c r="AC212" s="548"/>
    </row>
    <row r="213" spans="1:68" ht="14.25" hidden="1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hidden="1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/>
      <c r="M214" s="33" t="s">
        <v>80</v>
      </c>
      <c r="N214" s="33"/>
      <c r="O214" s="32">
        <v>40</v>
      </c>
      <c r="P214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150</v>
      </c>
      <c r="Y216" s="546">
        <f t="shared" si="15"/>
        <v>156.6</v>
      </c>
      <c r="Z216" s="36">
        <f>IFERROR(IF(Y216=0,"",ROUNDUP(Y216/H216,0)*0.01898),"")</f>
        <v>0.34164</v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158.51724137931038</v>
      </c>
      <c r="BN216" s="64">
        <f t="shared" si="17"/>
        <v>165.49200000000002</v>
      </c>
      <c r="BO216" s="64">
        <f t="shared" si="18"/>
        <v>0.26939655172413796</v>
      </c>
      <c r="BP216" s="64">
        <f t="shared" si="19"/>
        <v>0.28125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213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40</v>
      </c>
      <c r="Y217" s="546">
        <f t="shared" si="15"/>
        <v>40.799999999999997</v>
      </c>
      <c r="Z217" s="36">
        <f t="shared" ref="Z217:Z222" si="20">IFERROR(IF(Y217=0,"",ROUNDUP(Y217/H217,0)*0.00651),"")</f>
        <v>0.11067</v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44.5</v>
      </c>
      <c r="BN217" s="64">
        <f t="shared" si="17"/>
        <v>45.39</v>
      </c>
      <c r="BO217" s="64">
        <f t="shared" si="18"/>
        <v>9.1575091575091583E-2</v>
      </c>
      <c r="BP217" s="64">
        <f t="shared" si="19"/>
        <v>9.3406593406593408E-2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213</v>
      </c>
      <c r="M219" s="33" t="s">
        <v>80</v>
      </c>
      <c r="N219" s="33"/>
      <c r="O219" s="32">
        <v>45</v>
      </c>
      <c r="P219" s="7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600</v>
      </c>
      <c r="Y219" s="546">
        <f t="shared" si="15"/>
        <v>600</v>
      </c>
      <c r="Z219" s="36">
        <f t="shared" si="20"/>
        <v>1.6274999999999999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663</v>
      </c>
      <c r="BN219" s="64">
        <f t="shared" si="17"/>
        <v>663</v>
      </c>
      <c r="BO219" s="64">
        <f t="shared" si="18"/>
        <v>1.3736263736263736</v>
      </c>
      <c r="BP219" s="64">
        <f t="shared" si="19"/>
        <v>1.3736263736263736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213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220</v>
      </c>
      <c r="Y220" s="546">
        <f t="shared" si="15"/>
        <v>220.79999999999998</v>
      </c>
      <c r="Z220" s="36">
        <f t="shared" si="20"/>
        <v>0.59892000000000001</v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243.10000000000002</v>
      </c>
      <c r="BN220" s="64">
        <f t="shared" si="17"/>
        <v>243.98400000000001</v>
      </c>
      <c r="BO220" s="64">
        <f t="shared" si="18"/>
        <v>0.50366300366300376</v>
      </c>
      <c r="BP220" s="64">
        <f t="shared" si="19"/>
        <v>0.50549450549450559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213</v>
      </c>
      <c r="M221" s="33" t="s">
        <v>86</v>
      </c>
      <c r="N221" s="33"/>
      <c r="O221" s="32">
        <v>40</v>
      </c>
      <c r="P221" s="5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40</v>
      </c>
      <c r="Y221" s="546">
        <f t="shared" si="15"/>
        <v>40.799999999999997</v>
      </c>
      <c r="Z221" s="36">
        <f t="shared" si="20"/>
        <v>0.11067</v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44.20000000000001</v>
      </c>
      <c r="BN221" s="64">
        <f t="shared" si="17"/>
        <v>45.084000000000003</v>
      </c>
      <c r="BO221" s="64">
        <f t="shared" si="18"/>
        <v>9.1575091575091583E-2</v>
      </c>
      <c r="BP221" s="64">
        <f t="shared" si="19"/>
        <v>9.3406593406593408E-2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213</v>
      </c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0</v>
      </c>
      <c r="Y222" s="546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61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62"/>
      <c r="P223" s="567" t="s">
        <v>75</v>
      </c>
      <c r="Q223" s="568"/>
      <c r="R223" s="568"/>
      <c r="S223" s="568"/>
      <c r="T223" s="568"/>
      <c r="U223" s="568"/>
      <c r="V223" s="569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392.24137931034488</v>
      </c>
      <c r="Y223" s="547">
        <f>IFERROR(Y214/H214,"0")+IFERROR(Y215/H215,"0")+IFERROR(Y216/H216,"0")+IFERROR(Y217/H217,"0")+IFERROR(Y218/H218,"0")+IFERROR(Y219/H219,"0")+IFERROR(Y220/H220,"0")+IFERROR(Y221/H221,"0")+IFERROR(Y222/H222,"0")</f>
        <v>394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2.7894000000000001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62"/>
      <c r="P224" s="567" t="s">
        <v>75</v>
      </c>
      <c r="Q224" s="568"/>
      <c r="R224" s="568"/>
      <c r="S224" s="568"/>
      <c r="T224" s="568"/>
      <c r="U224" s="568"/>
      <c r="V224" s="569"/>
      <c r="W224" s="37" t="s">
        <v>69</v>
      </c>
      <c r="X224" s="547">
        <f>IFERROR(SUM(X214:X222),"0")</f>
        <v>1050</v>
      </c>
      <c r="Y224" s="547">
        <f>IFERROR(SUM(Y214:Y222),"0")</f>
        <v>1059</v>
      </c>
      <c r="Z224" s="37"/>
      <c r="AA224" s="548"/>
      <c r="AB224" s="548"/>
      <c r="AC224" s="548"/>
    </row>
    <row r="225" spans="1:68" ht="14.25" hidden="1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hidden="1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 t="s">
        <v>213</v>
      </c>
      <c r="M227" s="33" t="s">
        <v>80</v>
      </c>
      <c r="N227" s="33"/>
      <c r="O227" s="32">
        <v>40</v>
      </c>
      <c r="P227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0</v>
      </c>
      <c r="Y227" s="546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1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62"/>
      <c r="P228" s="567" t="s">
        <v>75</v>
      </c>
      <c r="Q228" s="568"/>
      <c r="R228" s="568"/>
      <c r="S228" s="568"/>
      <c r="T228" s="568"/>
      <c r="U228" s="568"/>
      <c r="V228" s="569"/>
      <c r="W228" s="37" t="s">
        <v>76</v>
      </c>
      <c r="X228" s="547">
        <f>IFERROR(X226/H226,"0")+IFERROR(X227/H227,"0")</f>
        <v>0</v>
      </c>
      <c r="Y228" s="547">
        <f>IFERROR(Y226/H226,"0")+IFERROR(Y227/H227,"0")</f>
        <v>0</v>
      </c>
      <c r="Z228" s="547">
        <f>IFERROR(IF(Z226="",0,Z226),"0")+IFERROR(IF(Z227="",0,Z227),"0")</f>
        <v>0</v>
      </c>
      <c r="AA228" s="548"/>
      <c r="AB228" s="548"/>
      <c r="AC228" s="548"/>
    </row>
    <row r="229" spans="1:68" hidden="1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62"/>
      <c r="P229" s="567" t="s">
        <v>75</v>
      </c>
      <c r="Q229" s="568"/>
      <c r="R229" s="568"/>
      <c r="S229" s="568"/>
      <c r="T229" s="568"/>
      <c r="U229" s="568"/>
      <c r="V229" s="569"/>
      <c r="W229" s="37" t="s">
        <v>69</v>
      </c>
      <c r="X229" s="547">
        <f>IFERROR(SUM(X226:X227),"0")</f>
        <v>0</v>
      </c>
      <c r="Y229" s="547">
        <f>IFERROR(SUM(Y226:Y227),"0")</f>
        <v>0</v>
      </c>
      <c r="Z229" s="37"/>
      <c r="AA229" s="548"/>
      <c r="AB229" s="548"/>
      <c r="AC229" s="548"/>
    </row>
    <row r="230" spans="1:68" ht="16.5" hidden="1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hidden="1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hidden="1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 t="s">
        <v>103</v>
      </c>
      <c r="M232" s="33" t="s">
        <v>104</v>
      </c>
      <c r="N232" s="33"/>
      <c r="O232" s="32">
        <v>55</v>
      </c>
      <c r="P232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 t="s">
        <v>106</v>
      </c>
      <c r="AK232" s="68">
        <v>92.8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3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1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5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/>
      <c r="M239" s="33" t="s">
        <v>104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hidden="1" x14ac:dyDescent="0.2">
      <c r="A241" s="561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62"/>
      <c r="P241" s="567" t="s">
        <v>75</v>
      </c>
      <c r="Q241" s="568"/>
      <c r="R241" s="568"/>
      <c r="S241" s="568"/>
      <c r="T241" s="568"/>
      <c r="U241" s="568"/>
      <c r="V241" s="569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</v>
      </c>
      <c r="Y241" s="547">
        <f>IFERROR(Y232/H232,"0")+IFERROR(Y233/H233,"0")+IFERROR(Y234/H234,"0")+IFERROR(Y235/H235,"0")+IFERROR(Y236/H236,"0")+IFERROR(Y237/H237,"0")+IFERROR(Y238/H238,"0")+IFERROR(Y239/H239,"0")+IFERROR(Y240/H240,"0")</f>
        <v>0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48"/>
      <c r="AB241" s="548"/>
      <c r="AC241" s="548"/>
    </row>
    <row r="242" spans="1:68" hidden="1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62"/>
      <c r="P242" s="567" t="s">
        <v>75</v>
      </c>
      <c r="Q242" s="568"/>
      <c r="R242" s="568"/>
      <c r="S242" s="568"/>
      <c r="T242" s="568"/>
      <c r="U242" s="568"/>
      <c r="V242" s="569"/>
      <c r="W242" s="37" t="s">
        <v>69</v>
      </c>
      <c r="X242" s="547">
        <f>IFERROR(SUM(X232:X240),"0")</f>
        <v>0</v>
      </c>
      <c r="Y242" s="547">
        <f>IFERROR(SUM(Y232:Y240),"0")</f>
        <v>0</v>
      </c>
      <c r="Z242" s="37"/>
      <c r="AA242" s="548"/>
      <c r="AB242" s="548"/>
      <c r="AC242" s="548"/>
    </row>
    <row r="243" spans="1:68" ht="14.25" hidden="1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1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62"/>
      <c r="P245" s="567" t="s">
        <v>75</v>
      </c>
      <c r="Q245" s="568"/>
      <c r="R245" s="568"/>
      <c r="S245" s="568"/>
      <c r="T245" s="568"/>
      <c r="U245" s="568"/>
      <c r="V245" s="569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hidden="1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62"/>
      <c r="P246" s="567" t="s">
        <v>75</v>
      </c>
      <c r="Q246" s="568"/>
      <c r="R246" s="568"/>
      <c r="S246" s="568"/>
      <c r="T246" s="568"/>
      <c r="U246" s="568"/>
      <c r="V246" s="569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hidden="1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hidden="1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1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62"/>
      <c r="P249" s="567" t="s">
        <v>75</v>
      </c>
      <c r="Q249" s="568"/>
      <c r="R249" s="568"/>
      <c r="S249" s="568"/>
      <c r="T249" s="568"/>
      <c r="U249" s="568"/>
      <c r="V249" s="569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hidden="1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62"/>
      <c r="P250" s="567" t="s">
        <v>75</v>
      </c>
      <c r="Q250" s="568"/>
      <c r="R250" s="568"/>
      <c r="S250" s="568"/>
      <c r="T250" s="568"/>
      <c r="U250" s="568"/>
      <c r="V250" s="569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hidden="1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6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5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1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62"/>
      <c r="P257" s="567" t="s">
        <v>75</v>
      </c>
      <c r="Q257" s="568"/>
      <c r="R257" s="568"/>
      <c r="S257" s="568"/>
      <c r="T257" s="568"/>
      <c r="U257" s="568"/>
      <c r="V257" s="569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hidden="1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62"/>
      <c r="P258" s="567" t="s">
        <v>75</v>
      </c>
      <c r="Q258" s="568"/>
      <c r="R258" s="568"/>
      <c r="S258" s="568"/>
      <c r="T258" s="568"/>
      <c r="U258" s="568"/>
      <c r="V258" s="569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hidden="1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hidden="1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/>
      <c r="M261" s="33" t="s">
        <v>104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4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1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62"/>
      <c r="P266" s="567" t="s">
        <v>75</v>
      </c>
      <c r="Q266" s="568"/>
      <c r="R266" s="568"/>
      <c r="S266" s="568"/>
      <c r="T266" s="568"/>
      <c r="U266" s="568"/>
      <c r="V266" s="569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hidden="1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62"/>
      <c r="P267" s="567" t="s">
        <v>75</v>
      </c>
      <c r="Q267" s="568"/>
      <c r="R267" s="568"/>
      <c r="S267" s="568"/>
      <c r="T267" s="568"/>
      <c r="U267" s="568"/>
      <c r="V267" s="569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hidden="1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hidden="1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0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4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1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62"/>
      <c r="P274" s="567" t="s">
        <v>75</v>
      </c>
      <c r="Q274" s="568"/>
      <c r="R274" s="568"/>
      <c r="S274" s="568"/>
      <c r="T274" s="568"/>
      <c r="U274" s="568"/>
      <c r="V274" s="569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hidden="1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62"/>
      <c r="P275" s="567" t="s">
        <v>75</v>
      </c>
      <c r="Q275" s="568"/>
      <c r="R275" s="568"/>
      <c r="S275" s="568"/>
      <c r="T275" s="568"/>
      <c r="U275" s="568"/>
      <c r="V275" s="569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hidden="1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hidden="1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213</v>
      </c>
      <c r="M279" s="33" t="s">
        <v>86</v>
      </c>
      <c r="N279" s="33"/>
      <c r="O279" s="32">
        <v>40</v>
      </c>
      <c r="P279" s="7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20</v>
      </c>
      <c r="Y279" s="546">
        <f>IFERROR(IF(X279="",0,CEILING((X279/$H279),1)*$H279),"")</f>
        <v>21.599999999999998</v>
      </c>
      <c r="Z279" s="36">
        <f>IFERROR(IF(Y279=0,"",ROUNDUP(Y279/H279,0)*0.00651),"")</f>
        <v>5.8590000000000003E-2</v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22.100000000000005</v>
      </c>
      <c r="BN279" s="64">
        <f>IFERROR(Y279*I279/H279,"0")</f>
        <v>23.868000000000002</v>
      </c>
      <c r="BO279" s="64">
        <f>IFERROR(1/J279*(X279/H279),"0")</f>
        <v>4.5787545787545791E-2</v>
      </c>
      <c r="BP279" s="64">
        <f>IFERROR(1/J279*(Y279/H279),"0")</f>
        <v>4.9450549450549455E-2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213</v>
      </c>
      <c r="M280" s="33" t="s">
        <v>80</v>
      </c>
      <c r="N280" s="33"/>
      <c r="O280" s="32">
        <v>45</v>
      </c>
      <c r="P280" s="6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40</v>
      </c>
      <c r="Y280" s="546">
        <f>IFERROR(IF(X280="",0,CEILING((X280/$H280),1)*$H280),"")</f>
        <v>40.799999999999997</v>
      </c>
      <c r="Z280" s="36">
        <f>IFERROR(IF(Y280=0,"",ROUNDUP(Y280/H280,0)*0.00651),"")</f>
        <v>0.11067</v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43</v>
      </c>
      <c r="BN280" s="64">
        <f>IFERROR(Y280*I280/H280,"0")</f>
        <v>43.86</v>
      </c>
      <c r="BO280" s="64">
        <f>IFERROR(1/J280*(X280/H280),"0")</f>
        <v>9.1575091575091583E-2</v>
      </c>
      <c r="BP280" s="64">
        <f>IFERROR(1/J280*(Y280/H280),"0")</f>
        <v>9.3406593406593408E-2</v>
      </c>
    </row>
    <row r="281" spans="1:68" x14ac:dyDescent="0.2">
      <c r="A281" s="561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62"/>
      <c r="P281" s="567" t="s">
        <v>75</v>
      </c>
      <c r="Q281" s="568"/>
      <c r="R281" s="568"/>
      <c r="S281" s="568"/>
      <c r="T281" s="568"/>
      <c r="U281" s="568"/>
      <c r="V281" s="569"/>
      <c r="W281" s="37" t="s">
        <v>76</v>
      </c>
      <c r="X281" s="547">
        <f>IFERROR(X278/H278,"0")+IFERROR(X279/H279,"0")+IFERROR(X280/H280,"0")</f>
        <v>25</v>
      </c>
      <c r="Y281" s="547">
        <f>IFERROR(Y278/H278,"0")+IFERROR(Y279/H279,"0")+IFERROR(Y280/H280,"0")</f>
        <v>26</v>
      </c>
      <c r="Z281" s="547">
        <f>IFERROR(IF(Z278="",0,Z278),"0")+IFERROR(IF(Z279="",0,Z279),"0")+IFERROR(IF(Z280="",0,Z280),"0")</f>
        <v>0.16926000000000002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62"/>
      <c r="P282" s="567" t="s">
        <v>75</v>
      </c>
      <c r="Q282" s="568"/>
      <c r="R282" s="568"/>
      <c r="S282" s="568"/>
      <c r="T282" s="568"/>
      <c r="U282" s="568"/>
      <c r="V282" s="569"/>
      <c r="W282" s="37" t="s">
        <v>69</v>
      </c>
      <c r="X282" s="547">
        <f>IFERROR(SUM(X278:X280),"0")</f>
        <v>60</v>
      </c>
      <c r="Y282" s="547">
        <f>IFERROR(SUM(Y278:Y280),"0")</f>
        <v>62.399999999999991</v>
      </c>
      <c r="Z282" s="37"/>
      <c r="AA282" s="548"/>
      <c r="AB282" s="548"/>
      <c r="AC282" s="548"/>
    </row>
    <row r="283" spans="1:68" ht="16.5" hidden="1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hidden="1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1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62"/>
      <c r="P287" s="567" t="s">
        <v>75</v>
      </c>
      <c r="Q287" s="568"/>
      <c r="R287" s="568"/>
      <c r="S287" s="568"/>
      <c r="T287" s="568"/>
      <c r="U287" s="568"/>
      <c r="V287" s="569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hidden="1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62"/>
      <c r="P288" s="567" t="s">
        <v>75</v>
      </c>
      <c r="Q288" s="568"/>
      <c r="R288" s="568"/>
      <c r="S288" s="568"/>
      <c r="T288" s="568"/>
      <c r="U288" s="568"/>
      <c r="V288" s="569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hidden="1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60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1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62"/>
      <c r="P292" s="567" t="s">
        <v>75</v>
      </c>
      <c r="Q292" s="568"/>
      <c r="R292" s="568"/>
      <c r="S292" s="568"/>
      <c r="T292" s="568"/>
      <c r="U292" s="568"/>
      <c r="V292" s="569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hidden="1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62"/>
      <c r="P293" s="567" t="s">
        <v>75</v>
      </c>
      <c r="Q293" s="568"/>
      <c r="R293" s="568"/>
      <c r="S293" s="568"/>
      <c r="T293" s="568"/>
      <c r="U293" s="568"/>
      <c r="V293" s="569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hidden="1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hidden="1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hidden="1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5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1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1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62"/>
      <c r="P301" s="567" t="s">
        <v>75</v>
      </c>
      <c r="Q301" s="568"/>
      <c r="R301" s="568"/>
      <c r="S301" s="568"/>
      <c r="T301" s="568"/>
      <c r="U301" s="568"/>
      <c r="V301" s="569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hidden="1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62"/>
      <c r="P302" s="567" t="s">
        <v>75</v>
      </c>
      <c r="Q302" s="568"/>
      <c r="R302" s="568"/>
      <c r="S302" s="568"/>
      <c r="T302" s="568"/>
      <c r="U302" s="568"/>
      <c r="V302" s="569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hidden="1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hidden="1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8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40</v>
      </c>
      <c r="P305" s="7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hidden="1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68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0</v>
      </c>
      <c r="Y309" s="546">
        <f t="shared" si="26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0</v>
      </c>
      <c r="BN309" s="64">
        <f t="shared" si="28"/>
        <v>0</v>
      </c>
      <c r="BO309" s="64">
        <f t="shared" si="29"/>
        <v>0</v>
      </c>
      <c r="BP309" s="64">
        <f t="shared" si="30"/>
        <v>0</v>
      </c>
    </row>
    <row r="310" spans="1:68" hidden="1" x14ac:dyDescent="0.2">
      <c r="A310" s="561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62"/>
      <c r="P310" s="567" t="s">
        <v>75</v>
      </c>
      <c r="Q310" s="568"/>
      <c r="R310" s="568"/>
      <c r="S310" s="568"/>
      <c r="T310" s="568"/>
      <c r="U310" s="568"/>
      <c r="V310" s="569"/>
      <c r="W310" s="37" t="s">
        <v>76</v>
      </c>
      <c r="X310" s="547">
        <f>IFERROR(X304/H304,"0")+IFERROR(X305/H305,"0")+IFERROR(X306/H306,"0")+IFERROR(X307/H307,"0")+IFERROR(X308/H308,"0")+IFERROR(X309/H309,"0")</f>
        <v>0</v>
      </c>
      <c r="Y310" s="547">
        <f>IFERROR(Y304/H304,"0")+IFERROR(Y305/H305,"0")+IFERROR(Y306/H306,"0")+IFERROR(Y307/H307,"0")+IFERROR(Y308/H308,"0")+IFERROR(Y309/H309,"0")</f>
        <v>0</v>
      </c>
      <c r="Z310" s="547">
        <f>IFERROR(IF(Z304="",0,Z304),"0")+IFERROR(IF(Z305="",0,Z305),"0")+IFERROR(IF(Z306="",0,Z306),"0")+IFERROR(IF(Z307="",0,Z307),"0")+IFERROR(IF(Z308="",0,Z308),"0")+IFERROR(IF(Z309="",0,Z309),"0")</f>
        <v>0</v>
      </c>
      <c r="AA310" s="548"/>
      <c r="AB310" s="548"/>
      <c r="AC310" s="548"/>
    </row>
    <row r="311" spans="1:68" hidden="1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62"/>
      <c r="P311" s="567" t="s">
        <v>75</v>
      </c>
      <c r="Q311" s="568"/>
      <c r="R311" s="568"/>
      <c r="S311" s="568"/>
      <c r="T311" s="568"/>
      <c r="U311" s="568"/>
      <c r="V311" s="569"/>
      <c r="W311" s="37" t="s">
        <v>69</v>
      </c>
      <c r="X311" s="547">
        <f>IFERROR(SUM(X304:X309),"0")</f>
        <v>0</v>
      </c>
      <c r="Y311" s="547">
        <f>IFERROR(SUM(Y304:Y309),"0")</f>
        <v>0</v>
      </c>
      <c r="Z311" s="37"/>
      <c r="AA311" s="548"/>
      <c r="AB311" s="548"/>
      <c r="AC311" s="548"/>
    </row>
    <row r="312" spans="1:68" ht="14.25" hidden="1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hidden="1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/>
      <c r="M313" s="33" t="s">
        <v>80</v>
      </c>
      <c r="N313" s="33"/>
      <c r="O313" s="32">
        <v>40</v>
      </c>
      <c r="P313" s="8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1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62"/>
      <c r="P317" s="567" t="s">
        <v>75</v>
      </c>
      <c r="Q317" s="568"/>
      <c r="R317" s="568"/>
      <c r="S317" s="568"/>
      <c r="T317" s="568"/>
      <c r="U317" s="568"/>
      <c r="V317" s="569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hidden="1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62"/>
      <c r="P318" s="567" t="s">
        <v>75</v>
      </c>
      <c r="Q318" s="568"/>
      <c r="R318" s="568"/>
      <c r="S318" s="568"/>
      <c r="T318" s="568"/>
      <c r="U318" s="568"/>
      <c r="V318" s="569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hidden="1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hidden="1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 t="s">
        <v>106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350</v>
      </c>
      <c r="Y321" s="546">
        <f>IFERROR(IF(X321="",0,CEILING((X321/$H321),1)*$H321),"")</f>
        <v>351</v>
      </c>
      <c r="Z321" s="36">
        <f>IFERROR(IF(Y321=0,"",ROUNDUP(Y321/H321,0)*0.01898),"")</f>
        <v>0.85409999999999997</v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372.16666666666669</v>
      </c>
      <c r="BN321" s="64">
        <f>IFERROR(Y321*I321/H321,"0")</f>
        <v>373.23</v>
      </c>
      <c r="BO321" s="64">
        <f>IFERROR(1/J321*(X321/H321),"0")</f>
        <v>0.70112179487179493</v>
      </c>
      <c r="BP321" s="64">
        <f>IFERROR(1/J321*(Y321/H321),"0")</f>
        <v>0.703125</v>
      </c>
    </row>
    <row r="322" spans="1:68" ht="16.5" hidden="1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 t="s">
        <v>103</v>
      </c>
      <c r="M322" s="33" t="s">
        <v>86</v>
      </c>
      <c r="N322" s="33"/>
      <c r="O322" s="32">
        <v>30</v>
      </c>
      <c r="P322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106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61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62"/>
      <c r="P323" s="567" t="s">
        <v>75</v>
      </c>
      <c r="Q323" s="568"/>
      <c r="R323" s="568"/>
      <c r="S323" s="568"/>
      <c r="T323" s="568"/>
      <c r="U323" s="568"/>
      <c r="V323" s="569"/>
      <c r="W323" s="37" t="s">
        <v>76</v>
      </c>
      <c r="X323" s="547">
        <f>IFERROR(X320/H320,"0")+IFERROR(X321/H321,"0")+IFERROR(X322/H322,"0")</f>
        <v>44.871794871794876</v>
      </c>
      <c r="Y323" s="547">
        <f>IFERROR(Y320/H320,"0")+IFERROR(Y321/H321,"0")+IFERROR(Y322/H322,"0")</f>
        <v>45</v>
      </c>
      <c r="Z323" s="547">
        <f>IFERROR(IF(Z320="",0,Z320),"0")+IFERROR(IF(Z321="",0,Z321),"0")+IFERROR(IF(Z322="",0,Z322),"0")</f>
        <v>0.85409999999999997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62"/>
      <c r="P324" s="567" t="s">
        <v>75</v>
      </c>
      <c r="Q324" s="568"/>
      <c r="R324" s="568"/>
      <c r="S324" s="568"/>
      <c r="T324" s="568"/>
      <c r="U324" s="568"/>
      <c r="V324" s="569"/>
      <c r="W324" s="37" t="s">
        <v>69</v>
      </c>
      <c r="X324" s="547">
        <f>IFERROR(SUM(X320:X322),"0")</f>
        <v>350</v>
      </c>
      <c r="Y324" s="547">
        <f>IFERROR(SUM(Y320:Y322),"0")</f>
        <v>351</v>
      </c>
      <c r="Z324" s="37"/>
      <c r="AA324" s="548"/>
      <c r="AB324" s="548"/>
      <c r="AC324" s="548"/>
    </row>
    <row r="325" spans="1:68" ht="14.25" hidden="1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hidden="1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/>
      <c r="M328" s="33" t="s">
        <v>94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213</v>
      </c>
      <c r="M329" s="33" t="s">
        <v>94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1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62"/>
      <c r="P330" s="567" t="s">
        <v>75</v>
      </c>
      <c r="Q330" s="568"/>
      <c r="R330" s="568"/>
      <c r="S330" s="568"/>
      <c r="T330" s="568"/>
      <c r="U330" s="568"/>
      <c r="V330" s="569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hidden="1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62"/>
      <c r="P331" s="567" t="s">
        <v>75</v>
      </c>
      <c r="Q331" s="568"/>
      <c r="R331" s="568"/>
      <c r="S331" s="568"/>
      <c r="T331" s="568"/>
      <c r="U331" s="568"/>
      <c r="V331" s="569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hidden="1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hidden="1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78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561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62"/>
      <c r="P336" s="567" t="s">
        <v>75</v>
      </c>
      <c r="Q336" s="568"/>
      <c r="R336" s="568"/>
      <c r="S336" s="568"/>
      <c r="T336" s="568"/>
      <c r="U336" s="568"/>
      <c r="V336" s="569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hidden="1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62"/>
      <c r="P337" s="567" t="s">
        <v>75</v>
      </c>
      <c r="Q337" s="568"/>
      <c r="R337" s="568"/>
      <c r="S337" s="568"/>
      <c r="T337" s="568"/>
      <c r="U337" s="568"/>
      <c r="V337" s="569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hidden="1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hidden="1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hidden="1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 t="s">
        <v>103</v>
      </c>
      <c r="M340" s="33" t="s">
        <v>86</v>
      </c>
      <c r="N340" s="33"/>
      <c r="O340" s="32">
        <v>45</v>
      </c>
      <c r="P340" s="6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 t="s">
        <v>106</v>
      </c>
      <c r="AK340" s="68">
        <v>64.8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/>
      <c r="M341" s="33" t="s">
        <v>80</v>
      </c>
      <c r="N341" s="33"/>
      <c r="O341" s="32">
        <v>45</v>
      </c>
      <c r="P341" s="8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53</v>
      </c>
      <c r="Y341" s="546">
        <f>IFERROR(IF(X341="",0,CEILING((X341/$H341),1)*$H341),"")</f>
        <v>54.6</v>
      </c>
      <c r="Z341" s="36">
        <f>IFERROR(IF(Y341=0,"",ROUNDUP(Y341/H341,0)*0.00651),"")</f>
        <v>0.16925999999999999</v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59.359999999999992</v>
      </c>
      <c r="BN341" s="64">
        <f>IFERROR(Y341*I341/H341,"0")</f>
        <v>61.151999999999994</v>
      </c>
      <c r="BO341" s="64">
        <f>IFERROR(1/J341*(X341/H341),"0")</f>
        <v>0.13867085295656725</v>
      </c>
      <c r="BP341" s="64">
        <f>IFERROR(1/J341*(Y341/H341),"0")</f>
        <v>0.14285714285714288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/>
      <c r="M342" s="33" t="s">
        <v>86</v>
      </c>
      <c r="N342" s="33"/>
      <c r="O342" s="32">
        <v>40</v>
      </c>
      <c r="P342" s="8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35</v>
      </c>
      <c r="Y342" s="546">
        <f>IFERROR(IF(X342="",0,CEILING((X342/$H342),1)*$H342),"")</f>
        <v>35.700000000000003</v>
      </c>
      <c r="Z342" s="36">
        <f>IFERROR(IF(Y342=0,"",ROUNDUP(Y342/H342,0)*0.00651),"")</f>
        <v>0.11067</v>
      </c>
      <c r="AA342" s="56"/>
      <c r="AB342" s="57"/>
      <c r="AC342" s="399" t="s">
        <v>549</v>
      </c>
      <c r="AG342" s="64"/>
      <c r="AJ342" s="68"/>
      <c r="AK342" s="68">
        <v>0</v>
      </c>
      <c r="BB342" s="400" t="s">
        <v>1</v>
      </c>
      <c r="BM342" s="64">
        <f>IFERROR(X342*I342/H342,"0")</f>
        <v>38.999999999999993</v>
      </c>
      <c r="BN342" s="64">
        <f>IFERROR(Y342*I342/H342,"0")</f>
        <v>39.779999999999994</v>
      </c>
      <c r="BO342" s="64">
        <f>IFERROR(1/J342*(X342/H342),"0")</f>
        <v>9.1575091575091569E-2</v>
      </c>
      <c r="BP342" s="64">
        <f>IFERROR(1/J342*(Y342/H342),"0")</f>
        <v>9.3406593406593408E-2</v>
      </c>
    </row>
    <row r="343" spans="1:68" x14ac:dyDescent="0.2">
      <c r="A343" s="561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62"/>
      <c r="P343" s="567" t="s">
        <v>75</v>
      </c>
      <c r="Q343" s="568"/>
      <c r="R343" s="568"/>
      <c r="S343" s="568"/>
      <c r="T343" s="568"/>
      <c r="U343" s="568"/>
      <c r="V343" s="569"/>
      <c r="W343" s="37" t="s">
        <v>76</v>
      </c>
      <c r="X343" s="547">
        <f>IFERROR(X340/H340,"0")+IFERROR(X341/H341,"0")+IFERROR(X342/H342,"0")</f>
        <v>41.904761904761898</v>
      </c>
      <c r="Y343" s="547">
        <f>IFERROR(Y340/H340,"0")+IFERROR(Y341/H341,"0")+IFERROR(Y342/H342,"0")</f>
        <v>43</v>
      </c>
      <c r="Z343" s="547">
        <f>IFERROR(IF(Z340="",0,Z340),"0")+IFERROR(IF(Z341="",0,Z341),"0")+IFERROR(IF(Z342="",0,Z342),"0")</f>
        <v>0.27993000000000001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62"/>
      <c r="P344" s="567" t="s">
        <v>75</v>
      </c>
      <c r="Q344" s="568"/>
      <c r="R344" s="568"/>
      <c r="S344" s="568"/>
      <c r="T344" s="568"/>
      <c r="U344" s="568"/>
      <c r="V344" s="569"/>
      <c r="W344" s="37" t="s">
        <v>69</v>
      </c>
      <c r="X344" s="547">
        <f>IFERROR(SUM(X340:X342),"0")</f>
        <v>88</v>
      </c>
      <c r="Y344" s="547">
        <f>IFERROR(SUM(Y340:Y342),"0")</f>
        <v>90.300000000000011</v>
      </c>
      <c r="Z344" s="37"/>
      <c r="AA344" s="548"/>
      <c r="AB344" s="548"/>
      <c r="AC344" s="548"/>
    </row>
    <row r="345" spans="1:68" ht="27.75" hidden="1" customHeight="1" x14ac:dyDescent="0.2">
      <c r="A345" s="647" t="s">
        <v>550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48"/>
      <c r="AB345" s="48"/>
      <c r="AC345" s="48"/>
    </row>
    <row r="346" spans="1:68" ht="16.5" hidden="1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hidden="1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350</v>
      </c>
      <c r="Y348" s="546">
        <f t="shared" ref="Y348:Y354" si="31">IFERROR(IF(X348="",0,CEILING((X348/$H348),1)*$H348),"")</f>
        <v>360</v>
      </c>
      <c r="Z348" s="36">
        <f>IFERROR(IF(Y348=0,"",ROUNDUP(Y348/H348,0)*0.02175),"")</f>
        <v>0.52200000000000002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360.96666666666664</v>
      </c>
      <c r="BN348" s="64">
        <f t="shared" ref="BN348:BN354" si="33">IFERROR(Y348*I348/H348,"0")</f>
        <v>371.28</v>
      </c>
      <c r="BO348" s="64">
        <f t="shared" ref="BO348:BO354" si="34">IFERROR(1/J348*(X348/H348),"0")</f>
        <v>0.48611111111111105</v>
      </c>
      <c r="BP348" s="64">
        <f t="shared" ref="BP348:BP354" si="35">IFERROR(1/J348*(Y348/H348),"0")</f>
        <v>0.5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350</v>
      </c>
      <c r="Y349" s="546">
        <f t="shared" si="31"/>
        <v>360</v>
      </c>
      <c r="Z349" s="36">
        <f>IFERROR(IF(Y349=0,"",ROUNDUP(Y349/H349,0)*0.02175),"")</f>
        <v>0.52200000000000002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360.96666666666664</v>
      </c>
      <c r="BN349" s="64">
        <f t="shared" si="33"/>
        <v>371.28</v>
      </c>
      <c r="BO349" s="64">
        <f t="shared" si="34"/>
        <v>0.48611111111111105</v>
      </c>
      <c r="BP349" s="64">
        <f t="shared" si="35"/>
        <v>0.5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5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100</v>
      </c>
      <c r="Y350" s="546">
        <f t="shared" si="31"/>
        <v>105</v>
      </c>
      <c r="Z350" s="36">
        <f>IFERROR(IF(Y350=0,"",ROUNDUP(Y350/H350,0)*0.02175),"")</f>
        <v>0.15225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2"/>
        <v>103.13333333333334</v>
      </c>
      <c r="BN350" s="64">
        <f t="shared" si="33"/>
        <v>108.29</v>
      </c>
      <c r="BO350" s="64">
        <f t="shared" si="34"/>
        <v>0.1388888888888889</v>
      </c>
      <c r="BP350" s="64">
        <f t="shared" si="35"/>
        <v>0.14583333333333331</v>
      </c>
    </row>
    <row r="351" spans="1:68" ht="27" hidden="1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56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7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hidden="1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61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62"/>
      <c r="P355" s="567" t="s">
        <v>75</v>
      </c>
      <c r="Q355" s="568"/>
      <c r="R355" s="568"/>
      <c r="S355" s="568"/>
      <c r="T355" s="568"/>
      <c r="U355" s="568"/>
      <c r="V355" s="569"/>
      <c r="W355" s="37" t="s">
        <v>76</v>
      </c>
      <c r="X355" s="547">
        <f>IFERROR(X348/H348,"0")+IFERROR(X349/H349,"0")+IFERROR(X350/H350,"0")+IFERROR(X351/H351,"0")+IFERROR(X352/H352,"0")+IFERROR(X353/H353,"0")+IFERROR(X354/H354,"0")</f>
        <v>53.333333333333329</v>
      </c>
      <c r="Y355" s="547">
        <f>IFERROR(Y348/H348,"0")+IFERROR(Y349/H349,"0")+IFERROR(Y350/H350,"0")+IFERROR(Y351/H351,"0")+IFERROR(Y352/H352,"0")+IFERROR(Y353/H353,"0")+IFERROR(Y354/H354,"0")</f>
        <v>55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1.19625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62"/>
      <c r="P356" s="567" t="s">
        <v>75</v>
      </c>
      <c r="Q356" s="568"/>
      <c r="R356" s="568"/>
      <c r="S356" s="568"/>
      <c r="T356" s="568"/>
      <c r="U356" s="568"/>
      <c r="V356" s="569"/>
      <c r="W356" s="37" t="s">
        <v>69</v>
      </c>
      <c r="X356" s="547">
        <f>IFERROR(SUM(X348:X354),"0")</f>
        <v>800</v>
      </c>
      <c r="Y356" s="547">
        <f>IFERROR(SUM(Y348:Y354),"0")</f>
        <v>825</v>
      </c>
      <c r="Z356" s="37"/>
      <c r="AA356" s="548"/>
      <c r="AB356" s="548"/>
      <c r="AC356" s="548"/>
    </row>
    <row r="357" spans="1:68" ht="14.25" hidden="1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710</v>
      </c>
      <c r="Y358" s="546">
        <f>IFERROR(IF(X358="",0,CEILING((X358/$H358),1)*$H358),"")</f>
        <v>720</v>
      </c>
      <c r="Z358" s="36">
        <f>IFERROR(IF(Y358=0,"",ROUNDUP(Y358/H358,0)*0.02175),"")</f>
        <v>1.044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732.24666666666667</v>
      </c>
      <c r="BN358" s="64">
        <f>IFERROR(Y358*I358/H358,"0")</f>
        <v>742.56</v>
      </c>
      <c r="BO358" s="64">
        <f>IFERROR(1/J358*(X358/H358),"0")</f>
        <v>0.98611111111111116</v>
      </c>
      <c r="BP358" s="64">
        <f>IFERROR(1/J358*(Y358/H358),"0")</f>
        <v>1</v>
      </c>
    </row>
    <row r="359" spans="1:68" ht="27" hidden="1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1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62"/>
      <c r="P360" s="567" t="s">
        <v>75</v>
      </c>
      <c r="Q360" s="568"/>
      <c r="R360" s="568"/>
      <c r="S360" s="568"/>
      <c r="T360" s="568"/>
      <c r="U360" s="568"/>
      <c r="V360" s="569"/>
      <c r="W360" s="37" t="s">
        <v>76</v>
      </c>
      <c r="X360" s="547">
        <f>IFERROR(X358/H358,"0")+IFERROR(X359/H359,"0")</f>
        <v>47.333333333333336</v>
      </c>
      <c r="Y360" s="547">
        <f>IFERROR(Y358/H358,"0")+IFERROR(Y359/H359,"0")</f>
        <v>48</v>
      </c>
      <c r="Z360" s="547">
        <f>IFERROR(IF(Z358="",0,Z358),"0")+IFERROR(IF(Z359="",0,Z359),"0")</f>
        <v>1.044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62"/>
      <c r="P361" s="567" t="s">
        <v>75</v>
      </c>
      <c r="Q361" s="568"/>
      <c r="R361" s="568"/>
      <c r="S361" s="568"/>
      <c r="T361" s="568"/>
      <c r="U361" s="568"/>
      <c r="V361" s="569"/>
      <c r="W361" s="37" t="s">
        <v>69</v>
      </c>
      <c r="X361" s="547">
        <f>IFERROR(SUM(X358:X359),"0")</f>
        <v>710</v>
      </c>
      <c r="Y361" s="547">
        <f>IFERROR(SUM(Y358:Y359),"0")</f>
        <v>720</v>
      </c>
      <c r="Z361" s="37"/>
      <c r="AA361" s="548"/>
      <c r="AB361" s="548"/>
      <c r="AC361" s="548"/>
    </row>
    <row r="362" spans="1:68" ht="14.25" hidden="1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hidden="1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1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62"/>
      <c r="P365" s="567" t="s">
        <v>75</v>
      </c>
      <c r="Q365" s="568"/>
      <c r="R365" s="568"/>
      <c r="S365" s="568"/>
      <c r="T365" s="568"/>
      <c r="U365" s="568"/>
      <c r="V365" s="569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hidden="1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62"/>
      <c r="P366" s="567" t="s">
        <v>75</v>
      </c>
      <c r="Q366" s="568"/>
      <c r="R366" s="568"/>
      <c r="S366" s="568"/>
      <c r="T366" s="568"/>
      <c r="U366" s="568"/>
      <c r="V366" s="569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hidden="1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50</v>
      </c>
      <c r="Y368" s="546">
        <f>IFERROR(IF(X368="",0,CEILING((X368/$H368),1)*$H368),"")</f>
        <v>54</v>
      </c>
      <c r="Z368" s="36">
        <f>IFERROR(IF(Y368=0,"",ROUNDUP(Y368/H368,0)*0.01898),"")</f>
        <v>0.11388000000000001</v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52.74444444444444</v>
      </c>
      <c r="BN368" s="64">
        <f>IFERROR(Y368*I368/H368,"0")</f>
        <v>56.963999999999992</v>
      </c>
      <c r="BO368" s="64">
        <f>IFERROR(1/J368*(X368/H368),"0")</f>
        <v>8.6805555555555552E-2</v>
      </c>
      <c r="BP368" s="64">
        <f>IFERROR(1/J368*(Y368/H368),"0")</f>
        <v>9.375E-2</v>
      </c>
    </row>
    <row r="369" spans="1:68" x14ac:dyDescent="0.2">
      <c r="A369" s="561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62"/>
      <c r="P369" s="567" t="s">
        <v>75</v>
      </c>
      <c r="Q369" s="568"/>
      <c r="R369" s="568"/>
      <c r="S369" s="568"/>
      <c r="T369" s="568"/>
      <c r="U369" s="568"/>
      <c r="V369" s="569"/>
      <c r="W369" s="37" t="s">
        <v>76</v>
      </c>
      <c r="X369" s="547">
        <f>IFERROR(X368/H368,"0")</f>
        <v>5.5555555555555554</v>
      </c>
      <c r="Y369" s="547">
        <f>IFERROR(Y368/H368,"0")</f>
        <v>6</v>
      </c>
      <c r="Z369" s="547">
        <f>IFERROR(IF(Z368="",0,Z368),"0")</f>
        <v>0.11388000000000001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62"/>
      <c r="P370" s="567" t="s">
        <v>75</v>
      </c>
      <c r="Q370" s="568"/>
      <c r="R370" s="568"/>
      <c r="S370" s="568"/>
      <c r="T370" s="568"/>
      <c r="U370" s="568"/>
      <c r="V370" s="569"/>
      <c r="W370" s="37" t="s">
        <v>69</v>
      </c>
      <c r="X370" s="547">
        <f>IFERROR(SUM(X368:X368),"0")</f>
        <v>50</v>
      </c>
      <c r="Y370" s="547">
        <f>IFERROR(SUM(Y368:Y368),"0")</f>
        <v>54</v>
      </c>
      <c r="Z370" s="37"/>
      <c r="AA370" s="548"/>
      <c r="AB370" s="548"/>
      <c r="AC370" s="548"/>
    </row>
    <row r="371" spans="1:68" ht="16.5" hidden="1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hidden="1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hidden="1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/>
      <c r="M373" s="33" t="s">
        <v>68</v>
      </c>
      <c r="N373" s="33"/>
      <c r="O373" s="32">
        <v>60</v>
      </c>
      <c r="P373" s="8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/>
      <c r="AK373" s="68">
        <v>0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hidden="1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61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62"/>
      <c r="P375" s="567" t="s">
        <v>75</v>
      </c>
      <c r="Q375" s="568"/>
      <c r="R375" s="568"/>
      <c r="S375" s="568"/>
      <c r="T375" s="568"/>
      <c r="U375" s="568"/>
      <c r="V375" s="569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hidden="1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62"/>
      <c r="P376" s="567" t="s">
        <v>75</v>
      </c>
      <c r="Q376" s="568"/>
      <c r="R376" s="568"/>
      <c r="S376" s="568"/>
      <c r="T376" s="568"/>
      <c r="U376" s="568"/>
      <c r="V376" s="569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hidden="1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hidden="1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35</v>
      </c>
      <c r="P378" s="68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6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1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62"/>
      <c r="P380" s="567" t="s">
        <v>75</v>
      </c>
      <c r="Q380" s="568"/>
      <c r="R380" s="568"/>
      <c r="S380" s="568"/>
      <c r="T380" s="568"/>
      <c r="U380" s="568"/>
      <c r="V380" s="569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hidden="1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62"/>
      <c r="P381" s="567" t="s">
        <v>75</v>
      </c>
      <c r="Q381" s="568"/>
      <c r="R381" s="568"/>
      <c r="S381" s="568"/>
      <c r="T381" s="568"/>
      <c r="U381" s="568"/>
      <c r="V381" s="569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hidden="1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1400</v>
      </c>
      <c r="Y383" s="546">
        <f>IFERROR(IF(X383="",0,CEILING((X383/$H383),1)*$H383),"")</f>
        <v>1404</v>
      </c>
      <c r="Z383" s="36">
        <f>IFERROR(IF(Y383=0,"",ROUNDUP(Y383/H383,0)*0.01898),"")</f>
        <v>2.96088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1476.8444444444444</v>
      </c>
      <c r="BN383" s="64">
        <f>IFERROR(Y383*I383/H383,"0")</f>
        <v>1481.0639999999999</v>
      </c>
      <c r="BO383" s="64">
        <f>IFERROR(1/J383*(X383/H383),"0")</f>
        <v>2.4305555555555554</v>
      </c>
      <c r="BP383" s="64">
        <f>IFERROR(1/J383*(Y383/H383),"0")</f>
        <v>2.4375</v>
      </c>
    </row>
    <row r="384" spans="1:68" ht="27" hidden="1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213</v>
      </c>
      <c r="M384" s="33" t="s">
        <v>80</v>
      </c>
      <c r="N384" s="33"/>
      <c r="O384" s="32">
        <v>40</v>
      </c>
      <c r="P384" s="5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61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62"/>
      <c r="P386" s="567" t="s">
        <v>75</v>
      </c>
      <c r="Q386" s="568"/>
      <c r="R386" s="568"/>
      <c r="S386" s="568"/>
      <c r="T386" s="568"/>
      <c r="U386" s="568"/>
      <c r="V386" s="569"/>
      <c r="W386" s="37" t="s">
        <v>76</v>
      </c>
      <c r="X386" s="547">
        <f>IFERROR(X383/H383,"0")+IFERROR(X384/H384,"0")+IFERROR(X385/H385,"0")</f>
        <v>155.55555555555554</v>
      </c>
      <c r="Y386" s="547">
        <f>IFERROR(Y383/H383,"0")+IFERROR(Y384/H384,"0")+IFERROR(Y385/H385,"0")</f>
        <v>156</v>
      </c>
      <c r="Z386" s="547">
        <f>IFERROR(IF(Z383="",0,Z383),"0")+IFERROR(IF(Z384="",0,Z384),"0")+IFERROR(IF(Z385="",0,Z385),"0")</f>
        <v>2.96088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62"/>
      <c r="P387" s="567" t="s">
        <v>75</v>
      </c>
      <c r="Q387" s="568"/>
      <c r="R387" s="568"/>
      <c r="S387" s="568"/>
      <c r="T387" s="568"/>
      <c r="U387" s="568"/>
      <c r="V387" s="569"/>
      <c r="W387" s="37" t="s">
        <v>69</v>
      </c>
      <c r="X387" s="547">
        <f>IFERROR(SUM(X383:X385),"0")</f>
        <v>1400</v>
      </c>
      <c r="Y387" s="547">
        <f>IFERROR(SUM(Y383:Y385),"0")</f>
        <v>1404</v>
      </c>
      <c r="Z387" s="37"/>
      <c r="AA387" s="548"/>
      <c r="AB387" s="548"/>
      <c r="AC387" s="548"/>
    </row>
    <row r="388" spans="1:68" ht="27.75" hidden="1" customHeight="1" x14ac:dyDescent="0.2">
      <c r="A388" s="647" t="s">
        <v>604</v>
      </c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8"/>
      <c r="P388" s="648"/>
      <c r="Q388" s="648"/>
      <c r="R388" s="648"/>
      <c r="S388" s="648"/>
      <c r="T388" s="648"/>
      <c r="U388" s="648"/>
      <c r="V388" s="648"/>
      <c r="W388" s="648"/>
      <c r="X388" s="648"/>
      <c r="Y388" s="648"/>
      <c r="Z388" s="648"/>
      <c r="AA388" s="48"/>
      <c r="AB388" s="48"/>
      <c r="AC388" s="48"/>
    </row>
    <row r="389" spans="1:68" ht="16.5" hidden="1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hidden="1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hidden="1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7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hidden="1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8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3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hidden="1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hidden="1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hidden="1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hidden="1" x14ac:dyDescent="0.2">
      <c r="A400" s="561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62"/>
      <c r="P400" s="567" t="s">
        <v>75</v>
      </c>
      <c r="Q400" s="568"/>
      <c r="R400" s="568"/>
      <c r="S400" s="568"/>
      <c r="T400" s="568"/>
      <c r="U400" s="568"/>
      <c r="V400" s="569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hidden="1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62"/>
      <c r="P401" s="567" t="s">
        <v>75</v>
      </c>
      <c r="Q401" s="568"/>
      <c r="R401" s="568"/>
      <c r="S401" s="568"/>
      <c r="T401" s="568"/>
      <c r="U401" s="568"/>
      <c r="V401" s="569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hidden="1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hidden="1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1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62"/>
      <c r="P405" s="567" t="s">
        <v>75</v>
      </c>
      <c r="Q405" s="568"/>
      <c r="R405" s="568"/>
      <c r="S405" s="568"/>
      <c r="T405" s="568"/>
      <c r="U405" s="568"/>
      <c r="V405" s="569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62"/>
      <c r="P406" s="567" t="s">
        <v>75</v>
      </c>
      <c r="Q406" s="568"/>
      <c r="R406" s="568"/>
      <c r="S406" s="568"/>
      <c r="T406" s="568"/>
      <c r="U406" s="568"/>
      <c r="V406" s="569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hidden="1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hidden="1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hidden="1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1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62"/>
      <c r="P410" s="567" t="s">
        <v>75</v>
      </c>
      <c r="Q410" s="568"/>
      <c r="R410" s="568"/>
      <c r="S410" s="568"/>
      <c r="T410" s="568"/>
      <c r="U410" s="568"/>
      <c r="V410" s="569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hidden="1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62"/>
      <c r="P411" s="567" t="s">
        <v>75</v>
      </c>
      <c r="Q411" s="568"/>
      <c r="R411" s="568"/>
      <c r="S411" s="568"/>
      <c r="T411" s="568"/>
      <c r="U411" s="568"/>
      <c r="V411" s="569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hidden="1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hidden="1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4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56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61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62"/>
      <c r="P417" s="567" t="s">
        <v>75</v>
      </c>
      <c r="Q417" s="568"/>
      <c r="R417" s="568"/>
      <c r="S417" s="568"/>
      <c r="T417" s="568"/>
      <c r="U417" s="568"/>
      <c r="V417" s="569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hidden="1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62"/>
      <c r="P418" s="567" t="s">
        <v>75</v>
      </c>
      <c r="Q418" s="568"/>
      <c r="R418" s="568"/>
      <c r="S418" s="568"/>
      <c r="T418" s="568"/>
      <c r="U418" s="568"/>
      <c r="V418" s="569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hidden="1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hidden="1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hidden="1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61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62"/>
      <c r="P422" s="567" t="s">
        <v>75</v>
      </c>
      <c r="Q422" s="568"/>
      <c r="R422" s="568"/>
      <c r="S422" s="568"/>
      <c r="T422" s="568"/>
      <c r="U422" s="568"/>
      <c r="V422" s="569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hidden="1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62"/>
      <c r="P423" s="567" t="s">
        <v>75</v>
      </c>
      <c r="Q423" s="568"/>
      <c r="R423" s="568"/>
      <c r="S423" s="568"/>
      <c r="T423" s="568"/>
      <c r="U423" s="568"/>
      <c r="V423" s="569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hidden="1" customHeight="1" x14ac:dyDescent="0.2">
      <c r="A424" s="647" t="s">
        <v>655</v>
      </c>
      <c r="B424" s="648"/>
      <c r="C424" s="648"/>
      <c r="D424" s="648"/>
      <c r="E424" s="648"/>
      <c r="F424" s="648"/>
      <c r="G424" s="648"/>
      <c r="H424" s="648"/>
      <c r="I424" s="648"/>
      <c r="J424" s="648"/>
      <c r="K424" s="648"/>
      <c r="L424" s="648"/>
      <c r="M424" s="648"/>
      <c r="N424" s="648"/>
      <c r="O424" s="648"/>
      <c r="P424" s="648"/>
      <c r="Q424" s="648"/>
      <c r="R424" s="648"/>
      <c r="S424" s="648"/>
      <c r="T424" s="648"/>
      <c r="U424" s="648"/>
      <c r="V424" s="648"/>
      <c r="W424" s="648"/>
      <c r="X424" s="648"/>
      <c r="Y424" s="648"/>
      <c r="Z424" s="648"/>
      <c r="AA424" s="48"/>
      <c r="AB424" s="48"/>
      <c r="AC424" s="48"/>
    </row>
    <row r="425" spans="1:68" ht="16.5" hidden="1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hidden="1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hidden="1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5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56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150</v>
      </c>
      <c r="Y431" s="546">
        <f t="shared" si="42"/>
        <v>153.12</v>
      </c>
      <c r="Z431" s="36">
        <f t="shared" si="43"/>
        <v>0.34683999999999998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159.94318181818181</v>
      </c>
      <c r="BN431" s="64">
        <f t="shared" si="45"/>
        <v>163.26999999999998</v>
      </c>
      <c r="BO431" s="64">
        <f t="shared" si="46"/>
        <v>0.27316433566433568</v>
      </c>
      <c r="BP431" s="64">
        <f t="shared" si="47"/>
        <v>0.27884615384615385</v>
      </c>
    </row>
    <row r="432" spans="1:68" ht="16.5" hidden="1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6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hidden="1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 t="shared" si="43"/>
        <v/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4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1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61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62"/>
      <c r="P439" s="567" t="s">
        <v>75</v>
      </c>
      <c r="Q439" s="568"/>
      <c r="R439" s="568"/>
      <c r="S439" s="568"/>
      <c r="T439" s="568"/>
      <c r="U439" s="568"/>
      <c r="V439" s="569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28.409090909090907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29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0.34683999999999998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62"/>
      <c r="P440" s="567" t="s">
        <v>75</v>
      </c>
      <c r="Q440" s="568"/>
      <c r="R440" s="568"/>
      <c r="S440" s="568"/>
      <c r="T440" s="568"/>
      <c r="U440" s="568"/>
      <c r="V440" s="569"/>
      <c r="W440" s="37" t="s">
        <v>69</v>
      </c>
      <c r="X440" s="547">
        <f>IFERROR(SUM(X427:X438),"0")</f>
        <v>150</v>
      </c>
      <c r="Y440" s="547">
        <f>IFERROR(SUM(Y427:Y438),"0")</f>
        <v>153.12</v>
      </c>
      <c r="Z440" s="37"/>
      <c r="AA440" s="548"/>
      <c r="AB440" s="548"/>
      <c r="AC440" s="548"/>
    </row>
    <row r="441" spans="1:68" ht="14.25" hidden="1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7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350</v>
      </c>
      <c r="Y442" s="546">
        <f>IFERROR(IF(X442="",0,CEILING((X442/$H442),1)*$H442),"")</f>
        <v>353.76</v>
      </c>
      <c r="Z442" s="36">
        <f>IFERROR(IF(Y442=0,"",ROUNDUP(Y442/H442,0)*0.01196),"")</f>
        <v>0.80132000000000003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373.20075757575756</v>
      </c>
      <c r="BN442" s="64">
        <f>IFERROR(Y442*I442/H442,"0")</f>
        <v>377.21</v>
      </c>
      <c r="BO442" s="64">
        <f>IFERROR(1/J442*(X442/H442),"0")</f>
        <v>0.63738344988344986</v>
      </c>
      <c r="BP442" s="64">
        <f>IFERROR(1/J442*(Y442/H442),"0")</f>
        <v>0.64423076923076927</v>
      </c>
    </row>
    <row r="443" spans="1:68" ht="16.5" hidden="1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112</v>
      </c>
      <c r="M444" s="33" t="s">
        <v>104</v>
      </c>
      <c r="N444" s="33"/>
      <c r="O444" s="32">
        <v>70</v>
      </c>
      <c r="P444" s="8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48</v>
      </c>
      <c r="Y444" s="546">
        <f>IFERROR(IF(X444="",0,CEILING((X444/$H444),1)*$H444),"")</f>
        <v>48</v>
      </c>
      <c r="Z444" s="36">
        <f>IFERROR(IF(Y444=0,"",ROUNDUP(Y444/H444,0)*0.00902),"")</f>
        <v>9.0200000000000002E-2</v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69.100000000000009</v>
      </c>
      <c r="BN444" s="64">
        <f>IFERROR(Y444*I444/H444,"0")</f>
        <v>69.100000000000009</v>
      </c>
      <c r="BO444" s="64">
        <f>IFERROR(1/J444*(X444/H444),"0")</f>
        <v>7.575757575757576E-2</v>
      </c>
      <c r="BP444" s="64">
        <f>IFERROR(1/J444*(Y444/H444),"0")</f>
        <v>7.575757575757576E-2</v>
      </c>
    </row>
    <row r="445" spans="1:68" x14ac:dyDescent="0.2">
      <c r="A445" s="561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62"/>
      <c r="P445" s="567" t="s">
        <v>75</v>
      </c>
      <c r="Q445" s="568"/>
      <c r="R445" s="568"/>
      <c r="S445" s="568"/>
      <c r="T445" s="568"/>
      <c r="U445" s="568"/>
      <c r="V445" s="569"/>
      <c r="W445" s="37" t="s">
        <v>76</v>
      </c>
      <c r="X445" s="547">
        <f>IFERROR(X442/H442,"0")+IFERROR(X443/H443,"0")+IFERROR(X444/H444,"0")</f>
        <v>76.287878787878782</v>
      </c>
      <c r="Y445" s="547">
        <f>IFERROR(Y442/H442,"0")+IFERROR(Y443/H443,"0")+IFERROR(Y444/H444,"0")</f>
        <v>77</v>
      </c>
      <c r="Z445" s="547">
        <f>IFERROR(IF(Z442="",0,Z442),"0")+IFERROR(IF(Z443="",0,Z443),"0")+IFERROR(IF(Z444="",0,Z444),"0")</f>
        <v>0.89152000000000009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62"/>
      <c r="P446" s="567" t="s">
        <v>75</v>
      </c>
      <c r="Q446" s="568"/>
      <c r="R446" s="568"/>
      <c r="S446" s="568"/>
      <c r="T446" s="568"/>
      <c r="U446" s="568"/>
      <c r="V446" s="569"/>
      <c r="W446" s="37" t="s">
        <v>69</v>
      </c>
      <c r="X446" s="547">
        <f>IFERROR(SUM(X442:X444),"0")</f>
        <v>398</v>
      </c>
      <c r="Y446" s="547">
        <f>IFERROR(SUM(Y442:Y444),"0")</f>
        <v>401.76</v>
      </c>
      <c r="Z446" s="37"/>
      <c r="AA446" s="548"/>
      <c r="AB446" s="548"/>
      <c r="AC446" s="548"/>
    </row>
    <row r="447" spans="1:68" ht="14.25" hidden="1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4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50</v>
      </c>
      <c r="Y448" s="546">
        <f t="shared" ref="Y448:Y453" si="48">IFERROR(IF(X448="",0,CEILING((X448/$H448),1)*$H448),"")</f>
        <v>52.800000000000004</v>
      </c>
      <c r="Z448" s="36">
        <f>IFERROR(IF(Y448=0,"",ROUNDUP(Y448/H448,0)*0.01196),"")</f>
        <v>0.1196</v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53.314393939393938</v>
      </c>
      <c r="BN448" s="64">
        <f t="shared" ref="BN448:BN453" si="50">IFERROR(Y448*I448/H448,"0")</f>
        <v>56.3</v>
      </c>
      <c r="BO448" s="64">
        <f t="shared" ref="BO448:BO453" si="51">IFERROR(1/J448*(X448/H448),"0")</f>
        <v>9.1054778554778545E-2</v>
      </c>
      <c r="BP448" s="64">
        <f t="shared" ref="BP448:BP453" si="52">IFERROR(1/J448*(Y448/H448),"0")</f>
        <v>9.6153846153846159E-2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50</v>
      </c>
      <c r="Y449" s="546">
        <f t="shared" si="48"/>
        <v>52.800000000000004</v>
      </c>
      <c r="Z449" s="36">
        <f>IFERROR(IF(Y449=0,"",ROUNDUP(Y449/H449,0)*0.01196),"")</f>
        <v>0.1196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53.314393939393938</v>
      </c>
      <c r="BN449" s="64">
        <f t="shared" si="50"/>
        <v>56.3</v>
      </c>
      <c r="BO449" s="64">
        <f t="shared" si="51"/>
        <v>9.1054778554778545E-2</v>
      </c>
      <c r="BP449" s="64">
        <f t="shared" si="52"/>
        <v>9.6153846153846159E-2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200</v>
      </c>
      <c r="Y450" s="546">
        <f t="shared" si="48"/>
        <v>200.64000000000001</v>
      </c>
      <c r="Z450" s="36">
        <f>IFERROR(IF(Y450=0,"",ROUNDUP(Y450/H450,0)*0.01196),"")</f>
        <v>0.45448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213.25757575757575</v>
      </c>
      <c r="BN450" s="64">
        <f t="shared" si="50"/>
        <v>213.94</v>
      </c>
      <c r="BO450" s="64">
        <f t="shared" si="51"/>
        <v>0.36421911421911418</v>
      </c>
      <c r="BP450" s="64">
        <f t="shared" si="52"/>
        <v>0.36538461538461542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3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hidden="1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60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hidden="1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61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62"/>
      <c r="P454" s="567" t="s">
        <v>75</v>
      </c>
      <c r="Q454" s="568"/>
      <c r="R454" s="568"/>
      <c r="S454" s="568"/>
      <c r="T454" s="568"/>
      <c r="U454" s="568"/>
      <c r="V454" s="569"/>
      <c r="W454" s="37" t="s">
        <v>76</v>
      </c>
      <c r="X454" s="547">
        <f>IFERROR(X448/H448,"0")+IFERROR(X449/H449,"0")+IFERROR(X450/H450,"0")+IFERROR(X451/H451,"0")+IFERROR(X452/H452,"0")+IFERROR(X453/H453,"0")</f>
        <v>56.818181818181813</v>
      </c>
      <c r="Y454" s="547">
        <f>IFERROR(Y448/H448,"0")+IFERROR(Y449/H449,"0")+IFERROR(Y450/H450,"0")+IFERROR(Y451/H451,"0")+IFERROR(Y452/H452,"0")+IFERROR(Y453/H453,"0")</f>
        <v>58</v>
      </c>
      <c r="Z454" s="547">
        <f>IFERROR(IF(Z448="",0,Z448),"0")+IFERROR(IF(Z449="",0,Z449),"0")+IFERROR(IF(Z450="",0,Z450),"0")+IFERROR(IF(Z451="",0,Z451),"0")+IFERROR(IF(Z452="",0,Z452),"0")+IFERROR(IF(Z453="",0,Z453),"0")</f>
        <v>0.69367999999999996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62"/>
      <c r="P455" s="567" t="s">
        <v>75</v>
      </c>
      <c r="Q455" s="568"/>
      <c r="R455" s="568"/>
      <c r="S455" s="568"/>
      <c r="T455" s="568"/>
      <c r="U455" s="568"/>
      <c r="V455" s="569"/>
      <c r="W455" s="37" t="s">
        <v>69</v>
      </c>
      <c r="X455" s="547">
        <f>IFERROR(SUM(X448:X453),"0")</f>
        <v>300</v>
      </c>
      <c r="Y455" s="547">
        <f>IFERROR(SUM(Y448:Y453),"0")</f>
        <v>306.24</v>
      </c>
      <c r="Z455" s="37"/>
      <c r="AA455" s="548"/>
      <c r="AB455" s="548"/>
      <c r="AC455" s="548"/>
    </row>
    <row r="456" spans="1:68" ht="27.75" hidden="1" customHeight="1" x14ac:dyDescent="0.2">
      <c r="A456" s="647" t="s">
        <v>707</v>
      </c>
      <c r="B456" s="648"/>
      <c r="C456" s="648"/>
      <c r="D456" s="648"/>
      <c r="E456" s="648"/>
      <c r="F456" s="648"/>
      <c r="G456" s="648"/>
      <c r="H456" s="648"/>
      <c r="I456" s="648"/>
      <c r="J456" s="648"/>
      <c r="K456" s="648"/>
      <c r="L456" s="648"/>
      <c r="M456" s="648"/>
      <c r="N456" s="648"/>
      <c r="O456" s="648"/>
      <c r="P456" s="648"/>
      <c r="Q456" s="648"/>
      <c r="R456" s="648"/>
      <c r="S456" s="648"/>
      <c r="T456" s="648"/>
      <c r="U456" s="648"/>
      <c r="V456" s="648"/>
      <c r="W456" s="648"/>
      <c r="X456" s="648"/>
      <c r="Y456" s="648"/>
      <c r="Z456" s="648"/>
      <c r="AA456" s="48"/>
      <c r="AB456" s="48"/>
      <c r="AC456" s="48"/>
    </row>
    <row r="457" spans="1:68" ht="16.5" hidden="1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hidden="1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hidden="1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84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/>
      <c r="M461" s="33" t="s">
        <v>104</v>
      </c>
      <c r="N461" s="33"/>
      <c r="O461" s="32">
        <v>50</v>
      </c>
      <c r="P461" s="7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61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62"/>
      <c r="P463" s="567" t="s">
        <v>75</v>
      </c>
      <c r="Q463" s="568"/>
      <c r="R463" s="568"/>
      <c r="S463" s="568"/>
      <c r="T463" s="568"/>
      <c r="U463" s="568"/>
      <c r="V463" s="569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hidden="1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62"/>
      <c r="P464" s="567" t="s">
        <v>75</v>
      </c>
      <c r="Q464" s="568"/>
      <c r="R464" s="568"/>
      <c r="S464" s="568"/>
      <c r="T464" s="568"/>
      <c r="U464" s="568"/>
      <c r="V464" s="569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hidden="1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hidden="1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7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1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62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hidden="1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62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hidden="1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hidden="1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1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62"/>
      <c r="P472" s="567" t="s">
        <v>75</v>
      </c>
      <c r="Q472" s="568"/>
      <c r="R472" s="568"/>
      <c r="S472" s="568"/>
      <c r="T472" s="568"/>
      <c r="U472" s="568"/>
      <c r="V472" s="569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hidden="1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62"/>
      <c r="P473" s="567" t="s">
        <v>75</v>
      </c>
      <c r="Q473" s="568"/>
      <c r="R473" s="568"/>
      <c r="S473" s="568"/>
      <c r="T473" s="568"/>
      <c r="U473" s="568"/>
      <c r="V473" s="569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hidden="1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hidden="1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/>
      <c r="M475" s="33" t="s">
        <v>86</v>
      </c>
      <c r="N475" s="33"/>
      <c r="O475" s="32">
        <v>45</v>
      </c>
      <c r="P475" s="79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1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62"/>
      <c r="P476" s="567" t="s">
        <v>75</v>
      </c>
      <c r="Q476" s="568"/>
      <c r="R476" s="568"/>
      <c r="S476" s="568"/>
      <c r="T476" s="568"/>
      <c r="U476" s="568"/>
      <c r="V476" s="569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hidden="1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62"/>
      <c r="P477" s="567" t="s">
        <v>75</v>
      </c>
      <c r="Q477" s="568"/>
      <c r="R477" s="568"/>
      <c r="S477" s="568"/>
      <c r="T477" s="568"/>
      <c r="U477" s="568"/>
      <c r="V477" s="569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hidden="1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hidden="1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6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1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62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hidden="1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62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hidden="1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hidden="1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hidden="1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1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62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hidden="1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62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5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21"/>
      <c r="P488" s="653" t="s">
        <v>741</v>
      </c>
      <c r="Q488" s="654"/>
      <c r="R488" s="654"/>
      <c r="S488" s="654"/>
      <c r="T488" s="654"/>
      <c r="U488" s="654"/>
      <c r="V488" s="655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7710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7845.42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21"/>
      <c r="P489" s="653" t="s">
        <v>742</v>
      </c>
      <c r="Q489" s="654"/>
      <c r="R489" s="654"/>
      <c r="S489" s="654"/>
      <c r="T489" s="654"/>
      <c r="U489" s="654"/>
      <c r="V489" s="655"/>
      <c r="W489" s="37" t="s">
        <v>69</v>
      </c>
      <c r="X489" s="547">
        <f>IFERROR(SUM(BM22:BM485),"0")</f>
        <v>8170.486208430777</v>
      </c>
      <c r="Y489" s="547">
        <f>IFERROR(SUM(BN22:BN485),"0")</f>
        <v>8312.4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21"/>
      <c r="P490" s="653" t="s">
        <v>743</v>
      </c>
      <c r="Q490" s="654"/>
      <c r="R490" s="654"/>
      <c r="S490" s="654"/>
      <c r="T490" s="654"/>
      <c r="U490" s="654"/>
      <c r="V490" s="655"/>
      <c r="W490" s="37" t="s">
        <v>744</v>
      </c>
      <c r="X490" s="38">
        <f>ROUNDUP(SUM(BO22:BO485),0)</f>
        <v>14</v>
      </c>
      <c r="Y490" s="38">
        <f>ROUNDUP(SUM(BP22:BP485),0)</f>
        <v>14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21"/>
      <c r="P491" s="653" t="s">
        <v>745</v>
      </c>
      <c r="Q491" s="654"/>
      <c r="R491" s="654"/>
      <c r="S491" s="654"/>
      <c r="T491" s="654"/>
      <c r="U491" s="654"/>
      <c r="V491" s="655"/>
      <c r="W491" s="37" t="s">
        <v>69</v>
      </c>
      <c r="X491" s="547">
        <f>GrossWeightTotal+PalletQtyTotal*25</f>
        <v>8520.486208430777</v>
      </c>
      <c r="Y491" s="547">
        <f>GrossWeightTotalR+PalletQtyTotalR*25</f>
        <v>8662.4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21"/>
      <c r="P492" s="653" t="s">
        <v>746</v>
      </c>
      <c r="Q492" s="654"/>
      <c r="R492" s="654"/>
      <c r="S492" s="654"/>
      <c r="T492" s="654"/>
      <c r="U492" s="654"/>
      <c r="V492" s="655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1457.044992363958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1477</v>
      </c>
      <c r="Z492" s="37"/>
      <c r="AA492" s="548"/>
      <c r="AB492" s="548"/>
      <c r="AC492" s="548"/>
    </row>
    <row r="493" spans="1:68" ht="14.25" hidden="1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21"/>
      <c r="P493" s="653" t="s">
        <v>747</v>
      </c>
      <c r="Q493" s="654"/>
      <c r="R493" s="654"/>
      <c r="S493" s="654"/>
      <c r="T493" s="654"/>
      <c r="U493" s="654"/>
      <c r="V493" s="655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16.375999999999998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98" t="s">
        <v>97</v>
      </c>
      <c r="D495" s="631"/>
      <c r="E495" s="631"/>
      <c r="F495" s="631"/>
      <c r="G495" s="631"/>
      <c r="H495" s="607"/>
      <c r="I495" s="598" t="s">
        <v>263</v>
      </c>
      <c r="J495" s="631"/>
      <c r="K495" s="631"/>
      <c r="L495" s="631"/>
      <c r="M495" s="631"/>
      <c r="N495" s="631"/>
      <c r="O495" s="631"/>
      <c r="P495" s="631"/>
      <c r="Q495" s="631"/>
      <c r="R495" s="607"/>
      <c r="S495" s="598" t="s">
        <v>550</v>
      </c>
      <c r="T495" s="607"/>
      <c r="U495" s="598" t="s">
        <v>604</v>
      </c>
      <c r="V495" s="631"/>
      <c r="W495" s="607"/>
      <c r="X495" s="542" t="s">
        <v>655</v>
      </c>
      <c r="Y495" s="598" t="s">
        <v>707</v>
      </c>
      <c r="Z495" s="607"/>
      <c r="AB495" s="52"/>
      <c r="AC495" s="52"/>
      <c r="AF495" s="543"/>
    </row>
    <row r="496" spans="1:68" ht="14.25" customHeight="1" thickTop="1" x14ac:dyDescent="0.2">
      <c r="A496" s="605" t="s">
        <v>750</v>
      </c>
      <c r="B496" s="598" t="s">
        <v>63</v>
      </c>
      <c r="C496" s="598" t="s">
        <v>98</v>
      </c>
      <c r="D496" s="598" t="s">
        <v>116</v>
      </c>
      <c r="E496" s="598" t="s">
        <v>167</v>
      </c>
      <c r="F496" s="598" t="s">
        <v>189</v>
      </c>
      <c r="G496" s="598" t="s">
        <v>227</v>
      </c>
      <c r="H496" s="598" t="s">
        <v>97</v>
      </c>
      <c r="I496" s="598" t="s">
        <v>264</v>
      </c>
      <c r="J496" s="598" t="s">
        <v>319</v>
      </c>
      <c r="K496" s="598" t="s">
        <v>379</v>
      </c>
      <c r="L496" s="598" t="s">
        <v>420</v>
      </c>
      <c r="M496" s="598" t="s">
        <v>436</v>
      </c>
      <c r="N496" s="543"/>
      <c r="O496" s="598" t="s">
        <v>447</v>
      </c>
      <c r="P496" s="598" t="s">
        <v>456</v>
      </c>
      <c r="Q496" s="598" t="s">
        <v>469</v>
      </c>
      <c r="R496" s="598" t="s">
        <v>540</v>
      </c>
      <c r="S496" s="598" t="s">
        <v>551</v>
      </c>
      <c r="T496" s="598" t="s">
        <v>586</v>
      </c>
      <c r="U496" s="598" t="s">
        <v>605</v>
      </c>
      <c r="V496" s="598" t="s">
        <v>636</v>
      </c>
      <c r="W496" s="598" t="s">
        <v>651</v>
      </c>
      <c r="X496" s="598" t="s">
        <v>655</v>
      </c>
      <c r="Y496" s="598" t="s">
        <v>707</v>
      </c>
      <c r="Z496" s="598" t="s">
        <v>737</v>
      </c>
      <c r="AB496" s="52"/>
      <c r="AC496" s="52"/>
      <c r="AF496" s="543"/>
    </row>
    <row r="497" spans="1:32" ht="13.5" customHeight="1" thickBot="1" x14ac:dyDescent="0.25">
      <c r="A497" s="606"/>
      <c r="B497" s="599"/>
      <c r="C497" s="599"/>
      <c r="D497" s="599"/>
      <c r="E497" s="599"/>
      <c r="F497" s="599"/>
      <c r="G497" s="599"/>
      <c r="H497" s="599"/>
      <c r="I497" s="599"/>
      <c r="J497" s="599"/>
      <c r="K497" s="599"/>
      <c r="L497" s="599"/>
      <c r="M497" s="599"/>
      <c r="N497" s="543"/>
      <c r="O497" s="599"/>
      <c r="P497" s="599"/>
      <c r="Q497" s="599"/>
      <c r="R497" s="599"/>
      <c r="S497" s="599"/>
      <c r="T497" s="599"/>
      <c r="U497" s="599"/>
      <c r="V497" s="599"/>
      <c r="W497" s="599"/>
      <c r="X497" s="599"/>
      <c r="Y497" s="599"/>
      <c r="Z497" s="599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226.8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254.4</v>
      </c>
      <c r="E498" s="46">
        <f>IFERROR(Y84*1,"0")+IFERROR(Y85*1,"0")+IFERROR(Y86*1,"0")+IFERROR(Y87*1,"0")+IFERROR(Y91*1,"0")+IFERROR(Y92*1,"0")+IFERROR(Y93*1,"0")+IFERROR(Y94*1,"0")</f>
        <v>475.2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469.79999999999995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470.4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1581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62.399999999999991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351</v>
      </c>
      <c r="R498" s="46">
        <f>IFERROR(Y340*1,"0")+IFERROR(Y341*1,"0")+IFERROR(Y342*1,"0")</f>
        <v>90.300000000000011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1599</v>
      </c>
      <c r="T498" s="46">
        <f>IFERROR(Y373*1,"0")+IFERROR(Y374*1,"0")+IFERROR(Y378*1,"0")+IFERROR(Y379*1,"0")+IFERROR(Y383*1,"0")+IFERROR(Y384*1,"0")+IFERROR(Y385*1,"0")</f>
        <v>1404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861.11999999999989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w2O4zxbggKAIrH8KxOvodR5KGz4QBaxiyBjtpe2V/q+uvnZhilWIqSuZSWvG2e/p6iEf4PMlx920NKGjpGbAqA==" saltValue="yfdHAFn1kpo7cG0/Btgi7Q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400,00"/>
        <filter val="1 457,04"/>
        <filter val="100,00"/>
        <filter val="116,67"/>
        <filter val="135,00"/>
        <filter val="14"/>
        <filter val="15,00"/>
        <filter val="150,00"/>
        <filter val="155,56"/>
        <filter val="18,00"/>
        <filter val="199,05"/>
        <filter val="20,00"/>
        <filter val="20,37"/>
        <filter val="200,00"/>
        <filter val="220,00"/>
        <filter val="238,00"/>
        <filter val="25,00"/>
        <filter val="28,41"/>
        <filter val="30,00"/>
        <filter val="300,00"/>
        <filter val="320,00"/>
        <filter val="35,00"/>
        <filter val="350,00"/>
        <filter val="355,00"/>
        <filter val="36,98"/>
        <filter val="383,00"/>
        <filter val="392,24"/>
        <filter val="398,00"/>
        <filter val="40,00"/>
        <filter val="41,90"/>
        <filter val="44,87"/>
        <filter val="468,00"/>
        <filter val="47,33"/>
        <filter val="48,00"/>
        <filter val="5,56"/>
        <filter val="50,00"/>
        <filter val="510,00"/>
        <filter val="53,00"/>
        <filter val="53,33"/>
        <filter val="56,82"/>
        <filter val="60,00"/>
        <filter val="600,00"/>
        <filter val="62,84"/>
        <filter val="63,00"/>
        <filter val="68,00"/>
        <filter val="7 710,00"/>
        <filter val="7,41"/>
        <filter val="710,00"/>
        <filter val="76,29"/>
        <filter val="77,16"/>
        <filter val="8 170,49"/>
        <filter val="8 520,49"/>
        <filter val="80,00"/>
        <filter val="800,00"/>
        <filter val="88,00"/>
        <filter val="9,26"/>
      </filters>
    </filterColumn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M496:M497"/>
    <mergeCell ref="O496:O497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D291:E291"/>
    <mergeCell ref="D239:E239"/>
    <mergeCell ref="P174:T174"/>
    <mergeCell ref="P149:T149"/>
    <mergeCell ref="A339:Z339"/>
    <mergeCell ref="D218:E218"/>
    <mergeCell ref="A347:Z34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104:V104"/>
    <mergeCell ref="A372:Z372"/>
    <mergeCell ref="P386:V386"/>
    <mergeCell ref="P393:T393"/>
    <mergeCell ref="D374:E374"/>
    <mergeCell ref="A338:Z338"/>
    <mergeCell ref="D127:E127"/>
    <mergeCell ref="P304:T304"/>
    <mergeCell ref="D176:E176"/>
    <mergeCell ref="D93:E93"/>
    <mergeCell ref="A133:O134"/>
    <mergeCell ref="D391:E391"/>
    <mergeCell ref="D220:E220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P468:V468"/>
    <mergeCell ref="A160:Z160"/>
    <mergeCell ref="A141:Z141"/>
    <mergeCell ref="A144:O145"/>
    <mergeCell ref="A135:Z135"/>
    <mergeCell ref="P161:T161"/>
    <mergeCell ref="P459:T459"/>
    <mergeCell ref="D198:E198"/>
    <mergeCell ref="D296:E296"/>
    <mergeCell ref="P275:V275"/>
    <mergeCell ref="D427:E427"/>
    <mergeCell ref="P366:V366"/>
    <mergeCell ref="D349:E349"/>
    <mergeCell ref="P455:V455"/>
    <mergeCell ref="A454:O455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81:V81"/>
    <mergeCell ref="D51:E51"/>
    <mergeCell ref="P306:T306"/>
    <mergeCell ref="P157:V157"/>
    <mergeCell ref="A38:Z38"/>
    <mergeCell ref="P249:V249"/>
    <mergeCell ref="P207:T207"/>
    <mergeCell ref="P299:T299"/>
    <mergeCell ref="D203:E203"/>
    <mergeCell ref="P232:T232"/>
    <mergeCell ref="P152:V152"/>
    <mergeCell ref="A82:Z82"/>
    <mergeCell ref="P51:T51"/>
    <mergeCell ref="P58:V58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A419:Z419"/>
    <mergeCell ref="Q496:Q497"/>
    <mergeCell ref="S496:S497"/>
    <mergeCell ref="P454:V454"/>
    <mergeCell ref="D485:E485"/>
    <mergeCell ref="P451:T451"/>
    <mergeCell ref="A470:Z470"/>
    <mergeCell ref="A375:O376"/>
    <mergeCell ref="D399:E399"/>
    <mergeCell ref="A439:O440"/>
    <mergeCell ref="P309:T309"/>
    <mergeCell ref="D193:E193"/>
    <mergeCell ref="P206:T206"/>
    <mergeCell ref="P448:T448"/>
    <mergeCell ref="P233:T233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P204:T204"/>
    <mergeCell ref="D348:E348"/>
    <mergeCell ref="D62:E62"/>
    <mergeCell ref="D56:E56"/>
    <mergeCell ref="P216:T216"/>
    <mergeCell ref="D137:E137"/>
    <mergeCell ref="P360:V360"/>
    <mergeCell ref="P80:V80"/>
    <mergeCell ref="D74:E74"/>
    <mergeCell ref="P87:T87"/>
    <mergeCell ref="D335:E335"/>
    <mergeCell ref="D188:E188"/>
    <mergeCell ref="P322:T322"/>
    <mergeCell ref="D132:E132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1 X78 X84 X87 X91 X99 X102 X107 X110 X114 X116 X165 X167 X169 X174 X176 X199 X203:X204 X206:X208 X210 X216:X217 X219:X222 X227 X232 X279:X280 X320:X322 X329 X340 X348:X350 X358 X383:X384 X427 X430:X431 X433 X442 X444 X448:X45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vS4A8JLQJDQUFc5d61aMUbRS83fIQ8NduHV2vT257TV0uzNKc5uutiInEhGJLRnGC0BkWVabi/K0bf+Z7z/7Ag==" saltValue="hBt7bphLfldjwTD70t57F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2026-01-28T11:42:25Z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