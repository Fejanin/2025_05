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7BFCB3F-D725-485A-BA84-60F084B317B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заказа'!$B$60:$B$60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заказа'!$B$459:$B$459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заказа'!$X$60:$X$60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заказа'!$X$459:$X$459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заказа'!$Y$60:$Y$60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заказа'!$Y$459:$Y$459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заказа'!$W$60:$W$60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заказа'!$W$459:$W$459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X423" i="1"/>
  <c r="X422" i="1"/>
  <c r="BO421" i="1"/>
  <c r="BM421" i="1"/>
  <c r="Y421" i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0" i="1"/>
  <c r="X369" i="1"/>
  <c r="BO368" i="1"/>
  <c r="BM368" i="1"/>
  <c r="Y368" i="1"/>
  <c r="P368" i="1"/>
  <c r="X366" i="1"/>
  <c r="X365" i="1"/>
  <c r="BO364" i="1"/>
  <c r="BM364" i="1"/>
  <c r="Y364" i="1"/>
  <c r="P364" i="1"/>
  <c r="BO363" i="1"/>
  <c r="BM363" i="1"/>
  <c r="Y363" i="1"/>
  <c r="Y365" i="1" s="1"/>
  <c r="P363" i="1"/>
  <c r="X361" i="1"/>
  <c r="X360" i="1"/>
  <c r="BO359" i="1"/>
  <c r="BM359" i="1"/>
  <c r="Y359" i="1"/>
  <c r="P359" i="1"/>
  <c r="BO358" i="1"/>
  <c r="BM358" i="1"/>
  <c r="Y358" i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X344" i="1"/>
  <c r="X343" i="1"/>
  <c r="BO342" i="1"/>
  <c r="BM342" i="1"/>
  <c r="Y342" i="1"/>
  <c r="P342" i="1"/>
  <c r="BO341" i="1"/>
  <c r="BM341" i="1"/>
  <c r="Y341" i="1"/>
  <c r="P341" i="1"/>
  <c r="BO340" i="1"/>
  <c r="BM340" i="1"/>
  <c r="Y340" i="1"/>
  <c r="Y343" i="1" s="1"/>
  <c r="P340" i="1"/>
  <c r="X337" i="1"/>
  <c r="X336" i="1"/>
  <c r="BO335" i="1"/>
  <c r="BM335" i="1"/>
  <c r="Y335" i="1"/>
  <c r="P335" i="1"/>
  <c r="BP334" i="1"/>
  <c r="BO334" i="1"/>
  <c r="BN334" i="1"/>
  <c r="BM334" i="1"/>
  <c r="Z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X324" i="1"/>
  <c r="X323" i="1"/>
  <c r="BO322" i="1"/>
  <c r="BM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O304" i="1"/>
  <c r="BM304" i="1"/>
  <c r="Y304" i="1"/>
  <c r="P304" i="1"/>
  <c r="X302" i="1"/>
  <c r="X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3" i="1"/>
  <c r="Y292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O285" i="1"/>
  <c r="BM285" i="1"/>
  <c r="Y285" i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BP278" i="1" s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BP262" i="1" s="1"/>
  <c r="P262" i="1"/>
  <c r="BO261" i="1"/>
  <c r="BM261" i="1"/>
  <c r="Y261" i="1"/>
  <c r="P261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O253" i="1"/>
  <c r="BM253" i="1"/>
  <c r="Y253" i="1"/>
  <c r="BP253" i="1" s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X229" i="1"/>
  <c r="X228" i="1"/>
  <c r="BO227" i="1"/>
  <c r="BM227" i="1"/>
  <c r="Y227" i="1"/>
  <c r="P227" i="1"/>
  <c r="BO226" i="1"/>
  <c r="BM226" i="1"/>
  <c r="Y226" i="1"/>
  <c r="P226" i="1"/>
  <c r="X224" i="1"/>
  <c r="X223" i="1"/>
  <c r="BO222" i="1"/>
  <c r="BM222" i="1"/>
  <c r="Y222" i="1"/>
  <c r="BP222" i="1" s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BP214" i="1" s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BP204" i="1" s="1"/>
  <c r="P204" i="1"/>
  <c r="BO203" i="1"/>
  <c r="BM203" i="1"/>
  <c r="Y203" i="1"/>
  <c r="P203" i="1"/>
  <c r="X201" i="1"/>
  <c r="X200" i="1"/>
  <c r="BO199" i="1"/>
  <c r="BM199" i="1"/>
  <c r="Z199" i="1"/>
  <c r="Y199" i="1"/>
  <c r="P199" i="1"/>
  <c r="BO198" i="1"/>
  <c r="BM198" i="1"/>
  <c r="Y198" i="1"/>
  <c r="P198" i="1"/>
  <c r="X196" i="1"/>
  <c r="X195" i="1"/>
  <c r="BO194" i="1"/>
  <c r="BM194" i="1"/>
  <c r="Y194" i="1"/>
  <c r="P194" i="1"/>
  <c r="BO193" i="1"/>
  <c r="BM193" i="1"/>
  <c r="Y193" i="1"/>
  <c r="BP193" i="1" s="1"/>
  <c r="P193" i="1"/>
  <c r="X190" i="1"/>
  <c r="X189" i="1"/>
  <c r="BO188" i="1"/>
  <c r="BM188" i="1"/>
  <c r="Y188" i="1"/>
  <c r="Y190" i="1" s="1"/>
  <c r="P188" i="1"/>
  <c r="X186" i="1"/>
  <c r="X185" i="1"/>
  <c r="BO184" i="1"/>
  <c r="BM184" i="1"/>
  <c r="Y184" i="1"/>
  <c r="BP184" i="1" s="1"/>
  <c r="P184" i="1"/>
  <c r="BO183" i="1"/>
  <c r="BM183" i="1"/>
  <c r="Y183" i="1"/>
  <c r="P183" i="1"/>
  <c r="BO182" i="1"/>
  <c r="BM182" i="1"/>
  <c r="Y182" i="1"/>
  <c r="P182" i="1"/>
  <c r="X180" i="1"/>
  <c r="X179" i="1"/>
  <c r="BO178" i="1"/>
  <c r="BM178" i="1"/>
  <c r="Y178" i="1"/>
  <c r="BP178" i="1" s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O174" i="1"/>
  <c r="BM174" i="1"/>
  <c r="Y174" i="1"/>
  <c r="BP174" i="1" s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BP170" i="1" s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O166" i="1"/>
  <c r="BM166" i="1"/>
  <c r="Y166" i="1"/>
  <c r="BP166" i="1" s="1"/>
  <c r="P166" i="1"/>
  <c r="BO165" i="1"/>
  <c r="BM165" i="1"/>
  <c r="Y165" i="1"/>
  <c r="P165" i="1"/>
  <c r="X163" i="1"/>
  <c r="X162" i="1"/>
  <c r="BO161" i="1"/>
  <c r="BM161" i="1"/>
  <c r="Y161" i="1"/>
  <c r="P161" i="1"/>
  <c r="X157" i="1"/>
  <c r="X156" i="1"/>
  <c r="BO155" i="1"/>
  <c r="BM155" i="1"/>
  <c r="Y155" i="1"/>
  <c r="P155" i="1"/>
  <c r="X153" i="1"/>
  <c r="X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BP148" i="1" s="1"/>
  <c r="P148" i="1"/>
  <c r="BO147" i="1"/>
  <c r="BM147" i="1"/>
  <c r="Y147" i="1"/>
  <c r="P147" i="1"/>
  <c r="X145" i="1"/>
  <c r="X144" i="1"/>
  <c r="BO143" i="1"/>
  <c r="BM143" i="1"/>
  <c r="Y143" i="1"/>
  <c r="P143" i="1"/>
  <c r="BP142" i="1"/>
  <c r="BO142" i="1"/>
  <c r="BN142" i="1"/>
  <c r="BM142" i="1"/>
  <c r="Z142" i="1"/>
  <c r="Y142" i="1"/>
  <c r="P142" i="1"/>
  <c r="X139" i="1"/>
  <c r="Y138" i="1"/>
  <c r="X138" i="1"/>
  <c r="BP137" i="1"/>
  <c r="BO137" i="1"/>
  <c r="BN137" i="1"/>
  <c r="BM137" i="1"/>
  <c r="Z137" i="1"/>
  <c r="Y137" i="1"/>
  <c r="P137" i="1"/>
  <c r="BO136" i="1"/>
  <c r="BM136" i="1"/>
  <c r="Y136" i="1"/>
  <c r="P136" i="1"/>
  <c r="X134" i="1"/>
  <c r="X133" i="1"/>
  <c r="BO132" i="1"/>
  <c r="BM132" i="1"/>
  <c r="Y132" i="1"/>
  <c r="P132" i="1"/>
  <c r="BO131" i="1"/>
  <c r="BM131" i="1"/>
  <c r="Y131" i="1"/>
  <c r="Y133" i="1" s="1"/>
  <c r="P131" i="1"/>
  <c r="X129" i="1"/>
  <c r="X128" i="1"/>
  <c r="BO127" i="1"/>
  <c r="BM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P117" i="1"/>
  <c r="BO116" i="1"/>
  <c r="BM116" i="1"/>
  <c r="Y116" i="1"/>
  <c r="BP116" i="1" s="1"/>
  <c r="P116" i="1"/>
  <c r="BO115" i="1"/>
  <c r="BM115" i="1"/>
  <c r="Y115" i="1"/>
  <c r="P115" i="1"/>
  <c r="BP114" i="1"/>
  <c r="BO114" i="1"/>
  <c r="BN114" i="1"/>
  <c r="BM114" i="1"/>
  <c r="Z114" i="1"/>
  <c r="Y114" i="1"/>
  <c r="P114" i="1"/>
  <c r="X112" i="1"/>
  <c r="X111" i="1"/>
  <c r="BO110" i="1"/>
  <c r="BM110" i="1"/>
  <c r="Y110" i="1"/>
  <c r="BP110" i="1" s="1"/>
  <c r="P110" i="1"/>
  <c r="BO109" i="1"/>
  <c r="BM109" i="1"/>
  <c r="Y109" i="1"/>
  <c r="P109" i="1"/>
  <c r="BO108" i="1"/>
  <c r="BM108" i="1"/>
  <c r="Y108" i="1"/>
  <c r="P108" i="1"/>
  <c r="BO107" i="1"/>
  <c r="BM107" i="1"/>
  <c r="Y107" i="1"/>
  <c r="P107" i="1"/>
  <c r="X105" i="1"/>
  <c r="X104" i="1"/>
  <c r="BO103" i="1"/>
  <c r="BM103" i="1"/>
  <c r="Y103" i="1"/>
  <c r="P103" i="1"/>
  <c r="BO102" i="1"/>
  <c r="BM102" i="1"/>
  <c r="Y102" i="1"/>
  <c r="BP102" i="1" s="1"/>
  <c r="P102" i="1"/>
  <c r="BO101" i="1"/>
  <c r="BM101" i="1"/>
  <c r="Y101" i="1"/>
  <c r="P101" i="1"/>
  <c r="BP100" i="1"/>
  <c r="BO100" i="1"/>
  <c r="BN100" i="1"/>
  <c r="BM100" i="1"/>
  <c r="Z100" i="1"/>
  <c r="Y100" i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BO91" i="1"/>
  <c r="BM91" i="1"/>
  <c r="Y91" i="1"/>
  <c r="P91" i="1"/>
  <c r="X89" i="1"/>
  <c r="X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BP85" i="1" s="1"/>
  <c r="P85" i="1"/>
  <c r="BO84" i="1"/>
  <c r="BM84" i="1"/>
  <c r="Y84" i="1"/>
  <c r="P84" i="1"/>
  <c r="X81" i="1"/>
  <c r="X80" i="1"/>
  <c r="BO79" i="1"/>
  <c r="BM79" i="1"/>
  <c r="Y79" i="1"/>
  <c r="P79" i="1"/>
  <c r="BO78" i="1"/>
  <c r="BM78" i="1"/>
  <c r="Y78" i="1"/>
  <c r="BP78" i="1" s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P73" i="1"/>
  <c r="BO72" i="1"/>
  <c r="BM72" i="1"/>
  <c r="Y72" i="1"/>
  <c r="BP72" i="1" s="1"/>
  <c r="P72" i="1"/>
  <c r="BO71" i="1"/>
  <c r="BM71" i="1"/>
  <c r="Y71" i="1"/>
  <c r="P71" i="1"/>
  <c r="X69" i="1"/>
  <c r="X68" i="1"/>
  <c r="BO67" i="1"/>
  <c r="BM67" i="1"/>
  <c r="Y67" i="1"/>
  <c r="P67" i="1"/>
  <c r="BO66" i="1"/>
  <c r="BM66" i="1"/>
  <c r="Y66" i="1"/>
  <c r="BP66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P61" i="1"/>
  <c r="BO60" i="1"/>
  <c r="BM60" i="1"/>
  <c r="Y60" i="1"/>
  <c r="Y64" i="1" s="1"/>
  <c r="P60" i="1"/>
  <c r="X58" i="1"/>
  <c r="X57" i="1"/>
  <c r="BO56" i="1"/>
  <c r="BM56" i="1"/>
  <c r="Y56" i="1"/>
  <c r="BP56" i="1" s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P53" i="1"/>
  <c r="BP52" i="1"/>
  <c r="BO52" i="1"/>
  <c r="BN52" i="1"/>
  <c r="BM52" i="1"/>
  <c r="Z52" i="1"/>
  <c r="Y52" i="1"/>
  <c r="P52" i="1"/>
  <c r="BO51" i="1"/>
  <c r="BM51" i="1"/>
  <c r="Y51" i="1"/>
  <c r="Z51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BP108" i="1" l="1"/>
  <c r="BN108" i="1"/>
  <c r="Z108" i="1"/>
  <c r="BP150" i="1"/>
  <c r="BN150" i="1"/>
  <c r="Z150" i="1"/>
  <c r="BP182" i="1"/>
  <c r="BN182" i="1"/>
  <c r="Z182" i="1"/>
  <c r="BP216" i="1"/>
  <c r="BN216" i="1"/>
  <c r="Z216" i="1"/>
  <c r="BP239" i="1"/>
  <c r="BN239" i="1"/>
  <c r="Z239" i="1"/>
  <c r="BP280" i="1"/>
  <c r="BN280" i="1"/>
  <c r="Z280" i="1"/>
  <c r="BP314" i="1"/>
  <c r="BN314" i="1"/>
  <c r="Z314" i="1"/>
  <c r="BP350" i="1"/>
  <c r="BN350" i="1"/>
  <c r="Z350" i="1"/>
  <c r="BP393" i="1"/>
  <c r="BN393" i="1"/>
  <c r="Z393" i="1"/>
  <c r="BP429" i="1"/>
  <c r="BN429" i="1"/>
  <c r="Z429" i="1"/>
  <c r="BP453" i="1"/>
  <c r="BN453" i="1"/>
  <c r="Z453" i="1"/>
  <c r="Z22" i="1"/>
  <c r="BN22" i="1"/>
  <c r="Z42" i="1"/>
  <c r="BN42" i="1"/>
  <c r="Z56" i="1"/>
  <c r="BN56" i="1"/>
  <c r="Z66" i="1"/>
  <c r="BN66" i="1"/>
  <c r="Z85" i="1"/>
  <c r="BN85" i="1"/>
  <c r="BP91" i="1"/>
  <c r="BN91" i="1"/>
  <c r="Z91" i="1"/>
  <c r="BP127" i="1"/>
  <c r="BN127" i="1"/>
  <c r="Z127" i="1"/>
  <c r="BP172" i="1"/>
  <c r="BN172" i="1"/>
  <c r="Z172" i="1"/>
  <c r="BP206" i="1"/>
  <c r="BN206" i="1"/>
  <c r="Z206" i="1"/>
  <c r="BP226" i="1"/>
  <c r="BN226" i="1"/>
  <c r="Z226" i="1"/>
  <c r="BP264" i="1"/>
  <c r="BN264" i="1"/>
  <c r="Z264" i="1"/>
  <c r="BP300" i="1"/>
  <c r="BN300" i="1"/>
  <c r="Z300" i="1"/>
  <c r="BP326" i="1"/>
  <c r="BN326" i="1"/>
  <c r="Z326" i="1"/>
  <c r="BP364" i="1"/>
  <c r="BN364" i="1"/>
  <c r="Z364" i="1"/>
  <c r="Y370" i="1"/>
  <c r="Y369" i="1"/>
  <c r="BP368" i="1"/>
  <c r="BN368" i="1"/>
  <c r="Z368" i="1"/>
  <c r="Z369" i="1" s="1"/>
  <c r="BP373" i="1"/>
  <c r="BN373" i="1"/>
  <c r="Z373" i="1"/>
  <c r="BP403" i="1"/>
  <c r="BN403" i="1"/>
  <c r="Z403" i="1"/>
  <c r="BP437" i="1"/>
  <c r="BN437" i="1"/>
  <c r="Z437" i="1"/>
  <c r="Y473" i="1"/>
  <c r="Y472" i="1"/>
  <c r="BP471" i="1"/>
  <c r="BN471" i="1"/>
  <c r="Z471" i="1"/>
  <c r="Z472" i="1" s="1"/>
  <c r="Y477" i="1"/>
  <c r="Y476" i="1"/>
  <c r="BP475" i="1"/>
  <c r="BN475" i="1"/>
  <c r="Z475" i="1"/>
  <c r="Z476" i="1" s="1"/>
  <c r="BP479" i="1"/>
  <c r="BN479" i="1"/>
  <c r="Z479" i="1"/>
  <c r="Y63" i="1"/>
  <c r="BP298" i="1"/>
  <c r="BN298" i="1"/>
  <c r="Z298" i="1"/>
  <c r="BP308" i="1"/>
  <c r="BN308" i="1"/>
  <c r="Z308" i="1"/>
  <c r="BP322" i="1"/>
  <c r="BN322" i="1"/>
  <c r="Z322" i="1"/>
  <c r="BP341" i="1"/>
  <c r="BN341" i="1"/>
  <c r="Z341" i="1"/>
  <c r="BP342" i="1"/>
  <c r="BN342" i="1"/>
  <c r="Z342" i="1"/>
  <c r="BP348" i="1"/>
  <c r="BN348" i="1"/>
  <c r="Z348" i="1"/>
  <c r="Y360" i="1"/>
  <c r="BP358" i="1"/>
  <c r="BN358" i="1"/>
  <c r="Z358" i="1"/>
  <c r="BP385" i="1"/>
  <c r="BN385" i="1"/>
  <c r="Z385" i="1"/>
  <c r="BP391" i="1"/>
  <c r="BN391" i="1"/>
  <c r="Z391" i="1"/>
  <c r="BP399" i="1"/>
  <c r="BN399" i="1"/>
  <c r="Z399" i="1"/>
  <c r="Y423" i="1"/>
  <c r="W498" i="1"/>
  <c r="Y422" i="1"/>
  <c r="BP421" i="1"/>
  <c r="BN421" i="1"/>
  <c r="Z421" i="1"/>
  <c r="Z422" i="1" s="1"/>
  <c r="BP427" i="1"/>
  <c r="BN427" i="1"/>
  <c r="Z427" i="1"/>
  <c r="BP435" i="1"/>
  <c r="BN435" i="1"/>
  <c r="Z435" i="1"/>
  <c r="BP451" i="1"/>
  <c r="BN451" i="1"/>
  <c r="Z451" i="1"/>
  <c r="BP467" i="1"/>
  <c r="BN467" i="1"/>
  <c r="Z467" i="1"/>
  <c r="J9" i="1"/>
  <c r="X49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4" i="1"/>
  <c r="BN54" i="1"/>
  <c r="Z60" i="1"/>
  <c r="BN60" i="1"/>
  <c r="BP60" i="1"/>
  <c r="Z72" i="1"/>
  <c r="BN72" i="1"/>
  <c r="Z78" i="1"/>
  <c r="BN78" i="1"/>
  <c r="Z87" i="1"/>
  <c r="BN87" i="1"/>
  <c r="Z93" i="1"/>
  <c r="BN93" i="1"/>
  <c r="Z102" i="1"/>
  <c r="BN102" i="1"/>
  <c r="Z110" i="1"/>
  <c r="BN110" i="1"/>
  <c r="Y118" i="1"/>
  <c r="Z116" i="1"/>
  <c r="BN116" i="1"/>
  <c r="Z131" i="1"/>
  <c r="BN131" i="1"/>
  <c r="BP131" i="1"/>
  <c r="Z148" i="1"/>
  <c r="BN148" i="1"/>
  <c r="Z166" i="1"/>
  <c r="BN166" i="1"/>
  <c r="Z170" i="1"/>
  <c r="BN170" i="1"/>
  <c r="Z174" i="1"/>
  <c r="BN174" i="1"/>
  <c r="Z178" i="1"/>
  <c r="BN178" i="1"/>
  <c r="Y186" i="1"/>
  <c r="Z184" i="1"/>
  <c r="BN184" i="1"/>
  <c r="Y185" i="1"/>
  <c r="Z188" i="1"/>
  <c r="Z189" i="1" s="1"/>
  <c r="BN188" i="1"/>
  <c r="BP188" i="1"/>
  <c r="Y189" i="1"/>
  <c r="Z193" i="1"/>
  <c r="BN193" i="1"/>
  <c r="Z204" i="1"/>
  <c r="BN204" i="1"/>
  <c r="Z208" i="1"/>
  <c r="BN208" i="1"/>
  <c r="Z214" i="1"/>
  <c r="BN214" i="1"/>
  <c r="Z218" i="1"/>
  <c r="BN218" i="1"/>
  <c r="Z222" i="1"/>
  <c r="BN222" i="1"/>
  <c r="Z233" i="1"/>
  <c r="BN233" i="1"/>
  <c r="Z237" i="1"/>
  <c r="BN237" i="1"/>
  <c r="Z253" i="1"/>
  <c r="BN253" i="1"/>
  <c r="Z262" i="1"/>
  <c r="BN262" i="1"/>
  <c r="Z271" i="1"/>
  <c r="BN271" i="1"/>
  <c r="Z278" i="1"/>
  <c r="BN278" i="1"/>
  <c r="BP285" i="1"/>
  <c r="BN285" i="1"/>
  <c r="Z285" i="1"/>
  <c r="BP304" i="1"/>
  <c r="BN304" i="1"/>
  <c r="Z304" i="1"/>
  <c r="BP316" i="1"/>
  <c r="BN316" i="1"/>
  <c r="Z316" i="1"/>
  <c r="BP328" i="1"/>
  <c r="BN328" i="1"/>
  <c r="Z328" i="1"/>
  <c r="BP352" i="1"/>
  <c r="BN352" i="1"/>
  <c r="Z352" i="1"/>
  <c r="BP379" i="1"/>
  <c r="BN379" i="1"/>
  <c r="Z379" i="1"/>
  <c r="BP395" i="1"/>
  <c r="BN395" i="1"/>
  <c r="Z395" i="1"/>
  <c r="BP414" i="1"/>
  <c r="BN414" i="1"/>
  <c r="Z414" i="1"/>
  <c r="BP431" i="1"/>
  <c r="BN431" i="1"/>
  <c r="Z431" i="1"/>
  <c r="BP443" i="1"/>
  <c r="BN443" i="1"/>
  <c r="Z443" i="1"/>
  <c r="Y463" i="1"/>
  <c r="BP459" i="1"/>
  <c r="BN459" i="1"/>
  <c r="Z459" i="1"/>
  <c r="Y330" i="1"/>
  <c r="Y387" i="1"/>
  <c r="Y386" i="1"/>
  <c r="Y481" i="1"/>
  <c r="Y25" i="1"/>
  <c r="Y31" i="1"/>
  <c r="Y43" i="1"/>
  <c r="BP55" i="1"/>
  <c r="BN55" i="1"/>
  <c r="Z55" i="1"/>
  <c r="BP67" i="1"/>
  <c r="BN67" i="1"/>
  <c r="Z67" i="1"/>
  <c r="Y69" i="1"/>
  <c r="Y76" i="1"/>
  <c r="BP71" i="1"/>
  <c r="BN71" i="1"/>
  <c r="Z71" i="1"/>
  <c r="Y75" i="1"/>
  <c r="BP79" i="1"/>
  <c r="BN79" i="1"/>
  <c r="Z79" i="1"/>
  <c r="Y81" i="1"/>
  <c r="E498" i="1"/>
  <c r="Y89" i="1"/>
  <c r="BP84" i="1"/>
  <c r="BN84" i="1"/>
  <c r="Z84" i="1"/>
  <c r="Y88" i="1"/>
  <c r="BP92" i="1"/>
  <c r="BN92" i="1"/>
  <c r="Z92" i="1"/>
  <c r="BP101" i="1"/>
  <c r="BN101" i="1"/>
  <c r="Z101" i="1"/>
  <c r="BP109" i="1"/>
  <c r="BN109" i="1"/>
  <c r="Z109" i="1"/>
  <c r="BP117" i="1"/>
  <c r="BN117" i="1"/>
  <c r="Z117" i="1"/>
  <c r="Y119" i="1"/>
  <c r="Y122" i="1"/>
  <c r="BP121" i="1"/>
  <c r="BN121" i="1"/>
  <c r="Z121" i="1"/>
  <c r="Z122" i="1" s="1"/>
  <c r="Y123" i="1"/>
  <c r="G498" i="1"/>
  <c r="Y129" i="1"/>
  <c r="BP126" i="1"/>
  <c r="BN126" i="1"/>
  <c r="Z126" i="1"/>
  <c r="Z128" i="1" s="1"/>
  <c r="BP143" i="1"/>
  <c r="BN143" i="1"/>
  <c r="Z143" i="1"/>
  <c r="Z144" i="1" s="1"/>
  <c r="Y145" i="1"/>
  <c r="Y152" i="1"/>
  <c r="BP147" i="1"/>
  <c r="BN147" i="1"/>
  <c r="Z147" i="1"/>
  <c r="BP151" i="1"/>
  <c r="BN151" i="1"/>
  <c r="Z151" i="1"/>
  <c r="Y153" i="1"/>
  <c r="Y156" i="1"/>
  <c r="BP155" i="1"/>
  <c r="BN155" i="1"/>
  <c r="Z155" i="1"/>
  <c r="Z156" i="1" s="1"/>
  <c r="Y157" i="1"/>
  <c r="I498" i="1"/>
  <c r="Y162" i="1"/>
  <c r="BP161" i="1"/>
  <c r="BN161" i="1"/>
  <c r="Z161" i="1"/>
  <c r="Z162" i="1" s="1"/>
  <c r="Y163" i="1"/>
  <c r="Y180" i="1"/>
  <c r="BP165" i="1"/>
  <c r="BN165" i="1"/>
  <c r="Z165" i="1"/>
  <c r="BP169" i="1"/>
  <c r="BN169" i="1"/>
  <c r="Z169" i="1"/>
  <c r="BP173" i="1"/>
  <c r="BN173" i="1"/>
  <c r="Z173" i="1"/>
  <c r="BP177" i="1"/>
  <c r="BN177" i="1"/>
  <c r="Z177" i="1"/>
  <c r="BP194" i="1"/>
  <c r="BN194" i="1"/>
  <c r="Z194" i="1"/>
  <c r="Z195" i="1" s="1"/>
  <c r="Y196" i="1"/>
  <c r="Y200" i="1"/>
  <c r="BP198" i="1"/>
  <c r="BN198" i="1"/>
  <c r="Z198" i="1"/>
  <c r="Z200" i="1" s="1"/>
  <c r="BP297" i="1"/>
  <c r="BN297" i="1"/>
  <c r="Z297" i="1"/>
  <c r="Q498" i="1"/>
  <c r="Y301" i="1"/>
  <c r="BP305" i="1"/>
  <c r="BN305" i="1"/>
  <c r="Z305" i="1"/>
  <c r="BP309" i="1"/>
  <c r="BN309" i="1"/>
  <c r="Z309" i="1"/>
  <c r="Y311" i="1"/>
  <c r="Y318" i="1"/>
  <c r="BP313" i="1"/>
  <c r="BN313" i="1"/>
  <c r="Z313" i="1"/>
  <c r="Y317" i="1"/>
  <c r="BP321" i="1"/>
  <c r="BN321" i="1"/>
  <c r="Z321" i="1"/>
  <c r="Y323" i="1"/>
  <c r="H498" i="1"/>
  <c r="H9" i="1"/>
  <c r="B498" i="1"/>
  <c r="X489" i="1"/>
  <c r="X490" i="1"/>
  <c r="Z23" i="1"/>
  <c r="BN23" i="1"/>
  <c r="Y24" i="1"/>
  <c r="X488" i="1"/>
  <c r="Z27" i="1"/>
  <c r="BN27" i="1"/>
  <c r="BP27" i="1"/>
  <c r="Z29" i="1"/>
  <c r="BN29" i="1"/>
  <c r="C498" i="1"/>
  <c r="Z41" i="1"/>
  <c r="BN41" i="1"/>
  <c r="Y44" i="1"/>
  <c r="D498" i="1"/>
  <c r="Y58" i="1"/>
  <c r="BP51" i="1"/>
  <c r="BN51" i="1"/>
  <c r="BP53" i="1"/>
  <c r="BN53" i="1"/>
  <c r="Z53" i="1"/>
  <c r="Z57" i="1" s="1"/>
  <c r="Y57" i="1"/>
  <c r="BP61" i="1"/>
  <c r="BN61" i="1"/>
  <c r="Z61" i="1"/>
  <c r="Z63" i="1" s="1"/>
  <c r="Y68" i="1"/>
  <c r="BP73" i="1"/>
  <c r="BN73" i="1"/>
  <c r="Z73" i="1"/>
  <c r="Y80" i="1"/>
  <c r="BP86" i="1"/>
  <c r="BN86" i="1"/>
  <c r="Z86" i="1"/>
  <c r="Y95" i="1"/>
  <c r="BP94" i="1"/>
  <c r="BN94" i="1"/>
  <c r="Z94" i="1"/>
  <c r="Y96" i="1"/>
  <c r="F498" i="1"/>
  <c r="Y104" i="1"/>
  <c r="BP99" i="1"/>
  <c r="BN99" i="1"/>
  <c r="Z99" i="1"/>
  <c r="Z104" i="1" s="1"/>
  <c r="BP103" i="1"/>
  <c r="BN103" i="1"/>
  <c r="Z103" i="1"/>
  <c r="Y105" i="1"/>
  <c r="Y112" i="1"/>
  <c r="BP107" i="1"/>
  <c r="BN107" i="1"/>
  <c r="Z107" i="1"/>
  <c r="Z111" i="1" s="1"/>
  <c r="Y111" i="1"/>
  <c r="BP115" i="1"/>
  <c r="BN115" i="1"/>
  <c r="Z115" i="1"/>
  <c r="Z118" i="1" s="1"/>
  <c r="Y128" i="1"/>
  <c r="BP132" i="1"/>
  <c r="BN132" i="1"/>
  <c r="Z132" i="1"/>
  <c r="Z133" i="1" s="1"/>
  <c r="Y134" i="1"/>
  <c r="Y139" i="1"/>
  <c r="BP136" i="1"/>
  <c r="BN136" i="1"/>
  <c r="Z136" i="1"/>
  <c r="Z138" i="1" s="1"/>
  <c r="Y144" i="1"/>
  <c r="BP149" i="1"/>
  <c r="BN149" i="1"/>
  <c r="Z149" i="1"/>
  <c r="BP167" i="1"/>
  <c r="BN167" i="1"/>
  <c r="Z167" i="1"/>
  <c r="BP171" i="1"/>
  <c r="BN171" i="1"/>
  <c r="Z171" i="1"/>
  <c r="BP175" i="1"/>
  <c r="BN175" i="1"/>
  <c r="Z175" i="1"/>
  <c r="Y179" i="1"/>
  <c r="Z185" i="1"/>
  <c r="BP183" i="1"/>
  <c r="BN183" i="1"/>
  <c r="Z183" i="1"/>
  <c r="Y201" i="1"/>
  <c r="Y212" i="1"/>
  <c r="BP203" i="1"/>
  <c r="BN203" i="1"/>
  <c r="Z203" i="1"/>
  <c r="BP207" i="1"/>
  <c r="BN207" i="1"/>
  <c r="Z207" i="1"/>
  <c r="Y211" i="1"/>
  <c r="BP215" i="1"/>
  <c r="BN215" i="1"/>
  <c r="Z215" i="1"/>
  <c r="BP219" i="1"/>
  <c r="BN219" i="1"/>
  <c r="Z219" i="1"/>
  <c r="Y223" i="1"/>
  <c r="BP227" i="1"/>
  <c r="BN227" i="1"/>
  <c r="Z227" i="1"/>
  <c r="Z228" i="1" s="1"/>
  <c r="Y229" i="1"/>
  <c r="K498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L498" i="1"/>
  <c r="Y266" i="1"/>
  <c r="BP261" i="1"/>
  <c r="BN261" i="1"/>
  <c r="Z261" i="1"/>
  <c r="BP265" i="1"/>
  <c r="BN265" i="1"/>
  <c r="Z265" i="1"/>
  <c r="Y267" i="1"/>
  <c r="M498" i="1"/>
  <c r="Y275" i="1"/>
  <c r="BP270" i="1"/>
  <c r="BN270" i="1"/>
  <c r="Z270" i="1"/>
  <c r="Y274" i="1"/>
  <c r="BP279" i="1"/>
  <c r="BN279" i="1"/>
  <c r="Z279" i="1"/>
  <c r="Y281" i="1"/>
  <c r="BP329" i="1"/>
  <c r="BN329" i="1"/>
  <c r="Z329" i="1"/>
  <c r="Y331" i="1"/>
  <c r="Y336" i="1"/>
  <c r="BP333" i="1"/>
  <c r="BN333" i="1"/>
  <c r="Z333" i="1"/>
  <c r="Y337" i="1"/>
  <c r="BP349" i="1"/>
  <c r="BN349" i="1"/>
  <c r="Z349" i="1"/>
  <c r="Y355" i="1"/>
  <c r="BP353" i="1"/>
  <c r="BN353" i="1"/>
  <c r="Z353" i="1"/>
  <c r="BP392" i="1"/>
  <c r="BN392" i="1"/>
  <c r="Z392" i="1"/>
  <c r="U498" i="1"/>
  <c r="BP396" i="1"/>
  <c r="BN396" i="1"/>
  <c r="Z396" i="1"/>
  <c r="Y400" i="1"/>
  <c r="BP404" i="1"/>
  <c r="BN404" i="1"/>
  <c r="Z404" i="1"/>
  <c r="Z405" i="1" s="1"/>
  <c r="Y406" i="1"/>
  <c r="V498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J498" i="1"/>
  <c r="Y195" i="1"/>
  <c r="BP199" i="1"/>
  <c r="BN199" i="1"/>
  <c r="BP205" i="1"/>
  <c r="BN205" i="1"/>
  <c r="Z205" i="1"/>
  <c r="BP209" i="1"/>
  <c r="BN209" i="1"/>
  <c r="Z209" i="1"/>
  <c r="Y224" i="1"/>
  <c r="BP217" i="1"/>
  <c r="BN217" i="1"/>
  <c r="Z217" i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Z292" i="1" s="1"/>
  <c r="Y302" i="1"/>
  <c r="BP299" i="1"/>
  <c r="BN299" i="1"/>
  <c r="Z299" i="1"/>
  <c r="Y310" i="1"/>
  <c r="BP307" i="1"/>
  <c r="BN307" i="1"/>
  <c r="Z307" i="1"/>
  <c r="BP315" i="1"/>
  <c r="BN315" i="1"/>
  <c r="Z315" i="1"/>
  <c r="Y324" i="1"/>
  <c r="BP327" i="1"/>
  <c r="BN327" i="1"/>
  <c r="Z327" i="1"/>
  <c r="BP335" i="1"/>
  <c r="BN335" i="1"/>
  <c r="Z335" i="1"/>
  <c r="R498" i="1"/>
  <c r="Y344" i="1"/>
  <c r="BP340" i="1"/>
  <c r="BN340" i="1"/>
  <c r="Z340" i="1"/>
  <c r="BP374" i="1"/>
  <c r="BN374" i="1"/>
  <c r="Z374" i="1"/>
  <c r="Z375" i="1" s="1"/>
  <c r="Y376" i="1"/>
  <c r="Y381" i="1"/>
  <c r="BP378" i="1"/>
  <c r="BN378" i="1"/>
  <c r="Z378" i="1"/>
  <c r="Y380" i="1"/>
  <c r="O498" i="1"/>
  <c r="Y282" i="1"/>
  <c r="P498" i="1"/>
  <c r="Y287" i="1"/>
  <c r="S498" i="1"/>
  <c r="BP351" i="1"/>
  <c r="BN351" i="1"/>
  <c r="Z351" i="1"/>
  <c r="BP359" i="1"/>
  <c r="BN359" i="1"/>
  <c r="Z359" i="1"/>
  <c r="Y361" i="1"/>
  <c r="Y366" i="1"/>
  <c r="BP363" i="1"/>
  <c r="BN363" i="1"/>
  <c r="Z363" i="1"/>
  <c r="Z365" i="1" s="1"/>
  <c r="BP384" i="1"/>
  <c r="BN384" i="1"/>
  <c r="Z384" i="1"/>
  <c r="Z386" i="1" s="1"/>
  <c r="Y401" i="1"/>
  <c r="BP394" i="1"/>
  <c r="BN394" i="1"/>
  <c r="Z394" i="1"/>
  <c r="BP398" i="1"/>
  <c r="BN398" i="1"/>
  <c r="Z398" i="1"/>
  <c r="Y405" i="1"/>
  <c r="BP415" i="1"/>
  <c r="BN415" i="1"/>
  <c r="Z415" i="1"/>
  <c r="BP462" i="1"/>
  <c r="BN462" i="1"/>
  <c r="Z462" i="1"/>
  <c r="Y464" i="1"/>
  <c r="Y469" i="1"/>
  <c r="BP466" i="1"/>
  <c r="BN466" i="1"/>
  <c r="Z466" i="1"/>
  <c r="Z468" i="1" s="1"/>
  <c r="Y468" i="1"/>
  <c r="Y498" i="1"/>
  <c r="Y356" i="1"/>
  <c r="T498" i="1"/>
  <c r="Y375" i="1"/>
  <c r="X498" i="1"/>
  <c r="BP430" i="1"/>
  <c r="BN430" i="1"/>
  <c r="Z430" i="1"/>
  <c r="BP434" i="1"/>
  <c r="BN434" i="1"/>
  <c r="Z434" i="1"/>
  <c r="BP438" i="1"/>
  <c r="BN438" i="1"/>
  <c r="Z438" i="1"/>
  <c r="Y445" i="1"/>
  <c r="BP442" i="1"/>
  <c r="BN442" i="1"/>
  <c r="Z442" i="1"/>
  <c r="BP450" i="1"/>
  <c r="BN450" i="1"/>
  <c r="Z450" i="1"/>
  <c r="BP460" i="1"/>
  <c r="BN460" i="1"/>
  <c r="Z460" i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Y439" i="1"/>
  <c r="Z463" i="1" l="1"/>
  <c r="Z445" i="1"/>
  <c r="Z400" i="1"/>
  <c r="Z360" i="1"/>
  <c r="Z380" i="1"/>
  <c r="Z343" i="1"/>
  <c r="Z330" i="1"/>
  <c r="Z43" i="1"/>
  <c r="Z24" i="1"/>
  <c r="Z301" i="1"/>
  <c r="Z68" i="1"/>
  <c r="Z281" i="1"/>
  <c r="Z439" i="1"/>
  <c r="Z355" i="1"/>
  <c r="Z274" i="1"/>
  <c r="Z257" i="1"/>
  <c r="Z223" i="1"/>
  <c r="Y489" i="1"/>
  <c r="Y491" i="1" s="1"/>
  <c r="Y490" i="1"/>
  <c r="Z31" i="1"/>
  <c r="X491" i="1"/>
  <c r="Z323" i="1"/>
  <c r="Z310" i="1"/>
  <c r="Z152" i="1"/>
  <c r="Z95" i="1"/>
  <c r="Z80" i="1"/>
  <c r="Z454" i="1"/>
  <c r="Z417" i="1"/>
  <c r="Z211" i="1"/>
  <c r="Y492" i="1"/>
  <c r="Z88" i="1"/>
  <c r="Z75" i="1"/>
  <c r="Y488" i="1"/>
  <c r="Z336" i="1"/>
  <c r="Z266" i="1"/>
  <c r="Z241" i="1"/>
  <c r="Z317" i="1"/>
  <c r="Z179" i="1"/>
  <c r="Z493" i="1" l="1"/>
</calcChain>
</file>

<file path=xl/sharedStrings.xml><?xml version="1.0" encoding="utf-8"?>
<sst xmlns="http://schemas.openxmlformats.org/spreadsheetml/2006/main" count="2256" uniqueCount="768">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</sst>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6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4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0" fillId="0" borderId="44" xfId="0" applyBorder="1" applyProtection="1">
      <protection hidden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3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554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33" t="s">
        <v>0</v>
      </c>
      <c r="E1" s="580"/>
      <c r="F1" s="580"/>
      <c r="G1" s="12" t="s">
        <v>1</v>
      </c>
      <c r="H1" s="633" t="s">
        <v>2</v>
      </c>
      <c r="I1" s="580"/>
      <c r="J1" s="580"/>
      <c r="K1" s="580"/>
      <c r="L1" s="580"/>
      <c r="M1" s="580"/>
      <c r="N1" s="580"/>
      <c r="O1" s="580"/>
      <c r="P1" s="580"/>
      <c r="Q1" s="580"/>
      <c r="R1" s="579" t="s">
        <v>3</v>
      </c>
      <c r="S1" s="580"/>
      <c r="T1" s="58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5" t="s">
        <v>8</v>
      </c>
      <c r="B5" s="654"/>
      <c r="C5" s="655"/>
      <c r="D5" s="634"/>
      <c r="E5" s="635"/>
      <c r="F5" s="831" t="s">
        <v>9</v>
      </c>
      <c r="G5" s="655"/>
      <c r="H5" s="634" t="s">
        <v>767</v>
      </c>
      <c r="I5" s="781"/>
      <c r="J5" s="781"/>
      <c r="K5" s="781"/>
      <c r="L5" s="781"/>
      <c r="M5" s="635"/>
      <c r="N5" s="58"/>
      <c r="P5" s="24" t="s">
        <v>10</v>
      </c>
      <c r="Q5" s="834">
        <v>46053</v>
      </c>
      <c r="R5" s="671"/>
      <c r="T5" s="720" t="s">
        <v>11</v>
      </c>
      <c r="U5" s="721"/>
      <c r="V5" s="722" t="s">
        <v>12</v>
      </c>
      <c r="W5" s="671"/>
      <c r="AB5" s="51"/>
      <c r="AC5" s="51"/>
      <c r="AD5" s="51"/>
      <c r="AE5" s="51"/>
    </row>
    <row r="6" spans="1:32" s="539" customFormat="1" ht="24" customHeight="1" x14ac:dyDescent="0.2">
      <c r="A6" s="675" t="s">
        <v>13</v>
      </c>
      <c r="B6" s="654"/>
      <c r="C6" s="655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71"/>
      <c r="N6" s="59"/>
      <c r="P6" s="24" t="s">
        <v>15</v>
      </c>
      <c r="Q6" s="825" t="str">
        <f>IF(Q5=0," ",CHOOSE(WEEKDAY(Q5,2),"Понедельник","Вторник","Среда","Четверг","Пятница","Суббота","Воскресенье"))</f>
        <v>Суббота</v>
      </c>
      <c r="R6" s="553"/>
      <c r="T6" s="725" t="s">
        <v>16</v>
      </c>
      <c r="U6" s="721"/>
      <c r="V6" s="766" t="s">
        <v>17</v>
      </c>
      <c r="W6" s="623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587" t="str">
        <f>IFERROR(VLOOKUP(DeliveryAddress,Table,3,0),1)</f>
        <v>1</v>
      </c>
      <c r="E7" s="588"/>
      <c r="F7" s="588"/>
      <c r="G7" s="588"/>
      <c r="H7" s="588"/>
      <c r="I7" s="588"/>
      <c r="J7" s="588"/>
      <c r="K7" s="588"/>
      <c r="L7" s="588"/>
      <c r="M7" s="589"/>
      <c r="N7" s="60"/>
      <c r="P7" s="24"/>
      <c r="Q7" s="42"/>
      <c r="R7" s="42"/>
      <c r="T7" s="559"/>
      <c r="U7" s="721"/>
      <c r="V7" s="767"/>
      <c r="W7" s="768"/>
      <c r="AB7" s="51"/>
      <c r="AC7" s="51"/>
      <c r="AD7" s="51"/>
      <c r="AE7" s="51"/>
    </row>
    <row r="8" spans="1:32" s="539" customFormat="1" ht="25.5" customHeight="1" x14ac:dyDescent="0.2">
      <c r="A8" s="855" t="s">
        <v>18</v>
      </c>
      <c r="B8" s="568"/>
      <c r="C8" s="569"/>
      <c r="D8" s="590" t="s">
        <v>19</v>
      </c>
      <c r="E8" s="591"/>
      <c r="F8" s="591"/>
      <c r="G8" s="591"/>
      <c r="H8" s="591"/>
      <c r="I8" s="591"/>
      <c r="J8" s="591"/>
      <c r="K8" s="591"/>
      <c r="L8" s="591"/>
      <c r="M8" s="592"/>
      <c r="N8" s="61"/>
      <c r="P8" s="24" t="s">
        <v>20</v>
      </c>
      <c r="Q8" s="685">
        <v>0.45833333333333331</v>
      </c>
      <c r="R8" s="589"/>
      <c r="T8" s="559"/>
      <c r="U8" s="721"/>
      <c r="V8" s="767"/>
      <c r="W8" s="768"/>
      <c r="AB8" s="51"/>
      <c r="AC8" s="51"/>
      <c r="AD8" s="51"/>
      <c r="AE8" s="51"/>
    </row>
    <row r="9" spans="1:32" s="539" customFormat="1" ht="39.950000000000003" customHeight="1" x14ac:dyDescent="0.2">
      <c r="A9" s="6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6"/>
      <c r="E9" s="572"/>
      <c r="F9" s="6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71" t="str">
        <f>IF(AND($A$9="Тип доверенности/получателя при получении в адресе перегруза:",$D$9="Разовая доверенность"),"Введите ФИО","")</f>
        <v/>
      </c>
      <c r="I9" s="572"/>
      <c r="J9" s="5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2"/>
      <c r="L9" s="572"/>
      <c r="M9" s="572"/>
      <c r="N9" s="537"/>
      <c r="P9" s="26" t="s">
        <v>21</v>
      </c>
      <c r="Q9" s="666"/>
      <c r="R9" s="667"/>
      <c r="T9" s="559"/>
      <c r="U9" s="721"/>
      <c r="V9" s="769"/>
      <c r="W9" s="770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6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6"/>
      <c r="E10" s="572"/>
      <c r="F10" s="6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8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6"/>
      <c r="R10" s="727"/>
      <c r="U10" s="24" t="s">
        <v>23</v>
      </c>
      <c r="V10" s="622" t="s">
        <v>24</v>
      </c>
      <c r="W10" s="623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0"/>
      <c r="R11" s="671"/>
      <c r="U11" s="24" t="s">
        <v>27</v>
      </c>
      <c r="V11" s="808" t="s">
        <v>28</v>
      </c>
      <c r="W11" s="667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6" t="s">
        <v>29</v>
      </c>
      <c r="B12" s="654"/>
      <c r="C12" s="654"/>
      <c r="D12" s="654"/>
      <c r="E12" s="654"/>
      <c r="F12" s="654"/>
      <c r="G12" s="654"/>
      <c r="H12" s="654"/>
      <c r="I12" s="654"/>
      <c r="J12" s="654"/>
      <c r="K12" s="654"/>
      <c r="L12" s="654"/>
      <c r="M12" s="655"/>
      <c r="N12" s="62"/>
      <c r="P12" s="24" t="s">
        <v>30</v>
      </c>
      <c r="Q12" s="685"/>
      <c r="R12" s="589"/>
      <c r="S12" s="23"/>
      <c r="U12" s="24"/>
      <c r="V12" s="580"/>
      <c r="W12" s="559"/>
      <c r="AB12" s="51"/>
      <c r="AC12" s="51"/>
      <c r="AD12" s="51"/>
      <c r="AE12" s="51"/>
    </row>
    <row r="13" spans="1:32" s="539" customFormat="1" ht="23.25" customHeight="1" x14ac:dyDescent="0.2">
      <c r="A13" s="716" t="s">
        <v>31</v>
      </c>
      <c r="B13" s="654"/>
      <c r="C13" s="654"/>
      <c r="D13" s="654"/>
      <c r="E13" s="654"/>
      <c r="F13" s="654"/>
      <c r="G13" s="654"/>
      <c r="H13" s="654"/>
      <c r="I13" s="654"/>
      <c r="J13" s="654"/>
      <c r="K13" s="654"/>
      <c r="L13" s="654"/>
      <c r="M13" s="655"/>
      <c r="N13" s="62"/>
      <c r="O13" s="26"/>
      <c r="P13" s="26" t="s">
        <v>32</v>
      </c>
      <c r="Q13" s="808"/>
      <c r="R13" s="66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6" t="s">
        <v>33</v>
      </c>
      <c r="B14" s="654"/>
      <c r="C14" s="654"/>
      <c r="D14" s="654"/>
      <c r="E14" s="654"/>
      <c r="F14" s="654"/>
      <c r="G14" s="654"/>
      <c r="H14" s="654"/>
      <c r="I14" s="654"/>
      <c r="J14" s="654"/>
      <c r="K14" s="654"/>
      <c r="L14" s="654"/>
      <c r="M14" s="65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1" t="s">
        <v>34</v>
      </c>
      <c r="B15" s="654"/>
      <c r="C15" s="654"/>
      <c r="D15" s="654"/>
      <c r="E15" s="654"/>
      <c r="F15" s="654"/>
      <c r="G15" s="654"/>
      <c r="H15" s="654"/>
      <c r="I15" s="654"/>
      <c r="J15" s="654"/>
      <c r="K15" s="654"/>
      <c r="L15" s="654"/>
      <c r="M15" s="655"/>
      <c r="N15" s="63"/>
      <c r="P15" s="704" t="s">
        <v>35</v>
      </c>
      <c r="Q15" s="580"/>
      <c r="R15" s="580"/>
      <c r="S15" s="580"/>
      <c r="T15" s="58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5"/>
      <c r="Q16" s="705"/>
      <c r="R16" s="705"/>
      <c r="S16" s="705"/>
      <c r="T16" s="7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1" t="s">
        <v>38</v>
      </c>
      <c r="D17" s="596" t="s">
        <v>39</v>
      </c>
      <c r="E17" s="659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58"/>
      <c r="R17" s="658"/>
      <c r="S17" s="658"/>
      <c r="T17" s="659"/>
      <c r="U17" s="862" t="s">
        <v>51</v>
      </c>
      <c r="V17" s="655"/>
      <c r="W17" s="596" t="s">
        <v>52</v>
      </c>
      <c r="X17" s="596" t="s">
        <v>53</v>
      </c>
      <c r="Y17" s="863" t="s">
        <v>54</v>
      </c>
      <c r="Z17" s="779" t="s">
        <v>55</v>
      </c>
      <c r="AA17" s="751" t="s">
        <v>56</v>
      </c>
      <c r="AB17" s="751" t="s">
        <v>57</v>
      </c>
      <c r="AC17" s="751" t="s">
        <v>58</v>
      </c>
      <c r="AD17" s="751" t="s">
        <v>59</v>
      </c>
      <c r="AE17" s="826"/>
      <c r="AF17" s="827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0"/>
      <c r="E18" s="662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0"/>
      <c r="Q18" s="661"/>
      <c r="R18" s="661"/>
      <c r="S18" s="661"/>
      <c r="T18" s="662"/>
      <c r="U18" s="67" t="s">
        <v>61</v>
      </c>
      <c r="V18" s="67" t="s">
        <v>62</v>
      </c>
      <c r="W18" s="597"/>
      <c r="X18" s="597"/>
      <c r="Y18" s="864"/>
      <c r="Z18" s="780"/>
      <c r="AA18" s="752"/>
      <c r="AB18" s="752"/>
      <c r="AC18" s="752"/>
      <c r="AD18" s="828"/>
      <c r="AE18" s="829"/>
      <c r="AF18" s="830"/>
      <c r="AG18" s="66"/>
      <c r="BD18" s="65"/>
    </row>
    <row r="19" spans="1:68" ht="27.75" hidden="1" customHeight="1" x14ac:dyDescent="0.2">
      <c r="A19" s="647" t="s">
        <v>63</v>
      </c>
      <c r="B19" s="648"/>
      <c r="C19" s="648"/>
      <c r="D19" s="648"/>
      <c r="E19" s="648"/>
      <c r="F19" s="648"/>
      <c r="G19" s="648"/>
      <c r="H19" s="648"/>
      <c r="I19" s="648"/>
      <c r="J19" s="648"/>
      <c r="K19" s="648"/>
      <c r="L19" s="648"/>
      <c r="M19" s="648"/>
      <c r="N19" s="648"/>
      <c r="O19" s="648"/>
      <c r="P19" s="648"/>
      <c r="Q19" s="648"/>
      <c r="R19" s="648"/>
      <c r="S19" s="648"/>
      <c r="T19" s="648"/>
      <c r="U19" s="648"/>
      <c r="V19" s="648"/>
      <c r="W19" s="648"/>
      <c r="X19" s="648"/>
      <c r="Y19" s="648"/>
      <c r="Z19" s="648"/>
      <c r="AA19" s="48"/>
      <c r="AB19" s="48"/>
      <c r="AC19" s="48"/>
    </row>
    <row r="20" spans="1:68" ht="16.5" hidden="1" customHeight="1" x14ac:dyDescent="0.25">
      <c r="A20" s="560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2">
        <v>4680115887510</v>
      </c>
      <c r="E22" s="553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2">
        <v>4680115886643</v>
      </c>
      <c r="E23" s="553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0"/>
      <c r="R23" s="550"/>
      <c r="S23" s="550"/>
      <c r="T23" s="551"/>
      <c r="U23" s="34"/>
      <c r="V23" s="34"/>
      <c r="W23" s="35" t="s">
        <v>69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1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62"/>
      <c r="P24" s="567" t="s">
        <v>75</v>
      </c>
      <c r="Q24" s="568"/>
      <c r="R24" s="568"/>
      <c r="S24" s="568"/>
      <c r="T24" s="568"/>
      <c r="U24" s="568"/>
      <c r="V24" s="569"/>
      <c r="W24" s="37" t="s">
        <v>76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62"/>
      <c r="P25" s="567" t="s">
        <v>75</v>
      </c>
      <c r="Q25" s="568"/>
      <c r="R25" s="568"/>
      <c r="S25" s="568"/>
      <c r="T25" s="568"/>
      <c r="U25" s="568"/>
      <c r="V25" s="569"/>
      <c r="W25" s="37" t="s">
        <v>69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8" t="s">
        <v>77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2">
        <v>4680115885912</v>
      </c>
      <c r="E27" s="553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4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0"/>
      <c r="R27" s="550"/>
      <c r="S27" s="550"/>
      <c r="T27" s="551"/>
      <c r="U27" s="34"/>
      <c r="V27" s="34"/>
      <c r="W27" s="35" t="s">
        <v>69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2">
        <v>4607091388237</v>
      </c>
      <c r="E28" s="553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0"/>
      <c r="R28" s="550"/>
      <c r="S28" s="550"/>
      <c r="T28" s="551"/>
      <c r="U28" s="34"/>
      <c r="V28" s="34"/>
      <c r="W28" s="35" t="s">
        <v>69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2">
        <v>4680115887350</v>
      </c>
      <c r="E29" s="553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2">
        <v>4680115885905</v>
      </c>
      <c r="E30" s="553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0"/>
      <c r="R30" s="550"/>
      <c r="S30" s="550"/>
      <c r="T30" s="551"/>
      <c r="U30" s="34"/>
      <c r="V30" s="34"/>
      <c r="W30" s="35" t="s">
        <v>69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1"/>
      <c r="B31" s="559"/>
      <c r="C31" s="559"/>
      <c r="D31" s="559"/>
      <c r="E31" s="559"/>
      <c r="F31" s="559"/>
      <c r="G31" s="559"/>
      <c r="H31" s="559"/>
      <c r="I31" s="559"/>
      <c r="J31" s="559"/>
      <c r="K31" s="559"/>
      <c r="L31" s="559"/>
      <c r="M31" s="559"/>
      <c r="N31" s="559"/>
      <c r="O31" s="562"/>
      <c r="P31" s="567" t="s">
        <v>75</v>
      </c>
      <c r="Q31" s="568"/>
      <c r="R31" s="568"/>
      <c r="S31" s="568"/>
      <c r="T31" s="568"/>
      <c r="U31" s="568"/>
      <c r="V31" s="569"/>
      <c r="W31" s="37" t="s">
        <v>76</v>
      </c>
      <c r="X31" s="547">
        <f>IFERROR(X27/H27,"0")+IFERROR(X28/H28,"0")+IFERROR(X29/H29,"0")+IFERROR(X30/H30,"0")</f>
        <v>0</v>
      </c>
      <c r="Y31" s="547">
        <f>IFERROR(Y27/H27,"0")+IFERROR(Y28/H28,"0")+IFERROR(Y29/H29,"0")+IFERROR(Y30/H30,"0")</f>
        <v>0</v>
      </c>
      <c r="Z31" s="547">
        <f>IFERROR(IF(Z27="",0,Z27),"0")+IFERROR(IF(Z28="",0,Z28),"0")+IFERROR(IF(Z29="",0,Z29),"0")+IFERROR(IF(Z30="",0,Z30),"0")</f>
        <v>0</v>
      </c>
      <c r="AA31" s="548"/>
      <c r="AB31" s="548"/>
      <c r="AC31" s="548"/>
    </row>
    <row r="32" spans="1:68" hidden="1" x14ac:dyDescent="0.2">
      <c r="A32" s="559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62"/>
      <c r="P32" s="567" t="s">
        <v>75</v>
      </c>
      <c r="Q32" s="568"/>
      <c r="R32" s="568"/>
      <c r="S32" s="568"/>
      <c r="T32" s="568"/>
      <c r="U32" s="568"/>
      <c r="V32" s="569"/>
      <c r="W32" s="37" t="s">
        <v>69</v>
      </c>
      <c r="X32" s="547">
        <f>IFERROR(SUM(X27:X30),"0")</f>
        <v>0</v>
      </c>
      <c r="Y32" s="547">
        <f>IFERROR(SUM(Y27:Y30),"0")</f>
        <v>0</v>
      </c>
      <c r="Z32" s="37"/>
      <c r="AA32" s="548"/>
      <c r="AB32" s="548"/>
      <c r="AC32" s="548"/>
    </row>
    <row r="33" spans="1:68" ht="14.25" hidden="1" customHeight="1" x14ac:dyDescent="0.25">
      <c r="A33" s="558" t="s">
        <v>91</v>
      </c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59"/>
      <c r="P33" s="559"/>
      <c r="Q33" s="559"/>
      <c r="R33" s="559"/>
      <c r="S33" s="559"/>
      <c r="T33" s="559"/>
      <c r="U33" s="559"/>
      <c r="V33" s="559"/>
      <c r="W33" s="559"/>
      <c r="X33" s="559"/>
      <c r="Y33" s="559"/>
      <c r="Z33" s="559"/>
      <c r="AA33" s="541"/>
      <c r="AB33" s="541"/>
      <c r="AC33" s="541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2">
        <v>4607091388503</v>
      </c>
      <c r="E34" s="553"/>
      <c r="F34" s="544">
        <v>0.05</v>
      </c>
      <c r="G34" s="32">
        <v>12</v>
      </c>
      <c r="H34" s="544">
        <v>0.6</v>
      </c>
      <c r="I34" s="544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76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5">
        <v>0</v>
      </c>
      <c r="Y34" s="546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1"/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59"/>
      <c r="N35" s="559"/>
      <c r="O35" s="562"/>
      <c r="P35" s="567" t="s">
        <v>75</v>
      </c>
      <c r="Q35" s="568"/>
      <c r="R35" s="568"/>
      <c r="S35" s="568"/>
      <c r="T35" s="568"/>
      <c r="U35" s="568"/>
      <c r="V35" s="569"/>
      <c r="W35" s="37" t="s">
        <v>76</v>
      </c>
      <c r="X35" s="547">
        <f>IFERROR(X34/H34,"0")</f>
        <v>0</v>
      </c>
      <c r="Y35" s="547">
        <f>IFERROR(Y34/H34,"0")</f>
        <v>0</v>
      </c>
      <c r="Z35" s="547">
        <f>IFERROR(IF(Z34="",0,Z34),"0")</f>
        <v>0</v>
      </c>
      <c r="AA35" s="548"/>
      <c r="AB35" s="548"/>
      <c r="AC35" s="548"/>
    </row>
    <row r="36" spans="1:68" hidden="1" x14ac:dyDescent="0.2">
      <c r="A36" s="559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62"/>
      <c r="P36" s="567" t="s">
        <v>75</v>
      </c>
      <c r="Q36" s="568"/>
      <c r="R36" s="568"/>
      <c r="S36" s="568"/>
      <c r="T36" s="568"/>
      <c r="U36" s="568"/>
      <c r="V36" s="569"/>
      <c r="W36" s="37" t="s">
        <v>69</v>
      </c>
      <c r="X36" s="547">
        <f>IFERROR(SUM(X34:X34),"0")</f>
        <v>0</v>
      </c>
      <c r="Y36" s="547">
        <f>IFERROR(SUM(Y34:Y34),"0")</f>
        <v>0</v>
      </c>
      <c r="Z36" s="37"/>
      <c r="AA36" s="548"/>
      <c r="AB36" s="548"/>
      <c r="AC36" s="548"/>
    </row>
    <row r="37" spans="1:68" ht="27.75" hidden="1" customHeight="1" x14ac:dyDescent="0.2">
      <c r="A37" s="647" t="s">
        <v>97</v>
      </c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O37" s="648"/>
      <c r="P37" s="648"/>
      <c r="Q37" s="648"/>
      <c r="R37" s="648"/>
      <c r="S37" s="648"/>
      <c r="T37" s="648"/>
      <c r="U37" s="648"/>
      <c r="V37" s="648"/>
      <c r="W37" s="648"/>
      <c r="X37" s="648"/>
      <c r="Y37" s="648"/>
      <c r="Z37" s="648"/>
      <c r="AA37" s="48"/>
      <c r="AB37" s="48"/>
      <c r="AC37" s="48"/>
    </row>
    <row r="38" spans="1:68" ht="16.5" hidden="1" customHeight="1" x14ac:dyDescent="0.25">
      <c r="A38" s="560" t="s">
        <v>98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59"/>
      <c r="N38" s="559"/>
      <c r="O38" s="559"/>
      <c r="P38" s="559"/>
      <c r="Q38" s="559"/>
      <c r="R38" s="559"/>
      <c r="S38" s="559"/>
      <c r="T38" s="559"/>
      <c r="U38" s="559"/>
      <c r="V38" s="559"/>
      <c r="W38" s="559"/>
      <c r="X38" s="559"/>
      <c r="Y38" s="559"/>
      <c r="Z38" s="559"/>
      <c r="AA38" s="540"/>
      <c r="AB38" s="540"/>
      <c r="AC38" s="540"/>
    </row>
    <row r="39" spans="1:68" ht="14.25" hidden="1" customHeight="1" x14ac:dyDescent="0.25">
      <c r="A39" s="558" t="s">
        <v>99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1"/>
      <c r="AB39" s="541"/>
      <c r="AC39" s="541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2">
        <v>4607091385670</v>
      </c>
      <c r="E40" s="553"/>
      <c r="F40" s="544">
        <v>1.35</v>
      </c>
      <c r="G40" s="32">
        <v>8</v>
      </c>
      <c r="H40" s="544">
        <v>10.8</v>
      </c>
      <c r="I40" s="544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7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5">
        <v>200</v>
      </c>
      <c r="Y40" s="546">
        <f>IFERROR(IF(X40="",0,CEILING((X40/$H40),1)*$H40),"")</f>
        <v>205.20000000000002</v>
      </c>
      <c r="Z40" s="36">
        <f>IFERROR(IF(Y40=0,"",ROUNDUP(Y40/H40,0)*0.01898),"")</f>
        <v>0.36062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207.59259259259258</v>
      </c>
      <c r="BN40" s="64">
        <f>IFERROR(Y40*I40/H40,"0")</f>
        <v>212.99</v>
      </c>
      <c r="BO40" s="64">
        <f>IFERROR(1/J40*(X40/H40),"0")</f>
        <v>0.28935185185185186</v>
      </c>
      <c r="BP40" s="64">
        <f>IFERROR(1/J40*(Y40/H40),"0")</f>
        <v>0.296875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52">
        <v>4607091385687</v>
      </c>
      <c r="E41" s="553"/>
      <c r="F41" s="544">
        <v>0.4</v>
      </c>
      <c r="G41" s="32">
        <v>10</v>
      </c>
      <c r="H41" s="544">
        <v>4</v>
      </c>
      <c r="I41" s="544">
        <v>4.1900000000000004</v>
      </c>
      <c r="J41" s="32">
        <v>132</v>
      </c>
      <c r="K41" s="32" t="s">
        <v>109</v>
      </c>
      <c r="L41" s="32"/>
      <c r="M41" s="33" t="s">
        <v>80</v>
      </c>
      <c r="N41" s="33"/>
      <c r="O41" s="32">
        <v>50</v>
      </c>
      <c r="P41" s="81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5">
        <v>0</v>
      </c>
      <c r="Y41" s="546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52">
        <v>4680115882539</v>
      </c>
      <c r="E42" s="553"/>
      <c r="F42" s="544">
        <v>0.37</v>
      </c>
      <c r="G42" s="32">
        <v>10</v>
      </c>
      <c r="H42" s="544">
        <v>3.7</v>
      </c>
      <c r="I42" s="544">
        <v>3.89</v>
      </c>
      <c r="J42" s="32">
        <v>132</v>
      </c>
      <c r="K42" s="32" t="s">
        <v>109</v>
      </c>
      <c r="L42" s="32" t="s">
        <v>112</v>
      </c>
      <c r="M42" s="33" t="s">
        <v>80</v>
      </c>
      <c r="N42" s="33"/>
      <c r="O42" s="32">
        <v>50</v>
      </c>
      <c r="P42" s="64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5">
        <v>0</v>
      </c>
      <c r="Y42" s="54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1"/>
      <c r="B43" s="559"/>
      <c r="C43" s="559"/>
      <c r="D43" s="559"/>
      <c r="E43" s="559"/>
      <c r="F43" s="559"/>
      <c r="G43" s="559"/>
      <c r="H43" s="559"/>
      <c r="I43" s="559"/>
      <c r="J43" s="559"/>
      <c r="K43" s="559"/>
      <c r="L43" s="559"/>
      <c r="M43" s="559"/>
      <c r="N43" s="559"/>
      <c r="O43" s="562"/>
      <c r="P43" s="567" t="s">
        <v>75</v>
      </c>
      <c r="Q43" s="568"/>
      <c r="R43" s="568"/>
      <c r="S43" s="568"/>
      <c r="T43" s="568"/>
      <c r="U43" s="568"/>
      <c r="V43" s="569"/>
      <c r="W43" s="37" t="s">
        <v>76</v>
      </c>
      <c r="X43" s="547">
        <f>IFERROR(X40/H40,"0")+IFERROR(X41/H41,"0")+IFERROR(X42/H42,"0")</f>
        <v>18.518518518518519</v>
      </c>
      <c r="Y43" s="547">
        <f>IFERROR(Y40/H40,"0")+IFERROR(Y41/H41,"0")+IFERROR(Y42/H42,"0")</f>
        <v>19</v>
      </c>
      <c r="Z43" s="547">
        <f>IFERROR(IF(Z40="",0,Z40),"0")+IFERROR(IF(Z41="",0,Z41),"0")+IFERROR(IF(Z42="",0,Z42),"0")</f>
        <v>0.36062</v>
      </c>
      <c r="AA43" s="548"/>
      <c r="AB43" s="548"/>
      <c r="AC43" s="548"/>
    </row>
    <row r="44" spans="1:68" x14ac:dyDescent="0.2">
      <c r="A44" s="559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62"/>
      <c r="P44" s="567" t="s">
        <v>75</v>
      </c>
      <c r="Q44" s="568"/>
      <c r="R44" s="568"/>
      <c r="S44" s="568"/>
      <c r="T44" s="568"/>
      <c r="U44" s="568"/>
      <c r="V44" s="569"/>
      <c r="W44" s="37" t="s">
        <v>69</v>
      </c>
      <c r="X44" s="547">
        <f>IFERROR(SUM(X40:X42),"0")</f>
        <v>200</v>
      </c>
      <c r="Y44" s="547">
        <f>IFERROR(SUM(Y40:Y42),"0")</f>
        <v>205.20000000000002</v>
      </c>
      <c r="Z44" s="37"/>
      <c r="AA44" s="548"/>
      <c r="AB44" s="548"/>
      <c r="AC44" s="548"/>
    </row>
    <row r="45" spans="1:68" ht="14.25" hidden="1" customHeight="1" x14ac:dyDescent="0.25">
      <c r="A45" s="558" t="s">
        <v>77</v>
      </c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59"/>
      <c r="P45" s="559"/>
      <c r="Q45" s="559"/>
      <c r="R45" s="559"/>
      <c r="S45" s="559"/>
      <c r="T45" s="559"/>
      <c r="U45" s="559"/>
      <c r="V45" s="559"/>
      <c r="W45" s="559"/>
      <c r="X45" s="559"/>
      <c r="Y45" s="559"/>
      <c r="Z45" s="559"/>
      <c r="AA45" s="541"/>
      <c r="AB45" s="541"/>
      <c r="AC45" s="541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52">
        <v>4680115884915</v>
      </c>
      <c r="E46" s="553"/>
      <c r="F46" s="544">
        <v>0.3</v>
      </c>
      <c r="G46" s="32">
        <v>6</v>
      </c>
      <c r="H46" s="544">
        <v>1.8</v>
      </c>
      <c r="I46" s="544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79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5">
        <v>0</v>
      </c>
      <c r="Y46" s="546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1"/>
      <c r="B47" s="559"/>
      <c r="C47" s="559"/>
      <c r="D47" s="559"/>
      <c r="E47" s="559"/>
      <c r="F47" s="559"/>
      <c r="G47" s="559"/>
      <c r="H47" s="559"/>
      <c r="I47" s="559"/>
      <c r="J47" s="559"/>
      <c r="K47" s="559"/>
      <c r="L47" s="559"/>
      <c r="M47" s="559"/>
      <c r="N47" s="559"/>
      <c r="O47" s="562"/>
      <c r="P47" s="567" t="s">
        <v>75</v>
      </c>
      <c r="Q47" s="568"/>
      <c r="R47" s="568"/>
      <c r="S47" s="568"/>
      <c r="T47" s="568"/>
      <c r="U47" s="568"/>
      <c r="V47" s="569"/>
      <c r="W47" s="37" t="s">
        <v>76</v>
      </c>
      <c r="X47" s="547">
        <f>IFERROR(X46/H46,"0")</f>
        <v>0</v>
      </c>
      <c r="Y47" s="547">
        <f>IFERROR(Y46/H46,"0")</f>
        <v>0</v>
      </c>
      <c r="Z47" s="547">
        <f>IFERROR(IF(Z46="",0,Z46),"0")</f>
        <v>0</v>
      </c>
      <c r="AA47" s="548"/>
      <c r="AB47" s="548"/>
      <c r="AC47" s="548"/>
    </row>
    <row r="48" spans="1:68" hidden="1" x14ac:dyDescent="0.2">
      <c r="A48" s="559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62"/>
      <c r="P48" s="567" t="s">
        <v>75</v>
      </c>
      <c r="Q48" s="568"/>
      <c r="R48" s="568"/>
      <c r="S48" s="568"/>
      <c r="T48" s="568"/>
      <c r="U48" s="568"/>
      <c r="V48" s="569"/>
      <c r="W48" s="37" t="s">
        <v>69</v>
      </c>
      <c r="X48" s="547">
        <f>IFERROR(SUM(X46:X46),"0")</f>
        <v>0</v>
      </c>
      <c r="Y48" s="547">
        <f>IFERROR(SUM(Y46:Y46),"0")</f>
        <v>0</v>
      </c>
      <c r="Z48" s="37"/>
      <c r="AA48" s="548"/>
      <c r="AB48" s="548"/>
      <c r="AC48" s="548"/>
    </row>
    <row r="49" spans="1:68" ht="16.5" hidden="1" customHeight="1" x14ac:dyDescent="0.25">
      <c r="A49" s="560" t="s">
        <v>116</v>
      </c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59"/>
      <c r="P49" s="559"/>
      <c r="Q49" s="559"/>
      <c r="R49" s="559"/>
      <c r="S49" s="559"/>
      <c r="T49" s="559"/>
      <c r="U49" s="559"/>
      <c r="V49" s="559"/>
      <c r="W49" s="559"/>
      <c r="X49" s="559"/>
      <c r="Y49" s="559"/>
      <c r="Z49" s="559"/>
      <c r="AA49" s="540"/>
      <c r="AB49" s="540"/>
      <c r="AC49" s="540"/>
    </row>
    <row r="50" spans="1:68" ht="14.25" hidden="1" customHeight="1" x14ac:dyDescent="0.25">
      <c r="A50" s="558" t="s">
        <v>99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1"/>
      <c r="AB50" s="541"/>
      <c r="AC50" s="541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52">
        <v>4680115885882</v>
      </c>
      <c r="E51" s="553"/>
      <c r="F51" s="544">
        <v>1.4</v>
      </c>
      <c r="G51" s="32">
        <v>8</v>
      </c>
      <c r="H51" s="544">
        <v>11.2</v>
      </c>
      <c r="I51" s="544">
        <v>11.61</v>
      </c>
      <c r="J51" s="32">
        <v>64</v>
      </c>
      <c r="K51" s="32" t="s">
        <v>102</v>
      </c>
      <c r="L51" s="32" t="s">
        <v>103</v>
      </c>
      <c r="M51" s="33" t="s">
        <v>80</v>
      </c>
      <c r="N51" s="33"/>
      <c r="O51" s="32">
        <v>50</v>
      </c>
      <c r="P51" s="75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5">
        <v>0</v>
      </c>
      <c r="Y51" s="546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52">
        <v>4680115881426</v>
      </c>
      <c r="E52" s="553"/>
      <c r="F52" s="544">
        <v>1.35</v>
      </c>
      <c r="G52" s="32">
        <v>8</v>
      </c>
      <c r="H52" s="544">
        <v>10.8</v>
      </c>
      <c r="I52" s="544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59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5">
        <v>0</v>
      </c>
      <c r="Y52" s="546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52">
        <v>4680115880283</v>
      </c>
      <c r="E53" s="553"/>
      <c r="F53" s="544">
        <v>0.6</v>
      </c>
      <c r="G53" s="32">
        <v>8</v>
      </c>
      <c r="H53" s="544">
        <v>4.8</v>
      </c>
      <c r="I53" s="544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9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5">
        <v>0</v>
      </c>
      <c r="Y53" s="546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4301011806</v>
      </c>
      <c r="D54" s="552">
        <v>4680115881525</v>
      </c>
      <c r="E54" s="553"/>
      <c r="F54" s="544">
        <v>0.4</v>
      </c>
      <c r="G54" s="32">
        <v>10</v>
      </c>
      <c r="H54" s="544">
        <v>4</v>
      </c>
      <c r="I54" s="544">
        <v>4.1900000000000004</v>
      </c>
      <c r="J54" s="32">
        <v>132</v>
      </c>
      <c r="K54" s="32" t="s">
        <v>109</v>
      </c>
      <c r="L54" s="32" t="s">
        <v>112</v>
      </c>
      <c r="M54" s="33" t="s">
        <v>104</v>
      </c>
      <c r="N54" s="33"/>
      <c r="O54" s="32">
        <v>50</v>
      </c>
      <c r="P54" s="8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52">
        <v>4680115885899</v>
      </c>
      <c r="E55" s="553"/>
      <c r="F55" s="544">
        <v>0.35</v>
      </c>
      <c r="G55" s="32">
        <v>6</v>
      </c>
      <c r="H55" s="544">
        <v>2.1</v>
      </c>
      <c r="I55" s="544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6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5">
        <v>0</v>
      </c>
      <c r="Y55" s="546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132</v>
      </c>
      <c r="B56" s="54" t="s">
        <v>133</v>
      </c>
      <c r="C56" s="31">
        <v>4301011801</v>
      </c>
      <c r="D56" s="552">
        <v>4680115881419</v>
      </c>
      <c r="E56" s="553"/>
      <c r="F56" s="544">
        <v>0.45</v>
      </c>
      <c r="G56" s="32">
        <v>10</v>
      </c>
      <c r="H56" s="544">
        <v>4.5</v>
      </c>
      <c r="I56" s="544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61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5">
        <v>45</v>
      </c>
      <c r="Y56" s="546">
        <f t="shared" si="0"/>
        <v>45</v>
      </c>
      <c r="Z56" s="36">
        <f>IFERROR(IF(Y56=0,"",ROUNDUP(Y56/H56,0)*0.00902),"")</f>
        <v>9.0200000000000002E-2</v>
      </c>
      <c r="AA56" s="56"/>
      <c r="AB56" s="57"/>
      <c r="AC56" s="101" t="s">
        <v>134</v>
      </c>
      <c r="AG56" s="64"/>
      <c r="AJ56" s="68"/>
      <c r="AK56" s="68">
        <v>0</v>
      </c>
      <c r="BB56" s="102" t="s">
        <v>1</v>
      </c>
      <c r="BM56" s="64">
        <f t="shared" si="1"/>
        <v>46.900000000000006</v>
      </c>
      <c r="BN56" s="64">
        <f t="shared" si="2"/>
        <v>46.900000000000006</v>
      </c>
      <c r="BO56" s="64">
        <f t="shared" si="3"/>
        <v>7.575757575757576E-2</v>
      </c>
      <c r="BP56" s="64">
        <f t="shared" si="4"/>
        <v>7.575757575757576E-2</v>
      </c>
    </row>
    <row r="57" spans="1:68" x14ac:dyDescent="0.2">
      <c r="A57" s="561"/>
      <c r="B57" s="559"/>
      <c r="C57" s="559"/>
      <c r="D57" s="559"/>
      <c r="E57" s="559"/>
      <c r="F57" s="559"/>
      <c r="G57" s="559"/>
      <c r="H57" s="559"/>
      <c r="I57" s="559"/>
      <c r="J57" s="559"/>
      <c r="K57" s="559"/>
      <c r="L57" s="559"/>
      <c r="M57" s="559"/>
      <c r="N57" s="559"/>
      <c r="O57" s="562"/>
      <c r="P57" s="567" t="s">
        <v>75</v>
      </c>
      <c r="Q57" s="568"/>
      <c r="R57" s="568"/>
      <c r="S57" s="568"/>
      <c r="T57" s="568"/>
      <c r="U57" s="568"/>
      <c r="V57" s="569"/>
      <c r="W57" s="37" t="s">
        <v>76</v>
      </c>
      <c r="X57" s="547">
        <f>IFERROR(X51/H51,"0")+IFERROR(X52/H52,"0")+IFERROR(X53/H53,"0")+IFERROR(X54/H54,"0")+IFERROR(X55/H55,"0")+IFERROR(X56/H56,"0")</f>
        <v>10</v>
      </c>
      <c r="Y57" s="547">
        <f>IFERROR(Y51/H51,"0")+IFERROR(Y52/H52,"0")+IFERROR(Y53/H53,"0")+IFERROR(Y54/H54,"0")+IFERROR(Y55/H55,"0")+IFERROR(Y56/H56,"0")</f>
        <v>10</v>
      </c>
      <c r="Z57" s="547">
        <f>IFERROR(IF(Z51="",0,Z51),"0")+IFERROR(IF(Z52="",0,Z52),"0")+IFERROR(IF(Z53="",0,Z53),"0")+IFERROR(IF(Z54="",0,Z54),"0")+IFERROR(IF(Z55="",0,Z55),"0")+IFERROR(IF(Z56="",0,Z56),"0")</f>
        <v>9.0200000000000002E-2</v>
      </c>
      <c r="AA57" s="548"/>
      <c r="AB57" s="548"/>
      <c r="AC57" s="548"/>
    </row>
    <row r="58" spans="1:68" x14ac:dyDescent="0.2">
      <c r="A58" s="559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62"/>
      <c r="P58" s="567" t="s">
        <v>75</v>
      </c>
      <c r="Q58" s="568"/>
      <c r="R58" s="568"/>
      <c r="S58" s="568"/>
      <c r="T58" s="568"/>
      <c r="U58" s="568"/>
      <c r="V58" s="569"/>
      <c r="W58" s="37" t="s">
        <v>69</v>
      </c>
      <c r="X58" s="547">
        <f>IFERROR(SUM(X51:X56),"0")</f>
        <v>45</v>
      </c>
      <c r="Y58" s="547">
        <f>IFERROR(SUM(Y51:Y56),"0")</f>
        <v>45</v>
      </c>
      <c r="Z58" s="37"/>
      <c r="AA58" s="548"/>
      <c r="AB58" s="548"/>
      <c r="AC58" s="548"/>
    </row>
    <row r="59" spans="1:68" ht="14.25" hidden="1" customHeight="1" x14ac:dyDescent="0.25">
      <c r="A59" s="558" t="s">
        <v>135</v>
      </c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59"/>
      <c r="P59" s="559"/>
      <c r="Q59" s="559"/>
      <c r="R59" s="559"/>
      <c r="S59" s="559"/>
      <c r="T59" s="559"/>
      <c r="U59" s="559"/>
      <c r="V59" s="559"/>
      <c r="W59" s="559"/>
      <c r="X59" s="559"/>
      <c r="Y59" s="559"/>
      <c r="Z59" s="559"/>
      <c r="AA59" s="541"/>
      <c r="AB59" s="541"/>
      <c r="AC59" s="541"/>
    </row>
    <row r="60" spans="1:68" ht="16.5" hidden="1" customHeight="1" x14ac:dyDescent="0.25">
      <c r="A60" s="54" t="s">
        <v>136</v>
      </c>
      <c r="B60" s="54" t="s">
        <v>137</v>
      </c>
      <c r="C60" s="31">
        <v>4301020298</v>
      </c>
      <c r="D60" s="552">
        <v>4680115881440</v>
      </c>
      <c r="E60" s="553"/>
      <c r="F60" s="544">
        <v>1.35</v>
      </c>
      <c r="G60" s="32">
        <v>8</v>
      </c>
      <c r="H60" s="544">
        <v>10.8</v>
      </c>
      <c r="I60" s="544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5">
        <v>0</v>
      </c>
      <c r="Y60" s="546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52">
        <v>4680115885950</v>
      </c>
      <c r="E61" s="553"/>
      <c r="F61" s="544">
        <v>0.37</v>
      </c>
      <c r="G61" s="32">
        <v>6</v>
      </c>
      <c r="H61" s="544">
        <v>2.2200000000000002</v>
      </c>
      <c r="I61" s="544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80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5">
        <v>0</v>
      </c>
      <c r="Y61" s="546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52">
        <v>4680115881433</v>
      </c>
      <c r="E62" s="553"/>
      <c r="F62" s="544">
        <v>0.45</v>
      </c>
      <c r="G62" s="32">
        <v>6</v>
      </c>
      <c r="H62" s="544">
        <v>2.7</v>
      </c>
      <c r="I62" s="544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75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61"/>
      <c r="B63" s="559"/>
      <c r="C63" s="559"/>
      <c r="D63" s="559"/>
      <c r="E63" s="559"/>
      <c r="F63" s="559"/>
      <c r="G63" s="559"/>
      <c r="H63" s="559"/>
      <c r="I63" s="559"/>
      <c r="J63" s="559"/>
      <c r="K63" s="559"/>
      <c r="L63" s="559"/>
      <c r="M63" s="559"/>
      <c r="N63" s="559"/>
      <c r="O63" s="562"/>
      <c r="P63" s="567" t="s">
        <v>75</v>
      </c>
      <c r="Q63" s="568"/>
      <c r="R63" s="568"/>
      <c r="S63" s="568"/>
      <c r="T63" s="568"/>
      <c r="U63" s="568"/>
      <c r="V63" s="569"/>
      <c r="W63" s="37" t="s">
        <v>76</v>
      </c>
      <c r="X63" s="547">
        <f>IFERROR(X60/H60,"0")+IFERROR(X61/H61,"0")+IFERROR(X62/H62,"0")</f>
        <v>0</v>
      </c>
      <c r="Y63" s="547">
        <f>IFERROR(Y60/H60,"0")+IFERROR(Y61/H61,"0")+IFERROR(Y62/H62,"0")</f>
        <v>0</v>
      </c>
      <c r="Z63" s="547">
        <f>IFERROR(IF(Z60="",0,Z60),"0")+IFERROR(IF(Z61="",0,Z61),"0")+IFERROR(IF(Z62="",0,Z62),"0")</f>
        <v>0</v>
      </c>
      <c r="AA63" s="548"/>
      <c r="AB63" s="548"/>
      <c r="AC63" s="548"/>
    </row>
    <row r="64" spans="1:68" hidden="1" x14ac:dyDescent="0.2">
      <c r="A64" s="559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62"/>
      <c r="P64" s="567" t="s">
        <v>75</v>
      </c>
      <c r="Q64" s="568"/>
      <c r="R64" s="568"/>
      <c r="S64" s="568"/>
      <c r="T64" s="568"/>
      <c r="U64" s="568"/>
      <c r="V64" s="569"/>
      <c r="W64" s="37" t="s">
        <v>69</v>
      </c>
      <c r="X64" s="547">
        <f>IFERROR(SUM(X60:X62),"0")</f>
        <v>0</v>
      </c>
      <c r="Y64" s="547">
        <f>IFERROR(SUM(Y60:Y62),"0")</f>
        <v>0</v>
      </c>
      <c r="Z64" s="37"/>
      <c r="AA64" s="548"/>
      <c r="AB64" s="548"/>
      <c r="AC64" s="548"/>
    </row>
    <row r="65" spans="1:68" ht="14.25" hidden="1" customHeight="1" x14ac:dyDescent="0.25">
      <c r="A65" s="558" t="s">
        <v>64</v>
      </c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59"/>
      <c r="P65" s="559"/>
      <c r="Q65" s="559"/>
      <c r="R65" s="559"/>
      <c r="S65" s="559"/>
      <c r="T65" s="559"/>
      <c r="U65" s="559"/>
      <c r="V65" s="559"/>
      <c r="W65" s="559"/>
      <c r="X65" s="559"/>
      <c r="Y65" s="559"/>
      <c r="Z65" s="559"/>
      <c r="AA65" s="541"/>
      <c r="AB65" s="541"/>
      <c r="AC65" s="541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52">
        <v>4680115885073</v>
      </c>
      <c r="E66" s="553"/>
      <c r="F66" s="544">
        <v>0.3</v>
      </c>
      <c r="G66" s="32">
        <v>6</v>
      </c>
      <c r="H66" s="544">
        <v>1.8</v>
      </c>
      <c r="I66" s="544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94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5">
        <v>0</v>
      </c>
      <c r="Y66" s="54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4301031316</v>
      </c>
      <c r="D67" s="552">
        <v>4680115885097</v>
      </c>
      <c r="E67" s="553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1"/>
      <c r="B68" s="559"/>
      <c r="C68" s="559"/>
      <c r="D68" s="559"/>
      <c r="E68" s="559"/>
      <c r="F68" s="559"/>
      <c r="G68" s="559"/>
      <c r="H68" s="559"/>
      <c r="I68" s="559"/>
      <c r="J68" s="559"/>
      <c r="K68" s="559"/>
      <c r="L68" s="559"/>
      <c r="M68" s="559"/>
      <c r="N68" s="559"/>
      <c r="O68" s="562"/>
      <c r="P68" s="567" t="s">
        <v>75</v>
      </c>
      <c r="Q68" s="568"/>
      <c r="R68" s="568"/>
      <c r="S68" s="568"/>
      <c r="T68" s="568"/>
      <c r="U68" s="568"/>
      <c r="V68" s="569"/>
      <c r="W68" s="37" t="s">
        <v>76</v>
      </c>
      <c r="X68" s="547">
        <f>IFERROR(X66/H66,"0")+IFERROR(X67/H67,"0")</f>
        <v>0</v>
      </c>
      <c r="Y68" s="547">
        <f>IFERROR(Y66/H66,"0")+IFERROR(Y67/H67,"0")</f>
        <v>0</v>
      </c>
      <c r="Z68" s="547">
        <f>IFERROR(IF(Z66="",0,Z66),"0")+IFERROR(IF(Z67="",0,Z67),"0")</f>
        <v>0</v>
      </c>
      <c r="AA68" s="548"/>
      <c r="AB68" s="548"/>
      <c r="AC68" s="548"/>
    </row>
    <row r="69" spans="1:68" hidden="1" x14ac:dyDescent="0.2">
      <c r="A69" s="559"/>
      <c r="B69" s="559"/>
      <c r="C69" s="559"/>
      <c r="D69" s="559"/>
      <c r="E69" s="559"/>
      <c r="F69" s="559"/>
      <c r="G69" s="559"/>
      <c r="H69" s="559"/>
      <c r="I69" s="559"/>
      <c r="J69" s="559"/>
      <c r="K69" s="559"/>
      <c r="L69" s="559"/>
      <c r="M69" s="559"/>
      <c r="N69" s="559"/>
      <c r="O69" s="562"/>
      <c r="P69" s="567" t="s">
        <v>75</v>
      </c>
      <c r="Q69" s="568"/>
      <c r="R69" s="568"/>
      <c r="S69" s="568"/>
      <c r="T69" s="568"/>
      <c r="U69" s="568"/>
      <c r="V69" s="569"/>
      <c r="W69" s="37" t="s">
        <v>69</v>
      </c>
      <c r="X69" s="547">
        <f>IFERROR(SUM(X66:X67),"0")</f>
        <v>0</v>
      </c>
      <c r="Y69" s="547">
        <f>IFERROR(SUM(Y66:Y67),"0")</f>
        <v>0</v>
      </c>
      <c r="Z69" s="37"/>
      <c r="AA69" s="548"/>
      <c r="AB69" s="548"/>
      <c r="AC69" s="548"/>
    </row>
    <row r="70" spans="1:68" ht="14.25" hidden="1" customHeight="1" x14ac:dyDescent="0.25">
      <c r="A70" s="558" t="s">
        <v>77</v>
      </c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59"/>
      <c r="P70" s="559"/>
      <c r="Q70" s="559"/>
      <c r="R70" s="559"/>
      <c r="S70" s="559"/>
      <c r="T70" s="559"/>
      <c r="U70" s="559"/>
      <c r="V70" s="559"/>
      <c r="W70" s="559"/>
      <c r="X70" s="559"/>
      <c r="Y70" s="559"/>
      <c r="Z70" s="559"/>
      <c r="AA70" s="541"/>
      <c r="AB70" s="541"/>
      <c r="AC70" s="541"/>
    </row>
    <row r="71" spans="1:68" ht="27" hidden="1" customHeight="1" x14ac:dyDescent="0.25">
      <c r="A71" s="54" t="s">
        <v>149</v>
      </c>
      <c r="B71" s="54" t="s">
        <v>150</v>
      </c>
      <c r="C71" s="31">
        <v>4301051846</v>
      </c>
      <c r="D71" s="552">
        <v>4680115885769</v>
      </c>
      <c r="E71" s="553"/>
      <c r="F71" s="544">
        <v>1.4</v>
      </c>
      <c r="G71" s="32">
        <v>6</v>
      </c>
      <c r="H71" s="544">
        <v>8.4</v>
      </c>
      <c r="I71" s="544">
        <v>8.81</v>
      </c>
      <c r="J71" s="32">
        <v>64</v>
      </c>
      <c r="K71" s="32" t="s">
        <v>102</v>
      </c>
      <c r="L71" s="32" t="s">
        <v>103</v>
      </c>
      <c r="M71" s="33" t="s">
        <v>80</v>
      </c>
      <c r="N71" s="33"/>
      <c r="O71" s="32">
        <v>45</v>
      </c>
      <c r="P71" s="86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0"/>
      <c r="R71" s="550"/>
      <c r="S71" s="550"/>
      <c r="T71" s="551"/>
      <c r="U71" s="34"/>
      <c r="V71" s="34"/>
      <c r="W71" s="35" t="s">
        <v>69</v>
      </c>
      <c r="X71" s="545">
        <v>0</v>
      </c>
      <c r="Y71" s="546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151</v>
      </c>
      <c r="AG71" s="64"/>
      <c r="AJ71" s="68" t="s">
        <v>106</v>
      </c>
      <c r="AK71" s="68">
        <v>67.2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152</v>
      </c>
      <c r="B72" s="54" t="s">
        <v>153</v>
      </c>
      <c r="C72" s="31">
        <v>4301051837</v>
      </c>
      <c r="D72" s="552">
        <v>4680115884311</v>
      </c>
      <c r="E72" s="553"/>
      <c r="F72" s="544">
        <v>0.3</v>
      </c>
      <c r="G72" s="32">
        <v>6</v>
      </c>
      <c r="H72" s="544">
        <v>1.8</v>
      </c>
      <c r="I72" s="544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8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5">
        <v>0</v>
      </c>
      <c r="Y72" s="546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155</v>
      </c>
      <c r="B73" s="54" t="s">
        <v>156</v>
      </c>
      <c r="C73" s="31">
        <v>4301051844</v>
      </c>
      <c r="D73" s="552">
        <v>4680115885929</v>
      </c>
      <c r="E73" s="553"/>
      <c r="F73" s="544">
        <v>0.42</v>
      </c>
      <c r="G73" s="32">
        <v>6</v>
      </c>
      <c r="H73" s="544">
        <v>2.52</v>
      </c>
      <c r="I73" s="544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5">
        <v>0</v>
      </c>
      <c r="Y73" s="54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151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4301051929</v>
      </c>
      <c r="D74" s="552">
        <v>4680115884403</v>
      </c>
      <c r="E74" s="553"/>
      <c r="F74" s="544">
        <v>0.3</v>
      </c>
      <c r="G74" s="32">
        <v>6</v>
      </c>
      <c r="H74" s="544">
        <v>1.8</v>
      </c>
      <c r="I74" s="544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1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159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1"/>
      <c r="B75" s="559"/>
      <c r="C75" s="559"/>
      <c r="D75" s="559"/>
      <c r="E75" s="559"/>
      <c r="F75" s="559"/>
      <c r="G75" s="559"/>
      <c r="H75" s="559"/>
      <c r="I75" s="559"/>
      <c r="J75" s="559"/>
      <c r="K75" s="559"/>
      <c r="L75" s="559"/>
      <c r="M75" s="559"/>
      <c r="N75" s="559"/>
      <c r="O75" s="562"/>
      <c r="P75" s="567" t="s">
        <v>75</v>
      </c>
      <c r="Q75" s="568"/>
      <c r="R75" s="568"/>
      <c r="S75" s="568"/>
      <c r="T75" s="568"/>
      <c r="U75" s="568"/>
      <c r="V75" s="569"/>
      <c r="W75" s="37" t="s">
        <v>76</v>
      </c>
      <c r="X75" s="547">
        <f>IFERROR(X71/H71,"0")+IFERROR(X72/H72,"0")+IFERROR(X73/H73,"0")+IFERROR(X74/H74,"0")</f>
        <v>0</v>
      </c>
      <c r="Y75" s="547">
        <f>IFERROR(Y71/H71,"0")+IFERROR(Y72/H72,"0")+IFERROR(Y73/H73,"0")+IFERROR(Y74/H74,"0")</f>
        <v>0</v>
      </c>
      <c r="Z75" s="547">
        <f>IFERROR(IF(Z71="",0,Z71),"0")+IFERROR(IF(Z72="",0,Z72),"0")+IFERROR(IF(Z73="",0,Z73),"0")+IFERROR(IF(Z74="",0,Z74),"0")</f>
        <v>0</v>
      </c>
      <c r="AA75" s="548"/>
      <c r="AB75" s="548"/>
      <c r="AC75" s="548"/>
    </row>
    <row r="76" spans="1:68" hidden="1" x14ac:dyDescent="0.2">
      <c r="A76" s="559"/>
      <c r="B76" s="559"/>
      <c r="C76" s="559"/>
      <c r="D76" s="559"/>
      <c r="E76" s="559"/>
      <c r="F76" s="559"/>
      <c r="G76" s="559"/>
      <c r="H76" s="559"/>
      <c r="I76" s="559"/>
      <c r="J76" s="559"/>
      <c r="K76" s="559"/>
      <c r="L76" s="559"/>
      <c r="M76" s="559"/>
      <c r="N76" s="559"/>
      <c r="O76" s="562"/>
      <c r="P76" s="567" t="s">
        <v>75</v>
      </c>
      <c r="Q76" s="568"/>
      <c r="R76" s="568"/>
      <c r="S76" s="568"/>
      <c r="T76" s="568"/>
      <c r="U76" s="568"/>
      <c r="V76" s="569"/>
      <c r="W76" s="37" t="s">
        <v>69</v>
      </c>
      <c r="X76" s="547">
        <f>IFERROR(SUM(X71:X74),"0")</f>
        <v>0</v>
      </c>
      <c r="Y76" s="547">
        <f>IFERROR(SUM(Y71:Y74),"0")</f>
        <v>0</v>
      </c>
      <c r="Z76" s="37"/>
      <c r="AA76" s="548"/>
      <c r="AB76" s="548"/>
      <c r="AC76" s="548"/>
    </row>
    <row r="77" spans="1:68" ht="14.25" hidden="1" customHeight="1" x14ac:dyDescent="0.25">
      <c r="A77" s="558" t="s">
        <v>160</v>
      </c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59"/>
      <c r="P77" s="559"/>
      <c r="Q77" s="559"/>
      <c r="R77" s="559"/>
      <c r="S77" s="559"/>
      <c r="T77" s="559"/>
      <c r="U77" s="559"/>
      <c r="V77" s="559"/>
      <c r="W77" s="559"/>
      <c r="X77" s="559"/>
      <c r="Y77" s="559"/>
      <c r="Z77" s="559"/>
      <c r="AA77" s="541"/>
      <c r="AB77" s="541"/>
      <c r="AC77" s="541"/>
    </row>
    <row r="78" spans="1:68" ht="27" hidden="1" customHeight="1" x14ac:dyDescent="0.25">
      <c r="A78" s="54" t="s">
        <v>161</v>
      </c>
      <c r="B78" s="54" t="s">
        <v>162</v>
      </c>
      <c r="C78" s="31">
        <v>4301060455</v>
      </c>
      <c r="D78" s="552">
        <v>4680115881532</v>
      </c>
      <c r="E78" s="553"/>
      <c r="F78" s="544">
        <v>1.3</v>
      </c>
      <c r="G78" s="32">
        <v>6</v>
      </c>
      <c r="H78" s="544">
        <v>7.8</v>
      </c>
      <c r="I78" s="544">
        <v>8.2100000000000009</v>
      </c>
      <c r="J78" s="32">
        <v>64</v>
      </c>
      <c r="K78" s="32" t="s">
        <v>102</v>
      </c>
      <c r="L78" s="32" t="s">
        <v>103</v>
      </c>
      <c r="M78" s="33" t="s">
        <v>86</v>
      </c>
      <c r="N78" s="33"/>
      <c r="O78" s="32">
        <v>30</v>
      </c>
      <c r="P78" s="66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0"/>
      <c r="R78" s="550"/>
      <c r="S78" s="550"/>
      <c r="T78" s="551"/>
      <c r="U78" s="34"/>
      <c r="V78" s="34"/>
      <c r="W78" s="35" t="s">
        <v>69</v>
      </c>
      <c r="X78" s="545">
        <v>0</v>
      </c>
      <c r="Y78" s="546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163</v>
      </c>
      <c r="AG78" s="64"/>
      <c r="AJ78" s="68" t="s">
        <v>106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164</v>
      </c>
      <c r="B79" s="54" t="s">
        <v>165</v>
      </c>
      <c r="C79" s="31">
        <v>4301060351</v>
      </c>
      <c r="D79" s="552">
        <v>4680115881464</v>
      </c>
      <c r="E79" s="553"/>
      <c r="F79" s="544">
        <v>0.4</v>
      </c>
      <c r="G79" s="32">
        <v>6</v>
      </c>
      <c r="H79" s="544">
        <v>2.4</v>
      </c>
      <c r="I79" s="544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5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5">
        <v>0</v>
      </c>
      <c r="Y79" s="546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166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61"/>
      <c r="B80" s="559"/>
      <c r="C80" s="559"/>
      <c r="D80" s="559"/>
      <c r="E80" s="559"/>
      <c r="F80" s="559"/>
      <c r="G80" s="559"/>
      <c r="H80" s="559"/>
      <c r="I80" s="559"/>
      <c r="J80" s="559"/>
      <c r="K80" s="559"/>
      <c r="L80" s="559"/>
      <c r="M80" s="559"/>
      <c r="N80" s="559"/>
      <c r="O80" s="562"/>
      <c r="P80" s="567" t="s">
        <v>75</v>
      </c>
      <c r="Q80" s="568"/>
      <c r="R80" s="568"/>
      <c r="S80" s="568"/>
      <c r="T80" s="568"/>
      <c r="U80" s="568"/>
      <c r="V80" s="569"/>
      <c r="W80" s="37" t="s">
        <v>76</v>
      </c>
      <c r="X80" s="547">
        <f>IFERROR(X78/H78,"0")+IFERROR(X79/H79,"0")</f>
        <v>0</v>
      </c>
      <c r="Y80" s="547">
        <f>IFERROR(Y78/H78,"0")+IFERROR(Y79/H79,"0")</f>
        <v>0</v>
      </c>
      <c r="Z80" s="547">
        <f>IFERROR(IF(Z78="",0,Z78),"0")+IFERROR(IF(Z79="",0,Z79),"0")</f>
        <v>0</v>
      </c>
      <c r="AA80" s="548"/>
      <c r="AB80" s="548"/>
      <c r="AC80" s="548"/>
    </row>
    <row r="81" spans="1:68" hidden="1" x14ac:dyDescent="0.2">
      <c r="A81" s="559"/>
      <c r="B81" s="559"/>
      <c r="C81" s="559"/>
      <c r="D81" s="559"/>
      <c r="E81" s="559"/>
      <c r="F81" s="559"/>
      <c r="G81" s="559"/>
      <c r="H81" s="559"/>
      <c r="I81" s="559"/>
      <c r="J81" s="559"/>
      <c r="K81" s="559"/>
      <c r="L81" s="559"/>
      <c r="M81" s="559"/>
      <c r="N81" s="559"/>
      <c r="O81" s="562"/>
      <c r="P81" s="567" t="s">
        <v>75</v>
      </c>
      <c r="Q81" s="568"/>
      <c r="R81" s="568"/>
      <c r="S81" s="568"/>
      <c r="T81" s="568"/>
      <c r="U81" s="568"/>
      <c r="V81" s="569"/>
      <c r="W81" s="37" t="s">
        <v>69</v>
      </c>
      <c r="X81" s="547">
        <f>IFERROR(SUM(X78:X79),"0")</f>
        <v>0</v>
      </c>
      <c r="Y81" s="547">
        <f>IFERROR(SUM(Y78:Y79),"0")</f>
        <v>0</v>
      </c>
      <c r="Z81" s="37"/>
      <c r="AA81" s="548"/>
      <c r="AB81" s="548"/>
      <c r="AC81" s="548"/>
    </row>
    <row r="82" spans="1:68" ht="16.5" hidden="1" customHeight="1" x14ac:dyDescent="0.25">
      <c r="A82" s="560" t="s">
        <v>167</v>
      </c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59"/>
      <c r="P82" s="559"/>
      <c r="Q82" s="559"/>
      <c r="R82" s="559"/>
      <c r="S82" s="559"/>
      <c r="T82" s="559"/>
      <c r="U82" s="559"/>
      <c r="V82" s="559"/>
      <c r="W82" s="559"/>
      <c r="X82" s="559"/>
      <c r="Y82" s="559"/>
      <c r="Z82" s="559"/>
      <c r="AA82" s="540"/>
      <c r="AB82" s="540"/>
      <c r="AC82" s="540"/>
    </row>
    <row r="83" spans="1:68" ht="14.25" hidden="1" customHeight="1" x14ac:dyDescent="0.25">
      <c r="A83" s="558" t="s">
        <v>99</v>
      </c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59"/>
      <c r="P83" s="559"/>
      <c r="Q83" s="559"/>
      <c r="R83" s="559"/>
      <c r="S83" s="559"/>
      <c r="T83" s="559"/>
      <c r="U83" s="559"/>
      <c r="V83" s="559"/>
      <c r="W83" s="559"/>
      <c r="X83" s="559"/>
      <c r="Y83" s="559"/>
      <c r="Z83" s="559"/>
      <c r="AA83" s="541"/>
      <c r="AB83" s="541"/>
      <c r="AC83" s="541"/>
    </row>
    <row r="84" spans="1:68" ht="27" customHeight="1" x14ac:dyDescent="0.25">
      <c r="A84" s="54" t="s">
        <v>168</v>
      </c>
      <c r="B84" s="54" t="s">
        <v>169</v>
      </c>
      <c r="C84" s="31">
        <v>4301011468</v>
      </c>
      <c r="D84" s="552">
        <v>4680115881327</v>
      </c>
      <c r="E84" s="553"/>
      <c r="F84" s="544">
        <v>1.35</v>
      </c>
      <c r="G84" s="32">
        <v>8</v>
      </c>
      <c r="H84" s="544">
        <v>10.8</v>
      </c>
      <c r="I84" s="544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77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0"/>
      <c r="R84" s="550"/>
      <c r="S84" s="550"/>
      <c r="T84" s="551"/>
      <c r="U84" s="34"/>
      <c r="V84" s="34"/>
      <c r="W84" s="35" t="s">
        <v>69</v>
      </c>
      <c r="X84" s="545">
        <v>100</v>
      </c>
      <c r="Y84" s="546">
        <f>IFERROR(IF(X84="",0,CEILING((X84/$H84),1)*$H84),"")</f>
        <v>108</v>
      </c>
      <c r="Z84" s="36">
        <f>IFERROR(IF(Y84=0,"",ROUNDUP(Y84/H84,0)*0.01898),"")</f>
        <v>0.1898</v>
      </c>
      <c r="AA84" s="56"/>
      <c r="AB84" s="57"/>
      <c r="AC84" s="125" t="s">
        <v>170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103.79629629629629</v>
      </c>
      <c r="BN84" s="64">
        <f>IFERROR(Y84*I84/H84,"0")</f>
        <v>112.1</v>
      </c>
      <c r="BO84" s="64">
        <f>IFERROR(1/J84*(X84/H84),"0")</f>
        <v>0.14467592592592593</v>
      </c>
      <c r="BP84" s="64">
        <f>IFERROR(1/J84*(Y84/H84),"0")</f>
        <v>0.15625</v>
      </c>
    </row>
    <row r="85" spans="1:68" ht="27" hidden="1" customHeight="1" x14ac:dyDescent="0.25">
      <c r="A85" s="54" t="s">
        <v>171</v>
      </c>
      <c r="B85" s="54" t="s">
        <v>172</v>
      </c>
      <c r="C85" s="31">
        <v>4301011261</v>
      </c>
      <c r="D85" s="552">
        <v>4680115887732</v>
      </c>
      <c r="E85" s="553"/>
      <c r="F85" s="544">
        <v>0.17</v>
      </c>
      <c r="G85" s="32">
        <v>10</v>
      </c>
      <c r="H85" s="544">
        <v>1.7</v>
      </c>
      <c r="I85" s="544">
        <v>1.8</v>
      </c>
      <c r="J85" s="32">
        <v>192</v>
      </c>
      <c r="K85" s="32" t="s">
        <v>173</v>
      </c>
      <c r="L85" s="32"/>
      <c r="M85" s="33" t="s">
        <v>68</v>
      </c>
      <c r="N85" s="33"/>
      <c r="O85" s="32">
        <v>30</v>
      </c>
      <c r="P85" s="85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0"/>
      <c r="R85" s="550"/>
      <c r="S85" s="550"/>
      <c r="T85" s="551"/>
      <c r="U85" s="34"/>
      <c r="V85" s="34"/>
      <c r="W85" s="35" t="s">
        <v>69</v>
      </c>
      <c r="X85" s="545">
        <v>0</v>
      </c>
      <c r="Y85" s="546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174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52">
        <v>4680115881518</v>
      </c>
      <c r="E86" s="553"/>
      <c r="F86" s="544">
        <v>0.4</v>
      </c>
      <c r="G86" s="32">
        <v>10</v>
      </c>
      <c r="H86" s="544">
        <v>4</v>
      </c>
      <c r="I86" s="544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57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5">
        <v>0</v>
      </c>
      <c r="Y86" s="546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170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52">
        <v>4680115881303</v>
      </c>
      <c r="E87" s="553"/>
      <c r="F87" s="544">
        <v>0.45</v>
      </c>
      <c r="G87" s="32">
        <v>10</v>
      </c>
      <c r="H87" s="544">
        <v>4.5</v>
      </c>
      <c r="I87" s="544">
        <v>4.6900000000000004</v>
      </c>
      <c r="J87" s="32">
        <v>132</v>
      </c>
      <c r="K87" s="32" t="s">
        <v>109</v>
      </c>
      <c r="L87" s="32" t="s">
        <v>112</v>
      </c>
      <c r="M87" s="33" t="s">
        <v>86</v>
      </c>
      <c r="N87" s="33"/>
      <c r="O87" s="32">
        <v>50</v>
      </c>
      <c r="P87" s="73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170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1"/>
      <c r="B88" s="559"/>
      <c r="C88" s="559"/>
      <c r="D88" s="559"/>
      <c r="E88" s="559"/>
      <c r="F88" s="559"/>
      <c r="G88" s="559"/>
      <c r="H88" s="559"/>
      <c r="I88" s="559"/>
      <c r="J88" s="559"/>
      <c r="K88" s="559"/>
      <c r="L88" s="559"/>
      <c r="M88" s="559"/>
      <c r="N88" s="559"/>
      <c r="O88" s="562"/>
      <c r="P88" s="567" t="s">
        <v>75</v>
      </c>
      <c r="Q88" s="568"/>
      <c r="R88" s="568"/>
      <c r="S88" s="568"/>
      <c r="T88" s="568"/>
      <c r="U88" s="568"/>
      <c r="V88" s="569"/>
      <c r="W88" s="37" t="s">
        <v>76</v>
      </c>
      <c r="X88" s="547">
        <f>IFERROR(X84/H84,"0")+IFERROR(X85/H85,"0")+IFERROR(X86/H86,"0")+IFERROR(X87/H87,"0")</f>
        <v>9.2592592592592595</v>
      </c>
      <c r="Y88" s="547">
        <f>IFERROR(Y84/H84,"0")+IFERROR(Y85/H85,"0")+IFERROR(Y86/H86,"0")+IFERROR(Y87/H87,"0")</f>
        <v>10</v>
      </c>
      <c r="Z88" s="547">
        <f>IFERROR(IF(Z84="",0,Z84),"0")+IFERROR(IF(Z85="",0,Z85),"0")+IFERROR(IF(Z86="",0,Z86),"0")+IFERROR(IF(Z87="",0,Z87),"0")</f>
        <v>0.1898</v>
      </c>
      <c r="AA88" s="548"/>
      <c r="AB88" s="548"/>
      <c r="AC88" s="548"/>
    </row>
    <row r="89" spans="1:68" x14ac:dyDescent="0.2">
      <c r="A89" s="559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62"/>
      <c r="P89" s="567" t="s">
        <v>75</v>
      </c>
      <c r="Q89" s="568"/>
      <c r="R89" s="568"/>
      <c r="S89" s="568"/>
      <c r="T89" s="568"/>
      <c r="U89" s="568"/>
      <c r="V89" s="569"/>
      <c r="W89" s="37" t="s">
        <v>69</v>
      </c>
      <c r="X89" s="547">
        <f>IFERROR(SUM(X84:X87),"0")</f>
        <v>100</v>
      </c>
      <c r="Y89" s="547">
        <f>IFERROR(SUM(Y84:Y87),"0")</f>
        <v>108</v>
      </c>
      <c r="Z89" s="37"/>
      <c r="AA89" s="548"/>
      <c r="AB89" s="548"/>
      <c r="AC89" s="548"/>
    </row>
    <row r="90" spans="1:68" ht="14.25" hidden="1" customHeight="1" x14ac:dyDescent="0.25">
      <c r="A90" s="558" t="s">
        <v>77</v>
      </c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59"/>
      <c r="P90" s="559"/>
      <c r="Q90" s="559"/>
      <c r="R90" s="559"/>
      <c r="S90" s="559"/>
      <c r="T90" s="559"/>
      <c r="U90" s="559"/>
      <c r="V90" s="559"/>
      <c r="W90" s="559"/>
      <c r="X90" s="559"/>
      <c r="Y90" s="559"/>
      <c r="Z90" s="559"/>
      <c r="AA90" s="541"/>
      <c r="AB90" s="541"/>
      <c r="AC90" s="541"/>
    </row>
    <row r="91" spans="1:68" ht="27" customHeight="1" x14ac:dyDescent="0.25">
      <c r="A91" s="54" t="s">
        <v>179</v>
      </c>
      <c r="B91" s="54" t="s">
        <v>180</v>
      </c>
      <c r="C91" s="31">
        <v>4301051712</v>
      </c>
      <c r="D91" s="552">
        <v>4607091386967</v>
      </c>
      <c r="E91" s="553"/>
      <c r="F91" s="544">
        <v>1.35</v>
      </c>
      <c r="G91" s="32">
        <v>6</v>
      </c>
      <c r="H91" s="544">
        <v>8.1</v>
      </c>
      <c r="I91" s="544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4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5">
        <v>250</v>
      </c>
      <c r="Y91" s="546">
        <f>IFERROR(IF(X91="",0,CEILING((X91/$H91),1)*$H91),"")</f>
        <v>251.1</v>
      </c>
      <c r="Z91" s="36">
        <f>IFERROR(IF(Y91=0,"",ROUNDUP(Y91/H91,0)*0.01898),"")</f>
        <v>0.58838000000000001</v>
      </c>
      <c r="AA91" s="56"/>
      <c r="AB91" s="57"/>
      <c r="AC91" s="133" t="s">
        <v>181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265.24691358024694</v>
      </c>
      <c r="BN91" s="64">
        <f>IFERROR(Y91*I91/H91,"0")</f>
        <v>266.41399999999999</v>
      </c>
      <c r="BO91" s="64">
        <f>IFERROR(1/J91*(X91/H91),"0")</f>
        <v>0.48225308641975312</v>
      </c>
      <c r="BP91" s="64">
        <f>IFERROR(1/J91*(Y91/H91),"0")</f>
        <v>0.484375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52">
        <v>4680115884953</v>
      </c>
      <c r="E92" s="553"/>
      <c r="F92" s="544">
        <v>0.37</v>
      </c>
      <c r="G92" s="32">
        <v>6</v>
      </c>
      <c r="H92" s="544">
        <v>2.2200000000000002</v>
      </c>
      <c r="I92" s="544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5">
        <v>0</v>
      </c>
      <c r="Y92" s="546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181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4301051718</v>
      </c>
      <c r="D93" s="552">
        <v>4607091385731</v>
      </c>
      <c r="E93" s="553"/>
      <c r="F93" s="544">
        <v>0.45</v>
      </c>
      <c r="G93" s="32">
        <v>6</v>
      </c>
      <c r="H93" s="544">
        <v>2.7</v>
      </c>
      <c r="I93" s="544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8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5">
        <v>45</v>
      </c>
      <c r="Y93" s="546">
        <f>IFERROR(IF(X93="",0,CEILING((X93/$H93),1)*$H93),"")</f>
        <v>45.900000000000006</v>
      </c>
      <c r="Z93" s="36">
        <f>IFERROR(IF(Y93=0,"",ROUNDUP(Y93/H93,0)*0.00651),"")</f>
        <v>0.11067</v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49.199999999999996</v>
      </c>
      <c r="BN93" s="64">
        <f>IFERROR(Y93*I93/H93,"0")</f>
        <v>50.183999999999997</v>
      </c>
      <c r="BO93" s="64">
        <f>IFERROR(1/J93*(X93/H93),"0")</f>
        <v>9.1575091575091569E-2</v>
      </c>
      <c r="BP93" s="64">
        <f>IFERROR(1/J93*(Y93/H93),"0")</f>
        <v>9.3406593406593408E-2</v>
      </c>
    </row>
    <row r="94" spans="1:68" ht="16.5" hidden="1" customHeight="1" x14ac:dyDescent="0.25">
      <c r="A94" s="54" t="s">
        <v>186</v>
      </c>
      <c r="B94" s="54" t="s">
        <v>187</v>
      </c>
      <c r="C94" s="31">
        <v>4301051438</v>
      </c>
      <c r="D94" s="552">
        <v>4680115880894</v>
      </c>
      <c r="E94" s="553"/>
      <c r="F94" s="544">
        <v>0.33</v>
      </c>
      <c r="G94" s="32">
        <v>6</v>
      </c>
      <c r="H94" s="544">
        <v>1.98</v>
      </c>
      <c r="I94" s="544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61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5">
        <v>0</v>
      </c>
      <c r="Y94" s="546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1"/>
      <c r="B95" s="559"/>
      <c r="C95" s="559"/>
      <c r="D95" s="559"/>
      <c r="E95" s="559"/>
      <c r="F95" s="559"/>
      <c r="G95" s="559"/>
      <c r="H95" s="559"/>
      <c r="I95" s="559"/>
      <c r="J95" s="559"/>
      <c r="K95" s="559"/>
      <c r="L95" s="559"/>
      <c r="M95" s="559"/>
      <c r="N95" s="559"/>
      <c r="O95" s="562"/>
      <c r="P95" s="567" t="s">
        <v>75</v>
      </c>
      <c r="Q95" s="568"/>
      <c r="R95" s="568"/>
      <c r="S95" s="568"/>
      <c r="T95" s="568"/>
      <c r="U95" s="568"/>
      <c r="V95" s="569"/>
      <c r="W95" s="37" t="s">
        <v>76</v>
      </c>
      <c r="X95" s="547">
        <f>IFERROR(X91/H91,"0")+IFERROR(X92/H92,"0")+IFERROR(X93/H93,"0")+IFERROR(X94/H94,"0")</f>
        <v>47.53086419753086</v>
      </c>
      <c r="Y95" s="547">
        <f>IFERROR(Y91/H91,"0")+IFERROR(Y92/H92,"0")+IFERROR(Y93/H93,"0")+IFERROR(Y94/H94,"0")</f>
        <v>48</v>
      </c>
      <c r="Z95" s="547">
        <f>IFERROR(IF(Z91="",0,Z91),"0")+IFERROR(IF(Z92="",0,Z92),"0")+IFERROR(IF(Z93="",0,Z93),"0")+IFERROR(IF(Z94="",0,Z94),"0")</f>
        <v>0.69905000000000006</v>
      </c>
      <c r="AA95" s="548"/>
      <c r="AB95" s="548"/>
      <c r="AC95" s="548"/>
    </row>
    <row r="96" spans="1:68" x14ac:dyDescent="0.2">
      <c r="A96" s="559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62"/>
      <c r="P96" s="567" t="s">
        <v>75</v>
      </c>
      <c r="Q96" s="568"/>
      <c r="R96" s="568"/>
      <c r="S96" s="568"/>
      <c r="T96" s="568"/>
      <c r="U96" s="568"/>
      <c r="V96" s="569"/>
      <c r="W96" s="37" t="s">
        <v>69</v>
      </c>
      <c r="X96" s="547">
        <f>IFERROR(SUM(X91:X94),"0")</f>
        <v>295</v>
      </c>
      <c r="Y96" s="547">
        <f>IFERROR(SUM(Y91:Y94),"0")</f>
        <v>297</v>
      </c>
      <c r="Z96" s="37"/>
      <c r="AA96" s="548"/>
      <c r="AB96" s="548"/>
      <c r="AC96" s="548"/>
    </row>
    <row r="97" spans="1:68" ht="16.5" hidden="1" customHeight="1" x14ac:dyDescent="0.25">
      <c r="A97" s="560" t="s">
        <v>189</v>
      </c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59"/>
      <c r="P97" s="559"/>
      <c r="Q97" s="559"/>
      <c r="R97" s="559"/>
      <c r="S97" s="559"/>
      <c r="T97" s="559"/>
      <c r="U97" s="559"/>
      <c r="V97" s="559"/>
      <c r="W97" s="559"/>
      <c r="X97" s="559"/>
      <c r="Y97" s="559"/>
      <c r="Z97" s="559"/>
      <c r="AA97" s="540"/>
      <c r="AB97" s="540"/>
      <c r="AC97" s="540"/>
    </row>
    <row r="98" spans="1:68" ht="14.25" hidden="1" customHeight="1" x14ac:dyDescent="0.25">
      <c r="A98" s="558" t="s">
        <v>99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1"/>
      <c r="AB98" s="541"/>
      <c r="AC98" s="541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52">
        <v>4680115882133</v>
      </c>
      <c r="E99" s="553"/>
      <c r="F99" s="544">
        <v>1.35</v>
      </c>
      <c r="G99" s="32">
        <v>8</v>
      </c>
      <c r="H99" s="544">
        <v>10.8</v>
      </c>
      <c r="I99" s="544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62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5">
        <v>100</v>
      </c>
      <c r="Y99" s="546">
        <f>IFERROR(IF(X99="",0,CEILING((X99/$H99),1)*$H99),"")</f>
        <v>108</v>
      </c>
      <c r="Z99" s="36">
        <f>IFERROR(IF(Y99=0,"",ROUNDUP(Y99/H99,0)*0.01898),"")</f>
        <v>0.1898</v>
      </c>
      <c r="AA99" s="56"/>
      <c r="AB99" s="57"/>
      <c r="AC99" s="141" t="s">
        <v>192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103.79629629629629</v>
      </c>
      <c r="BN99" s="64">
        <f>IFERROR(Y99*I99/H99,"0")</f>
        <v>112.1</v>
      </c>
      <c r="BO99" s="64">
        <f>IFERROR(1/J99*(X99/H99),"0")</f>
        <v>0.14467592592592593</v>
      </c>
      <c r="BP99" s="64">
        <f>IFERROR(1/J99*(Y99/H99),"0")</f>
        <v>0.15625</v>
      </c>
    </row>
    <row r="100" spans="1:68" ht="27" hidden="1" customHeight="1" x14ac:dyDescent="0.25">
      <c r="A100" s="54" t="s">
        <v>193</v>
      </c>
      <c r="B100" s="54" t="s">
        <v>194</v>
      </c>
      <c r="C100" s="31">
        <v>4301012051</v>
      </c>
      <c r="D100" s="552">
        <v>4680115887718</v>
      </c>
      <c r="E100" s="553"/>
      <c r="F100" s="544">
        <v>0.11</v>
      </c>
      <c r="G100" s="32">
        <v>10</v>
      </c>
      <c r="H100" s="544">
        <v>1.1000000000000001</v>
      </c>
      <c r="I100" s="544">
        <v>1.31</v>
      </c>
      <c r="J100" s="32">
        <v>192</v>
      </c>
      <c r="K100" s="32" t="s">
        <v>173</v>
      </c>
      <c r="L100" s="32"/>
      <c r="M100" s="33" t="s">
        <v>68</v>
      </c>
      <c r="N100" s="33"/>
      <c r="O100" s="32">
        <v>30</v>
      </c>
      <c r="P100" s="60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5">
        <v>0</v>
      </c>
      <c r="Y100" s="546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4301011417</v>
      </c>
      <c r="D101" s="552">
        <v>4680115880269</v>
      </c>
      <c r="E101" s="553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1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5">
        <v>0</v>
      </c>
      <c r="Y101" s="546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4301011415</v>
      </c>
      <c r="D102" s="552">
        <v>4680115880429</v>
      </c>
      <c r="E102" s="553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109</v>
      </c>
      <c r="L102" s="32" t="s">
        <v>112</v>
      </c>
      <c r="M102" s="33" t="s">
        <v>80</v>
      </c>
      <c r="N102" s="33"/>
      <c r="O102" s="32">
        <v>50</v>
      </c>
      <c r="P102" s="8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4301011462</v>
      </c>
      <c r="D103" s="552">
        <v>4680115881457</v>
      </c>
      <c r="E103" s="553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6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192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1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62"/>
      <c r="P104" s="567" t="s">
        <v>75</v>
      </c>
      <c r="Q104" s="568"/>
      <c r="R104" s="568"/>
      <c r="S104" s="568"/>
      <c r="T104" s="568"/>
      <c r="U104" s="568"/>
      <c r="V104" s="569"/>
      <c r="W104" s="37" t="s">
        <v>76</v>
      </c>
      <c r="X104" s="547">
        <f>IFERROR(X99/H99,"0")+IFERROR(X100/H100,"0")+IFERROR(X101/H101,"0")+IFERROR(X102/H102,"0")+IFERROR(X103/H103,"0")</f>
        <v>9.2592592592592595</v>
      </c>
      <c r="Y104" s="547">
        <f>IFERROR(Y99/H99,"0")+IFERROR(Y100/H100,"0")+IFERROR(Y101/H101,"0")+IFERROR(Y102/H102,"0")+IFERROR(Y103/H103,"0")</f>
        <v>10</v>
      </c>
      <c r="Z104" s="547">
        <f>IFERROR(IF(Z99="",0,Z99),"0")+IFERROR(IF(Z100="",0,Z100),"0")+IFERROR(IF(Z101="",0,Z101),"0")+IFERROR(IF(Z102="",0,Z102),"0")+IFERROR(IF(Z103="",0,Z103),"0")</f>
        <v>0.1898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62"/>
      <c r="P105" s="567" t="s">
        <v>75</v>
      </c>
      <c r="Q105" s="568"/>
      <c r="R105" s="568"/>
      <c r="S105" s="568"/>
      <c r="T105" s="568"/>
      <c r="U105" s="568"/>
      <c r="V105" s="569"/>
      <c r="W105" s="37" t="s">
        <v>69</v>
      </c>
      <c r="X105" s="547">
        <f>IFERROR(SUM(X99:X103),"0")</f>
        <v>100</v>
      </c>
      <c r="Y105" s="547">
        <f>IFERROR(SUM(Y99:Y103),"0")</f>
        <v>108</v>
      </c>
      <c r="Z105" s="37"/>
      <c r="AA105" s="548"/>
      <c r="AB105" s="548"/>
      <c r="AC105" s="548"/>
    </row>
    <row r="106" spans="1:68" ht="14.25" hidden="1" customHeight="1" x14ac:dyDescent="0.25">
      <c r="A106" s="558" t="s">
        <v>135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hidden="1" customHeight="1" x14ac:dyDescent="0.25">
      <c r="A107" s="54" t="s">
        <v>202</v>
      </c>
      <c r="B107" s="54" t="s">
        <v>203</v>
      </c>
      <c r="C107" s="31">
        <v>4301020345</v>
      </c>
      <c r="D107" s="552">
        <v>4680115881488</v>
      </c>
      <c r="E107" s="553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102</v>
      </c>
      <c r="L107" s="32" t="s">
        <v>103</v>
      </c>
      <c r="M107" s="33" t="s">
        <v>104</v>
      </c>
      <c r="N107" s="33"/>
      <c r="O107" s="32">
        <v>55</v>
      </c>
      <c r="P107" s="81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 t="s">
        <v>106</v>
      </c>
      <c r="AK107" s="68">
        <v>86.4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hidden="1" customHeight="1" x14ac:dyDescent="0.25">
      <c r="A108" s="54" t="s">
        <v>205</v>
      </c>
      <c r="B108" s="54" t="s">
        <v>206</v>
      </c>
      <c r="C108" s="31">
        <v>4301020186</v>
      </c>
      <c r="D108" s="552">
        <v>4680115887664</v>
      </c>
      <c r="E108" s="553"/>
      <c r="F108" s="544">
        <v>0.1</v>
      </c>
      <c r="G108" s="32">
        <v>10</v>
      </c>
      <c r="H108" s="544">
        <v>1</v>
      </c>
      <c r="I108" s="544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76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5">
        <v>0</v>
      </c>
      <c r="Y108" s="546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4301020346</v>
      </c>
      <c r="D109" s="552">
        <v>4680115882775</v>
      </c>
      <c r="E109" s="553"/>
      <c r="F109" s="544">
        <v>0.3</v>
      </c>
      <c r="G109" s="32">
        <v>8</v>
      </c>
      <c r="H109" s="544">
        <v>2.4</v>
      </c>
      <c r="I109" s="544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77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4301020344</v>
      </c>
      <c r="D110" s="552">
        <v>4680115880658</v>
      </c>
      <c r="E110" s="553"/>
      <c r="F110" s="544">
        <v>0.4</v>
      </c>
      <c r="G110" s="32">
        <v>6</v>
      </c>
      <c r="H110" s="544">
        <v>2.4</v>
      </c>
      <c r="I110" s="544">
        <v>2.58</v>
      </c>
      <c r="J110" s="32">
        <v>182</v>
      </c>
      <c r="K110" s="32" t="s">
        <v>67</v>
      </c>
      <c r="L110" s="32" t="s">
        <v>213</v>
      </c>
      <c r="M110" s="33" t="s">
        <v>104</v>
      </c>
      <c r="N110" s="33"/>
      <c r="O110" s="32">
        <v>55</v>
      </c>
      <c r="P110" s="83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0"/>
      <c r="R110" s="550"/>
      <c r="S110" s="550"/>
      <c r="T110" s="551"/>
      <c r="U110" s="34"/>
      <c r="V110" s="34"/>
      <c r="W110" s="35" t="s">
        <v>69</v>
      </c>
      <c r="X110" s="545">
        <v>0</v>
      </c>
      <c r="Y110" s="546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 t="s">
        <v>106</v>
      </c>
      <c r="AK110" s="68">
        <v>33.6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idden="1" x14ac:dyDescent="0.2">
      <c r="A111" s="561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62"/>
      <c r="P111" s="567" t="s">
        <v>75</v>
      </c>
      <c r="Q111" s="568"/>
      <c r="R111" s="568"/>
      <c r="S111" s="568"/>
      <c r="T111" s="568"/>
      <c r="U111" s="568"/>
      <c r="V111" s="569"/>
      <c r="W111" s="37" t="s">
        <v>76</v>
      </c>
      <c r="X111" s="547">
        <f>IFERROR(X107/H107,"0")+IFERROR(X108/H108,"0")+IFERROR(X109/H109,"0")+IFERROR(X110/H110,"0")</f>
        <v>0</v>
      </c>
      <c r="Y111" s="547">
        <f>IFERROR(Y107/H107,"0")+IFERROR(Y108/H108,"0")+IFERROR(Y109/H109,"0")+IFERROR(Y110/H110,"0")</f>
        <v>0</v>
      </c>
      <c r="Z111" s="547">
        <f>IFERROR(IF(Z107="",0,Z107),"0")+IFERROR(IF(Z108="",0,Z108),"0")+IFERROR(IF(Z109="",0,Z109),"0")+IFERROR(IF(Z110="",0,Z110),"0")</f>
        <v>0</v>
      </c>
      <c r="AA111" s="548"/>
      <c r="AB111" s="548"/>
      <c r="AC111" s="548"/>
    </row>
    <row r="112" spans="1:68" hidden="1" x14ac:dyDescent="0.2">
      <c r="A112" s="559"/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62"/>
      <c r="P112" s="567" t="s">
        <v>75</v>
      </c>
      <c r="Q112" s="568"/>
      <c r="R112" s="568"/>
      <c r="S112" s="568"/>
      <c r="T112" s="568"/>
      <c r="U112" s="568"/>
      <c r="V112" s="569"/>
      <c r="W112" s="37" t="s">
        <v>69</v>
      </c>
      <c r="X112" s="547">
        <f>IFERROR(SUM(X107:X110),"0")</f>
        <v>0</v>
      </c>
      <c r="Y112" s="547">
        <f>IFERROR(SUM(Y107:Y110),"0")</f>
        <v>0</v>
      </c>
      <c r="Z112" s="37"/>
      <c r="AA112" s="548"/>
      <c r="AB112" s="548"/>
      <c r="AC112" s="548"/>
    </row>
    <row r="113" spans="1:68" ht="14.25" hidden="1" customHeight="1" x14ac:dyDescent="0.25">
      <c r="A113" s="558" t="s">
        <v>77</v>
      </c>
      <c r="B113" s="559"/>
      <c r="C113" s="559"/>
      <c r="D113" s="559"/>
      <c r="E113" s="559"/>
      <c r="F113" s="559"/>
      <c r="G113" s="559"/>
      <c r="H113" s="559"/>
      <c r="I113" s="559"/>
      <c r="J113" s="559"/>
      <c r="K113" s="559"/>
      <c r="L113" s="559"/>
      <c r="M113" s="559"/>
      <c r="N113" s="559"/>
      <c r="O113" s="559"/>
      <c r="P113" s="559"/>
      <c r="Q113" s="559"/>
      <c r="R113" s="559"/>
      <c r="S113" s="559"/>
      <c r="T113" s="559"/>
      <c r="U113" s="559"/>
      <c r="V113" s="559"/>
      <c r="W113" s="559"/>
      <c r="X113" s="559"/>
      <c r="Y113" s="559"/>
      <c r="Z113" s="559"/>
      <c r="AA113" s="541"/>
      <c r="AB113" s="541"/>
      <c r="AC113" s="541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2">
        <v>4607091385168</v>
      </c>
      <c r="E114" s="553"/>
      <c r="F114" s="544">
        <v>1.35</v>
      </c>
      <c r="G114" s="32">
        <v>6</v>
      </c>
      <c r="H114" s="544">
        <v>8.1</v>
      </c>
      <c r="I114" s="544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81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5">
        <v>100</v>
      </c>
      <c r="Y114" s="546">
        <f>IFERROR(IF(X114="",0,CEILING((X114/$H114),1)*$H114),"")</f>
        <v>105.3</v>
      </c>
      <c r="Z114" s="36">
        <f>IFERROR(IF(Y114=0,"",ROUNDUP(Y114/H114,0)*0.01898),"")</f>
        <v>0.24674000000000001</v>
      </c>
      <c r="AA114" s="56"/>
      <c r="AB114" s="57"/>
      <c r="AC114" s="159" t="s">
        <v>216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106.0246913580247</v>
      </c>
      <c r="BN114" s="64">
        <f>IFERROR(Y114*I114/H114,"0")</f>
        <v>111.64399999999999</v>
      </c>
      <c r="BO114" s="64">
        <f>IFERROR(1/J114*(X114/H114),"0")</f>
        <v>0.19290123456790123</v>
      </c>
      <c r="BP114" s="64">
        <f>IFERROR(1/J114*(Y114/H114),"0")</f>
        <v>0.203125</v>
      </c>
    </row>
    <row r="115" spans="1:68" ht="27" hidden="1" customHeight="1" x14ac:dyDescent="0.25">
      <c r="A115" s="54" t="s">
        <v>217</v>
      </c>
      <c r="B115" s="54" t="s">
        <v>218</v>
      </c>
      <c r="C115" s="31">
        <v>4301051730</v>
      </c>
      <c r="D115" s="552">
        <v>4607091383256</v>
      </c>
      <c r="E115" s="553"/>
      <c r="F115" s="544">
        <v>0.33</v>
      </c>
      <c r="G115" s="32">
        <v>6</v>
      </c>
      <c r="H115" s="544">
        <v>1.98</v>
      </c>
      <c r="I115" s="544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2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5">
        <v>0</v>
      </c>
      <c r="Y115" s="546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2">
        <v>4607091385748</v>
      </c>
      <c r="E116" s="553"/>
      <c r="F116" s="544">
        <v>0.45</v>
      </c>
      <c r="G116" s="32">
        <v>6</v>
      </c>
      <c r="H116" s="544">
        <v>2.7</v>
      </c>
      <c r="I116" s="544">
        <v>2.952</v>
      </c>
      <c r="J116" s="32">
        <v>182</v>
      </c>
      <c r="K116" s="32" t="s">
        <v>67</v>
      </c>
      <c r="L116" s="32" t="s">
        <v>213</v>
      </c>
      <c r="M116" s="33" t="s">
        <v>86</v>
      </c>
      <c r="N116" s="33"/>
      <c r="O116" s="32">
        <v>45</v>
      </c>
      <c r="P116" s="65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5">
        <v>113</v>
      </c>
      <c r="Y116" s="546">
        <f>IFERROR(IF(X116="",0,CEILING((X116/$H116),1)*$H116),"")</f>
        <v>113.4</v>
      </c>
      <c r="Z116" s="36">
        <f>IFERROR(IF(Y116=0,"",ROUNDUP(Y116/H116,0)*0.00651),"")</f>
        <v>0.27342</v>
      </c>
      <c r="AA116" s="56"/>
      <c r="AB116" s="57"/>
      <c r="AC116" s="163" t="s">
        <v>216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123.54666666666667</v>
      </c>
      <c r="BN116" s="64">
        <f>IFERROR(Y116*I116/H116,"0")</f>
        <v>123.98399999999999</v>
      </c>
      <c r="BO116" s="64">
        <f>IFERROR(1/J116*(X116/H116),"0")</f>
        <v>0.22995522995522996</v>
      </c>
      <c r="BP116" s="64">
        <f>IFERROR(1/J116*(Y116/H116),"0")</f>
        <v>0.23076923076923078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2">
        <v>4680115884533</v>
      </c>
      <c r="E117" s="553"/>
      <c r="F117" s="544">
        <v>0.3</v>
      </c>
      <c r="G117" s="32">
        <v>6</v>
      </c>
      <c r="H117" s="544">
        <v>1.8</v>
      </c>
      <c r="I117" s="544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68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0"/>
      <c r="R117" s="550"/>
      <c r="S117" s="550"/>
      <c r="T117" s="551"/>
      <c r="U117" s="34"/>
      <c r="V117" s="34"/>
      <c r="W117" s="35" t="s">
        <v>69</v>
      </c>
      <c r="X117" s="545">
        <v>0</v>
      </c>
      <c r="Y117" s="546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1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62"/>
      <c r="P118" s="567" t="s">
        <v>75</v>
      </c>
      <c r="Q118" s="568"/>
      <c r="R118" s="568"/>
      <c r="S118" s="568"/>
      <c r="T118" s="568"/>
      <c r="U118" s="568"/>
      <c r="V118" s="569"/>
      <c r="W118" s="37" t="s">
        <v>76</v>
      </c>
      <c r="X118" s="547">
        <f>IFERROR(X114/H114,"0")+IFERROR(X115/H115,"0")+IFERROR(X116/H116,"0")+IFERROR(X117/H117,"0")</f>
        <v>54.197530864197525</v>
      </c>
      <c r="Y118" s="547">
        <f>IFERROR(Y114/H114,"0")+IFERROR(Y115/H115,"0")+IFERROR(Y116/H116,"0")+IFERROR(Y117/H117,"0")</f>
        <v>55</v>
      </c>
      <c r="Z118" s="547">
        <f>IFERROR(IF(Z114="",0,Z114),"0")+IFERROR(IF(Z115="",0,Z115),"0")+IFERROR(IF(Z116="",0,Z116),"0")+IFERROR(IF(Z117="",0,Z117),"0")</f>
        <v>0.52015999999999996</v>
      </c>
      <c r="AA118" s="548"/>
      <c r="AB118" s="548"/>
      <c r="AC118" s="548"/>
    </row>
    <row r="119" spans="1:68" x14ac:dyDescent="0.2">
      <c r="A119" s="559"/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62"/>
      <c r="P119" s="567" t="s">
        <v>75</v>
      </c>
      <c r="Q119" s="568"/>
      <c r="R119" s="568"/>
      <c r="S119" s="568"/>
      <c r="T119" s="568"/>
      <c r="U119" s="568"/>
      <c r="V119" s="569"/>
      <c r="W119" s="37" t="s">
        <v>69</v>
      </c>
      <c r="X119" s="547">
        <f>IFERROR(SUM(X114:X117),"0")</f>
        <v>213</v>
      </c>
      <c r="Y119" s="547">
        <f>IFERROR(SUM(Y114:Y117),"0")</f>
        <v>218.7</v>
      </c>
      <c r="Z119" s="37"/>
      <c r="AA119" s="548"/>
      <c r="AB119" s="548"/>
      <c r="AC119" s="548"/>
    </row>
    <row r="120" spans="1:68" ht="14.25" hidden="1" customHeight="1" x14ac:dyDescent="0.25">
      <c r="A120" s="558" t="s">
        <v>160</v>
      </c>
      <c r="B120" s="559"/>
      <c r="C120" s="559"/>
      <c r="D120" s="559"/>
      <c r="E120" s="559"/>
      <c r="F120" s="559"/>
      <c r="G120" s="559"/>
      <c r="H120" s="559"/>
      <c r="I120" s="559"/>
      <c r="J120" s="559"/>
      <c r="K120" s="559"/>
      <c r="L120" s="559"/>
      <c r="M120" s="559"/>
      <c r="N120" s="559"/>
      <c r="O120" s="559"/>
      <c r="P120" s="559"/>
      <c r="Q120" s="559"/>
      <c r="R120" s="559"/>
      <c r="S120" s="559"/>
      <c r="T120" s="559"/>
      <c r="U120" s="559"/>
      <c r="V120" s="559"/>
      <c r="W120" s="559"/>
      <c r="X120" s="559"/>
      <c r="Y120" s="559"/>
      <c r="Z120" s="559"/>
      <c r="AA120" s="541"/>
      <c r="AB120" s="541"/>
      <c r="AC120" s="541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2">
        <v>4680115880238</v>
      </c>
      <c r="E121" s="553"/>
      <c r="F121" s="544">
        <v>0.33</v>
      </c>
      <c r="G121" s="32">
        <v>6</v>
      </c>
      <c r="H121" s="544">
        <v>1.98</v>
      </c>
      <c r="I121" s="544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83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0"/>
      <c r="R121" s="550"/>
      <c r="S121" s="550"/>
      <c r="T121" s="551"/>
      <c r="U121" s="34"/>
      <c r="V121" s="34"/>
      <c r="W121" s="35" t="s">
        <v>69</v>
      </c>
      <c r="X121" s="545">
        <v>0</v>
      </c>
      <c r="Y121" s="546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1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62"/>
      <c r="P122" s="567" t="s">
        <v>75</v>
      </c>
      <c r="Q122" s="568"/>
      <c r="R122" s="568"/>
      <c r="S122" s="568"/>
      <c r="T122" s="568"/>
      <c r="U122" s="568"/>
      <c r="V122" s="569"/>
      <c r="W122" s="37" t="s">
        <v>76</v>
      </c>
      <c r="X122" s="547">
        <f>IFERROR(X121/H121,"0")</f>
        <v>0</v>
      </c>
      <c r="Y122" s="547">
        <f>IFERROR(Y121/H121,"0")</f>
        <v>0</v>
      </c>
      <c r="Z122" s="547">
        <f>IFERROR(IF(Z121="",0,Z121),"0")</f>
        <v>0</v>
      </c>
      <c r="AA122" s="548"/>
      <c r="AB122" s="548"/>
      <c r="AC122" s="548"/>
    </row>
    <row r="123" spans="1:68" hidden="1" x14ac:dyDescent="0.2">
      <c r="A123" s="559"/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62"/>
      <c r="P123" s="567" t="s">
        <v>75</v>
      </c>
      <c r="Q123" s="568"/>
      <c r="R123" s="568"/>
      <c r="S123" s="568"/>
      <c r="T123" s="568"/>
      <c r="U123" s="568"/>
      <c r="V123" s="569"/>
      <c r="W123" s="37" t="s">
        <v>69</v>
      </c>
      <c r="X123" s="547">
        <f>IFERROR(SUM(X121:X121),"0")</f>
        <v>0</v>
      </c>
      <c r="Y123" s="547">
        <f>IFERROR(SUM(Y121:Y121),"0")</f>
        <v>0</v>
      </c>
      <c r="Z123" s="37"/>
      <c r="AA123" s="548"/>
      <c r="AB123" s="548"/>
      <c r="AC123" s="548"/>
    </row>
    <row r="124" spans="1:68" ht="16.5" hidden="1" customHeight="1" x14ac:dyDescent="0.25">
      <c r="A124" s="560" t="s">
        <v>227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0"/>
      <c r="AB124" s="540"/>
      <c r="AC124" s="540"/>
    </row>
    <row r="125" spans="1:68" ht="14.25" hidden="1" customHeight="1" x14ac:dyDescent="0.25">
      <c r="A125" s="558" t="s">
        <v>99</v>
      </c>
      <c r="B125" s="559"/>
      <c r="C125" s="559"/>
      <c r="D125" s="559"/>
      <c r="E125" s="559"/>
      <c r="F125" s="559"/>
      <c r="G125" s="559"/>
      <c r="H125" s="559"/>
      <c r="I125" s="559"/>
      <c r="J125" s="559"/>
      <c r="K125" s="559"/>
      <c r="L125" s="559"/>
      <c r="M125" s="559"/>
      <c r="N125" s="559"/>
      <c r="O125" s="559"/>
      <c r="P125" s="559"/>
      <c r="Q125" s="559"/>
      <c r="R125" s="559"/>
      <c r="S125" s="559"/>
      <c r="T125" s="559"/>
      <c r="U125" s="559"/>
      <c r="V125" s="559"/>
      <c r="W125" s="559"/>
      <c r="X125" s="559"/>
      <c r="Y125" s="559"/>
      <c r="Z125" s="559"/>
      <c r="AA125" s="541"/>
      <c r="AB125" s="541"/>
      <c r="AC125" s="541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52">
        <v>4680115882577</v>
      </c>
      <c r="E126" s="553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/>
      <c r="M126" s="33" t="s">
        <v>94</v>
      </c>
      <c r="N126" s="33"/>
      <c r="O126" s="32">
        <v>90</v>
      </c>
      <c r="P126" s="86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4301011562</v>
      </c>
      <c r="D127" s="552">
        <v>4680115882577</v>
      </c>
      <c r="E127" s="553"/>
      <c r="F127" s="544">
        <v>0.4</v>
      </c>
      <c r="G127" s="32">
        <v>8</v>
      </c>
      <c r="H127" s="544">
        <v>3.2</v>
      </c>
      <c r="I127" s="544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82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0"/>
      <c r="R127" s="550"/>
      <c r="S127" s="550"/>
      <c r="T127" s="551"/>
      <c r="U127" s="34"/>
      <c r="V127" s="34"/>
      <c r="W127" s="35" t="s">
        <v>69</v>
      </c>
      <c r="X127" s="545">
        <v>0</v>
      </c>
      <c r="Y127" s="54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61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62"/>
      <c r="P128" s="567" t="s">
        <v>75</v>
      </c>
      <c r="Q128" s="568"/>
      <c r="R128" s="568"/>
      <c r="S128" s="568"/>
      <c r="T128" s="568"/>
      <c r="U128" s="568"/>
      <c r="V128" s="569"/>
      <c r="W128" s="37" t="s">
        <v>76</v>
      </c>
      <c r="X128" s="547">
        <f>IFERROR(X126/H126,"0")+IFERROR(X127/H127,"0")</f>
        <v>0</v>
      </c>
      <c r="Y128" s="547">
        <f>IFERROR(Y126/H126,"0")+IFERROR(Y127/H127,"0")</f>
        <v>0</v>
      </c>
      <c r="Z128" s="547">
        <f>IFERROR(IF(Z126="",0,Z126),"0")+IFERROR(IF(Z127="",0,Z127),"0")</f>
        <v>0</v>
      </c>
      <c r="AA128" s="548"/>
      <c r="AB128" s="548"/>
      <c r="AC128" s="548"/>
    </row>
    <row r="129" spans="1:68" hidden="1" x14ac:dyDescent="0.2">
      <c r="A129" s="559"/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62"/>
      <c r="P129" s="567" t="s">
        <v>75</v>
      </c>
      <c r="Q129" s="568"/>
      <c r="R129" s="568"/>
      <c r="S129" s="568"/>
      <c r="T129" s="568"/>
      <c r="U129" s="568"/>
      <c r="V129" s="569"/>
      <c r="W129" s="37" t="s">
        <v>69</v>
      </c>
      <c r="X129" s="547">
        <f>IFERROR(SUM(X126:X127),"0")</f>
        <v>0</v>
      </c>
      <c r="Y129" s="547">
        <f>IFERROR(SUM(Y126:Y127),"0")</f>
        <v>0</v>
      </c>
      <c r="Z129" s="37"/>
      <c r="AA129" s="548"/>
      <c r="AB129" s="548"/>
      <c r="AC129" s="548"/>
    </row>
    <row r="130" spans="1:68" ht="14.25" hidden="1" customHeight="1" x14ac:dyDescent="0.25">
      <c r="A130" s="558" t="s">
        <v>64</v>
      </c>
      <c r="B130" s="559"/>
      <c r="C130" s="559"/>
      <c r="D130" s="559"/>
      <c r="E130" s="559"/>
      <c r="F130" s="559"/>
      <c r="G130" s="559"/>
      <c r="H130" s="559"/>
      <c r="I130" s="559"/>
      <c r="J130" s="559"/>
      <c r="K130" s="559"/>
      <c r="L130" s="559"/>
      <c r="M130" s="559"/>
      <c r="N130" s="559"/>
      <c r="O130" s="559"/>
      <c r="P130" s="559"/>
      <c r="Q130" s="559"/>
      <c r="R130" s="559"/>
      <c r="S130" s="559"/>
      <c r="T130" s="559"/>
      <c r="U130" s="559"/>
      <c r="V130" s="559"/>
      <c r="W130" s="559"/>
      <c r="X130" s="559"/>
      <c r="Y130" s="559"/>
      <c r="Z130" s="559"/>
      <c r="AA130" s="541"/>
      <c r="AB130" s="541"/>
      <c r="AC130" s="541"/>
    </row>
    <row r="131" spans="1:68" ht="27" hidden="1" customHeight="1" x14ac:dyDescent="0.25">
      <c r="A131" s="54" t="s">
        <v>232</v>
      </c>
      <c r="B131" s="54" t="s">
        <v>233</v>
      </c>
      <c r="C131" s="31">
        <v>4301031234</v>
      </c>
      <c r="D131" s="552">
        <v>4680115883444</v>
      </c>
      <c r="E131" s="553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64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5">
        <v>0</v>
      </c>
      <c r="Y131" s="54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52">
        <v>4680115883444</v>
      </c>
      <c r="E132" s="553"/>
      <c r="F132" s="544">
        <v>0.35</v>
      </c>
      <c r="G132" s="32">
        <v>8</v>
      </c>
      <c r="H132" s="544">
        <v>2.8</v>
      </c>
      <c r="I132" s="544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0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0"/>
      <c r="R132" s="550"/>
      <c r="S132" s="550"/>
      <c r="T132" s="551"/>
      <c r="U132" s="34"/>
      <c r="V132" s="34"/>
      <c r="W132" s="35" t="s">
        <v>69</v>
      </c>
      <c r="X132" s="545">
        <v>0</v>
      </c>
      <c r="Y132" s="54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61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62"/>
      <c r="P133" s="567" t="s">
        <v>75</v>
      </c>
      <c r="Q133" s="568"/>
      <c r="R133" s="568"/>
      <c r="S133" s="568"/>
      <c r="T133" s="568"/>
      <c r="U133" s="568"/>
      <c r="V133" s="569"/>
      <c r="W133" s="37" t="s">
        <v>76</v>
      </c>
      <c r="X133" s="547">
        <f>IFERROR(X131/H131,"0")+IFERROR(X132/H132,"0")</f>
        <v>0</v>
      </c>
      <c r="Y133" s="547">
        <f>IFERROR(Y131/H131,"0")+IFERROR(Y132/H132,"0")</f>
        <v>0</v>
      </c>
      <c r="Z133" s="547">
        <f>IFERROR(IF(Z131="",0,Z131),"0")+IFERROR(IF(Z132="",0,Z132),"0")</f>
        <v>0</v>
      </c>
      <c r="AA133" s="548"/>
      <c r="AB133" s="548"/>
      <c r="AC133" s="548"/>
    </row>
    <row r="134" spans="1:68" hidden="1" x14ac:dyDescent="0.2">
      <c r="A134" s="559"/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62"/>
      <c r="P134" s="567" t="s">
        <v>75</v>
      </c>
      <c r="Q134" s="568"/>
      <c r="R134" s="568"/>
      <c r="S134" s="568"/>
      <c r="T134" s="568"/>
      <c r="U134" s="568"/>
      <c r="V134" s="569"/>
      <c r="W134" s="37" t="s">
        <v>69</v>
      </c>
      <c r="X134" s="547">
        <f>IFERROR(SUM(X131:X132),"0")</f>
        <v>0</v>
      </c>
      <c r="Y134" s="547">
        <f>IFERROR(SUM(Y131:Y132),"0")</f>
        <v>0</v>
      </c>
      <c r="Z134" s="37"/>
      <c r="AA134" s="548"/>
      <c r="AB134" s="548"/>
      <c r="AC134" s="548"/>
    </row>
    <row r="135" spans="1:68" ht="14.25" hidden="1" customHeight="1" x14ac:dyDescent="0.25">
      <c r="A135" s="558" t="s">
        <v>77</v>
      </c>
      <c r="B135" s="559"/>
      <c r="C135" s="559"/>
      <c r="D135" s="559"/>
      <c r="E135" s="559"/>
      <c r="F135" s="559"/>
      <c r="G135" s="559"/>
      <c r="H135" s="559"/>
      <c r="I135" s="559"/>
      <c r="J135" s="559"/>
      <c r="K135" s="559"/>
      <c r="L135" s="559"/>
      <c r="M135" s="559"/>
      <c r="N135" s="559"/>
      <c r="O135" s="559"/>
      <c r="P135" s="559"/>
      <c r="Q135" s="559"/>
      <c r="R135" s="559"/>
      <c r="S135" s="559"/>
      <c r="T135" s="559"/>
      <c r="U135" s="559"/>
      <c r="V135" s="559"/>
      <c r="W135" s="559"/>
      <c r="X135" s="559"/>
      <c r="Y135" s="559"/>
      <c r="Z135" s="559"/>
      <c r="AA135" s="541"/>
      <c r="AB135" s="541"/>
      <c r="AC135" s="541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2">
        <v>4680115882584</v>
      </c>
      <c r="E136" s="553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84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0"/>
      <c r="R136" s="550"/>
      <c r="S136" s="550"/>
      <c r="T136" s="551"/>
      <c r="U136" s="34"/>
      <c r="V136" s="34"/>
      <c r="W136" s="35" t="s">
        <v>69</v>
      </c>
      <c r="X136" s="545">
        <v>0</v>
      </c>
      <c r="Y136" s="54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2">
        <v>4680115882584</v>
      </c>
      <c r="E137" s="553"/>
      <c r="F137" s="544">
        <v>0.33</v>
      </c>
      <c r="G137" s="32">
        <v>8</v>
      </c>
      <c r="H137" s="544">
        <v>2.64</v>
      </c>
      <c r="I137" s="544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69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0"/>
      <c r="R137" s="550"/>
      <c r="S137" s="550"/>
      <c r="T137" s="551"/>
      <c r="U137" s="34"/>
      <c r="V137" s="34"/>
      <c r="W137" s="35" t="s">
        <v>69</v>
      </c>
      <c r="X137" s="545">
        <v>0</v>
      </c>
      <c r="Y137" s="54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61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62"/>
      <c r="P138" s="567" t="s">
        <v>75</v>
      </c>
      <c r="Q138" s="568"/>
      <c r="R138" s="568"/>
      <c r="S138" s="568"/>
      <c r="T138" s="568"/>
      <c r="U138" s="568"/>
      <c r="V138" s="569"/>
      <c r="W138" s="37" t="s">
        <v>76</v>
      </c>
      <c r="X138" s="547">
        <f>IFERROR(X136/H136,"0")+IFERROR(X137/H137,"0")</f>
        <v>0</v>
      </c>
      <c r="Y138" s="547">
        <f>IFERROR(Y136/H136,"0")+IFERROR(Y137/H137,"0")</f>
        <v>0</v>
      </c>
      <c r="Z138" s="547">
        <f>IFERROR(IF(Z136="",0,Z136),"0")+IFERROR(IF(Z137="",0,Z137),"0")</f>
        <v>0</v>
      </c>
      <c r="AA138" s="548"/>
      <c r="AB138" s="548"/>
      <c r="AC138" s="548"/>
    </row>
    <row r="139" spans="1:68" hidden="1" x14ac:dyDescent="0.2">
      <c r="A139" s="559"/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62"/>
      <c r="P139" s="567" t="s">
        <v>75</v>
      </c>
      <c r="Q139" s="568"/>
      <c r="R139" s="568"/>
      <c r="S139" s="568"/>
      <c r="T139" s="568"/>
      <c r="U139" s="568"/>
      <c r="V139" s="569"/>
      <c r="W139" s="37" t="s">
        <v>69</v>
      </c>
      <c r="X139" s="547">
        <f>IFERROR(SUM(X136:X137),"0")</f>
        <v>0</v>
      </c>
      <c r="Y139" s="547">
        <f>IFERROR(SUM(Y136:Y137),"0")</f>
        <v>0</v>
      </c>
      <c r="Z139" s="37"/>
      <c r="AA139" s="548"/>
      <c r="AB139" s="548"/>
      <c r="AC139" s="548"/>
    </row>
    <row r="140" spans="1:68" ht="16.5" hidden="1" customHeight="1" x14ac:dyDescent="0.25">
      <c r="A140" s="560" t="s">
        <v>97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0"/>
      <c r="AB140" s="540"/>
      <c r="AC140" s="540"/>
    </row>
    <row r="141" spans="1:68" ht="14.25" hidden="1" customHeight="1" x14ac:dyDescent="0.25">
      <c r="A141" s="558" t="s">
        <v>99</v>
      </c>
      <c r="B141" s="559"/>
      <c r="C141" s="559"/>
      <c r="D141" s="559"/>
      <c r="E141" s="559"/>
      <c r="F141" s="559"/>
      <c r="G141" s="559"/>
      <c r="H141" s="559"/>
      <c r="I141" s="559"/>
      <c r="J141" s="559"/>
      <c r="K141" s="559"/>
      <c r="L141" s="559"/>
      <c r="M141" s="559"/>
      <c r="N141" s="559"/>
      <c r="O141" s="559"/>
      <c r="P141" s="559"/>
      <c r="Q141" s="559"/>
      <c r="R141" s="559"/>
      <c r="S141" s="559"/>
      <c r="T141" s="559"/>
      <c r="U141" s="559"/>
      <c r="V141" s="559"/>
      <c r="W141" s="559"/>
      <c r="X141" s="559"/>
      <c r="Y141" s="559"/>
      <c r="Z141" s="559"/>
      <c r="AA141" s="541"/>
      <c r="AB141" s="541"/>
      <c r="AC141" s="541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2">
        <v>4680115887374</v>
      </c>
      <c r="E142" s="553"/>
      <c r="F142" s="544">
        <v>1.6</v>
      </c>
      <c r="G142" s="32">
        <v>8</v>
      </c>
      <c r="H142" s="544">
        <v>12.8</v>
      </c>
      <c r="I142" s="544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67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5">
        <v>0</v>
      </c>
      <c r="Y142" s="546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2">
        <v>4607091384604</v>
      </c>
      <c r="E143" s="553"/>
      <c r="F143" s="544">
        <v>0.4</v>
      </c>
      <c r="G143" s="32">
        <v>10</v>
      </c>
      <c r="H143" s="544">
        <v>4</v>
      </c>
      <c r="I143" s="544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5">
        <v>0</v>
      </c>
      <c r="Y143" s="546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1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62"/>
      <c r="P144" s="567" t="s">
        <v>75</v>
      </c>
      <c r="Q144" s="568"/>
      <c r="R144" s="568"/>
      <c r="S144" s="568"/>
      <c r="T144" s="568"/>
      <c r="U144" s="568"/>
      <c r="V144" s="569"/>
      <c r="W144" s="37" t="s">
        <v>76</v>
      </c>
      <c r="X144" s="547">
        <f>IFERROR(X142/H142,"0")+IFERROR(X143/H143,"0")</f>
        <v>0</v>
      </c>
      <c r="Y144" s="547">
        <f>IFERROR(Y142/H142,"0")+IFERROR(Y143/H143,"0")</f>
        <v>0</v>
      </c>
      <c r="Z144" s="547">
        <f>IFERROR(IF(Z142="",0,Z142),"0")+IFERROR(IF(Z143="",0,Z143),"0")</f>
        <v>0</v>
      </c>
      <c r="AA144" s="548"/>
      <c r="AB144" s="548"/>
      <c r="AC144" s="548"/>
    </row>
    <row r="145" spans="1:68" hidden="1" x14ac:dyDescent="0.2">
      <c r="A145" s="559"/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62"/>
      <c r="P145" s="567" t="s">
        <v>75</v>
      </c>
      <c r="Q145" s="568"/>
      <c r="R145" s="568"/>
      <c r="S145" s="568"/>
      <c r="T145" s="568"/>
      <c r="U145" s="568"/>
      <c r="V145" s="569"/>
      <c r="W145" s="37" t="s">
        <v>69</v>
      </c>
      <c r="X145" s="547">
        <f>IFERROR(SUM(X142:X143),"0")</f>
        <v>0</v>
      </c>
      <c r="Y145" s="547">
        <f>IFERROR(SUM(Y142:Y143),"0")</f>
        <v>0</v>
      </c>
      <c r="Z145" s="37"/>
      <c r="AA145" s="548"/>
      <c r="AB145" s="548"/>
      <c r="AC145" s="548"/>
    </row>
    <row r="146" spans="1:68" ht="14.25" hidden="1" customHeight="1" x14ac:dyDescent="0.25">
      <c r="A146" s="558" t="s">
        <v>64</v>
      </c>
      <c r="B146" s="559"/>
      <c r="C146" s="559"/>
      <c r="D146" s="559"/>
      <c r="E146" s="559"/>
      <c r="F146" s="559"/>
      <c r="G146" s="559"/>
      <c r="H146" s="559"/>
      <c r="I146" s="559"/>
      <c r="J146" s="559"/>
      <c r="K146" s="559"/>
      <c r="L146" s="559"/>
      <c r="M146" s="559"/>
      <c r="N146" s="559"/>
      <c r="O146" s="559"/>
      <c r="P146" s="559"/>
      <c r="Q146" s="559"/>
      <c r="R146" s="559"/>
      <c r="S146" s="559"/>
      <c r="T146" s="559"/>
      <c r="U146" s="559"/>
      <c r="V146" s="559"/>
      <c r="W146" s="559"/>
      <c r="X146" s="559"/>
      <c r="Y146" s="559"/>
      <c r="Z146" s="559"/>
      <c r="AA146" s="541"/>
      <c r="AB146" s="541"/>
      <c r="AC146" s="541"/>
    </row>
    <row r="147" spans="1:68" ht="16.5" hidden="1" customHeight="1" x14ac:dyDescent="0.25">
      <c r="A147" s="54" t="s">
        <v>245</v>
      </c>
      <c r="B147" s="54" t="s">
        <v>246</v>
      </c>
      <c r="C147" s="31">
        <v>4301031450</v>
      </c>
      <c r="D147" s="552">
        <v>4680115887428</v>
      </c>
      <c r="E147" s="553"/>
      <c r="F147" s="544">
        <v>0.7</v>
      </c>
      <c r="G147" s="32">
        <v>6</v>
      </c>
      <c r="H147" s="544">
        <v>4.2</v>
      </c>
      <c r="I147" s="544">
        <v>4.3899999999999997</v>
      </c>
      <c r="J147" s="32">
        <v>132</v>
      </c>
      <c r="K147" s="32" t="s">
        <v>109</v>
      </c>
      <c r="L147" s="32"/>
      <c r="M147" s="33" t="s">
        <v>68</v>
      </c>
      <c r="N147" s="33"/>
      <c r="O147" s="32">
        <v>40</v>
      </c>
      <c r="P147" s="62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0"/>
      <c r="R147" s="550"/>
      <c r="S147" s="550"/>
      <c r="T147" s="551"/>
      <c r="U147" s="34"/>
      <c r="V147" s="34"/>
      <c r="W147" s="35" t="s">
        <v>69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4301030961</v>
      </c>
      <c r="D148" s="552">
        <v>4607091387636</v>
      </c>
      <c r="E148" s="553"/>
      <c r="F148" s="544">
        <v>0.7</v>
      </c>
      <c r="G148" s="32">
        <v>6</v>
      </c>
      <c r="H148" s="544">
        <v>4.2</v>
      </c>
      <c r="I148" s="544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hidden="1" customHeight="1" x14ac:dyDescent="0.25">
      <c r="A149" s="54" t="s">
        <v>251</v>
      </c>
      <c r="B149" s="54" t="s">
        <v>252</v>
      </c>
      <c r="C149" s="31">
        <v>4301031453</v>
      </c>
      <c r="D149" s="552">
        <v>4680115887336</v>
      </c>
      <c r="E149" s="553"/>
      <c r="F149" s="544">
        <v>0.7</v>
      </c>
      <c r="G149" s="32">
        <v>6</v>
      </c>
      <c r="H149" s="544">
        <v>4.2</v>
      </c>
      <c r="I149" s="544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6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0"/>
      <c r="R149" s="550"/>
      <c r="S149" s="550"/>
      <c r="T149" s="551"/>
      <c r="U149" s="34"/>
      <c r="V149" s="34"/>
      <c r="W149" s="35" t="s">
        <v>69</v>
      </c>
      <c r="X149" s="545">
        <v>0</v>
      </c>
      <c r="Y149" s="546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4301030963</v>
      </c>
      <c r="D150" s="552">
        <v>4607091382426</v>
      </c>
      <c r="E150" s="553"/>
      <c r="F150" s="544">
        <v>0.9</v>
      </c>
      <c r="G150" s="32">
        <v>10</v>
      </c>
      <c r="H150" s="544">
        <v>9</v>
      </c>
      <c r="I150" s="544">
        <v>9.56</v>
      </c>
      <c r="J150" s="32">
        <v>64</v>
      </c>
      <c r="K150" s="32" t="s">
        <v>102</v>
      </c>
      <c r="L150" s="32"/>
      <c r="M150" s="33" t="s">
        <v>68</v>
      </c>
      <c r="N150" s="33"/>
      <c r="O150" s="32">
        <v>40</v>
      </c>
      <c r="P150" s="58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0"/>
      <c r="R150" s="550"/>
      <c r="S150" s="550"/>
      <c r="T150" s="551"/>
      <c r="U150" s="34"/>
      <c r="V150" s="34"/>
      <c r="W150" s="35" t="s">
        <v>69</v>
      </c>
      <c r="X150" s="545">
        <v>0</v>
      </c>
      <c r="Y150" s="546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4301031456</v>
      </c>
      <c r="D151" s="552">
        <v>4680115887398</v>
      </c>
      <c r="E151" s="553"/>
      <c r="F151" s="544">
        <v>0.7</v>
      </c>
      <c r="G151" s="32">
        <v>6</v>
      </c>
      <c r="H151" s="544">
        <v>4.2</v>
      </c>
      <c r="I151" s="544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56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0"/>
      <c r="R151" s="550"/>
      <c r="S151" s="550"/>
      <c r="T151" s="551"/>
      <c r="U151" s="34"/>
      <c r="V151" s="34"/>
      <c r="W151" s="35" t="s">
        <v>69</v>
      </c>
      <c r="X151" s="545">
        <v>0</v>
      </c>
      <c r="Y151" s="546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hidden="1" x14ac:dyDescent="0.2">
      <c r="A152" s="561"/>
      <c r="B152" s="559"/>
      <c r="C152" s="559"/>
      <c r="D152" s="559"/>
      <c r="E152" s="559"/>
      <c r="F152" s="559"/>
      <c r="G152" s="559"/>
      <c r="H152" s="559"/>
      <c r="I152" s="559"/>
      <c r="J152" s="559"/>
      <c r="K152" s="559"/>
      <c r="L152" s="559"/>
      <c r="M152" s="559"/>
      <c r="N152" s="559"/>
      <c r="O152" s="562"/>
      <c r="P152" s="567" t="s">
        <v>75</v>
      </c>
      <c r="Q152" s="568"/>
      <c r="R152" s="568"/>
      <c r="S152" s="568"/>
      <c r="T152" s="568"/>
      <c r="U152" s="568"/>
      <c r="V152" s="569"/>
      <c r="W152" s="37" t="s">
        <v>76</v>
      </c>
      <c r="X152" s="547">
        <f>IFERROR(X147/H147,"0")+IFERROR(X148/H148,"0")+IFERROR(X149/H149,"0")+IFERROR(X150/H150,"0")+IFERROR(X151/H151,"0")</f>
        <v>0</v>
      </c>
      <c r="Y152" s="547">
        <f>IFERROR(Y147/H147,"0")+IFERROR(Y148/H148,"0")+IFERROR(Y149/H149,"0")+IFERROR(Y150/H150,"0")+IFERROR(Y151/H151,"0")</f>
        <v>0</v>
      </c>
      <c r="Z152" s="547">
        <f>IFERROR(IF(Z147="",0,Z147),"0")+IFERROR(IF(Z148="",0,Z148),"0")+IFERROR(IF(Z149="",0,Z149),"0")+IFERROR(IF(Z150="",0,Z150),"0")+IFERROR(IF(Z151="",0,Z151),"0")</f>
        <v>0</v>
      </c>
      <c r="AA152" s="548"/>
      <c r="AB152" s="548"/>
      <c r="AC152" s="548"/>
    </row>
    <row r="153" spans="1:68" hidden="1" x14ac:dyDescent="0.2">
      <c r="A153" s="559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62"/>
      <c r="P153" s="567" t="s">
        <v>75</v>
      </c>
      <c r="Q153" s="568"/>
      <c r="R153" s="568"/>
      <c r="S153" s="568"/>
      <c r="T153" s="568"/>
      <c r="U153" s="568"/>
      <c r="V153" s="569"/>
      <c r="W153" s="37" t="s">
        <v>69</v>
      </c>
      <c r="X153" s="547">
        <f>IFERROR(SUM(X147:X151),"0")</f>
        <v>0</v>
      </c>
      <c r="Y153" s="547">
        <f>IFERROR(SUM(Y147:Y151),"0")</f>
        <v>0</v>
      </c>
      <c r="Z153" s="37"/>
      <c r="AA153" s="548"/>
      <c r="AB153" s="548"/>
      <c r="AC153" s="548"/>
    </row>
    <row r="154" spans="1:68" ht="14.25" hidden="1" customHeight="1" x14ac:dyDescent="0.25">
      <c r="A154" s="558" t="s">
        <v>77</v>
      </c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59"/>
      <c r="P154" s="559"/>
      <c r="Q154" s="559"/>
      <c r="R154" s="559"/>
      <c r="S154" s="559"/>
      <c r="T154" s="559"/>
      <c r="U154" s="559"/>
      <c r="V154" s="559"/>
      <c r="W154" s="559"/>
      <c r="X154" s="559"/>
      <c r="Y154" s="559"/>
      <c r="Z154" s="559"/>
      <c r="AA154" s="541"/>
      <c r="AB154" s="541"/>
      <c r="AC154" s="541"/>
    </row>
    <row r="155" spans="1:68" ht="27" hidden="1" customHeight="1" x14ac:dyDescent="0.25">
      <c r="A155" s="54" t="s">
        <v>260</v>
      </c>
      <c r="B155" s="54" t="s">
        <v>261</v>
      </c>
      <c r="C155" s="31">
        <v>4301052064</v>
      </c>
      <c r="D155" s="552">
        <v>4680115887459</v>
      </c>
      <c r="E155" s="553"/>
      <c r="F155" s="544">
        <v>0.3</v>
      </c>
      <c r="G155" s="32">
        <v>6</v>
      </c>
      <c r="H155" s="544">
        <v>1.8</v>
      </c>
      <c r="I155" s="544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0"/>
      <c r="R155" s="550"/>
      <c r="S155" s="550"/>
      <c r="T155" s="551"/>
      <c r="U155" s="34"/>
      <c r="V155" s="34"/>
      <c r="W155" s="35" t="s">
        <v>69</v>
      </c>
      <c r="X155" s="545">
        <v>0</v>
      </c>
      <c r="Y155" s="54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561"/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62"/>
      <c r="P156" s="567" t="s">
        <v>75</v>
      </c>
      <c r="Q156" s="568"/>
      <c r="R156" s="568"/>
      <c r="S156" s="568"/>
      <c r="T156" s="568"/>
      <c r="U156" s="568"/>
      <c r="V156" s="569"/>
      <c r="W156" s="37" t="s">
        <v>76</v>
      </c>
      <c r="X156" s="547">
        <f>IFERROR(X155/H155,"0")</f>
        <v>0</v>
      </c>
      <c r="Y156" s="547">
        <f>IFERROR(Y155/H155,"0")</f>
        <v>0</v>
      </c>
      <c r="Z156" s="547">
        <f>IFERROR(IF(Z155="",0,Z155),"0")</f>
        <v>0</v>
      </c>
      <c r="AA156" s="548"/>
      <c r="AB156" s="548"/>
      <c r="AC156" s="548"/>
    </row>
    <row r="157" spans="1:68" hidden="1" x14ac:dyDescent="0.2">
      <c r="A157" s="559"/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62"/>
      <c r="P157" s="567" t="s">
        <v>75</v>
      </c>
      <c r="Q157" s="568"/>
      <c r="R157" s="568"/>
      <c r="S157" s="568"/>
      <c r="T157" s="568"/>
      <c r="U157" s="568"/>
      <c r="V157" s="569"/>
      <c r="W157" s="37" t="s">
        <v>69</v>
      </c>
      <c r="X157" s="547">
        <f>IFERROR(SUM(X155:X155),"0")</f>
        <v>0</v>
      </c>
      <c r="Y157" s="547">
        <f>IFERROR(SUM(Y155:Y155),"0")</f>
        <v>0</v>
      </c>
      <c r="Z157" s="37"/>
      <c r="AA157" s="548"/>
      <c r="AB157" s="548"/>
      <c r="AC157" s="548"/>
    </row>
    <row r="158" spans="1:68" ht="27.75" hidden="1" customHeight="1" x14ac:dyDescent="0.2">
      <c r="A158" s="647" t="s">
        <v>263</v>
      </c>
      <c r="B158" s="648"/>
      <c r="C158" s="648"/>
      <c r="D158" s="648"/>
      <c r="E158" s="648"/>
      <c r="F158" s="648"/>
      <c r="G158" s="648"/>
      <c r="H158" s="648"/>
      <c r="I158" s="648"/>
      <c r="J158" s="648"/>
      <c r="K158" s="648"/>
      <c r="L158" s="648"/>
      <c r="M158" s="648"/>
      <c r="N158" s="648"/>
      <c r="O158" s="648"/>
      <c r="P158" s="648"/>
      <c r="Q158" s="648"/>
      <c r="R158" s="648"/>
      <c r="S158" s="648"/>
      <c r="T158" s="648"/>
      <c r="U158" s="648"/>
      <c r="V158" s="648"/>
      <c r="W158" s="648"/>
      <c r="X158" s="648"/>
      <c r="Y158" s="648"/>
      <c r="Z158" s="648"/>
      <c r="AA158" s="48"/>
      <c r="AB158" s="48"/>
      <c r="AC158" s="48"/>
    </row>
    <row r="159" spans="1:68" ht="16.5" hidden="1" customHeight="1" x14ac:dyDescent="0.25">
      <c r="A159" s="560" t="s">
        <v>264</v>
      </c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59"/>
      <c r="P159" s="559"/>
      <c r="Q159" s="559"/>
      <c r="R159" s="559"/>
      <c r="S159" s="559"/>
      <c r="T159" s="559"/>
      <c r="U159" s="559"/>
      <c r="V159" s="559"/>
      <c r="W159" s="559"/>
      <c r="X159" s="559"/>
      <c r="Y159" s="559"/>
      <c r="Z159" s="559"/>
      <c r="AA159" s="540"/>
      <c r="AB159" s="540"/>
      <c r="AC159" s="540"/>
    </row>
    <row r="160" spans="1:68" ht="14.25" hidden="1" customHeight="1" x14ac:dyDescent="0.25">
      <c r="A160" s="558" t="s">
        <v>135</v>
      </c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59"/>
      <c r="P160" s="559"/>
      <c r="Q160" s="559"/>
      <c r="R160" s="559"/>
      <c r="S160" s="559"/>
      <c r="T160" s="559"/>
      <c r="U160" s="559"/>
      <c r="V160" s="559"/>
      <c r="W160" s="559"/>
      <c r="X160" s="559"/>
      <c r="Y160" s="559"/>
      <c r="Z160" s="559"/>
      <c r="AA160" s="541"/>
      <c r="AB160" s="541"/>
      <c r="AC160" s="541"/>
    </row>
    <row r="161" spans="1:68" ht="27" hidden="1" customHeight="1" x14ac:dyDescent="0.25">
      <c r="A161" s="54" t="s">
        <v>265</v>
      </c>
      <c r="B161" s="54" t="s">
        <v>266</v>
      </c>
      <c r="C161" s="31">
        <v>4301020323</v>
      </c>
      <c r="D161" s="552">
        <v>4680115886223</v>
      </c>
      <c r="E161" s="553"/>
      <c r="F161" s="544">
        <v>0.33</v>
      </c>
      <c r="G161" s="32">
        <v>6</v>
      </c>
      <c r="H161" s="544">
        <v>1.98</v>
      </c>
      <c r="I161" s="544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8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0"/>
      <c r="R161" s="550"/>
      <c r="S161" s="550"/>
      <c r="T161" s="551"/>
      <c r="U161" s="34"/>
      <c r="V161" s="34"/>
      <c r="W161" s="35" t="s">
        <v>69</v>
      </c>
      <c r="X161" s="545">
        <v>0</v>
      </c>
      <c r="Y161" s="546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hidden="1" x14ac:dyDescent="0.2">
      <c r="A162" s="561"/>
      <c r="B162" s="559"/>
      <c r="C162" s="559"/>
      <c r="D162" s="559"/>
      <c r="E162" s="559"/>
      <c r="F162" s="559"/>
      <c r="G162" s="559"/>
      <c r="H162" s="559"/>
      <c r="I162" s="559"/>
      <c r="J162" s="559"/>
      <c r="K162" s="559"/>
      <c r="L162" s="559"/>
      <c r="M162" s="559"/>
      <c r="N162" s="559"/>
      <c r="O162" s="562"/>
      <c r="P162" s="567" t="s">
        <v>75</v>
      </c>
      <c r="Q162" s="568"/>
      <c r="R162" s="568"/>
      <c r="S162" s="568"/>
      <c r="T162" s="568"/>
      <c r="U162" s="568"/>
      <c r="V162" s="569"/>
      <c r="W162" s="37" t="s">
        <v>76</v>
      </c>
      <c r="X162" s="547">
        <f>IFERROR(X161/H161,"0")</f>
        <v>0</v>
      </c>
      <c r="Y162" s="547">
        <f>IFERROR(Y161/H161,"0")</f>
        <v>0</v>
      </c>
      <c r="Z162" s="547">
        <f>IFERROR(IF(Z161="",0,Z161),"0")</f>
        <v>0</v>
      </c>
      <c r="AA162" s="548"/>
      <c r="AB162" s="548"/>
      <c r="AC162" s="548"/>
    </row>
    <row r="163" spans="1:68" hidden="1" x14ac:dyDescent="0.2">
      <c r="A163" s="559"/>
      <c r="B163" s="559"/>
      <c r="C163" s="559"/>
      <c r="D163" s="559"/>
      <c r="E163" s="559"/>
      <c r="F163" s="559"/>
      <c r="G163" s="559"/>
      <c r="H163" s="559"/>
      <c r="I163" s="559"/>
      <c r="J163" s="559"/>
      <c r="K163" s="559"/>
      <c r="L163" s="559"/>
      <c r="M163" s="559"/>
      <c r="N163" s="559"/>
      <c r="O163" s="562"/>
      <c r="P163" s="567" t="s">
        <v>75</v>
      </c>
      <c r="Q163" s="568"/>
      <c r="R163" s="568"/>
      <c r="S163" s="568"/>
      <c r="T163" s="568"/>
      <c r="U163" s="568"/>
      <c r="V163" s="569"/>
      <c r="W163" s="37" t="s">
        <v>69</v>
      </c>
      <c r="X163" s="547">
        <f>IFERROR(SUM(X161:X161),"0")</f>
        <v>0</v>
      </c>
      <c r="Y163" s="547">
        <f>IFERROR(SUM(Y161:Y161),"0")</f>
        <v>0</v>
      </c>
      <c r="Z163" s="37"/>
      <c r="AA163" s="548"/>
      <c r="AB163" s="548"/>
      <c r="AC163" s="548"/>
    </row>
    <row r="164" spans="1:68" ht="14.25" hidden="1" customHeight="1" x14ac:dyDescent="0.25">
      <c r="A164" s="558" t="s">
        <v>64</v>
      </c>
      <c r="B164" s="559"/>
      <c r="C164" s="559"/>
      <c r="D164" s="559"/>
      <c r="E164" s="559"/>
      <c r="F164" s="559"/>
      <c r="G164" s="559"/>
      <c r="H164" s="559"/>
      <c r="I164" s="559"/>
      <c r="J164" s="559"/>
      <c r="K164" s="559"/>
      <c r="L164" s="559"/>
      <c r="M164" s="559"/>
      <c r="N164" s="559"/>
      <c r="O164" s="559"/>
      <c r="P164" s="559"/>
      <c r="Q164" s="559"/>
      <c r="R164" s="559"/>
      <c r="S164" s="559"/>
      <c r="T164" s="559"/>
      <c r="U164" s="559"/>
      <c r="V164" s="559"/>
      <c r="W164" s="559"/>
      <c r="X164" s="559"/>
      <c r="Y164" s="559"/>
      <c r="Z164" s="559"/>
      <c r="AA164" s="541"/>
      <c r="AB164" s="541"/>
      <c r="AC164" s="541"/>
    </row>
    <row r="165" spans="1:68" ht="27" hidden="1" customHeight="1" x14ac:dyDescent="0.25">
      <c r="A165" s="54" t="s">
        <v>268</v>
      </c>
      <c r="B165" s="54" t="s">
        <v>269</v>
      </c>
      <c r="C165" s="31">
        <v>4301031191</v>
      </c>
      <c r="D165" s="552">
        <v>4680115880993</v>
      </c>
      <c r="E165" s="553"/>
      <c r="F165" s="544">
        <v>0.7</v>
      </c>
      <c r="G165" s="32">
        <v>6</v>
      </c>
      <c r="H165" s="544">
        <v>4.2</v>
      </c>
      <c r="I165" s="544">
        <v>4.45</v>
      </c>
      <c r="J165" s="32">
        <v>132</v>
      </c>
      <c r="K165" s="32" t="s">
        <v>109</v>
      </c>
      <c r="L165" s="32" t="s">
        <v>112</v>
      </c>
      <c r="M165" s="33" t="s">
        <v>68</v>
      </c>
      <c r="N165" s="33"/>
      <c r="O165" s="32">
        <v>40</v>
      </c>
      <c r="P165" s="60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0"/>
      <c r="R165" s="550"/>
      <c r="S165" s="550"/>
      <c r="T165" s="551"/>
      <c r="U165" s="34"/>
      <c r="V165" s="34"/>
      <c r="W165" s="35" t="s">
        <v>69</v>
      </c>
      <c r="X165" s="545">
        <v>0</v>
      </c>
      <c r="Y165" s="546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106</v>
      </c>
      <c r="AK165" s="68">
        <v>50.4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4301031204</v>
      </c>
      <c r="D166" s="552">
        <v>4680115881761</v>
      </c>
      <c r="E166" s="553"/>
      <c r="F166" s="544">
        <v>0.7</v>
      </c>
      <c r="G166" s="32">
        <v>6</v>
      </c>
      <c r="H166" s="544">
        <v>4.2</v>
      </c>
      <c r="I166" s="544">
        <v>4.45</v>
      </c>
      <c r="J166" s="32">
        <v>132</v>
      </c>
      <c r="K166" s="32" t="s">
        <v>109</v>
      </c>
      <c r="L166" s="32"/>
      <c r="M166" s="33" t="s">
        <v>68</v>
      </c>
      <c r="N166" s="33"/>
      <c r="O166" s="32">
        <v>40</v>
      </c>
      <c r="P166" s="64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0"/>
      <c r="R166" s="550"/>
      <c r="S166" s="550"/>
      <c r="T166" s="551"/>
      <c r="U166" s="34"/>
      <c r="V166" s="34"/>
      <c r="W166" s="35" t="s">
        <v>69</v>
      </c>
      <c r="X166" s="545">
        <v>0</v>
      </c>
      <c r="Y166" s="546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2">
        <v>4680115881563</v>
      </c>
      <c r="E167" s="553"/>
      <c r="F167" s="544">
        <v>0.7</v>
      </c>
      <c r="G167" s="32">
        <v>6</v>
      </c>
      <c r="H167" s="544">
        <v>4.2</v>
      </c>
      <c r="I167" s="544">
        <v>4.3899999999999997</v>
      </c>
      <c r="J167" s="32">
        <v>132</v>
      </c>
      <c r="K167" s="32" t="s">
        <v>109</v>
      </c>
      <c r="L167" s="32" t="s">
        <v>112</v>
      </c>
      <c r="M167" s="33" t="s">
        <v>68</v>
      </c>
      <c r="N167" s="33"/>
      <c r="O167" s="32">
        <v>40</v>
      </c>
      <c r="P167" s="67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5">
        <v>100</v>
      </c>
      <c r="Y167" s="546">
        <f t="shared" si="5"/>
        <v>100.80000000000001</v>
      </c>
      <c r="Z167" s="36">
        <f>IFERROR(IF(Y167=0,"",ROUNDUP(Y167/H167,0)*0.00902),"")</f>
        <v>0.21648000000000001</v>
      </c>
      <c r="AA167" s="56"/>
      <c r="AB167" s="57"/>
      <c r="AC167" s="203" t="s">
        <v>276</v>
      </c>
      <c r="AG167" s="64"/>
      <c r="AJ167" s="68" t="s">
        <v>106</v>
      </c>
      <c r="AK167" s="68">
        <v>50.4</v>
      </c>
      <c r="BB167" s="204" t="s">
        <v>1</v>
      </c>
      <c r="BM167" s="64">
        <f t="shared" si="6"/>
        <v>104.5238095238095</v>
      </c>
      <c r="BN167" s="64">
        <f t="shared" si="7"/>
        <v>105.36</v>
      </c>
      <c r="BO167" s="64">
        <f t="shared" si="8"/>
        <v>0.18037518037518038</v>
      </c>
      <c r="BP167" s="64">
        <f t="shared" si="9"/>
        <v>0.18181818181818182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4301031447</v>
      </c>
      <c r="D168" s="552">
        <v>4680115887565</v>
      </c>
      <c r="E168" s="553"/>
      <c r="F168" s="544">
        <v>0.08</v>
      </c>
      <c r="G168" s="32">
        <v>10</v>
      </c>
      <c r="H168" s="544">
        <v>0.8</v>
      </c>
      <c r="I168" s="544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5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5">
        <v>0</v>
      </c>
      <c r="Y168" s="546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280</v>
      </c>
      <c r="B169" s="54" t="s">
        <v>281</v>
      </c>
      <c r="C169" s="31">
        <v>4301031199</v>
      </c>
      <c r="D169" s="552">
        <v>4680115880986</v>
      </c>
      <c r="E169" s="553"/>
      <c r="F169" s="544">
        <v>0.35</v>
      </c>
      <c r="G169" s="32">
        <v>6</v>
      </c>
      <c r="H169" s="544">
        <v>2.1</v>
      </c>
      <c r="I169" s="544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0"/>
      <c r="R169" s="550"/>
      <c r="S169" s="550"/>
      <c r="T169" s="551"/>
      <c r="U169" s="34"/>
      <c r="V169" s="34"/>
      <c r="W169" s="35" t="s">
        <v>69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106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4301031443</v>
      </c>
      <c r="D170" s="552">
        <v>4680115887213</v>
      </c>
      <c r="E170" s="553"/>
      <c r="F170" s="544">
        <v>0.3</v>
      </c>
      <c r="G170" s="32">
        <v>6</v>
      </c>
      <c r="H170" s="544">
        <v>1.8</v>
      </c>
      <c r="I170" s="544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62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0"/>
      <c r="R170" s="550"/>
      <c r="S170" s="550"/>
      <c r="T170" s="551"/>
      <c r="U170" s="34"/>
      <c r="V170" s="34"/>
      <c r="W170" s="35" t="s">
        <v>69</v>
      </c>
      <c r="X170" s="545">
        <v>0</v>
      </c>
      <c r="Y170" s="546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4301031205</v>
      </c>
      <c r="D171" s="552">
        <v>4680115881785</v>
      </c>
      <c r="E171" s="553"/>
      <c r="F171" s="544">
        <v>0.35</v>
      </c>
      <c r="G171" s="32">
        <v>6</v>
      </c>
      <c r="H171" s="544">
        <v>2.1</v>
      </c>
      <c r="I171" s="544">
        <v>2.23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40</v>
      </c>
      <c r="P171" s="64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0"/>
      <c r="R171" s="550"/>
      <c r="S171" s="550"/>
      <c r="T171" s="551"/>
      <c r="U171" s="34"/>
      <c r="V171" s="34"/>
      <c r="W171" s="35" t="s">
        <v>69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hidden="1" customHeight="1" x14ac:dyDescent="0.25">
      <c r="A172" s="54" t="s">
        <v>288</v>
      </c>
      <c r="B172" s="54" t="s">
        <v>289</v>
      </c>
      <c r="C172" s="31">
        <v>4301031463</v>
      </c>
      <c r="D172" s="552">
        <v>4680115887824</v>
      </c>
      <c r="E172" s="553"/>
      <c r="F172" s="544">
        <v>0.15</v>
      </c>
      <c r="G172" s="32">
        <v>16</v>
      </c>
      <c r="H172" s="544">
        <v>2.4</v>
      </c>
      <c r="I172" s="544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6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0"/>
      <c r="R172" s="550"/>
      <c r="S172" s="550"/>
      <c r="T172" s="551"/>
      <c r="U172" s="34"/>
      <c r="V172" s="34"/>
      <c r="W172" s="35" t="s">
        <v>69</v>
      </c>
      <c r="X172" s="545">
        <v>0</v>
      </c>
      <c r="Y172" s="546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hidden="1" customHeight="1" x14ac:dyDescent="0.25">
      <c r="A173" s="54" t="s">
        <v>292</v>
      </c>
      <c r="B173" s="54" t="s">
        <v>293</v>
      </c>
      <c r="C173" s="31">
        <v>4301031464</v>
      </c>
      <c r="D173" s="552">
        <v>4680115887701</v>
      </c>
      <c r="E173" s="553"/>
      <c r="F173" s="544">
        <v>0.3</v>
      </c>
      <c r="G173" s="32">
        <v>8</v>
      </c>
      <c r="H173" s="544">
        <v>2.4</v>
      </c>
      <c r="I173" s="544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2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0"/>
      <c r="R173" s="550"/>
      <c r="S173" s="550"/>
      <c r="T173" s="551"/>
      <c r="U173" s="34"/>
      <c r="V173" s="34"/>
      <c r="W173" s="35" t="s">
        <v>69</v>
      </c>
      <c r="X173" s="545">
        <v>0</v>
      </c>
      <c r="Y173" s="546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hidden="1" customHeight="1" x14ac:dyDescent="0.25">
      <c r="A174" s="54" t="s">
        <v>294</v>
      </c>
      <c r="B174" s="54" t="s">
        <v>295</v>
      </c>
      <c r="C174" s="31">
        <v>4301031399</v>
      </c>
      <c r="D174" s="552">
        <v>4680115886537</v>
      </c>
      <c r="E174" s="553"/>
      <c r="F174" s="544">
        <v>0.3</v>
      </c>
      <c r="G174" s="32">
        <v>6</v>
      </c>
      <c r="H174" s="544">
        <v>1.8</v>
      </c>
      <c r="I174" s="544">
        <v>1.93</v>
      </c>
      <c r="J174" s="32">
        <v>234</v>
      </c>
      <c r="K174" s="32" t="s">
        <v>73</v>
      </c>
      <c r="L174" s="32" t="s">
        <v>282</v>
      </c>
      <c r="M174" s="33" t="s">
        <v>68</v>
      </c>
      <c r="N174" s="33"/>
      <c r="O174" s="32">
        <v>40</v>
      </c>
      <c r="P174" s="86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0"/>
      <c r="R174" s="550"/>
      <c r="S174" s="550"/>
      <c r="T174" s="551"/>
      <c r="U174" s="34"/>
      <c r="V174" s="34"/>
      <c r="W174" s="35" t="s">
        <v>69</v>
      </c>
      <c r="X174" s="545">
        <v>0</v>
      </c>
      <c r="Y174" s="546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 t="s">
        <v>106</v>
      </c>
      <c r="AK174" s="68">
        <v>32.4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hidden="1" customHeight="1" x14ac:dyDescent="0.25">
      <c r="A175" s="54" t="s">
        <v>297</v>
      </c>
      <c r="B175" s="54" t="s">
        <v>298</v>
      </c>
      <c r="C175" s="31">
        <v>4301031279</v>
      </c>
      <c r="D175" s="552">
        <v>4680115887596</v>
      </c>
      <c r="E175" s="553"/>
      <c r="F175" s="544">
        <v>0.08</v>
      </c>
      <c r="G175" s="32">
        <v>10</v>
      </c>
      <c r="H175" s="544">
        <v>0.8</v>
      </c>
      <c r="I175" s="544">
        <v>1.01</v>
      </c>
      <c r="J175" s="32">
        <v>336</v>
      </c>
      <c r="K175" s="32" t="s">
        <v>173</v>
      </c>
      <c r="L175" s="32"/>
      <c r="M175" s="33" t="s">
        <v>68</v>
      </c>
      <c r="N175" s="33"/>
      <c r="O175" s="32">
        <v>45</v>
      </c>
      <c r="P175" s="78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5">
        <v>0</v>
      </c>
      <c r="Y175" s="546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2">
        <v>4680115881679</v>
      </c>
      <c r="E176" s="553"/>
      <c r="F176" s="544">
        <v>0.35</v>
      </c>
      <c r="G176" s="32">
        <v>6</v>
      </c>
      <c r="H176" s="544">
        <v>2.1</v>
      </c>
      <c r="I176" s="544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80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0"/>
      <c r="R176" s="550"/>
      <c r="S176" s="550"/>
      <c r="T176" s="551"/>
      <c r="U176" s="34"/>
      <c r="V176" s="34"/>
      <c r="W176" s="35" t="s">
        <v>69</v>
      </c>
      <c r="X176" s="545">
        <v>350</v>
      </c>
      <c r="Y176" s="546">
        <f t="shared" si="5"/>
        <v>350.7</v>
      </c>
      <c r="Z176" s="36">
        <f>IFERROR(IF(Y176=0,"",ROUNDUP(Y176/H176,0)*0.00502),"")</f>
        <v>0.83833999999999997</v>
      </c>
      <c r="AA176" s="56"/>
      <c r="AB176" s="57"/>
      <c r="AC176" s="221" t="s">
        <v>276</v>
      </c>
      <c r="AG176" s="64"/>
      <c r="AJ176" s="68" t="s">
        <v>106</v>
      </c>
      <c r="AK176" s="68">
        <v>37.799999999999997</v>
      </c>
      <c r="BB176" s="222" t="s">
        <v>1</v>
      </c>
      <c r="BM176" s="64">
        <f t="shared" si="6"/>
        <v>366.66666666666669</v>
      </c>
      <c r="BN176" s="64">
        <f t="shared" si="7"/>
        <v>367.40000000000003</v>
      </c>
      <c r="BO176" s="64">
        <f t="shared" si="8"/>
        <v>0.71225071225071224</v>
      </c>
      <c r="BP176" s="64">
        <f t="shared" si="9"/>
        <v>0.71367521367521369</v>
      </c>
    </row>
    <row r="177" spans="1:68" ht="27" hidden="1" customHeight="1" x14ac:dyDescent="0.25">
      <c r="A177" s="54" t="s">
        <v>302</v>
      </c>
      <c r="B177" s="54" t="s">
        <v>303</v>
      </c>
      <c r="C177" s="31">
        <v>4301031158</v>
      </c>
      <c r="D177" s="552">
        <v>4680115880191</v>
      </c>
      <c r="E177" s="553"/>
      <c r="F177" s="544">
        <v>0.4</v>
      </c>
      <c r="G177" s="32">
        <v>6</v>
      </c>
      <c r="H177" s="544">
        <v>2.4</v>
      </c>
      <c r="I177" s="544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0"/>
      <c r="R177" s="550"/>
      <c r="S177" s="550"/>
      <c r="T177" s="551"/>
      <c r="U177" s="34"/>
      <c r="V177" s="34"/>
      <c r="W177" s="35" t="s">
        <v>69</v>
      </c>
      <c r="X177" s="545">
        <v>0</v>
      </c>
      <c r="Y177" s="546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hidden="1" customHeight="1" x14ac:dyDescent="0.25">
      <c r="A178" s="54" t="s">
        <v>304</v>
      </c>
      <c r="B178" s="54" t="s">
        <v>305</v>
      </c>
      <c r="C178" s="31">
        <v>4301031245</v>
      </c>
      <c r="D178" s="552">
        <v>4680115883963</v>
      </c>
      <c r="E178" s="553"/>
      <c r="F178" s="544">
        <v>0.28000000000000003</v>
      </c>
      <c r="G178" s="32">
        <v>6</v>
      </c>
      <c r="H178" s="544">
        <v>1.68</v>
      </c>
      <c r="I178" s="544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0"/>
      <c r="R178" s="550"/>
      <c r="S178" s="550"/>
      <c r="T178" s="551"/>
      <c r="U178" s="34"/>
      <c r="V178" s="34"/>
      <c r="W178" s="35" t="s">
        <v>69</v>
      </c>
      <c r="X178" s="545">
        <v>0</v>
      </c>
      <c r="Y178" s="546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61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62"/>
      <c r="P179" s="567" t="s">
        <v>75</v>
      </c>
      <c r="Q179" s="568"/>
      <c r="R179" s="568"/>
      <c r="S179" s="568"/>
      <c r="T179" s="568"/>
      <c r="U179" s="568"/>
      <c r="V179" s="569"/>
      <c r="W179" s="37" t="s">
        <v>76</v>
      </c>
      <c r="X179" s="547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190.47619047619048</v>
      </c>
      <c r="Y179" s="547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191</v>
      </c>
      <c r="Z179" s="547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1.0548199999999999</v>
      </c>
      <c r="AA179" s="548"/>
      <c r="AB179" s="548"/>
      <c r="AC179" s="548"/>
    </row>
    <row r="180" spans="1:68" x14ac:dyDescent="0.2">
      <c r="A180" s="559"/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62"/>
      <c r="P180" s="567" t="s">
        <v>75</v>
      </c>
      <c r="Q180" s="568"/>
      <c r="R180" s="568"/>
      <c r="S180" s="568"/>
      <c r="T180" s="568"/>
      <c r="U180" s="568"/>
      <c r="V180" s="569"/>
      <c r="W180" s="37" t="s">
        <v>69</v>
      </c>
      <c r="X180" s="547">
        <f>IFERROR(SUM(X165:X178),"0")</f>
        <v>450</v>
      </c>
      <c r="Y180" s="547">
        <f>IFERROR(SUM(Y165:Y178),"0")</f>
        <v>451.5</v>
      </c>
      <c r="Z180" s="37"/>
      <c r="AA180" s="548"/>
      <c r="AB180" s="548"/>
      <c r="AC180" s="548"/>
    </row>
    <row r="181" spans="1:68" ht="14.25" hidden="1" customHeight="1" x14ac:dyDescent="0.25">
      <c r="A181" s="558" t="s">
        <v>91</v>
      </c>
      <c r="B181" s="559"/>
      <c r="C181" s="559"/>
      <c r="D181" s="559"/>
      <c r="E181" s="559"/>
      <c r="F181" s="559"/>
      <c r="G181" s="559"/>
      <c r="H181" s="559"/>
      <c r="I181" s="559"/>
      <c r="J181" s="559"/>
      <c r="K181" s="559"/>
      <c r="L181" s="559"/>
      <c r="M181" s="559"/>
      <c r="N181" s="559"/>
      <c r="O181" s="559"/>
      <c r="P181" s="559"/>
      <c r="Q181" s="559"/>
      <c r="R181" s="559"/>
      <c r="S181" s="559"/>
      <c r="T181" s="559"/>
      <c r="U181" s="559"/>
      <c r="V181" s="559"/>
      <c r="W181" s="559"/>
      <c r="X181" s="559"/>
      <c r="Y181" s="559"/>
      <c r="Z181" s="559"/>
      <c r="AA181" s="541"/>
      <c r="AB181" s="541"/>
      <c r="AC181" s="541"/>
    </row>
    <row r="182" spans="1:68" ht="27" hidden="1" customHeight="1" x14ac:dyDescent="0.25">
      <c r="A182" s="54" t="s">
        <v>307</v>
      </c>
      <c r="B182" s="54" t="s">
        <v>308</v>
      </c>
      <c r="C182" s="31">
        <v>4301032053</v>
      </c>
      <c r="D182" s="552">
        <v>4680115886780</v>
      </c>
      <c r="E182" s="553"/>
      <c r="F182" s="544">
        <v>7.0000000000000007E-2</v>
      </c>
      <c r="G182" s="32">
        <v>18</v>
      </c>
      <c r="H182" s="544">
        <v>1.26</v>
      </c>
      <c r="I182" s="544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8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0"/>
      <c r="R182" s="550"/>
      <c r="S182" s="550"/>
      <c r="T182" s="551"/>
      <c r="U182" s="34"/>
      <c r="V182" s="34"/>
      <c r="W182" s="35" t="s">
        <v>69</v>
      </c>
      <c r="X182" s="545">
        <v>0</v>
      </c>
      <c r="Y182" s="546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hidden="1" customHeight="1" x14ac:dyDescent="0.25">
      <c r="A183" s="54" t="s">
        <v>311</v>
      </c>
      <c r="B183" s="54" t="s">
        <v>312</v>
      </c>
      <c r="C183" s="31">
        <v>4301032051</v>
      </c>
      <c r="D183" s="552">
        <v>4680115886742</v>
      </c>
      <c r="E183" s="553"/>
      <c r="F183" s="544">
        <v>7.0000000000000007E-2</v>
      </c>
      <c r="G183" s="32">
        <v>18</v>
      </c>
      <c r="H183" s="544">
        <v>1.26</v>
      </c>
      <c r="I183" s="544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7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0"/>
      <c r="R183" s="550"/>
      <c r="S183" s="550"/>
      <c r="T183" s="551"/>
      <c r="U183" s="34"/>
      <c r="V183" s="34"/>
      <c r="W183" s="35" t="s">
        <v>69</v>
      </c>
      <c r="X183" s="545">
        <v>0</v>
      </c>
      <c r="Y183" s="546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hidden="1" customHeight="1" x14ac:dyDescent="0.25">
      <c r="A184" s="54" t="s">
        <v>314</v>
      </c>
      <c r="B184" s="54" t="s">
        <v>315</v>
      </c>
      <c r="C184" s="31">
        <v>4301032052</v>
      </c>
      <c r="D184" s="552">
        <v>4680115886766</v>
      </c>
      <c r="E184" s="553"/>
      <c r="F184" s="544">
        <v>7.0000000000000007E-2</v>
      </c>
      <c r="G184" s="32">
        <v>18</v>
      </c>
      <c r="H184" s="544">
        <v>1.26</v>
      </c>
      <c r="I184" s="544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0"/>
      <c r="R184" s="550"/>
      <c r="S184" s="550"/>
      <c r="T184" s="551"/>
      <c r="U184" s="34"/>
      <c r="V184" s="34"/>
      <c r="W184" s="35" t="s">
        <v>69</v>
      </c>
      <c r="X184" s="545">
        <v>0</v>
      </c>
      <c r="Y184" s="54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idden="1" x14ac:dyDescent="0.2">
      <c r="A185" s="561"/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62"/>
      <c r="P185" s="567" t="s">
        <v>75</v>
      </c>
      <c r="Q185" s="568"/>
      <c r="R185" s="568"/>
      <c r="S185" s="568"/>
      <c r="T185" s="568"/>
      <c r="U185" s="568"/>
      <c r="V185" s="569"/>
      <c r="W185" s="37" t="s">
        <v>76</v>
      </c>
      <c r="X185" s="547">
        <f>IFERROR(X182/H182,"0")+IFERROR(X183/H183,"0")+IFERROR(X184/H184,"0")</f>
        <v>0</v>
      </c>
      <c r="Y185" s="547">
        <f>IFERROR(Y182/H182,"0")+IFERROR(Y183/H183,"0")+IFERROR(Y184/H184,"0")</f>
        <v>0</v>
      </c>
      <c r="Z185" s="547">
        <f>IFERROR(IF(Z182="",0,Z182),"0")+IFERROR(IF(Z183="",0,Z183),"0")+IFERROR(IF(Z184="",0,Z184),"0")</f>
        <v>0</v>
      </c>
      <c r="AA185" s="548"/>
      <c r="AB185" s="548"/>
      <c r="AC185" s="548"/>
    </row>
    <row r="186" spans="1:68" hidden="1" x14ac:dyDescent="0.2">
      <c r="A186" s="559"/>
      <c r="B186" s="559"/>
      <c r="C186" s="559"/>
      <c r="D186" s="559"/>
      <c r="E186" s="559"/>
      <c r="F186" s="559"/>
      <c r="G186" s="559"/>
      <c r="H186" s="559"/>
      <c r="I186" s="559"/>
      <c r="J186" s="559"/>
      <c r="K186" s="559"/>
      <c r="L186" s="559"/>
      <c r="M186" s="559"/>
      <c r="N186" s="559"/>
      <c r="O186" s="562"/>
      <c r="P186" s="567" t="s">
        <v>75</v>
      </c>
      <c r="Q186" s="568"/>
      <c r="R186" s="568"/>
      <c r="S186" s="568"/>
      <c r="T186" s="568"/>
      <c r="U186" s="568"/>
      <c r="V186" s="569"/>
      <c r="W186" s="37" t="s">
        <v>69</v>
      </c>
      <c r="X186" s="547">
        <f>IFERROR(SUM(X182:X184),"0")</f>
        <v>0</v>
      </c>
      <c r="Y186" s="547">
        <f>IFERROR(SUM(Y182:Y184),"0")</f>
        <v>0</v>
      </c>
      <c r="Z186" s="37"/>
      <c r="AA186" s="548"/>
      <c r="AB186" s="548"/>
      <c r="AC186" s="548"/>
    </row>
    <row r="187" spans="1:68" ht="14.25" hidden="1" customHeight="1" x14ac:dyDescent="0.25">
      <c r="A187" s="558" t="s">
        <v>316</v>
      </c>
      <c r="B187" s="559"/>
      <c r="C187" s="559"/>
      <c r="D187" s="559"/>
      <c r="E187" s="559"/>
      <c r="F187" s="559"/>
      <c r="G187" s="559"/>
      <c r="H187" s="559"/>
      <c r="I187" s="559"/>
      <c r="J187" s="559"/>
      <c r="K187" s="559"/>
      <c r="L187" s="559"/>
      <c r="M187" s="559"/>
      <c r="N187" s="559"/>
      <c r="O187" s="559"/>
      <c r="P187" s="559"/>
      <c r="Q187" s="559"/>
      <c r="R187" s="559"/>
      <c r="S187" s="559"/>
      <c r="T187" s="559"/>
      <c r="U187" s="559"/>
      <c r="V187" s="559"/>
      <c r="W187" s="559"/>
      <c r="X187" s="559"/>
      <c r="Y187" s="559"/>
      <c r="Z187" s="559"/>
      <c r="AA187" s="541"/>
      <c r="AB187" s="541"/>
      <c r="AC187" s="541"/>
    </row>
    <row r="188" spans="1:68" ht="27" hidden="1" customHeight="1" x14ac:dyDescent="0.25">
      <c r="A188" s="54" t="s">
        <v>317</v>
      </c>
      <c r="B188" s="54" t="s">
        <v>318</v>
      </c>
      <c r="C188" s="31">
        <v>4301170013</v>
      </c>
      <c r="D188" s="552">
        <v>4680115886797</v>
      </c>
      <c r="E188" s="553"/>
      <c r="F188" s="544">
        <v>7.0000000000000007E-2</v>
      </c>
      <c r="G188" s="32">
        <v>18</v>
      </c>
      <c r="H188" s="544">
        <v>1.26</v>
      </c>
      <c r="I188" s="544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6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0"/>
      <c r="R188" s="550"/>
      <c r="S188" s="550"/>
      <c r="T188" s="551"/>
      <c r="U188" s="34"/>
      <c r="V188" s="34"/>
      <c r="W188" s="35" t="s">
        <v>69</v>
      </c>
      <c r="X188" s="545">
        <v>0</v>
      </c>
      <c r="Y188" s="546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idden="1" x14ac:dyDescent="0.2">
      <c r="A189" s="561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62"/>
      <c r="P189" s="567" t="s">
        <v>75</v>
      </c>
      <c r="Q189" s="568"/>
      <c r="R189" s="568"/>
      <c r="S189" s="568"/>
      <c r="T189" s="568"/>
      <c r="U189" s="568"/>
      <c r="V189" s="569"/>
      <c r="W189" s="37" t="s">
        <v>76</v>
      </c>
      <c r="X189" s="547">
        <f>IFERROR(X188/H188,"0")</f>
        <v>0</v>
      </c>
      <c r="Y189" s="547">
        <f>IFERROR(Y188/H188,"0")</f>
        <v>0</v>
      </c>
      <c r="Z189" s="547">
        <f>IFERROR(IF(Z188="",0,Z188),"0")</f>
        <v>0</v>
      </c>
      <c r="AA189" s="548"/>
      <c r="AB189" s="548"/>
      <c r="AC189" s="548"/>
    </row>
    <row r="190" spans="1:68" hidden="1" x14ac:dyDescent="0.2">
      <c r="A190" s="559"/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62"/>
      <c r="P190" s="567" t="s">
        <v>75</v>
      </c>
      <c r="Q190" s="568"/>
      <c r="R190" s="568"/>
      <c r="S190" s="568"/>
      <c r="T190" s="568"/>
      <c r="U190" s="568"/>
      <c r="V190" s="569"/>
      <c r="W190" s="37" t="s">
        <v>69</v>
      </c>
      <c r="X190" s="547">
        <f>IFERROR(SUM(X188:X188),"0")</f>
        <v>0</v>
      </c>
      <c r="Y190" s="547">
        <f>IFERROR(SUM(Y188:Y188),"0")</f>
        <v>0</v>
      </c>
      <c r="Z190" s="37"/>
      <c r="AA190" s="548"/>
      <c r="AB190" s="548"/>
      <c r="AC190" s="548"/>
    </row>
    <row r="191" spans="1:68" ht="16.5" hidden="1" customHeight="1" x14ac:dyDescent="0.25">
      <c r="A191" s="560" t="s">
        <v>319</v>
      </c>
      <c r="B191" s="559"/>
      <c r="C191" s="559"/>
      <c r="D191" s="559"/>
      <c r="E191" s="559"/>
      <c r="F191" s="559"/>
      <c r="G191" s="559"/>
      <c r="H191" s="559"/>
      <c r="I191" s="559"/>
      <c r="J191" s="559"/>
      <c r="K191" s="559"/>
      <c r="L191" s="559"/>
      <c r="M191" s="559"/>
      <c r="N191" s="559"/>
      <c r="O191" s="559"/>
      <c r="P191" s="559"/>
      <c r="Q191" s="559"/>
      <c r="R191" s="559"/>
      <c r="S191" s="559"/>
      <c r="T191" s="559"/>
      <c r="U191" s="559"/>
      <c r="V191" s="559"/>
      <c r="W191" s="559"/>
      <c r="X191" s="559"/>
      <c r="Y191" s="559"/>
      <c r="Z191" s="559"/>
      <c r="AA191" s="540"/>
      <c r="AB191" s="540"/>
      <c r="AC191" s="540"/>
    </row>
    <row r="192" spans="1:68" ht="14.25" hidden="1" customHeight="1" x14ac:dyDescent="0.25">
      <c r="A192" s="558" t="s">
        <v>99</v>
      </c>
      <c r="B192" s="559"/>
      <c r="C192" s="559"/>
      <c r="D192" s="559"/>
      <c r="E192" s="559"/>
      <c r="F192" s="559"/>
      <c r="G192" s="559"/>
      <c r="H192" s="559"/>
      <c r="I192" s="559"/>
      <c r="J192" s="559"/>
      <c r="K192" s="559"/>
      <c r="L192" s="559"/>
      <c r="M192" s="559"/>
      <c r="N192" s="559"/>
      <c r="O192" s="559"/>
      <c r="P192" s="559"/>
      <c r="Q192" s="559"/>
      <c r="R192" s="559"/>
      <c r="S192" s="559"/>
      <c r="T192" s="559"/>
      <c r="U192" s="559"/>
      <c r="V192" s="559"/>
      <c r="W192" s="559"/>
      <c r="X192" s="559"/>
      <c r="Y192" s="559"/>
      <c r="Z192" s="559"/>
      <c r="AA192" s="541"/>
      <c r="AB192" s="541"/>
      <c r="AC192" s="541"/>
    </row>
    <row r="193" spans="1:68" ht="27" hidden="1" customHeight="1" x14ac:dyDescent="0.25">
      <c r="A193" s="54" t="s">
        <v>320</v>
      </c>
      <c r="B193" s="54" t="s">
        <v>321</v>
      </c>
      <c r="C193" s="31">
        <v>4301011450</v>
      </c>
      <c r="D193" s="552">
        <v>4680115881402</v>
      </c>
      <c r="E193" s="553"/>
      <c r="F193" s="544">
        <v>1.35</v>
      </c>
      <c r="G193" s="32">
        <v>8</v>
      </c>
      <c r="H193" s="544">
        <v>10.8</v>
      </c>
      <c r="I193" s="544">
        <v>11.21</v>
      </c>
      <c r="J193" s="32">
        <v>64</v>
      </c>
      <c r="K193" s="32" t="s">
        <v>102</v>
      </c>
      <c r="L193" s="32"/>
      <c r="M193" s="33" t="s">
        <v>104</v>
      </c>
      <c r="N193" s="33"/>
      <c r="O193" s="32">
        <v>55</v>
      </c>
      <c r="P193" s="77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0"/>
      <c r="R193" s="550"/>
      <c r="S193" s="550"/>
      <c r="T193" s="551"/>
      <c r="U193" s="34"/>
      <c r="V193" s="34"/>
      <c r="W193" s="35" t="s">
        <v>69</v>
      </c>
      <c r="X193" s="545">
        <v>0</v>
      </c>
      <c r="Y193" s="546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323</v>
      </c>
      <c r="B194" s="54" t="s">
        <v>324</v>
      </c>
      <c r="C194" s="31">
        <v>4301011768</v>
      </c>
      <c r="D194" s="552">
        <v>4680115881396</v>
      </c>
      <c r="E194" s="553"/>
      <c r="F194" s="544">
        <v>0.45</v>
      </c>
      <c r="G194" s="32">
        <v>6</v>
      </c>
      <c r="H194" s="544">
        <v>2.7</v>
      </c>
      <c r="I194" s="544">
        <v>2.88</v>
      </c>
      <c r="J194" s="32">
        <v>182</v>
      </c>
      <c r="K194" s="32" t="s">
        <v>67</v>
      </c>
      <c r="L194" s="32"/>
      <c r="M194" s="33" t="s">
        <v>104</v>
      </c>
      <c r="N194" s="33"/>
      <c r="O194" s="32">
        <v>55</v>
      </c>
      <c r="P194" s="66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0"/>
      <c r="R194" s="550"/>
      <c r="S194" s="550"/>
      <c r="T194" s="551"/>
      <c r="U194" s="34"/>
      <c r="V194" s="34"/>
      <c r="W194" s="35" t="s">
        <v>69</v>
      </c>
      <c r="X194" s="545">
        <v>0</v>
      </c>
      <c r="Y194" s="546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1"/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62"/>
      <c r="P195" s="567" t="s">
        <v>75</v>
      </c>
      <c r="Q195" s="568"/>
      <c r="R195" s="568"/>
      <c r="S195" s="568"/>
      <c r="T195" s="568"/>
      <c r="U195" s="568"/>
      <c r="V195" s="569"/>
      <c r="W195" s="37" t="s">
        <v>76</v>
      </c>
      <c r="X195" s="547">
        <f>IFERROR(X193/H193,"0")+IFERROR(X194/H194,"0")</f>
        <v>0</v>
      </c>
      <c r="Y195" s="547">
        <f>IFERROR(Y193/H193,"0")+IFERROR(Y194/H194,"0")</f>
        <v>0</v>
      </c>
      <c r="Z195" s="547">
        <f>IFERROR(IF(Z193="",0,Z193),"0")+IFERROR(IF(Z194="",0,Z194),"0")</f>
        <v>0</v>
      </c>
      <c r="AA195" s="548"/>
      <c r="AB195" s="548"/>
      <c r="AC195" s="548"/>
    </row>
    <row r="196" spans="1:68" hidden="1" x14ac:dyDescent="0.2">
      <c r="A196" s="559"/>
      <c r="B196" s="559"/>
      <c r="C196" s="559"/>
      <c r="D196" s="559"/>
      <c r="E196" s="559"/>
      <c r="F196" s="559"/>
      <c r="G196" s="559"/>
      <c r="H196" s="559"/>
      <c r="I196" s="559"/>
      <c r="J196" s="559"/>
      <c r="K196" s="559"/>
      <c r="L196" s="559"/>
      <c r="M196" s="559"/>
      <c r="N196" s="559"/>
      <c r="O196" s="562"/>
      <c r="P196" s="567" t="s">
        <v>75</v>
      </c>
      <c r="Q196" s="568"/>
      <c r="R196" s="568"/>
      <c r="S196" s="568"/>
      <c r="T196" s="568"/>
      <c r="U196" s="568"/>
      <c r="V196" s="569"/>
      <c r="W196" s="37" t="s">
        <v>69</v>
      </c>
      <c r="X196" s="547">
        <f>IFERROR(SUM(X193:X194),"0")</f>
        <v>0</v>
      </c>
      <c r="Y196" s="547">
        <f>IFERROR(SUM(Y193:Y194),"0")</f>
        <v>0</v>
      </c>
      <c r="Z196" s="37"/>
      <c r="AA196" s="548"/>
      <c r="AB196" s="548"/>
      <c r="AC196" s="548"/>
    </row>
    <row r="197" spans="1:68" ht="14.25" hidden="1" customHeight="1" x14ac:dyDescent="0.25">
      <c r="A197" s="558" t="s">
        <v>135</v>
      </c>
      <c r="B197" s="559"/>
      <c r="C197" s="559"/>
      <c r="D197" s="559"/>
      <c r="E197" s="559"/>
      <c r="F197" s="559"/>
      <c r="G197" s="559"/>
      <c r="H197" s="559"/>
      <c r="I197" s="559"/>
      <c r="J197" s="559"/>
      <c r="K197" s="559"/>
      <c r="L197" s="559"/>
      <c r="M197" s="559"/>
      <c r="N197" s="559"/>
      <c r="O197" s="559"/>
      <c r="P197" s="559"/>
      <c r="Q197" s="559"/>
      <c r="R197" s="559"/>
      <c r="S197" s="559"/>
      <c r="T197" s="559"/>
      <c r="U197" s="559"/>
      <c r="V197" s="559"/>
      <c r="W197" s="559"/>
      <c r="X197" s="559"/>
      <c r="Y197" s="559"/>
      <c r="Z197" s="559"/>
      <c r="AA197" s="541"/>
      <c r="AB197" s="541"/>
      <c r="AC197" s="541"/>
    </row>
    <row r="198" spans="1:68" ht="16.5" hidden="1" customHeight="1" x14ac:dyDescent="0.25">
      <c r="A198" s="54" t="s">
        <v>325</v>
      </c>
      <c r="B198" s="54" t="s">
        <v>326</v>
      </c>
      <c r="C198" s="31">
        <v>4301020261</v>
      </c>
      <c r="D198" s="552">
        <v>4680115882935</v>
      </c>
      <c r="E198" s="553"/>
      <c r="F198" s="544">
        <v>1.35</v>
      </c>
      <c r="G198" s="32">
        <v>8</v>
      </c>
      <c r="H198" s="544">
        <v>10.8</v>
      </c>
      <c r="I198" s="544">
        <v>11.21</v>
      </c>
      <c r="J198" s="32">
        <v>64</v>
      </c>
      <c r="K198" s="32" t="s">
        <v>102</v>
      </c>
      <c r="L198" s="32"/>
      <c r="M198" s="33" t="s">
        <v>104</v>
      </c>
      <c r="N198" s="33"/>
      <c r="O198" s="32">
        <v>50</v>
      </c>
      <c r="P198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5">
        <v>0</v>
      </c>
      <c r="Y198" s="546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328</v>
      </c>
      <c r="B199" s="54" t="s">
        <v>329</v>
      </c>
      <c r="C199" s="31">
        <v>4301020220</v>
      </c>
      <c r="D199" s="552">
        <v>4680115880764</v>
      </c>
      <c r="E199" s="553"/>
      <c r="F199" s="544">
        <v>0.35</v>
      </c>
      <c r="G199" s="32">
        <v>6</v>
      </c>
      <c r="H199" s="544">
        <v>2.1</v>
      </c>
      <c r="I199" s="544">
        <v>2.2799999999999998</v>
      </c>
      <c r="J199" s="32">
        <v>182</v>
      </c>
      <c r="K199" s="32" t="s">
        <v>67</v>
      </c>
      <c r="L199" s="32" t="s">
        <v>213</v>
      </c>
      <c r="M199" s="33" t="s">
        <v>104</v>
      </c>
      <c r="N199" s="33"/>
      <c r="O199" s="32">
        <v>50</v>
      </c>
      <c r="P199" s="85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0"/>
      <c r="R199" s="550"/>
      <c r="S199" s="550"/>
      <c r="T199" s="551"/>
      <c r="U199" s="34"/>
      <c r="V199" s="34"/>
      <c r="W199" s="35" t="s">
        <v>69</v>
      </c>
      <c r="X199" s="545">
        <v>0</v>
      </c>
      <c r="Y199" s="546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 t="s">
        <v>106</v>
      </c>
      <c r="AK199" s="68">
        <v>29.4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1"/>
      <c r="B200" s="559"/>
      <c r="C200" s="559"/>
      <c r="D200" s="559"/>
      <c r="E200" s="559"/>
      <c r="F200" s="559"/>
      <c r="G200" s="559"/>
      <c r="H200" s="559"/>
      <c r="I200" s="559"/>
      <c r="J200" s="559"/>
      <c r="K200" s="559"/>
      <c r="L200" s="559"/>
      <c r="M200" s="559"/>
      <c r="N200" s="559"/>
      <c r="O200" s="562"/>
      <c r="P200" s="567" t="s">
        <v>75</v>
      </c>
      <c r="Q200" s="568"/>
      <c r="R200" s="568"/>
      <c r="S200" s="568"/>
      <c r="T200" s="568"/>
      <c r="U200" s="568"/>
      <c r="V200" s="569"/>
      <c r="W200" s="37" t="s">
        <v>76</v>
      </c>
      <c r="X200" s="547">
        <f>IFERROR(X198/H198,"0")+IFERROR(X199/H199,"0")</f>
        <v>0</v>
      </c>
      <c r="Y200" s="547">
        <f>IFERROR(Y198/H198,"0")+IFERROR(Y199/H199,"0")</f>
        <v>0</v>
      </c>
      <c r="Z200" s="547">
        <f>IFERROR(IF(Z198="",0,Z198),"0")+IFERROR(IF(Z199="",0,Z199),"0")</f>
        <v>0</v>
      </c>
      <c r="AA200" s="548"/>
      <c r="AB200" s="548"/>
      <c r="AC200" s="548"/>
    </row>
    <row r="201" spans="1:68" hidden="1" x14ac:dyDescent="0.2">
      <c r="A201" s="559"/>
      <c r="B201" s="559"/>
      <c r="C201" s="559"/>
      <c r="D201" s="559"/>
      <c r="E201" s="559"/>
      <c r="F201" s="559"/>
      <c r="G201" s="559"/>
      <c r="H201" s="559"/>
      <c r="I201" s="559"/>
      <c r="J201" s="559"/>
      <c r="K201" s="559"/>
      <c r="L201" s="559"/>
      <c r="M201" s="559"/>
      <c r="N201" s="559"/>
      <c r="O201" s="562"/>
      <c r="P201" s="567" t="s">
        <v>75</v>
      </c>
      <c r="Q201" s="568"/>
      <c r="R201" s="568"/>
      <c r="S201" s="568"/>
      <c r="T201" s="568"/>
      <c r="U201" s="568"/>
      <c r="V201" s="569"/>
      <c r="W201" s="37" t="s">
        <v>69</v>
      </c>
      <c r="X201" s="547">
        <f>IFERROR(SUM(X198:X199),"0")</f>
        <v>0</v>
      </c>
      <c r="Y201" s="547">
        <f>IFERROR(SUM(Y198:Y199),"0")</f>
        <v>0</v>
      </c>
      <c r="Z201" s="37"/>
      <c r="AA201" s="548"/>
      <c r="AB201" s="548"/>
      <c r="AC201" s="548"/>
    </row>
    <row r="202" spans="1:68" ht="14.25" hidden="1" customHeight="1" x14ac:dyDescent="0.25">
      <c r="A202" s="558" t="s">
        <v>64</v>
      </c>
      <c r="B202" s="559"/>
      <c r="C202" s="559"/>
      <c r="D202" s="559"/>
      <c r="E202" s="559"/>
      <c r="F202" s="559"/>
      <c r="G202" s="559"/>
      <c r="H202" s="559"/>
      <c r="I202" s="559"/>
      <c r="J202" s="559"/>
      <c r="K202" s="559"/>
      <c r="L202" s="559"/>
      <c r="M202" s="559"/>
      <c r="N202" s="559"/>
      <c r="O202" s="559"/>
      <c r="P202" s="559"/>
      <c r="Q202" s="559"/>
      <c r="R202" s="559"/>
      <c r="S202" s="559"/>
      <c r="T202" s="559"/>
      <c r="U202" s="559"/>
      <c r="V202" s="559"/>
      <c r="W202" s="559"/>
      <c r="X202" s="559"/>
      <c r="Y202" s="559"/>
      <c r="Z202" s="559"/>
      <c r="AA202" s="541"/>
      <c r="AB202" s="541"/>
      <c r="AC202" s="541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2">
        <v>4680115882683</v>
      </c>
      <c r="E203" s="553"/>
      <c r="F203" s="544">
        <v>0.9</v>
      </c>
      <c r="G203" s="32">
        <v>6</v>
      </c>
      <c r="H203" s="544">
        <v>5.4</v>
      </c>
      <c r="I203" s="544">
        <v>5.59</v>
      </c>
      <c r="J203" s="32">
        <v>132</v>
      </c>
      <c r="K203" s="32" t="s">
        <v>109</v>
      </c>
      <c r="L203" s="32" t="s">
        <v>112</v>
      </c>
      <c r="M203" s="33" t="s">
        <v>68</v>
      </c>
      <c r="N203" s="33"/>
      <c r="O203" s="32">
        <v>40</v>
      </c>
      <c r="P203" s="7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5">
        <v>100</v>
      </c>
      <c r="Y203" s="546">
        <f t="shared" ref="Y203:Y210" si="10">IFERROR(IF(X203="",0,CEILING((X203/$H203),1)*$H203),"")</f>
        <v>102.60000000000001</v>
      </c>
      <c r="Z203" s="36">
        <f>IFERROR(IF(Y203=0,"",ROUNDUP(Y203/H203,0)*0.00902),"")</f>
        <v>0.17138</v>
      </c>
      <c r="AA203" s="56"/>
      <c r="AB203" s="57"/>
      <c r="AC203" s="243" t="s">
        <v>332</v>
      </c>
      <c r="AG203" s="64"/>
      <c r="AJ203" s="68" t="s">
        <v>106</v>
      </c>
      <c r="AK203" s="68">
        <v>64.8</v>
      </c>
      <c r="BB203" s="244" t="s">
        <v>1</v>
      </c>
      <c r="BM203" s="64">
        <f t="shared" ref="BM203:BM210" si="11">IFERROR(X203*I203/H203,"0")</f>
        <v>103.5185185185185</v>
      </c>
      <c r="BN203" s="64">
        <f t="shared" ref="BN203:BN210" si="12">IFERROR(Y203*I203/H203,"0")</f>
        <v>106.21</v>
      </c>
      <c r="BO203" s="64">
        <f t="shared" ref="BO203:BO210" si="13">IFERROR(1/J203*(X203/H203),"0")</f>
        <v>0.14029180695847362</v>
      </c>
      <c r="BP203" s="64">
        <f t="shared" ref="BP203:BP210" si="14">IFERROR(1/J203*(Y203/H203),"0")</f>
        <v>0.14393939393939395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2">
        <v>4680115882690</v>
      </c>
      <c r="E204" s="553"/>
      <c r="F204" s="544">
        <v>0.9</v>
      </c>
      <c r="G204" s="32">
        <v>6</v>
      </c>
      <c r="H204" s="544">
        <v>5.4</v>
      </c>
      <c r="I204" s="544">
        <v>5.59</v>
      </c>
      <c r="J204" s="32">
        <v>132</v>
      </c>
      <c r="K204" s="32" t="s">
        <v>109</v>
      </c>
      <c r="L204" s="32" t="s">
        <v>112</v>
      </c>
      <c r="M204" s="33" t="s">
        <v>68</v>
      </c>
      <c r="N204" s="33"/>
      <c r="O204" s="32">
        <v>40</v>
      </c>
      <c r="P204" s="73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0"/>
      <c r="R204" s="550"/>
      <c r="S204" s="550"/>
      <c r="T204" s="551"/>
      <c r="U204" s="34"/>
      <c r="V204" s="34"/>
      <c r="W204" s="35" t="s">
        <v>69</v>
      </c>
      <c r="X204" s="545">
        <v>100</v>
      </c>
      <c r="Y204" s="546">
        <f t="shared" si="10"/>
        <v>102.60000000000001</v>
      </c>
      <c r="Z204" s="36">
        <f>IFERROR(IF(Y204=0,"",ROUNDUP(Y204/H204,0)*0.00902),"")</f>
        <v>0.17138</v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si="11"/>
        <v>103.5185185185185</v>
      </c>
      <c r="BN204" s="64">
        <f t="shared" si="12"/>
        <v>106.21</v>
      </c>
      <c r="BO204" s="64">
        <f t="shared" si="13"/>
        <v>0.14029180695847362</v>
      </c>
      <c r="BP204" s="64">
        <f t="shared" si="14"/>
        <v>0.14393939393939395</v>
      </c>
    </row>
    <row r="205" spans="1:68" ht="27" hidden="1" customHeight="1" x14ac:dyDescent="0.25">
      <c r="A205" s="54" t="s">
        <v>336</v>
      </c>
      <c r="B205" s="54" t="s">
        <v>337</v>
      </c>
      <c r="C205" s="31">
        <v>4301031220</v>
      </c>
      <c r="D205" s="552">
        <v>4680115882669</v>
      </c>
      <c r="E205" s="553"/>
      <c r="F205" s="544">
        <v>0.9</v>
      </c>
      <c r="G205" s="32">
        <v>6</v>
      </c>
      <c r="H205" s="544">
        <v>5.4</v>
      </c>
      <c r="I205" s="544">
        <v>5.59</v>
      </c>
      <c r="J205" s="32">
        <v>132</v>
      </c>
      <c r="K205" s="32" t="s">
        <v>109</v>
      </c>
      <c r="L205" s="32"/>
      <c r="M205" s="33" t="s">
        <v>68</v>
      </c>
      <c r="N205" s="33"/>
      <c r="O205" s="32">
        <v>40</v>
      </c>
      <c r="P205" s="66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0"/>
      <c r="R205" s="550"/>
      <c r="S205" s="550"/>
      <c r="T205" s="551"/>
      <c r="U205" s="34"/>
      <c r="V205" s="34"/>
      <c r="W205" s="35" t="s">
        <v>69</v>
      </c>
      <c r="X205" s="545">
        <v>0</v>
      </c>
      <c r="Y205" s="546">
        <f t="shared" si="10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/>
      <c r="AK205" s="68">
        <v>0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hidden="1" customHeight="1" x14ac:dyDescent="0.25">
      <c r="A206" s="54" t="s">
        <v>339</v>
      </c>
      <c r="B206" s="54" t="s">
        <v>340</v>
      </c>
      <c r="C206" s="31">
        <v>4301031221</v>
      </c>
      <c r="D206" s="552">
        <v>4680115882676</v>
      </c>
      <c r="E206" s="553"/>
      <c r="F206" s="544">
        <v>0.9</v>
      </c>
      <c r="G206" s="32">
        <v>6</v>
      </c>
      <c r="H206" s="544">
        <v>5.4</v>
      </c>
      <c r="I206" s="544">
        <v>5.59</v>
      </c>
      <c r="J206" s="32">
        <v>132</v>
      </c>
      <c r="K206" s="32" t="s">
        <v>109</v>
      </c>
      <c r="L206" s="32" t="s">
        <v>112</v>
      </c>
      <c r="M206" s="33" t="s">
        <v>68</v>
      </c>
      <c r="N206" s="33"/>
      <c r="O206" s="32">
        <v>40</v>
      </c>
      <c r="P206" s="74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0"/>
      <c r="R206" s="550"/>
      <c r="S206" s="550"/>
      <c r="T206" s="551"/>
      <c r="U206" s="34"/>
      <c r="V206" s="34"/>
      <c r="W206" s="35" t="s">
        <v>69</v>
      </c>
      <c r="X206" s="545">
        <v>0</v>
      </c>
      <c r="Y206" s="546">
        <f t="shared" si="10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106</v>
      </c>
      <c r="AK206" s="68">
        <v>64.8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hidden="1" customHeight="1" x14ac:dyDescent="0.25">
      <c r="A207" s="54" t="s">
        <v>342</v>
      </c>
      <c r="B207" s="54" t="s">
        <v>343</v>
      </c>
      <c r="C207" s="31">
        <v>4301031223</v>
      </c>
      <c r="D207" s="552">
        <v>4680115884014</v>
      </c>
      <c r="E207" s="553"/>
      <c r="F207" s="544">
        <v>0.3</v>
      </c>
      <c r="G207" s="32">
        <v>6</v>
      </c>
      <c r="H207" s="544">
        <v>1.8</v>
      </c>
      <c r="I207" s="544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5">
        <v>0</v>
      </c>
      <c r="Y207" s="546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106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hidden="1" customHeight="1" x14ac:dyDescent="0.25">
      <c r="A208" s="54" t="s">
        <v>344</v>
      </c>
      <c r="B208" s="54" t="s">
        <v>345</v>
      </c>
      <c r="C208" s="31">
        <v>4301031222</v>
      </c>
      <c r="D208" s="552">
        <v>4680115884007</v>
      </c>
      <c r="E208" s="553"/>
      <c r="F208" s="544">
        <v>0.3</v>
      </c>
      <c r="G208" s="32">
        <v>6</v>
      </c>
      <c r="H208" s="544">
        <v>1.8</v>
      </c>
      <c r="I208" s="544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70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0"/>
      <c r="R208" s="550"/>
      <c r="S208" s="550"/>
      <c r="T208" s="551"/>
      <c r="U208" s="34"/>
      <c r="V208" s="34"/>
      <c r="W208" s="35" t="s">
        <v>69</v>
      </c>
      <c r="X208" s="545">
        <v>0</v>
      </c>
      <c r="Y208" s="546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106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hidden="1" customHeight="1" x14ac:dyDescent="0.25">
      <c r="A209" s="54" t="s">
        <v>346</v>
      </c>
      <c r="B209" s="54" t="s">
        <v>347</v>
      </c>
      <c r="C209" s="31">
        <v>4301031229</v>
      </c>
      <c r="D209" s="552">
        <v>4680115884038</v>
      </c>
      <c r="E209" s="553"/>
      <c r="F209" s="544">
        <v>0.3</v>
      </c>
      <c r="G209" s="32">
        <v>6</v>
      </c>
      <c r="H209" s="544">
        <v>1.8</v>
      </c>
      <c r="I209" s="544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2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5">
        <v>0</v>
      </c>
      <c r="Y209" s="546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2">
        <v>4680115884021</v>
      </c>
      <c r="E210" s="553"/>
      <c r="F210" s="544">
        <v>0.3</v>
      </c>
      <c r="G210" s="32">
        <v>6</v>
      </c>
      <c r="H210" s="544">
        <v>1.8</v>
      </c>
      <c r="I210" s="544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68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5">
        <v>30</v>
      </c>
      <c r="Y210" s="546">
        <f t="shared" si="10"/>
        <v>30.6</v>
      </c>
      <c r="Z210" s="36">
        <f>IFERROR(IF(Y210=0,"",ROUNDUP(Y210/H210,0)*0.00502),"")</f>
        <v>8.5339999999999999E-2</v>
      </c>
      <c r="AA210" s="56"/>
      <c r="AB210" s="57"/>
      <c r="AC210" s="257" t="s">
        <v>341</v>
      </c>
      <c r="AG210" s="64"/>
      <c r="AJ210" s="68" t="s">
        <v>106</v>
      </c>
      <c r="AK210" s="68">
        <v>32.4</v>
      </c>
      <c r="BB210" s="258" t="s">
        <v>1</v>
      </c>
      <c r="BM210" s="64">
        <f t="shared" si="11"/>
        <v>31.666666666666664</v>
      </c>
      <c r="BN210" s="64">
        <f t="shared" si="12"/>
        <v>32.299999999999997</v>
      </c>
      <c r="BO210" s="64">
        <f t="shared" si="13"/>
        <v>7.122507122507124E-2</v>
      </c>
      <c r="BP210" s="64">
        <f t="shared" si="14"/>
        <v>7.2649572649572655E-2</v>
      </c>
    </row>
    <row r="211" spans="1:68" x14ac:dyDescent="0.2">
      <c r="A211" s="561"/>
      <c r="B211" s="559"/>
      <c r="C211" s="559"/>
      <c r="D211" s="559"/>
      <c r="E211" s="559"/>
      <c r="F211" s="559"/>
      <c r="G211" s="559"/>
      <c r="H211" s="559"/>
      <c r="I211" s="559"/>
      <c r="J211" s="559"/>
      <c r="K211" s="559"/>
      <c r="L211" s="559"/>
      <c r="M211" s="559"/>
      <c r="N211" s="559"/>
      <c r="O211" s="562"/>
      <c r="P211" s="567" t="s">
        <v>75</v>
      </c>
      <c r="Q211" s="568"/>
      <c r="R211" s="568"/>
      <c r="S211" s="568"/>
      <c r="T211" s="568"/>
      <c r="U211" s="568"/>
      <c r="V211" s="569"/>
      <c r="W211" s="37" t="s">
        <v>76</v>
      </c>
      <c r="X211" s="547">
        <f>IFERROR(X203/H203,"0")+IFERROR(X204/H204,"0")+IFERROR(X205/H205,"0")+IFERROR(X206/H206,"0")+IFERROR(X207/H207,"0")+IFERROR(X208/H208,"0")+IFERROR(X209/H209,"0")+IFERROR(X210/H210,"0")</f>
        <v>53.703703703703709</v>
      </c>
      <c r="Y211" s="547">
        <f>IFERROR(Y203/H203,"0")+IFERROR(Y204/H204,"0")+IFERROR(Y205/H205,"0")+IFERROR(Y206/H206,"0")+IFERROR(Y207/H207,"0")+IFERROR(Y208/H208,"0")+IFERROR(Y209/H209,"0")+IFERROR(Y210/H210,"0")</f>
        <v>55</v>
      </c>
      <c r="Z211" s="547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0.42810000000000004</v>
      </c>
      <c r="AA211" s="548"/>
      <c r="AB211" s="548"/>
      <c r="AC211" s="548"/>
    </row>
    <row r="212" spans="1:68" x14ac:dyDescent="0.2">
      <c r="A212" s="559"/>
      <c r="B212" s="559"/>
      <c r="C212" s="559"/>
      <c r="D212" s="559"/>
      <c r="E212" s="559"/>
      <c r="F212" s="559"/>
      <c r="G212" s="559"/>
      <c r="H212" s="559"/>
      <c r="I212" s="559"/>
      <c r="J212" s="559"/>
      <c r="K212" s="559"/>
      <c r="L212" s="559"/>
      <c r="M212" s="559"/>
      <c r="N212" s="559"/>
      <c r="O212" s="562"/>
      <c r="P212" s="567" t="s">
        <v>75</v>
      </c>
      <c r="Q212" s="568"/>
      <c r="R212" s="568"/>
      <c r="S212" s="568"/>
      <c r="T212" s="568"/>
      <c r="U212" s="568"/>
      <c r="V212" s="569"/>
      <c r="W212" s="37" t="s">
        <v>69</v>
      </c>
      <c r="X212" s="547">
        <f>IFERROR(SUM(X203:X210),"0")</f>
        <v>230</v>
      </c>
      <c r="Y212" s="547">
        <f>IFERROR(SUM(Y203:Y210),"0")</f>
        <v>235.8</v>
      </c>
      <c r="Z212" s="37"/>
      <c r="AA212" s="548"/>
      <c r="AB212" s="548"/>
      <c r="AC212" s="548"/>
    </row>
    <row r="213" spans="1:68" ht="14.25" hidden="1" customHeight="1" x14ac:dyDescent="0.25">
      <c r="A213" s="558" t="s">
        <v>77</v>
      </c>
      <c r="B213" s="559"/>
      <c r="C213" s="559"/>
      <c r="D213" s="559"/>
      <c r="E213" s="559"/>
      <c r="F213" s="559"/>
      <c r="G213" s="559"/>
      <c r="H213" s="559"/>
      <c r="I213" s="559"/>
      <c r="J213" s="559"/>
      <c r="K213" s="559"/>
      <c r="L213" s="559"/>
      <c r="M213" s="559"/>
      <c r="N213" s="559"/>
      <c r="O213" s="559"/>
      <c r="P213" s="559"/>
      <c r="Q213" s="559"/>
      <c r="R213" s="559"/>
      <c r="S213" s="559"/>
      <c r="T213" s="559"/>
      <c r="U213" s="559"/>
      <c r="V213" s="559"/>
      <c r="W213" s="559"/>
      <c r="X213" s="559"/>
      <c r="Y213" s="559"/>
      <c r="Z213" s="559"/>
      <c r="AA213" s="541"/>
      <c r="AB213" s="541"/>
      <c r="AC213" s="541"/>
    </row>
    <row r="214" spans="1:68" ht="27" hidden="1" customHeight="1" x14ac:dyDescent="0.25">
      <c r="A214" s="54" t="s">
        <v>350</v>
      </c>
      <c r="B214" s="54" t="s">
        <v>351</v>
      </c>
      <c r="C214" s="31">
        <v>4301051408</v>
      </c>
      <c r="D214" s="552">
        <v>4680115881594</v>
      </c>
      <c r="E214" s="553"/>
      <c r="F214" s="544">
        <v>1.35</v>
      </c>
      <c r="G214" s="32">
        <v>6</v>
      </c>
      <c r="H214" s="544">
        <v>8.1</v>
      </c>
      <c r="I214" s="544">
        <v>8.5939999999999994</v>
      </c>
      <c r="J214" s="32">
        <v>64</v>
      </c>
      <c r="K214" s="32" t="s">
        <v>102</v>
      </c>
      <c r="L214" s="32"/>
      <c r="M214" s="33" t="s">
        <v>80</v>
      </c>
      <c r="N214" s="33"/>
      <c r="O214" s="32">
        <v>40</v>
      </c>
      <c r="P214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0"/>
      <c r="R214" s="550"/>
      <c r="S214" s="550"/>
      <c r="T214" s="551"/>
      <c r="U214" s="34"/>
      <c r="V214" s="34"/>
      <c r="W214" s="35" t="s">
        <v>69</v>
      </c>
      <c r="X214" s="545">
        <v>0</v>
      </c>
      <c r="Y214" s="546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4301051411</v>
      </c>
      <c r="D215" s="552">
        <v>4680115881617</v>
      </c>
      <c r="E215" s="553"/>
      <c r="F215" s="544">
        <v>1.35</v>
      </c>
      <c r="G215" s="32">
        <v>6</v>
      </c>
      <c r="H215" s="544">
        <v>8.1</v>
      </c>
      <c r="I215" s="544">
        <v>8.5760000000000005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58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0"/>
      <c r="R215" s="550"/>
      <c r="S215" s="550"/>
      <c r="T215" s="551"/>
      <c r="U215" s="34"/>
      <c r="V215" s="34"/>
      <c r="W215" s="35" t="s">
        <v>69</v>
      </c>
      <c r="X215" s="545">
        <v>0</v>
      </c>
      <c r="Y215" s="546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2">
        <v>4680115880573</v>
      </c>
      <c r="E216" s="553"/>
      <c r="F216" s="544">
        <v>1.45</v>
      </c>
      <c r="G216" s="32">
        <v>6</v>
      </c>
      <c r="H216" s="544">
        <v>8.6999999999999993</v>
      </c>
      <c r="I216" s="544">
        <v>9.1940000000000008</v>
      </c>
      <c r="J216" s="32">
        <v>64</v>
      </c>
      <c r="K216" s="32" t="s">
        <v>102</v>
      </c>
      <c r="L216" s="32" t="s">
        <v>103</v>
      </c>
      <c r="M216" s="33" t="s">
        <v>80</v>
      </c>
      <c r="N216" s="33"/>
      <c r="O216" s="32">
        <v>45</v>
      </c>
      <c r="P216" s="73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0"/>
      <c r="R216" s="550"/>
      <c r="S216" s="550"/>
      <c r="T216" s="551"/>
      <c r="U216" s="34"/>
      <c r="V216" s="34"/>
      <c r="W216" s="35" t="s">
        <v>69</v>
      </c>
      <c r="X216" s="545">
        <v>150</v>
      </c>
      <c r="Y216" s="546">
        <f t="shared" si="15"/>
        <v>156.6</v>
      </c>
      <c r="Z216" s="36">
        <f>IFERROR(IF(Y216=0,"",ROUNDUP(Y216/H216,0)*0.01898),"")</f>
        <v>0.34164</v>
      </c>
      <c r="AA216" s="56"/>
      <c r="AB216" s="57"/>
      <c r="AC216" s="263" t="s">
        <v>358</v>
      </c>
      <c r="AG216" s="64"/>
      <c r="AJ216" s="68" t="s">
        <v>106</v>
      </c>
      <c r="AK216" s="68">
        <v>69.599999999999994</v>
      </c>
      <c r="BB216" s="264" t="s">
        <v>1</v>
      </c>
      <c r="BM216" s="64">
        <f t="shared" si="16"/>
        <v>158.51724137931038</v>
      </c>
      <c r="BN216" s="64">
        <f t="shared" si="17"/>
        <v>165.49200000000002</v>
      </c>
      <c r="BO216" s="64">
        <f t="shared" si="18"/>
        <v>0.26939655172413796</v>
      </c>
      <c r="BP216" s="64">
        <f t="shared" si="19"/>
        <v>0.28125</v>
      </c>
    </row>
    <row r="217" spans="1:68" ht="37.5" hidden="1" customHeight="1" x14ac:dyDescent="0.25">
      <c r="A217" s="54" t="s">
        <v>359</v>
      </c>
      <c r="B217" s="54" t="s">
        <v>360</v>
      </c>
      <c r="C217" s="31">
        <v>4301051407</v>
      </c>
      <c r="D217" s="552">
        <v>4680115882195</v>
      </c>
      <c r="E217" s="553"/>
      <c r="F217" s="544">
        <v>0.4</v>
      </c>
      <c r="G217" s="32">
        <v>6</v>
      </c>
      <c r="H217" s="544">
        <v>2.4</v>
      </c>
      <c r="I217" s="544">
        <v>2.67</v>
      </c>
      <c r="J217" s="32">
        <v>182</v>
      </c>
      <c r="K217" s="32" t="s">
        <v>67</v>
      </c>
      <c r="L217" s="32" t="s">
        <v>213</v>
      </c>
      <c r="M217" s="33" t="s">
        <v>80</v>
      </c>
      <c r="N217" s="33"/>
      <c r="O217" s="32">
        <v>40</v>
      </c>
      <c r="P217" s="75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0"/>
      <c r="R217" s="550"/>
      <c r="S217" s="550"/>
      <c r="T217" s="551"/>
      <c r="U217" s="34"/>
      <c r="V217" s="34"/>
      <c r="W217" s="35" t="s">
        <v>69</v>
      </c>
      <c r="X217" s="545">
        <v>0</v>
      </c>
      <c r="Y217" s="546">
        <f t="shared" si="15"/>
        <v>0</v>
      </c>
      <c r="Z217" s="36" t="str">
        <f t="shared" ref="Z217:Z222" si="20">IFERROR(IF(Y217=0,"",ROUNDUP(Y217/H217,0)*0.00651),"")</f>
        <v/>
      </c>
      <c r="AA217" s="56"/>
      <c r="AB217" s="57"/>
      <c r="AC217" s="265" t="s">
        <v>361</v>
      </c>
      <c r="AG217" s="64"/>
      <c r="AJ217" s="68" t="s">
        <v>106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hidden="1" customHeight="1" x14ac:dyDescent="0.25">
      <c r="A218" s="54" t="s">
        <v>362</v>
      </c>
      <c r="B218" s="54" t="s">
        <v>363</v>
      </c>
      <c r="C218" s="31">
        <v>4301051752</v>
      </c>
      <c r="D218" s="552">
        <v>4680115882607</v>
      </c>
      <c r="E218" s="553"/>
      <c r="F218" s="544">
        <v>0.3</v>
      </c>
      <c r="G218" s="32">
        <v>6</v>
      </c>
      <c r="H218" s="544">
        <v>1.8</v>
      </c>
      <c r="I218" s="544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0"/>
      <c r="R218" s="550"/>
      <c r="S218" s="550"/>
      <c r="T218" s="551"/>
      <c r="U218" s="34"/>
      <c r="V218" s="34"/>
      <c r="W218" s="35" t="s">
        <v>69</v>
      </c>
      <c r="X218" s="545">
        <v>0</v>
      </c>
      <c r="Y218" s="546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/>
      <c r="AK218" s="68">
        <v>0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2">
        <v>4680115880092</v>
      </c>
      <c r="E219" s="553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213</v>
      </c>
      <c r="M219" s="33" t="s">
        <v>80</v>
      </c>
      <c r="N219" s="33"/>
      <c r="O219" s="32">
        <v>45</v>
      </c>
      <c r="P219" s="7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5">
        <v>560</v>
      </c>
      <c r="Y219" s="546">
        <f t="shared" si="15"/>
        <v>561.6</v>
      </c>
      <c r="Z219" s="36">
        <f t="shared" si="20"/>
        <v>1.5233400000000001</v>
      </c>
      <c r="AA219" s="56"/>
      <c r="AB219" s="57"/>
      <c r="AC219" s="269" t="s">
        <v>358</v>
      </c>
      <c r="AG219" s="64"/>
      <c r="AJ219" s="68" t="s">
        <v>106</v>
      </c>
      <c r="AK219" s="68">
        <v>33.6</v>
      </c>
      <c r="BB219" s="270" t="s">
        <v>1</v>
      </c>
      <c r="BM219" s="64">
        <f t="shared" si="16"/>
        <v>618.80000000000007</v>
      </c>
      <c r="BN219" s="64">
        <f t="shared" si="17"/>
        <v>620.5680000000001</v>
      </c>
      <c r="BO219" s="64">
        <f t="shared" si="18"/>
        <v>1.2820512820512822</v>
      </c>
      <c r="BP219" s="64">
        <f t="shared" si="19"/>
        <v>1.285714285714286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2">
        <v>4680115880221</v>
      </c>
      <c r="E220" s="553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 t="s">
        <v>213</v>
      </c>
      <c r="M220" s="33" t="s">
        <v>80</v>
      </c>
      <c r="N220" s="33"/>
      <c r="O220" s="32">
        <v>45</v>
      </c>
      <c r="P220" s="5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5">
        <v>200</v>
      </c>
      <c r="Y220" s="546">
        <f t="shared" si="15"/>
        <v>201.6</v>
      </c>
      <c r="Z220" s="36">
        <f t="shared" si="20"/>
        <v>0.54683999999999999</v>
      </c>
      <c r="AA220" s="56"/>
      <c r="AB220" s="57"/>
      <c r="AC220" s="271" t="s">
        <v>358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16"/>
        <v>221</v>
      </c>
      <c r="BN220" s="64">
        <f t="shared" si="17"/>
        <v>222.768</v>
      </c>
      <c r="BO220" s="64">
        <f t="shared" si="18"/>
        <v>0.45787545787545797</v>
      </c>
      <c r="BP220" s="64">
        <f t="shared" si="19"/>
        <v>0.46153846153846156</v>
      </c>
    </row>
    <row r="221" spans="1:68" ht="27" hidden="1" customHeight="1" x14ac:dyDescent="0.25">
      <c r="A221" s="54" t="s">
        <v>368</v>
      </c>
      <c r="B221" s="54" t="s">
        <v>369</v>
      </c>
      <c r="C221" s="31">
        <v>4301051945</v>
      </c>
      <c r="D221" s="552">
        <v>4680115880504</v>
      </c>
      <c r="E221" s="553"/>
      <c r="F221" s="544">
        <v>0.4</v>
      </c>
      <c r="G221" s="32">
        <v>6</v>
      </c>
      <c r="H221" s="544">
        <v>2.4</v>
      </c>
      <c r="I221" s="544">
        <v>2.6520000000000001</v>
      </c>
      <c r="J221" s="32">
        <v>182</v>
      </c>
      <c r="K221" s="32" t="s">
        <v>67</v>
      </c>
      <c r="L221" s="32" t="s">
        <v>213</v>
      </c>
      <c r="M221" s="33" t="s">
        <v>86</v>
      </c>
      <c r="N221" s="33"/>
      <c r="O221" s="32">
        <v>40</v>
      </c>
      <c r="P221" s="5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0"/>
      <c r="R221" s="550"/>
      <c r="S221" s="550"/>
      <c r="T221" s="551"/>
      <c r="U221" s="34"/>
      <c r="V221" s="34"/>
      <c r="W221" s="35" t="s">
        <v>69</v>
      </c>
      <c r="X221" s="545">
        <v>0</v>
      </c>
      <c r="Y221" s="546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4301051410</v>
      </c>
      <c r="D222" s="552">
        <v>4680115882164</v>
      </c>
      <c r="E222" s="553"/>
      <c r="F222" s="544">
        <v>0.4</v>
      </c>
      <c r="G222" s="32">
        <v>6</v>
      </c>
      <c r="H222" s="544">
        <v>2.4</v>
      </c>
      <c r="I222" s="544">
        <v>2.6579999999999999</v>
      </c>
      <c r="J222" s="32">
        <v>182</v>
      </c>
      <c r="K222" s="32" t="s">
        <v>67</v>
      </c>
      <c r="L222" s="32" t="s">
        <v>213</v>
      </c>
      <c r="M222" s="33" t="s">
        <v>80</v>
      </c>
      <c r="N222" s="33"/>
      <c r="O222" s="32">
        <v>40</v>
      </c>
      <c r="P222" s="7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0"/>
      <c r="R222" s="550"/>
      <c r="S222" s="550"/>
      <c r="T222" s="551"/>
      <c r="U222" s="34"/>
      <c r="V222" s="34"/>
      <c r="W222" s="35" t="s">
        <v>69</v>
      </c>
      <c r="X222" s="545">
        <v>0</v>
      </c>
      <c r="Y222" s="546">
        <f t="shared" si="15"/>
        <v>0</v>
      </c>
      <c r="Z222" s="36" t="str">
        <f t="shared" si="20"/>
        <v/>
      </c>
      <c r="AA222" s="56"/>
      <c r="AB222" s="57"/>
      <c r="AC222" s="275" t="s">
        <v>355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16"/>
        <v>0</v>
      </c>
      <c r="BN222" s="64">
        <f t="shared" si="17"/>
        <v>0</v>
      </c>
      <c r="BO222" s="64">
        <f t="shared" si="18"/>
        <v>0</v>
      </c>
      <c r="BP222" s="64">
        <f t="shared" si="19"/>
        <v>0</v>
      </c>
    </row>
    <row r="223" spans="1:68" x14ac:dyDescent="0.2">
      <c r="A223" s="561"/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62"/>
      <c r="P223" s="567" t="s">
        <v>75</v>
      </c>
      <c r="Q223" s="568"/>
      <c r="R223" s="568"/>
      <c r="S223" s="568"/>
      <c r="T223" s="568"/>
      <c r="U223" s="568"/>
      <c r="V223" s="569"/>
      <c r="W223" s="37" t="s">
        <v>76</v>
      </c>
      <c r="X223" s="547">
        <f>IFERROR(X214/H214,"0")+IFERROR(X215/H215,"0")+IFERROR(X216/H216,"0")+IFERROR(X217/H217,"0")+IFERROR(X218/H218,"0")+IFERROR(X219/H219,"0")+IFERROR(X220/H220,"0")+IFERROR(X221/H221,"0")+IFERROR(X222/H222,"0")</f>
        <v>333.90804597701151</v>
      </c>
      <c r="Y223" s="547">
        <f>IFERROR(Y214/H214,"0")+IFERROR(Y215/H215,"0")+IFERROR(Y216/H216,"0")+IFERROR(Y217/H217,"0")+IFERROR(Y218/H218,"0")+IFERROR(Y219/H219,"0")+IFERROR(Y220/H220,"0")+IFERROR(Y221/H221,"0")+IFERROR(Y222/H222,"0")</f>
        <v>336</v>
      </c>
      <c r="Z223" s="547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2.4118200000000001</v>
      </c>
      <c r="AA223" s="548"/>
      <c r="AB223" s="548"/>
      <c r="AC223" s="548"/>
    </row>
    <row r="224" spans="1:68" x14ac:dyDescent="0.2">
      <c r="A224" s="559"/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62"/>
      <c r="P224" s="567" t="s">
        <v>75</v>
      </c>
      <c r="Q224" s="568"/>
      <c r="R224" s="568"/>
      <c r="S224" s="568"/>
      <c r="T224" s="568"/>
      <c r="U224" s="568"/>
      <c r="V224" s="569"/>
      <c r="W224" s="37" t="s">
        <v>69</v>
      </c>
      <c r="X224" s="547">
        <f>IFERROR(SUM(X214:X222),"0")</f>
        <v>910</v>
      </c>
      <c r="Y224" s="547">
        <f>IFERROR(SUM(Y214:Y222),"0")</f>
        <v>919.80000000000007</v>
      </c>
      <c r="Z224" s="37"/>
      <c r="AA224" s="548"/>
      <c r="AB224" s="548"/>
      <c r="AC224" s="548"/>
    </row>
    <row r="225" spans="1:68" ht="14.25" hidden="1" customHeight="1" x14ac:dyDescent="0.25">
      <c r="A225" s="558" t="s">
        <v>160</v>
      </c>
      <c r="B225" s="559"/>
      <c r="C225" s="559"/>
      <c r="D225" s="559"/>
      <c r="E225" s="559"/>
      <c r="F225" s="559"/>
      <c r="G225" s="559"/>
      <c r="H225" s="559"/>
      <c r="I225" s="559"/>
      <c r="J225" s="559"/>
      <c r="K225" s="559"/>
      <c r="L225" s="559"/>
      <c r="M225" s="559"/>
      <c r="N225" s="559"/>
      <c r="O225" s="559"/>
      <c r="P225" s="559"/>
      <c r="Q225" s="559"/>
      <c r="R225" s="559"/>
      <c r="S225" s="559"/>
      <c r="T225" s="559"/>
      <c r="U225" s="559"/>
      <c r="V225" s="559"/>
      <c r="W225" s="559"/>
      <c r="X225" s="559"/>
      <c r="Y225" s="559"/>
      <c r="Z225" s="559"/>
      <c r="AA225" s="541"/>
      <c r="AB225" s="541"/>
      <c r="AC225" s="541"/>
    </row>
    <row r="226" spans="1:68" ht="27" hidden="1" customHeight="1" x14ac:dyDescent="0.25">
      <c r="A226" s="54" t="s">
        <v>373</v>
      </c>
      <c r="B226" s="54" t="s">
        <v>374</v>
      </c>
      <c r="C226" s="31">
        <v>4301060463</v>
      </c>
      <c r="D226" s="552">
        <v>4680115880818</v>
      </c>
      <c r="E226" s="553"/>
      <c r="F226" s="544">
        <v>0.4</v>
      </c>
      <c r="G226" s="32">
        <v>6</v>
      </c>
      <c r="H226" s="544">
        <v>2.4</v>
      </c>
      <c r="I226" s="544">
        <v>2.6520000000000001</v>
      </c>
      <c r="J226" s="32">
        <v>182</v>
      </c>
      <c r="K226" s="32" t="s">
        <v>67</v>
      </c>
      <c r="L226" s="32"/>
      <c r="M226" s="33" t="s">
        <v>86</v>
      </c>
      <c r="N226" s="33"/>
      <c r="O226" s="32">
        <v>40</v>
      </c>
      <c r="P226" s="7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5">
        <v>0</v>
      </c>
      <c r="Y226" s="546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/>
      <c r="AK226" s="68">
        <v>0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2">
        <v>4680115880801</v>
      </c>
      <c r="E227" s="553"/>
      <c r="F227" s="544">
        <v>0.4</v>
      </c>
      <c r="G227" s="32">
        <v>6</v>
      </c>
      <c r="H227" s="544">
        <v>2.4</v>
      </c>
      <c r="I227" s="544">
        <v>2.6520000000000001</v>
      </c>
      <c r="J227" s="32">
        <v>182</v>
      </c>
      <c r="K227" s="32" t="s">
        <v>67</v>
      </c>
      <c r="L227" s="32" t="s">
        <v>213</v>
      </c>
      <c r="M227" s="33" t="s">
        <v>80</v>
      </c>
      <c r="N227" s="33"/>
      <c r="O227" s="32">
        <v>40</v>
      </c>
      <c r="P227" s="7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5">
        <v>20</v>
      </c>
      <c r="Y227" s="546">
        <f>IFERROR(IF(X227="",0,CEILING((X227/$H227),1)*$H227),"")</f>
        <v>21.599999999999998</v>
      </c>
      <c r="Z227" s="36">
        <f>IFERROR(IF(Y227=0,"",ROUNDUP(Y227/H227,0)*0.00651),"")</f>
        <v>5.8590000000000003E-2</v>
      </c>
      <c r="AA227" s="56"/>
      <c r="AB227" s="57"/>
      <c r="AC227" s="279" t="s">
        <v>378</v>
      </c>
      <c r="AG227" s="64"/>
      <c r="AJ227" s="68" t="s">
        <v>106</v>
      </c>
      <c r="AK227" s="68">
        <v>33.6</v>
      </c>
      <c r="BB227" s="280" t="s">
        <v>1</v>
      </c>
      <c r="BM227" s="64">
        <f>IFERROR(X227*I227/H227,"0")</f>
        <v>22.100000000000005</v>
      </c>
      <c r="BN227" s="64">
        <f>IFERROR(Y227*I227/H227,"0")</f>
        <v>23.868000000000002</v>
      </c>
      <c r="BO227" s="64">
        <f>IFERROR(1/J227*(X227/H227),"0")</f>
        <v>4.5787545787545791E-2</v>
      </c>
      <c r="BP227" s="64">
        <f>IFERROR(1/J227*(Y227/H227),"0")</f>
        <v>4.9450549450549455E-2</v>
      </c>
    </row>
    <row r="228" spans="1:68" x14ac:dyDescent="0.2">
      <c r="A228" s="561"/>
      <c r="B228" s="559"/>
      <c r="C228" s="559"/>
      <c r="D228" s="559"/>
      <c r="E228" s="559"/>
      <c r="F228" s="559"/>
      <c r="G228" s="559"/>
      <c r="H228" s="559"/>
      <c r="I228" s="559"/>
      <c r="J228" s="559"/>
      <c r="K228" s="559"/>
      <c r="L228" s="559"/>
      <c r="M228" s="559"/>
      <c r="N228" s="559"/>
      <c r="O228" s="562"/>
      <c r="P228" s="567" t="s">
        <v>75</v>
      </c>
      <c r="Q228" s="568"/>
      <c r="R228" s="568"/>
      <c r="S228" s="568"/>
      <c r="T228" s="568"/>
      <c r="U228" s="568"/>
      <c r="V228" s="569"/>
      <c r="W228" s="37" t="s">
        <v>76</v>
      </c>
      <c r="X228" s="547">
        <f>IFERROR(X226/H226,"0")+IFERROR(X227/H227,"0")</f>
        <v>8.3333333333333339</v>
      </c>
      <c r="Y228" s="547">
        <f>IFERROR(Y226/H226,"0")+IFERROR(Y227/H227,"0")</f>
        <v>9</v>
      </c>
      <c r="Z228" s="547">
        <f>IFERROR(IF(Z226="",0,Z226),"0")+IFERROR(IF(Z227="",0,Z227),"0")</f>
        <v>5.8590000000000003E-2</v>
      </c>
      <c r="AA228" s="548"/>
      <c r="AB228" s="548"/>
      <c r="AC228" s="548"/>
    </row>
    <row r="229" spans="1:68" x14ac:dyDescent="0.2">
      <c r="A229" s="559"/>
      <c r="B229" s="559"/>
      <c r="C229" s="559"/>
      <c r="D229" s="559"/>
      <c r="E229" s="559"/>
      <c r="F229" s="559"/>
      <c r="G229" s="559"/>
      <c r="H229" s="559"/>
      <c r="I229" s="559"/>
      <c r="J229" s="559"/>
      <c r="K229" s="559"/>
      <c r="L229" s="559"/>
      <c r="M229" s="559"/>
      <c r="N229" s="559"/>
      <c r="O229" s="562"/>
      <c r="P229" s="567" t="s">
        <v>75</v>
      </c>
      <c r="Q229" s="568"/>
      <c r="R229" s="568"/>
      <c r="S229" s="568"/>
      <c r="T229" s="568"/>
      <c r="U229" s="568"/>
      <c r="V229" s="569"/>
      <c r="W229" s="37" t="s">
        <v>69</v>
      </c>
      <c r="X229" s="547">
        <f>IFERROR(SUM(X226:X227),"0")</f>
        <v>20</v>
      </c>
      <c r="Y229" s="547">
        <f>IFERROR(SUM(Y226:Y227),"0")</f>
        <v>21.599999999999998</v>
      </c>
      <c r="Z229" s="37"/>
      <c r="AA229" s="548"/>
      <c r="AB229" s="548"/>
      <c r="AC229" s="548"/>
    </row>
    <row r="230" spans="1:68" ht="16.5" hidden="1" customHeight="1" x14ac:dyDescent="0.25">
      <c r="A230" s="560" t="s">
        <v>379</v>
      </c>
      <c r="B230" s="559"/>
      <c r="C230" s="559"/>
      <c r="D230" s="559"/>
      <c r="E230" s="559"/>
      <c r="F230" s="559"/>
      <c r="G230" s="559"/>
      <c r="H230" s="559"/>
      <c r="I230" s="559"/>
      <c r="J230" s="559"/>
      <c r="K230" s="559"/>
      <c r="L230" s="559"/>
      <c r="M230" s="559"/>
      <c r="N230" s="559"/>
      <c r="O230" s="559"/>
      <c r="P230" s="559"/>
      <c r="Q230" s="559"/>
      <c r="R230" s="559"/>
      <c r="S230" s="559"/>
      <c r="T230" s="559"/>
      <c r="U230" s="559"/>
      <c r="V230" s="559"/>
      <c r="W230" s="559"/>
      <c r="X230" s="559"/>
      <c r="Y230" s="559"/>
      <c r="Z230" s="559"/>
      <c r="AA230" s="540"/>
      <c r="AB230" s="540"/>
      <c r="AC230" s="540"/>
    </row>
    <row r="231" spans="1:68" ht="14.25" hidden="1" customHeight="1" x14ac:dyDescent="0.25">
      <c r="A231" s="558" t="s">
        <v>99</v>
      </c>
      <c r="B231" s="559"/>
      <c r="C231" s="559"/>
      <c r="D231" s="559"/>
      <c r="E231" s="559"/>
      <c r="F231" s="559"/>
      <c r="G231" s="559"/>
      <c r="H231" s="559"/>
      <c r="I231" s="559"/>
      <c r="J231" s="559"/>
      <c r="K231" s="559"/>
      <c r="L231" s="559"/>
      <c r="M231" s="559"/>
      <c r="N231" s="559"/>
      <c r="O231" s="559"/>
      <c r="P231" s="559"/>
      <c r="Q231" s="559"/>
      <c r="R231" s="559"/>
      <c r="S231" s="559"/>
      <c r="T231" s="559"/>
      <c r="U231" s="559"/>
      <c r="V231" s="559"/>
      <c r="W231" s="559"/>
      <c r="X231" s="559"/>
      <c r="Y231" s="559"/>
      <c r="Z231" s="559"/>
      <c r="AA231" s="541"/>
      <c r="AB231" s="541"/>
      <c r="AC231" s="541"/>
    </row>
    <row r="232" spans="1:68" ht="27" hidden="1" customHeight="1" x14ac:dyDescent="0.25">
      <c r="A232" s="54" t="s">
        <v>380</v>
      </c>
      <c r="B232" s="54" t="s">
        <v>381</v>
      </c>
      <c r="C232" s="31">
        <v>4301011826</v>
      </c>
      <c r="D232" s="552">
        <v>4680115884137</v>
      </c>
      <c r="E232" s="553"/>
      <c r="F232" s="544">
        <v>1.45</v>
      </c>
      <c r="G232" s="32">
        <v>8</v>
      </c>
      <c r="H232" s="544">
        <v>11.6</v>
      </c>
      <c r="I232" s="544">
        <v>12.01</v>
      </c>
      <c r="J232" s="32">
        <v>64</v>
      </c>
      <c r="K232" s="32" t="s">
        <v>102</v>
      </c>
      <c r="L232" s="32" t="s">
        <v>103</v>
      </c>
      <c r="M232" s="33" t="s">
        <v>104</v>
      </c>
      <c r="N232" s="33"/>
      <c r="O232" s="32">
        <v>55</v>
      </c>
      <c r="P232" s="7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5">
        <v>0</v>
      </c>
      <c r="Y232" s="546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 t="s">
        <v>106</v>
      </c>
      <c r="AK232" s="68">
        <v>92.8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hidden="1" customHeight="1" x14ac:dyDescent="0.25">
      <c r="A233" s="54" t="s">
        <v>383</v>
      </c>
      <c r="B233" s="54" t="s">
        <v>384</v>
      </c>
      <c r="C233" s="31">
        <v>4301011724</v>
      </c>
      <c r="D233" s="552">
        <v>4680115884236</v>
      </c>
      <c r="E233" s="553"/>
      <c r="F233" s="544">
        <v>1.45</v>
      </c>
      <c r="G233" s="32">
        <v>8</v>
      </c>
      <c r="H233" s="544">
        <v>11.6</v>
      </c>
      <c r="I233" s="544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4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5">
        <v>0</v>
      </c>
      <c r="Y233" s="546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4301011721</v>
      </c>
      <c r="D234" s="552">
        <v>4680115884175</v>
      </c>
      <c r="E234" s="553"/>
      <c r="F234" s="544">
        <v>1.45</v>
      </c>
      <c r="G234" s="32">
        <v>8</v>
      </c>
      <c r="H234" s="544">
        <v>11.6</v>
      </c>
      <c r="I234" s="544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63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5">
        <v>0</v>
      </c>
      <c r="Y234" s="546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4301011824</v>
      </c>
      <c r="D235" s="552">
        <v>4680115884144</v>
      </c>
      <c r="E235" s="553"/>
      <c r="F235" s="544">
        <v>0.4</v>
      </c>
      <c r="G235" s="32">
        <v>10</v>
      </c>
      <c r="H235" s="544">
        <v>4</v>
      </c>
      <c r="I235" s="544">
        <v>4.1900000000000004</v>
      </c>
      <c r="J235" s="32">
        <v>132</v>
      </c>
      <c r="K235" s="32" t="s">
        <v>109</v>
      </c>
      <c r="L235" s="32"/>
      <c r="M235" s="33" t="s">
        <v>104</v>
      </c>
      <c r="N235" s="33"/>
      <c r="O235" s="32">
        <v>55</v>
      </c>
      <c r="P235" s="71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0"/>
      <c r="R235" s="550"/>
      <c r="S235" s="550"/>
      <c r="T235" s="551"/>
      <c r="U235" s="34"/>
      <c r="V235" s="34"/>
      <c r="W235" s="35" t="s">
        <v>69</v>
      </c>
      <c r="X235" s="545">
        <v>0</v>
      </c>
      <c r="Y235" s="546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/>
      <c r="AK235" s="68">
        <v>0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hidden="1" customHeight="1" x14ac:dyDescent="0.25">
      <c r="A236" s="54" t="s">
        <v>389</v>
      </c>
      <c r="B236" s="54" t="s">
        <v>391</v>
      </c>
      <c r="C236" s="31">
        <v>4301012196</v>
      </c>
      <c r="D236" s="552">
        <v>4680115884144</v>
      </c>
      <c r="E236" s="553"/>
      <c r="F236" s="544">
        <v>0.4</v>
      </c>
      <c r="G236" s="32">
        <v>10</v>
      </c>
      <c r="H236" s="544">
        <v>4</v>
      </c>
      <c r="I236" s="544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0"/>
      <c r="R236" s="550"/>
      <c r="S236" s="550"/>
      <c r="T236" s="551"/>
      <c r="U236" s="34"/>
      <c r="V236" s="34"/>
      <c r="W236" s="35" t="s">
        <v>69</v>
      </c>
      <c r="X236" s="545">
        <v>0</v>
      </c>
      <c r="Y236" s="546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hidden="1" customHeight="1" x14ac:dyDescent="0.25">
      <c r="A237" s="54" t="s">
        <v>392</v>
      </c>
      <c r="B237" s="54" t="s">
        <v>393</v>
      </c>
      <c r="C237" s="31">
        <v>4301012149</v>
      </c>
      <c r="D237" s="552">
        <v>4680115886551</v>
      </c>
      <c r="E237" s="553"/>
      <c r="F237" s="544">
        <v>0.4</v>
      </c>
      <c r="G237" s="32">
        <v>10</v>
      </c>
      <c r="H237" s="544">
        <v>4</v>
      </c>
      <c r="I237" s="544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5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0"/>
      <c r="R237" s="550"/>
      <c r="S237" s="550"/>
      <c r="T237" s="551"/>
      <c r="U237" s="34"/>
      <c r="V237" s="34"/>
      <c r="W237" s="35" t="s">
        <v>69</v>
      </c>
      <c r="X237" s="545">
        <v>0</v>
      </c>
      <c r="Y237" s="546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4301012228</v>
      </c>
      <c r="D238" s="552">
        <v>4680115887282</v>
      </c>
      <c r="E238" s="553"/>
      <c r="F238" s="544">
        <v>0.4</v>
      </c>
      <c r="G238" s="32">
        <v>6</v>
      </c>
      <c r="H238" s="544">
        <v>2.4</v>
      </c>
      <c r="I238" s="544">
        <v>2.58</v>
      </c>
      <c r="J238" s="32">
        <v>182</v>
      </c>
      <c r="K238" s="32" t="s">
        <v>67</v>
      </c>
      <c r="L238" s="32"/>
      <c r="M238" s="33" t="s">
        <v>104</v>
      </c>
      <c r="N238" s="33"/>
      <c r="O238" s="32">
        <v>55</v>
      </c>
      <c r="P238" s="73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5">
        <v>0</v>
      </c>
      <c r="Y238" s="546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4301011722</v>
      </c>
      <c r="D239" s="552">
        <v>4680115884205</v>
      </c>
      <c r="E239" s="553"/>
      <c r="F239" s="544">
        <v>0.4</v>
      </c>
      <c r="G239" s="32">
        <v>10</v>
      </c>
      <c r="H239" s="544">
        <v>4</v>
      </c>
      <c r="I239" s="544">
        <v>4.1900000000000004</v>
      </c>
      <c r="J239" s="32">
        <v>132</v>
      </c>
      <c r="K239" s="32" t="s">
        <v>109</v>
      </c>
      <c r="L239" s="32"/>
      <c r="M239" s="33" t="s">
        <v>104</v>
      </c>
      <c r="N239" s="33"/>
      <c r="O239" s="32">
        <v>55</v>
      </c>
      <c r="P239" s="70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0"/>
      <c r="R239" s="550"/>
      <c r="S239" s="550"/>
      <c r="T239" s="551"/>
      <c r="U239" s="34"/>
      <c r="V239" s="34"/>
      <c r="W239" s="35" t="s">
        <v>69</v>
      </c>
      <c r="X239" s="545">
        <v>0</v>
      </c>
      <c r="Y239" s="546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/>
      <c r="AK239" s="68">
        <v>0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hidden="1" customHeight="1" x14ac:dyDescent="0.25">
      <c r="A240" s="54" t="s">
        <v>398</v>
      </c>
      <c r="B240" s="54" t="s">
        <v>400</v>
      </c>
      <c r="C240" s="31">
        <v>4301012195</v>
      </c>
      <c r="D240" s="552">
        <v>4680115884205</v>
      </c>
      <c r="E240" s="553"/>
      <c r="F240" s="544">
        <v>0.4</v>
      </c>
      <c r="G240" s="32">
        <v>10</v>
      </c>
      <c r="H240" s="544">
        <v>4</v>
      </c>
      <c r="I240" s="544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63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0"/>
      <c r="R240" s="550"/>
      <c r="S240" s="550"/>
      <c r="T240" s="551"/>
      <c r="U240" s="34"/>
      <c r="V240" s="34"/>
      <c r="W240" s="35" t="s">
        <v>69</v>
      </c>
      <c r="X240" s="545">
        <v>0</v>
      </c>
      <c r="Y240" s="546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hidden="1" x14ac:dyDescent="0.2">
      <c r="A241" s="561"/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62"/>
      <c r="P241" s="567" t="s">
        <v>75</v>
      </c>
      <c r="Q241" s="568"/>
      <c r="R241" s="568"/>
      <c r="S241" s="568"/>
      <c r="T241" s="568"/>
      <c r="U241" s="568"/>
      <c r="V241" s="569"/>
      <c r="W241" s="37" t="s">
        <v>76</v>
      </c>
      <c r="X241" s="547">
        <f>IFERROR(X232/H232,"0")+IFERROR(X233/H233,"0")+IFERROR(X234/H234,"0")+IFERROR(X235/H235,"0")+IFERROR(X236/H236,"0")+IFERROR(X237/H237,"0")+IFERROR(X238/H238,"0")+IFERROR(X239/H239,"0")+IFERROR(X240/H240,"0")</f>
        <v>0</v>
      </c>
      <c r="Y241" s="547">
        <f>IFERROR(Y232/H232,"0")+IFERROR(Y233/H233,"0")+IFERROR(Y234/H234,"0")+IFERROR(Y235/H235,"0")+IFERROR(Y236/H236,"0")+IFERROR(Y237/H237,"0")+IFERROR(Y238/H238,"0")+IFERROR(Y239/H239,"0")+IFERROR(Y240/H240,"0")</f>
        <v>0</v>
      </c>
      <c r="Z241" s="547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48"/>
      <c r="AB241" s="548"/>
      <c r="AC241" s="548"/>
    </row>
    <row r="242" spans="1:68" hidden="1" x14ac:dyDescent="0.2">
      <c r="A242" s="559"/>
      <c r="B242" s="559"/>
      <c r="C242" s="559"/>
      <c r="D242" s="559"/>
      <c r="E242" s="559"/>
      <c r="F242" s="559"/>
      <c r="G242" s="559"/>
      <c r="H242" s="559"/>
      <c r="I242" s="559"/>
      <c r="J242" s="559"/>
      <c r="K242" s="559"/>
      <c r="L242" s="559"/>
      <c r="M242" s="559"/>
      <c r="N242" s="559"/>
      <c r="O242" s="562"/>
      <c r="P242" s="567" t="s">
        <v>75</v>
      </c>
      <c r="Q242" s="568"/>
      <c r="R242" s="568"/>
      <c r="S242" s="568"/>
      <c r="T242" s="568"/>
      <c r="U242" s="568"/>
      <c r="V242" s="569"/>
      <c r="W242" s="37" t="s">
        <v>69</v>
      </c>
      <c r="X242" s="547">
        <f>IFERROR(SUM(X232:X240),"0")</f>
        <v>0</v>
      </c>
      <c r="Y242" s="547">
        <f>IFERROR(SUM(Y232:Y240),"0")</f>
        <v>0</v>
      </c>
      <c r="Z242" s="37"/>
      <c r="AA242" s="548"/>
      <c r="AB242" s="548"/>
      <c r="AC242" s="548"/>
    </row>
    <row r="243" spans="1:68" ht="14.25" hidden="1" customHeight="1" x14ac:dyDescent="0.25">
      <c r="A243" s="558" t="s">
        <v>135</v>
      </c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59"/>
      <c r="P243" s="559"/>
      <c r="Q243" s="559"/>
      <c r="R243" s="559"/>
      <c r="S243" s="559"/>
      <c r="T243" s="559"/>
      <c r="U243" s="559"/>
      <c r="V243" s="559"/>
      <c r="W243" s="559"/>
      <c r="X243" s="559"/>
      <c r="Y243" s="559"/>
      <c r="Z243" s="559"/>
      <c r="AA243" s="541"/>
      <c r="AB243" s="541"/>
      <c r="AC243" s="541"/>
    </row>
    <row r="244" spans="1:68" ht="27" hidden="1" customHeight="1" x14ac:dyDescent="0.25">
      <c r="A244" s="54" t="s">
        <v>401</v>
      </c>
      <c r="B244" s="54" t="s">
        <v>402</v>
      </c>
      <c r="C244" s="31">
        <v>4301020377</v>
      </c>
      <c r="D244" s="552">
        <v>4680115885981</v>
      </c>
      <c r="E244" s="553"/>
      <c r="F244" s="544">
        <v>0.33</v>
      </c>
      <c r="G244" s="32">
        <v>6</v>
      </c>
      <c r="H244" s="544">
        <v>1.98</v>
      </c>
      <c r="I244" s="544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0"/>
      <c r="R244" s="550"/>
      <c r="S244" s="550"/>
      <c r="T244" s="551"/>
      <c r="U244" s="34"/>
      <c r="V244" s="34"/>
      <c r="W244" s="35" t="s">
        <v>69</v>
      </c>
      <c r="X244" s="545">
        <v>0</v>
      </c>
      <c r="Y244" s="546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1"/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62"/>
      <c r="P245" s="567" t="s">
        <v>75</v>
      </c>
      <c r="Q245" s="568"/>
      <c r="R245" s="568"/>
      <c r="S245" s="568"/>
      <c r="T245" s="568"/>
      <c r="U245" s="568"/>
      <c r="V245" s="569"/>
      <c r="W245" s="37" t="s">
        <v>76</v>
      </c>
      <c r="X245" s="547">
        <f>IFERROR(X244/H244,"0")</f>
        <v>0</v>
      </c>
      <c r="Y245" s="547">
        <f>IFERROR(Y244/H244,"0")</f>
        <v>0</v>
      </c>
      <c r="Z245" s="547">
        <f>IFERROR(IF(Z244="",0,Z244),"0")</f>
        <v>0</v>
      </c>
      <c r="AA245" s="548"/>
      <c r="AB245" s="548"/>
      <c r="AC245" s="548"/>
    </row>
    <row r="246" spans="1:68" hidden="1" x14ac:dyDescent="0.2">
      <c r="A246" s="559"/>
      <c r="B246" s="559"/>
      <c r="C246" s="559"/>
      <c r="D246" s="559"/>
      <c r="E246" s="559"/>
      <c r="F246" s="559"/>
      <c r="G246" s="559"/>
      <c r="H246" s="559"/>
      <c r="I246" s="559"/>
      <c r="J246" s="559"/>
      <c r="K246" s="559"/>
      <c r="L246" s="559"/>
      <c r="M246" s="559"/>
      <c r="N246" s="559"/>
      <c r="O246" s="562"/>
      <c r="P246" s="567" t="s">
        <v>75</v>
      </c>
      <c r="Q246" s="568"/>
      <c r="R246" s="568"/>
      <c r="S246" s="568"/>
      <c r="T246" s="568"/>
      <c r="U246" s="568"/>
      <c r="V246" s="569"/>
      <c r="W246" s="37" t="s">
        <v>69</v>
      </c>
      <c r="X246" s="547">
        <f>IFERROR(SUM(X244:X244),"0")</f>
        <v>0</v>
      </c>
      <c r="Y246" s="547">
        <f>IFERROR(SUM(Y244:Y244),"0")</f>
        <v>0</v>
      </c>
      <c r="Z246" s="37"/>
      <c r="AA246" s="548"/>
      <c r="AB246" s="548"/>
      <c r="AC246" s="548"/>
    </row>
    <row r="247" spans="1:68" ht="14.25" hidden="1" customHeight="1" x14ac:dyDescent="0.25">
      <c r="A247" s="558" t="s">
        <v>404</v>
      </c>
      <c r="B247" s="559"/>
      <c r="C247" s="559"/>
      <c r="D247" s="559"/>
      <c r="E247" s="559"/>
      <c r="F247" s="559"/>
      <c r="G247" s="559"/>
      <c r="H247" s="559"/>
      <c r="I247" s="559"/>
      <c r="J247" s="559"/>
      <c r="K247" s="559"/>
      <c r="L247" s="559"/>
      <c r="M247" s="559"/>
      <c r="N247" s="559"/>
      <c r="O247" s="559"/>
      <c r="P247" s="559"/>
      <c r="Q247" s="559"/>
      <c r="R247" s="559"/>
      <c r="S247" s="559"/>
      <c r="T247" s="559"/>
      <c r="U247" s="559"/>
      <c r="V247" s="559"/>
      <c r="W247" s="559"/>
      <c r="X247" s="559"/>
      <c r="Y247" s="559"/>
      <c r="Z247" s="559"/>
      <c r="AA247" s="541"/>
      <c r="AB247" s="541"/>
      <c r="AC247" s="541"/>
    </row>
    <row r="248" spans="1:68" ht="27" hidden="1" customHeight="1" x14ac:dyDescent="0.25">
      <c r="A248" s="54" t="s">
        <v>405</v>
      </c>
      <c r="B248" s="54" t="s">
        <v>406</v>
      </c>
      <c r="C248" s="31">
        <v>4301040362</v>
      </c>
      <c r="D248" s="552">
        <v>4680115886803</v>
      </c>
      <c r="E248" s="553"/>
      <c r="F248" s="544">
        <v>0.12</v>
      </c>
      <c r="G248" s="32">
        <v>15</v>
      </c>
      <c r="H248" s="544">
        <v>1.8</v>
      </c>
      <c r="I248" s="544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1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561"/>
      <c r="B249" s="559"/>
      <c r="C249" s="559"/>
      <c r="D249" s="559"/>
      <c r="E249" s="559"/>
      <c r="F249" s="559"/>
      <c r="G249" s="559"/>
      <c r="H249" s="559"/>
      <c r="I249" s="559"/>
      <c r="J249" s="559"/>
      <c r="K249" s="559"/>
      <c r="L249" s="559"/>
      <c r="M249" s="559"/>
      <c r="N249" s="559"/>
      <c r="O249" s="562"/>
      <c r="P249" s="567" t="s">
        <v>75</v>
      </c>
      <c r="Q249" s="568"/>
      <c r="R249" s="568"/>
      <c r="S249" s="568"/>
      <c r="T249" s="568"/>
      <c r="U249" s="568"/>
      <c r="V249" s="569"/>
      <c r="W249" s="37" t="s">
        <v>76</v>
      </c>
      <c r="X249" s="547">
        <f>IFERROR(X248/H248,"0")</f>
        <v>0</v>
      </c>
      <c r="Y249" s="547">
        <f>IFERROR(Y248/H248,"0")</f>
        <v>0</v>
      </c>
      <c r="Z249" s="547">
        <f>IFERROR(IF(Z248="",0,Z248),"0")</f>
        <v>0</v>
      </c>
      <c r="AA249" s="548"/>
      <c r="AB249" s="548"/>
      <c r="AC249" s="548"/>
    </row>
    <row r="250" spans="1:68" hidden="1" x14ac:dyDescent="0.2">
      <c r="A250" s="559"/>
      <c r="B250" s="559"/>
      <c r="C250" s="559"/>
      <c r="D250" s="559"/>
      <c r="E250" s="559"/>
      <c r="F250" s="559"/>
      <c r="G250" s="559"/>
      <c r="H250" s="559"/>
      <c r="I250" s="559"/>
      <c r="J250" s="559"/>
      <c r="K250" s="559"/>
      <c r="L250" s="559"/>
      <c r="M250" s="559"/>
      <c r="N250" s="559"/>
      <c r="O250" s="562"/>
      <c r="P250" s="567" t="s">
        <v>75</v>
      </c>
      <c r="Q250" s="568"/>
      <c r="R250" s="568"/>
      <c r="S250" s="568"/>
      <c r="T250" s="568"/>
      <c r="U250" s="568"/>
      <c r="V250" s="569"/>
      <c r="W250" s="37" t="s">
        <v>69</v>
      </c>
      <c r="X250" s="547">
        <f>IFERROR(SUM(X248:X248),"0")</f>
        <v>0</v>
      </c>
      <c r="Y250" s="547">
        <f>IFERROR(SUM(Y248:Y248),"0")</f>
        <v>0</v>
      </c>
      <c r="Z250" s="37"/>
      <c r="AA250" s="548"/>
      <c r="AB250" s="548"/>
      <c r="AC250" s="548"/>
    </row>
    <row r="251" spans="1:68" ht="14.25" hidden="1" customHeight="1" x14ac:dyDescent="0.25">
      <c r="A251" s="558" t="s">
        <v>408</v>
      </c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59"/>
      <c r="P251" s="559"/>
      <c r="Q251" s="559"/>
      <c r="R251" s="559"/>
      <c r="S251" s="559"/>
      <c r="T251" s="559"/>
      <c r="U251" s="559"/>
      <c r="V251" s="559"/>
      <c r="W251" s="559"/>
      <c r="X251" s="559"/>
      <c r="Y251" s="559"/>
      <c r="Z251" s="559"/>
      <c r="AA251" s="541"/>
      <c r="AB251" s="541"/>
      <c r="AC251" s="541"/>
    </row>
    <row r="252" spans="1:68" ht="27" hidden="1" customHeight="1" x14ac:dyDescent="0.25">
      <c r="A252" s="54" t="s">
        <v>409</v>
      </c>
      <c r="B252" s="54" t="s">
        <v>410</v>
      </c>
      <c r="C252" s="31">
        <v>4301041004</v>
      </c>
      <c r="D252" s="552">
        <v>4680115886704</v>
      </c>
      <c r="E252" s="553"/>
      <c r="F252" s="544">
        <v>5.5E-2</v>
      </c>
      <c r="G252" s="32">
        <v>18</v>
      </c>
      <c r="H252" s="544">
        <v>0.99</v>
      </c>
      <c r="I252" s="544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61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0"/>
      <c r="R252" s="550"/>
      <c r="S252" s="550"/>
      <c r="T252" s="551"/>
      <c r="U252" s="34"/>
      <c r="V252" s="34"/>
      <c r="W252" s="35" t="s">
        <v>69</v>
      </c>
      <c r="X252" s="545">
        <v>0</v>
      </c>
      <c r="Y252" s="546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hidden="1" customHeight="1" x14ac:dyDescent="0.25">
      <c r="A253" s="54" t="s">
        <v>412</v>
      </c>
      <c r="B253" s="54" t="s">
        <v>413</v>
      </c>
      <c r="C253" s="31">
        <v>4301041008</v>
      </c>
      <c r="D253" s="552">
        <v>4680115886681</v>
      </c>
      <c r="E253" s="553"/>
      <c r="F253" s="544">
        <v>0.12</v>
      </c>
      <c r="G253" s="32">
        <v>15</v>
      </c>
      <c r="H253" s="544">
        <v>1.8</v>
      </c>
      <c r="I253" s="544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0"/>
      <c r="R253" s="550"/>
      <c r="S253" s="550"/>
      <c r="T253" s="551"/>
      <c r="U253" s="34"/>
      <c r="V253" s="34"/>
      <c r="W253" s="35" t="s">
        <v>69</v>
      </c>
      <c r="X253" s="545">
        <v>0</v>
      </c>
      <c r="Y253" s="546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414</v>
      </c>
      <c r="B254" s="54" t="s">
        <v>415</v>
      </c>
      <c r="C254" s="31">
        <v>4301041007</v>
      </c>
      <c r="D254" s="552">
        <v>4680115886735</v>
      </c>
      <c r="E254" s="553"/>
      <c r="F254" s="544">
        <v>0.05</v>
      </c>
      <c r="G254" s="32">
        <v>18</v>
      </c>
      <c r="H254" s="544">
        <v>0.9</v>
      </c>
      <c r="I254" s="544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0"/>
      <c r="R254" s="550"/>
      <c r="S254" s="550"/>
      <c r="T254" s="551"/>
      <c r="U254" s="34"/>
      <c r="V254" s="34"/>
      <c r="W254" s="35" t="s">
        <v>69</v>
      </c>
      <c r="X254" s="545">
        <v>0</v>
      </c>
      <c r="Y254" s="54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416</v>
      </c>
      <c r="B255" s="54" t="s">
        <v>417</v>
      </c>
      <c r="C255" s="31">
        <v>4301041006</v>
      </c>
      <c r="D255" s="552">
        <v>4680115886728</v>
      </c>
      <c r="E255" s="553"/>
      <c r="F255" s="544">
        <v>5.5E-2</v>
      </c>
      <c r="G255" s="32">
        <v>18</v>
      </c>
      <c r="H255" s="544">
        <v>0.99</v>
      </c>
      <c r="I255" s="544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5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418</v>
      </c>
      <c r="B256" s="54" t="s">
        <v>419</v>
      </c>
      <c r="C256" s="31">
        <v>4301041005</v>
      </c>
      <c r="D256" s="552">
        <v>4680115886711</v>
      </c>
      <c r="E256" s="553"/>
      <c r="F256" s="544">
        <v>5.5E-2</v>
      </c>
      <c r="G256" s="32">
        <v>18</v>
      </c>
      <c r="H256" s="544">
        <v>0.99</v>
      </c>
      <c r="I256" s="544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561"/>
      <c r="B257" s="559"/>
      <c r="C257" s="559"/>
      <c r="D257" s="559"/>
      <c r="E257" s="559"/>
      <c r="F257" s="559"/>
      <c r="G257" s="559"/>
      <c r="H257" s="559"/>
      <c r="I257" s="559"/>
      <c r="J257" s="559"/>
      <c r="K257" s="559"/>
      <c r="L257" s="559"/>
      <c r="M257" s="559"/>
      <c r="N257" s="559"/>
      <c r="O257" s="562"/>
      <c r="P257" s="567" t="s">
        <v>75</v>
      </c>
      <c r="Q257" s="568"/>
      <c r="R257" s="568"/>
      <c r="S257" s="568"/>
      <c r="T257" s="568"/>
      <c r="U257" s="568"/>
      <c r="V257" s="569"/>
      <c r="W257" s="37" t="s">
        <v>76</v>
      </c>
      <c r="X257" s="547">
        <f>IFERROR(X252/H252,"0")+IFERROR(X253/H253,"0")+IFERROR(X254/H254,"0")+IFERROR(X255/H255,"0")+IFERROR(X256/H256,"0")</f>
        <v>0</v>
      </c>
      <c r="Y257" s="547">
        <f>IFERROR(Y252/H252,"0")+IFERROR(Y253/H253,"0")+IFERROR(Y254/H254,"0")+IFERROR(Y255/H255,"0")+IFERROR(Y256/H256,"0")</f>
        <v>0</v>
      </c>
      <c r="Z257" s="547">
        <f>IFERROR(IF(Z252="",0,Z252),"0")+IFERROR(IF(Z253="",0,Z253),"0")+IFERROR(IF(Z254="",0,Z254),"0")+IFERROR(IF(Z255="",0,Z255),"0")+IFERROR(IF(Z256="",0,Z256),"0")</f>
        <v>0</v>
      </c>
      <c r="AA257" s="548"/>
      <c r="AB257" s="548"/>
      <c r="AC257" s="548"/>
    </row>
    <row r="258" spans="1:68" hidden="1" x14ac:dyDescent="0.2">
      <c r="A258" s="559"/>
      <c r="B258" s="559"/>
      <c r="C258" s="559"/>
      <c r="D258" s="559"/>
      <c r="E258" s="559"/>
      <c r="F258" s="559"/>
      <c r="G258" s="559"/>
      <c r="H258" s="559"/>
      <c r="I258" s="559"/>
      <c r="J258" s="559"/>
      <c r="K258" s="559"/>
      <c r="L258" s="559"/>
      <c r="M258" s="559"/>
      <c r="N258" s="559"/>
      <c r="O258" s="562"/>
      <c r="P258" s="567" t="s">
        <v>75</v>
      </c>
      <c r="Q258" s="568"/>
      <c r="R258" s="568"/>
      <c r="S258" s="568"/>
      <c r="T258" s="568"/>
      <c r="U258" s="568"/>
      <c r="V258" s="569"/>
      <c r="W258" s="37" t="s">
        <v>69</v>
      </c>
      <c r="X258" s="547">
        <f>IFERROR(SUM(X252:X256),"0")</f>
        <v>0</v>
      </c>
      <c r="Y258" s="547">
        <f>IFERROR(SUM(Y252:Y256),"0")</f>
        <v>0</v>
      </c>
      <c r="Z258" s="37"/>
      <c r="AA258" s="548"/>
      <c r="AB258" s="548"/>
      <c r="AC258" s="548"/>
    </row>
    <row r="259" spans="1:68" ht="16.5" hidden="1" customHeight="1" x14ac:dyDescent="0.25">
      <c r="A259" s="560" t="s">
        <v>420</v>
      </c>
      <c r="B259" s="559"/>
      <c r="C259" s="559"/>
      <c r="D259" s="559"/>
      <c r="E259" s="559"/>
      <c r="F259" s="559"/>
      <c r="G259" s="559"/>
      <c r="H259" s="559"/>
      <c r="I259" s="559"/>
      <c r="J259" s="559"/>
      <c r="K259" s="559"/>
      <c r="L259" s="559"/>
      <c r="M259" s="559"/>
      <c r="N259" s="559"/>
      <c r="O259" s="559"/>
      <c r="P259" s="559"/>
      <c r="Q259" s="559"/>
      <c r="R259" s="559"/>
      <c r="S259" s="559"/>
      <c r="T259" s="559"/>
      <c r="U259" s="559"/>
      <c r="V259" s="559"/>
      <c r="W259" s="559"/>
      <c r="X259" s="559"/>
      <c r="Y259" s="559"/>
      <c r="Z259" s="559"/>
      <c r="AA259" s="540"/>
      <c r="AB259" s="540"/>
      <c r="AC259" s="540"/>
    </row>
    <row r="260" spans="1:68" ht="14.25" hidden="1" customHeight="1" x14ac:dyDescent="0.25">
      <c r="A260" s="558" t="s">
        <v>99</v>
      </c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59"/>
      <c r="P260" s="559"/>
      <c r="Q260" s="559"/>
      <c r="R260" s="559"/>
      <c r="S260" s="559"/>
      <c r="T260" s="559"/>
      <c r="U260" s="559"/>
      <c r="V260" s="559"/>
      <c r="W260" s="559"/>
      <c r="X260" s="559"/>
      <c r="Y260" s="559"/>
      <c r="Z260" s="559"/>
      <c r="AA260" s="541"/>
      <c r="AB260" s="541"/>
      <c r="AC260" s="541"/>
    </row>
    <row r="261" spans="1:68" ht="27" hidden="1" customHeight="1" x14ac:dyDescent="0.25">
      <c r="A261" s="54" t="s">
        <v>421</v>
      </c>
      <c r="B261" s="54" t="s">
        <v>422</v>
      </c>
      <c r="C261" s="31">
        <v>4301011855</v>
      </c>
      <c r="D261" s="552">
        <v>4680115885837</v>
      </c>
      <c r="E261" s="553"/>
      <c r="F261" s="544">
        <v>1.35</v>
      </c>
      <c r="G261" s="32">
        <v>8</v>
      </c>
      <c r="H261" s="544">
        <v>10.8</v>
      </c>
      <c r="I261" s="544">
        <v>11.21</v>
      </c>
      <c r="J261" s="32">
        <v>64</v>
      </c>
      <c r="K261" s="32" t="s">
        <v>102</v>
      </c>
      <c r="L261" s="32"/>
      <c r="M261" s="33" t="s">
        <v>104</v>
      </c>
      <c r="N261" s="33"/>
      <c r="O261" s="32">
        <v>55</v>
      </c>
      <c r="P261" s="75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0"/>
      <c r="R261" s="550"/>
      <c r="S261" s="550"/>
      <c r="T261" s="551"/>
      <c r="U261" s="34"/>
      <c r="V261" s="34"/>
      <c r="W261" s="35" t="s">
        <v>69</v>
      </c>
      <c r="X261" s="545">
        <v>0</v>
      </c>
      <c r="Y261" s="546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424</v>
      </c>
      <c r="B262" s="54" t="s">
        <v>425</v>
      </c>
      <c r="C262" s="31">
        <v>4301011853</v>
      </c>
      <c r="D262" s="552">
        <v>4680115885851</v>
      </c>
      <c r="E262" s="553"/>
      <c r="F262" s="544">
        <v>1.35</v>
      </c>
      <c r="G262" s="32">
        <v>8</v>
      </c>
      <c r="H262" s="544">
        <v>10.8</v>
      </c>
      <c r="I262" s="544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84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0"/>
      <c r="R262" s="550"/>
      <c r="S262" s="550"/>
      <c r="T262" s="551"/>
      <c r="U262" s="34"/>
      <c r="V262" s="34"/>
      <c r="W262" s="35" t="s">
        <v>69</v>
      </c>
      <c r="X262" s="545">
        <v>0</v>
      </c>
      <c r="Y262" s="546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427</v>
      </c>
      <c r="B263" s="54" t="s">
        <v>428</v>
      </c>
      <c r="C263" s="31">
        <v>4301011850</v>
      </c>
      <c r="D263" s="552">
        <v>4680115885806</v>
      </c>
      <c r="E263" s="553"/>
      <c r="F263" s="544">
        <v>1.35</v>
      </c>
      <c r="G263" s="32">
        <v>8</v>
      </c>
      <c r="H263" s="544">
        <v>10.8</v>
      </c>
      <c r="I263" s="544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84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0"/>
      <c r="R263" s="550"/>
      <c r="S263" s="550"/>
      <c r="T263" s="551"/>
      <c r="U263" s="34"/>
      <c r="V263" s="34"/>
      <c r="W263" s="35" t="s">
        <v>69</v>
      </c>
      <c r="X263" s="545">
        <v>0</v>
      </c>
      <c r="Y263" s="54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4301011852</v>
      </c>
      <c r="D264" s="552">
        <v>4680115885844</v>
      </c>
      <c r="E264" s="553"/>
      <c r="F264" s="544">
        <v>0.4</v>
      </c>
      <c r="G264" s="32">
        <v>10</v>
      </c>
      <c r="H264" s="544">
        <v>4</v>
      </c>
      <c r="I264" s="544">
        <v>4.1900000000000004</v>
      </c>
      <c r="J264" s="32">
        <v>132</v>
      </c>
      <c r="K264" s="32" t="s">
        <v>109</v>
      </c>
      <c r="L264" s="32"/>
      <c r="M264" s="33" t="s">
        <v>104</v>
      </c>
      <c r="N264" s="33"/>
      <c r="O264" s="32">
        <v>55</v>
      </c>
      <c r="P264" s="70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0"/>
      <c r="R264" s="550"/>
      <c r="S264" s="550"/>
      <c r="T264" s="551"/>
      <c r="U264" s="34"/>
      <c r="V264" s="34"/>
      <c r="W264" s="35" t="s">
        <v>69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433</v>
      </c>
      <c r="B265" s="54" t="s">
        <v>434</v>
      </c>
      <c r="C265" s="31">
        <v>4301011851</v>
      </c>
      <c r="D265" s="552">
        <v>4680115885820</v>
      </c>
      <c r="E265" s="553"/>
      <c r="F265" s="544">
        <v>0.4</v>
      </c>
      <c r="G265" s="32">
        <v>10</v>
      </c>
      <c r="H265" s="544">
        <v>4</v>
      </c>
      <c r="I265" s="544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6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1"/>
      <c r="B266" s="559"/>
      <c r="C266" s="559"/>
      <c r="D266" s="559"/>
      <c r="E266" s="559"/>
      <c r="F266" s="559"/>
      <c r="G266" s="559"/>
      <c r="H266" s="559"/>
      <c r="I266" s="559"/>
      <c r="J266" s="559"/>
      <c r="K266" s="559"/>
      <c r="L266" s="559"/>
      <c r="M266" s="559"/>
      <c r="N266" s="559"/>
      <c r="O266" s="562"/>
      <c r="P266" s="567" t="s">
        <v>75</v>
      </c>
      <c r="Q266" s="568"/>
      <c r="R266" s="568"/>
      <c r="S266" s="568"/>
      <c r="T266" s="568"/>
      <c r="U266" s="568"/>
      <c r="V266" s="569"/>
      <c r="W266" s="37" t="s">
        <v>76</v>
      </c>
      <c r="X266" s="547">
        <f>IFERROR(X261/H261,"0")+IFERROR(X262/H262,"0")+IFERROR(X263/H263,"0")+IFERROR(X264/H264,"0")+IFERROR(X265/H265,"0")</f>
        <v>0</v>
      </c>
      <c r="Y266" s="547">
        <f>IFERROR(Y261/H261,"0")+IFERROR(Y262/H262,"0")+IFERROR(Y263/H263,"0")+IFERROR(Y264/H264,"0")+IFERROR(Y265/H265,"0")</f>
        <v>0</v>
      </c>
      <c r="Z266" s="547">
        <f>IFERROR(IF(Z261="",0,Z261),"0")+IFERROR(IF(Z262="",0,Z262),"0")+IFERROR(IF(Z263="",0,Z263),"0")+IFERROR(IF(Z264="",0,Z264),"0")+IFERROR(IF(Z265="",0,Z265),"0")</f>
        <v>0</v>
      </c>
      <c r="AA266" s="548"/>
      <c r="AB266" s="548"/>
      <c r="AC266" s="548"/>
    </row>
    <row r="267" spans="1:68" hidden="1" x14ac:dyDescent="0.2">
      <c r="A267" s="559"/>
      <c r="B267" s="559"/>
      <c r="C267" s="559"/>
      <c r="D267" s="559"/>
      <c r="E267" s="559"/>
      <c r="F267" s="559"/>
      <c r="G267" s="559"/>
      <c r="H267" s="559"/>
      <c r="I267" s="559"/>
      <c r="J267" s="559"/>
      <c r="K267" s="559"/>
      <c r="L267" s="559"/>
      <c r="M267" s="559"/>
      <c r="N267" s="559"/>
      <c r="O267" s="562"/>
      <c r="P267" s="567" t="s">
        <v>75</v>
      </c>
      <c r="Q267" s="568"/>
      <c r="R267" s="568"/>
      <c r="S267" s="568"/>
      <c r="T267" s="568"/>
      <c r="U267" s="568"/>
      <c r="V267" s="569"/>
      <c r="W267" s="37" t="s">
        <v>69</v>
      </c>
      <c r="X267" s="547">
        <f>IFERROR(SUM(X261:X265),"0")</f>
        <v>0</v>
      </c>
      <c r="Y267" s="547">
        <f>IFERROR(SUM(Y261:Y265),"0")</f>
        <v>0</v>
      </c>
      <c r="Z267" s="37"/>
      <c r="AA267" s="548"/>
      <c r="AB267" s="548"/>
      <c r="AC267" s="548"/>
    </row>
    <row r="268" spans="1:68" ht="16.5" hidden="1" customHeight="1" x14ac:dyDescent="0.25">
      <c r="A268" s="560" t="s">
        <v>436</v>
      </c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59"/>
      <c r="P268" s="559"/>
      <c r="Q268" s="559"/>
      <c r="R268" s="559"/>
      <c r="S268" s="559"/>
      <c r="T268" s="559"/>
      <c r="U268" s="559"/>
      <c r="V268" s="559"/>
      <c r="W268" s="559"/>
      <c r="X268" s="559"/>
      <c r="Y268" s="559"/>
      <c r="Z268" s="559"/>
      <c r="AA268" s="540"/>
      <c r="AB268" s="540"/>
      <c r="AC268" s="540"/>
    </row>
    <row r="269" spans="1:68" ht="14.25" hidden="1" customHeight="1" x14ac:dyDescent="0.25">
      <c r="A269" s="558" t="s">
        <v>99</v>
      </c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59"/>
      <c r="P269" s="559"/>
      <c r="Q269" s="559"/>
      <c r="R269" s="559"/>
      <c r="S269" s="559"/>
      <c r="T269" s="559"/>
      <c r="U269" s="559"/>
      <c r="V269" s="559"/>
      <c r="W269" s="559"/>
      <c r="X269" s="559"/>
      <c r="Y269" s="559"/>
      <c r="Z269" s="559"/>
      <c r="AA269" s="541"/>
      <c r="AB269" s="541"/>
      <c r="AC269" s="541"/>
    </row>
    <row r="270" spans="1:68" ht="27" hidden="1" customHeight="1" x14ac:dyDescent="0.25">
      <c r="A270" s="54" t="s">
        <v>437</v>
      </c>
      <c r="B270" s="54" t="s">
        <v>438</v>
      </c>
      <c r="C270" s="31">
        <v>4301011223</v>
      </c>
      <c r="D270" s="552">
        <v>4607091383423</v>
      </c>
      <c r="E270" s="553"/>
      <c r="F270" s="544">
        <v>1.35</v>
      </c>
      <c r="G270" s="32">
        <v>8</v>
      </c>
      <c r="H270" s="544">
        <v>10.8</v>
      </c>
      <c r="I270" s="544">
        <v>11.305999999999999</v>
      </c>
      <c r="J270" s="32">
        <v>64</v>
      </c>
      <c r="K270" s="32" t="s">
        <v>102</v>
      </c>
      <c r="L270" s="32"/>
      <c r="M270" s="33" t="s">
        <v>80</v>
      </c>
      <c r="N270" s="33"/>
      <c r="O270" s="32">
        <v>35</v>
      </c>
      <c r="P270" s="80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0"/>
      <c r="R270" s="550"/>
      <c r="S270" s="550"/>
      <c r="T270" s="551"/>
      <c r="U270" s="34"/>
      <c r="V270" s="34"/>
      <c r="W270" s="35" t="s">
        <v>69</v>
      </c>
      <c r="X270" s="545">
        <v>0</v>
      </c>
      <c r="Y270" s="54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105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439</v>
      </c>
      <c r="B271" s="54" t="s">
        <v>440</v>
      </c>
      <c r="C271" s="31">
        <v>4301012199</v>
      </c>
      <c r="D271" s="552">
        <v>4680115886957</v>
      </c>
      <c r="E271" s="553"/>
      <c r="F271" s="544">
        <v>1.35</v>
      </c>
      <c r="G271" s="32">
        <v>8</v>
      </c>
      <c r="H271" s="544">
        <v>10.8</v>
      </c>
      <c r="I271" s="544">
        <v>11.21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30</v>
      </c>
      <c r="P271" s="60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0"/>
      <c r="R271" s="550"/>
      <c r="S271" s="550"/>
      <c r="T271" s="551"/>
      <c r="U271" s="34"/>
      <c r="V271" s="34"/>
      <c r="W271" s="35" t="s">
        <v>69</v>
      </c>
      <c r="X271" s="545">
        <v>0</v>
      </c>
      <c r="Y271" s="54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442</v>
      </c>
      <c r="B272" s="54" t="s">
        <v>443</v>
      </c>
      <c r="C272" s="31">
        <v>4301012098</v>
      </c>
      <c r="D272" s="552">
        <v>4680115885660</v>
      </c>
      <c r="E272" s="553"/>
      <c r="F272" s="544">
        <v>1.35</v>
      </c>
      <c r="G272" s="32">
        <v>8</v>
      </c>
      <c r="H272" s="544">
        <v>10.8</v>
      </c>
      <c r="I272" s="544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35</v>
      </c>
      <c r="P272" s="71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444</v>
      </c>
      <c r="B273" s="54" t="s">
        <v>445</v>
      </c>
      <c r="C273" s="31">
        <v>4301012176</v>
      </c>
      <c r="D273" s="552">
        <v>4680115886773</v>
      </c>
      <c r="E273" s="553"/>
      <c r="F273" s="544">
        <v>0.9</v>
      </c>
      <c r="G273" s="32">
        <v>10</v>
      </c>
      <c r="H273" s="544">
        <v>9</v>
      </c>
      <c r="I273" s="544">
        <v>9.41</v>
      </c>
      <c r="J273" s="32">
        <v>64</v>
      </c>
      <c r="K273" s="32" t="s">
        <v>102</v>
      </c>
      <c r="L273" s="32"/>
      <c r="M273" s="33" t="s">
        <v>104</v>
      </c>
      <c r="N273" s="33"/>
      <c r="O273" s="32">
        <v>31</v>
      </c>
      <c r="P273" s="64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1"/>
      <c r="B274" s="559"/>
      <c r="C274" s="559"/>
      <c r="D274" s="559"/>
      <c r="E274" s="559"/>
      <c r="F274" s="559"/>
      <c r="G274" s="559"/>
      <c r="H274" s="559"/>
      <c r="I274" s="559"/>
      <c r="J274" s="559"/>
      <c r="K274" s="559"/>
      <c r="L274" s="559"/>
      <c r="M274" s="559"/>
      <c r="N274" s="559"/>
      <c r="O274" s="562"/>
      <c r="P274" s="567" t="s">
        <v>75</v>
      </c>
      <c r="Q274" s="568"/>
      <c r="R274" s="568"/>
      <c r="S274" s="568"/>
      <c r="T274" s="568"/>
      <c r="U274" s="568"/>
      <c r="V274" s="569"/>
      <c r="W274" s="37" t="s">
        <v>76</v>
      </c>
      <c r="X274" s="547">
        <f>IFERROR(X270/H270,"0")+IFERROR(X271/H271,"0")+IFERROR(X272/H272,"0")+IFERROR(X273/H273,"0")</f>
        <v>0</v>
      </c>
      <c r="Y274" s="547">
        <f>IFERROR(Y270/H270,"0")+IFERROR(Y271/H271,"0")+IFERROR(Y272/H272,"0")+IFERROR(Y273/H273,"0")</f>
        <v>0</v>
      </c>
      <c r="Z274" s="547">
        <f>IFERROR(IF(Z270="",0,Z270),"0")+IFERROR(IF(Z271="",0,Z271),"0")+IFERROR(IF(Z272="",0,Z272),"0")+IFERROR(IF(Z273="",0,Z273),"0")</f>
        <v>0</v>
      </c>
      <c r="AA274" s="548"/>
      <c r="AB274" s="548"/>
      <c r="AC274" s="548"/>
    </row>
    <row r="275" spans="1:68" hidden="1" x14ac:dyDescent="0.2">
      <c r="A275" s="559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62"/>
      <c r="P275" s="567" t="s">
        <v>75</v>
      </c>
      <c r="Q275" s="568"/>
      <c r="R275" s="568"/>
      <c r="S275" s="568"/>
      <c r="T275" s="568"/>
      <c r="U275" s="568"/>
      <c r="V275" s="569"/>
      <c r="W275" s="37" t="s">
        <v>69</v>
      </c>
      <c r="X275" s="547">
        <f>IFERROR(SUM(X270:X273),"0")</f>
        <v>0</v>
      </c>
      <c r="Y275" s="547">
        <f>IFERROR(SUM(Y270:Y273),"0")</f>
        <v>0</v>
      </c>
      <c r="Z275" s="37"/>
      <c r="AA275" s="548"/>
      <c r="AB275" s="548"/>
      <c r="AC275" s="548"/>
    </row>
    <row r="276" spans="1:68" ht="16.5" hidden="1" customHeight="1" x14ac:dyDescent="0.25">
      <c r="A276" s="560" t="s">
        <v>447</v>
      </c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59"/>
      <c r="P276" s="559"/>
      <c r="Q276" s="559"/>
      <c r="R276" s="559"/>
      <c r="S276" s="559"/>
      <c r="T276" s="559"/>
      <c r="U276" s="559"/>
      <c r="V276" s="559"/>
      <c r="W276" s="559"/>
      <c r="X276" s="559"/>
      <c r="Y276" s="559"/>
      <c r="Z276" s="559"/>
      <c r="AA276" s="540"/>
      <c r="AB276" s="540"/>
      <c r="AC276" s="540"/>
    </row>
    <row r="277" spans="1:68" ht="14.25" hidden="1" customHeight="1" x14ac:dyDescent="0.25">
      <c r="A277" s="558" t="s">
        <v>77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1"/>
      <c r="AB277" s="541"/>
      <c r="AC277" s="541"/>
    </row>
    <row r="278" spans="1:68" ht="27" hidden="1" customHeight="1" x14ac:dyDescent="0.25">
      <c r="A278" s="54" t="s">
        <v>448</v>
      </c>
      <c r="B278" s="54" t="s">
        <v>449</v>
      </c>
      <c r="C278" s="31">
        <v>4301051893</v>
      </c>
      <c r="D278" s="552">
        <v>4680115886186</v>
      </c>
      <c r="E278" s="553"/>
      <c r="F278" s="544">
        <v>0.3</v>
      </c>
      <c r="G278" s="32">
        <v>6</v>
      </c>
      <c r="H278" s="544">
        <v>1.8</v>
      </c>
      <c r="I278" s="544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76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0"/>
      <c r="R278" s="550"/>
      <c r="S278" s="550"/>
      <c r="T278" s="551"/>
      <c r="U278" s="34"/>
      <c r="V278" s="34"/>
      <c r="W278" s="35" t="s">
        <v>69</v>
      </c>
      <c r="X278" s="545">
        <v>0</v>
      </c>
      <c r="Y278" s="54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451</v>
      </c>
      <c r="B279" s="54" t="s">
        <v>452</v>
      </c>
      <c r="C279" s="31">
        <v>4301051795</v>
      </c>
      <c r="D279" s="552">
        <v>4680115881228</v>
      </c>
      <c r="E279" s="553"/>
      <c r="F279" s="544">
        <v>0.4</v>
      </c>
      <c r="G279" s="32">
        <v>6</v>
      </c>
      <c r="H279" s="544">
        <v>2.4</v>
      </c>
      <c r="I279" s="544">
        <v>2.6520000000000001</v>
      </c>
      <c r="J279" s="32">
        <v>182</v>
      </c>
      <c r="K279" s="32" t="s">
        <v>67</v>
      </c>
      <c r="L279" s="32" t="s">
        <v>213</v>
      </c>
      <c r="M279" s="33" t="s">
        <v>86</v>
      </c>
      <c r="N279" s="33"/>
      <c r="O279" s="32">
        <v>40</v>
      </c>
      <c r="P279" s="75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0"/>
      <c r="R279" s="550"/>
      <c r="S279" s="550"/>
      <c r="T279" s="551"/>
      <c r="U279" s="34"/>
      <c r="V279" s="34"/>
      <c r="W279" s="35" t="s">
        <v>69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 t="s">
        <v>106</v>
      </c>
      <c r="AK279" s="68">
        <v>33.6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2">
        <v>4680115881211</v>
      </c>
      <c r="E280" s="553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 t="s">
        <v>213</v>
      </c>
      <c r="M280" s="33" t="s">
        <v>80</v>
      </c>
      <c r="N280" s="33"/>
      <c r="O280" s="32">
        <v>45</v>
      </c>
      <c r="P280" s="68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0"/>
      <c r="R280" s="550"/>
      <c r="S280" s="550"/>
      <c r="T280" s="551"/>
      <c r="U280" s="34"/>
      <c r="V280" s="34"/>
      <c r="W280" s="35" t="s">
        <v>69</v>
      </c>
      <c r="X280" s="545">
        <v>40</v>
      </c>
      <c r="Y280" s="546">
        <f>IFERROR(IF(X280="",0,CEILING((X280/$H280),1)*$H280),"")</f>
        <v>40.799999999999997</v>
      </c>
      <c r="Z280" s="36">
        <f>IFERROR(IF(Y280=0,"",ROUNDUP(Y280/H280,0)*0.00651),"")</f>
        <v>0.11067</v>
      </c>
      <c r="AA280" s="56"/>
      <c r="AB280" s="57"/>
      <c r="AC280" s="335" t="s">
        <v>450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43</v>
      </c>
      <c r="BN280" s="64">
        <f>IFERROR(Y280*I280/H280,"0")</f>
        <v>43.86</v>
      </c>
      <c r="BO280" s="64">
        <f>IFERROR(1/J280*(X280/H280),"0")</f>
        <v>9.1575091575091583E-2</v>
      </c>
      <c r="BP280" s="64">
        <f>IFERROR(1/J280*(Y280/H280),"0")</f>
        <v>9.3406593406593408E-2</v>
      </c>
    </row>
    <row r="281" spans="1:68" x14ac:dyDescent="0.2">
      <c r="A281" s="561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62"/>
      <c r="P281" s="567" t="s">
        <v>75</v>
      </c>
      <c r="Q281" s="568"/>
      <c r="R281" s="568"/>
      <c r="S281" s="568"/>
      <c r="T281" s="568"/>
      <c r="U281" s="568"/>
      <c r="V281" s="569"/>
      <c r="W281" s="37" t="s">
        <v>76</v>
      </c>
      <c r="X281" s="547">
        <f>IFERROR(X278/H278,"0")+IFERROR(X279/H279,"0")+IFERROR(X280/H280,"0")</f>
        <v>16.666666666666668</v>
      </c>
      <c r="Y281" s="547">
        <f>IFERROR(Y278/H278,"0")+IFERROR(Y279/H279,"0")+IFERROR(Y280/H280,"0")</f>
        <v>17</v>
      </c>
      <c r="Z281" s="547">
        <f>IFERROR(IF(Z278="",0,Z278),"0")+IFERROR(IF(Z279="",0,Z279),"0")+IFERROR(IF(Z280="",0,Z280),"0")</f>
        <v>0.11067</v>
      </c>
      <c r="AA281" s="548"/>
      <c r="AB281" s="548"/>
      <c r="AC281" s="548"/>
    </row>
    <row r="282" spans="1:68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62"/>
      <c r="P282" s="567" t="s">
        <v>75</v>
      </c>
      <c r="Q282" s="568"/>
      <c r="R282" s="568"/>
      <c r="S282" s="568"/>
      <c r="T282" s="568"/>
      <c r="U282" s="568"/>
      <c r="V282" s="569"/>
      <c r="W282" s="37" t="s">
        <v>69</v>
      </c>
      <c r="X282" s="547">
        <f>IFERROR(SUM(X278:X280),"0")</f>
        <v>40</v>
      </c>
      <c r="Y282" s="547">
        <f>IFERROR(SUM(Y278:Y280),"0")</f>
        <v>40.799999999999997</v>
      </c>
      <c r="Z282" s="37"/>
      <c r="AA282" s="548"/>
      <c r="AB282" s="548"/>
      <c r="AC282" s="548"/>
    </row>
    <row r="283" spans="1:68" ht="16.5" hidden="1" customHeight="1" x14ac:dyDescent="0.25">
      <c r="A283" s="560" t="s">
        <v>456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0"/>
      <c r="AB283" s="540"/>
      <c r="AC283" s="540"/>
    </row>
    <row r="284" spans="1:68" ht="14.25" hidden="1" customHeight="1" x14ac:dyDescent="0.25">
      <c r="A284" s="558" t="s">
        <v>64</v>
      </c>
      <c r="B284" s="559"/>
      <c r="C284" s="559"/>
      <c r="D284" s="559"/>
      <c r="E284" s="559"/>
      <c r="F284" s="559"/>
      <c r="G284" s="559"/>
      <c r="H284" s="559"/>
      <c r="I284" s="559"/>
      <c r="J284" s="559"/>
      <c r="K284" s="559"/>
      <c r="L284" s="559"/>
      <c r="M284" s="559"/>
      <c r="N284" s="559"/>
      <c r="O284" s="559"/>
      <c r="P284" s="559"/>
      <c r="Q284" s="559"/>
      <c r="R284" s="559"/>
      <c r="S284" s="559"/>
      <c r="T284" s="559"/>
      <c r="U284" s="559"/>
      <c r="V284" s="559"/>
      <c r="W284" s="559"/>
      <c r="X284" s="559"/>
      <c r="Y284" s="559"/>
      <c r="Z284" s="559"/>
      <c r="AA284" s="541"/>
      <c r="AB284" s="541"/>
      <c r="AC284" s="541"/>
    </row>
    <row r="285" spans="1:68" ht="27" hidden="1" customHeight="1" x14ac:dyDescent="0.25">
      <c r="A285" s="54" t="s">
        <v>457</v>
      </c>
      <c r="B285" s="54" t="s">
        <v>458</v>
      </c>
      <c r="C285" s="31">
        <v>4301031307</v>
      </c>
      <c r="D285" s="552">
        <v>4680115880344</v>
      </c>
      <c r="E285" s="553"/>
      <c r="F285" s="544">
        <v>0.28000000000000003</v>
      </c>
      <c r="G285" s="32">
        <v>6</v>
      </c>
      <c r="H285" s="544">
        <v>1.68</v>
      </c>
      <c r="I285" s="544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1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0"/>
      <c r="R285" s="550"/>
      <c r="S285" s="550"/>
      <c r="T285" s="551"/>
      <c r="U285" s="34"/>
      <c r="V285" s="34"/>
      <c r="W285" s="35" t="s">
        <v>69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460</v>
      </c>
      <c r="B286" s="54" t="s">
        <v>461</v>
      </c>
      <c r="C286" s="31">
        <v>4301031429</v>
      </c>
      <c r="D286" s="552">
        <v>4680115886919</v>
      </c>
      <c r="E286" s="553"/>
      <c r="F286" s="544">
        <v>0.4</v>
      </c>
      <c r="G286" s="32">
        <v>6</v>
      </c>
      <c r="H286" s="544">
        <v>2.4</v>
      </c>
      <c r="I286" s="544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6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0"/>
      <c r="R286" s="550"/>
      <c r="S286" s="550"/>
      <c r="T286" s="551"/>
      <c r="U286" s="34"/>
      <c r="V286" s="34"/>
      <c r="W286" s="35" t="s">
        <v>69</v>
      </c>
      <c r="X286" s="545">
        <v>0</v>
      </c>
      <c r="Y286" s="546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1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62"/>
      <c r="P287" s="567" t="s">
        <v>75</v>
      </c>
      <c r="Q287" s="568"/>
      <c r="R287" s="568"/>
      <c r="S287" s="568"/>
      <c r="T287" s="568"/>
      <c r="U287" s="568"/>
      <c r="V287" s="569"/>
      <c r="W287" s="37" t="s">
        <v>76</v>
      </c>
      <c r="X287" s="547">
        <f>IFERROR(X285/H285,"0")+IFERROR(X286/H286,"0")</f>
        <v>0</v>
      </c>
      <c r="Y287" s="547">
        <f>IFERROR(Y285/H285,"0")+IFERROR(Y286/H286,"0")</f>
        <v>0</v>
      </c>
      <c r="Z287" s="547">
        <f>IFERROR(IF(Z285="",0,Z285),"0")+IFERROR(IF(Z286="",0,Z286),"0")</f>
        <v>0</v>
      </c>
      <c r="AA287" s="548"/>
      <c r="AB287" s="548"/>
      <c r="AC287" s="548"/>
    </row>
    <row r="288" spans="1:68" hidden="1" x14ac:dyDescent="0.2">
      <c r="A288" s="559"/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62"/>
      <c r="P288" s="567" t="s">
        <v>75</v>
      </c>
      <c r="Q288" s="568"/>
      <c r="R288" s="568"/>
      <c r="S288" s="568"/>
      <c r="T288" s="568"/>
      <c r="U288" s="568"/>
      <c r="V288" s="569"/>
      <c r="W288" s="37" t="s">
        <v>69</v>
      </c>
      <c r="X288" s="547">
        <f>IFERROR(SUM(X285:X286),"0")</f>
        <v>0</v>
      </c>
      <c r="Y288" s="547">
        <f>IFERROR(SUM(Y285:Y286),"0")</f>
        <v>0</v>
      </c>
      <c r="Z288" s="37"/>
      <c r="AA288" s="548"/>
      <c r="AB288" s="548"/>
      <c r="AC288" s="548"/>
    </row>
    <row r="289" spans="1:68" ht="14.25" hidden="1" customHeight="1" x14ac:dyDescent="0.25">
      <c r="A289" s="558" t="s">
        <v>77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37.5" hidden="1" customHeight="1" x14ac:dyDescent="0.25">
      <c r="A290" s="54" t="s">
        <v>463</v>
      </c>
      <c r="B290" s="54" t="s">
        <v>464</v>
      </c>
      <c r="C290" s="31">
        <v>4301051782</v>
      </c>
      <c r="D290" s="552">
        <v>4680115884618</v>
      </c>
      <c r="E290" s="553"/>
      <c r="F290" s="544">
        <v>0.6</v>
      </c>
      <c r="G290" s="32">
        <v>6</v>
      </c>
      <c r="H290" s="544">
        <v>3.6</v>
      </c>
      <c r="I290" s="544">
        <v>3.79</v>
      </c>
      <c r="J290" s="32">
        <v>132</v>
      </c>
      <c r="K290" s="32" t="s">
        <v>109</v>
      </c>
      <c r="L290" s="32"/>
      <c r="M290" s="33" t="s">
        <v>80</v>
      </c>
      <c r="N290" s="33"/>
      <c r="O290" s="32">
        <v>45</v>
      </c>
      <c r="P290" s="60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5">
        <v>0</v>
      </c>
      <c r="Y290" s="546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466</v>
      </c>
      <c r="B291" s="54" t="s">
        <v>467</v>
      </c>
      <c r="C291" s="31">
        <v>4301052057</v>
      </c>
      <c r="D291" s="552">
        <v>4680115887114</v>
      </c>
      <c r="E291" s="553"/>
      <c r="F291" s="544">
        <v>0.55000000000000004</v>
      </c>
      <c r="G291" s="32">
        <v>6</v>
      </c>
      <c r="H291" s="544">
        <v>3.3</v>
      </c>
      <c r="I291" s="544">
        <v>3.49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84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5">
        <v>0</v>
      </c>
      <c r="Y291" s="546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1"/>
      <c r="B292" s="559"/>
      <c r="C292" s="559"/>
      <c r="D292" s="559"/>
      <c r="E292" s="559"/>
      <c r="F292" s="559"/>
      <c r="G292" s="559"/>
      <c r="H292" s="559"/>
      <c r="I292" s="559"/>
      <c r="J292" s="559"/>
      <c r="K292" s="559"/>
      <c r="L292" s="559"/>
      <c r="M292" s="559"/>
      <c r="N292" s="559"/>
      <c r="O292" s="562"/>
      <c r="P292" s="567" t="s">
        <v>75</v>
      </c>
      <c r="Q292" s="568"/>
      <c r="R292" s="568"/>
      <c r="S292" s="568"/>
      <c r="T292" s="568"/>
      <c r="U292" s="568"/>
      <c r="V292" s="569"/>
      <c r="W292" s="37" t="s">
        <v>76</v>
      </c>
      <c r="X292" s="547">
        <f>IFERROR(X290/H290,"0")+IFERROR(X291/H291,"0")</f>
        <v>0</v>
      </c>
      <c r="Y292" s="547">
        <f>IFERROR(Y290/H290,"0")+IFERROR(Y291/H291,"0")</f>
        <v>0</v>
      </c>
      <c r="Z292" s="547">
        <f>IFERROR(IF(Z290="",0,Z290),"0")+IFERROR(IF(Z291="",0,Z291),"0")</f>
        <v>0</v>
      </c>
      <c r="AA292" s="548"/>
      <c r="AB292" s="548"/>
      <c r="AC292" s="548"/>
    </row>
    <row r="293" spans="1:68" hidden="1" x14ac:dyDescent="0.2">
      <c r="A293" s="559"/>
      <c r="B293" s="559"/>
      <c r="C293" s="559"/>
      <c r="D293" s="559"/>
      <c r="E293" s="559"/>
      <c r="F293" s="559"/>
      <c r="G293" s="559"/>
      <c r="H293" s="559"/>
      <c r="I293" s="559"/>
      <c r="J293" s="559"/>
      <c r="K293" s="559"/>
      <c r="L293" s="559"/>
      <c r="M293" s="559"/>
      <c r="N293" s="559"/>
      <c r="O293" s="562"/>
      <c r="P293" s="567" t="s">
        <v>75</v>
      </c>
      <c r="Q293" s="568"/>
      <c r="R293" s="568"/>
      <c r="S293" s="568"/>
      <c r="T293" s="568"/>
      <c r="U293" s="568"/>
      <c r="V293" s="569"/>
      <c r="W293" s="37" t="s">
        <v>69</v>
      </c>
      <c r="X293" s="547">
        <f>IFERROR(SUM(X290:X291),"0")</f>
        <v>0</v>
      </c>
      <c r="Y293" s="547">
        <f>IFERROR(SUM(Y290:Y291),"0")</f>
        <v>0</v>
      </c>
      <c r="Z293" s="37"/>
      <c r="AA293" s="548"/>
      <c r="AB293" s="548"/>
      <c r="AC293" s="548"/>
    </row>
    <row r="294" spans="1:68" ht="16.5" hidden="1" customHeight="1" x14ac:dyDescent="0.25">
      <c r="A294" s="560" t="s">
        <v>469</v>
      </c>
      <c r="B294" s="559"/>
      <c r="C294" s="559"/>
      <c r="D294" s="559"/>
      <c r="E294" s="559"/>
      <c r="F294" s="559"/>
      <c r="G294" s="559"/>
      <c r="H294" s="559"/>
      <c r="I294" s="559"/>
      <c r="J294" s="559"/>
      <c r="K294" s="559"/>
      <c r="L294" s="559"/>
      <c r="M294" s="559"/>
      <c r="N294" s="559"/>
      <c r="O294" s="559"/>
      <c r="P294" s="559"/>
      <c r="Q294" s="559"/>
      <c r="R294" s="559"/>
      <c r="S294" s="559"/>
      <c r="T294" s="559"/>
      <c r="U294" s="559"/>
      <c r="V294" s="559"/>
      <c r="W294" s="559"/>
      <c r="X294" s="559"/>
      <c r="Y294" s="559"/>
      <c r="Z294" s="559"/>
      <c r="AA294" s="540"/>
      <c r="AB294" s="540"/>
      <c r="AC294" s="540"/>
    </row>
    <row r="295" spans="1:68" ht="14.25" hidden="1" customHeight="1" x14ac:dyDescent="0.25">
      <c r="A295" s="558" t="s">
        <v>99</v>
      </c>
      <c r="B295" s="559"/>
      <c r="C295" s="559"/>
      <c r="D295" s="559"/>
      <c r="E295" s="559"/>
      <c r="F295" s="559"/>
      <c r="G295" s="559"/>
      <c r="H295" s="559"/>
      <c r="I295" s="559"/>
      <c r="J295" s="559"/>
      <c r="K295" s="559"/>
      <c r="L295" s="559"/>
      <c r="M295" s="559"/>
      <c r="N295" s="559"/>
      <c r="O295" s="559"/>
      <c r="P295" s="559"/>
      <c r="Q295" s="559"/>
      <c r="R295" s="559"/>
      <c r="S295" s="559"/>
      <c r="T295" s="559"/>
      <c r="U295" s="559"/>
      <c r="V295" s="559"/>
      <c r="W295" s="559"/>
      <c r="X295" s="559"/>
      <c r="Y295" s="559"/>
      <c r="Z295" s="559"/>
      <c r="AA295" s="541"/>
      <c r="AB295" s="541"/>
      <c r="AC295" s="541"/>
    </row>
    <row r="296" spans="1:68" ht="27" hidden="1" customHeight="1" x14ac:dyDescent="0.25">
      <c r="A296" s="54" t="s">
        <v>470</v>
      </c>
      <c r="B296" s="54" t="s">
        <v>471</v>
      </c>
      <c r="C296" s="31">
        <v>4301012024</v>
      </c>
      <c r="D296" s="552">
        <v>4680115885615</v>
      </c>
      <c r="E296" s="553"/>
      <c r="F296" s="544">
        <v>1.35</v>
      </c>
      <c r="G296" s="32">
        <v>8</v>
      </c>
      <c r="H296" s="544">
        <v>10.8</v>
      </c>
      <c r="I296" s="544">
        <v>11.21</v>
      </c>
      <c r="J296" s="32">
        <v>64</v>
      </c>
      <c r="K296" s="32" t="s">
        <v>102</v>
      </c>
      <c r="L296" s="32"/>
      <c r="M296" s="33" t="s">
        <v>80</v>
      </c>
      <c r="N296" s="33"/>
      <c r="O296" s="32">
        <v>55</v>
      </c>
      <c r="P296" s="72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0"/>
      <c r="R296" s="550"/>
      <c r="S296" s="550"/>
      <c r="T296" s="551"/>
      <c r="U296" s="34"/>
      <c r="V296" s="34"/>
      <c r="W296" s="35" t="s">
        <v>69</v>
      </c>
      <c r="X296" s="545">
        <v>0</v>
      </c>
      <c r="Y296" s="546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hidden="1" customHeight="1" x14ac:dyDescent="0.25">
      <c r="A297" s="54" t="s">
        <v>473</v>
      </c>
      <c r="B297" s="54" t="s">
        <v>474</v>
      </c>
      <c r="C297" s="31">
        <v>4301011858</v>
      </c>
      <c r="D297" s="552">
        <v>4680115885646</v>
      </c>
      <c r="E297" s="553"/>
      <c r="F297" s="544">
        <v>1.35</v>
      </c>
      <c r="G297" s="32">
        <v>8</v>
      </c>
      <c r="H297" s="544">
        <v>10.8</v>
      </c>
      <c r="I297" s="544">
        <v>11.21</v>
      </c>
      <c r="J297" s="32">
        <v>64</v>
      </c>
      <c r="K297" s="32" t="s">
        <v>102</v>
      </c>
      <c r="L297" s="32"/>
      <c r="M297" s="33" t="s">
        <v>104</v>
      </c>
      <c r="N297" s="33"/>
      <c r="O297" s="32">
        <v>55</v>
      </c>
      <c r="P297" s="85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0"/>
      <c r="R297" s="550"/>
      <c r="S297" s="550"/>
      <c r="T297" s="551"/>
      <c r="U297" s="34"/>
      <c r="V297" s="34"/>
      <c r="W297" s="35" t="s">
        <v>69</v>
      </c>
      <c r="X297" s="545">
        <v>0</v>
      </c>
      <c r="Y297" s="546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476</v>
      </c>
      <c r="B298" s="54" t="s">
        <v>477</v>
      </c>
      <c r="C298" s="31">
        <v>4301012016</v>
      </c>
      <c r="D298" s="552">
        <v>4680115885554</v>
      </c>
      <c r="E298" s="553"/>
      <c r="F298" s="544">
        <v>1.35</v>
      </c>
      <c r="G298" s="32">
        <v>8</v>
      </c>
      <c r="H298" s="544">
        <v>10.8</v>
      </c>
      <c r="I298" s="544">
        <v>11.21</v>
      </c>
      <c r="J298" s="32">
        <v>64</v>
      </c>
      <c r="K298" s="32" t="s">
        <v>102</v>
      </c>
      <c r="L298" s="32"/>
      <c r="M298" s="33" t="s">
        <v>80</v>
      </c>
      <c r="N298" s="33"/>
      <c r="O298" s="32">
        <v>55</v>
      </c>
      <c r="P298" s="81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0"/>
      <c r="R298" s="550"/>
      <c r="S298" s="550"/>
      <c r="T298" s="551"/>
      <c r="U298" s="34"/>
      <c r="V298" s="34"/>
      <c r="W298" s="35" t="s">
        <v>69</v>
      </c>
      <c r="X298" s="545">
        <v>0</v>
      </c>
      <c r="Y298" s="546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4301011857</v>
      </c>
      <c r="D299" s="552">
        <v>4680115885622</v>
      </c>
      <c r="E299" s="553"/>
      <c r="F299" s="544">
        <v>0.4</v>
      </c>
      <c r="G299" s="32">
        <v>10</v>
      </c>
      <c r="H299" s="544">
        <v>4</v>
      </c>
      <c r="I299" s="544">
        <v>4.1900000000000004</v>
      </c>
      <c r="J299" s="32">
        <v>132</v>
      </c>
      <c r="K299" s="32" t="s">
        <v>109</v>
      </c>
      <c r="L299" s="32"/>
      <c r="M299" s="33" t="s">
        <v>104</v>
      </c>
      <c r="N299" s="33"/>
      <c r="O299" s="32">
        <v>55</v>
      </c>
      <c r="P299" s="7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0"/>
      <c r="R299" s="550"/>
      <c r="S299" s="550"/>
      <c r="T299" s="551"/>
      <c r="U299" s="34"/>
      <c r="V299" s="34"/>
      <c r="W299" s="35" t="s">
        <v>69</v>
      </c>
      <c r="X299" s="545">
        <v>0</v>
      </c>
      <c r="Y299" s="546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481</v>
      </c>
      <c r="B300" s="54" t="s">
        <v>482</v>
      </c>
      <c r="C300" s="31">
        <v>4301011859</v>
      </c>
      <c r="D300" s="552">
        <v>4680115885608</v>
      </c>
      <c r="E300" s="553"/>
      <c r="F300" s="544">
        <v>0.4</v>
      </c>
      <c r="G300" s="32">
        <v>10</v>
      </c>
      <c r="H300" s="544">
        <v>4</v>
      </c>
      <c r="I300" s="544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69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0"/>
      <c r="R300" s="550"/>
      <c r="S300" s="550"/>
      <c r="T300" s="551"/>
      <c r="U300" s="34"/>
      <c r="V300" s="34"/>
      <c r="W300" s="35" t="s">
        <v>69</v>
      </c>
      <c r="X300" s="545">
        <v>0</v>
      </c>
      <c r="Y300" s="546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483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561"/>
      <c r="B301" s="559"/>
      <c r="C301" s="559"/>
      <c r="D301" s="559"/>
      <c r="E301" s="559"/>
      <c r="F301" s="559"/>
      <c r="G301" s="559"/>
      <c r="H301" s="559"/>
      <c r="I301" s="559"/>
      <c r="J301" s="559"/>
      <c r="K301" s="559"/>
      <c r="L301" s="559"/>
      <c r="M301" s="559"/>
      <c r="N301" s="559"/>
      <c r="O301" s="562"/>
      <c r="P301" s="567" t="s">
        <v>75</v>
      </c>
      <c r="Q301" s="568"/>
      <c r="R301" s="568"/>
      <c r="S301" s="568"/>
      <c r="T301" s="568"/>
      <c r="U301" s="568"/>
      <c r="V301" s="569"/>
      <c r="W301" s="37" t="s">
        <v>76</v>
      </c>
      <c r="X301" s="547">
        <f>IFERROR(X296/H296,"0")+IFERROR(X297/H297,"0")+IFERROR(X298/H298,"0")+IFERROR(X299/H299,"0")+IFERROR(X300/H300,"0")</f>
        <v>0</v>
      </c>
      <c r="Y301" s="547">
        <f>IFERROR(Y296/H296,"0")+IFERROR(Y297/H297,"0")+IFERROR(Y298/H298,"0")+IFERROR(Y299/H299,"0")+IFERROR(Y300/H300,"0")</f>
        <v>0</v>
      </c>
      <c r="Z301" s="547">
        <f>IFERROR(IF(Z296="",0,Z296),"0")+IFERROR(IF(Z297="",0,Z297),"0")+IFERROR(IF(Z298="",0,Z298),"0")+IFERROR(IF(Z299="",0,Z299),"0")+IFERROR(IF(Z300="",0,Z300),"0")</f>
        <v>0</v>
      </c>
      <c r="AA301" s="548"/>
      <c r="AB301" s="548"/>
      <c r="AC301" s="548"/>
    </row>
    <row r="302" spans="1:68" hidden="1" x14ac:dyDescent="0.2">
      <c r="A302" s="559"/>
      <c r="B302" s="559"/>
      <c r="C302" s="559"/>
      <c r="D302" s="559"/>
      <c r="E302" s="559"/>
      <c r="F302" s="559"/>
      <c r="G302" s="559"/>
      <c r="H302" s="559"/>
      <c r="I302" s="559"/>
      <c r="J302" s="559"/>
      <c r="K302" s="559"/>
      <c r="L302" s="559"/>
      <c r="M302" s="559"/>
      <c r="N302" s="559"/>
      <c r="O302" s="562"/>
      <c r="P302" s="567" t="s">
        <v>75</v>
      </c>
      <c r="Q302" s="568"/>
      <c r="R302" s="568"/>
      <c r="S302" s="568"/>
      <c r="T302" s="568"/>
      <c r="U302" s="568"/>
      <c r="V302" s="569"/>
      <c r="W302" s="37" t="s">
        <v>69</v>
      </c>
      <c r="X302" s="547">
        <f>IFERROR(SUM(X296:X300),"0")</f>
        <v>0</v>
      </c>
      <c r="Y302" s="547">
        <f>IFERROR(SUM(Y296:Y300),"0")</f>
        <v>0</v>
      </c>
      <c r="Z302" s="37"/>
      <c r="AA302" s="548"/>
      <c r="AB302" s="548"/>
      <c r="AC302" s="548"/>
    </row>
    <row r="303" spans="1:68" ht="14.25" hidden="1" customHeight="1" x14ac:dyDescent="0.25">
      <c r="A303" s="558" t="s">
        <v>64</v>
      </c>
      <c r="B303" s="559"/>
      <c r="C303" s="559"/>
      <c r="D303" s="559"/>
      <c r="E303" s="559"/>
      <c r="F303" s="559"/>
      <c r="G303" s="559"/>
      <c r="H303" s="559"/>
      <c r="I303" s="559"/>
      <c r="J303" s="559"/>
      <c r="K303" s="559"/>
      <c r="L303" s="559"/>
      <c r="M303" s="559"/>
      <c r="N303" s="559"/>
      <c r="O303" s="559"/>
      <c r="P303" s="559"/>
      <c r="Q303" s="559"/>
      <c r="R303" s="559"/>
      <c r="S303" s="559"/>
      <c r="T303" s="559"/>
      <c r="U303" s="559"/>
      <c r="V303" s="559"/>
      <c r="W303" s="559"/>
      <c r="X303" s="559"/>
      <c r="Y303" s="559"/>
      <c r="Z303" s="559"/>
      <c r="AA303" s="541"/>
      <c r="AB303" s="541"/>
      <c r="AC303" s="541"/>
    </row>
    <row r="304" spans="1:68" ht="27" hidden="1" customHeight="1" x14ac:dyDescent="0.25">
      <c r="A304" s="54" t="s">
        <v>484</v>
      </c>
      <c r="B304" s="54" t="s">
        <v>485</v>
      </c>
      <c r="C304" s="31">
        <v>4301030878</v>
      </c>
      <c r="D304" s="552">
        <v>4607091387193</v>
      </c>
      <c r="E304" s="553"/>
      <c r="F304" s="544">
        <v>0.7</v>
      </c>
      <c r="G304" s="32">
        <v>6</v>
      </c>
      <c r="H304" s="544">
        <v>4.2</v>
      </c>
      <c r="I304" s="544">
        <v>4.45</v>
      </c>
      <c r="J304" s="32">
        <v>132</v>
      </c>
      <c r="K304" s="32" t="s">
        <v>109</v>
      </c>
      <c r="L304" s="32"/>
      <c r="M304" s="33" t="s">
        <v>68</v>
      </c>
      <c r="N304" s="33"/>
      <c r="O304" s="32">
        <v>35</v>
      </c>
      <c r="P304" s="85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5">
        <v>0</v>
      </c>
      <c r="Y304" s="546">
        <f t="shared" ref="Y304:Y309" si="26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486</v>
      </c>
      <c r="AG304" s="64"/>
      <c r="AJ304" s="68"/>
      <c r="AK304" s="68">
        <v>0</v>
      </c>
      <c r="BB304" s="356" t="s">
        <v>1</v>
      </c>
      <c r="BM304" s="64">
        <f t="shared" ref="BM304:BM309" si="27">IFERROR(X304*I304/H304,"0")</f>
        <v>0</v>
      </c>
      <c r="BN304" s="64">
        <f t="shared" ref="BN304:BN309" si="28">IFERROR(Y304*I304/H304,"0")</f>
        <v>0</v>
      </c>
      <c r="BO304" s="64">
        <f t="shared" ref="BO304:BO309" si="29">IFERROR(1/J304*(X304/H304),"0")</f>
        <v>0</v>
      </c>
      <c r="BP304" s="64">
        <f t="shared" ref="BP304:BP309" si="30">IFERROR(1/J304*(Y304/H304),"0")</f>
        <v>0</v>
      </c>
    </row>
    <row r="305" spans="1:68" ht="27" hidden="1" customHeight="1" x14ac:dyDescent="0.25">
      <c r="A305" s="54" t="s">
        <v>487</v>
      </c>
      <c r="B305" s="54" t="s">
        <v>488</v>
      </c>
      <c r="C305" s="31">
        <v>4301031153</v>
      </c>
      <c r="D305" s="552">
        <v>4607091387230</v>
      </c>
      <c r="E305" s="553"/>
      <c r="F305" s="544">
        <v>0.7</v>
      </c>
      <c r="G305" s="32">
        <v>6</v>
      </c>
      <c r="H305" s="544">
        <v>4.2</v>
      </c>
      <c r="I305" s="544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40</v>
      </c>
      <c r="P305" s="7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5">
        <v>0</v>
      </c>
      <c r="Y305" s="546">
        <f t="shared" si="26"/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si="27"/>
        <v>0</v>
      </c>
      <c r="BN305" s="64">
        <f t="shared" si="28"/>
        <v>0</v>
      </c>
      <c r="BO305" s="64">
        <f t="shared" si="29"/>
        <v>0</v>
      </c>
      <c r="BP305" s="64">
        <f t="shared" si="30"/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4301031154</v>
      </c>
      <c r="D306" s="552">
        <v>4607091387292</v>
      </c>
      <c r="E306" s="553"/>
      <c r="F306" s="544">
        <v>0.73</v>
      </c>
      <c r="G306" s="32">
        <v>6</v>
      </c>
      <c r="H306" s="544">
        <v>4.38</v>
      </c>
      <c r="I306" s="544">
        <v>4.63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45</v>
      </c>
      <c r="P306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0"/>
      <c r="R306" s="550"/>
      <c r="S306" s="550"/>
      <c r="T306" s="551"/>
      <c r="U306" s="34"/>
      <c r="V306" s="34"/>
      <c r="W306" s="35" t="s">
        <v>69</v>
      </c>
      <c r="X306" s="545">
        <v>0</v>
      </c>
      <c r="Y306" s="546">
        <f t="shared" si="26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27"/>
        <v>0</v>
      </c>
      <c r="BN306" s="64">
        <f t="shared" si="28"/>
        <v>0</v>
      </c>
      <c r="BO306" s="64">
        <f t="shared" si="29"/>
        <v>0</v>
      </c>
      <c r="BP306" s="64">
        <f t="shared" si="30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4301031152</v>
      </c>
      <c r="D307" s="552">
        <v>4607091387285</v>
      </c>
      <c r="E307" s="553"/>
      <c r="F307" s="544">
        <v>0.35</v>
      </c>
      <c r="G307" s="32">
        <v>6</v>
      </c>
      <c r="H307" s="544">
        <v>2.1</v>
      </c>
      <c r="I307" s="544">
        <v>2.23</v>
      </c>
      <c r="J307" s="32">
        <v>234</v>
      </c>
      <c r="K307" s="32" t="s">
        <v>73</v>
      </c>
      <c r="L307" s="32"/>
      <c r="M307" s="33" t="s">
        <v>68</v>
      </c>
      <c r="N307" s="33"/>
      <c r="O307" s="32">
        <v>40</v>
      </c>
      <c r="P307" s="87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0"/>
      <c r="R307" s="550"/>
      <c r="S307" s="550"/>
      <c r="T307" s="551"/>
      <c r="U307" s="34"/>
      <c r="V307" s="34"/>
      <c r="W307" s="35" t="s">
        <v>69</v>
      </c>
      <c r="X307" s="545">
        <v>0</v>
      </c>
      <c r="Y307" s="546">
        <f t="shared" si="26"/>
        <v>0</v>
      </c>
      <c r="Z307" s="36" t="str">
        <f>IFERROR(IF(Y307=0,"",ROUNDUP(Y307/H307,0)*0.00502),"")</f>
        <v/>
      </c>
      <c r="AA307" s="56"/>
      <c r="AB307" s="57"/>
      <c r="AC307" s="361" t="s">
        <v>489</v>
      </c>
      <c r="AG307" s="64"/>
      <c r="AJ307" s="68"/>
      <c r="AK307" s="68">
        <v>0</v>
      </c>
      <c r="BB307" s="362" t="s">
        <v>1</v>
      </c>
      <c r="BM307" s="64">
        <f t="shared" si="27"/>
        <v>0</v>
      </c>
      <c r="BN307" s="64">
        <f t="shared" si="28"/>
        <v>0</v>
      </c>
      <c r="BO307" s="64">
        <f t="shared" si="29"/>
        <v>0</v>
      </c>
      <c r="BP307" s="64">
        <f t="shared" si="30"/>
        <v>0</v>
      </c>
    </row>
    <row r="308" spans="1:68" ht="27" hidden="1" customHeight="1" x14ac:dyDescent="0.25">
      <c r="A308" s="54" t="s">
        <v>495</v>
      </c>
      <c r="B308" s="54" t="s">
        <v>496</v>
      </c>
      <c r="C308" s="31">
        <v>4301031305</v>
      </c>
      <c r="D308" s="552">
        <v>4607091389845</v>
      </c>
      <c r="E308" s="553"/>
      <c r="F308" s="544">
        <v>0.35</v>
      </c>
      <c r="G308" s="32">
        <v>6</v>
      </c>
      <c r="H308" s="544">
        <v>2.1</v>
      </c>
      <c r="I308" s="544">
        <v>2.2000000000000002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68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0"/>
      <c r="R308" s="550"/>
      <c r="S308" s="550"/>
      <c r="T308" s="551"/>
      <c r="U308" s="34"/>
      <c r="V308" s="34"/>
      <c r="W308" s="35" t="s">
        <v>69</v>
      </c>
      <c r="X308" s="545">
        <v>0</v>
      </c>
      <c r="Y308" s="546">
        <f t="shared" si="26"/>
        <v>0</v>
      </c>
      <c r="Z308" s="36" t="str">
        <f>IFERROR(IF(Y308=0,"",ROUNDUP(Y308/H308,0)*0.00502),"")</f>
        <v/>
      </c>
      <c r="AA308" s="56"/>
      <c r="AB308" s="57"/>
      <c r="AC308" s="363" t="s">
        <v>497</v>
      </c>
      <c r="AG308" s="64"/>
      <c r="AJ308" s="68"/>
      <c r="AK308" s="68">
        <v>0</v>
      </c>
      <c r="BB308" s="364" t="s">
        <v>1</v>
      </c>
      <c r="BM308" s="64">
        <f t="shared" si="27"/>
        <v>0</v>
      </c>
      <c r="BN308" s="64">
        <f t="shared" si="28"/>
        <v>0</v>
      </c>
      <c r="BO308" s="64">
        <f t="shared" si="29"/>
        <v>0</v>
      </c>
      <c r="BP308" s="64">
        <f t="shared" si="30"/>
        <v>0</v>
      </c>
    </row>
    <row r="309" spans="1:68" ht="27" hidden="1" customHeight="1" x14ac:dyDescent="0.25">
      <c r="A309" s="54" t="s">
        <v>498</v>
      </c>
      <c r="B309" s="54" t="s">
        <v>499</v>
      </c>
      <c r="C309" s="31">
        <v>4301031066</v>
      </c>
      <c r="D309" s="552">
        <v>4607091383836</v>
      </c>
      <c r="E309" s="553"/>
      <c r="F309" s="544">
        <v>0.3</v>
      </c>
      <c r="G309" s="32">
        <v>6</v>
      </c>
      <c r="H309" s="544">
        <v>1.8</v>
      </c>
      <c r="I309" s="544">
        <v>2.028</v>
      </c>
      <c r="J309" s="32">
        <v>182</v>
      </c>
      <c r="K309" s="32" t="s">
        <v>67</v>
      </c>
      <c r="L309" s="32"/>
      <c r="M309" s="33" t="s">
        <v>68</v>
      </c>
      <c r="N309" s="33"/>
      <c r="O309" s="32">
        <v>40</v>
      </c>
      <c r="P309" s="73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5">
        <v>0</v>
      </c>
      <c r="Y309" s="546">
        <f t="shared" si="26"/>
        <v>0</v>
      </c>
      <c r="Z309" s="36" t="str">
        <f>IFERROR(IF(Y309=0,"",ROUNDUP(Y309/H309,0)*0.00651),"")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27"/>
        <v>0</v>
      </c>
      <c r="BN309" s="64">
        <f t="shared" si="28"/>
        <v>0</v>
      </c>
      <c r="BO309" s="64">
        <f t="shared" si="29"/>
        <v>0</v>
      </c>
      <c r="BP309" s="64">
        <f t="shared" si="30"/>
        <v>0</v>
      </c>
    </row>
    <row r="310" spans="1:68" hidden="1" x14ac:dyDescent="0.2">
      <c r="A310" s="561"/>
      <c r="B310" s="559"/>
      <c r="C310" s="559"/>
      <c r="D310" s="559"/>
      <c r="E310" s="559"/>
      <c r="F310" s="559"/>
      <c r="G310" s="559"/>
      <c r="H310" s="559"/>
      <c r="I310" s="559"/>
      <c r="J310" s="559"/>
      <c r="K310" s="559"/>
      <c r="L310" s="559"/>
      <c r="M310" s="559"/>
      <c r="N310" s="559"/>
      <c r="O310" s="562"/>
      <c r="P310" s="567" t="s">
        <v>75</v>
      </c>
      <c r="Q310" s="568"/>
      <c r="R310" s="568"/>
      <c r="S310" s="568"/>
      <c r="T310" s="568"/>
      <c r="U310" s="568"/>
      <c r="V310" s="569"/>
      <c r="W310" s="37" t="s">
        <v>76</v>
      </c>
      <c r="X310" s="547">
        <f>IFERROR(X304/H304,"0")+IFERROR(X305/H305,"0")+IFERROR(X306/H306,"0")+IFERROR(X307/H307,"0")+IFERROR(X308/H308,"0")+IFERROR(X309/H309,"0")</f>
        <v>0</v>
      </c>
      <c r="Y310" s="547">
        <f>IFERROR(Y304/H304,"0")+IFERROR(Y305/H305,"0")+IFERROR(Y306/H306,"0")+IFERROR(Y307/H307,"0")+IFERROR(Y308/H308,"0")+IFERROR(Y309/H309,"0")</f>
        <v>0</v>
      </c>
      <c r="Z310" s="547">
        <f>IFERROR(IF(Z304="",0,Z304),"0")+IFERROR(IF(Z305="",0,Z305),"0")+IFERROR(IF(Z306="",0,Z306),"0")+IFERROR(IF(Z307="",0,Z307),"0")+IFERROR(IF(Z308="",0,Z308),"0")+IFERROR(IF(Z309="",0,Z309),"0")</f>
        <v>0</v>
      </c>
      <c r="AA310" s="548"/>
      <c r="AB310" s="548"/>
      <c r="AC310" s="548"/>
    </row>
    <row r="311" spans="1:68" hidden="1" x14ac:dyDescent="0.2">
      <c r="A311" s="559"/>
      <c r="B311" s="559"/>
      <c r="C311" s="559"/>
      <c r="D311" s="559"/>
      <c r="E311" s="559"/>
      <c r="F311" s="559"/>
      <c r="G311" s="559"/>
      <c r="H311" s="559"/>
      <c r="I311" s="559"/>
      <c r="J311" s="559"/>
      <c r="K311" s="559"/>
      <c r="L311" s="559"/>
      <c r="M311" s="559"/>
      <c r="N311" s="559"/>
      <c r="O311" s="562"/>
      <c r="P311" s="567" t="s">
        <v>75</v>
      </c>
      <c r="Q311" s="568"/>
      <c r="R311" s="568"/>
      <c r="S311" s="568"/>
      <c r="T311" s="568"/>
      <c r="U311" s="568"/>
      <c r="V311" s="569"/>
      <c r="W311" s="37" t="s">
        <v>69</v>
      </c>
      <c r="X311" s="547">
        <f>IFERROR(SUM(X304:X309),"0")</f>
        <v>0</v>
      </c>
      <c r="Y311" s="547">
        <f>IFERROR(SUM(Y304:Y309),"0")</f>
        <v>0</v>
      </c>
      <c r="Z311" s="37"/>
      <c r="AA311" s="548"/>
      <c r="AB311" s="548"/>
      <c r="AC311" s="548"/>
    </row>
    <row r="312" spans="1:68" ht="14.25" hidden="1" customHeight="1" x14ac:dyDescent="0.25">
      <c r="A312" s="558" t="s">
        <v>77</v>
      </c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59"/>
      <c r="P312" s="559"/>
      <c r="Q312" s="559"/>
      <c r="R312" s="559"/>
      <c r="S312" s="559"/>
      <c r="T312" s="559"/>
      <c r="U312" s="559"/>
      <c r="V312" s="559"/>
      <c r="W312" s="559"/>
      <c r="X312" s="559"/>
      <c r="Y312" s="559"/>
      <c r="Z312" s="559"/>
      <c r="AA312" s="541"/>
      <c r="AB312" s="541"/>
      <c r="AC312" s="541"/>
    </row>
    <row r="313" spans="1:68" ht="27" hidden="1" customHeight="1" x14ac:dyDescent="0.25">
      <c r="A313" s="54" t="s">
        <v>501</v>
      </c>
      <c r="B313" s="54" t="s">
        <v>502</v>
      </c>
      <c r="C313" s="31">
        <v>4301051100</v>
      </c>
      <c r="D313" s="552">
        <v>4607091387766</v>
      </c>
      <c r="E313" s="553"/>
      <c r="F313" s="544">
        <v>1.3</v>
      </c>
      <c r="G313" s="32">
        <v>6</v>
      </c>
      <c r="H313" s="544">
        <v>7.8</v>
      </c>
      <c r="I313" s="544">
        <v>8.2880000000000003</v>
      </c>
      <c r="J313" s="32">
        <v>64</v>
      </c>
      <c r="K313" s="32" t="s">
        <v>102</v>
      </c>
      <c r="L313" s="32"/>
      <c r="M313" s="33" t="s">
        <v>80</v>
      </c>
      <c r="N313" s="33"/>
      <c r="O313" s="32">
        <v>40</v>
      </c>
      <c r="P313" s="870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0"/>
      <c r="R313" s="550"/>
      <c r="S313" s="550"/>
      <c r="T313" s="551"/>
      <c r="U313" s="34"/>
      <c r="V313" s="34"/>
      <c r="W313" s="35" t="s">
        <v>69</v>
      </c>
      <c r="X313" s="545">
        <v>0</v>
      </c>
      <c r="Y313" s="546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503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504</v>
      </c>
      <c r="B314" s="54" t="s">
        <v>505</v>
      </c>
      <c r="C314" s="31">
        <v>4301051818</v>
      </c>
      <c r="D314" s="552">
        <v>4607091387957</v>
      </c>
      <c r="E314" s="553"/>
      <c r="F314" s="544">
        <v>1.3</v>
      </c>
      <c r="G314" s="32">
        <v>6</v>
      </c>
      <c r="H314" s="544">
        <v>7.8</v>
      </c>
      <c r="I314" s="544">
        <v>8.2940000000000005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77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0"/>
      <c r="R314" s="550"/>
      <c r="S314" s="550"/>
      <c r="T314" s="551"/>
      <c r="U314" s="34"/>
      <c r="V314" s="34"/>
      <c r="W314" s="35" t="s">
        <v>69</v>
      </c>
      <c r="X314" s="545">
        <v>0</v>
      </c>
      <c r="Y314" s="546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4301051819</v>
      </c>
      <c r="D315" s="552">
        <v>4607091387964</v>
      </c>
      <c r="E315" s="553"/>
      <c r="F315" s="544">
        <v>1.35</v>
      </c>
      <c r="G315" s="32">
        <v>6</v>
      </c>
      <c r="H315" s="544">
        <v>8.1</v>
      </c>
      <c r="I315" s="544">
        <v>8.5760000000000005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5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0"/>
      <c r="R315" s="550"/>
      <c r="S315" s="550"/>
      <c r="T315" s="551"/>
      <c r="U315" s="34"/>
      <c r="V315" s="34"/>
      <c r="W315" s="35" t="s">
        <v>69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4301051734</v>
      </c>
      <c r="D316" s="552">
        <v>4680115884588</v>
      </c>
      <c r="E316" s="553"/>
      <c r="F316" s="544">
        <v>0.5</v>
      </c>
      <c r="G316" s="32">
        <v>6</v>
      </c>
      <c r="H316" s="544">
        <v>3</v>
      </c>
      <c r="I316" s="544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2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61"/>
      <c r="B317" s="559"/>
      <c r="C317" s="559"/>
      <c r="D317" s="559"/>
      <c r="E317" s="559"/>
      <c r="F317" s="559"/>
      <c r="G317" s="559"/>
      <c r="H317" s="559"/>
      <c r="I317" s="559"/>
      <c r="J317" s="559"/>
      <c r="K317" s="559"/>
      <c r="L317" s="559"/>
      <c r="M317" s="559"/>
      <c r="N317" s="559"/>
      <c r="O317" s="562"/>
      <c r="P317" s="567" t="s">
        <v>75</v>
      </c>
      <c r="Q317" s="568"/>
      <c r="R317" s="568"/>
      <c r="S317" s="568"/>
      <c r="T317" s="568"/>
      <c r="U317" s="568"/>
      <c r="V317" s="569"/>
      <c r="W317" s="37" t="s">
        <v>76</v>
      </c>
      <c r="X317" s="547">
        <f>IFERROR(X313/H313,"0")+IFERROR(X314/H314,"0")+IFERROR(X315/H315,"0")+IFERROR(X316/H316,"0")</f>
        <v>0</v>
      </c>
      <c r="Y317" s="547">
        <f>IFERROR(Y313/H313,"0")+IFERROR(Y314/H314,"0")+IFERROR(Y315/H315,"0")+IFERROR(Y316/H316,"0")</f>
        <v>0</v>
      </c>
      <c r="Z317" s="547">
        <f>IFERROR(IF(Z313="",0,Z313),"0")+IFERROR(IF(Z314="",0,Z314),"0")+IFERROR(IF(Z315="",0,Z315),"0")+IFERROR(IF(Z316="",0,Z316),"0")</f>
        <v>0</v>
      </c>
      <c r="AA317" s="548"/>
      <c r="AB317" s="548"/>
      <c r="AC317" s="548"/>
    </row>
    <row r="318" spans="1:68" hidden="1" x14ac:dyDescent="0.2">
      <c r="A318" s="559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62"/>
      <c r="P318" s="567" t="s">
        <v>75</v>
      </c>
      <c r="Q318" s="568"/>
      <c r="R318" s="568"/>
      <c r="S318" s="568"/>
      <c r="T318" s="568"/>
      <c r="U318" s="568"/>
      <c r="V318" s="569"/>
      <c r="W318" s="37" t="s">
        <v>69</v>
      </c>
      <c r="X318" s="547">
        <f>IFERROR(SUM(X313:X316),"0")</f>
        <v>0</v>
      </c>
      <c r="Y318" s="547">
        <f>IFERROR(SUM(Y313:Y316),"0")</f>
        <v>0</v>
      </c>
      <c r="Z318" s="37"/>
      <c r="AA318" s="548"/>
      <c r="AB318" s="548"/>
      <c r="AC318" s="548"/>
    </row>
    <row r="319" spans="1:68" ht="14.25" hidden="1" customHeight="1" x14ac:dyDescent="0.25">
      <c r="A319" s="558" t="s">
        <v>160</v>
      </c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59"/>
      <c r="P319" s="559"/>
      <c r="Q319" s="559"/>
      <c r="R319" s="559"/>
      <c r="S319" s="559"/>
      <c r="T319" s="559"/>
      <c r="U319" s="559"/>
      <c r="V319" s="559"/>
      <c r="W319" s="559"/>
      <c r="X319" s="559"/>
      <c r="Y319" s="559"/>
      <c r="Z319" s="559"/>
      <c r="AA319" s="541"/>
      <c r="AB319" s="541"/>
      <c r="AC319" s="541"/>
    </row>
    <row r="320" spans="1:68" ht="27" hidden="1" customHeight="1" x14ac:dyDescent="0.25">
      <c r="A320" s="54" t="s">
        <v>513</v>
      </c>
      <c r="B320" s="54" t="s">
        <v>514</v>
      </c>
      <c r="C320" s="31">
        <v>4301060387</v>
      </c>
      <c r="D320" s="552">
        <v>4607091380880</v>
      </c>
      <c r="E320" s="553"/>
      <c r="F320" s="544">
        <v>1.4</v>
      </c>
      <c r="G320" s="32">
        <v>6</v>
      </c>
      <c r="H320" s="544">
        <v>8.4</v>
      </c>
      <c r="I320" s="544">
        <v>8.8940000000000001</v>
      </c>
      <c r="J320" s="32">
        <v>64</v>
      </c>
      <c r="K320" s="32" t="s">
        <v>102</v>
      </c>
      <c r="L320" s="32" t="s">
        <v>103</v>
      </c>
      <c r="M320" s="33" t="s">
        <v>80</v>
      </c>
      <c r="N320" s="33"/>
      <c r="O320" s="32">
        <v>30</v>
      </c>
      <c r="P320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0"/>
      <c r="R320" s="550"/>
      <c r="S320" s="550"/>
      <c r="T320" s="551"/>
      <c r="U320" s="34"/>
      <c r="V320" s="34"/>
      <c r="W320" s="35" t="s">
        <v>69</v>
      </c>
      <c r="X320" s="545">
        <v>0</v>
      </c>
      <c r="Y320" s="546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515</v>
      </c>
      <c r="AG320" s="64"/>
      <c r="AJ320" s="68" t="s">
        <v>106</v>
      </c>
      <c r="AK320" s="68">
        <v>67.2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516</v>
      </c>
      <c r="B321" s="54" t="s">
        <v>517</v>
      </c>
      <c r="C321" s="31">
        <v>4301060406</v>
      </c>
      <c r="D321" s="552">
        <v>4607091384482</v>
      </c>
      <c r="E321" s="553"/>
      <c r="F321" s="544">
        <v>1.3</v>
      </c>
      <c r="G321" s="32">
        <v>6</v>
      </c>
      <c r="H321" s="544">
        <v>7.8</v>
      </c>
      <c r="I321" s="544">
        <v>8.2940000000000005</v>
      </c>
      <c r="J321" s="32">
        <v>64</v>
      </c>
      <c r="K321" s="32" t="s">
        <v>102</v>
      </c>
      <c r="L321" s="32" t="s">
        <v>103</v>
      </c>
      <c r="M321" s="33" t="s">
        <v>80</v>
      </c>
      <c r="N321" s="33"/>
      <c r="O321" s="32">
        <v>30</v>
      </c>
      <c r="P321" s="80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0"/>
      <c r="R321" s="550"/>
      <c r="S321" s="550"/>
      <c r="T321" s="551"/>
      <c r="U321" s="34"/>
      <c r="V321" s="34"/>
      <c r="W321" s="35" t="s">
        <v>69</v>
      </c>
      <c r="X321" s="545">
        <v>300</v>
      </c>
      <c r="Y321" s="546">
        <f>IFERROR(IF(X321="",0,CEILING((X321/$H321),1)*$H321),"")</f>
        <v>304.2</v>
      </c>
      <c r="Z321" s="36">
        <f>IFERROR(IF(Y321=0,"",ROUNDUP(Y321/H321,0)*0.01898),"")</f>
        <v>0.74021999999999999</v>
      </c>
      <c r="AA321" s="56"/>
      <c r="AB321" s="57"/>
      <c r="AC321" s="377" t="s">
        <v>518</v>
      </c>
      <c r="AG321" s="64"/>
      <c r="AJ321" s="68" t="s">
        <v>106</v>
      </c>
      <c r="AK321" s="68">
        <v>62.4</v>
      </c>
      <c r="BB321" s="378" t="s">
        <v>1</v>
      </c>
      <c r="BM321" s="64">
        <f>IFERROR(X321*I321/H321,"0")</f>
        <v>319.00000000000006</v>
      </c>
      <c r="BN321" s="64">
        <f>IFERROR(Y321*I321/H321,"0")</f>
        <v>323.46600000000001</v>
      </c>
      <c r="BO321" s="64">
        <f>IFERROR(1/J321*(X321/H321),"0")</f>
        <v>0.60096153846153844</v>
      </c>
      <c r="BP321" s="64">
        <f>IFERROR(1/J321*(Y321/H321),"0")</f>
        <v>0.609375</v>
      </c>
    </row>
    <row r="322" spans="1:68" ht="16.5" hidden="1" customHeight="1" x14ac:dyDescent="0.25">
      <c r="A322" s="54" t="s">
        <v>519</v>
      </c>
      <c r="B322" s="54" t="s">
        <v>520</v>
      </c>
      <c r="C322" s="31">
        <v>4301060484</v>
      </c>
      <c r="D322" s="552">
        <v>4607091380897</v>
      </c>
      <c r="E322" s="553"/>
      <c r="F322" s="544">
        <v>1.4</v>
      </c>
      <c r="G322" s="32">
        <v>6</v>
      </c>
      <c r="H322" s="544">
        <v>8.4</v>
      </c>
      <c r="I322" s="544">
        <v>8.8940000000000001</v>
      </c>
      <c r="J322" s="32">
        <v>64</v>
      </c>
      <c r="K322" s="32" t="s">
        <v>102</v>
      </c>
      <c r="L322" s="32" t="s">
        <v>103</v>
      </c>
      <c r="M322" s="33" t="s">
        <v>86</v>
      </c>
      <c r="N322" s="33"/>
      <c r="O322" s="32">
        <v>30</v>
      </c>
      <c r="P322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0"/>
      <c r="R322" s="550"/>
      <c r="S322" s="550"/>
      <c r="T322" s="551"/>
      <c r="U322" s="34"/>
      <c r="V322" s="34"/>
      <c r="W322" s="35" t="s">
        <v>69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521</v>
      </c>
      <c r="AG322" s="64"/>
      <c r="AJ322" s="68" t="s">
        <v>106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x14ac:dyDescent="0.2">
      <c r="A323" s="561"/>
      <c r="B323" s="559"/>
      <c r="C323" s="559"/>
      <c r="D323" s="559"/>
      <c r="E323" s="559"/>
      <c r="F323" s="559"/>
      <c r="G323" s="559"/>
      <c r="H323" s="559"/>
      <c r="I323" s="559"/>
      <c r="J323" s="559"/>
      <c r="K323" s="559"/>
      <c r="L323" s="559"/>
      <c r="M323" s="559"/>
      <c r="N323" s="559"/>
      <c r="O323" s="562"/>
      <c r="P323" s="567" t="s">
        <v>75</v>
      </c>
      <c r="Q323" s="568"/>
      <c r="R323" s="568"/>
      <c r="S323" s="568"/>
      <c r="T323" s="568"/>
      <c r="U323" s="568"/>
      <c r="V323" s="569"/>
      <c r="W323" s="37" t="s">
        <v>76</v>
      </c>
      <c r="X323" s="547">
        <f>IFERROR(X320/H320,"0")+IFERROR(X321/H321,"0")+IFERROR(X322/H322,"0")</f>
        <v>38.46153846153846</v>
      </c>
      <c r="Y323" s="547">
        <f>IFERROR(Y320/H320,"0")+IFERROR(Y321/H321,"0")+IFERROR(Y322/H322,"0")</f>
        <v>39</v>
      </c>
      <c r="Z323" s="547">
        <f>IFERROR(IF(Z320="",0,Z320),"0")+IFERROR(IF(Z321="",0,Z321),"0")+IFERROR(IF(Z322="",0,Z322),"0")</f>
        <v>0.74021999999999999</v>
      </c>
      <c r="AA323" s="548"/>
      <c r="AB323" s="548"/>
      <c r="AC323" s="548"/>
    </row>
    <row r="324" spans="1:68" x14ac:dyDescent="0.2">
      <c r="A324" s="559"/>
      <c r="B324" s="559"/>
      <c r="C324" s="559"/>
      <c r="D324" s="559"/>
      <c r="E324" s="559"/>
      <c r="F324" s="559"/>
      <c r="G324" s="559"/>
      <c r="H324" s="559"/>
      <c r="I324" s="559"/>
      <c r="J324" s="559"/>
      <c r="K324" s="559"/>
      <c r="L324" s="559"/>
      <c r="M324" s="559"/>
      <c r="N324" s="559"/>
      <c r="O324" s="562"/>
      <c r="P324" s="567" t="s">
        <v>75</v>
      </c>
      <c r="Q324" s="568"/>
      <c r="R324" s="568"/>
      <c r="S324" s="568"/>
      <c r="T324" s="568"/>
      <c r="U324" s="568"/>
      <c r="V324" s="569"/>
      <c r="W324" s="37" t="s">
        <v>69</v>
      </c>
      <c r="X324" s="547">
        <f>IFERROR(SUM(X320:X322),"0")</f>
        <v>300</v>
      </c>
      <c r="Y324" s="547">
        <f>IFERROR(SUM(Y320:Y322),"0")</f>
        <v>304.2</v>
      </c>
      <c r="Z324" s="37"/>
      <c r="AA324" s="548"/>
      <c r="AB324" s="548"/>
      <c r="AC324" s="548"/>
    </row>
    <row r="325" spans="1:68" ht="14.25" hidden="1" customHeight="1" x14ac:dyDescent="0.25">
      <c r="A325" s="558" t="s">
        <v>91</v>
      </c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59"/>
      <c r="P325" s="559"/>
      <c r="Q325" s="559"/>
      <c r="R325" s="559"/>
      <c r="S325" s="559"/>
      <c r="T325" s="559"/>
      <c r="U325" s="559"/>
      <c r="V325" s="559"/>
      <c r="W325" s="559"/>
      <c r="X325" s="559"/>
      <c r="Y325" s="559"/>
      <c r="Z325" s="559"/>
      <c r="AA325" s="541"/>
      <c r="AB325" s="541"/>
      <c r="AC325" s="541"/>
    </row>
    <row r="326" spans="1:68" ht="27" hidden="1" customHeight="1" x14ac:dyDescent="0.25">
      <c r="A326" s="54" t="s">
        <v>522</v>
      </c>
      <c r="B326" s="54" t="s">
        <v>523</v>
      </c>
      <c r="C326" s="31">
        <v>4301030235</v>
      </c>
      <c r="D326" s="552">
        <v>4607091388381</v>
      </c>
      <c r="E326" s="553"/>
      <c r="F326" s="544">
        <v>0.38</v>
      </c>
      <c r="G326" s="32">
        <v>8</v>
      </c>
      <c r="H326" s="544">
        <v>3.04</v>
      </c>
      <c r="I326" s="544">
        <v>3.31</v>
      </c>
      <c r="J326" s="32">
        <v>132</v>
      </c>
      <c r="K326" s="32" t="s">
        <v>109</v>
      </c>
      <c r="L326" s="32"/>
      <c r="M326" s="33" t="s">
        <v>94</v>
      </c>
      <c r="N326" s="33"/>
      <c r="O326" s="32">
        <v>180</v>
      </c>
      <c r="P326" s="58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0"/>
      <c r="R326" s="550"/>
      <c r="S326" s="550"/>
      <c r="T326" s="551"/>
      <c r="U326" s="34"/>
      <c r="V326" s="34"/>
      <c r="W326" s="35" t="s">
        <v>69</v>
      </c>
      <c r="X326" s="545">
        <v>0</v>
      </c>
      <c r="Y326" s="546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524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525</v>
      </c>
      <c r="B327" s="54" t="s">
        <v>526</v>
      </c>
      <c r="C327" s="31">
        <v>4301030232</v>
      </c>
      <c r="D327" s="552">
        <v>4607091388374</v>
      </c>
      <c r="E327" s="553"/>
      <c r="F327" s="544">
        <v>0.38</v>
      </c>
      <c r="G327" s="32">
        <v>8</v>
      </c>
      <c r="H327" s="544">
        <v>3.04</v>
      </c>
      <c r="I327" s="544">
        <v>3.27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4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0"/>
      <c r="R327" s="550"/>
      <c r="S327" s="550"/>
      <c r="T327" s="551"/>
      <c r="U327" s="34"/>
      <c r="V327" s="34"/>
      <c r="W327" s="35" t="s">
        <v>69</v>
      </c>
      <c r="X327" s="545">
        <v>0</v>
      </c>
      <c r="Y327" s="546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524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527</v>
      </c>
      <c r="B328" s="54" t="s">
        <v>528</v>
      </c>
      <c r="C328" s="31">
        <v>4301032015</v>
      </c>
      <c r="D328" s="552">
        <v>4607091383102</v>
      </c>
      <c r="E328" s="553"/>
      <c r="F328" s="544">
        <v>0.17</v>
      </c>
      <c r="G328" s="32">
        <v>15</v>
      </c>
      <c r="H328" s="544">
        <v>2.5499999999999998</v>
      </c>
      <c r="I328" s="544">
        <v>2.9550000000000001</v>
      </c>
      <c r="J328" s="32">
        <v>182</v>
      </c>
      <c r="K328" s="32" t="s">
        <v>67</v>
      </c>
      <c r="L328" s="32"/>
      <c r="M328" s="33" t="s">
        <v>94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0"/>
      <c r="R328" s="550"/>
      <c r="S328" s="550"/>
      <c r="T328" s="551"/>
      <c r="U328" s="34"/>
      <c r="V328" s="34"/>
      <c r="W328" s="35" t="s">
        <v>69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524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529</v>
      </c>
      <c r="B329" s="54" t="s">
        <v>530</v>
      </c>
      <c r="C329" s="31">
        <v>4301030233</v>
      </c>
      <c r="D329" s="552">
        <v>4607091388404</v>
      </c>
      <c r="E329" s="553"/>
      <c r="F329" s="544">
        <v>0.17</v>
      </c>
      <c r="G329" s="32">
        <v>15</v>
      </c>
      <c r="H329" s="544">
        <v>2.5499999999999998</v>
      </c>
      <c r="I329" s="544">
        <v>2.88</v>
      </c>
      <c r="J329" s="32">
        <v>182</v>
      </c>
      <c r="K329" s="32" t="s">
        <v>67</v>
      </c>
      <c r="L329" s="32" t="s">
        <v>213</v>
      </c>
      <c r="M329" s="33" t="s">
        <v>94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0"/>
      <c r="R329" s="550"/>
      <c r="S329" s="550"/>
      <c r="T329" s="551"/>
      <c r="U329" s="34"/>
      <c r="V329" s="34"/>
      <c r="W329" s="35" t="s">
        <v>69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524</v>
      </c>
      <c r="AG329" s="64"/>
      <c r="AJ329" s="68" t="s">
        <v>106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61"/>
      <c r="B330" s="559"/>
      <c r="C330" s="559"/>
      <c r="D330" s="559"/>
      <c r="E330" s="559"/>
      <c r="F330" s="559"/>
      <c r="G330" s="559"/>
      <c r="H330" s="559"/>
      <c r="I330" s="559"/>
      <c r="J330" s="559"/>
      <c r="K330" s="559"/>
      <c r="L330" s="559"/>
      <c r="M330" s="559"/>
      <c r="N330" s="559"/>
      <c r="O330" s="562"/>
      <c r="P330" s="567" t="s">
        <v>75</v>
      </c>
      <c r="Q330" s="568"/>
      <c r="R330" s="568"/>
      <c r="S330" s="568"/>
      <c r="T330" s="568"/>
      <c r="U330" s="568"/>
      <c r="V330" s="569"/>
      <c r="W330" s="37" t="s">
        <v>76</v>
      </c>
      <c r="X330" s="547">
        <f>IFERROR(X326/H326,"0")+IFERROR(X327/H327,"0")+IFERROR(X328/H328,"0")+IFERROR(X329/H329,"0")</f>
        <v>0</v>
      </c>
      <c r="Y330" s="547">
        <f>IFERROR(Y326/H326,"0")+IFERROR(Y327/H327,"0")+IFERROR(Y328/H328,"0")+IFERROR(Y329/H329,"0")</f>
        <v>0</v>
      </c>
      <c r="Z330" s="547">
        <f>IFERROR(IF(Z326="",0,Z326),"0")+IFERROR(IF(Z327="",0,Z327),"0")+IFERROR(IF(Z328="",0,Z328),"0")+IFERROR(IF(Z329="",0,Z329),"0")</f>
        <v>0</v>
      </c>
      <c r="AA330" s="548"/>
      <c r="AB330" s="548"/>
      <c r="AC330" s="548"/>
    </row>
    <row r="331" spans="1:68" hidden="1" x14ac:dyDescent="0.2">
      <c r="A331" s="559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62"/>
      <c r="P331" s="567" t="s">
        <v>75</v>
      </c>
      <c r="Q331" s="568"/>
      <c r="R331" s="568"/>
      <c r="S331" s="568"/>
      <c r="T331" s="568"/>
      <c r="U331" s="568"/>
      <c r="V331" s="569"/>
      <c r="W331" s="37" t="s">
        <v>69</v>
      </c>
      <c r="X331" s="547">
        <f>IFERROR(SUM(X326:X329),"0")</f>
        <v>0</v>
      </c>
      <c r="Y331" s="547">
        <f>IFERROR(SUM(Y326:Y329),"0")</f>
        <v>0</v>
      </c>
      <c r="Z331" s="37"/>
      <c r="AA331" s="548"/>
      <c r="AB331" s="548"/>
      <c r="AC331" s="548"/>
    </row>
    <row r="332" spans="1:68" ht="14.25" hidden="1" customHeight="1" x14ac:dyDescent="0.25">
      <c r="A332" s="558" t="s">
        <v>531</v>
      </c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59"/>
      <c r="P332" s="559"/>
      <c r="Q332" s="559"/>
      <c r="R332" s="559"/>
      <c r="S332" s="559"/>
      <c r="T332" s="559"/>
      <c r="U332" s="559"/>
      <c r="V332" s="559"/>
      <c r="W332" s="559"/>
      <c r="X332" s="559"/>
      <c r="Y332" s="559"/>
      <c r="Z332" s="559"/>
      <c r="AA332" s="541"/>
      <c r="AB332" s="541"/>
      <c r="AC332" s="541"/>
    </row>
    <row r="333" spans="1:68" ht="16.5" hidden="1" customHeight="1" x14ac:dyDescent="0.25">
      <c r="A333" s="54" t="s">
        <v>532</v>
      </c>
      <c r="B333" s="54" t="s">
        <v>533</v>
      </c>
      <c r="C333" s="31">
        <v>4301180007</v>
      </c>
      <c r="D333" s="552">
        <v>4680115881808</v>
      </c>
      <c r="E333" s="553"/>
      <c r="F333" s="544">
        <v>0.1</v>
      </c>
      <c r="G333" s="32">
        <v>20</v>
      </c>
      <c r="H333" s="544">
        <v>2</v>
      </c>
      <c r="I333" s="544">
        <v>2.2400000000000002</v>
      </c>
      <c r="J333" s="32">
        <v>238</v>
      </c>
      <c r="K333" s="32" t="s">
        <v>67</v>
      </c>
      <c r="L333" s="32"/>
      <c r="M333" s="33" t="s">
        <v>534</v>
      </c>
      <c r="N333" s="33"/>
      <c r="O333" s="32">
        <v>730</v>
      </c>
      <c r="P333" s="78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0"/>
      <c r="R333" s="550"/>
      <c r="S333" s="550"/>
      <c r="T333" s="551"/>
      <c r="U333" s="34"/>
      <c r="V333" s="34"/>
      <c r="W333" s="35" t="s">
        <v>69</v>
      </c>
      <c r="X333" s="545">
        <v>0</v>
      </c>
      <c r="Y333" s="546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535</v>
      </c>
      <c r="AG333" s="64"/>
      <c r="AJ333" s="68"/>
      <c r="AK333" s="68">
        <v>0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536</v>
      </c>
      <c r="B334" s="54" t="s">
        <v>537</v>
      </c>
      <c r="C334" s="31">
        <v>4301180006</v>
      </c>
      <c r="D334" s="552">
        <v>4680115881822</v>
      </c>
      <c r="E334" s="553"/>
      <c r="F334" s="544">
        <v>0.1</v>
      </c>
      <c r="G334" s="32">
        <v>20</v>
      </c>
      <c r="H334" s="544">
        <v>2</v>
      </c>
      <c r="I334" s="544">
        <v>2.2400000000000002</v>
      </c>
      <c r="J334" s="32">
        <v>238</v>
      </c>
      <c r="K334" s="32" t="s">
        <v>67</v>
      </c>
      <c r="L334" s="32"/>
      <c r="M334" s="33" t="s">
        <v>534</v>
      </c>
      <c r="N334" s="33"/>
      <c r="O334" s="32">
        <v>730</v>
      </c>
      <c r="P334" s="61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0"/>
      <c r="R334" s="550"/>
      <c r="S334" s="550"/>
      <c r="T334" s="551"/>
      <c r="U334" s="34"/>
      <c r="V334" s="34"/>
      <c r="W334" s="35" t="s">
        <v>69</v>
      </c>
      <c r="X334" s="545">
        <v>0</v>
      </c>
      <c r="Y334" s="546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535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538</v>
      </c>
      <c r="B335" s="54" t="s">
        <v>539</v>
      </c>
      <c r="C335" s="31">
        <v>4301180001</v>
      </c>
      <c r="D335" s="552">
        <v>4680115880016</v>
      </c>
      <c r="E335" s="553"/>
      <c r="F335" s="544">
        <v>0.1</v>
      </c>
      <c r="G335" s="32">
        <v>20</v>
      </c>
      <c r="H335" s="544">
        <v>2</v>
      </c>
      <c r="I335" s="544">
        <v>2.2400000000000002</v>
      </c>
      <c r="J335" s="32">
        <v>238</v>
      </c>
      <c r="K335" s="32" t="s">
        <v>67</v>
      </c>
      <c r="L335" s="32"/>
      <c r="M335" s="33" t="s">
        <v>534</v>
      </c>
      <c r="N335" s="33"/>
      <c r="O335" s="32">
        <v>730</v>
      </c>
      <c r="P335" s="79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0"/>
      <c r="R335" s="550"/>
      <c r="S335" s="550"/>
      <c r="T335" s="551"/>
      <c r="U335" s="34"/>
      <c r="V335" s="34"/>
      <c r="W335" s="35" t="s">
        <v>69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535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561"/>
      <c r="B336" s="559"/>
      <c r="C336" s="559"/>
      <c r="D336" s="559"/>
      <c r="E336" s="559"/>
      <c r="F336" s="559"/>
      <c r="G336" s="559"/>
      <c r="H336" s="559"/>
      <c r="I336" s="559"/>
      <c r="J336" s="559"/>
      <c r="K336" s="559"/>
      <c r="L336" s="559"/>
      <c r="M336" s="559"/>
      <c r="N336" s="559"/>
      <c r="O336" s="562"/>
      <c r="P336" s="567" t="s">
        <v>75</v>
      </c>
      <c r="Q336" s="568"/>
      <c r="R336" s="568"/>
      <c r="S336" s="568"/>
      <c r="T336" s="568"/>
      <c r="U336" s="568"/>
      <c r="V336" s="569"/>
      <c r="W336" s="37" t="s">
        <v>76</v>
      </c>
      <c r="X336" s="547">
        <f>IFERROR(X333/H333,"0")+IFERROR(X334/H334,"0")+IFERROR(X335/H335,"0")</f>
        <v>0</v>
      </c>
      <c r="Y336" s="547">
        <f>IFERROR(Y333/H333,"0")+IFERROR(Y334/H334,"0")+IFERROR(Y335/H335,"0")</f>
        <v>0</v>
      </c>
      <c r="Z336" s="547">
        <f>IFERROR(IF(Z333="",0,Z333),"0")+IFERROR(IF(Z334="",0,Z334),"0")+IFERROR(IF(Z335="",0,Z335),"0")</f>
        <v>0</v>
      </c>
      <c r="AA336" s="548"/>
      <c r="AB336" s="548"/>
      <c r="AC336" s="548"/>
    </row>
    <row r="337" spans="1:68" hidden="1" x14ac:dyDescent="0.2">
      <c r="A337" s="559"/>
      <c r="B337" s="559"/>
      <c r="C337" s="559"/>
      <c r="D337" s="559"/>
      <c r="E337" s="559"/>
      <c r="F337" s="559"/>
      <c r="G337" s="559"/>
      <c r="H337" s="559"/>
      <c r="I337" s="559"/>
      <c r="J337" s="559"/>
      <c r="K337" s="559"/>
      <c r="L337" s="559"/>
      <c r="M337" s="559"/>
      <c r="N337" s="559"/>
      <c r="O337" s="562"/>
      <c r="P337" s="567" t="s">
        <v>75</v>
      </c>
      <c r="Q337" s="568"/>
      <c r="R337" s="568"/>
      <c r="S337" s="568"/>
      <c r="T337" s="568"/>
      <c r="U337" s="568"/>
      <c r="V337" s="569"/>
      <c r="W337" s="37" t="s">
        <v>69</v>
      </c>
      <c r="X337" s="547">
        <f>IFERROR(SUM(X333:X335),"0")</f>
        <v>0</v>
      </c>
      <c r="Y337" s="547">
        <f>IFERROR(SUM(Y333:Y335),"0")</f>
        <v>0</v>
      </c>
      <c r="Z337" s="37"/>
      <c r="AA337" s="548"/>
      <c r="AB337" s="548"/>
      <c r="AC337" s="548"/>
    </row>
    <row r="338" spans="1:68" ht="16.5" hidden="1" customHeight="1" x14ac:dyDescent="0.25">
      <c r="A338" s="560" t="s">
        <v>540</v>
      </c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59"/>
      <c r="P338" s="559"/>
      <c r="Q338" s="559"/>
      <c r="R338" s="559"/>
      <c r="S338" s="559"/>
      <c r="T338" s="559"/>
      <c r="U338" s="559"/>
      <c r="V338" s="559"/>
      <c r="W338" s="559"/>
      <c r="X338" s="559"/>
      <c r="Y338" s="559"/>
      <c r="Z338" s="559"/>
      <c r="AA338" s="540"/>
      <c r="AB338" s="540"/>
      <c r="AC338" s="540"/>
    </row>
    <row r="339" spans="1:68" ht="14.25" hidden="1" customHeight="1" x14ac:dyDescent="0.25">
      <c r="A339" s="558" t="s">
        <v>77</v>
      </c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59"/>
      <c r="P339" s="559"/>
      <c r="Q339" s="559"/>
      <c r="R339" s="559"/>
      <c r="S339" s="559"/>
      <c r="T339" s="559"/>
      <c r="U339" s="559"/>
      <c r="V339" s="559"/>
      <c r="W339" s="559"/>
      <c r="X339" s="559"/>
      <c r="Y339" s="559"/>
      <c r="Z339" s="559"/>
      <c r="AA339" s="541"/>
      <c r="AB339" s="541"/>
      <c r="AC339" s="541"/>
    </row>
    <row r="340" spans="1:68" ht="27" hidden="1" customHeight="1" x14ac:dyDescent="0.25">
      <c r="A340" s="54" t="s">
        <v>541</v>
      </c>
      <c r="B340" s="54" t="s">
        <v>542</v>
      </c>
      <c r="C340" s="31">
        <v>4301051489</v>
      </c>
      <c r="D340" s="552">
        <v>4607091387919</v>
      </c>
      <c r="E340" s="553"/>
      <c r="F340" s="544">
        <v>1.35</v>
      </c>
      <c r="G340" s="32">
        <v>6</v>
      </c>
      <c r="H340" s="544">
        <v>8.1</v>
      </c>
      <c r="I340" s="544">
        <v>8.5939999999999994</v>
      </c>
      <c r="J340" s="32">
        <v>64</v>
      </c>
      <c r="K340" s="32" t="s">
        <v>102</v>
      </c>
      <c r="L340" s="32" t="s">
        <v>103</v>
      </c>
      <c r="M340" s="33" t="s">
        <v>86</v>
      </c>
      <c r="N340" s="33"/>
      <c r="O340" s="32">
        <v>45</v>
      </c>
      <c r="P340" s="68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0"/>
      <c r="R340" s="550"/>
      <c r="S340" s="550"/>
      <c r="T340" s="551"/>
      <c r="U340" s="34"/>
      <c r="V340" s="34"/>
      <c r="W340" s="35" t="s">
        <v>69</v>
      </c>
      <c r="X340" s="545">
        <v>0</v>
      </c>
      <c r="Y340" s="546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543</v>
      </c>
      <c r="AG340" s="64"/>
      <c r="AJ340" s="68" t="s">
        <v>106</v>
      </c>
      <c r="AK340" s="68">
        <v>64.8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544</v>
      </c>
      <c r="B341" s="54" t="s">
        <v>545</v>
      </c>
      <c r="C341" s="31">
        <v>4301051461</v>
      </c>
      <c r="D341" s="552">
        <v>4680115883604</v>
      </c>
      <c r="E341" s="553"/>
      <c r="F341" s="544">
        <v>0.35</v>
      </c>
      <c r="G341" s="32">
        <v>6</v>
      </c>
      <c r="H341" s="544">
        <v>2.1</v>
      </c>
      <c r="I341" s="544">
        <v>2.3519999999999999</v>
      </c>
      <c r="J341" s="32">
        <v>182</v>
      </c>
      <c r="K341" s="32" t="s">
        <v>67</v>
      </c>
      <c r="L341" s="32"/>
      <c r="M341" s="33" t="s">
        <v>80</v>
      </c>
      <c r="N341" s="33"/>
      <c r="O341" s="32">
        <v>45</v>
      </c>
      <c r="P341" s="80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0"/>
      <c r="R341" s="550"/>
      <c r="S341" s="550"/>
      <c r="T341" s="551"/>
      <c r="U341" s="34"/>
      <c r="V341" s="34"/>
      <c r="W341" s="35" t="s">
        <v>69</v>
      </c>
      <c r="X341" s="545">
        <v>0</v>
      </c>
      <c r="Y341" s="546">
        <f>IFERROR(IF(X341="",0,CEILING((X341/$H341),1)*$H341),"")</f>
        <v>0</v>
      </c>
      <c r="Z341" s="36" t="str">
        <f>IFERROR(IF(Y341=0,"",ROUNDUP(Y341/H341,0)*0.00651),"")</f>
        <v/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547</v>
      </c>
      <c r="B342" s="54" t="s">
        <v>548</v>
      </c>
      <c r="C342" s="31">
        <v>4301051864</v>
      </c>
      <c r="D342" s="552">
        <v>4680115883567</v>
      </c>
      <c r="E342" s="553"/>
      <c r="F342" s="544">
        <v>0.35</v>
      </c>
      <c r="G342" s="32">
        <v>6</v>
      </c>
      <c r="H342" s="544">
        <v>2.1</v>
      </c>
      <c r="I342" s="544">
        <v>2.34</v>
      </c>
      <c r="J342" s="32">
        <v>182</v>
      </c>
      <c r="K342" s="32" t="s">
        <v>67</v>
      </c>
      <c r="L342" s="32"/>
      <c r="M342" s="33" t="s">
        <v>86</v>
      </c>
      <c r="N342" s="33"/>
      <c r="O342" s="32">
        <v>40</v>
      </c>
      <c r="P342" s="8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0"/>
      <c r="R342" s="550"/>
      <c r="S342" s="550"/>
      <c r="T342" s="551"/>
      <c r="U342" s="34"/>
      <c r="V342" s="34"/>
      <c r="W342" s="35" t="s">
        <v>69</v>
      </c>
      <c r="X342" s="545">
        <v>0</v>
      </c>
      <c r="Y342" s="546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idden="1" x14ac:dyDescent="0.2">
      <c r="A343" s="561"/>
      <c r="B343" s="559"/>
      <c r="C343" s="559"/>
      <c r="D343" s="559"/>
      <c r="E343" s="559"/>
      <c r="F343" s="559"/>
      <c r="G343" s="559"/>
      <c r="H343" s="559"/>
      <c r="I343" s="559"/>
      <c r="J343" s="559"/>
      <c r="K343" s="559"/>
      <c r="L343" s="559"/>
      <c r="M343" s="559"/>
      <c r="N343" s="559"/>
      <c r="O343" s="562"/>
      <c r="P343" s="567" t="s">
        <v>75</v>
      </c>
      <c r="Q343" s="568"/>
      <c r="R343" s="568"/>
      <c r="S343" s="568"/>
      <c r="T343" s="568"/>
      <c r="U343" s="568"/>
      <c r="V343" s="569"/>
      <c r="W343" s="37" t="s">
        <v>76</v>
      </c>
      <c r="X343" s="547">
        <f>IFERROR(X340/H340,"0")+IFERROR(X341/H341,"0")+IFERROR(X342/H342,"0")</f>
        <v>0</v>
      </c>
      <c r="Y343" s="547">
        <f>IFERROR(Y340/H340,"0")+IFERROR(Y341/H341,"0")+IFERROR(Y342/H342,"0")</f>
        <v>0</v>
      </c>
      <c r="Z343" s="547">
        <f>IFERROR(IF(Z340="",0,Z340),"0")+IFERROR(IF(Z341="",0,Z341),"0")+IFERROR(IF(Z342="",0,Z342),"0")</f>
        <v>0</v>
      </c>
      <c r="AA343" s="548"/>
      <c r="AB343" s="548"/>
      <c r="AC343" s="548"/>
    </row>
    <row r="344" spans="1:68" hidden="1" x14ac:dyDescent="0.2">
      <c r="A344" s="559"/>
      <c r="B344" s="559"/>
      <c r="C344" s="559"/>
      <c r="D344" s="559"/>
      <c r="E344" s="559"/>
      <c r="F344" s="559"/>
      <c r="G344" s="559"/>
      <c r="H344" s="559"/>
      <c r="I344" s="559"/>
      <c r="J344" s="559"/>
      <c r="K344" s="559"/>
      <c r="L344" s="559"/>
      <c r="M344" s="559"/>
      <c r="N344" s="559"/>
      <c r="O344" s="562"/>
      <c r="P344" s="567" t="s">
        <v>75</v>
      </c>
      <c r="Q344" s="568"/>
      <c r="R344" s="568"/>
      <c r="S344" s="568"/>
      <c r="T344" s="568"/>
      <c r="U344" s="568"/>
      <c r="V344" s="569"/>
      <c r="W344" s="37" t="s">
        <v>69</v>
      </c>
      <c r="X344" s="547">
        <f>IFERROR(SUM(X340:X342),"0")</f>
        <v>0</v>
      </c>
      <c r="Y344" s="547">
        <f>IFERROR(SUM(Y340:Y342),"0")</f>
        <v>0</v>
      </c>
      <c r="Z344" s="37"/>
      <c r="AA344" s="548"/>
      <c r="AB344" s="548"/>
      <c r="AC344" s="548"/>
    </row>
    <row r="345" spans="1:68" ht="27.75" hidden="1" customHeight="1" x14ac:dyDescent="0.2">
      <c r="A345" s="647" t="s">
        <v>550</v>
      </c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8"/>
      <c r="P345" s="648"/>
      <c r="Q345" s="648"/>
      <c r="R345" s="648"/>
      <c r="S345" s="648"/>
      <c r="T345" s="648"/>
      <c r="U345" s="648"/>
      <c r="V345" s="648"/>
      <c r="W345" s="648"/>
      <c r="X345" s="648"/>
      <c r="Y345" s="648"/>
      <c r="Z345" s="648"/>
      <c r="AA345" s="48"/>
      <c r="AB345" s="48"/>
      <c r="AC345" s="48"/>
    </row>
    <row r="346" spans="1:68" ht="16.5" hidden="1" customHeight="1" x14ac:dyDescent="0.25">
      <c r="A346" s="560" t="s">
        <v>551</v>
      </c>
      <c r="B346" s="559"/>
      <c r="C346" s="559"/>
      <c r="D346" s="559"/>
      <c r="E346" s="559"/>
      <c r="F346" s="559"/>
      <c r="G346" s="559"/>
      <c r="H346" s="559"/>
      <c r="I346" s="559"/>
      <c r="J346" s="559"/>
      <c r="K346" s="559"/>
      <c r="L346" s="559"/>
      <c r="M346" s="559"/>
      <c r="N346" s="559"/>
      <c r="O346" s="559"/>
      <c r="P346" s="559"/>
      <c r="Q346" s="559"/>
      <c r="R346" s="559"/>
      <c r="S346" s="559"/>
      <c r="T346" s="559"/>
      <c r="U346" s="559"/>
      <c r="V346" s="559"/>
      <c r="W346" s="559"/>
      <c r="X346" s="559"/>
      <c r="Y346" s="559"/>
      <c r="Z346" s="559"/>
      <c r="AA346" s="540"/>
      <c r="AB346" s="540"/>
      <c r="AC346" s="540"/>
    </row>
    <row r="347" spans="1:68" ht="14.25" hidden="1" customHeight="1" x14ac:dyDescent="0.25">
      <c r="A347" s="558" t="s">
        <v>99</v>
      </c>
      <c r="B347" s="559"/>
      <c r="C347" s="559"/>
      <c r="D347" s="559"/>
      <c r="E347" s="559"/>
      <c r="F347" s="559"/>
      <c r="G347" s="559"/>
      <c r="H347" s="559"/>
      <c r="I347" s="559"/>
      <c r="J347" s="559"/>
      <c r="K347" s="559"/>
      <c r="L347" s="559"/>
      <c r="M347" s="559"/>
      <c r="N347" s="559"/>
      <c r="O347" s="559"/>
      <c r="P347" s="559"/>
      <c r="Q347" s="559"/>
      <c r="R347" s="559"/>
      <c r="S347" s="559"/>
      <c r="T347" s="559"/>
      <c r="U347" s="559"/>
      <c r="V347" s="559"/>
      <c r="W347" s="559"/>
      <c r="X347" s="559"/>
      <c r="Y347" s="559"/>
      <c r="Z347" s="559"/>
      <c r="AA347" s="541"/>
      <c r="AB347" s="541"/>
      <c r="AC347" s="541"/>
    </row>
    <row r="348" spans="1:68" ht="37.5" customHeight="1" x14ac:dyDescent="0.25">
      <c r="A348" s="54" t="s">
        <v>552</v>
      </c>
      <c r="B348" s="54" t="s">
        <v>553</v>
      </c>
      <c r="C348" s="31">
        <v>4301011869</v>
      </c>
      <c r="D348" s="552">
        <v>4680115884847</v>
      </c>
      <c r="E348" s="553"/>
      <c r="F348" s="544">
        <v>2.5</v>
      </c>
      <c r="G348" s="32">
        <v>6</v>
      </c>
      <c r="H348" s="544">
        <v>15</v>
      </c>
      <c r="I348" s="544">
        <v>15.47</v>
      </c>
      <c r="J348" s="32">
        <v>48</v>
      </c>
      <c r="K348" s="32" t="s">
        <v>102</v>
      </c>
      <c r="L348" s="32" t="s">
        <v>103</v>
      </c>
      <c r="M348" s="33" t="s">
        <v>68</v>
      </c>
      <c r="N348" s="33"/>
      <c r="O348" s="32">
        <v>60</v>
      </c>
      <c r="P348" s="80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5">
        <v>350</v>
      </c>
      <c r="Y348" s="546">
        <f t="shared" ref="Y348:Y354" si="31">IFERROR(IF(X348="",0,CEILING((X348/$H348),1)*$H348),"")</f>
        <v>360</v>
      </c>
      <c r="Z348" s="36">
        <f>IFERROR(IF(Y348=0,"",ROUNDUP(Y348/H348,0)*0.02175),"")</f>
        <v>0.52200000000000002</v>
      </c>
      <c r="AA348" s="56"/>
      <c r="AB348" s="57"/>
      <c r="AC348" s="401" t="s">
        <v>554</v>
      </c>
      <c r="AG348" s="64"/>
      <c r="AJ348" s="68" t="s">
        <v>106</v>
      </c>
      <c r="AK348" s="68">
        <v>120</v>
      </c>
      <c r="BB348" s="402" t="s">
        <v>1</v>
      </c>
      <c r="BM348" s="64">
        <f t="shared" ref="BM348:BM354" si="32">IFERROR(X348*I348/H348,"0")</f>
        <v>360.96666666666664</v>
      </c>
      <c r="BN348" s="64">
        <f t="shared" ref="BN348:BN354" si="33">IFERROR(Y348*I348/H348,"0")</f>
        <v>371.28</v>
      </c>
      <c r="BO348" s="64">
        <f t="shared" ref="BO348:BO354" si="34">IFERROR(1/J348*(X348/H348),"0")</f>
        <v>0.48611111111111105</v>
      </c>
      <c r="BP348" s="64">
        <f t="shared" ref="BP348:BP354" si="35">IFERROR(1/J348*(Y348/H348),"0")</f>
        <v>0.5</v>
      </c>
    </row>
    <row r="349" spans="1:68" ht="27" customHeight="1" x14ac:dyDescent="0.25">
      <c r="A349" s="54" t="s">
        <v>555</v>
      </c>
      <c r="B349" s="54" t="s">
        <v>556</v>
      </c>
      <c r="C349" s="31">
        <v>4301011870</v>
      </c>
      <c r="D349" s="552">
        <v>4680115884854</v>
      </c>
      <c r="E349" s="553"/>
      <c r="F349" s="544">
        <v>2.5</v>
      </c>
      <c r="G349" s="32">
        <v>6</v>
      </c>
      <c r="H349" s="544">
        <v>15</v>
      </c>
      <c r="I349" s="544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82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0"/>
      <c r="R349" s="550"/>
      <c r="S349" s="550"/>
      <c r="T349" s="551"/>
      <c r="U349" s="34"/>
      <c r="V349" s="34"/>
      <c r="W349" s="35" t="s">
        <v>69</v>
      </c>
      <c r="X349" s="545">
        <v>350</v>
      </c>
      <c r="Y349" s="546">
        <f t="shared" si="31"/>
        <v>360</v>
      </c>
      <c r="Z349" s="36">
        <f>IFERROR(IF(Y349=0,"",ROUNDUP(Y349/H349,0)*0.02175),"")</f>
        <v>0.52200000000000002</v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si="32"/>
        <v>360.96666666666664</v>
      </c>
      <c r="BN349" s="64">
        <f t="shared" si="33"/>
        <v>371.28</v>
      </c>
      <c r="BO349" s="64">
        <f t="shared" si="34"/>
        <v>0.48611111111111105</v>
      </c>
      <c r="BP349" s="64">
        <f t="shared" si="35"/>
        <v>0.5</v>
      </c>
    </row>
    <row r="350" spans="1:68" ht="37.5" hidden="1" customHeight="1" x14ac:dyDescent="0.25">
      <c r="A350" s="54" t="s">
        <v>558</v>
      </c>
      <c r="B350" s="54" t="s">
        <v>559</v>
      </c>
      <c r="C350" s="31">
        <v>4301011867</v>
      </c>
      <c r="D350" s="552">
        <v>4680115884830</v>
      </c>
      <c r="E350" s="553"/>
      <c r="F350" s="544">
        <v>2.5</v>
      </c>
      <c r="G350" s="32">
        <v>6</v>
      </c>
      <c r="H350" s="544">
        <v>15</v>
      </c>
      <c r="I350" s="544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59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0"/>
      <c r="R350" s="550"/>
      <c r="S350" s="550"/>
      <c r="T350" s="551"/>
      <c r="U350" s="34"/>
      <c r="V350" s="34"/>
      <c r="W350" s="35" t="s">
        <v>69</v>
      </c>
      <c r="X350" s="545">
        <v>0</v>
      </c>
      <c r="Y350" s="546">
        <f t="shared" si="31"/>
        <v>0</v>
      </c>
      <c r="Z350" s="36" t="str">
        <f>IFERROR(IF(Y350=0,"",ROUNDUP(Y350/H350,0)*0.02175),"")</f>
        <v/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2"/>
        <v>0</v>
      </c>
      <c r="BN350" s="64">
        <f t="shared" si="33"/>
        <v>0</v>
      </c>
      <c r="BO350" s="64">
        <f t="shared" si="34"/>
        <v>0</v>
      </c>
      <c r="BP350" s="64">
        <f t="shared" si="35"/>
        <v>0</v>
      </c>
    </row>
    <row r="351" spans="1:68" ht="27" hidden="1" customHeight="1" x14ac:dyDescent="0.25">
      <c r="A351" s="54" t="s">
        <v>561</v>
      </c>
      <c r="B351" s="54" t="s">
        <v>562</v>
      </c>
      <c r="C351" s="31">
        <v>4301012215</v>
      </c>
      <c r="D351" s="552">
        <v>4680115887046</v>
      </c>
      <c r="E351" s="553"/>
      <c r="F351" s="544">
        <v>2.5</v>
      </c>
      <c r="G351" s="32">
        <v>6</v>
      </c>
      <c r="H351" s="544">
        <v>15</v>
      </c>
      <c r="I351" s="544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69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0"/>
      <c r="R351" s="550"/>
      <c r="S351" s="550"/>
      <c r="T351" s="551"/>
      <c r="U351" s="34"/>
      <c r="V351" s="34"/>
      <c r="W351" s="35" t="s">
        <v>69</v>
      </c>
      <c r="X351" s="545">
        <v>0</v>
      </c>
      <c r="Y351" s="546">
        <f t="shared" si="31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2"/>
        <v>0</v>
      </c>
      <c r="BN351" s="64">
        <f t="shared" si="33"/>
        <v>0</v>
      </c>
      <c r="BO351" s="64">
        <f t="shared" si="34"/>
        <v>0</v>
      </c>
      <c r="BP351" s="64">
        <f t="shared" si="35"/>
        <v>0</v>
      </c>
    </row>
    <row r="352" spans="1:68" ht="27" hidden="1" customHeight="1" x14ac:dyDescent="0.25">
      <c r="A352" s="54" t="s">
        <v>564</v>
      </c>
      <c r="B352" s="54" t="s">
        <v>565</v>
      </c>
      <c r="C352" s="31">
        <v>4301011433</v>
      </c>
      <c r="D352" s="552">
        <v>4680115882638</v>
      </c>
      <c r="E352" s="553"/>
      <c r="F352" s="544">
        <v>0.4</v>
      </c>
      <c r="G352" s="32">
        <v>10</v>
      </c>
      <c r="H352" s="544">
        <v>4</v>
      </c>
      <c r="I352" s="544">
        <v>4.1900000000000004</v>
      </c>
      <c r="J352" s="32">
        <v>132</v>
      </c>
      <c r="K352" s="32" t="s">
        <v>109</v>
      </c>
      <c r="L352" s="32"/>
      <c r="M352" s="33" t="s">
        <v>104</v>
      </c>
      <c r="N352" s="33"/>
      <c r="O352" s="32">
        <v>90</v>
      </c>
      <c r="P352" s="56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0"/>
      <c r="R352" s="550"/>
      <c r="S352" s="550"/>
      <c r="T352" s="551"/>
      <c r="U352" s="34"/>
      <c r="V352" s="34"/>
      <c r="W352" s="35" t="s">
        <v>69</v>
      </c>
      <c r="X352" s="545">
        <v>0</v>
      </c>
      <c r="Y352" s="546">
        <f t="shared" si="31"/>
        <v>0</v>
      </c>
      <c r="Z352" s="36" t="str">
        <f>IFERROR(IF(Y352=0,"",ROUNDUP(Y352/H352,0)*0.00902),"")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2"/>
        <v>0</v>
      </c>
      <c r="BN352" s="64">
        <f t="shared" si="33"/>
        <v>0</v>
      </c>
      <c r="BO352" s="64">
        <f t="shared" si="34"/>
        <v>0</v>
      </c>
      <c r="BP352" s="64">
        <f t="shared" si="35"/>
        <v>0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4301011952</v>
      </c>
      <c r="D353" s="552">
        <v>4680115884922</v>
      </c>
      <c r="E353" s="553"/>
      <c r="F353" s="544">
        <v>0.5</v>
      </c>
      <c r="G353" s="32">
        <v>10</v>
      </c>
      <c r="H353" s="544">
        <v>5</v>
      </c>
      <c r="I353" s="544">
        <v>5.19</v>
      </c>
      <c r="J353" s="32">
        <v>132</v>
      </c>
      <c r="K353" s="32" t="s">
        <v>109</v>
      </c>
      <c r="L353" s="32"/>
      <c r="M353" s="33" t="s">
        <v>68</v>
      </c>
      <c r="N353" s="33"/>
      <c r="O353" s="32">
        <v>60</v>
      </c>
      <c r="P353" s="70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0"/>
      <c r="R353" s="550"/>
      <c r="S353" s="550"/>
      <c r="T353" s="551"/>
      <c r="U353" s="34"/>
      <c r="V353" s="34"/>
      <c r="W353" s="35" t="s">
        <v>69</v>
      </c>
      <c r="X353" s="545">
        <v>0</v>
      </c>
      <c r="Y353" s="546">
        <f t="shared" si="31"/>
        <v>0</v>
      </c>
      <c r="Z353" s="36" t="str">
        <f>IFERROR(IF(Y353=0,"",ROUNDUP(Y353/H353,0)*0.00902),"")</f>
        <v/>
      </c>
      <c r="AA353" s="56"/>
      <c r="AB353" s="57"/>
      <c r="AC353" s="411" t="s">
        <v>557</v>
      </c>
      <c r="AG353" s="64"/>
      <c r="AJ353" s="68"/>
      <c r="AK353" s="68">
        <v>0</v>
      </c>
      <c r="BB353" s="412" t="s">
        <v>1</v>
      </c>
      <c r="BM353" s="64">
        <f t="shared" si="32"/>
        <v>0</v>
      </c>
      <c r="BN353" s="64">
        <f t="shared" si="33"/>
        <v>0</v>
      </c>
      <c r="BO353" s="64">
        <f t="shared" si="34"/>
        <v>0</v>
      </c>
      <c r="BP353" s="64">
        <f t="shared" si="35"/>
        <v>0</v>
      </c>
    </row>
    <row r="354" spans="1:68" ht="37.5" hidden="1" customHeight="1" x14ac:dyDescent="0.25">
      <c r="A354" s="54" t="s">
        <v>569</v>
      </c>
      <c r="B354" s="54" t="s">
        <v>570</v>
      </c>
      <c r="C354" s="31">
        <v>4301011868</v>
      </c>
      <c r="D354" s="552">
        <v>4680115884861</v>
      </c>
      <c r="E354" s="553"/>
      <c r="F354" s="544">
        <v>0.5</v>
      </c>
      <c r="G354" s="32">
        <v>10</v>
      </c>
      <c r="H354" s="544">
        <v>5</v>
      </c>
      <c r="I354" s="544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81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0"/>
      <c r="R354" s="550"/>
      <c r="S354" s="550"/>
      <c r="T354" s="551"/>
      <c r="U354" s="34"/>
      <c r="V354" s="34"/>
      <c r="W354" s="35" t="s">
        <v>69</v>
      </c>
      <c r="X354" s="545">
        <v>0</v>
      </c>
      <c r="Y354" s="546">
        <f t="shared" si="31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2"/>
        <v>0</v>
      </c>
      <c r="BN354" s="64">
        <f t="shared" si="33"/>
        <v>0</v>
      </c>
      <c r="BO354" s="64">
        <f t="shared" si="34"/>
        <v>0</v>
      </c>
      <c r="BP354" s="64">
        <f t="shared" si="35"/>
        <v>0</v>
      </c>
    </row>
    <row r="355" spans="1:68" x14ac:dyDescent="0.2">
      <c r="A355" s="561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62"/>
      <c r="P355" s="567" t="s">
        <v>75</v>
      </c>
      <c r="Q355" s="568"/>
      <c r="R355" s="568"/>
      <c r="S355" s="568"/>
      <c r="T355" s="568"/>
      <c r="U355" s="568"/>
      <c r="V355" s="569"/>
      <c r="W355" s="37" t="s">
        <v>76</v>
      </c>
      <c r="X355" s="547">
        <f>IFERROR(X348/H348,"0")+IFERROR(X349/H349,"0")+IFERROR(X350/H350,"0")+IFERROR(X351/H351,"0")+IFERROR(X352/H352,"0")+IFERROR(X353/H353,"0")+IFERROR(X354/H354,"0")</f>
        <v>46.666666666666664</v>
      </c>
      <c r="Y355" s="547">
        <f>IFERROR(Y348/H348,"0")+IFERROR(Y349/H349,"0")+IFERROR(Y350/H350,"0")+IFERROR(Y351/H351,"0")+IFERROR(Y352/H352,"0")+IFERROR(Y353/H353,"0")+IFERROR(Y354/H354,"0")</f>
        <v>48</v>
      </c>
      <c r="Z355" s="547">
        <f>IFERROR(IF(Z348="",0,Z348),"0")+IFERROR(IF(Z349="",0,Z349),"0")+IFERROR(IF(Z350="",0,Z350),"0")+IFERROR(IF(Z351="",0,Z351),"0")+IFERROR(IF(Z352="",0,Z352),"0")+IFERROR(IF(Z353="",0,Z353),"0")+IFERROR(IF(Z354="",0,Z354),"0")</f>
        <v>1.044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62"/>
      <c r="P356" s="567" t="s">
        <v>75</v>
      </c>
      <c r="Q356" s="568"/>
      <c r="R356" s="568"/>
      <c r="S356" s="568"/>
      <c r="T356" s="568"/>
      <c r="U356" s="568"/>
      <c r="V356" s="569"/>
      <c r="W356" s="37" t="s">
        <v>69</v>
      </c>
      <c r="X356" s="547">
        <f>IFERROR(SUM(X348:X354),"0")</f>
        <v>700</v>
      </c>
      <c r="Y356" s="547">
        <f>IFERROR(SUM(Y348:Y354),"0")</f>
        <v>720</v>
      </c>
      <c r="Z356" s="37"/>
      <c r="AA356" s="548"/>
      <c r="AB356" s="548"/>
      <c r="AC356" s="548"/>
    </row>
    <row r="357" spans="1:68" ht="14.25" hidden="1" customHeight="1" x14ac:dyDescent="0.25">
      <c r="A357" s="558" t="s">
        <v>135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customHeight="1" x14ac:dyDescent="0.25">
      <c r="A358" s="54" t="s">
        <v>571</v>
      </c>
      <c r="B358" s="54" t="s">
        <v>572</v>
      </c>
      <c r="C358" s="31">
        <v>4301020178</v>
      </c>
      <c r="D358" s="552">
        <v>4607091383980</v>
      </c>
      <c r="E358" s="553"/>
      <c r="F358" s="544">
        <v>2.5</v>
      </c>
      <c r="G358" s="32">
        <v>6</v>
      </c>
      <c r="H358" s="544">
        <v>15</v>
      </c>
      <c r="I358" s="544">
        <v>15.47</v>
      </c>
      <c r="J358" s="32">
        <v>48</v>
      </c>
      <c r="K358" s="32" t="s">
        <v>102</v>
      </c>
      <c r="L358" s="32" t="s">
        <v>103</v>
      </c>
      <c r="M358" s="33" t="s">
        <v>104</v>
      </c>
      <c r="N358" s="33"/>
      <c r="O358" s="32">
        <v>50</v>
      </c>
      <c r="P358" s="69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0"/>
      <c r="R358" s="550"/>
      <c r="S358" s="550"/>
      <c r="T358" s="551"/>
      <c r="U358" s="34"/>
      <c r="V358" s="34"/>
      <c r="W358" s="35" t="s">
        <v>69</v>
      </c>
      <c r="X358" s="545">
        <v>700</v>
      </c>
      <c r="Y358" s="546">
        <f>IFERROR(IF(X358="",0,CEILING((X358/$H358),1)*$H358),"")</f>
        <v>705</v>
      </c>
      <c r="Z358" s="36">
        <f>IFERROR(IF(Y358=0,"",ROUNDUP(Y358/H358,0)*0.02175),"")</f>
        <v>1.0222499999999999</v>
      </c>
      <c r="AA358" s="56"/>
      <c r="AB358" s="57"/>
      <c r="AC358" s="415" t="s">
        <v>573</v>
      </c>
      <c r="AG358" s="64"/>
      <c r="AJ358" s="68" t="s">
        <v>106</v>
      </c>
      <c r="AK358" s="68">
        <v>120</v>
      </c>
      <c r="BB358" s="416" t="s">
        <v>1</v>
      </c>
      <c r="BM358" s="64">
        <f>IFERROR(X358*I358/H358,"0")</f>
        <v>721.93333333333328</v>
      </c>
      <c r="BN358" s="64">
        <f>IFERROR(Y358*I358/H358,"0")</f>
        <v>727.09</v>
      </c>
      <c r="BO358" s="64">
        <f>IFERROR(1/J358*(X358/H358),"0")</f>
        <v>0.9722222222222221</v>
      </c>
      <c r="BP358" s="64">
        <f>IFERROR(1/J358*(Y358/H358),"0")</f>
        <v>0.97916666666666663</v>
      </c>
    </row>
    <row r="359" spans="1:68" ht="27" hidden="1" customHeight="1" x14ac:dyDescent="0.25">
      <c r="A359" s="54" t="s">
        <v>574</v>
      </c>
      <c r="B359" s="54" t="s">
        <v>575</v>
      </c>
      <c r="C359" s="31">
        <v>4301020179</v>
      </c>
      <c r="D359" s="552">
        <v>4607091384178</v>
      </c>
      <c r="E359" s="553"/>
      <c r="F359" s="544">
        <v>0.4</v>
      </c>
      <c r="G359" s="32">
        <v>10</v>
      </c>
      <c r="H359" s="544">
        <v>4</v>
      </c>
      <c r="I359" s="544">
        <v>4.1900000000000004</v>
      </c>
      <c r="J359" s="32">
        <v>132</v>
      </c>
      <c r="K359" s="32" t="s">
        <v>109</v>
      </c>
      <c r="L359" s="32"/>
      <c r="M359" s="33" t="s">
        <v>104</v>
      </c>
      <c r="N359" s="33"/>
      <c r="O359" s="32">
        <v>50</v>
      </c>
      <c r="P359" s="80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0"/>
      <c r="R359" s="550"/>
      <c r="S359" s="550"/>
      <c r="T359" s="551"/>
      <c r="U359" s="34"/>
      <c r="V359" s="34"/>
      <c r="W359" s="35" t="s">
        <v>69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IFERROR(IF(Y359=0,"",ROUNDUP(Y359/H359,0)*0.00902),"")</f>
        <v/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x14ac:dyDescent="0.2">
      <c r="A360" s="561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62"/>
      <c r="P360" s="567" t="s">
        <v>75</v>
      </c>
      <c r="Q360" s="568"/>
      <c r="R360" s="568"/>
      <c r="S360" s="568"/>
      <c r="T360" s="568"/>
      <c r="U360" s="568"/>
      <c r="V360" s="569"/>
      <c r="W360" s="37" t="s">
        <v>76</v>
      </c>
      <c r="X360" s="547">
        <f>IFERROR(X358/H358,"0")+IFERROR(X359/H359,"0")</f>
        <v>46.666666666666664</v>
      </c>
      <c r="Y360" s="547">
        <f>IFERROR(Y358/H358,"0")+IFERROR(Y359/H359,"0")</f>
        <v>47</v>
      </c>
      <c r="Z360" s="547">
        <f>IFERROR(IF(Z358="",0,Z358),"0")+IFERROR(IF(Z359="",0,Z359),"0")</f>
        <v>1.0222499999999999</v>
      </c>
      <c r="AA360" s="548"/>
      <c r="AB360" s="548"/>
      <c r="AC360" s="548"/>
    </row>
    <row r="361" spans="1:68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62"/>
      <c r="P361" s="567" t="s">
        <v>75</v>
      </c>
      <c r="Q361" s="568"/>
      <c r="R361" s="568"/>
      <c r="S361" s="568"/>
      <c r="T361" s="568"/>
      <c r="U361" s="568"/>
      <c r="V361" s="569"/>
      <c r="W361" s="37" t="s">
        <v>69</v>
      </c>
      <c r="X361" s="547">
        <f>IFERROR(SUM(X358:X359),"0")</f>
        <v>700</v>
      </c>
      <c r="Y361" s="547">
        <f>IFERROR(SUM(Y358:Y359),"0")</f>
        <v>705</v>
      </c>
      <c r="Z361" s="37"/>
      <c r="AA361" s="548"/>
      <c r="AB361" s="548"/>
      <c r="AC361" s="548"/>
    </row>
    <row r="362" spans="1:68" ht="14.25" hidden="1" customHeight="1" x14ac:dyDescent="0.25">
      <c r="A362" s="558" t="s">
        <v>77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27" hidden="1" customHeight="1" x14ac:dyDescent="0.25">
      <c r="A363" s="54" t="s">
        <v>577</v>
      </c>
      <c r="B363" s="54" t="s">
        <v>578</v>
      </c>
      <c r="C363" s="31">
        <v>4301051903</v>
      </c>
      <c r="D363" s="552">
        <v>4607091383928</v>
      </c>
      <c r="E363" s="553"/>
      <c r="F363" s="544">
        <v>1.5</v>
      </c>
      <c r="G363" s="32">
        <v>6</v>
      </c>
      <c r="H363" s="544">
        <v>9</v>
      </c>
      <c r="I363" s="544">
        <v>9.5</v>
      </c>
      <c r="J363" s="32">
        <v>64</v>
      </c>
      <c r="K363" s="32" t="s">
        <v>102</v>
      </c>
      <c r="L363" s="32"/>
      <c r="M363" s="33" t="s">
        <v>80</v>
      </c>
      <c r="N363" s="33"/>
      <c r="O363" s="32">
        <v>40</v>
      </c>
      <c r="P363" s="86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0"/>
      <c r="R363" s="550"/>
      <c r="S363" s="550"/>
      <c r="T363" s="551"/>
      <c r="U363" s="34"/>
      <c r="V363" s="34"/>
      <c r="W363" s="35" t="s">
        <v>69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579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580</v>
      </c>
      <c r="B364" s="54" t="s">
        <v>581</v>
      </c>
      <c r="C364" s="31">
        <v>4301051897</v>
      </c>
      <c r="D364" s="552">
        <v>4607091384260</v>
      </c>
      <c r="E364" s="553"/>
      <c r="F364" s="544">
        <v>1.5</v>
      </c>
      <c r="G364" s="32">
        <v>6</v>
      </c>
      <c r="H364" s="544">
        <v>9</v>
      </c>
      <c r="I364" s="544">
        <v>9.4939999999999998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82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5">
        <v>0</v>
      </c>
      <c r="Y364" s="546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61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62"/>
      <c r="P365" s="567" t="s">
        <v>75</v>
      </c>
      <c r="Q365" s="568"/>
      <c r="R365" s="568"/>
      <c r="S365" s="568"/>
      <c r="T365" s="568"/>
      <c r="U365" s="568"/>
      <c r="V365" s="569"/>
      <c r="W365" s="37" t="s">
        <v>76</v>
      </c>
      <c r="X365" s="547">
        <f>IFERROR(X363/H363,"0")+IFERROR(X364/H364,"0")</f>
        <v>0</v>
      </c>
      <c r="Y365" s="547">
        <f>IFERROR(Y363/H363,"0")+IFERROR(Y364/H364,"0")</f>
        <v>0</v>
      </c>
      <c r="Z365" s="547">
        <f>IFERROR(IF(Z363="",0,Z363),"0")+IFERROR(IF(Z364="",0,Z364),"0")</f>
        <v>0</v>
      </c>
      <c r="AA365" s="548"/>
      <c r="AB365" s="548"/>
      <c r="AC365" s="548"/>
    </row>
    <row r="366" spans="1:68" hidden="1" x14ac:dyDescent="0.2">
      <c r="A366" s="559"/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62"/>
      <c r="P366" s="567" t="s">
        <v>75</v>
      </c>
      <c r="Q366" s="568"/>
      <c r="R366" s="568"/>
      <c r="S366" s="568"/>
      <c r="T366" s="568"/>
      <c r="U366" s="568"/>
      <c r="V366" s="569"/>
      <c r="W366" s="37" t="s">
        <v>69</v>
      </c>
      <c r="X366" s="547">
        <f>IFERROR(SUM(X363:X364),"0")</f>
        <v>0</v>
      </c>
      <c r="Y366" s="547">
        <f>IFERROR(SUM(Y363:Y364),"0")</f>
        <v>0</v>
      </c>
      <c r="Z366" s="37"/>
      <c r="AA366" s="548"/>
      <c r="AB366" s="548"/>
      <c r="AC366" s="548"/>
    </row>
    <row r="367" spans="1:68" ht="14.25" hidden="1" customHeight="1" x14ac:dyDescent="0.25">
      <c r="A367" s="558" t="s">
        <v>160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16.5" hidden="1" customHeight="1" x14ac:dyDescent="0.25">
      <c r="A368" s="54" t="s">
        <v>583</v>
      </c>
      <c r="B368" s="54" t="s">
        <v>584</v>
      </c>
      <c r="C368" s="31">
        <v>4301060524</v>
      </c>
      <c r="D368" s="552">
        <v>4607091384673</v>
      </c>
      <c r="E368" s="553"/>
      <c r="F368" s="544">
        <v>1.5</v>
      </c>
      <c r="G368" s="32">
        <v>6</v>
      </c>
      <c r="H368" s="544">
        <v>9</v>
      </c>
      <c r="I368" s="544">
        <v>9.4939999999999998</v>
      </c>
      <c r="J368" s="32">
        <v>64</v>
      </c>
      <c r="K368" s="32" t="s">
        <v>102</v>
      </c>
      <c r="L368" s="32"/>
      <c r="M368" s="33" t="s">
        <v>80</v>
      </c>
      <c r="N368" s="33"/>
      <c r="O368" s="32">
        <v>40</v>
      </c>
      <c r="P368" s="85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0"/>
      <c r="R368" s="550"/>
      <c r="S368" s="550"/>
      <c r="T368" s="551"/>
      <c r="U368" s="34"/>
      <c r="V368" s="34"/>
      <c r="W368" s="35" t="s">
        <v>69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585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61"/>
      <c r="B369" s="559"/>
      <c r="C369" s="559"/>
      <c r="D369" s="559"/>
      <c r="E369" s="559"/>
      <c r="F369" s="559"/>
      <c r="G369" s="559"/>
      <c r="H369" s="559"/>
      <c r="I369" s="559"/>
      <c r="J369" s="559"/>
      <c r="K369" s="559"/>
      <c r="L369" s="559"/>
      <c r="M369" s="559"/>
      <c r="N369" s="559"/>
      <c r="O369" s="562"/>
      <c r="P369" s="567" t="s">
        <v>75</v>
      </c>
      <c r="Q369" s="568"/>
      <c r="R369" s="568"/>
      <c r="S369" s="568"/>
      <c r="T369" s="568"/>
      <c r="U369" s="568"/>
      <c r="V369" s="569"/>
      <c r="W369" s="37" t="s">
        <v>76</v>
      </c>
      <c r="X369" s="547">
        <f>IFERROR(X368/H368,"0")</f>
        <v>0</v>
      </c>
      <c r="Y369" s="547">
        <f>IFERROR(Y368/H368,"0")</f>
        <v>0</v>
      </c>
      <c r="Z369" s="547">
        <f>IFERROR(IF(Z368="",0,Z368),"0")</f>
        <v>0</v>
      </c>
      <c r="AA369" s="548"/>
      <c r="AB369" s="548"/>
      <c r="AC369" s="548"/>
    </row>
    <row r="370" spans="1:68" hidden="1" x14ac:dyDescent="0.2">
      <c r="A370" s="559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62"/>
      <c r="P370" s="567" t="s">
        <v>75</v>
      </c>
      <c r="Q370" s="568"/>
      <c r="R370" s="568"/>
      <c r="S370" s="568"/>
      <c r="T370" s="568"/>
      <c r="U370" s="568"/>
      <c r="V370" s="569"/>
      <c r="W370" s="37" t="s">
        <v>69</v>
      </c>
      <c r="X370" s="547">
        <f>IFERROR(SUM(X368:X368),"0")</f>
        <v>0</v>
      </c>
      <c r="Y370" s="547">
        <f>IFERROR(SUM(Y368:Y368),"0")</f>
        <v>0</v>
      </c>
      <c r="Z370" s="37"/>
      <c r="AA370" s="548"/>
      <c r="AB370" s="548"/>
      <c r="AC370" s="548"/>
    </row>
    <row r="371" spans="1:68" ht="16.5" hidden="1" customHeight="1" x14ac:dyDescent="0.25">
      <c r="A371" s="560" t="s">
        <v>586</v>
      </c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59"/>
      <c r="P371" s="559"/>
      <c r="Q371" s="559"/>
      <c r="R371" s="559"/>
      <c r="S371" s="559"/>
      <c r="T371" s="559"/>
      <c r="U371" s="559"/>
      <c r="V371" s="559"/>
      <c r="W371" s="559"/>
      <c r="X371" s="559"/>
      <c r="Y371" s="559"/>
      <c r="Z371" s="559"/>
      <c r="AA371" s="540"/>
      <c r="AB371" s="540"/>
      <c r="AC371" s="540"/>
    </row>
    <row r="372" spans="1:68" ht="14.25" hidden="1" customHeight="1" x14ac:dyDescent="0.25">
      <c r="A372" s="558" t="s">
        <v>99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37.5" hidden="1" customHeight="1" x14ac:dyDescent="0.25">
      <c r="A373" s="54" t="s">
        <v>587</v>
      </c>
      <c r="B373" s="54" t="s">
        <v>588</v>
      </c>
      <c r="C373" s="31">
        <v>4301011875</v>
      </c>
      <c r="D373" s="552">
        <v>4680115884885</v>
      </c>
      <c r="E373" s="553"/>
      <c r="F373" s="544">
        <v>0.8</v>
      </c>
      <c r="G373" s="32">
        <v>15</v>
      </c>
      <c r="H373" s="544">
        <v>12</v>
      </c>
      <c r="I373" s="544">
        <v>12.41</v>
      </c>
      <c r="J373" s="32">
        <v>64</v>
      </c>
      <c r="K373" s="32" t="s">
        <v>102</v>
      </c>
      <c r="L373" s="32"/>
      <c r="M373" s="33" t="s">
        <v>68</v>
      </c>
      <c r="N373" s="33"/>
      <c r="O373" s="32">
        <v>60</v>
      </c>
      <c r="P373" s="87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0"/>
      <c r="R373" s="550"/>
      <c r="S373" s="550"/>
      <c r="T373" s="551"/>
      <c r="U373" s="34"/>
      <c r="V373" s="34"/>
      <c r="W373" s="35" t="s">
        <v>69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IFERROR(IF(Y373=0,"",ROUNDUP(Y373/H373,0)*0.01898),"")</f>
        <v/>
      </c>
      <c r="AA373" s="56"/>
      <c r="AB373" s="57"/>
      <c r="AC373" s="425" t="s">
        <v>589</v>
      </c>
      <c r="AG373" s="64"/>
      <c r="AJ373" s="68"/>
      <c r="AK373" s="68">
        <v>0</v>
      </c>
      <c r="BB373" s="426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37.5" hidden="1" customHeight="1" x14ac:dyDescent="0.25">
      <c r="A374" s="54" t="s">
        <v>590</v>
      </c>
      <c r="B374" s="54" t="s">
        <v>591</v>
      </c>
      <c r="C374" s="31">
        <v>4301011871</v>
      </c>
      <c r="D374" s="552">
        <v>4680115884908</v>
      </c>
      <c r="E374" s="553"/>
      <c r="F374" s="544">
        <v>0.4</v>
      </c>
      <c r="G374" s="32">
        <v>10</v>
      </c>
      <c r="H374" s="544">
        <v>4</v>
      </c>
      <c r="I374" s="544">
        <v>4.1900000000000004</v>
      </c>
      <c r="J374" s="32">
        <v>132</v>
      </c>
      <c r="K374" s="32" t="s">
        <v>109</v>
      </c>
      <c r="L374" s="32"/>
      <c r="M374" s="33" t="s">
        <v>68</v>
      </c>
      <c r="N374" s="33"/>
      <c r="O374" s="32">
        <v>60</v>
      </c>
      <c r="P374" s="72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0"/>
      <c r="R374" s="550"/>
      <c r="S374" s="550"/>
      <c r="T374" s="551"/>
      <c r="U374" s="34"/>
      <c r="V374" s="34"/>
      <c r="W374" s="35" t="s">
        <v>69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589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61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62"/>
      <c r="P375" s="567" t="s">
        <v>75</v>
      </c>
      <c r="Q375" s="568"/>
      <c r="R375" s="568"/>
      <c r="S375" s="568"/>
      <c r="T375" s="568"/>
      <c r="U375" s="568"/>
      <c r="V375" s="569"/>
      <c r="W375" s="37" t="s">
        <v>76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hidden="1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62"/>
      <c r="P376" s="567" t="s">
        <v>75</v>
      </c>
      <c r="Q376" s="568"/>
      <c r="R376" s="568"/>
      <c r="S376" s="568"/>
      <c r="T376" s="568"/>
      <c r="U376" s="568"/>
      <c r="V376" s="569"/>
      <c r="W376" s="37" t="s">
        <v>69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hidden="1" customHeight="1" x14ac:dyDescent="0.25">
      <c r="A377" s="558" t="s">
        <v>64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hidden="1" customHeight="1" x14ac:dyDescent="0.25">
      <c r="A378" s="54" t="s">
        <v>592</v>
      </c>
      <c r="B378" s="54" t="s">
        <v>593</v>
      </c>
      <c r="C378" s="31">
        <v>4301031303</v>
      </c>
      <c r="D378" s="552">
        <v>4607091384802</v>
      </c>
      <c r="E378" s="553"/>
      <c r="F378" s="544">
        <v>0.73</v>
      </c>
      <c r="G378" s="32">
        <v>6</v>
      </c>
      <c r="H378" s="544">
        <v>4.38</v>
      </c>
      <c r="I378" s="544">
        <v>4.63</v>
      </c>
      <c r="J378" s="32">
        <v>132</v>
      </c>
      <c r="K378" s="32" t="s">
        <v>109</v>
      </c>
      <c r="L378" s="32"/>
      <c r="M378" s="33" t="s">
        <v>68</v>
      </c>
      <c r="N378" s="33"/>
      <c r="O378" s="32">
        <v>35</v>
      </c>
      <c r="P378" s="68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0"/>
      <c r="R378" s="550"/>
      <c r="S378" s="550"/>
      <c r="T378" s="551"/>
      <c r="U378" s="34"/>
      <c r="V378" s="34"/>
      <c r="W378" s="35" t="s">
        <v>69</v>
      </c>
      <c r="X378" s="545">
        <v>0</v>
      </c>
      <c r="Y378" s="546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594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592</v>
      </c>
      <c r="B379" s="54" t="s">
        <v>595</v>
      </c>
      <c r="C379" s="31">
        <v>4301031457</v>
      </c>
      <c r="D379" s="552">
        <v>4607091384802</v>
      </c>
      <c r="E379" s="553"/>
      <c r="F379" s="544">
        <v>0.7</v>
      </c>
      <c r="G379" s="32">
        <v>6</v>
      </c>
      <c r="H379" s="544">
        <v>4.2</v>
      </c>
      <c r="I379" s="544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61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596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61"/>
      <c r="B380" s="559"/>
      <c r="C380" s="559"/>
      <c r="D380" s="559"/>
      <c r="E380" s="559"/>
      <c r="F380" s="559"/>
      <c r="G380" s="559"/>
      <c r="H380" s="559"/>
      <c r="I380" s="559"/>
      <c r="J380" s="559"/>
      <c r="K380" s="559"/>
      <c r="L380" s="559"/>
      <c r="M380" s="559"/>
      <c r="N380" s="559"/>
      <c r="O380" s="562"/>
      <c r="P380" s="567" t="s">
        <v>75</v>
      </c>
      <c r="Q380" s="568"/>
      <c r="R380" s="568"/>
      <c r="S380" s="568"/>
      <c r="T380" s="568"/>
      <c r="U380" s="568"/>
      <c r="V380" s="569"/>
      <c r="W380" s="37" t="s">
        <v>76</v>
      </c>
      <c r="X380" s="547">
        <f>IFERROR(X378/H378,"0")+IFERROR(X379/H379,"0")</f>
        <v>0</v>
      </c>
      <c r="Y380" s="547">
        <f>IFERROR(Y378/H378,"0")+IFERROR(Y379/H379,"0")</f>
        <v>0</v>
      </c>
      <c r="Z380" s="547">
        <f>IFERROR(IF(Z378="",0,Z378),"0")+IFERROR(IF(Z379="",0,Z379),"0")</f>
        <v>0</v>
      </c>
      <c r="AA380" s="548"/>
      <c r="AB380" s="548"/>
      <c r="AC380" s="548"/>
    </row>
    <row r="381" spans="1:68" hidden="1" x14ac:dyDescent="0.2">
      <c r="A381" s="559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62"/>
      <c r="P381" s="567" t="s">
        <v>75</v>
      </c>
      <c r="Q381" s="568"/>
      <c r="R381" s="568"/>
      <c r="S381" s="568"/>
      <c r="T381" s="568"/>
      <c r="U381" s="568"/>
      <c r="V381" s="569"/>
      <c r="W381" s="37" t="s">
        <v>69</v>
      </c>
      <c r="X381" s="547">
        <f>IFERROR(SUM(X378:X379),"0")</f>
        <v>0</v>
      </c>
      <c r="Y381" s="547">
        <f>IFERROR(SUM(Y378:Y379),"0")</f>
        <v>0</v>
      </c>
      <c r="Z381" s="37"/>
      <c r="AA381" s="548"/>
      <c r="AB381" s="548"/>
      <c r="AC381" s="548"/>
    </row>
    <row r="382" spans="1:68" ht="14.25" hidden="1" customHeight="1" x14ac:dyDescent="0.25">
      <c r="A382" s="558" t="s">
        <v>77</v>
      </c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59"/>
      <c r="P382" s="559"/>
      <c r="Q382" s="559"/>
      <c r="R382" s="559"/>
      <c r="S382" s="559"/>
      <c r="T382" s="559"/>
      <c r="U382" s="559"/>
      <c r="V382" s="559"/>
      <c r="W382" s="559"/>
      <c r="X382" s="559"/>
      <c r="Y382" s="559"/>
      <c r="Z382" s="559"/>
      <c r="AA382" s="541"/>
      <c r="AB382" s="541"/>
      <c r="AC382" s="541"/>
    </row>
    <row r="383" spans="1:68" ht="27" customHeight="1" x14ac:dyDescent="0.25">
      <c r="A383" s="54" t="s">
        <v>597</v>
      </c>
      <c r="B383" s="54" t="s">
        <v>598</v>
      </c>
      <c r="C383" s="31">
        <v>4301051899</v>
      </c>
      <c r="D383" s="552">
        <v>4607091384246</v>
      </c>
      <c r="E383" s="553"/>
      <c r="F383" s="544">
        <v>1.5</v>
      </c>
      <c r="G383" s="32">
        <v>6</v>
      </c>
      <c r="H383" s="544">
        <v>9</v>
      </c>
      <c r="I383" s="544">
        <v>9.4939999999999998</v>
      </c>
      <c r="J383" s="32">
        <v>64</v>
      </c>
      <c r="K383" s="32" t="s">
        <v>102</v>
      </c>
      <c r="L383" s="32" t="s">
        <v>103</v>
      </c>
      <c r="M383" s="33" t="s">
        <v>80</v>
      </c>
      <c r="N383" s="33"/>
      <c r="O383" s="32">
        <v>40</v>
      </c>
      <c r="P383" s="73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0"/>
      <c r="R383" s="550"/>
      <c r="S383" s="550"/>
      <c r="T383" s="551"/>
      <c r="U383" s="34"/>
      <c r="V383" s="34"/>
      <c r="W383" s="35" t="s">
        <v>69</v>
      </c>
      <c r="X383" s="545">
        <v>1400</v>
      </c>
      <c r="Y383" s="546">
        <f>IFERROR(IF(X383="",0,CEILING((X383/$H383),1)*$H383),"")</f>
        <v>1404</v>
      </c>
      <c r="Z383" s="36">
        <f>IFERROR(IF(Y383=0,"",ROUNDUP(Y383/H383,0)*0.01898),"")</f>
        <v>2.96088</v>
      </c>
      <c r="AA383" s="56"/>
      <c r="AB383" s="57"/>
      <c r="AC383" s="433" t="s">
        <v>599</v>
      </c>
      <c r="AG383" s="64"/>
      <c r="AJ383" s="68" t="s">
        <v>106</v>
      </c>
      <c r="AK383" s="68">
        <v>72</v>
      </c>
      <c r="BB383" s="434" t="s">
        <v>1</v>
      </c>
      <c r="BM383" s="64">
        <f>IFERROR(X383*I383/H383,"0")</f>
        <v>1476.8444444444444</v>
      </c>
      <c r="BN383" s="64">
        <f>IFERROR(Y383*I383/H383,"0")</f>
        <v>1481.0639999999999</v>
      </c>
      <c r="BO383" s="64">
        <f>IFERROR(1/J383*(X383/H383),"0")</f>
        <v>2.4305555555555554</v>
      </c>
      <c r="BP383" s="64">
        <f>IFERROR(1/J383*(Y383/H383),"0")</f>
        <v>2.4375</v>
      </c>
    </row>
    <row r="384" spans="1:68" ht="27" hidden="1" customHeight="1" x14ac:dyDescent="0.25">
      <c r="A384" s="54" t="s">
        <v>600</v>
      </c>
      <c r="B384" s="54" t="s">
        <v>601</v>
      </c>
      <c r="C384" s="31">
        <v>4301051660</v>
      </c>
      <c r="D384" s="552">
        <v>4607091384253</v>
      </c>
      <c r="E384" s="553"/>
      <c r="F384" s="544">
        <v>0.4</v>
      </c>
      <c r="G384" s="32">
        <v>6</v>
      </c>
      <c r="H384" s="544">
        <v>2.4</v>
      </c>
      <c r="I384" s="544">
        <v>2.6640000000000001</v>
      </c>
      <c r="J384" s="32">
        <v>182</v>
      </c>
      <c r="K384" s="32" t="s">
        <v>67</v>
      </c>
      <c r="L384" s="32" t="s">
        <v>213</v>
      </c>
      <c r="M384" s="33" t="s">
        <v>80</v>
      </c>
      <c r="N384" s="33"/>
      <c r="O384" s="32">
        <v>40</v>
      </c>
      <c r="P384" s="57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0"/>
      <c r="R384" s="550"/>
      <c r="S384" s="550"/>
      <c r="T384" s="551"/>
      <c r="U384" s="34"/>
      <c r="V384" s="34"/>
      <c r="W384" s="35" t="s">
        <v>69</v>
      </c>
      <c r="X384" s="545">
        <v>0</v>
      </c>
      <c r="Y384" s="546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599</v>
      </c>
      <c r="AG384" s="64"/>
      <c r="AJ384" s="68" t="s">
        <v>106</v>
      </c>
      <c r="AK384" s="68">
        <v>33.6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600</v>
      </c>
      <c r="B385" s="54" t="s">
        <v>602</v>
      </c>
      <c r="C385" s="31">
        <v>4301052069</v>
      </c>
      <c r="D385" s="552">
        <v>4607091384253</v>
      </c>
      <c r="E385" s="553"/>
      <c r="F385" s="544">
        <v>0.4</v>
      </c>
      <c r="G385" s="32">
        <v>6</v>
      </c>
      <c r="H385" s="544">
        <v>2.4</v>
      </c>
      <c r="I385" s="544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0"/>
      <c r="R385" s="550"/>
      <c r="S385" s="550"/>
      <c r="T385" s="551"/>
      <c r="U385" s="34"/>
      <c r="V385" s="34"/>
      <c r="W385" s="35" t="s">
        <v>69</v>
      </c>
      <c r="X385" s="545">
        <v>0</v>
      </c>
      <c r="Y385" s="546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603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x14ac:dyDescent="0.2">
      <c r="A386" s="561"/>
      <c r="B386" s="559"/>
      <c r="C386" s="559"/>
      <c r="D386" s="559"/>
      <c r="E386" s="559"/>
      <c r="F386" s="559"/>
      <c r="G386" s="559"/>
      <c r="H386" s="559"/>
      <c r="I386" s="559"/>
      <c r="J386" s="559"/>
      <c r="K386" s="559"/>
      <c r="L386" s="559"/>
      <c r="M386" s="559"/>
      <c r="N386" s="559"/>
      <c r="O386" s="562"/>
      <c r="P386" s="567" t="s">
        <v>75</v>
      </c>
      <c r="Q386" s="568"/>
      <c r="R386" s="568"/>
      <c r="S386" s="568"/>
      <c r="T386" s="568"/>
      <c r="U386" s="568"/>
      <c r="V386" s="569"/>
      <c r="W386" s="37" t="s">
        <v>76</v>
      </c>
      <c r="X386" s="547">
        <f>IFERROR(X383/H383,"0")+IFERROR(X384/H384,"0")+IFERROR(X385/H385,"0")</f>
        <v>155.55555555555554</v>
      </c>
      <c r="Y386" s="547">
        <f>IFERROR(Y383/H383,"0")+IFERROR(Y384/H384,"0")+IFERROR(Y385/H385,"0")</f>
        <v>156</v>
      </c>
      <c r="Z386" s="547">
        <f>IFERROR(IF(Z383="",0,Z383),"0")+IFERROR(IF(Z384="",0,Z384),"0")+IFERROR(IF(Z385="",0,Z385),"0")</f>
        <v>2.96088</v>
      </c>
      <c r="AA386" s="548"/>
      <c r="AB386" s="548"/>
      <c r="AC386" s="548"/>
    </row>
    <row r="387" spans="1:68" x14ac:dyDescent="0.2">
      <c r="A387" s="559"/>
      <c r="B387" s="559"/>
      <c r="C387" s="559"/>
      <c r="D387" s="559"/>
      <c r="E387" s="559"/>
      <c r="F387" s="559"/>
      <c r="G387" s="559"/>
      <c r="H387" s="559"/>
      <c r="I387" s="559"/>
      <c r="J387" s="559"/>
      <c r="K387" s="559"/>
      <c r="L387" s="559"/>
      <c r="M387" s="559"/>
      <c r="N387" s="559"/>
      <c r="O387" s="562"/>
      <c r="P387" s="567" t="s">
        <v>75</v>
      </c>
      <c r="Q387" s="568"/>
      <c r="R387" s="568"/>
      <c r="S387" s="568"/>
      <c r="T387" s="568"/>
      <c r="U387" s="568"/>
      <c r="V387" s="569"/>
      <c r="W387" s="37" t="s">
        <v>69</v>
      </c>
      <c r="X387" s="547">
        <f>IFERROR(SUM(X383:X385),"0")</f>
        <v>1400</v>
      </c>
      <c r="Y387" s="547">
        <f>IFERROR(SUM(Y383:Y385),"0")</f>
        <v>1404</v>
      </c>
      <c r="Z387" s="37"/>
      <c r="AA387" s="548"/>
      <c r="AB387" s="548"/>
      <c r="AC387" s="548"/>
    </row>
    <row r="388" spans="1:68" ht="27.75" hidden="1" customHeight="1" x14ac:dyDescent="0.2">
      <c r="A388" s="647" t="s">
        <v>604</v>
      </c>
      <c r="B388" s="648"/>
      <c r="C388" s="648"/>
      <c r="D388" s="648"/>
      <c r="E388" s="648"/>
      <c r="F388" s="648"/>
      <c r="G388" s="648"/>
      <c r="H388" s="648"/>
      <c r="I388" s="648"/>
      <c r="J388" s="648"/>
      <c r="K388" s="648"/>
      <c r="L388" s="648"/>
      <c r="M388" s="648"/>
      <c r="N388" s="648"/>
      <c r="O388" s="648"/>
      <c r="P388" s="648"/>
      <c r="Q388" s="648"/>
      <c r="R388" s="648"/>
      <c r="S388" s="648"/>
      <c r="T388" s="648"/>
      <c r="U388" s="648"/>
      <c r="V388" s="648"/>
      <c r="W388" s="648"/>
      <c r="X388" s="648"/>
      <c r="Y388" s="648"/>
      <c r="Z388" s="648"/>
      <c r="AA388" s="48"/>
      <c r="AB388" s="48"/>
      <c r="AC388" s="48"/>
    </row>
    <row r="389" spans="1:68" ht="16.5" hidden="1" customHeight="1" x14ac:dyDescent="0.25">
      <c r="A389" s="560" t="s">
        <v>605</v>
      </c>
      <c r="B389" s="559"/>
      <c r="C389" s="559"/>
      <c r="D389" s="559"/>
      <c r="E389" s="559"/>
      <c r="F389" s="559"/>
      <c r="G389" s="559"/>
      <c r="H389" s="559"/>
      <c r="I389" s="559"/>
      <c r="J389" s="559"/>
      <c r="K389" s="559"/>
      <c r="L389" s="559"/>
      <c r="M389" s="559"/>
      <c r="N389" s="559"/>
      <c r="O389" s="559"/>
      <c r="P389" s="559"/>
      <c r="Q389" s="559"/>
      <c r="R389" s="559"/>
      <c r="S389" s="559"/>
      <c r="T389" s="559"/>
      <c r="U389" s="559"/>
      <c r="V389" s="559"/>
      <c r="W389" s="559"/>
      <c r="X389" s="559"/>
      <c r="Y389" s="559"/>
      <c r="Z389" s="559"/>
      <c r="AA389" s="540"/>
      <c r="AB389" s="540"/>
      <c r="AC389" s="540"/>
    </row>
    <row r="390" spans="1:68" ht="14.25" hidden="1" customHeight="1" x14ac:dyDescent="0.25">
      <c r="A390" s="558" t="s">
        <v>64</v>
      </c>
      <c r="B390" s="559"/>
      <c r="C390" s="559"/>
      <c r="D390" s="559"/>
      <c r="E390" s="559"/>
      <c r="F390" s="559"/>
      <c r="G390" s="559"/>
      <c r="H390" s="559"/>
      <c r="I390" s="559"/>
      <c r="J390" s="559"/>
      <c r="K390" s="559"/>
      <c r="L390" s="559"/>
      <c r="M390" s="559"/>
      <c r="N390" s="559"/>
      <c r="O390" s="559"/>
      <c r="P390" s="559"/>
      <c r="Q390" s="559"/>
      <c r="R390" s="559"/>
      <c r="S390" s="559"/>
      <c r="T390" s="559"/>
      <c r="U390" s="559"/>
      <c r="V390" s="559"/>
      <c r="W390" s="559"/>
      <c r="X390" s="559"/>
      <c r="Y390" s="559"/>
      <c r="Z390" s="559"/>
      <c r="AA390" s="541"/>
      <c r="AB390" s="541"/>
      <c r="AC390" s="541"/>
    </row>
    <row r="391" spans="1:68" ht="27" hidden="1" customHeight="1" x14ac:dyDescent="0.25">
      <c r="A391" s="54" t="s">
        <v>606</v>
      </c>
      <c r="B391" s="54" t="s">
        <v>607</v>
      </c>
      <c r="C391" s="31">
        <v>4301031405</v>
      </c>
      <c r="D391" s="552">
        <v>4680115886100</v>
      </c>
      <c r="E391" s="553"/>
      <c r="F391" s="544">
        <v>0.9</v>
      </c>
      <c r="G391" s="32">
        <v>6</v>
      </c>
      <c r="H391" s="544">
        <v>5.4</v>
      </c>
      <c r="I391" s="544">
        <v>5.59</v>
      </c>
      <c r="J391" s="32">
        <v>132</v>
      </c>
      <c r="K391" s="32" t="s">
        <v>109</v>
      </c>
      <c r="L391" s="32"/>
      <c r="M391" s="33" t="s">
        <v>68</v>
      </c>
      <c r="N391" s="33"/>
      <c r="O391" s="32">
        <v>50</v>
      </c>
      <c r="P391" s="57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0"/>
      <c r="R391" s="550"/>
      <c r="S391" s="550"/>
      <c r="T391" s="551"/>
      <c r="U391" s="34"/>
      <c r="V391" s="34"/>
      <c r="W391" s="35" t="s">
        <v>69</v>
      </c>
      <c r="X391" s="545">
        <v>0</v>
      </c>
      <c r="Y391" s="546">
        <f t="shared" ref="Y391:Y399" si="36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608</v>
      </c>
      <c r="AG391" s="64"/>
      <c r="AJ391" s="68"/>
      <c r="AK391" s="68">
        <v>0</v>
      </c>
      <c r="BB391" s="440" t="s">
        <v>1</v>
      </c>
      <c r="BM391" s="64">
        <f t="shared" ref="BM391:BM399" si="37">IFERROR(X391*I391/H391,"0")</f>
        <v>0</v>
      </c>
      <c r="BN391" s="64">
        <f t="shared" ref="BN391:BN399" si="38">IFERROR(Y391*I391/H391,"0")</f>
        <v>0</v>
      </c>
      <c r="BO391" s="64">
        <f t="shared" ref="BO391:BO399" si="39">IFERROR(1/J391*(X391/H391),"0")</f>
        <v>0</v>
      </c>
      <c r="BP391" s="64">
        <f t="shared" ref="BP391:BP399" si="40">IFERROR(1/J391*(Y391/H391),"0")</f>
        <v>0</v>
      </c>
    </row>
    <row r="392" spans="1:68" ht="27" hidden="1" customHeight="1" x14ac:dyDescent="0.25">
      <c r="A392" s="54" t="s">
        <v>609</v>
      </c>
      <c r="B392" s="54" t="s">
        <v>610</v>
      </c>
      <c r="C392" s="31">
        <v>4301031406</v>
      </c>
      <c r="D392" s="552">
        <v>4680115886117</v>
      </c>
      <c r="E392" s="553"/>
      <c r="F392" s="544">
        <v>0.9</v>
      </c>
      <c r="G392" s="32">
        <v>6</v>
      </c>
      <c r="H392" s="544">
        <v>5.4</v>
      </c>
      <c r="I392" s="544">
        <v>5.59</v>
      </c>
      <c r="J392" s="32">
        <v>132</v>
      </c>
      <c r="K392" s="32" t="s">
        <v>109</v>
      </c>
      <c r="L392" s="32"/>
      <c r="M392" s="33" t="s">
        <v>68</v>
      </c>
      <c r="N392" s="33"/>
      <c r="O392" s="32">
        <v>50</v>
      </c>
      <c r="P392" s="58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5">
        <v>0</v>
      </c>
      <c r="Y392" s="546">
        <f t="shared" si="36"/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4301031402</v>
      </c>
      <c r="D393" s="552">
        <v>4680115886124</v>
      </c>
      <c r="E393" s="553"/>
      <c r="F393" s="544">
        <v>0.9</v>
      </c>
      <c r="G393" s="32">
        <v>6</v>
      </c>
      <c r="H393" s="544">
        <v>5.4</v>
      </c>
      <c r="I393" s="544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85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0"/>
      <c r="R393" s="550"/>
      <c r="S393" s="550"/>
      <c r="T393" s="551"/>
      <c r="U393" s="34"/>
      <c r="V393" s="34"/>
      <c r="W393" s="35" t="s">
        <v>69</v>
      </c>
      <c r="X393" s="545">
        <v>0</v>
      </c>
      <c r="Y393" s="546">
        <f t="shared" si="36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4301031366</v>
      </c>
      <c r="D394" s="552">
        <v>4680115883147</v>
      </c>
      <c r="E394" s="553"/>
      <c r="F394" s="544">
        <v>0.28000000000000003</v>
      </c>
      <c r="G394" s="32">
        <v>6</v>
      </c>
      <c r="H394" s="544">
        <v>1.68</v>
      </c>
      <c r="I394" s="544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0"/>
      <c r="R394" s="550"/>
      <c r="S394" s="550"/>
      <c r="T394" s="551"/>
      <c r="U394" s="34"/>
      <c r="V394" s="34"/>
      <c r="W394" s="35" t="s">
        <v>69</v>
      </c>
      <c r="X394" s="545">
        <v>0</v>
      </c>
      <c r="Y394" s="546">
        <f t="shared" si="36"/>
        <v>0</v>
      </c>
      <c r="Z394" s="36" t="str">
        <f t="shared" ref="Z394:Z399" si="41">IFERROR(IF(Y394=0,"",ROUNDUP(Y394/H394,0)*0.00502),"")</f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37"/>
        <v>0</v>
      </c>
      <c r="BN394" s="64">
        <f t="shared" si="38"/>
        <v>0</v>
      </c>
      <c r="BO394" s="64">
        <f t="shared" si="39"/>
        <v>0</v>
      </c>
      <c r="BP394" s="64">
        <f t="shared" si="40"/>
        <v>0</v>
      </c>
    </row>
    <row r="395" spans="1:68" ht="27" hidden="1" customHeight="1" x14ac:dyDescent="0.25">
      <c r="A395" s="54" t="s">
        <v>617</v>
      </c>
      <c r="B395" s="54" t="s">
        <v>618</v>
      </c>
      <c r="C395" s="31">
        <v>4301031362</v>
      </c>
      <c r="D395" s="552">
        <v>4607091384338</v>
      </c>
      <c r="E395" s="553"/>
      <c r="F395" s="544">
        <v>0.35</v>
      </c>
      <c r="G395" s="32">
        <v>6</v>
      </c>
      <c r="H395" s="544">
        <v>2.1</v>
      </c>
      <c r="I395" s="544">
        <v>2.23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3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0"/>
      <c r="R395" s="550"/>
      <c r="S395" s="550"/>
      <c r="T395" s="551"/>
      <c r="U395" s="34"/>
      <c r="V395" s="34"/>
      <c r="W395" s="35" t="s">
        <v>69</v>
      </c>
      <c r="X395" s="545">
        <v>0</v>
      </c>
      <c r="Y395" s="546">
        <f t="shared" si="36"/>
        <v>0</v>
      </c>
      <c r="Z395" s="36" t="str">
        <f t="shared" si="41"/>
        <v/>
      </c>
      <c r="AA395" s="56"/>
      <c r="AB395" s="57"/>
      <c r="AC395" s="447" t="s">
        <v>608</v>
      </c>
      <c r="AG395" s="64"/>
      <c r="AJ395" s="68"/>
      <c r="AK395" s="68">
        <v>0</v>
      </c>
      <c r="BB395" s="448" t="s">
        <v>1</v>
      </c>
      <c r="BM395" s="64">
        <f t="shared" si="37"/>
        <v>0</v>
      </c>
      <c r="BN395" s="64">
        <f t="shared" si="38"/>
        <v>0</v>
      </c>
      <c r="BO395" s="64">
        <f t="shared" si="39"/>
        <v>0</v>
      </c>
      <c r="BP395" s="64">
        <f t="shared" si="40"/>
        <v>0</v>
      </c>
    </row>
    <row r="396" spans="1:68" ht="37.5" hidden="1" customHeight="1" x14ac:dyDescent="0.25">
      <c r="A396" s="54" t="s">
        <v>619</v>
      </c>
      <c r="B396" s="54" t="s">
        <v>620</v>
      </c>
      <c r="C396" s="31">
        <v>4301031361</v>
      </c>
      <c r="D396" s="552">
        <v>4607091389524</v>
      </c>
      <c r="E396" s="553"/>
      <c r="F396" s="544">
        <v>0.35</v>
      </c>
      <c r="G396" s="32">
        <v>6</v>
      </c>
      <c r="H396" s="544">
        <v>2.1</v>
      </c>
      <c r="I396" s="544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8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0"/>
      <c r="R396" s="550"/>
      <c r="S396" s="550"/>
      <c r="T396" s="551"/>
      <c r="U396" s="34"/>
      <c r="V396" s="34"/>
      <c r="W396" s="35" t="s">
        <v>69</v>
      </c>
      <c r="X396" s="545">
        <v>0</v>
      </c>
      <c r="Y396" s="546">
        <f t="shared" si="36"/>
        <v>0</v>
      </c>
      <c r="Z396" s="36" t="str">
        <f t="shared" si="41"/>
        <v/>
      </c>
      <c r="AA396" s="56"/>
      <c r="AB396" s="57"/>
      <c r="AC396" s="449" t="s">
        <v>621</v>
      </c>
      <c r="AG396" s="64"/>
      <c r="AJ396" s="68"/>
      <c r="AK396" s="68">
        <v>0</v>
      </c>
      <c r="BB396" s="450" t="s">
        <v>1</v>
      </c>
      <c r="BM396" s="64">
        <f t="shared" si="37"/>
        <v>0</v>
      </c>
      <c r="BN396" s="64">
        <f t="shared" si="38"/>
        <v>0</v>
      </c>
      <c r="BO396" s="64">
        <f t="shared" si="39"/>
        <v>0</v>
      </c>
      <c r="BP396" s="64">
        <f t="shared" si="40"/>
        <v>0</v>
      </c>
    </row>
    <row r="397" spans="1:68" ht="27" hidden="1" customHeight="1" x14ac:dyDescent="0.25">
      <c r="A397" s="54" t="s">
        <v>622</v>
      </c>
      <c r="B397" s="54" t="s">
        <v>623</v>
      </c>
      <c r="C397" s="31">
        <v>4301031364</v>
      </c>
      <c r="D397" s="552">
        <v>4680115883161</v>
      </c>
      <c r="E397" s="553"/>
      <c r="F397" s="544">
        <v>0.28000000000000003</v>
      </c>
      <c r="G397" s="32">
        <v>6</v>
      </c>
      <c r="H397" s="544">
        <v>1.68</v>
      </c>
      <c r="I397" s="54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1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0"/>
      <c r="R397" s="550"/>
      <c r="S397" s="550"/>
      <c r="T397" s="551"/>
      <c r="U397" s="34"/>
      <c r="V397" s="34"/>
      <c r="W397" s="35" t="s">
        <v>69</v>
      </c>
      <c r="X397" s="545">
        <v>0</v>
      </c>
      <c r="Y397" s="546">
        <f t="shared" si="36"/>
        <v>0</v>
      </c>
      <c r="Z397" s="36" t="str">
        <f t="shared" si="41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37"/>
        <v>0</v>
      </c>
      <c r="BN397" s="64">
        <f t="shared" si="38"/>
        <v>0</v>
      </c>
      <c r="BO397" s="64">
        <f t="shared" si="39"/>
        <v>0</v>
      </c>
      <c r="BP397" s="64">
        <f t="shared" si="40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4301031358</v>
      </c>
      <c r="D398" s="552">
        <v>4607091389531</v>
      </c>
      <c r="E398" s="553"/>
      <c r="F398" s="544">
        <v>0.35</v>
      </c>
      <c r="G398" s="32">
        <v>6</v>
      </c>
      <c r="H398" s="544">
        <v>2.1</v>
      </c>
      <c r="I398" s="54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5">
        <v>0</v>
      </c>
      <c r="Y398" s="546">
        <f t="shared" si="36"/>
        <v>0</v>
      </c>
      <c r="Z398" s="36" t="str">
        <f t="shared" si="41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37"/>
        <v>0</v>
      </c>
      <c r="BN398" s="64">
        <f t="shared" si="38"/>
        <v>0</v>
      </c>
      <c r="BO398" s="64">
        <f t="shared" si="39"/>
        <v>0</v>
      </c>
      <c r="BP398" s="64">
        <f t="shared" si="40"/>
        <v>0</v>
      </c>
    </row>
    <row r="399" spans="1:68" ht="37.5" hidden="1" customHeight="1" x14ac:dyDescent="0.25">
      <c r="A399" s="54" t="s">
        <v>628</v>
      </c>
      <c r="B399" s="54" t="s">
        <v>629</v>
      </c>
      <c r="C399" s="31">
        <v>4301031360</v>
      </c>
      <c r="D399" s="552">
        <v>4607091384345</v>
      </c>
      <c r="E399" s="553"/>
      <c r="F399" s="544">
        <v>0.35</v>
      </c>
      <c r="G399" s="32">
        <v>6</v>
      </c>
      <c r="H399" s="544">
        <v>2.1</v>
      </c>
      <c r="I399" s="54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5">
        <v>0</v>
      </c>
      <c r="Y399" s="546">
        <f t="shared" si="36"/>
        <v>0</v>
      </c>
      <c r="Z399" s="36" t="str">
        <f t="shared" si="41"/>
        <v/>
      </c>
      <c r="AA399" s="56"/>
      <c r="AB399" s="57"/>
      <c r="AC399" s="455" t="s">
        <v>624</v>
      </c>
      <c r="AG399" s="64"/>
      <c r="AJ399" s="68"/>
      <c r="AK399" s="68">
        <v>0</v>
      </c>
      <c r="BB399" s="456" t="s">
        <v>1</v>
      </c>
      <c r="BM399" s="64">
        <f t="shared" si="37"/>
        <v>0</v>
      </c>
      <c r="BN399" s="64">
        <f t="shared" si="38"/>
        <v>0</v>
      </c>
      <c r="BO399" s="64">
        <f t="shared" si="39"/>
        <v>0</v>
      </c>
      <c r="BP399" s="64">
        <f t="shared" si="40"/>
        <v>0</v>
      </c>
    </row>
    <row r="400" spans="1:68" hidden="1" x14ac:dyDescent="0.2">
      <c r="A400" s="561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62"/>
      <c r="P400" s="567" t="s">
        <v>75</v>
      </c>
      <c r="Q400" s="568"/>
      <c r="R400" s="568"/>
      <c r="S400" s="568"/>
      <c r="T400" s="568"/>
      <c r="U400" s="568"/>
      <c r="V400" s="569"/>
      <c r="W400" s="37" t="s">
        <v>76</v>
      </c>
      <c r="X400" s="547">
        <f>IFERROR(X391/H391,"0")+IFERROR(X392/H392,"0")+IFERROR(X393/H393,"0")+IFERROR(X394/H394,"0")+IFERROR(X395/H395,"0")+IFERROR(X396/H396,"0")+IFERROR(X397/H397,"0")+IFERROR(X398/H398,"0")+IFERROR(X399/H399,"0")</f>
        <v>0</v>
      </c>
      <c r="Y400" s="547">
        <f>IFERROR(Y391/H391,"0")+IFERROR(Y392/H392,"0")+IFERROR(Y393/H393,"0")+IFERROR(Y394/H394,"0")+IFERROR(Y395/H395,"0")+IFERROR(Y396/H396,"0")+IFERROR(Y397/H397,"0")+IFERROR(Y398/H398,"0")+IFERROR(Y399/H399,"0")</f>
        <v>0</v>
      </c>
      <c r="Z400" s="547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</v>
      </c>
      <c r="AA400" s="548"/>
      <c r="AB400" s="548"/>
      <c r="AC400" s="548"/>
    </row>
    <row r="401" spans="1:68" hidden="1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62"/>
      <c r="P401" s="567" t="s">
        <v>75</v>
      </c>
      <c r="Q401" s="568"/>
      <c r="R401" s="568"/>
      <c r="S401" s="568"/>
      <c r="T401" s="568"/>
      <c r="U401" s="568"/>
      <c r="V401" s="569"/>
      <c r="W401" s="37" t="s">
        <v>69</v>
      </c>
      <c r="X401" s="547">
        <f>IFERROR(SUM(X391:X399),"0")</f>
        <v>0</v>
      </c>
      <c r="Y401" s="547">
        <f>IFERROR(SUM(Y391:Y399),"0")</f>
        <v>0</v>
      </c>
      <c r="Z401" s="37"/>
      <c r="AA401" s="548"/>
      <c r="AB401" s="548"/>
      <c r="AC401" s="548"/>
    </row>
    <row r="402" spans="1:68" ht="14.25" hidden="1" customHeight="1" x14ac:dyDescent="0.25">
      <c r="A402" s="558" t="s">
        <v>77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1"/>
      <c r="AB402" s="541"/>
      <c r="AC402" s="541"/>
    </row>
    <row r="403" spans="1:68" ht="27" hidden="1" customHeight="1" x14ac:dyDescent="0.25">
      <c r="A403" s="54" t="s">
        <v>630</v>
      </c>
      <c r="B403" s="54" t="s">
        <v>631</v>
      </c>
      <c r="C403" s="31">
        <v>4301051284</v>
      </c>
      <c r="D403" s="552">
        <v>4607091384352</v>
      </c>
      <c r="E403" s="553"/>
      <c r="F403" s="544">
        <v>0.6</v>
      </c>
      <c r="G403" s="32">
        <v>4</v>
      </c>
      <c r="H403" s="544">
        <v>2.4</v>
      </c>
      <c r="I403" s="544">
        <v>2.6259999999999999</v>
      </c>
      <c r="J403" s="32">
        <v>132</v>
      </c>
      <c r="K403" s="32" t="s">
        <v>109</v>
      </c>
      <c r="L403" s="32"/>
      <c r="M403" s="33" t="s">
        <v>80</v>
      </c>
      <c r="N403" s="33"/>
      <c r="O403" s="32">
        <v>45</v>
      </c>
      <c r="P403" s="67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0"/>
      <c r="R403" s="550"/>
      <c r="S403" s="550"/>
      <c r="T403" s="551"/>
      <c r="U403" s="34"/>
      <c r="V403" s="34"/>
      <c r="W403" s="35" t="s">
        <v>69</v>
      </c>
      <c r="X403" s="545">
        <v>0</v>
      </c>
      <c r="Y403" s="546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632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633</v>
      </c>
      <c r="B404" s="54" t="s">
        <v>634</v>
      </c>
      <c r="C404" s="31">
        <v>4301051431</v>
      </c>
      <c r="D404" s="552">
        <v>4607091389654</v>
      </c>
      <c r="E404" s="553"/>
      <c r="F404" s="544">
        <v>0.33</v>
      </c>
      <c r="G404" s="32">
        <v>6</v>
      </c>
      <c r="H404" s="544">
        <v>1.98</v>
      </c>
      <c r="I404" s="544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61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0"/>
      <c r="R404" s="550"/>
      <c r="S404" s="550"/>
      <c r="T404" s="551"/>
      <c r="U404" s="34"/>
      <c r="V404" s="34"/>
      <c r="W404" s="35" t="s">
        <v>69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61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62"/>
      <c r="P405" s="567" t="s">
        <v>75</v>
      </c>
      <c r="Q405" s="568"/>
      <c r="R405" s="568"/>
      <c r="S405" s="568"/>
      <c r="T405" s="568"/>
      <c r="U405" s="568"/>
      <c r="V405" s="569"/>
      <c r="W405" s="37" t="s">
        <v>76</v>
      </c>
      <c r="X405" s="547">
        <f>IFERROR(X403/H403,"0")+IFERROR(X404/H404,"0")</f>
        <v>0</v>
      </c>
      <c r="Y405" s="547">
        <f>IFERROR(Y403/H403,"0")+IFERROR(Y404/H404,"0")</f>
        <v>0</v>
      </c>
      <c r="Z405" s="547">
        <f>IFERROR(IF(Z403="",0,Z403),"0")+IFERROR(IF(Z404="",0,Z404),"0")</f>
        <v>0</v>
      </c>
      <c r="AA405" s="548"/>
      <c r="AB405" s="548"/>
      <c r="AC405" s="548"/>
    </row>
    <row r="406" spans="1:68" hidden="1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62"/>
      <c r="P406" s="567" t="s">
        <v>75</v>
      </c>
      <c r="Q406" s="568"/>
      <c r="R406" s="568"/>
      <c r="S406" s="568"/>
      <c r="T406" s="568"/>
      <c r="U406" s="568"/>
      <c r="V406" s="569"/>
      <c r="W406" s="37" t="s">
        <v>69</v>
      </c>
      <c r="X406" s="547">
        <f>IFERROR(SUM(X403:X404),"0")</f>
        <v>0</v>
      </c>
      <c r="Y406" s="547">
        <f>IFERROR(SUM(Y403:Y404),"0")</f>
        <v>0</v>
      </c>
      <c r="Z406" s="37"/>
      <c r="AA406" s="548"/>
      <c r="AB406" s="548"/>
      <c r="AC406" s="548"/>
    </row>
    <row r="407" spans="1:68" ht="16.5" hidden="1" customHeight="1" x14ac:dyDescent="0.25">
      <c r="A407" s="560" t="s">
        <v>636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0"/>
      <c r="AB407" s="540"/>
      <c r="AC407" s="540"/>
    </row>
    <row r="408" spans="1:68" ht="14.25" hidden="1" customHeight="1" x14ac:dyDescent="0.25">
      <c r="A408" s="558" t="s">
        <v>135</v>
      </c>
      <c r="B408" s="559"/>
      <c r="C408" s="559"/>
      <c r="D408" s="559"/>
      <c r="E408" s="559"/>
      <c r="F408" s="559"/>
      <c r="G408" s="559"/>
      <c r="H408" s="559"/>
      <c r="I408" s="559"/>
      <c r="J408" s="559"/>
      <c r="K408" s="559"/>
      <c r="L408" s="559"/>
      <c r="M408" s="559"/>
      <c r="N408" s="559"/>
      <c r="O408" s="559"/>
      <c r="P408" s="559"/>
      <c r="Q408" s="559"/>
      <c r="R408" s="559"/>
      <c r="S408" s="559"/>
      <c r="T408" s="559"/>
      <c r="U408" s="559"/>
      <c r="V408" s="559"/>
      <c r="W408" s="559"/>
      <c r="X408" s="559"/>
      <c r="Y408" s="559"/>
      <c r="Z408" s="559"/>
      <c r="AA408" s="541"/>
      <c r="AB408" s="541"/>
      <c r="AC408" s="541"/>
    </row>
    <row r="409" spans="1:68" ht="27" hidden="1" customHeight="1" x14ac:dyDescent="0.25">
      <c r="A409" s="54" t="s">
        <v>637</v>
      </c>
      <c r="B409" s="54" t="s">
        <v>638</v>
      </c>
      <c r="C409" s="31">
        <v>4301020319</v>
      </c>
      <c r="D409" s="552">
        <v>4680115885240</v>
      </c>
      <c r="E409" s="553"/>
      <c r="F409" s="544">
        <v>0.35</v>
      </c>
      <c r="G409" s="32">
        <v>6</v>
      </c>
      <c r="H409" s="544">
        <v>2.1</v>
      </c>
      <c r="I409" s="544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639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1"/>
      <c r="B410" s="559"/>
      <c r="C410" s="559"/>
      <c r="D410" s="559"/>
      <c r="E410" s="559"/>
      <c r="F410" s="559"/>
      <c r="G410" s="559"/>
      <c r="H410" s="559"/>
      <c r="I410" s="559"/>
      <c r="J410" s="559"/>
      <c r="K410" s="559"/>
      <c r="L410" s="559"/>
      <c r="M410" s="559"/>
      <c r="N410" s="559"/>
      <c r="O410" s="562"/>
      <c r="P410" s="567" t="s">
        <v>75</v>
      </c>
      <c r="Q410" s="568"/>
      <c r="R410" s="568"/>
      <c r="S410" s="568"/>
      <c r="T410" s="568"/>
      <c r="U410" s="568"/>
      <c r="V410" s="569"/>
      <c r="W410" s="37" t="s">
        <v>76</v>
      </c>
      <c r="X410" s="547">
        <f>IFERROR(X409/H409,"0")</f>
        <v>0</v>
      </c>
      <c r="Y410" s="547">
        <f>IFERROR(Y409/H409,"0")</f>
        <v>0</v>
      </c>
      <c r="Z410" s="547">
        <f>IFERROR(IF(Z409="",0,Z409),"0")</f>
        <v>0</v>
      </c>
      <c r="AA410" s="548"/>
      <c r="AB410" s="548"/>
      <c r="AC410" s="548"/>
    </row>
    <row r="411" spans="1:68" hidden="1" x14ac:dyDescent="0.2">
      <c r="A411" s="559"/>
      <c r="B411" s="559"/>
      <c r="C411" s="559"/>
      <c r="D411" s="559"/>
      <c r="E411" s="559"/>
      <c r="F411" s="559"/>
      <c r="G411" s="559"/>
      <c r="H411" s="559"/>
      <c r="I411" s="559"/>
      <c r="J411" s="559"/>
      <c r="K411" s="559"/>
      <c r="L411" s="559"/>
      <c r="M411" s="559"/>
      <c r="N411" s="559"/>
      <c r="O411" s="562"/>
      <c r="P411" s="567" t="s">
        <v>75</v>
      </c>
      <c r="Q411" s="568"/>
      <c r="R411" s="568"/>
      <c r="S411" s="568"/>
      <c r="T411" s="568"/>
      <c r="U411" s="568"/>
      <c r="V411" s="569"/>
      <c r="W411" s="37" t="s">
        <v>69</v>
      </c>
      <c r="X411" s="547">
        <f>IFERROR(SUM(X409:X409),"0")</f>
        <v>0</v>
      </c>
      <c r="Y411" s="547">
        <f>IFERROR(SUM(Y409:Y409),"0")</f>
        <v>0</v>
      </c>
      <c r="Z411" s="37"/>
      <c r="AA411" s="548"/>
      <c r="AB411" s="548"/>
      <c r="AC411" s="548"/>
    </row>
    <row r="412" spans="1:68" ht="14.25" hidden="1" customHeight="1" x14ac:dyDescent="0.25">
      <c r="A412" s="558" t="s">
        <v>64</v>
      </c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59"/>
      <c r="P412" s="559"/>
      <c r="Q412" s="559"/>
      <c r="R412" s="559"/>
      <c r="S412" s="559"/>
      <c r="T412" s="559"/>
      <c r="U412" s="559"/>
      <c r="V412" s="559"/>
      <c r="W412" s="559"/>
      <c r="X412" s="559"/>
      <c r="Y412" s="559"/>
      <c r="Z412" s="559"/>
      <c r="AA412" s="541"/>
      <c r="AB412" s="541"/>
      <c r="AC412" s="541"/>
    </row>
    <row r="413" spans="1:68" ht="27" hidden="1" customHeight="1" x14ac:dyDescent="0.25">
      <c r="A413" s="54" t="s">
        <v>640</v>
      </c>
      <c r="B413" s="54" t="s">
        <v>641</v>
      </c>
      <c r="C413" s="31">
        <v>4301031403</v>
      </c>
      <c r="D413" s="552">
        <v>4680115886094</v>
      </c>
      <c r="E413" s="553"/>
      <c r="F413" s="544">
        <v>0.9</v>
      </c>
      <c r="G413" s="32">
        <v>6</v>
      </c>
      <c r="H413" s="544">
        <v>5.4</v>
      </c>
      <c r="I413" s="544">
        <v>5.59</v>
      </c>
      <c r="J413" s="32">
        <v>132</v>
      </c>
      <c r="K413" s="32" t="s">
        <v>109</v>
      </c>
      <c r="L413" s="32"/>
      <c r="M413" s="33" t="s">
        <v>104</v>
      </c>
      <c r="N413" s="33"/>
      <c r="O413" s="32">
        <v>50</v>
      </c>
      <c r="P413" s="64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0"/>
      <c r="R413" s="550"/>
      <c r="S413" s="550"/>
      <c r="T413" s="551"/>
      <c r="U413" s="34"/>
      <c r="V413" s="34"/>
      <c r="W413" s="35" t="s">
        <v>69</v>
      </c>
      <c r="X413" s="545">
        <v>0</v>
      </c>
      <c r="Y413" s="546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642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643</v>
      </c>
      <c r="B414" s="54" t="s">
        <v>644</v>
      </c>
      <c r="C414" s="31">
        <v>4301031363</v>
      </c>
      <c r="D414" s="552">
        <v>4607091389425</v>
      </c>
      <c r="E414" s="553"/>
      <c r="F414" s="544">
        <v>0.35</v>
      </c>
      <c r="G414" s="32">
        <v>6</v>
      </c>
      <c r="H414" s="544">
        <v>2.1</v>
      </c>
      <c r="I414" s="544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565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0"/>
      <c r="R414" s="550"/>
      <c r="S414" s="550"/>
      <c r="T414" s="551"/>
      <c r="U414" s="34"/>
      <c r="V414" s="34"/>
      <c r="W414" s="35" t="s">
        <v>69</v>
      </c>
      <c r="X414" s="545">
        <v>0</v>
      </c>
      <c r="Y414" s="546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645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4301031373</v>
      </c>
      <c r="D415" s="552">
        <v>4680115880771</v>
      </c>
      <c r="E415" s="553"/>
      <c r="F415" s="544">
        <v>0.28000000000000003</v>
      </c>
      <c r="G415" s="32">
        <v>6</v>
      </c>
      <c r="H415" s="544">
        <v>1.68</v>
      </c>
      <c r="I415" s="544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4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0"/>
      <c r="R415" s="550"/>
      <c r="S415" s="550"/>
      <c r="T415" s="551"/>
      <c r="U415" s="34"/>
      <c r="V415" s="34"/>
      <c r="W415" s="35" t="s">
        <v>69</v>
      </c>
      <c r="X415" s="545">
        <v>0</v>
      </c>
      <c r="Y415" s="546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4301031359</v>
      </c>
      <c r="D416" s="552">
        <v>4607091389500</v>
      </c>
      <c r="E416" s="553"/>
      <c r="F416" s="544">
        <v>0.35</v>
      </c>
      <c r="G416" s="32">
        <v>6</v>
      </c>
      <c r="H416" s="544">
        <v>2.1</v>
      </c>
      <c r="I416" s="544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0"/>
      <c r="R416" s="550"/>
      <c r="S416" s="550"/>
      <c r="T416" s="551"/>
      <c r="U416" s="34"/>
      <c r="V416" s="34"/>
      <c r="W416" s="35" t="s">
        <v>69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648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61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62"/>
      <c r="P417" s="567" t="s">
        <v>75</v>
      </c>
      <c r="Q417" s="568"/>
      <c r="R417" s="568"/>
      <c r="S417" s="568"/>
      <c r="T417" s="568"/>
      <c r="U417" s="568"/>
      <c r="V417" s="569"/>
      <c r="W417" s="37" t="s">
        <v>76</v>
      </c>
      <c r="X417" s="547">
        <f>IFERROR(X413/H413,"0")+IFERROR(X414/H414,"0")+IFERROR(X415/H415,"0")+IFERROR(X416/H416,"0")</f>
        <v>0</v>
      </c>
      <c r="Y417" s="547">
        <f>IFERROR(Y413/H413,"0")+IFERROR(Y414/H414,"0")+IFERROR(Y415/H415,"0")+IFERROR(Y416/H416,"0")</f>
        <v>0</v>
      </c>
      <c r="Z417" s="547">
        <f>IFERROR(IF(Z413="",0,Z413),"0")+IFERROR(IF(Z414="",0,Z414),"0")+IFERROR(IF(Z415="",0,Z415),"0")+IFERROR(IF(Z416="",0,Z416),"0")</f>
        <v>0</v>
      </c>
      <c r="AA417" s="548"/>
      <c r="AB417" s="548"/>
      <c r="AC417" s="548"/>
    </row>
    <row r="418" spans="1:68" hidden="1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62"/>
      <c r="P418" s="567" t="s">
        <v>75</v>
      </c>
      <c r="Q418" s="568"/>
      <c r="R418" s="568"/>
      <c r="S418" s="568"/>
      <c r="T418" s="568"/>
      <c r="U418" s="568"/>
      <c r="V418" s="569"/>
      <c r="W418" s="37" t="s">
        <v>69</v>
      </c>
      <c r="X418" s="547">
        <f>IFERROR(SUM(X413:X416),"0")</f>
        <v>0</v>
      </c>
      <c r="Y418" s="547">
        <f>IFERROR(SUM(Y413:Y416),"0")</f>
        <v>0</v>
      </c>
      <c r="Z418" s="37"/>
      <c r="AA418" s="548"/>
      <c r="AB418" s="548"/>
      <c r="AC418" s="548"/>
    </row>
    <row r="419" spans="1:68" ht="16.5" hidden="1" customHeight="1" x14ac:dyDescent="0.25">
      <c r="A419" s="560" t="s">
        <v>651</v>
      </c>
      <c r="B419" s="559"/>
      <c r="C419" s="559"/>
      <c r="D419" s="559"/>
      <c r="E419" s="559"/>
      <c r="F419" s="559"/>
      <c r="G419" s="559"/>
      <c r="H419" s="559"/>
      <c r="I419" s="559"/>
      <c r="J419" s="559"/>
      <c r="K419" s="559"/>
      <c r="L419" s="559"/>
      <c r="M419" s="559"/>
      <c r="N419" s="559"/>
      <c r="O419" s="559"/>
      <c r="P419" s="559"/>
      <c r="Q419" s="559"/>
      <c r="R419" s="559"/>
      <c r="S419" s="559"/>
      <c r="T419" s="559"/>
      <c r="U419" s="559"/>
      <c r="V419" s="559"/>
      <c r="W419" s="559"/>
      <c r="X419" s="559"/>
      <c r="Y419" s="559"/>
      <c r="Z419" s="559"/>
      <c r="AA419" s="540"/>
      <c r="AB419" s="540"/>
      <c r="AC419" s="540"/>
    </row>
    <row r="420" spans="1:68" ht="14.25" hidden="1" customHeight="1" x14ac:dyDescent="0.25">
      <c r="A420" s="558" t="s">
        <v>64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1"/>
      <c r="AB420" s="541"/>
      <c r="AC420" s="541"/>
    </row>
    <row r="421" spans="1:68" ht="27" hidden="1" customHeight="1" x14ac:dyDescent="0.25">
      <c r="A421" s="54" t="s">
        <v>652</v>
      </c>
      <c r="B421" s="54" t="s">
        <v>653</v>
      </c>
      <c r="C421" s="31">
        <v>4301031347</v>
      </c>
      <c r="D421" s="552">
        <v>4680115885110</v>
      </c>
      <c r="E421" s="553"/>
      <c r="F421" s="544">
        <v>0.2</v>
      </c>
      <c r="G421" s="32">
        <v>6</v>
      </c>
      <c r="H421" s="544">
        <v>1.2</v>
      </c>
      <c r="I421" s="544">
        <v>2.1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50</v>
      </c>
      <c r="P421" s="838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0"/>
      <c r="R421" s="550"/>
      <c r="S421" s="550"/>
      <c r="T421" s="551"/>
      <c r="U421" s="34"/>
      <c r="V421" s="34"/>
      <c r="W421" s="35" t="s">
        <v>69</v>
      </c>
      <c r="X421" s="545">
        <v>0</v>
      </c>
      <c r="Y421" s="54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654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idden="1" x14ac:dyDescent="0.2">
      <c r="A422" s="561"/>
      <c r="B422" s="559"/>
      <c r="C422" s="559"/>
      <c r="D422" s="559"/>
      <c r="E422" s="559"/>
      <c r="F422" s="559"/>
      <c r="G422" s="559"/>
      <c r="H422" s="559"/>
      <c r="I422" s="559"/>
      <c r="J422" s="559"/>
      <c r="K422" s="559"/>
      <c r="L422" s="559"/>
      <c r="M422" s="559"/>
      <c r="N422" s="559"/>
      <c r="O422" s="562"/>
      <c r="P422" s="567" t="s">
        <v>75</v>
      </c>
      <c r="Q422" s="568"/>
      <c r="R422" s="568"/>
      <c r="S422" s="568"/>
      <c r="T422" s="568"/>
      <c r="U422" s="568"/>
      <c r="V422" s="569"/>
      <c r="W422" s="37" t="s">
        <v>76</v>
      </c>
      <c r="X422" s="547">
        <f>IFERROR(X421/H421,"0")</f>
        <v>0</v>
      </c>
      <c r="Y422" s="547">
        <f>IFERROR(Y421/H421,"0")</f>
        <v>0</v>
      </c>
      <c r="Z422" s="547">
        <f>IFERROR(IF(Z421="",0,Z421),"0")</f>
        <v>0</v>
      </c>
      <c r="AA422" s="548"/>
      <c r="AB422" s="548"/>
      <c r="AC422" s="548"/>
    </row>
    <row r="423" spans="1:68" hidden="1" x14ac:dyDescent="0.2">
      <c r="A423" s="559"/>
      <c r="B423" s="559"/>
      <c r="C423" s="559"/>
      <c r="D423" s="559"/>
      <c r="E423" s="559"/>
      <c r="F423" s="559"/>
      <c r="G423" s="559"/>
      <c r="H423" s="559"/>
      <c r="I423" s="559"/>
      <c r="J423" s="559"/>
      <c r="K423" s="559"/>
      <c r="L423" s="559"/>
      <c r="M423" s="559"/>
      <c r="N423" s="559"/>
      <c r="O423" s="562"/>
      <c r="P423" s="567" t="s">
        <v>75</v>
      </c>
      <c r="Q423" s="568"/>
      <c r="R423" s="568"/>
      <c r="S423" s="568"/>
      <c r="T423" s="568"/>
      <c r="U423" s="568"/>
      <c r="V423" s="569"/>
      <c r="W423" s="37" t="s">
        <v>69</v>
      </c>
      <c r="X423" s="547">
        <f>IFERROR(SUM(X421:X421),"0")</f>
        <v>0</v>
      </c>
      <c r="Y423" s="547">
        <f>IFERROR(SUM(Y421:Y421),"0")</f>
        <v>0</v>
      </c>
      <c r="Z423" s="37"/>
      <c r="AA423" s="548"/>
      <c r="AB423" s="548"/>
      <c r="AC423" s="548"/>
    </row>
    <row r="424" spans="1:68" ht="27.75" hidden="1" customHeight="1" x14ac:dyDescent="0.2">
      <c r="A424" s="647" t="s">
        <v>655</v>
      </c>
      <c r="B424" s="648"/>
      <c r="C424" s="648"/>
      <c r="D424" s="648"/>
      <c r="E424" s="648"/>
      <c r="F424" s="648"/>
      <c r="G424" s="648"/>
      <c r="H424" s="648"/>
      <c r="I424" s="648"/>
      <c r="J424" s="648"/>
      <c r="K424" s="648"/>
      <c r="L424" s="648"/>
      <c r="M424" s="648"/>
      <c r="N424" s="648"/>
      <c r="O424" s="648"/>
      <c r="P424" s="648"/>
      <c r="Q424" s="648"/>
      <c r="R424" s="648"/>
      <c r="S424" s="648"/>
      <c r="T424" s="648"/>
      <c r="U424" s="648"/>
      <c r="V424" s="648"/>
      <c r="W424" s="648"/>
      <c r="X424" s="648"/>
      <c r="Y424" s="648"/>
      <c r="Z424" s="648"/>
      <c r="AA424" s="48"/>
      <c r="AB424" s="48"/>
      <c r="AC424" s="48"/>
    </row>
    <row r="425" spans="1:68" ht="16.5" hidden="1" customHeight="1" x14ac:dyDescent="0.25">
      <c r="A425" s="560" t="s">
        <v>655</v>
      </c>
      <c r="B425" s="559"/>
      <c r="C425" s="559"/>
      <c r="D425" s="559"/>
      <c r="E425" s="559"/>
      <c r="F425" s="559"/>
      <c r="G425" s="559"/>
      <c r="H425" s="559"/>
      <c r="I425" s="559"/>
      <c r="J425" s="559"/>
      <c r="K425" s="559"/>
      <c r="L425" s="559"/>
      <c r="M425" s="559"/>
      <c r="N425" s="559"/>
      <c r="O425" s="559"/>
      <c r="P425" s="559"/>
      <c r="Q425" s="559"/>
      <c r="R425" s="559"/>
      <c r="S425" s="559"/>
      <c r="T425" s="559"/>
      <c r="U425" s="559"/>
      <c r="V425" s="559"/>
      <c r="W425" s="559"/>
      <c r="X425" s="559"/>
      <c r="Y425" s="559"/>
      <c r="Z425" s="559"/>
      <c r="AA425" s="540"/>
      <c r="AB425" s="540"/>
      <c r="AC425" s="540"/>
    </row>
    <row r="426" spans="1:68" ht="14.25" hidden="1" customHeight="1" x14ac:dyDescent="0.25">
      <c r="A426" s="558" t="s">
        <v>99</v>
      </c>
      <c r="B426" s="559"/>
      <c r="C426" s="559"/>
      <c r="D426" s="559"/>
      <c r="E426" s="559"/>
      <c r="F426" s="559"/>
      <c r="G426" s="559"/>
      <c r="H426" s="559"/>
      <c r="I426" s="559"/>
      <c r="J426" s="559"/>
      <c r="K426" s="559"/>
      <c r="L426" s="559"/>
      <c r="M426" s="559"/>
      <c r="N426" s="559"/>
      <c r="O426" s="559"/>
      <c r="P426" s="559"/>
      <c r="Q426" s="559"/>
      <c r="R426" s="559"/>
      <c r="S426" s="559"/>
      <c r="T426" s="559"/>
      <c r="U426" s="559"/>
      <c r="V426" s="559"/>
      <c r="W426" s="559"/>
      <c r="X426" s="559"/>
      <c r="Y426" s="559"/>
      <c r="Z426" s="559"/>
      <c r="AA426" s="541"/>
      <c r="AB426" s="541"/>
      <c r="AC426" s="541"/>
    </row>
    <row r="427" spans="1:68" ht="27" hidden="1" customHeight="1" x14ac:dyDescent="0.25">
      <c r="A427" s="54" t="s">
        <v>656</v>
      </c>
      <c r="B427" s="54" t="s">
        <v>657</v>
      </c>
      <c r="C427" s="31">
        <v>4301011795</v>
      </c>
      <c r="D427" s="552">
        <v>4607091389067</v>
      </c>
      <c r="E427" s="553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102</v>
      </c>
      <c r="L427" s="32" t="s">
        <v>103</v>
      </c>
      <c r="M427" s="33" t="s">
        <v>104</v>
      </c>
      <c r="N427" s="33"/>
      <c r="O427" s="32">
        <v>60</v>
      </c>
      <c r="P427" s="5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0"/>
      <c r="R427" s="550"/>
      <c r="S427" s="550"/>
      <c r="T427" s="551"/>
      <c r="U427" s="34"/>
      <c r="V427" s="34"/>
      <c r="W427" s="35" t="s">
        <v>69</v>
      </c>
      <c r="X427" s="545">
        <v>0</v>
      </c>
      <c r="Y427" s="546">
        <f t="shared" ref="Y427:Y438" si="42">IFERROR(IF(X427="",0,CEILING((X427/$H427),1)*$H427),"")</f>
        <v>0</v>
      </c>
      <c r="Z427" s="36" t="str">
        <f t="shared" ref="Z427:Z433" si="43">IFERROR(IF(Y427=0,"",ROUNDUP(Y427/H427,0)*0.01196),"")</f>
        <v/>
      </c>
      <c r="AA427" s="56"/>
      <c r="AB427" s="57"/>
      <c r="AC427" s="473" t="s">
        <v>105</v>
      </c>
      <c r="AG427" s="64"/>
      <c r="AJ427" s="68" t="s">
        <v>106</v>
      </c>
      <c r="AK427" s="68">
        <v>42.24</v>
      </c>
      <c r="BB427" s="474" t="s">
        <v>1</v>
      </c>
      <c r="BM427" s="64">
        <f t="shared" ref="BM427:BM438" si="44">IFERROR(X427*I427/H427,"0")</f>
        <v>0</v>
      </c>
      <c r="BN427" s="64">
        <f t="shared" ref="BN427:BN438" si="45">IFERROR(Y427*I427/H427,"0")</f>
        <v>0</v>
      </c>
      <c r="BO427" s="64">
        <f t="shared" ref="BO427:BO438" si="46">IFERROR(1/J427*(X427/H427),"0")</f>
        <v>0</v>
      </c>
      <c r="BP427" s="64">
        <f t="shared" ref="BP427:BP438" si="47">IFERROR(1/J427*(Y427/H427),"0")</f>
        <v>0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4301012210</v>
      </c>
      <c r="D428" s="552">
        <v>4607091383522</v>
      </c>
      <c r="E428" s="553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657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5">
        <v>0</v>
      </c>
      <c r="Y428" s="546">
        <f t="shared" si="42"/>
        <v>0</v>
      </c>
      <c r="Z428" s="36" t="str">
        <f t="shared" si="43"/>
        <v/>
      </c>
      <c r="AA428" s="56"/>
      <c r="AB428" s="57"/>
      <c r="AC428" s="475" t="s">
        <v>660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658</v>
      </c>
      <c r="B429" s="54" t="s">
        <v>661</v>
      </c>
      <c r="C429" s="31">
        <v>4301012145</v>
      </c>
      <c r="D429" s="552">
        <v>4607091383522</v>
      </c>
      <c r="E429" s="553"/>
      <c r="F429" s="544">
        <v>0.88</v>
      </c>
      <c r="G429" s="32">
        <v>6</v>
      </c>
      <c r="H429" s="544">
        <v>5.28</v>
      </c>
      <c r="I429" s="544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56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0"/>
      <c r="R429" s="550"/>
      <c r="S429" s="550"/>
      <c r="T429" s="551"/>
      <c r="U429" s="34"/>
      <c r="V429" s="34"/>
      <c r="W429" s="35" t="s">
        <v>69</v>
      </c>
      <c r="X429" s="545">
        <v>0</v>
      </c>
      <c r="Y429" s="546">
        <f t="shared" si="42"/>
        <v>0</v>
      </c>
      <c r="Z429" s="36" t="str">
        <f t="shared" si="43"/>
        <v/>
      </c>
      <c r="AA429" s="56"/>
      <c r="AB429" s="57"/>
      <c r="AC429" s="477" t="s">
        <v>660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662</v>
      </c>
      <c r="B430" s="54" t="s">
        <v>663</v>
      </c>
      <c r="C430" s="31">
        <v>4301011961</v>
      </c>
      <c r="D430" s="552">
        <v>4680115885271</v>
      </c>
      <c r="E430" s="553"/>
      <c r="F430" s="544">
        <v>0.88</v>
      </c>
      <c r="G430" s="32">
        <v>6</v>
      </c>
      <c r="H430" s="544">
        <v>5.28</v>
      </c>
      <c r="I430" s="544">
        <v>5.63</v>
      </c>
      <c r="J430" s="32">
        <v>104</v>
      </c>
      <c r="K430" s="32" t="s">
        <v>102</v>
      </c>
      <c r="L430" s="32" t="s">
        <v>103</v>
      </c>
      <c r="M430" s="33" t="s">
        <v>104</v>
      </c>
      <c r="N430" s="33"/>
      <c r="O430" s="32">
        <v>60</v>
      </c>
      <c r="P430" s="81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5">
        <v>0</v>
      </c>
      <c r="Y430" s="546">
        <f t="shared" si="42"/>
        <v>0</v>
      </c>
      <c r="Z430" s="36" t="str">
        <f t="shared" si="43"/>
        <v/>
      </c>
      <c r="AA430" s="56"/>
      <c r="AB430" s="57"/>
      <c r="AC430" s="479" t="s">
        <v>664</v>
      </c>
      <c r="AG430" s="64"/>
      <c r="AJ430" s="68" t="s">
        <v>106</v>
      </c>
      <c r="AK430" s="68">
        <v>42.24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4301011376</v>
      </c>
      <c r="D431" s="552">
        <v>4680115885226</v>
      </c>
      <c r="E431" s="553"/>
      <c r="F431" s="544">
        <v>0.88</v>
      </c>
      <c r="G431" s="32">
        <v>6</v>
      </c>
      <c r="H431" s="544">
        <v>5.28</v>
      </c>
      <c r="I431" s="544">
        <v>5.63</v>
      </c>
      <c r="J431" s="32">
        <v>104</v>
      </c>
      <c r="K431" s="32" t="s">
        <v>102</v>
      </c>
      <c r="L431" s="32" t="s">
        <v>103</v>
      </c>
      <c r="M431" s="33" t="s">
        <v>80</v>
      </c>
      <c r="N431" s="33"/>
      <c r="O431" s="32">
        <v>60</v>
      </c>
      <c r="P431" s="69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5">
        <v>150</v>
      </c>
      <c r="Y431" s="546">
        <f t="shared" si="42"/>
        <v>153.12</v>
      </c>
      <c r="Z431" s="36">
        <f t="shared" si="43"/>
        <v>0.34683999999999998</v>
      </c>
      <c r="AA431" s="56"/>
      <c r="AB431" s="57"/>
      <c r="AC431" s="481" t="s">
        <v>667</v>
      </c>
      <c r="AG431" s="64"/>
      <c r="AJ431" s="68" t="s">
        <v>106</v>
      </c>
      <c r="AK431" s="68">
        <v>42.24</v>
      </c>
      <c r="BB431" s="482" t="s">
        <v>1</v>
      </c>
      <c r="BM431" s="64">
        <f t="shared" si="44"/>
        <v>159.94318181818181</v>
      </c>
      <c r="BN431" s="64">
        <f t="shared" si="45"/>
        <v>163.26999999999998</v>
      </c>
      <c r="BO431" s="64">
        <f t="shared" si="46"/>
        <v>0.27316433566433568</v>
      </c>
      <c r="BP431" s="64">
        <f t="shared" si="47"/>
        <v>0.27884615384615385</v>
      </c>
    </row>
    <row r="432" spans="1:68" ht="16.5" hidden="1" customHeight="1" x14ac:dyDescent="0.25">
      <c r="A432" s="54" t="s">
        <v>668</v>
      </c>
      <c r="B432" s="54" t="s">
        <v>669</v>
      </c>
      <c r="C432" s="31">
        <v>4301011774</v>
      </c>
      <c r="D432" s="552">
        <v>4680115884502</v>
      </c>
      <c r="E432" s="553"/>
      <c r="F432" s="544">
        <v>0.88</v>
      </c>
      <c r="G432" s="32">
        <v>6</v>
      </c>
      <c r="H432" s="544">
        <v>5.28</v>
      </c>
      <c r="I432" s="544">
        <v>5.63</v>
      </c>
      <c r="J432" s="32">
        <v>104</v>
      </c>
      <c r="K432" s="32" t="s">
        <v>102</v>
      </c>
      <c r="L432" s="32"/>
      <c r="M432" s="33" t="s">
        <v>104</v>
      </c>
      <c r="N432" s="33"/>
      <c r="O432" s="32">
        <v>60</v>
      </c>
      <c r="P432" s="60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5">
        <v>0</v>
      </c>
      <c r="Y432" s="546">
        <f t="shared" si="42"/>
        <v>0</v>
      </c>
      <c r="Z432" s="36" t="str">
        <f t="shared" si="43"/>
        <v/>
      </c>
      <c r="AA432" s="56"/>
      <c r="AB432" s="57"/>
      <c r="AC432" s="483" t="s">
        <v>670</v>
      </c>
      <c r="AG432" s="64"/>
      <c r="AJ432" s="68"/>
      <c r="AK432" s="68">
        <v>0</v>
      </c>
      <c r="BB432" s="484" t="s">
        <v>1</v>
      </c>
      <c r="BM432" s="64">
        <f t="shared" si="44"/>
        <v>0</v>
      </c>
      <c r="BN432" s="64">
        <f t="shared" si="45"/>
        <v>0</v>
      </c>
      <c r="BO432" s="64">
        <f t="shared" si="46"/>
        <v>0</v>
      </c>
      <c r="BP432" s="64">
        <f t="shared" si="47"/>
        <v>0</v>
      </c>
    </row>
    <row r="433" spans="1:68" ht="27" hidden="1" customHeight="1" x14ac:dyDescent="0.25">
      <c r="A433" s="54" t="s">
        <v>671</v>
      </c>
      <c r="B433" s="54" t="s">
        <v>672</v>
      </c>
      <c r="C433" s="31">
        <v>4301011771</v>
      </c>
      <c r="D433" s="552">
        <v>4607091389104</v>
      </c>
      <c r="E433" s="553"/>
      <c r="F433" s="544">
        <v>0.88</v>
      </c>
      <c r="G433" s="32">
        <v>6</v>
      </c>
      <c r="H433" s="544">
        <v>5.28</v>
      </c>
      <c r="I433" s="544">
        <v>5.63</v>
      </c>
      <c r="J433" s="32">
        <v>104</v>
      </c>
      <c r="K433" s="32" t="s">
        <v>102</v>
      </c>
      <c r="L433" s="32" t="s">
        <v>103</v>
      </c>
      <c r="M433" s="33" t="s">
        <v>104</v>
      </c>
      <c r="N433" s="33"/>
      <c r="O433" s="32">
        <v>60</v>
      </c>
      <c r="P433" s="84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0"/>
      <c r="R433" s="550"/>
      <c r="S433" s="550"/>
      <c r="T433" s="551"/>
      <c r="U433" s="34"/>
      <c r="V433" s="34"/>
      <c r="W433" s="35" t="s">
        <v>69</v>
      </c>
      <c r="X433" s="545">
        <v>0</v>
      </c>
      <c r="Y433" s="546">
        <f t="shared" si="42"/>
        <v>0</v>
      </c>
      <c r="Z433" s="36" t="str">
        <f t="shared" si="43"/>
        <v/>
      </c>
      <c r="AA433" s="56"/>
      <c r="AB433" s="57"/>
      <c r="AC433" s="485" t="s">
        <v>673</v>
      </c>
      <c r="AG433" s="64"/>
      <c r="AJ433" s="68" t="s">
        <v>106</v>
      </c>
      <c r="AK433" s="68">
        <v>42.24</v>
      </c>
      <c r="BB433" s="486" t="s">
        <v>1</v>
      </c>
      <c r="BM433" s="64">
        <f t="shared" si="44"/>
        <v>0</v>
      </c>
      <c r="BN433" s="64">
        <f t="shared" si="45"/>
        <v>0</v>
      </c>
      <c r="BO433" s="64">
        <f t="shared" si="46"/>
        <v>0</v>
      </c>
      <c r="BP433" s="64">
        <f t="shared" si="47"/>
        <v>0</v>
      </c>
    </row>
    <row r="434" spans="1:68" ht="27" hidden="1" customHeight="1" x14ac:dyDescent="0.25">
      <c r="A434" s="54" t="s">
        <v>674</v>
      </c>
      <c r="B434" s="54" t="s">
        <v>675</v>
      </c>
      <c r="C434" s="31">
        <v>4301012125</v>
      </c>
      <c r="D434" s="552">
        <v>4680115886391</v>
      </c>
      <c r="E434" s="553"/>
      <c r="F434" s="544">
        <v>0.4</v>
      </c>
      <c r="G434" s="32">
        <v>6</v>
      </c>
      <c r="H434" s="544">
        <v>2.4</v>
      </c>
      <c r="I434" s="544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4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0"/>
      <c r="R434" s="550"/>
      <c r="S434" s="550"/>
      <c r="T434" s="551"/>
      <c r="U434" s="34"/>
      <c r="V434" s="34"/>
      <c r="W434" s="35" t="s">
        <v>69</v>
      </c>
      <c r="X434" s="545">
        <v>0</v>
      </c>
      <c r="Y434" s="546">
        <f t="shared" si="42"/>
        <v>0</v>
      </c>
      <c r="Z434" s="36" t="str">
        <f>IFERROR(IF(Y434=0,"",ROUNDUP(Y434/H434,0)*0.00651),"")</f>
        <v/>
      </c>
      <c r="AA434" s="56"/>
      <c r="AB434" s="57"/>
      <c r="AC434" s="487" t="s">
        <v>105</v>
      </c>
      <c r="AG434" s="64"/>
      <c r="AJ434" s="68"/>
      <c r="AK434" s="68">
        <v>0</v>
      </c>
      <c r="BB434" s="488" t="s">
        <v>1</v>
      </c>
      <c r="BM434" s="64">
        <f t="shared" si="44"/>
        <v>0</v>
      </c>
      <c r="BN434" s="64">
        <f t="shared" si="45"/>
        <v>0</v>
      </c>
      <c r="BO434" s="64">
        <f t="shared" si="46"/>
        <v>0</v>
      </c>
      <c r="BP434" s="64">
        <f t="shared" si="47"/>
        <v>0</v>
      </c>
    </row>
    <row r="435" spans="1:68" ht="27" hidden="1" customHeight="1" x14ac:dyDescent="0.25">
      <c r="A435" s="54" t="s">
        <v>676</v>
      </c>
      <c r="B435" s="54" t="s">
        <v>677</v>
      </c>
      <c r="C435" s="31">
        <v>4301012035</v>
      </c>
      <c r="D435" s="552">
        <v>4680115880603</v>
      </c>
      <c r="E435" s="553"/>
      <c r="F435" s="544">
        <v>0.6</v>
      </c>
      <c r="G435" s="32">
        <v>8</v>
      </c>
      <c r="H435" s="544">
        <v>4.8</v>
      </c>
      <c r="I435" s="544">
        <v>6.91</v>
      </c>
      <c r="J435" s="32">
        <v>132</v>
      </c>
      <c r="K435" s="32" t="s">
        <v>109</v>
      </c>
      <c r="L435" s="32"/>
      <c r="M435" s="33" t="s">
        <v>104</v>
      </c>
      <c r="N435" s="33"/>
      <c r="O435" s="32">
        <v>60</v>
      </c>
      <c r="P435" s="8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0"/>
      <c r="R435" s="550"/>
      <c r="S435" s="550"/>
      <c r="T435" s="551"/>
      <c r="U435" s="34"/>
      <c r="V435" s="34"/>
      <c r="W435" s="35" t="s">
        <v>69</v>
      </c>
      <c r="X435" s="545">
        <v>0</v>
      </c>
      <c r="Y435" s="546">
        <f t="shared" si="42"/>
        <v>0</v>
      </c>
      <c r="Z435" s="36" t="str">
        <f>IFERROR(IF(Y435=0,"",ROUNDUP(Y435/H435,0)*0.00902),"")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4"/>
        <v>0</v>
      </c>
      <c r="BN435" s="64">
        <f t="shared" si="45"/>
        <v>0</v>
      </c>
      <c r="BO435" s="64">
        <f t="shared" si="46"/>
        <v>0</v>
      </c>
      <c r="BP435" s="64">
        <f t="shared" si="47"/>
        <v>0</v>
      </c>
    </row>
    <row r="436" spans="1:68" ht="27" hidden="1" customHeight="1" x14ac:dyDescent="0.25">
      <c r="A436" s="54" t="s">
        <v>678</v>
      </c>
      <c r="B436" s="54" t="s">
        <v>679</v>
      </c>
      <c r="C436" s="31">
        <v>4301012036</v>
      </c>
      <c r="D436" s="552">
        <v>4680115882782</v>
      </c>
      <c r="E436" s="553"/>
      <c r="F436" s="544">
        <v>0.6</v>
      </c>
      <c r="G436" s="32">
        <v>8</v>
      </c>
      <c r="H436" s="544">
        <v>4.8</v>
      </c>
      <c r="I436" s="544">
        <v>6.96</v>
      </c>
      <c r="J436" s="32">
        <v>120</v>
      </c>
      <c r="K436" s="32" t="s">
        <v>109</v>
      </c>
      <c r="L436" s="32"/>
      <c r="M436" s="33" t="s">
        <v>104</v>
      </c>
      <c r="N436" s="33"/>
      <c r="O436" s="32">
        <v>60</v>
      </c>
      <c r="P436" s="84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0"/>
      <c r="R436" s="550"/>
      <c r="S436" s="550"/>
      <c r="T436" s="551"/>
      <c r="U436" s="34"/>
      <c r="V436" s="34"/>
      <c r="W436" s="35" t="s">
        <v>69</v>
      </c>
      <c r="X436" s="545">
        <v>0</v>
      </c>
      <c r="Y436" s="546">
        <f t="shared" si="42"/>
        <v>0</v>
      </c>
      <c r="Z436" s="36" t="str">
        <f>IFERROR(IF(Y436=0,"",ROUNDUP(Y436/H436,0)*0.00937),"")</f>
        <v/>
      </c>
      <c r="AA436" s="56"/>
      <c r="AB436" s="57"/>
      <c r="AC436" s="491" t="s">
        <v>664</v>
      </c>
      <c r="AG436" s="64"/>
      <c r="AJ436" s="68"/>
      <c r="AK436" s="68">
        <v>0</v>
      </c>
      <c r="BB436" s="492" t="s">
        <v>1</v>
      </c>
      <c r="BM436" s="64">
        <f t="shared" si="44"/>
        <v>0</v>
      </c>
      <c r="BN436" s="64">
        <f t="shared" si="45"/>
        <v>0</v>
      </c>
      <c r="BO436" s="64">
        <f t="shared" si="46"/>
        <v>0</v>
      </c>
      <c r="BP436" s="64">
        <f t="shared" si="47"/>
        <v>0</v>
      </c>
    </row>
    <row r="437" spans="1:68" ht="27" hidden="1" customHeight="1" x14ac:dyDescent="0.25">
      <c r="A437" s="54" t="s">
        <v>680</v>
      </c>
      <c r="B437" s="54" t="s">
        <v>681</v>
      </c>
      <c r="C437" s="31">
        <v>4301012050</v>
      </c>
      <c r="D437" s="552">
        <v>4680115885479</v>
      </c>
      <c r="E437" s="553"/>
      <c r="F437" s="544">
        <v>0.4</v>
      </c>
      <c r="G437" s="32">
        <v>6</v>
      </c>
      <c r="H437" s="544">
        <v>2.4</v>
      </c>
      <c r="I437" s="544">
        <v>2.58</v>
      </c>
      <c r="J437" s="32">
        <v>182</v>
      </c>
      <c r="K437" s="32" t="s">
        <v>67</v>
      </c>
      <c r="L437" s="32"/>
      <c r="M437" s="33" t="s">
        <v>104</v>
      </c>
      <c r="N437" s="33"/>
      <c r="O437" s="32">
        <v>60</v>
      </c>
      <c r="P437" s="5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0"/>
      <c r="R437" s="550"/>
      <c r="S437" s="550"/>
      <c r="T437" s="551"/>
      <c r="U437" s="34"/>
      <c r="V437" s="34"/>
      <c r="W437" s="35" t="s">
        <v>69</v>
      </c>
      <c r="X437" s="545">
        <v>0</v>
      </c>
      <c r="Y437" s="546">
        <f t="shared" si="42"/>
        <v>0</v>
      </c>
      <c r="Z437" s="36" t="str">
        <f>IFERROR(IF(Y437=0,"",ROUNDUP(Y437/H437,0)*0.00651),"")</f>
        <v/>
      </c>
      <c r="AA437" s="56"/>
      <c r="AB437" s="57"/>
      <c r="AC437" s="493" t="s">
        <v>682</v>
      </c>
      <c r="AG437" s="64"/>
      <c r="AJ437" s="68"/>
      <c r="AK437" s="68">
        <v>0</v>
      </c>
      <c r="BB437" s="494" t="s">
        <v>1</v>
      </c>
      <c r="BM437" s="64">
        <f t="shared" si="44"/>
        <v>0</v>
      </c>
      <c r="BN437" s="64">
        <f t="shared" si="45"/>
        <v>0</v>
      </c>
      <c r="BO437" s="64">
        <f t="shared" si="46"/>
        <v>0</v>
      </c>
      <c r="BP437" s="64">
        <f t="shared" si="47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4301012034</v>
      </c>
      <c r="D438" s="552">
        <v>4607091389982</v>
      </c>
      <c r="E438" s="553"/>
      <c r="F438" s="544">
        <v>0.6</v>
      </c>
      <c r="G438" s="32">
        <v>8</v>
      </c>
      <c r="H438" s="544">
        <v>4.8</v>
      </c>
      <c r="I438" s="544">
        <v>6.91</v>
      </c>
      <c r="J438" s="32">
        <v>132</v>
      </c>
      <c r="K438" s="32" t="s">
        <v>109</v>
      </c>
      <c r="L438" s="32"/>
      <c r="M438" s="33" t="s">
        <v>104</v>
      </c>
      <c r="N438" s="33"/>
      <c r="O438" s="32">
        <v>60</v>
      </c>
      <c r="P438" s="71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5">
        <v>0</v>
      </c>
      <c r="Y438" s="546">
        <f t="shared" si="42"/>
        <v>0</v>
      </c>
      <c r="Z438" s="36" t="str">
        <f>IFERROR(IF(Y438=0,"",ROUNDUP(Y438/H438,0)*0.00902),"")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4"/>
        <v>0</v>
      </c>
      <c r="BN438" s="64">
        <f t="shared" si="45"/>
        <v>0</v>
      </c>
      <c r="BO438" s="64">
        <f t="shared" si="46"/>
        <v>0</v>
      </c>
      <c r="BP438" s="64">
        <f t="shared" si="47"/>
        <v>0</v>
      </c>
    </row>
    <row r="439" spans="1:68" x14ac:dyDescent="0.2">
      <c r="A439" s="561"/>
      <c r="B439" s="559"/>
      <c r="C439" s="559"/>
      <c r="D439" s="559"/>
      <c r="E439" s="559"/>
      <c r="F439" s="559"/>
      <c r="G439" s="559"/>
      <c r="H439" s="559"/>
      <c r="I439" s="559"/>
      <c r="J439" s="559"/>
      <c r="K439" s="559"/>
      <c r="L439" s="559"/>
      <c r="M439" s="559"/>
      <c r="N439" s="559"/>
      <c r="O439" s="562"/>
      <c r="P439" s="567" t="s">
        <v>75</v>
      </c>
      <c r="Q439" s="568"/>
      <c r="R439" s="568"/>
      <c r="S439" s="568"/>
      <c r="T439" s="568"/>
      <c r="U439" s="568"/>
      <c r="V439" s="569"/>
      <c r="W439" s="37" t="s">
        <v>76</v>
      </c>
      <c r="X439" s="547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28.409090909090907</v>
      </c>
      <c r="Y439" s="547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29</v>
      </c>
      <c r="Z439" s="547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0.34683999999999998</v>
      </c>
      <c r="AA439" s="548"/>
      <c r="AB439" s="548"/>
      <c r="AC439" s="548"/>
    </row>
    <row r="440" spans="1:68" x14ac:dyDescent="0.2">
      <c r="A440" s="559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62"/>
      <c r="P440" s="567" t="s">
        <v>75</v>
      </c>
      <c r="Q440" s="568"/>
      <c r="R440" s="568"/>
      <c r="S440" s="568"/>
      <c r="T440" s="568"/>
      <c r="U440" s="568"/>
      <c r="V440" s="569"/>
      <c r="W440" s="37" t="s">
        <v>69</v>
      </c>
      <c r="X440" s="547">
        <f>IFERROR(SUM(X427:X438),"0")</f>
        <v>150</v>
      </c>
      <c r="Y440" s="547">
        <f>IFERROR(SUM(Y427:Y438),"0")</f>
        <v>153.12</v>
      </c>
      <c r="Z440" s="37"/>
      <c r="AA440" s="548"/>
      <c r="AB440" s="548"/>
      <c r="AC440" s="548"/>
    </row>
    <row r="441" spans="1:68" ht="14.25" hidden="1" customHeight="1" x14ac:dyDescent="0.25">
      <c r="A441" s="558" t="s">
        <v>135</v>
      </c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59"/>
      <c r="P441" s="559"/>
      <c r="Q441" s="559"/>
      <c r="R441" s="559"/>
      <c r="S441" s="559"/>
      <c r="T441" s="559"/>
      <c r="U441" s="559"/>
      <c r="V441" s="559"/>
      <c r="W441" s="559"/>
      <c r="X441" s="559"/>
      <c r="Y441" s="559"/>
      <c r="Z441" s="559"/>
      <c r="AA441" s="541"/>
      <c r="AB441" s="541"/>
      <c r="AC441" s="541"/>
    </row>
    <row r="442" spans="1:68" ht="16.5" customHeight="1" x14ac:dyDescent="0.25">
      <c r="A442" s="54" t="s">
        <v>685</v>
      </c>
      <c r="B442" s="54" t="s">
        <v>686</v>
      </c>
      <c r="C442" s="31">
        <v>4301020334</v>
      </c>
      <c r="D442" s="552">
        <v>4607091388930</v>
      </c>
      <c r="E442" s="553"/>
      <c r="F442" s="544">
        <v>0.88</v>
      </c>
      <c r="G442" s="32">
        <v>6</v>
      </c>
      <c r="H442" s="544">
        <v>5.28</v>
      </c>
      <c r="I442" s="544">
        <v>5.63</v>
      </c>
      <c r="J442" s="32">
        <v>104</v>
      </c>
      <c r="K442" s="32" t="s">
        <v>102</v>
      </c>
      <c r="L442" s="32" t="s">
        <v>103</v>
      </c>
      <c r="M442" s="33" t="s">
        <v>80</v>
      </c>
      <c r="N442" s="33"/>
      <c r="O442" s="32">
        <v>70</v>
      </c>
      <c r="P442" s="67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0"/>
      <c r="R442" s="550"/>
      <c r="S442" s="550"/>
      <c r="T442" s="551"/>
      <c r="U442" s="34"/>
      <c r="V442" s="34"/>
      <c r="W442" s="35" t="s">
        <v>69</v>
      </c>
      <c r="X442" s="545">
        <v>350</v>
      </c>
      <c r="Y442" s="546">
        <f>IFERROR(IF(X442="",0,CEILING((X442/$H442),1)*$H442),"")</f>
        <v>353.76</v>
      </c>
      <c r="Z442" s="36">
        <f>IFERROR(IF(Y442=0,"",ROUNDUP(Y442/H442,0)*0.01196),"")</f>
        <v>0.80132000000000003</v>
      </c>
      <c r="AA442" s="56"/>
      <c r="AB442" s="57"/>
      <c r="AC442" s="497" t="s">
        <v>687</v>
      </c>
      <c r="AG442" s="64"/>
      <c r="AJ442" s="68" t="s">
        <v>106</v>
      </c>
      <c r="AK442" s="68">
        <v>42.24</v>
      </c>
      <c r="BB442" s="498" t="s">
        <v>1</v>
      </c>
      <c r="BM442" s="64">
        <f>IFERROR(X442*I442/H442,"0")</f>
        <v>373.20075757575756</v>
      </c>
      <c r="BN442" s="64">
        <f>IFERROR(Y442*I442/H442,"0")</f>
        <v>377.21</v>
      </c>
      <c r="BO442" s="64">
        <f>IFERROR(1/J442*(X442/H442),"0")</f>
        <v>0.63738344988344986</v>
      </c>
      <c r="BP442" s="64">
        <f>IFERROR(1/J442*(Y442/H442),"0")</f>
        <v>0.64423076923076927</v>
      </c>
    </row>
    <row r="443" spans="1:68" ht="16.5" hidden="1" customHeight="1" x14ac:dyDescent="0.25">
      <c r="A443" s="54" t="s">
        <v>688</v>
      </c>
      <c r="B443" s="54" t="s">
        <v>689</v>
      </c>
      <c r="C443" s="31">
        <v>4301020384</v>
      </c>
      <c r="D443" s="552">
        <v>4680115886407</v>
      </c>
      <c r="E443" s="553"/>
      <c r="F443" s="544">
        <v>0.4</v>
      </c>
      <c r="G443" s="32">
        <v>6</v>
      </c>
      <c r="H443" s="544">
        <v>2.4</v>
      </c>
      <c r="I443" s="544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0"/>
      <c r="R443" s="550"/>
      <c r="S443" s="550"/>
      <c r="T443" s="551"/>
      <c r="U443" s="34"/>
      <c r="V443" s="34"/>
      <c r="W443" s="35" t="s">
        <v>69</v>
      </c>
      <c r="X443" s="545">
        <v>0</v>
      </c>
      <c r="Y443" s="546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687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690</v>
      </c>
      <c r="B444" s="54" t="s">
        <v>691</v>
      </c>
      <c r="C444" s="31">
        <v>4301020385</v>
      </c>
      <c r="D444" s="552">
        <v>4680115880054</v>
      </c>
      <c r="E444" s="553"/>
      <c r="F444" s="544">
        <v>0.6</v>
      </c>
      <c r="G444" s="32">
        <v>8</v>
      </c>
      <c r="H444" s="544">
        <v>4.8</v>
      </c>
      <c r="I444" s="544">
        <v>6.91</v>
      </c>
      <c r="J444" s="32">
        <v>132</v>
      </c>
      <c r="K444" s="32" t="s">
        <v>109</v>
      </c>
      <c r="L444" s="32" t="s">
        <v>112</v>
      </c>
      <c r="M444" s="33" t="s">
        <v>104</v>
      </c>
      <c r="N444" s="33"/>
      <c r="O444" s="32">
        <v>70</v>
      </c>
      <c r="P444" s="8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5">
        <v>0</v>
      </c>
      <c r="Y444" s="546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687</v>
      </c>
      <c r="AG444" s="64"/>
      <c r="AJ444" s="68" t="s">
        <v>106</v>
      </c>
      <c r="AK444" s="68">
        <v>57.6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61"/>
      <c r="B445" s="559"/>
      <c r="C445" s="559"/>
      <c r="D445" s="559"/>
      <c r="E445" s="559"/>
      <c r="F445" s="559"/>
      <c r="G445" s="559"/>
      <c r="H445" s="559"/>
      <c r="I445" s="559"/>
      <c r="J445" s="559"/>
      <c r="K445" s="559"/>
      <c r="L445" s="559"/>
      <c r="M445" s="559"/>
      <c r="N445" s="559"/>
      <c r="O445" s="562"/>
      <c r="P445" s="567" t="s">
        <v>75</v>
      </c>
      <c r="Q445" s="568"/>
      <c r="R445" s="568"/>
      <c r="S445" s="568"/>
      <c r="T445" s="568"/>
      <c r="U445" s="568"/>
      <c r="V445" s="569"/>
      <c r="W445" s="37" t="s">
        <v>76</v>
      </c>
      <c r="X445" s="547">
        <f>IFERROR(X442/H442,"0")+IFERROR(X443/H443,"0")+IFERROR(X444/H444,"0")</f>
        <v>66.287878787878782</v>
      </c>
      <c r="Y445" s="547">
        <f>IFERROR(Y442/H442,"0")+IFERROR(Y443/H443,"0")+IFERROR(Y444/H444,"0")</f>
        <v>67</v>
      </c>
      <c r="Z445" s="547">
        <f>IFERROR(IF(Z442="",0,Z442),"0")+IFERROR(IF(Z443="",0,Z443),"0")+IFERROR(IF(Z444="",0,Z444),"0")</f>
        <v>0.80132000000000003</v>
      </c>
      <c r="AA445" s="548"/>
      <c r="AB445" s="548"/>
      <c r="AC445" s="548"/>
    </row>
    <row r="446" spans="1:68" x14ac:dyDescent="0.2">
      <c r="A446" s="559"/>
      <c r="B446" s="559"/>
      <c r="C446" s="559"/>
      <c r="D446" s="559"/>
      <c r="E446" s="559"/>
      <c r="F446" s="559"/>
      <c r="G446" s="559"/>
      <c r="H446" s="559"/>
      <c r="I446" s="559"/>
      <c r="J446" s="559"/>
      <c r="K446" s="559"/>
      <c r="L446" s="559"/>
      <c r="M446" s="559"/>
      <c r="N446" s="559"/>
      <c r="O446" s="562"/>
      <c r="P446" s="567" t="s">
        <v>75</v>
      </c>
      <c r="Q446" s="568"/>
      <c r="R446" s="568"/>
      <c r="S446" s="568"/>
      <c r="T446" s="568"/>
      <c r="U446" s="568"/>
      <c r="V446" s="569"/>
      <c r="W446" s="37" t="s">
        <v>69</v>
      </c>
      <c r="X446" s="547">
        <f>IFERROR(SUM(X442:X444),"0")</f>
        <v>350</v>
      </c>
      <c r="Y446" s="547">
        <f>IFERROR(SUM(Y442:Y444),"0")</f>
        <v>353.76</v>
      </c>
      <c r="Z446" s="37"/>
      <c r="AA446" s="548"/>
      <c r="AB446" s="548"/>
      <c r="AC446" s="548"/>
    </row>
    <row r="447" spans="1:68" ht="14.25" hidden="1" customHeight="1" x14ac:dyDescent="0.25">
      <c r="A447" s="558" t="s">
        <v>64</v>
      </c>
      <c r="B447" s="559"/>
      <c r="C447" s="559"/>
      <c r="D447" s="559"/>
      <c r="E447" s="559"/>
      <c r="F447" s="559"/>
      <c r="G447" s="559"/>
      <c r="H447" s="559"/>
      <c r="I447" s="559"/>
      <c r="J447" s="559"/>
      <c r="K447" s="559"/>
      <c r="L447" s="559"/>
      <c r="M447" s="559"/>
      <c r="N447" s="559"/>
      <c r="O447" s="559"/>
      <c r="P447" s="559"/>
      <c r="Q447" s="559"/>
      <c r="R447" s="559"/>
      <c r="S447" s="559"/>
      <c r="T447" s="559"/>
      <c r="U447" s="559"/>
      <c r="V447" s="559"/>
      <c r="W447" s="559"/>
      <c r="X447" s="559"/>
      <c r="Y447" s="559"/>
      <c r="Z447" s="559"/>
      <c r="AA447" s="541"/>
      <c r="AB447" s="541"/>
      <c r="AC447" s="541"/>
    </row>
    <row r="448" spans="1:68" ht="27" customHeight="1" x14ac:dyDescent="0.25">
      <c r="A448" s="54" t="s">
        <v>692</v>
      </c>
      <c r="B448" s="54" t="s">
        <v>693</v>
      </c>
      <c r="C448" s="31">
        <v>4301031349</v>
      </c>
      <c r="D448" s="552">
        <v>4680115883116</v>
      </c>
      <c r="E448" s="553"/>
      <c r="F448" s="544">
        <v>0.88</v>
      </c>
      <c r="G448" s="32">
        <v>6</v>
      </c>
      <c r="H448" s="544">
        <v>5.28</v>
      </c>
      <c r="I448" s="544">
        <v>5.63</v>
      </c>
      <c r="J448" s="32">
        <v>104</v>
      </c>
      <c r="K448" s="32" t="s">
        <v>102</v>
      </c>
      <c r="L448" s="32" t="s">
        <v>103</v>
      </c>
      <c r="M448" s="33" t="s">
        <v>104</v>
      </c>
      <c r="N448" s="33"/>
      <c r="O448" s="32">
        <v>70</v>
      </c>
      <c r="P448" s="74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0"/>
      <c r="R448" s="550"/>
      <c r="S448" s="550"/>
      <c r="T448" s="551"/>
      <c r="U448" s="34"/>
      <c r="V448" s="34"/>
      <c r="W448" s="35" t="s">
        <v>69</v>
      </c>
      <c r="X448" s="545">
        <v>100</v>
      </c>
      <c r="Y448" s="546">
        <f t="shared" ref="Y448:Y453" si="48">IFERROR(IF(X448="",0,CEILING((X448/$H448),1)*$H448),"")</f>
        <v>100.32000000000001</v>
      </c>
      <c r="Z448" s="36">
        <f>IFERROR(IF(Y448=0,"",ROUNDUP(Y448/H448,0)*0.01196),"")</f>
        <v>0.22724</v>
      </c>
      <c r="AA448" s="56"/>
      <c r="AB448" s="57"/>
      <c r="AC448" s="503" t="s">
        <v>694</v>
      </c>
      <c r="AG448" s="64"/>
      <c r="AJ448" s="68" t="s">
        <v>106</v>
      </c>
      <c r="AK448" s="68">
        <v>42.24</v>
      </c>
      <c r="BB448" s="504" t="s">
        <v>1</v>
      </c>
      <c r="BM448" s="64">
        <f t="shared" ref="BM448:BM453" si="49">IFERROR(X448*I448/H448,"0")</f>
        <v>106.62878787878788</v>
      </c>
      <c r="BN448" s="64">
        <f t="shared" ref="BN448:BN453" si="50">IFERROR(Y448*I448/H448,"0")</f>
        <v>106.97</v>
      </c>
      <c r="BO448" s="64">
        <f t="shared" ref="BO448:BO453" si="51">IFERROR(1/J448*(X448/H448),"0")</f>
        <v>0.18210955710955709</v>
      </c>
      <c r="BP448" s="64">
        <f t="shared" ref="BP448:BP453" si="52">IFERROR(1/J448*(Y448/H448),"0")</f>
        <v>0.18269230769230771</v>
      </c>
    </row>
    <row r="449" spans="1:68" ht="27" hidden="1" customHeight="1" x14ac:dyDescent="0.25">
      <c r="A449" s="54" t="s">
        <v>695</v>
      </c>
      <c r="B449" s="54" t="s">
        <v>696</v>
      </c>
      <c r="C449" s="31">
        <v>4301031350</v>
      </c>
      <c r="D449" s="552">
        <v>4680115883093</v>
      </c>
      <c r="E449" s="553"/>
      <c r="F449" s="544">
        <v>0.88</v>
      </c>
      <c r="G449" s="32">
        <v>6</v>
      </c>
      <c r="H449" s="544">
        <v>5.28</v>
      </c>
      <c r="I449" s="544">
        <v>5.63</v>
      </c>
      <c r="J449" s="32">
        <v>104</v>
      </c>
      <c r="K449" s="32" t="s">
        <v>102</v>
      </c>
      <c r="L449" s="32" t="s">
        <v>103</v>
      </c>
      <c r="M449" s="33" t="s">
        <v>68</v>
      </c>
      <c r="N449" s="33"/>
      <c r="O449" s="32">
        <v>70</v>
      </c>
      <c r="P449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0"/>
      <c r="R449" s="550"/>
      <c r="S449" s="550"/>
      <c r="T449" s="551"/>
      <c r="U449" s="34"/>
      <c r="V449" s="34"/>
      <c r="W449" s="35" t="s">
        <v>69</v>
      </c>
      <c r="X449" s="545">
        <v>0</v>
      </c>
      <c r="Y449" s="546">
        <f t="shared" si="48"/>
        <v>0</v>
      </c>
      <c r="Z449" s="36" t="str">
        <f>IFERROR(IF(Y449=0,"",ROUNDUP(Y449/H449,0)*0.01196),"")</f>
        <v/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si="49"/>
        <v>0</v>
      </c>
      <c r="BN449" s="64">
        <f t="shared" si="50"/>
        <v>0</v>
      </c>
      <c r="BO449" s="64">
        <f t="shared" si="51"/>
        <v>0</v>
      </c>
      <c r="BP449" s="64">
        <f t="shared" si="52"/>
        <v>0</v>
      </c>
    </row>
    <row r="450" spans="1:68" ht="27" customHeight="1" x14ac:dyDescent="0.25">
      <c r="A450" s="54" t="s">
        <v>698</v>
      </c>
      <c r="B450" s="54" t="s">
        <v>699</v>
      </c>
      <c r="C450" s="31">
        <v>4301031353</v>
      </c>
      <c r="D450" s="552">
        <v>4680115883109</v>
      </c>
      <c r="E450" s="553"/>
      <c r="F450" s="544">
        <v>0.88</v>
      </c>
      <c r="G450" s="32">
        <v>6</v>
      </c>
      <c r="H450" s="544">
        <v>5.28</v>
      </c>
      <c r="I450" s="544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0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0"/>
      <c r="R450" s="550"/>
      <c r="S450" s="550"/>
      <c r="T450" s="551"/>
      <c r="U450" s="34"/>
      <c r="V450" s="34"/>
      <c r="W450" s="35" t="s">
        <v>69</v>
      </c>
      <c r="X450" s="545">
        <v>200</v>
      </c>
      <c r="Y450" s="546">
        <f t="shared" si="48"/>
        <v>200.64000000000001</v>
      </c>
      <c r="Z450" s="36">
        <f>IFERROR(IF(Y450=0,"",ROUNDUP(Y450/H450,0)*0.01196),"")</f>
        <v>0.45448</v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49"/>
        <v>213.25757575757575</v>
      </c>
      <c r="BN450" s="64">
        <f t="shared" si="50"/>
        <v>213.94</v>
      </c>
      <c r="BO450" s="64">
        <f t="shared" si="51"/>
        <v>0.36421911421911418</v>
      </c>
      <c r="BP450" s="64">
        <f t="shared" si="52"/>
        <v>0.36538461538461542</v>
      </c>
    </row>
    <row r="451" spans="1:68" ht="27" hidden="1" customHeight="1" x14ac:dyDescent="0.25">
      <c r="A451" s="54" t="s">
        <v>701</v>
      </c>
      <c r="B451" s="54" t="s">
        <v>702</v>
      </c>
      <c r="C451" s="31">
        <v>4301031419</v>
      </c>
      <c r="D451" s="552">
        <v>4680115882072</v>
      </c>
      <c r="E451" s="553"/>
      <c r="F451" s="544">
        <v>0.6</v>
      </c>
      <c r="G451" s="32">
        <v>8</v>
      </c>
      <c r="H451" s="544">
        <v>4.8</v>
      </c>
      <c r="I451" s="544">
        <v>6.91</v>
      </c>
      <c r="J451" s="32">
        <v>132</v>
      </c>
      <c r="K451" s="32" t="s">
        <v>109</v>
      </c>
      <c r="L451" s="32"/>
      <c r="M451" s="33" t="s">
        <v>104</v>
      </c>
      <c r="N451" s="33"/>
      <c r="O451" s="32">
        <v>70</v>
      </c>
      <c r="P451" s="73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5">
        <v>0</v>
      </c>
      <c r="Y451" s="546">
        <f t="shared" si="48"/>
        <v>0</v>
      </c>
      <c r="Z451" s="36" t="str">
        <f>IFERROR(IF(Y451=0,"",ROUNDUP(Y451/H451,0)*0.00902),"")</f>
        <v/>
      </c>
      <c r="AA451" s="56"/>
      <c r="AB451" s="57"/>
      <c r="AC451" s="509" t="s">
        <v>694</v>
      </c>
      <c r="AG451" s="64"/>
      <c r="AJ451" s="68"/>
      <c r="AK451" s="68">
        <v>0</v>
      </c>
      <c r="BB451" s="510" t="s">
        <v>1</v>
      </c>
      <c r="BM451" s="64">
        <f t="shared" si="49"/>
        <v>0</v>
      </c>
      <c r="BN451" s="64">
        <f t="shared" si="50"/>
        <v>0</v>
      </c>
      <c r="BO451" s="64">
        <f t="shared" si="51"/>
        <v>0</v>
      </c>
      <c r="BP451" s="64">
        <f t="shared" si="52"/>
        <v>0</v>
      </c>
    </row>
    <row r="452" spans="1:68" ht="27" hidden="1" customHeight="1" x14ac:dyDescent="0.25">
      <c r="A452" s="54" t="s">
        <v>703</v>
      </c>
      <c r="B452" s="54" t="s">
        <v>704</v>
      </c>
      <c r="C452" s="31">
        <v>4301031418</v>
      </c>
      <c r="D452" s="552">
        <v>4680115882102</v>
      </c>
      <c r="E452" s="553"/>
      <c r="F452" s="544">
        <v>0.6</v>
      </c>
      <c r="G452" s="32">
        <v>8</v>
      </c>
      <c r="H452" s="544">
        <v>4.8</v>
      </c>
      <c r="I452" s="544">
        <v>6.67</v>
      </c>
      <c r="J452" s="32">
        <v>132</v>
      </c>
      <c r="K452" s="32" t="s">
        <v>109</v>
      </c>
      <c r="L452" s="32"/>
      <c r="M452" s="33" t="s">
        <v>68</v>
      </c>
      <c r="N452" s="33"/>
      <c r="O452" s="32">
        <v>70</v>
      </c>
      <c r="P452" s="60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0"/>
      <c r="R452" s="550"/>
      <c r="S452" s="550"/>
      <c r="T452" s="551"/>
      <c r="U452" s="34"/>
      <c r="V452" s="34"/>
      <c r="W452" s="35" t="s">
        <v>69</v>
      </c>
      <c r="X452" s="545">
        <v>0</v>
      </c>
      <c r="Y452" s="546">
        <f t="shared" si="48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49"/>
        <v>0</v>
      </c>
      <c r="BN452" s="64">
        <f t="shared" si="50"/>
        <v>0</v>
      </c>
      <c r="BO452" s="64">
        <f t="shared" si="51"/>
        <v>0</v>
      </c>
      <c r="BP452" s="64">
        <f t="shared" si="52"/>
        <v>0</v>
      </c>
    </row>
    <row r="453" spans="1:68" ht="27" hidden="1" customHeight="1" x14ac:dyDescent="0.25">
      <c r="A453" s="54" t="s">
        <v>705</v>
      </c>
      <c r="B453" s="54" t="s">
        <v>706</v>
      </c>
      <c r="C453" s="31">
        <v>4301031417</v>
      </c>
      <c r="D453" s="552">
        <v>4680115882096</v>
      </c>
      <c r="E453" s="553"/>
      <c r="F453" s="544">
        <v>0.6</v>
      </c>
      <c r="G453" s="32">
        <v>8</v>
      </c>
      <c r="H453" s="544">
        <v>4.8</v>
      </c>
      <c r="I453" s="544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6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0"/>
      <c r="R453" s="550"/>
      <c r="S453" s="550"/>
      <c r="T453" s="551"/>
      <c r="U453" s="34"/>
      <c r="V453" s="34"/>
      <c r="W453" s="35" t="s">
        <v>69</v>
      </c>
      <c r="X453" s="545">
        <v>0</v>
      </c>
      <c r="Y453" s="546">
        <f t="shared" si="48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49"/>
        <v>0</v>
      </c>
      <c r="BN453" s="64">
        <f t="shared" si="50"/>
        <v>0</v>
      </c>
      <c r="BO453" s="64">
        <f t="shared" si="51"/>
        <v>0</v>
      </c>
      <c r="BP453" s="64">
        <f t="shared" si="52"/>
        <v>0</v>
      </c>
    </row>
    <row r="454" spans="1:68" x14ac:dyDescent="0.2">
      <c r="A454" s="561"/>
      <c r="B454" s="559"/>
      <c r="C454" s="559"/>
      <c r="D454" s="559"/>
      <c r="E454" s="559"/>
      <c r="F454" s="559"/>
      <c r="G454" s="559"/>
      <c r="H454" s="559"/>
      <c r="I454" s="559"/>
      <c r="J454" s="559"/>
      <c r="K454" s="559"/>
      <c r="L454" s="559"/>
      <c r="M454" s="559"/>
      <c r="N454" s="559"/>
      <c r="O454" s="562"/>
      <c r="P454" s="567" t="s">
        <v>75</v>
      </c>
      <c r="Q454" s="568"/>
      <c r="R454" s="568"/>
      <c r="S454" s="568"/>
      <c r="T454" s="568"/>
      <c r="U454" s="568"/>
      <c r="V454" s="569"/>
      <c r="W454" s="37" t="s">
        <v>76</v>
      </c>
      <c r="X454" s="547">
        <f>IFERROR(X448/H448,"0")+IFERROR(X449/H449,"0")+IFERROR(X450/H450,"0")+IFERROR(X451/H451,"0")+IFERROR(X452/H452,"0")+IFERROR(X453/H453,"0")</f>
        <v>56.818181818181813</v>
      </c>
      <c r="Y454" s="547">
        <f>IFERROR(Y448/H448,"0")+IFERROR(Y449/H449,"0")+IFERROR(Y450/H450,"0")+IFERROR(Y451/H451,"0")+IFERROR(Y452/H452,"0")+IFERROR(Y453/H453,"0")</f>
        <v>57</v>
      </c>
      <c r="Z454" s="547">
        <f>IFERROR(IF(Z448="",0,Z448),"0")+IFERROR(IF(Z449="",0,Z449),"0")+IFERROR(IF(Z450="",0,Z450),"0")+IFERROR(IF(Z451="",0,Z451),"0")+IFERROR(IF(Z452="",0,Z452),"0")+IFERROR(IF(Z453="",0,Z453),"0")</f>
        <v>0.68171999999999999</v>
      </c>
      <c r="AA454" s="548"/>
      <c r="AB454" s="548"/>
      <c r="AC454" s="548"/>
    </row>
    <row r="455" spans="1:68" x14ac:dyDescent="0.2">
      <c r="A455" s="559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62"/>
      <c r="P455" s="567" t="s">
        <v>75</v>
      </c>
      <c r="Q455" s="568"/>
      <c r="R455" s="568"/>
      <c r="S455" s="568"/>
      <c r="T455" s="568"/>
      <c r="U455" s="568"/>
      <c r="V455" s="569"/>
      <c r="W455" s="37" t="s">
        <v>69</v>
      </c>
      <c r="X455" s="547">
        <f>IFERROR(SUM(X448:X453),"0")</f>
        <v>300</v>
      </c>
      <c r="Y455" s="547">
        <f>IFERROR(SUM(Y448:Y453),"0")</f>
        <v>300.96000000000004</v>
      </c>
      <c r="Z455" s="37"/>
      <c r="AA455" s="548"/>
      <c r="AB455" s="548"/>
      <c r="AC455" s="548"/>
    </row>
    <row r="456" spans="1:68" ht="27.75" hidden="1" customHeight="1" x14ac:dyDescent="0.2">
      <c r="A456" s="647" t="s">
        <v>707</v>
      </c>
      <c r="B456" s="648"/>
      <c r="C456" s="648"/>
      <c r="D456" s="648"/>
      <c r="E456" s="648"/>
      <c r="F456" s="648"/>
      <c r="G456" s="648"/>
      <c r="H456" s="648"/>
      <c r="I456" s="648"/>
      <c r="J456" s="648"/>
      <c r="K456" s="648"/>
      <c r="L456" s="648"/>
      <c r="M456" s="648"/>
      <c r="N456" s="648"/>
      <c r="O456" s="648"/>
      <c r="P456" s="648"/>
      <c r="Q456" s="648"/>
      <c r="R456" s="648"/>
      <c r="S456" s="648"/>
      <c r="T456" s="648"/>
      <c r="U456" s="648"/>
      <c r="V456" s="648"/>
      <c r="W456" s="648"/>
      <c r="X456" s="648"/>
      <c r="Y456" s="648"/>
      <c r="Z456" s="648"/>
      <c r="AA456" s="48"/>
      <c r="AB456" s="48"/>
      <c r="AC456" s="48"/>
    </row>
    <row r="457" spans="1:68" ht="16.5" hidden="1" customHeight="1" x14ac:dyDescent="0.25">
      <c r="A457" s="560" t="s">
        <v>707</v>
      </c>
      <c r="B457" s="559"/>
      <c r="C457" s="559"/>
      <c r="D457" s="559"/>
      <c r="E457" s="559"/>
      <c r="F457" s="559"/>
      <c r="G457" s="559"/>
      <c r="H457" s="559"/>
      <c r="I457" s="559"/>
      <c r="J457" s="559"/>
      <c r="K457" s="559"/>
      <c r="L457" s="559"/>
      <c r="M457" s="559"/>
      <c r="N457" s="559"/>
      <c r="O457" s="559"/>
      <c r="P457" s="559"/>
      <c r="Q457" s="559"/>
      <c r="R457" s="559"/>
      <c r="S457" s="559"/>
      <c r="T457" s="559"/>
      <c r="U457" s="559"/>
      <c r="V457" s="559"/>
      <c r="W457" s="559"/>
      <c r="X457" s="559"/>
      <c r="Y457" s="559"/>
      <c r="Z457" s="559"/>
      <c r="AA457" s="540"/>
      <c r="AB457" s="540"/>
      <c r="AC457" s="540"/>
    </row>
    <row r="458" spans="1:68" ht="14.25" hidden="1" customHeight="1" x14ac:dyDescent="0.25">
      <c r="A458" s="558" t="s">
        <v>99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1"/>
      <c r="AB458" s="541"/>
      <c r="AC458" s="541"/>
    </row>
    <row r="459" spans="1:68" ht="27" hidden="1" customHeight="1" x14ac:dyDescent="0.25">
      <c r="A459" s="54" t="s">
        <v>708</v>
      </c>
      <c r="B459" s="54" t="s">
        <v>709</v>
      </c>
      <c r="C459" s="31">
        <v>4301011763</v>
      </c>
      <c r="D459" s="552">
        <v>4640242181011</v>
      </c>
      <c r="E459" s="553"/>
      <c r="F459" s="544">
        <v>1.35</v>
      </c>
      <c r="G459" s="32">
        <v>8</v>
      </c>
      <c r="H459" s="544">
        <v>10.8</v>
      </c>
      <c r="I459" s="544">
        <v>11.21</v>
      </c>
      <c r="J459" s="32">
        <v>64</v>
      </c>
      <c r="K459" s="32" t="s">
        <v>102</v>
      </c>
      <c r="L459" s="32"/>
      <c r="M459" s="33" t="s">
        <v>80</v>
      </c>
      <c r="N459" s="33"/>
      <c r="O459" s="32">
        <v>55</v>
      </c>
      <c r="P459" s="84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5">
        <v>0</v>
      </c>
      <c r="Y459" s="546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15" t="s">
        <v>710</v>
      </c>
      <c r="AG459" s="64"/>
      <c r="AJ459" s="68"/>
      <c r="AK459" s="68">
        <v>0</v>
      </c>
      <c r="BB459" s="51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711</v>
      </c>
      <c r="B460" s="54" t="s">
        <v>712</v>
      </c>
      <c r="C460" s="31">
        <v>4301011585</v>
      </c>
      <c r="D460" s="552">
        <v>4640242180441</v>
      </c>
      <c r="E460" s="553"/>
      <c r="F460" s="544">
        <v>1.5</v>
      </c>
      <c r="G460" s="32">
        <v>8</v>
      </c>
      <c r="H460" s="544">
        <v>12</v>
      </c>
      <c r="I460" s="544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9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714</v>
      </c>
      <c r="B461" s="54" t="s">
        <v>715</v>
      </c>
      <c r="C461" s="31">
        <v>4301011584</v>
      </c>
      <c r="D461" s="552">
        <v>4640242180564</v>
      </c>
      <c r="E461" s="553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102</v>
      </c>
      <c r="L461" s="32"/>
      <c r="M461" s="33" t="s">
        <v>104</v>
      </c>
      <c r="N461" s="33"/>
      <c r="O461" s="32">
        <v>50</v>
      </c>
      <c r="P461" s="785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717</v>
      </c>
      <c r="B462" s="54" t="s">
        <v>718</v>
      </c>
      <c r="C462" s="31">
        <v>4301011764</v>
      </c>
      <c r="D462" s="552">
        <v>4640242181189</v>
      </c>
      <c r="E462" s="553"/>
      <c r="F462" s="544">
        <v>0.4</v>
      </c>
      <c r="G462" s="32">
        <v>10</v>
      </c>
      <c r="H462" s="544">
        <v>4</v>
      </c>
      <c r="I462" s="544">
        <v>4.1900000000000004</v>
      </c>
      <c r="J462" s="32">
        <v>132</v>
      </c>
      <c r="K462" s="32" t="s">
        <v>109</v>
      </c>
      <c r="L462" s="32"/>
      <c r="M462" s="33" t="s">
        <v>80</v>
      </c>
      <c r="N462" s="33"/>
      <c r="O462" s="32">
        <v>55</v>
      </c>
      <c r="P462" s="79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21" t="s">
        <v>710</v>
      </c>
      <c r="AG462" s="64"/>
      <c r="AJ462" s="68"/>
      <c r="AK462" s="68">
        <v>0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61"/>
      <c r="B463" s="559"/>
      <c r="C463" s="559"/>
      <c r="D463" s="559"/>
      <c r="E463" s="559"/>
      <c r="F463" s="559"/>
      <c r="G463" s="559"/>
      <c r="H463" s="559"/>
      <c r="I463" s="559"/>
      <c r="J463" s="559"/>
      <c r="K463" s="559"/>
      <c r="L463" s="559"/>
      <c r="M463" s="559"/>
      <c r="N463" s="559"/>
      <c r="O463" s="562"/>
      <c r="P463" s="567" t="s">
        <v>75</v>
      </c>
      <c r="Q463" s="568"/>
      <c r="R463" s="568"/>
      <c r="S463" s="568"/>
      <c r="T463" s="568"/>
      <c r="U463" s="568"/>
      <c r="V463" s="569"/>
      <c r="W463" s="37" t="s">
        <v>76</v>
      </c>
      <c r="X463" s="547">
        <f>IFERROR(X459/H459,"0")+IFERROR(X460/H460,"0")+IFERROR(X461/H461,"0")+IFERROR(X462/H462,"0")</f>
        <v>0</v>
      </c>
      <c r="Y463" s="547">
        <f>IFERROR(Y459/H459,"0")+IFERROR(Y460/H460,"0")+IFERROR(Y461/H461,"0")+IFERROR(Y462/H462,"0")</f>
        <v>0</v>
      </c>
      <c r="Z463" s="547">
        <f>IFERROR(IF(Z459="",0,Z459),"0")+IFERROR(IF(Z460="",0,Z460),"0")+IFERROR(IF(Z461="",0,Z461),"0")+IFERROR(IF(Z462="",0,Z462),"0")</f>
        <v>0</v>
      </c>
      <c r="AA463" s="548"/>
      <c r="AB463" s="548"/>
      <c r="AC463" s="548"/>
    </row>
    <row r="464" spans="1:68" hidden="1" x14ac:dyDescent="0.2">
      <c r="A464" s="559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62"/>
      <c r="P464" s="567" t="s">
        <v>75</v>
      </c>
      <c r="Q464" s="568"/>
      <c r="R464" s="568"/>
      <c r="S464" s="568"/>
      <c r="T464" s="568"/>
      <c r="U464" s="568"/>
      <c r="V464" s="569"/>
      <c r="W464" s="37" t="s">
        <v>69</v>
      </c>
      <c r="X464" s="547">
        <f>IFERROR(SUM(X459:X462),"0")</f>
        <v>0</v>
      </c>
      <c r="Y464" s="547">
        <f>IFERROR(SUM(Y459:Y462),"0")</f>
        <v>0</v>
      </c>
      <c r="Z464" s="37"/>
      <c r="AA464" s="548"/>
      <c r="AB464" s="548"/>
      <c r="AC464" s="548"/>
    </row>
    <row r="465" spans="1:68" ht="14.25" hidden="1" customHeight="1" x14ac:dyDescent="0.25">
      <c r="A465" s="558" t="s">
        <v>135</v>
      </c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59"/>
      <c r="P465" s="559"/>
      <c r="Q465" s="559"/>
      <c r="R465" s="559"/>
      <c r="S465" s="559"/>
      <c r="T465" s="559"/>
      <c r="U465" s="559"/>
      <c r="V465" s="559"/>
      <c r="W465" s="559"/>
      <c r="X465" s="559"/>
      <c r="Y465" s="559"/>
      <c r="Z465" s="559"/>
      <c r="AA465" s="541"/>
      <c r="AB465" s="541"/>
      <c r="AC465" s="541"/>
    </row>
    <row r="466" spans="1:68" ht="27" hidden="1" customHeight="1" x14ac:dyDescent="0.25">
      <c r="A466" s="54" t="s">
        <v>719</v>
      </c>
      <c r="B466" s="54" t="s">
        <v>720</v>
      </c>
      <c r="C466" s="31">
        <v>4301020400</v>
      </c>
      <c r="D466" s="552">
        <v>4640242180519</v>
      </c>
      <c r="E466" s="553"/>
      <c r="F466" s="544">
        <v>1.5</v>
      </c>
      <c r="G466" s="32">
        <v>8</v>
      </c>
      <c r="H466" s="544">
        <v>12</v>
      </c>
      <c r="I466" s="544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39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5">
        <v>0</v>
      </c>
      <c r="Y466" s="54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721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722</v>
      </c>
      <c r="B467" s="54" t="s">
        <v>723</v>
      </c>
      <c r="C467" s="31">
        <v>4301020260</v>
      </c>
      <c r="D467" s="552">
        <v>4640242180526</v>
      </c>
      <c r="E467" s="553"/>
      <c r="F467" s="544">
        <v>1.8</v>
      </c>
      <c r="G467" s="32">
        <v>6</v>
      </c>
      <c r="H467" s="544">
        <v>10.8</v>
      </c>
      <c r="I467" s="544">
        <v>11.21</v>
      </c>
      <c r="J467" s="32">
        <v>64</v>
      </c>
      <c r="K467" s="32" t="s">
        <v>102</v>
      </c>
      <c r="L467" s="32"/>
      <c r="M467" s="33" t="s">
        <v>104</v>
      </c>
      <c r="N467" s="33"/>
      <c r="O467" s="32">
        <v>50</v>
      </c>
      <c r="P467" s="67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61"/>
      <c r="B468" s="559"/>
      <c r="C468" s="559"/>
      <c r="D468" s="559"/>
      <c r="E468" s="559"/>
      <c r="F468" s="559"/>
      <c r="G468" s="559"/>
      <c r="H468" s="559"/>
      <c r="I468" s="559"/>
      <c r="J468" s="559"/>
      <c r="K468" s="559"/>
      <c r="L468" s="559"/>
      <c r="M468" s="559"/>
      <c r="N468" s="559"/>
      <c r="O468" s="562"/>
      <c r="P468" s="567" t="s">
        <v>75</v>
      </c>
      <c r="Q468" s="568"/>
      <c r="R468" s="568"/>
      <c r="S468" s="568"/>
      <c r="T468" s="568"/>
      <c r="U468" s="568"/>
      <c r="V468" s="569"/>
      <c r="W468" s="37" t="s">
        <v>76</v>
      </c>
      <c r="X468" s="547">
        <f>IFERROR(X466/H466,"0")+IFERROR(X467/H467,"0")</f>
        <v>0</v>
      </c>
      <c r="Y468" s="547">
        <f>IFERROR(Y466/H466,"0")+IFERROR(Y467/H467,"0")</f>
        <v>0</v>
      </c>
      <c r="Z468" s="547">
        <f>IFERROR(IF(Z466="",0,Z466),"0")+IFERROR(IF(Z467="",0,Z467),"0")</f>
        <v>0</v>
      </c>
      <c r="AA468" s="548"/>
      <c r="AB468" s="548"/>
      <c r="AC468" s="548"/>
    </row>
    <row r="469" spans="1:68" hidden="1" x14ac:dyDescent="0.2">
      <c r="A469" s="559"/>
      <c r="B469" s="559"/>
      <c r="C469" s="559"/>
      <c r="D469" s="559"/>
      <c r="E469" s="559"/>
      <c r="F469" s="559"/>
      <c r="G469" s="559"/>
      <c r="H469" s="559"/>
      <c r="I469" s="559"/>
      <c r="J469" s="559"/>
      <c r="K469" s="559"/>
      <c r="L469" s="559"/>
      <c r="M469" s="559"/>
      <c r="N469" s="559"/>
      <c r="O469" s="562"/>
      <c r="P469" s="567" t="s">
        <v>75</v>
      </c>
      <c r="Q469" s="568"/>
      <c r="R469" s="568"/>
      <c r="S469" s="568"/>
      <c r="T469" s="568"/>
      <c r="U469" s="568"/>
      <c r="V469" s="569"/>
      <c r="W469" s="37" t="s">
        <v>69</v>
      </c>
      <c r="X469" s="547">
        <f>IFERROR(SUM(X466:X467),"0")</f>
        <v>0</v>
      </c>
      <c r="Y469" s="547">
        <f>IFERROR(SUM(Y466:Y467),"0")</f>
        <v>0</v>
      </c>
      <c r="Z469" s="37"/>
      <c r="AA469" s="548"/>
      <c r="AB469" s="548"/>
      <c r="AC469" s="548"/>
    </row>
    <row r="470" spans="1:68" ht="14.25" hidden="1" customHeight="1" x14ac:dyDescent="0.25">
      <c r="A470" s="558" t="s">
        <v>64</v>
      </c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59"/>
      <c r="P470" s="559"/>
      <c r="Q470" s="559"/>
      <c r="R470" s="559"/>
      <c r="S470" s="559"/>
      <c r="T470" s="559"/>
      <c r="U470" s="559"/>
      <c r="V470" s="559"/>
      <c r="W470" s="559"/>
      <c r="X470" s="559"/>
      <c r="Y470" s="559"/>
      <c r="Z470" s="559"/>
      <c r="AA470" s="541"/>
      <c r="AB470" s="541"/>
      <c r="AC470" s="541"/>
    </row>
    <row r="471" spans="1:68" ht="27" hidden="1" customHeight="1" x14ac:dyDescent="0.25">
      <c r="A471" s="54" t="s">
        <v>725</v>
      </c>
      <c r="B471" s="54" t="s">
        <v>726</v>
      </c>
      <c r="C471" s="31">
        <v>4301031467</v>
      </c>
      <c r="D471" s="552">
        <v>4640242180595</v>
      </c>
      <c r="E471" s="553"/>
      <c r="F471" s="544">
        <v>0.8</v>
      </c>
      <c r="G471" s="32">
        <v>6</v>
      </c>
      <c r="H471" s="544">
        <v>4.8</v>
      </c>
      <c r="I471" s="544">
        <v>5.05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3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0"/>
      <c r="R471" s="550"/>
      <c r="S471" s="550"/>
      <c r="T471" s="551"/>
      <c r="U471" s="34"/>
      <c r="V471" s="34"/>
      <c r="W471" s="35" t="s">
        <v>69</v>
      </c>
      <c r="X471" s="545">
        <v>0</v>
      </c>
      <c r="Y471" s="546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1"/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62"/>
      <c r="P472" s="567" t="s">
        <v>75</v>
      </c>
      <c r="Q472" s="568"/>
      <c r="R472" s="568"/>
      <c r="S472" s="568"/>
      <c r="T472" s="568"/>
      <c r="U472" s="568"/>
      <c r="V472" s="569"/>
      <c r="W472" s="37" t="s">
        <v>76</v>
      </c>
      <c r="X472" s="547">
        <f>IFERROR(X471/H471,"0")</f>
        <v>0</v>
      </c>
      <c r="Y472" s="547">
        <f>IFERROR(Y471/H471,"0")</f>
        <v>0</v>
      </c>
      <c r="Z472" s="547">
        <f>IFERROR(IF(Z471="",0,Z471),"0")</f>
        <v>0</v>
      </c>
      <c r="AA472" s="548"/>
      <c r="AB472" s="548"/>
      <c r="AC472" s="548"/>
    </row>
    <row r="473" spans="1:68" hidden="1" x14ac:dyDescent="0.2">
      <c r="A473" s="559"/>
      <c r="B473" s="559"/>
      <c r="C473" s="559"/>
      <c r="D473" s="559"/>
      <c r="E473" s="559"/>
      <c r="F473" s="559"/>
      <c r="G473" s="559"/>
      <c r="H473" s="559"/>
      <c r="I473" s="559"/>
      <c r="J473" s="559"/>
      <c r="K473" s="559"/>
      <c r="L473" s="559"/>
      <c r="M473" s="559"/>
      <c r="N473" s="559"/>
      <c r="O473" s="562"/>
      <c r="P473" s="567" t="s">
        <v>75</v>
      </c>
      <c r="Q473" s="568"/>
      <c r="R473" s="568"/>
      <c r="S473" s="568"/>
      <c r="T473" s="568"/>
      <c r="U473" s="568"/>
      <c r="V473" s="569"/>
      <c r="W473" s="37" t="s">
        <v>69</v>
      </c>
      <c r="X473" s="547">
        <f>IFERROR(SUM(X471:X471),"0")</f>
        <v>0</v>
      </c>
      <c r="Y473" s="547">
        <f>IFERROR(SUM(Y471:Y471),"0")</f>
        <v>0</v>
      </c>
      <c r="Z473" s="37"/>
      <c r="AA473" s="548"/>
      <c r="AB473" s="548"/>
      <c r="AC473" s="548"/>
    </row>
    <row r="474" spans="1:68" ht="14.25" hidden="1" customHeight="1" x14ac:dyDescent="0.25">
      <c r="A474" s="558" t="s">
        <v>77</v>
      </c>
      <c r="B474" s="559"/>
      <c r="C474" s="559"/>
      <c r="D474" s="559"/>
      <c r="E474" s="559"/>
      <c r="F474" s="559"/>
      <c r="G474" s="559"/>
      <c r="H474" s="559"/>
      <c r="I474" s="559"/>
      <c r="J474" s="559"/>
      <c r="K474" s="559"/>
      <c r="L474" s="559"/>
      <c r="M474" s="559"/>
      <c r="N474" s="559"/>
      <c r="O474" s="559"/>
      <c r="P474" s="559"/>
      <c r="Q474" s="559"/>
      <c r="R474" s="559"/>
      <c r="S474" s="559"/>
      <c r="T474" s="559"/>
      <c r="U474" s="559"/>
      <c r="V474" s="559"/>
      <c r="W474" s="559"/>
      <c r="X474" s="559"/>
      <c r="Y474" s="559"/>
      <c r="Z474" s="559"/>
      <c r="AA474" s="541"/>
      <c r="AB474" s="541"/>
      <c r="AC474" s="541"/>
    </row>
    <row r="475" spans="1:68" ht="27" hidden="1" customHeight="1" x14ac:dyDescent="0.25">
      <c r="A475" s="54" t="s">
        <v>728</v>
      </c>
      <c r="B475" s="54" t="s">
        <v>729</v>
      </c>
      <c r="C475" s="31">
        <v>4301052046</v>
      </c>
      <c r="D475" s="552">
        <v>4640242180533</v>
      </c>
      <c r="E475" s="553"/>
      <c r="F475" s="544">
        <v>1.5</v>
      </c>
      <c r="G475" s="32">
        <v>6</v>
      </c>
      <c r="H475" s="544">
        <v>9</v>
      </c>
      <c r="I475" s="544">
        <v>9.4939999999999998</v>
      </c>
      <c r="J475" s="32">
        <v>64</v>
      </c>
      <c r="K475" s="32" t="s">
        <v>102</v>
      </c>
      <c r="L475" s="32"/>
      <c r="M475" s="33" t="s">
        <v>86</v>
      </c>
      <c r="N475" s="33"/>
      <c r="O475" s="32">
        <v>45</v>
      </c>
      <c r="P475" s="79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0"/>
      <c r="R475" s="550"/>
      <c r="S475" s="550"/>
      <c r="T475" s="551"/>
      <c r="U475" s="34"/>
      <c r="V475" s="34"/>
      <c r="W475" s="35" t="s">
        <v>69</v>
      </c>
      <c r="X475" s="545">
        <v>0</v>
      </c>
      <c r="Y475" s="546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9" t="s">
        <v>730</v>
      </c>
      <c r="AG475" s="64"/>
      <c r="AJ475" s="68"/>
      <c r="AK475" s="68">
        <v>0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1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62"/>
      <c r="P476" s="567" t="s">
        <v>75</v>
      </c>
      <c r="Q476" s="568"/>
      <c r="R476" s="568"/>
      <c r="S476" s="568"/>
      <c r="T476" s="568"/>
      <c r="U476" s="568"/>
      <c r="V476" s="569"/>
      <c r="W476" s="37" t="s">
        <v>76</v>
      </c>
      <c r="X476" s="547">
        <f>IFERROR(X475/H475,"0")</f>
        <v>0</v>
      </c>
      <c r="Y476" s="547">
        <f>IFERROR(Y475/H475,"0")</f>
        <v>0</v>
      </c>
      <c r="Z476" s="547">
        <f>IFERROR(IF(Z475="",0,Z475),"0")</f>
        <v>0</v>
      </c>
      <c r="AA476" s="548"/>
      <c r="AB476" s="548"/>
      <c r="AC476" s="548"/>
    </row>
    <row r="477" spans="1:68" hidden="1" x14ac:dyDescent="0.2">
      <c r="A477" s="559"/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62"/>
      <c r="P477" s="567" t="s">
        <v>75</v>
      </c>
      <c r="Q477" s="568"/>
      <c r="R477" s="568"/>
      <c r="S477" s="568"/>
      <c r="T477" s="568"/>
      <c r="U477" s="568"/>
      <c r="V477" s="569"/>
      <c r="W477" s="37" t="s">
        <v>69</v>
      </c>
      <c r="X477" s="547">
        <f>IFERROR(SUM(X475:X475),"0")</f>
        <v>0</v>
      </c>
      <c r="Y477" s="547">
        <f>IFERROR(SUM(Y475:Y475),"0")</f>
        <v>0</v>
      </c>
      <c r="Z477" s="37"/>
      <c r="AA477" s="548"/>
      <c r="AB477" s="548"/>
      <c r="AC477" s="548"/>
    </row>
    <row r="478" spans="1:68" ht="14.25" hidden="1" customHeight="1" x14ac:dyDescent="0.25">
      <c r="A478" s="558" t="s">
        <v>160</v>
      </c>
      <c r="B478" s="559"/>
      <c r="C478" s="559"/>
      <c r="D478" s="559"/>
      <c r="E478" s="559"/>
      <c r="F478" s="559"/>
      <c r="G478" s="559"/>
      <c r="H478" s="559"/>
      <c r="I478" s="559"/>
      <c r="J478" s="559"/>
      <c r="K478" s="559"/>
      <c r="L478" s="559"/>
      <c r="M478" s="559"/>
      <c r="N478" s="559"/>
      <c r="O478" s="559"/>
      <c r="P478" s="559"/>
      <c r="Q478" s="559"/>
      <c r="R478" s="559"/>
      <c r="S478" s="559"/>
      <c r="T478" s="559"/>
      <c r="U478" s="559"/>
      <c r="V478" s="559"/>
      <c r="W478" s="559"/>
      <c r="X478" s="559"/>
      <c r="Y478" s="559"/>
      <c r="Z478" s="559"/>
      <c r="AA478" s="541"/>
      <c r="AB478" s="541"/>
      <c r="AC478" s="541"/>
    </row>
    <row r="479" spans="1:68" ht="27" hidden="1" customHeight="1" x14ac:dyDescent="0.25">
      <c r="A479" s="54" t="s">
        <v>731</v>
      </c>
      <c r="B479" s="54" t="s">
        <v>732</v>
      </c>
      <c r="C479" s="31">
        <v>4301060491</v>
      </c>
      <c r="D479" s="552">
        <v>4640242180120</v>
      </c>
      <c r="E479" s="553"/>
      <c r="F479" s="544">
        <v>1.5</v>
      </c>
      <c r="G479" s="32">
        <v>6</v>
      </c>
      <c r="H479" s="544">
        <v>9</v>
      </c>
      <c r="I479" s="544">
        <v>9.41</v>
      </c>
      <c r="J479" s="32">
        <v>64</v>
      </c>
      <c r="K479" s="32" t="s">
        <v>102</v>
      </c>
      <c r="L479" s="32"/>
      <c r="M479" s="33" t="s">
        <v>80</v>
      </c>
      <c r="N479" s="33"/>
      <c r="O479" s="32">
        <v>40</v>
      </c>
      <c r="P479" s="66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0"/>
      <c r="R479" s="550"/>
      <c r="S479" s="550"/>
      <c r="T479" s="551"/>
      <c r="U479" s="34"/>
      <c r="V479" s="34"/>
      <c r="W479" s="35" t="s">
        <v>69</v>
      </c>
      <c r="X479" s="545">
        <v>0</v>
      </c>
      <c r="Y479" s="546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31" t="s">
        <v>733</v>
      </c>
      <c r="AG479" s="64"/>
      <c r="AJ479" s="68"/>
      <c r="AK479" s="68">
        <v>0</v>
      </c>
      <c r="BB479" s="532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734</v>
      </c>
      <c r="B480" s="54" t="s">
        <v>735</v>
      </c>
      <c r="C480" s="31">
        <v>4301060493</v>
      </c>
      <c r="D480" s="552">
        <v>4640242180137</v>
      </c>
      <c r="E480" s="553"/>
      <c r="F480" s="544">
        <v>1.5</v>
      </c>
      <c r="G480" s="32">
        <v>6</v>
      </c>
      <c r="H480" s="544">
        <v>9</v>
      </c>
      <c r="I480" s="544">
        <v>9.41</v>
      </c>
      <c r="J480" s="32">
        <v>64</v>
      </c>
      <c r="K480" s="32" t="s">
        <v>102</v>
      </c>
      <c r="L480" s="32"/>
      <c r="M480" s="33" t="s">
        <v>80</v>
      </c>
      <c r="N480" s="33"/>
      <c r="O480" s="32">
        <v>40</v>
      </c>
      <c r="P480" s="672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0"/>
      <c r="R480" s="550"/>
      <c r="S480" s="550"/>
      <c r="T480" s="551"/>
      <c r="U480" s="34"/>
      <c r="V480" s="34"/>
      <c r="W480" s="35" t="s">
        <v>69</v>
      </c>
      <c r="X480" s="545">
        <v>0</v>
      </c>
      <c r="Y480" s="546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61"/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62"/>
      <c r="P481" s="567" t="s">
        <v>75</v>
      </c>
      <c r="Q481" s="568"/>
      <c r="R481" s="568"/>
      <c r="S481" s="568"/>
      <c r="T481" s="568"/>
      <c r="U481" s="568"/>
      <c r="V481" s="569"/>
      <c r="W481" s="37" t="s">
        <v>76</v>
      </c>
      <c r="X481" s="547">
        <f>IFERROR(X479/H479,"0")+IFERROR(X480/H480,"0")</f>
        <v>0</v>
      </c>
      <c r="Y481" s="547">
        <f>IFERROR(Y479/H479,"0")+IFERROR(Y480/H480,"0")</f>
        <v>0</v>
      </c>
      <c r="Z481" s="547">
        <f>IFERROR(IF(Z479="",0,Z479),"0")+IFERROR(IF(Z480="",0,Z480),"0")</f>
        <v>0</v>
      </c>
      <c r="AA481" s="548"/>
      <c r="AB481" s="548"/>
      <c r="AC481" s="548"/>
    </row>
    <row r="482" spans="1:68" hidden="1" x14ac:dyDescent="0.2">
      <c r="A482" s="559"/>
      <c r="B482" s="559"/>
      <c r="C482" s="559"/>
      <c r="D482" s="559"/>
      <c r="E482" s="559"/>
      <c r="F482" s="559"/>
      <c r="G482" s="559"/>
      <c r="H482" s="559"/>
      <c r="I482" s="559"/>
      <c r="J482" s="559"/>
      <c r="K482" s="559"/>
      <c r="L482" s="559"/>
      <c r="M482" s="559"/>
      <c r="N482" s="559"/>
      <c r="O482" s="562"/>
      <c r="P482" s="567" t="s">
        <v>75</v>
      </c>
      <c r="Q482" s="568"/>
      <c r="R482" s="568"/>
      <c r="S482" s="568"/>
      <c r="T482" s="568"/>
      <c r="U482" s="568"/>
      <c r="V482" s="569"/>
      <c r="W482" s="37" t="s">
        <v>69</v>
      </c>
      <c r="X482" s="547">
        <f>IFERROR(SUM(X479:X480),"0")</f>
        <v>0</v>
      </c>
      <c r="Y482" s="547">
        <f>IFERROR(SUM(Y479:Y480),"0")</f>
        <v>0</v>
      </c>
      <c r="Z482" s="37"/>
      <c r="AA482" s="548"/>
      <c r="AB482" s="548"/>
      <c r="AC482" s="548"/>
    </row>
    <row r="483" spans="1:68" ht="16.5" hidden="1" customHeight="1" x14ac:dyDescent="0.25">
      <c r="A483" s="560" t="s">
        <v>737</v>
      </c>
      <c r="B483" s="559"/>
      <c r="C483" s="559"/>
      <c r="D483" s="559"/>
      <c r="E483" s="559"/>
      <c r="F483" s="559"/>
      <c r="G483" s="559"/>
      <c r="H483" s="559"/>
      <c r="I483" s="559"/>
      <c r="J483" s="559"/>
      <c r="K483" s="559"/>
      <c r="L483" s="559"/>
      <c r="M483" s="559"/>
      <c r="N483" s="559"/>
      <c r="O483" s="559"/>
      <c r="P483" s="559"/>
      <c r="Q483" s="559"/>
      <c r="R483" s="559"/>
      <c r="S483" s="559"/>
      <c r="T483" s="559"/>
      <c r="U483" s="559"/>
      <c r="V483" s="559"/>
      <c r="W483" s="559"/>
      <c r="X483" s="559"/>
      <c r="Y483" s="559"/>
      <c r="Z483" s="559"/>
      <c r="AA483" s="540"/>
      <c r="AB483" s="540"/>
      <c r="AC483" s="540"/>
    </row>
    <row r="484" spans="1:68" ht="14.25" hidden="1" customHeight="1" x14ac:dyDescent="0.25">
      <c r="A484" s="558" t="s">
        <v>135</v>
      </c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59"/>
      <c r="P484" s="559"/>
      <c r="Q484" s="559"/>
      <c r="R484" s="559"/>
      <c r="S484" s="559"/>
      <c r="T484" s="559"/>
      <c r="U484" s="559"/>
      <c r="V484" s="559"/>
      <c r="W484" s="559"/>
      <c r="X484" s="559"/>
      <c r="Y484" s="559"/>
      <c r="Z484" s="559"/>
      <c r="AA484" s="541"/>
      <c r="AB484" s="541"/>
      <c r="AC484" s="541"/>
    </row>
    <row r="485" spans="1:68" ht="27" hidden="1" customHeight="1" x14ac:dyDescent="0.25">
      <c r="A485" s="54" t="s">
        <v>738</v>
      </c>
      <c r="B485" s="54" t="s">
        <v>739</v>
      </c>
      <c r="C485" s="31">
        <v>4301020314</v>
      </c>
      <c r="D485" s="552">
        <v>4640242180090</v>
      </c>
      <c r="E485" s="553"/>
      <c r="F485" s="544">
        <v>1.5</v>
      </c>
      <c r="G485" s="32">
        <v>8</v>
      </c>
      <c r="H485" s="544">
        <v>12</v>
      </c>
      <c r="I485" s="544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53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0"/>
      <c r="R485" s="550"/>
      <c r="S485" s="550"/>
      <c r="T485" s="551"/>
      <c r="U485" s="34"/>
      <c r="V485" s="34"/>
      <c r="W485" s="35" t="s">
        <v>69</v>
      </c>
      <c r="X485" s="545">
        <v>0</v>
      </c>
      <c r="Y485" s="546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5" t="s">
        <v>740</v>
      </c>
      <c r="AG485" s="64"/>
      <c r="AJ485" s="68"/>
      <c r="AK485" s="68">
        <v>0</v>
      </c>
      <c r="BB485" s="536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1"/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62"/>
      <c r="P486" s="567" t="s">
        <v>75</v>
      </c>
      <c r="Q486" s="568"/>
      <c r="R486" s="568"/>
      <c r="S486" s="568"/>
      <c r="T486" s="568"/>
      <c r="U486" s="568"/>
      <c r="V486" s="569"/>
      <c r="W486" s="37" t="s">
        <v>76</v>
      </c>
      <c r="X486" s="547">
        <f>IFERROR(X485/H485,"0")</f>
        <v>0</v>
      </c>
      <c r="Y486" s="547">
        <f>IFERROR(Y485/H485,"0")</f>
        <v>0</v>
      </c>
      <c r="Z486" s="547">
        <f>IFERROR(IF(Z485="",0,Z485),"0")</f>
        <v>0</v>
      </c>
      <c r="AA486" s="548"/>
      <c r="AB486" s="548"/>
      <c r="AC486" s="548"/>
    </row>
    <row r="487" spans="1:68" hidden="1" x14ac:dyDescent="0.2">
      <c r="A487" s="559"/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62"/>
      <c r="P487" s="567" t="s">
        <v>75</v>
      </c>
      <c r="Q487" s="568"/>
      <c r="R487" s="568"/>
      <c r="S487" s="568"/>
      <c r="T487" s="568"/>
      <c r="U487" s="568"/>
      <c r="V487" s="569"/>
      <c r="W487" s="37" t="s">
        <v>69</v>
      </c>
      <c r="X487" s="547">
        <f>IFERROR(SUM(X485:X485),"0")</f>
        <v>0</v>
      </c>
      <c r="Y487" s="547">
        <f>IFERROR(SUM(Y485:Y485),"0")</f>
        <v>0</v>
      </c>
      <c r="Z487" s="37"/>
      <c r="AA487" s="548"/>
      <c r="AB487" s="548"/>
      <c r="AC487" s="548"/>
    </row>
    <row r="488" spans="1:68" ht="15" customHeight="1" x14ac:dyDescent="0.2">
      <c r="A488" s="835"/>
      <c r="B488" s="559"/>
      <c r="C488" s="559"/>
      <c r="D488" s="559"/>
      <c r="E488" s="559"/>
      <c r="F488" s="559"/>
      <c r="G488" s="559"/>
      <c r="H488" s="559"/>
      <c r="I488" s="559"/>
      <c r="J488" s="559"/>
      <c r="K488" s="559"/>
      <c r="L488" s="559"/>
      <c r="M488" s="559"/>
      <c r="N488" s="559"/>
      <c r="O488" s="721"/>
      <c r="P488" s="653" t="s">
        <v>741</v>
      </c>
      <c r="Q488" s="654"/>
      <c r="R488" s="654"/>
      <c r="S488" s="654"/>
      <c r="T488" s="654"/>
      <c r="U488" s="654"/>
      <c r="V488" s="655"/>
      <c r="W488" s="37" t="s">
        <v>69</v>
      </c>
      <c r="X488" s="547">
        <f>IFERROR(X25+X32+X36+X44+X48+X58+X64+X69+X76+X81+X89+X96+X105+X112+X119+X123+X129+X134+X139+X145+X153+X157+X163+X180+X186+X190+X196+X201+X212+X224+X229+X242+X246+X250+X258+X267+X275+X282+X288+X293+X302+X311+X318+X324+X331+X337+X344+X356+X361+X366+X370+X376+X381+X387+X401+X406+X411+X418+X423+X440+X446+X455+X464+X469+X473+X477+X482+X487,"0")</f>
        <v>6503</v>
      </c>
      <c r="Y488" s="547">
        <f>IFERROR(Y25+Y32+Y36+Y44+Y48+Y58+Y64+Y69+Y76+Y81+Y89+Y96+Y105+Y112+Y119+Y123+Y129+Y134+Y139+Y145+Y153+Y157+Y163+Y180+Y186+Y190+Y196+Y201+Y212+Y224+Y229+Y242+Y246+Y250+Y258+Y267+Y275+Y282+Y288+Y293+Y302+Y311+Y318+Y324+Y331+Y337+Y344+Y356+Y361+Y366+Y370+Y376+Y381+Y387+Y401+Y406+Y411+Y418+Y423+Y440+Y446+Y455+Y464+Y469+Y473+Y477+Y482+Y487,"0")</f>
        <v>6592.4400000000005</v>
      </c>
      <c r="Z488" s="37"/>
      <c r="AA488" s="548"/>
      <c r="AB488" s="548"/>
      <c r="AC488" s="548"/>
    </row>
    <row r="489" spans="1:68" x14ac:dyDescent="0.2">
      <c r="A489" s="559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721"/>
      <c r="P489" s="653" t="s">
        <v>742</v>
      </c>
      <c r="Q489" s="654"/>
      <c r="R489" s="654"/>
      <c r="S489" s="654"/>
      <c r="T489" s="654"/>
      <c r="U489" s="654"/>
      <c r="V489" s="655"/>
      <c r="W489" s="37" t="s">
        <v>69</v>
      </c>
      <c r="X489" s="547">
        <f>IFERROR(SUM(BM22:BM485),"0")</f>
        <v>6872.1562922050289</v>
      </c>
      <c r="Y489" s="547">
        <f>IFERROR(SUM(BN22:BN485),"0")</f>
        <v>6965.9219999999996</v>
      </c>
      <c r="Z489" s="37"/>
      <c r="AA489" s="548"/>
      <c r="AB489" s="548"/>
      <c r="AC489" s="548"/>
    </row>
    <row r="490" spans="1:68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721"/>
      <c r="P490" s="653" t="s">
        <v>743</v>
      </c>
      <c r="Q490" s="654"/>
      <c r="R490" s="654"/>
      <c r="S490" s="654"/>
      <c r="T490" s="654"/>
      <c r="U490" s="654"/>
      <c r="V490" s="655"/>
      <c r="W490" s="37" t="s">
        <v>744</v>
      </c>
      <c r="X490" s="38">
        <f>ROUNDUP(SUM(BO22:BO485),0)</f>
        <v>12</v>
      </c>
      <c r="Y490" s="38">
        <f>ROUNDUP(SUM(BP22:BP485),0)</f>
        <v>12</v>
      </c>
      <c r="Z490" s="37"/>
      <c r="AA490" s="548"/>
      <c r="AB490" s="548"/>
      <c r="AC490" s="548"/>
    </row>
    <row r="491" spans="1:68" x14ac:dyDescent="0.2">
      <c r="A491" s="559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21"/>
      <c r="P491" s="653" t="s">
        <v>745</v>
      </c>
      <c r="Q491" s="654"/>
      <c r="R491" s="654"/>
      <c r="S491" s="654"/>
      <c r="T491" s="654"/>
      <c r="U491" s="654"/>
      <c r="V491" s="655"/>
      <c r="W491" s="37" t="s">
        <v>69</v>
      </c>
      <c r="X491" s="547">
        <f>GrossWeightTotal+PalletQtyTotal*25</f>
        <v>7172.1562922050289</v>
      </c>
      <c r="Y491" s="547">
        <f>GrossWeightTotalR+PalletQtyTotalR*25</f>
        <v>7265.9219999999996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21"/>
      <c r="P492" s="653" t="s">
        <v>746</v>
      </c>
      <c r="Q492" s="654"/>
      <c r="R492" s="654"/>
      <c r="S492" s="654"/>
      <c r="T492" s="654"/>
      <c r="U492" s="654"/>
      <c r="V492" s="655"/>
      <c r="W492" s="37" t="s">
        <v>744</v>
      </c>
      <c r="X492" s="547">
        <f>IFERROR(X24+X31+X35+X43+X47+X57+X63+X68+X75+X80+X88+X95+X104+X111+X118+X122+X128+X133+X138+X144+X152+X156+X162+X179+X185+X189+X195+X200+X211+X223+X228+X241+X245+X249+X257+X266+X274+X281+X287+X292+X301+X310+X317+X323+X330+X336+X343+X355+X360+X365+X369+X375+X380+X386+X400+X405+X410+X417+X422+X439+X445+X454+X463+X468+X472+X476+X481+X486,"0")</f>
        <v>1190.7189511212498</v>
      </c>
      <c r="Y492" s="547">
        <f>IFERROR(Y24+Y31+Y35+Y43+Y47+Y57+Y63+Y68+Y75+Y80+Y88+Y95+Y104+Y111+Y118+Y122+Y128+Y133+Y138+Y144+Y152+Y156+Y162+Y179+Y185+Y189+Y195+Y200+Y211+Y223+Y228+Y241+Y245+Y249+Y257+Y266+Y274+Y281+Y287+Y292+Y301+Y310+Y317+Y323+Y330+Y336+Y343+Y355+Y360+Y365+Y369+Y375+Y380+Y386+Y400+Y405+Y410+Y417+Y422+Y439+Y445+Y454+Y463+Y468+Y472+Y476+Y481+Y486,"0")</f>
        <v>1203</v>
      </c>
      <c r="Z492" s="37"/>
      <c r="AA492" s="548"/>
      <c r="AB492" s="548"/>
      <c r="AC492" s="548"/>
    </row>
    <row r="493" spans="1:68" ht="14.25" hidden="1" customHeight="1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21"/>
      <c r="P493" s="653" t="s">
        <v>747</v>
      </c>
      <c r="Q493" s="654"/>
      <c r="R493" s="654"/>
      <c r="S493" s="654"/>
      <c r="T493" s="654"/>
      <c r="U493" s="654"/>
      <c r="V493" s="655"/>
      <c r="W493" s="39" t="s">
        <v>748</v>
      </c>
      <c r="X493" s="37"/>
      <c r="Y493" s="37"/>
      <c r="Z493" s="37">
        <f>IFERROR(Z24+Z31+Z35+Z43+Z47+Z57+Z63+Z68+Z75+Z80+Z88+Z95+Z104+Z111+Z118+Z122+Z128+Z133+Z138+Z144+Z152+Z156+Z162+Z179+Z185+Z189+Z195+Z200+Z211+Z223+Z228+Z241+Z245+Z249+Z257+Z266+Z274+Z281+Z287+Z292+Z301+Z310+Z317+Z323+Z330+Z336+Z343+Z355+Z360+Z365+Z369+Z375+Z380+Z386+Z400+Z405+Z410+Z417+Z422+Z439+Z445+Z454+Z463+Z468+Z472+Z476+Z481+Z486,"0")</f>
        <v>13.710859999999998</v>
      </c>
      <c r="AA493" s="548"/>
      <c r="AB493" s="548"/>
      <c r="AC493" s="548"/>
    </row>
    <row r="494" spans="1:68" ht="13.5" customHeight="1" thickBot="1" x14ac:dyDescent="0.25"/>
    <row r="495" spans="1:68" ht="27" customHeight="1" thickTop="1" thickBot="1" x14ac:dyDescent="0.25">
      <c r="A495" s="40" t="s">
        <v>749</v>
      </c>
      <c r="B495" s="542" t="s">
        <v>63</v>
      </c>
      <c r="C495" s="598" t="s">
        <v>97</v>
      </c>
      <c r="D495" s="631"/>
      <c r="E495" s="631"/>
      <c r="F495" s="631"/>
      <c r="G495" s="631"/>
      <c r="H495" s="607"/>
      <c r="I495" s="598" t="s">
        <v>263</v>
      </c>
      <c r="J495" s="631"/>
      <c r="K495" s="631"/>
      <c r="L495" s="631"/>
      <c r="M495" s="631"/>
      <c r="N495" s="631"/>
      <c r="O495" s="631"/>
      <c r="P495" s="631"/>
      <c r="Q495" s="631"/>
      <c r="R495" s="607"/>
      <c r="S495" s="598" t="s">
        <v>550</v>
      </c>
      <c r="T495" s="607"/>
      <c r="U495" s="598" t="s">
        <v>604</v>
      </c>
      <c r="V495" s="631"/>
      <c r="W495" s="607"/>
      <c r="X495" s="542" t="s">
        <v>655</v>
      </c>
      <c r="Y495" s="598" t="s">
        <v>707</v>
      </c>
      <c r="Z495" s="607"/>
      <c r="AB495" s="52"/>
      <c r="AC495" s="52"/>
      <c r="AF495" s="543"/>
    </row>
    <row r="496" spans="1:68" ht="14.25" customHeight="1" thickTop="1" x14ac:dyDescent="0.2">
      <c r="A496" s="605" t="s">
        <v>750</v>
      </c>
      <c r="B496" s="598" t="s">
        <v>63</v>
      </c>
      <c r="C496" s="598" t="s">
        <v>98</v>
      </c>
      <c r="D496" s="598" t="s">
        <v>116</v>
      </c>
      <c r="E496" s="598" t="s">
        <v>167</v>
      </c>
      <c r="F496" s="598" t="s">
        <v>189</v>
      </c>
      <c r="G496" s="598" t="s">
        <v>227</v>
      </c>
      <c r="H496" s="598" t="s">
        <v>97</v>
      </c>
      <c r="I496" s="598" t="s">
        <v>264</v>
      </c>
      <c r="J496" s="598" t="s">
        <v>319</v>
      </c>
      <c r="K496" s="598" t="s">
        <v>379</v>
      </c>
      <c r="L496" s="598" t="s">
        <v>420</v>
      </c>
      <c r="M496" s="598" t="s">
        <v>436</v>
      </c>
      <c r="N496" s="543"/>
      <c r="O496" s="598" t="s">
        <v>447</v>
      </c>
      <c r="P496" s="598" t="s">
        <v>456</v>
      </c>
      <c r="Q496" s="598" t="s">
        <v>469</v>
      </c>
      <c r="R496" s="598" t="s">
        <v>540</v>
      </c>
      <c r="S496" s="598" t="s">
        <v>551</v>
      </c>
      <c r="T496" s="598" t="s">
        <v>586</v>
      </c>
      <c r="U496" s="598" t="s">
        <v>605</v>
      </c>
      <c r="V496" s="598" t="s">
        <v>636</v>
      </c>
      <c r="W496" s="598" t="s">
        <v>651</v>
      </c>
      <c r="X496" s="598" t="s">
        <v>655</v>
      </c>
      <c r="Y496" s="598" t="s">
        <v>707</v>
      </c>
      <c r="Z496" s="598" t="s">
        <v>737</v>
      </c>
      <c r="AB496" s="52"/>
      <c r="AC496" s="52"/>
      <c r="AF496" s="543"/>
    </row>
    <row r="497" spans="1:32" ht="13.5" customHeight="1" thickBot="1" x14ac:dyDescent="0.25">
      <c r="A497" s="606"/>
      <c r="B497" s="599"/>
      <c r="C497" s="599"/>
      <c r="D497" s="599"/>
      <c r="E497" s="599"/>
      <c r="F497" s="599"/>
      <c r="G497" s="599"/>
      <c r="H497" s="599"/>
      <c r="I497" s="599"/>
      <c r="J497" s="599"/>
      <c r="K497" s="599"/>
      <c r="L497" s="599"/>
      <c r="M497" s="599"/>
      <c r="N497" s="543"/>
      <c r="O497" s="599"/>
      <c r="P497" s="599"/>
      <c r="Q497" s="599"/>
      <c r="R497" s="599"/>
      <c r="S497" s="599"/>
      <c r="T497" s="599"/>
      <c r="U497" s="599"/>
      <c r="V497" s="599"/>
      <c r="W497" s="599"/>
      <c r="X497" s="599"/>
      <c r="Y497" s="599"/>
      <c r="Z497" s="599"/>
      <c r="AB497" s="52"/>
      <c r="AC497" s="52"/>
      <c r="AF497" s="543"/>
    </row>
    <row r="498" spans="1:32" ht="18" customHeight="1" thickTop="1" thickBot="1" x14ac:dyDescent="0.25">
      <c r="A498" s="40" t="s">
        <v>751</v>
      </c>
      <c r="B498" s="46">
        <f>IFERROR(Y22*1,"0")+IFERROR(Y23*1,"0")+IFERROR(Y27*1,"0")+IFERROR(Y28*1,"0")+IFERROR(Y29*1,"0")+IFERROR(Y30*1,"0")+IFERROR(Y34*1,"0")</f>
        <v>0</v>
      </c>
      <c r="C498" s="46">
        <f>IFERROR(Y40*1,"0")+IFERROR(Y41*1,"0")+IFERROR(Y42*1,"0")+IFERROR(Y46*1,"0")</f>
        <v>205.20000000000002</v>
      </c>
      <c r="D498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45</v>
      </c>
      <c r="E498" s="46">
        <f>IFERROR(Y84*1,"0")+IFERROR(Y85*1,"0")+IFERROR(Y86*1,"0")+IFERROR(Y87*1,"0")+IFERROR(Y91*1,"0")+IFERROR(Y92*1,"0")+IFERROR(Y93*1,"0")+IFERROR(Y94*1,"0")</f>
        <v>405</v>
      </c>
      <c r="F498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326.70000000000005</v>
      </c>
      <c r="G498" s="46">
        <f>IFERROR(Y126*1,"0")+IFERROR(Y127*1,"0")+IFERROR(Y131*1,"0")+IFERROR(Y132*1,"0")+IFERROR(Y136*1,"0")+IFERROR(Y137*1,"0")</f>
        <v>0</v>
      </c>
      <c r="H498" s="46">
        <f>IFERROR(Y142*1,"0")+IFERROR(Y143*1,"0")+IFERROR(Y147*1,"0")+IFERROR(Y148*1,"0")+IFERROR(Y149*1,"0")+IFERROR(Y150*1,"0")+IFERROR(Y151*1,"0")+IFERROR(Y155*1,"0")</f>
        <v>0</v>
      </c>
      <c r="I498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451.5</v>
      </c>
      <c r="J498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1177.1999999999998</v>
      </c>
      <c r="K498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8" s="46">
        <f>IFERROR(Y261*1,"0")+IFERROR(Y262*1,"0")+IFERROR(Y263*1,"0")+IFERROR(Y264*1,"0")+IFERROR(Y265*1,"0")</f>
        <v>0</v>
      </c>
      <c r="M498" s="46">
        <f>IFERROR(Y270*1,"0")+IFERROR(Y271*1,"0")+IFERROR(Y272*1,"0")+IFERROR(Y273*1,"0")</f>
        <v>0</v>
      </c>
      <c r="N498" s="543"/>
      <c r="O498" s="46">
        <f>IFERROR(Y278*1,"0")+IFERROR(Y279*1,"0")+IFERROR(Y280*1,"0")</f>
        <v>40.799999999999997</v>
      </c>
      <c r="P498" s="46">
        <f>IFERROR(Y285*1,"0")+IFERROR(Y286*1,"0")+IFERROR(Y290*1,"0")+IFERROR(Y291*1,"0")</f>
        <v>0</v>
      </c>
      <c r="Q498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304.2</v>
      </c>
      <c r="R498" s="46">
        <f>IFERROR(Y340*1,"0")+IFERROR(Y341*1,"0")+IFERROR(Y342*1,"0")</f>
        <v>0</v>
      </c>
      <c r="S498" s="46">
        <f>IFERROR(Y348*1,"0")+IFERROR(Y349*1,"0")+IFERROR(Y350*1,"0")+IFERROR(Y351*1,"0")+IFERROR(Y352*1,"0")+IFERROR(Y353*1,"0")+IFERROR(Y354*1,"0")+IFERROR(Y358*1,"0")+IFERROR(Y359*1,"0")+IFERROR(Y363*1,"0")+IFERROR(Y364*1,"0")+IFERROR(Y368*1,"0")</f>
        <v>1425</v>
      </c>
      <c r="T498" s="46">
        <f>IFERROR(Y373*1,"0")+IFERROR(Y374*1,"0")+IFERROR(Y378*1,"0")+IFERROR(Y379*1,"0")+IFERROR(Y383*1,"0")+IFERROR(Y384*1,"0")+IFERROR(Y385*1,"0")</f>
        <v>1404</v>
      </c>
      <c r="U498" s="46">
        <f>IFERROR(Y391*1,"0")+IFERROR(Y392*1,"0")+IFERROR(Y393*1,"0")+IFERROR(Y394*1,"0")+IFERROR(Y395*1,"0")+IFERROR(Y396*1,"0")+IFERROR(Y397*1,"0")+IFERROR(Y398*1,"0")+IFERROR(Y399*1,"0")+IFERROR(Y403*1,"0")+IFERROR(Y404*1,"0")</f>
        <v>0</v>
      </c>
      <c r="V498" s="46">
        <f>IFERROR(Y409*1,"0")+IFERROR(Y413*1,"0")+IFERROR(Y414*1,"0")+IFERROR(Y415*1,"0")+IFERROR(Y416*1,"0")</f>
        <v>0</v>
      </c>
      <c r="W498" s="46">
        <f>IFERROR(Y421*1,"0")</f>
        <v>0</v>
      </c>
      <c r="X498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</f>
        <v>807.84</v>
      </c>
      <c r="Y498" s="46">
        <f>IFERROR(Y459*1,"0")+IFERROR(Y460*1,"0")+IFERROR(Y461*1,"0")+IFERROR(Y462*1,"0")+IFERROR(Y466*1,"0")+IFERROR(Y467*1,"0")+IFERROR(Y471*1,"0")+IFERROR(Y475*1,"0")+IFERROR(Y479*1,"0")+IFERROR(Y480*1,"0")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43"/>
    </row>
  </sheetData>
  <sheetProtection algorithmName="SHA-512" hashValue="w2O4zxbggKAIrH8KxOvodR5KGz4QBaxiyBjtpe2V/q+uvnZhilWIqSuZSWvG2e/p6iEf4PMlx920NKGjpGbAqA==" saltValue="yfdHAFn1kpo7cG0/Btgi7Q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90,72"/>
        <filter val="1 400,00"/>
        <filter val="10,00"/>
        <filter val="100,00"/>
        <filter val="113,00"/>
        <filter val="12"/>
        <filter val="150,00"/>
        <filter val="155,56"/>
        <filter val="16,67"/>
        <filter val="18,52"/>
        <filter val="190,48"/>
        <filter val="20,00"/>
        <filter val="200,00"/>
        <filter val="213,00"/>
        <filter val="230,00"/>
        <filter val="250,00"/>
        <filter val="28,41"/>
        <filter val="295,00"/>
        <filter val="30,00"/>
        <filter val="300,00"/>
        <filter val="333,91"/>
        <filter val="350,00"/>
        <filter val="38,46"/>
        <filter val="40,00"/>
        <filter val="45,00"/>
        <filter val="450,00"/>
        <filter val="46,67"/>
        <filter val="47,53"/>
        <filter val="53,70"/>
        <filter val="54,20"/>
        <filter val="56,82"/>
        <filter val="560,00"/>
        <filter val="6 503,00"/>
        <filter val="6 872,16"/>
        <filter val="66,29"/>
        <filter val="7 172,16"/>
        <filter val="700,00"/>
        <filter val="8,33"/>
        <filter val="9,26"/>
        <filter val="910,00"/>
      </filters>
    </filterColumn>
    <filterColumn colId="29" showButton="0"/>
    <filterColumn colId="30" showButton="0"/>
  </autoFilter>
  <mergeCells count="874">
    <mergeCell ref="L496:L497"/>
    <mergeCell ref="P356:V356"/>
    <mergeCell ref="A181:Z181"/>
    <mergeCell ref="A468:O469"/>
    <mergeCell ref="P363:T363"/>
    <mergeCell ref="D173:E173"/>
    <mergeCell ref="D42:E42"/>
    <mergeCell ref="D17:E18"/>
    <mergeCell ref="D471:E471"/>
    <mergeCell ref="P71:T71"/>
    <mergeCell ref="P313:T313"/>
    <mergeCell ref="P373:T373"/>
    <mergeCell ref="P307:T307"/>
    <mergeCell ref="P444:T444"/>
    <mergeCell ref="D421:E421"/>
    <mergeCell ref="X17:X18"/>
    <mergeCell ref="D110:E110"/>
    <mergeCell ref="D286:E286"/>
    <mergeCell ref="P387:V387"/>
    <mergeCell ref="D395:E395"/>
    <mergeCell ref="P449:T449"/>
    <mergeCell ref="A426:Z426"/>
    <mergeCell ref="M496:M497"/>
    <mergeCell ref="O496:O497"/>
    <mergeCell ref="A10:C10"/>
    <mergeCell ref="P126:T126"/>
    <mergeCell ref="P361:V361"/>
    <mergeCell ref="A484:Z484"/>
    <mergeCell ref="P218:T218"/>
    <mergeCell ref="P69:V69"/>
    <mergeCell ref="P311:V311"/>
    <mergeCell ref="A192:Z192"/>
    <mergeCell ref="A21:Z21"/>
    <mergeCell ref="D184:E184"/>
    <mergeCell ref="A355:O356"/>
    <mergeCell ref="D121:E121"/>
    <mergeCell ref="U17:V17"/>
    <mergeCell ref="Y17:Y18"/>
    <mergeCell ref="P385:T385"/>
    <mergeCell ref="P310:V310"/>
    <mergeCell ref="A266:O267"/>
    <mergeCell ref="D291:E291"/>
    <mergeCell ref="D239:E239"/>
    <mergeCell ref="P174:T174"/>
    <mergeCell ref="P149:T149"/>
    <mergeCell ref="A339:Z339"/>
    <mergeCell ref="D218:E218"/>
    <mergeCell ref="A347:Z347"/>
    <mergeCell ref="A8:C8"/>
    <mergeCell ref="P163:V163"/>
    <mergeCell ref="P138:V138"/>
    <mergeCell ref="P151:T151"/>
    <mergeCell ref="P76:V76"/>
    <mergeCell ref="A33:Z33"/>
    <mergeCell ref="A269:Z269"/>
    <mergeCell ref="P145:V145"/>
    <mergeCell ref="P381:V381"/>
    <mergeCell ref="A231:Z231"/>
    <mergeCell ref="D54:E54"/>
    <mergeCell ref="P185:V185"/>
    <mergeCell ref="D271:E271"/>
    <mergeCell ref="V12:W12"/>
    <mergeCell ref="A200:O201"/>
    <mergeCell ref="D262:E262"/>
    <mergeCell ref="P368:T368"/>
    <mergeCell ref="P122:V122"/>
    <mergeCell ref="A362:Z362"/>
    <mergeCell ref="D237:E237"/>
    <mergeCell ref="P43:V43"/>
    <mergeCell ref="A39:Z39"/>
    <mergeCell ref="P85:T85"/>
    <mergeCell ref="P60:T60"/>
    <mergeCell ref="P422:V422"/>
    <mergeCell ref="A412:Z412"/>
    <mergeCell ref="P68:V68"/>
    <mergeCell ref="A191:Z191"/>
    <mergeCell ref="P433:T433"/>
    <mergeCell ref="P262:T262"/>
    <mergeCell ref="D341:E341"/>
    <mergeCell ref="D170:E170"/>
    <mergeCell ref="P72:T72"/>
    <mergeCell ref="P199:T199"/>
    <mergeCell ref="P297:T297"/>
    <mergeCell ref="P104:V104"/>
    <mergeCell ref="A372:Z372"/>
    <mergeCell ref="P386:V386"/>
    <mergeCell ref="P393:T393"/>
    <mergeCell ref="D374:E374"/>
    <mergeCell ref="A338:Z338"/>
    <mergeCell ref="D127:E127"/>
    <mergeCell ref="P304:T304"/>
    <mergeCell ref="D176:E176"/>
    <mergeCell ref="D93:E93"/>
    <mergeCell ref="A133:O134"/>
    <mergeCell ref="D391:E391"/>
    <mergeCell ref="D220:E220"/>
    <mergeCell ref="P435:T435"/>
    <mergeCell ref="D278:E278"/>
    <mergeCell ref="P291:T291"/>
    <mergeCell ref="D107:E107"/>
    <mergeCell ref="D234:E234"/>
    <mergeCell ref="A478:Z478"/>
    <mergeCell ref="P136:T136"/>
    <mergeCell ref="P434:T434"/>
    <mergeCell ref="P263:T263"/>
    <mergeCell ref="P468:V468"/>
    <mergeCell ref="A160:Z160"/>
    <mergeCell ref="A141:Z141"/>
    <mergeCell ref="A144:O145"/>
    <mergeCell ref="A135:Z135"/>
    <mergeCell ref="P161:T161"/>
    <mergeCell ref="P459:T459"/>
    <mergeCell ref="D198:E198"/>
    <mergeCell ref="D296:E296"/>
    <mergeCell ref="P275:V275"/>
    <mergeCell ref="D427:E427"/>
    <mergeCell ref="P366:V366"/>
    <mergeCell ref="D349:E349"/>
    <mergeCell ref="P455:V455"/>
    <mergeCell ref="A454:O455"/>
    <mergeCell ref="A488:O493"/>
    <mergeCell ref="P406:V406"/>
    <mergeCell ref="P342:T342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125:Z125"/>
    <mergeCell ref="P493:V493"/>
    <mergeCell ref="D452:E452"/>
    <mergeCell ref="D252:E252"/>
    <mergeCell ref="P421:T421"/>
    <mergeCell ref="P110:T110"/>
    <mergeCell ref="A31:O32"/>
    <mergeCell ref="A24:O25"/>
    <mergeCell ref="D244:E244"/>
    <mergeCell ref="D342:E342"/>
    <mergeCell ref="D171:E171"/>
    <mergeCell ref="P436:T436"/>
    <mergeCell ref="AD17:AF18"/>
    <mergeCell ref="A481:O482"/>
    <mergeCell ref="A310:O311"/>
    <mergeCell ref="D101:E101"/>
    <mergeCell ref="F5:G5"/>
    <mergeCell ref="P365:V36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P469:V469"/>
    <mergeCell ref="A465:Z465"/>
    <mergeCell ref="A294:Z294"/>
    <mergeCell ref="D221:E221"/>
    <mergeCell ref="V11:W11"/>
    <mergeCell ref="D165:E165"/>
    <mergeCell ref="D475:E475"/>
    <mergeCell ref="A20:Z20"/>
    <mergeCell ref="N17:N18"/>
    <mergeCell ref="Q5:R5"/>
    <mergeCell ref="P2:W3"/>
    <mergeCell ref="P298:T298"/>
    <mergeCell ref="D437:E437"/>
    <mergeCell ref="P198:T198"/>
    <mergeCell ref="P127:T127"/>
    <mergeCell ref="A57:O58"/>
    <mergeCell ref="P54:T54"/>
    <mergeCell ref="D333:E333"/>
    <mergeCell ref="D404:E404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P364:T364"/>
    <mergeCell ref="A245:O246"/>
    <mergeCell ref="F17:F18"/>
    <mergeCell ref="Q6:R6"/>
    <mergeCell ref="E496:E497"/>
    <mergeCell ref="D215:E215"/>
    <mergeCell ref="A128:O129"/>
    <mergeCell ref="G496:G497"/>
    <mergeCell ref="P250:V250"/>
    <mergeCell ref="P107:T107"/>
    <mergeCell ref="P492:V492"/>
    <mergeCell ref="P101:T101"/>
    <mergeCell ref="P63:V63"/>
    <mergeCell ref="P415:T415"/>
    <mergeCell ref="P258:V258"/>
    <mergeCell ref="P423:V423"/>
    <mergeCell ref="P223:V223"/>
    <mergeCell ref="P430:T430"/>
    <mergeCell ref="P410:V410"/>
    <mergeCell ref="P481:V481"/>
    <mergeCell ref="P102:T102"/>
    <mergeCell ref="A247:Z247"/>
    <mergeCell ref="P189:V189"/>
    <mergeCell ref="A483:Z483"/>
    <mergeCell ref="A312:Z312"/>
    <mergeCell ref="P287:V287"/>
    <mergeCell ref="P281:V281"/>
    <mergeCell ref="P354:T354"/>
    <mergeCell ref="A9:C9"/>
    <mergeCell ref="D373:E373"/>
    <mergeCell ref="P348:T348"/>
    <mergeCell ref="Z496:Z497"/>
    <mergeCell ref="D358:E358"/>
    <mergeCell ref="P337:V337"/>
    <mergeCell ref="A336:O337"/>
    <mergeCell ref="A389:Z389"/>
    <mergeCell ref="P32:V32"/>
    <mergeCell ref="P134:V134"/>
    <mergeCell ref="P401:V401"/>
    <mergeCell ref="Q13:R13"/>
    <mergeCell ref="P47:V47"/>
    <mergeCell ref="P176:T176"/>
    <mergeCell ref="P114:T114"/>
    <mergeCell ref="D84:E84"/>
    <mergeCell ref="P41:T41"/>
    <mergeCell ref="D155:E155"/>
    <mergeCell ref="A35:O36"/>
    <mergeCell ref="D22:E22"/>
    <mergeCell ref="D320:E320"/>
    <mergeCell ref="A284:Z284"/>
    <mergeCell ref="D149:E149"/>
    <mergeCell ref="D385:E385"/>
    <mergeCell ref="Y496:Y497"/>
    <mergeCell ref="A225:Z225"/>
    <mergeCell ref="D459:E459"/>
    <mergeCell ref="P123:V123"/>
    <mergeCell ref="D136:E136"/>
    <mergeCell ref="D434:E434"/>
    <mergeCell ref="P46:T46"/>
    <mergeCell ref="P482:V482"/>
    <mergeCell ref="A241:O242"/>
    <mergeCell ref="P409:T409"/>
    <mergeCell ref="D461:E461"/>
    <mergeCell ref="P61:T61"/>
    <mergeCell ref="P359:T359"/>
    <mergeCell ref="D436:E436"/>
    <mergeCell ref="A476:O477"/>
    <mergeCell ref="D227:E227"/>
    <mergeCell ref="A463:O464"/>
    <mergeCell ref="P321:T321"/>
    <mergeCell ref="P178:T178"/>
    <mergeCell ref="A400:O401"/>
    <mergeCell ref="P270:T270"/>
    <mergeCell ref="P214:T214"/>
    <mergeCell ref="D384:E384"/>
    <mergeCell ref="P341:T341"/>
    <mergeCell ref="D496:D497"/>
    <mergeCell ref="P95:V95"/>
    <mergeCell ref="A292:O293"/>
    <mergeCell ref="F496:F497"/>
    <mergeCell ref="P331:V331"/>
    <mergeCell ref="D143:E143"/>
    <mergeCell ref="P460:T460"/>
    <mergeCell ref="P398:T398"/>
    <mergeCell ref="P227:T227"/>
    <mergeCell ref="D368:E368"/>
    <mergeCell ref="P177:T177"/>
    <mergeCell ref="P475:T475"/>
    <mergeCell ref="A223:O224"/>
    <mergeCell ref="P226:T226"/>
    <mergeCell ref="P335:T335"/>
    <mergeCell ref="D256:E256"/>
    <mergeCell ref="D207:E207"/>
    <mergeCell ref="P462:T462"/>
    <mergeCell ref="D383:E383"/>
    <mergeCell ref="S495:T495"/>
    <mergeCell ref="A386:O387"/>
    <mergeCell ref="D299:E299"/>
    <mergeCell ref="P405:V405"/>
    <mergeCell ref="A230:Z230"/>
    <mergeCell ref="H5:M5"/>
    <mergeCell ref="P31:V31"/>
    <mergeCell ref="P473:V473"/>
    <mergeCell ref="A228:O229"/>
    <mergeCell ref="A154:Z154"/>
    <mergeCell ref="P396:T396"/>
    <mergeCell ref="A456:Z456"/>
    <mergeCell ref="A390:Z390"/>
    <mergeCell ref="D6:M6"/>
    <mergeCell ref="A75:O76"/>
    <mergeCell ref="P461:T461"/>
    <mergeCell ref="A317:O318"/>
    <mergeCell ref="D304:E304"/>
    <mergeCell ref="P175:T175"/>
    <mergeCell ref="P266:V266"/>
    <mergeCell ref="P93:T93"/>
    <mergeCell ref="D85:E85"/>
    <mergeCell ref="D222:E222"/>
    <mergeCell ref="P399:T399"/>
    <mergeCell ref="P333:T333"/>
    <mergeCell ref="A295:Z295"/>
    <mergeCell ref="A323:O324"/>
    <mergeCell ref="D314:E314"/>
    <mergeCell ref="A152:O153"/>
    <mergeCell ref="V6:W9"/>
    <mergeCell ref="D199:E199"/>
    <mergeCell ref="D364:E364"/>
    <mergeCell ref="P109:T109"/>
    <mergeCell ref="D435:E435"/>
    <mergeCell ref="A59:Z59"/>
    <mergeCell ref="D413:E413"/>
    <mergeCell ref="D217:E217"/>
    <mergeCell ref="P84:T84"/>
    <mergeCell ref="P222:T222"/>
    <mergeCell ref="P193:T193"/>
    <mergeCell ref="P22:T22"/>
    <mergeCell ref="P320:T320"/>
    <mergeCell ref="P314:T314"/>
    <mergeCell ref="D428:E428"/>
    <mergeCell ref="P40:T40"/>
    <mergeCell ref="D415:E415"/>
    <mergeCell ref="A346:Z346"/>
    <mergeCell ref="D194:E194"/>
    <mergeCell ref="Z17:Z18"/>
    <mergeCell ref="A90:Z90"/>
    <mergeCell ref="A283:Z283"/>
    <mergeCell ref="A388:Z388"/>
    <mergeCell ref="A277:Z277"/>
    <mergeCell ref="H10:M10"/>
    <mergeCell ref="P279:T279"/>
    <mergeCell ref="A420:Z420"/>
    <mergeCell ref="D393:E393"/>
    <mergeCell ref="P108:T108"/>
    <mergeCell ref="P254:T254"/>
    <mergeCell ref="P445:V445"/>
    <mergeCell ref="A104:O105"/>
    <mergeCell ref="P256:T256"/>
    <mergeCell ref="P44:V44"/>
    <mergeCell ref="P57:V57"/>
    <mergeCell ref="G17:G18"/>
    <mergeCell ref="P242:V242"/>
    <mergeCell ref="P188:T188"/>
    <mergeCell ref="P34:T34"/>
    <mergeCell ref="D151:E151"/>
    <mergeCell ref="D86:E86"/>
    <mergeCell ref="D321:E321"/>
    <mergeCell ref="P278:T278"/>
    <mergeCell ref="D150:E150"/>
    <mergeCell ref="P129:V129"/>
    <mergeCell ref="M17:M18"/>
    <mergeCell ref="O17:O18"/>
    <mergeCell ref="D226:E226"/>
    <mergeCell ref="AA17:AA18"/>
    <mergeCell ref="A377:Z377"/>
    <mergeCell ref="AC17:AC18"/>
    <mergeCell ref="P485:T485"/>
    <mergeCell ref="AB17:AB18"/>
    <mergeCell ref="P476:V476"/>
    <mergeCell ref="A457:Z457"/>
    <mergeCell ref="D449:E449"/>
    <mergeCell ref="P183:T183"/>
    <mergeCell ref="D177:E177"/>
    <mergeCell ref="A106:Z106"/>
    <mergeCell ref="D462:E462"/>
    <mergeCell ref="P62:T62"/>
    <mergeCell ref="A425:Z425"/>
    <mergeCell ref="A422:O423"/>
    <mergeCell ref="A360:O361"/>
    <mergeCell ref="A189:O190"/>
    <mergeCell ref="A118:O119"/>
    <mergeCell ref="D102:E102"/>
    <mergeCell ref="H17:H18"/>
    <mergeCell ref="P261:T261"/>
    <mergeCell ref="A146:Z146"/>
    <mergeCell ref="D204:E204"/>
    <mergeCell ref="P217:T217"/>
    <mergeCell ref="P27:T27"/>
    <mergeCell ref="D206:E206"/>
    <mergeCell ref="P241:V241"/>
    <mergeCell ref="D298:E298"/>
    <mergeCell ref="A158:Z158"/>
    <mergeCell ref="P91:T91"/>
    <mergeCell ref="D273:E273"/>
    <mergeCell ref="P327:T327"/>
    <mergeCell ref="A80:O81"/>
    <mergeCell ref="P105:V105"/>
    <mergeCell ref="P81:V81"/>
    <mergeCell ref="D51:E51"/>
    <mergeCell ref="P306:T306"/>
    <mergeCell ref="P157:V157"/>
    <mergeCell ref="A38:Z38"/>
    <mergeCell ref="P249:V249"/>
    <mergeCell ref="P207:T207"/>
    <mergeCell ref="P299:T299"/>
    <mergeCell ref="D203:E203"/>
    <mergeCell ref="P232:T232"/>
    <mergeCell ref="P152:V152"/>
    <mergeCell ref="A82:Z82"/>
    <mergeCell ref="P51:T51"/>
    <mergeCell ref="P58:V58"/>
    <mergeCell ref="D438:E438"/>
    <mergeCell ref="P395:T395"/>
    <mergeCell ref="D359:E359"/>
    <mergeCell ref="D433:E433"/>
    <mergeCell ref="P383:T383"/>
    <mergeCell ref="T496:T497"/>
    <mergeCell ref="D178:E178"/>
    <mergeCell ref="D172:E172"/>
    <mergeCell ref="A156:O157"/>
    <mergeCell ref="A419:Z419"/>
    <mergeCell ref="Q496:Q497"/>
    <mergeCell ref="S496:S497"/>
    <mergeCell ref="P454:V454"/>
    <mergeCell ref="D485:E485"/>
    <mergeCell ref="P451:T451"/>
    <mergeCell ref="A470:Z470"/>
    <mergeCell ref="A375:O376"/>
    <mergeCell ref="D399:E399"/>
    <mergeCell ref="A439:O440"/>
    <mergeCell ref="P309:T309"/>
    <mergeCell ref="D193:E193"/>
    <mergeCell ref="P206:T206"/>
    <mergeCell ref="P448:T448"/>
    <mergeCell ref="P233:T233"/>
    <mergeCell ref="A13:M13"/>
    <mergeCell ref="A325:Z325"/>
    <mergeCell ref="A367:Z367"/>
    <mergeCell ref="P115:T115"/>
    <mergeCell ref="D254:E254"/>
    <mergeCell ref="D61:E61"/>
    <mergeCell ref="P302:V302"/>
    <mergeCell ref="P238:T238"/>
    <mergeCell ref="A15:M15"/>
    <mergeCell ref="A88:O89"/>
    <mergeCell ref="P204:T204"/>
    <mergeCell ref="D348:E348"/>
    <mergeCell ref="D62:E62"/>
    <mergeCell ref="D56:E56"/>
    <mergeCell ref="P216:T216"/>
    <mergeCell ref="D137:E137"/>
    <mergeCell ref="P360:V360"/>
    <mergeCell ref="P80:V80"/>
    <mergeCell ref="D74:E74"/>
    <mergeCell ref="P87:T87"/>
    <mergeCell ref="D335:E335"/>
    <mergeCell ref="D188:E188"/>
    <mergeCell ref="P322:T322"/>
    <mergeCell ref="D132:E132"/>
    <mergeCell ref="T5:U5"/>
    <mergeCell ref="V5:W5"/>
    <mergeCell ref="P374:T374"/>
    <mergeCell ref="P203:T203"/>
    <mergeCell ref="A319:Z319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D340:E340"/>
    <mergeCell ref="T6:U9"/>
    <mergeCell ref="Q10:R10"/>
    <mergeCell ref="D41:E41"/>
    <mergeCell ref="P296:T296"/>
    <mergeCell ref="P318:V318"/>
    <mergeCell ref="P25:V25"/>
    <mergeCell ref="A37:Z37"/>
    <mergeCell ref="J9:M9"/>
    <mergeCell ref="D285:E285"/>
    <mergeCell ref="P496:P497"/>
    <mergeCell ref="P285:T285"/>
    <mergeCell ref="R496:R497"/>
    <mergeCell ref="A259:Z259"/>
    <mergeCell ref="A424:Z424"/>
    <mergeCell ref="P228:V228"/>
    <mergeCell ref="A12:M12"/>
    <mergeCell ref="P355:V355"/>
    <mergeCell ref="P293:V293"/>
    <mergeCell ref="P397:T397"/>
    <mergeCell ref="P200:V200"/>
    <mergeCell ref="P74:T74"/>
    <mergeCell ref="A19:Z19"/>
    <mergeCell ref="P292:V292"/>
    <mergeCell ref="D182:E182"/>
    <mergeCell ref="D480:E480"/>
    <mergeCell ref="D280:E280"/>
    <mergeCell ref="D109:E109"/>
    <mergeCell ref="A14:M14"/>
    <mergeCell ref="D467:E467"/>
    <mergeCell ref="D409:E409"/>
    <mergeCell ref="P438:T438"/>
    <mergeCell ref="D444:E444"/>
    <mergeCell ref="A486:O487"/>
    <mergeCell ref="P370:V370"/>
    <mergeCell ref="A369:O370"/>
    <mergeCell ref="A251:Z251"/>
    <mergeCell ref="P288:V288"/>
    <mergeCell ref="D328:E328"/>
    <mergeCell ref="D114:E114"/>
    <mergeCell ref="P143:T143"/>
    <mergeCell ref="P248:T248"/>
    <mergeCell ref="A365:O366"/>
    <mergeCell ref="P235:T235"/>
    <mergeCell ref="P486:V486"/>
    <mergeCell ref="P75:V75"/>
    <mergeCell ref="P317:V317"/>
    <mergeCell ref="P305:T305"/>
    <mergeCell ref="A98:Z98"/>
    <mergeCell ref="P344:V344"/>
    <mergeCell ref="D52:E52"/>
    <mergeCell ref="D350:E350"/>
    <mergeCell ref="D27:E27"/>
    <mergeCell ref="P208:T208"/>
    <mergeCell ref="D396:E396"/>
    <mergeCell ref="P450:T450"/>
    <mergeCell ref="A138:O139"/>
    <mergeCell ref="D116:E116"/>
    <mergeCell ref="D414:E414"/>
    <mergeCell ref="D352:E352"/>
    <mergeCell ref="P219:T219"/>
    <mergeCell ref="D91:E91"/>
    <mergeCell ref="A164:Z164"/>
    <mergeCell ref="P272:T272"/>
    <mergeCell ref="D460:E460"/>
    <mergeCell ref="D327:E327"/>
    <mergeCell ref="P439:V439"/>
    <mergeCell ref="D398:E398"/>
    <mergeCell ref="D466:E466"/>
    <mergeCell ref="P66:T66"/>
    <mergeCell ref="P137:T137"/>
    <mergeCell ref="D9:E9"/>
    <mergeCell ref="F9:G9"/>
    <mergeCell ref="P53:T53"/>
    <mergeCell ref="D167:E167"/>
    <mergeCell ref="P351:T351"/>
    <mergeCell ref="D161:E161"/>
    <mergeCell ref="D403:E403"/>
    <mergeCell ref="D232:E232"/>
    <mergeCell ref="P264:T264"/>
    <mergeCell ref="P239:T239"/>
    <mergeCell ref="P186:V186"/>
    <mergeCell ref="A185:O186"/>
    <mergeCell ref="D169:E169"/>
    <mergeCell ref="P353:T353"/>
    <mergeCell ref="P440:V440"/>
    <mergeCell ref="P132:T132"/>
    <mergeCell ref="A122:O123"/>
    <mergeCell ref="A249:O250"/>
    <mergeCell ref="A357:Z357"/>
    <mergeCell ref="P15:T16"/>
    <mergeCell ref="P23:T23"/>
    <mergeCell ref="H496:H497"/>
    <mergeCell ref="P133:V133"/>
    <mergeCell ref="J496:J497"/>
    <mergeCell ref="P491:V491"/>
    <mergeCell ref="P369:V369"/>
    <mergeCell ref="A5:C5"/>
    <mergeCell ref="P418:V418"/>
    <mergeCell ref="A408:Z408"/>
    <mergeCell ref="P64:V64"/>
    <mergeCell ref="P340:T340"/>
    <mergeCell ref="A187:Z187"/>
    <mergeCell ref="D166:E166"/>
    <mergeCell ref="P128:V128"/>
    <mergeCell ref="A17:A18"/>
    <mergeCell ref="P300:T300"/>
    <mergeCell ref="K17:K18"/>
    <mergeCell ref="C17:C18"/>
    <mergeCell ref="D30:E30"/>
    <mergeCell ref="P431:T431"/>
    <mergeCell ref="D103:E103"/>
    <mergeCell ref="P358:T358"/>
    <mergeCell ref="A474:Z474"/>
    <mergeCell ref="P380:V380"/>
    <mergeCell ref="D168:E168"/>
    <mergeCell ref="A6:C6"/>
    <mergeCell ref="D309:E309"/>
    <mergeCell ref="P416:T416"/>
    <mergeCell ref="P167:T167"/>
    <mergeCell ref="P336:V336"/>
    <mergeCell ref="A332:Z332"/>
    <mergeCell ref="D148:E148"/>
    <mergeCell ref="P142:T142"/>
    <mergeCell ref="P403:T403"/>
    <mergeCell ref="P378:T378"/>
    <mergeCell ref="P117:T117"/>
    <mergeCell ref="P55:T55"/>
    <mergeCell ref="D115:E115"/>
    <mergeCell ref="P182:T182"/>
    <mergeCell ref="P280:T280"/>
    <mergeCell ref="Q12:R12"/>
    <mergeCell ref="A274:O275"/>
    <mergeCell ref="D261:E261"/>
    <mergeCell ref="P169:T169"/>
    <mergeCell ref="P196:V196"/>
    <mergeCell ref="A68:O69"/>
    <mergeCell ref="A43:O44"/>
    <mergeCell ref="P210:T210"/>
    <mergeCell ref="P308:T308"/>
    <mergeCell ref="U495:W495"/>
    <mergeCell ref="D235:E235"/>
    <mergeCell ref="P463:V463"/>
    <mergeCell ref="Q9:R9"/>
    <mergeCell ref="P267:V267"/>
    <mergeCell ref="D451:E451"/>
    <mergeCell ref="D255:E255"/>
    <mergeCell ref="A113:Z113"/>
    <mergeCell ref="P36:V36"/>
    <mergeCell ref="A303:Z303"/>
    <mergeCell ref="A159:Z159"/>
    <mergeCell ref="P78:T78"/>
    <mergeCell ref="A97:Z97"/>
    <mergeCell ref="D322:E322"/>
    <mergeCell ref="P205:T205"/>
    <mergeCell ref="Q11:R11"/>
    <mergeCell ref="A195:O196"/>
    <mergeCell ref="D453:E453"/>
    <mergeCell ref="P417:V417"/>
    <mergeCell ref="P480:T480"/>
    <mergeCell ref="P467:T467"/>
    <mergeCell ref="P442:T442"/>
    <mergeCell ref="P489:V489"/>
    <mergeCell ref="D448:E448"/>
    <mergeCell ref="P488:V488"/>
    <mergeCell ref="P282:V282"/>
    <mergeCell ref="P111:V111"/>
    <mergeCell ref="J17:J18"/>
    <mergeCell ref="L17:L18"/>
    <mergeCell ref="D240:E240"/>
    <mergeCell ref="P48:V48"/>
    <mergeCell ref="P490:V490"/>
    <mergeCell ref="C495:H495"/>
    <mergeCell ref="A371:Z371"/>
    <mergeCell ref="P255:T255"/>
    <mergeCell ref="D334:E334"/>
    <mergeCell ref="A407:Z407"/>
    <mergeCell ref="A382:Z382"/>
    <mergeCell ref="P112:V112"/>
    <mergeCell ref="P428:T428"/>
    <mergeCell ref="D100:E100"/>
    <mergeCell ref="P17:T18"/>
    <mergeCell ref="A77:Z77"/>
    <mergeCell ref="P323:V323"/>
    <mergeCell ref="P194:T194"/>
    <mergeCell ref="D329:E329"/>
    <mergeCell ref="P286:T286"/>
    <mergeCell ref="P479:T479"/>
    <mergeCell ref="U496:U497"/>
    <mergeCell ref="D354:E354"/>
    <mergeCell ref="P162:V162"/>
    <mergeCell ref="A45:Z45"/>
    <mergeCell ref="A458:Z458"/>
    <mergeCell ref="P35:V35"/>
    <mergeCell ref="D316:E316"/>
    <mergeCell ref="P273:T273"/>
    <mergeCell ref="D443:E443"/>
    <mergeCell ref="D272:E272"/>
    <mergeCell ref="A345:Z345"/>
    <mergeCell ref="D210:E210"/>
    <mergeCell ref="D308:E308"/>
    <mergeCell ref="I496:I497"/>
    <mergeCell ref="K496:K497"/>
    <mergeCell ref="D209:E209"/>
    <mergeCell ref="P166:T166"/>
    <mergeCell ref="D147:E147"/>
    <mergeCell ref="D87:E87"/>
    <mergeCell ref="P116:T116"/>
    <mergeCell ref="A162:O163"/>
    <mergeCell ref="P103:T103"/>
    <mergeCell ref="P168:T168"/>
    <mergeCell ref="P190:V190"/>
    <mergeCell ref="B496:B497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D55:E55"/>
    <mergeCell ref="A410:O411"/>
    <mergeCell ref="P413:T413"/>
    <mergeCell ref="A179:O180"/>
    <mergeCell ref="D353:E353"/>
    <mergeCell ref="P171:T171"/>
    <mergeCell ref="D117:E117"/>
    <mergeCell ref="A95:O96"/>
    <mergeCell ref="D92:E92"/>
    <mergeCell ref="D67:E67"/>
    <mergeCell ref="A140:Z140"/>
    <mergeCell ref="P453:T453"/>
    <mergeCell ref="P42:T42"/>
    <mergeCell ref="P472:V472"/>
    <mergeCell ref="P329:T329"/>
    <mergeCell ref="P180:V180"/>
    <mergeCell ref="P118:V118"/>
    <mergeCell ref="A70:Z70"/>
    <mergeCell ref="P487:V487"/>
    <mergeCell ref="P343:V343"/>
    <mergeCell ref="H1:Q1"/>
    <mergeCell ref="A268:Z268"/>
    <mergeCell ref="A243:Z243"/>
    <mergeCell ref="P274:V274"/>
    <mergeCell ref="D214:E214"/>
    <mergeCell ref="D5:E5"/>
    <mergeCell ref="D290:E290"/>
    <mergeCell ref="D94:E94"/>
    <mergeCell ref="P471:T471"/>
    <mergeCell ref="P148:T148"/>
    <mergeCell ref="A47:O48"/>
    <mergeCell ref="P240:T240"/>
    <mergeCell ref="A26:Z26"/>
    <mergeCell ref="P466:T466"/>
    <mergeCell ref="D1:F1"/>
    <mergeCell ref="A402:Z402"/>
    <mergeCell ref="P131:T131"/>
    <mergeCell ref="V10:W10"/>
    <mergeCell ref="A124:Z124"/>
    <mergeCell ref="X496:X497"/>
    <mergeCell ref="D431:E431"/>
    <mergeCell ref="P99:T99"/>
    <mergeCell ref="P170:T170"/>
    <mergeCell ref="P316:T316"/>
    <mergeCell ref="D66:E66"/>
    <mergeCell ref="D126:E126"/>
    <mergeCell ref="P443:T443"/>
    <mergeCell ref="D253:E253"/>
    <mergeCell ref="D53:E53"/>
    <mergeCell ref="D351:E351"/>
    <mergeCell ref="P330:V330"/>
    <mergeCell ref="A447:Z447"/>
    <mergeCell ref="P209:T209"/>
    <mergeCell ref="P147:T147"/>
    <mergeCell ref="A50:Z50"/>
    <mergeCell ref="W17:W18"/>
    <mergeCell ref="P96:V96"/>
    <mergeCell ref="A213:Z213"/>
    <mergeCell ref="P234:T234"/>
    <mergeCell ref="I495:R495"/>
    <mergeCell ref="D142:E142"/>
    <mergeCell ref="B17:B18"/>
    <mergeCell ref="D479:E479"/>
    <mergeCell ref="D131:E131"/>
    <mergeCell ref="A260:Z260"/>
    <mergeCell ref="P477:V477"/>
    <mergeCell ref="P404:T404"/>
    <mergeCell ref="P252:T252"/>
    <mergeCell ref="P56:T56"/>
    <mergeCell ref="A197:Z197"/>
    <mergeCell ref="P379:T379"/>
    <mergeCell ref="D378:E378"/>
    <mergeCell ref="A405:O406"/>
    <mergeCell ref="P236:T236"/>
    <mergeCell ref="D79:E79"/>
    <mergeCell ref="P156:V156"/>
    <mergeCell ref="P92:T92"/>
    <mergeCell ref="P334:T334"/>
    <mergeCell ref="P394:T394"/>
    <mergeCell ref="A380:O381"/>
    <mergeCell ref="D442:E442"/>
    <mergeCell ref="D315:E315"/>
    <mergeCell ref="D429:E429"/>
    <mergeCell ref="P173:T173"/>
    <mergeCell ref="P29:T29"/>
    <mergeCell ref="W496:W497"/>
    <mergeCell ref="P165:T165"/>
    <mergeCell ref="P432:T432"/>
    <mergeCell ref="P400:V400"/>
    <mergeCell ref="P229:V229"/>
    <mergeCell ref="D73:E73"/>
    <mergeCell ref="P30:T30"/>
    <mergeCell ref="P375:V375"/>
    <mergeCell ref="P179:V179"/>
    <mergeCell ref="P446:V446"/>
    <mergeCell ref="A445:O446"/>
    <mergeCell ref="P464:V464"/>
    <mergeCell ref="P290:T290"/>
    <mergeCell ref="P452:T452"/>
    <mergeCell ref="A202:Z202"/>
    <mergeCell ref="A63:O64"/>
    <mergeCell ref="V496:V497"/>
    <mergeCell ref="A496:A497"/>
    <mergeCell ref="C496:C497"/>
    <mergeCell ref="Y495:Z495"/>
    <mergeCell ref="P271:T271"/>
    <mergeCell ref="P100:T100"/>
    <mergeCell ref="P265:T265"/>
    <mergeCell ref="P94:T94"/>
    <mergeCell ref="R1:T1"/>
    <mergeCell ref="P150:T150"/>
    <mergeCell ref="D71:E71"/>
    <mergeCell ref="P392:T392"/>
    <mergeCell ref="P326:T326"/>
    <mergeCell ref="P221:T221"/>
    <mergeCell ref="D307:E307"/>
    <mergeCell ref="P215:T215"/>
    <mergeCell ref="P28:T28"/>
    <mergeCell ref="D7:M7"/>
    <mergeCell ref="D379:E379"/>
    <mergeCell ref="D208:E208"/>
    <mergeCell ref="D8:M8"/>
    <mergeCell ref="A211:O212"/>
    <mergeCell ref="D300:E300"/>
    <mergeCell ref="P237:T237"/>
    <mergeCell ref="D108:E108"/>
    <mergeCell ref="A111:O112"/>
    <mergeCell ref="P52:T52"/>
    <mergeCell ref="P350:T350"/>
    <mergeCell ref="P201:V201"/>
    <mergeCell ref="P139:V139"/>
    <mergeCell ref="I17:I18"/>
    <mergeCell ref="D306:E306"/>
    <mergeCell ref="A441:Z441"/>
    <mergeCell ref="P245:V245"/>
    <mergeCell ref="H9:I9"/>
    <mergeCell ref="P224:V224"/>
    <mergeCell ref="P24:V24"/>
    <mergeCell ref="A49:Z49"/>
    <mergeCell ref="P211:V211"/>
    <mergeCell ref="P89:V89"/>
    <mergeCell ref="D297:E297"/>
    <mergeCell ref="P88:V88"/>
    <mergeCell ref="P155:T155"/>
    <mergeCell ref="P324:V324"/>
    <mergeCell ref="P153:V153"/>
    <mergeCell ref="P391:T391"/>
    <mergeCell ref="D263:E263"/>
    <mergeCell ref="P220:T220"/>
    <mergeCell ref="A65:Z65"/>
    <mergeCell ref="D238:E238"/>
    <mergeCell ref="P86:T86"/>
    <mergeCell ref="A287:O288"/>
    <mergeCell ref="A343:O344"/>
    <mergeCell ref="P384:T384"/>
    <mergeCell ref="P328:T328"/>
    <mergeCell ref="A281:O282"/>
    <mergeCell ref="P79:T79"/>
    <mergeCell ref="D60:E60"/>
    <mergeCell ref="P244:T244"/>
    <mergeCell ref="P73:T73"/>
    <mergeCell ref="P437:T437"/>
    <mergeCell ref="P315:T315"/>
    <mergeCell ref="D174:E174"/>
    <mergeCell ref="A83:Z83"/>
    <mergeCell ref="A276:Z276"/>
    <mergeCell ref="D205:E205"/>
    <mergeCell ref="D78:E78"/>
    <mergeCell ref="A330:O331"/>
    <mergeCell ref="D363:E363"/>
    <mergeCell ref="P172:T172"/>
    <mergeCell ref="P429:T429"/>
    <mergeCell ref="A417:O418"/>
    <mergeCell ref="P414:T414"/>
    <mergeCell ref="P352:T352"/>
    <mergeCell ref="D72:E72"/>
    <mergeCell ref="P301:V301"/>
    <mergeCell ref="A120:Z120"/>
    <mergeCell ref="D416:E416"/>
    <mergeCell ref="P427:T427"/>
    <mergeCell ref="D264:E264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42 X51:X52 X54 X60 X71 X78 X84 X87 X91 X99 X102 X107 X110 X114 X116 X165 X167 X169 X174 X176 X199 X203:X204 X206:X208 X210 X216:X217 X219:X222 X227 X232 X279:X280 X320:X322 X329 X340 X348:X350 X358 X383:X384 X427 X430:X431 X433 X442 X444 X448:X45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752</v>
      </c>
      <c r="H1" s="52"/>
    </row>
    <row r="3" spans="2:8" x14ac:dyDescent="0.2">
      <c r="B3" s="47" t="s">
        <v>753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754</v>
      </c>
      <c r="D6" s="47" t="s">
        <v>755</v>
      </c>
      <c r="E6" s="47"/>
    </row>
    <row r="8" spans="2:8" x14ac:dyDescent="0.2">
      <c r="B8" s="47" t="s">
        <v>19</v>
      </c>
      <c r="C8" s="47" t="s">
        <v>754</v>
      </c>
      <c r="D8" s="47"/>
      <c r="E8" s="47"/>
    </row>
    <row r="10" spans="2:8" x14ac:dyDescent="0.2">
      <c r="B10" s="47" t="s">
        <v>756</v>
      </c>
      <c r="C10" s="47"/>
      <c r="D10" s="47"/>
      <c r="E10" s="47"/>
    </row>
    <row r="11" spans="2:8" x14ac:dyDescent="0.2">
      <c r="B11" s="47" t="s">
        <v>757</v>
      </c>
      <c r="C11" s="47"/>
      <c r="D11" s="47"/>
      <c r="E11" s="47"/>
    </row>
    <row r="12" spans="2:8" x14ac:dyDescent="0.2">
      <c r="B12" s="47" t="s">
        <v>758</v>
      </c>
      <c r="C12" s="47"/>
      <c r="D12" s="47"/>
      <c r="E12" s="47"/>
    </row>
    <row r="13" spans="2:8" x14ac:dyDescent="0.2">
      <c r="B13" s="47" t="s">
        <v>759</v>
      </c>
      <c r="C13" s="47"/>
      <c r="D13" s="47"/>
      <c r="E13" s="47"/>
    </row>
    <row r="14" spans="2:8" x14ac:dyDescent="0.2">
      <c r="B14" s="47" t="s">
        <v>760</v>
      </c>
      <c r="C14" s="47"/>
      <c r="D14" s="47"/>
      <c r="E14" s="47"/>
    </row>
    <row r="15" spans="2:8" x14ac:dyDescent="0.2">
      <c r="B15" s="47" t="s">
        <v>761</v>
      </c>
      <c r="C15" s="47"/>
      <c r="D15" s="47"/>
      <c r="E15" s="47"/>
    </row>
    <row r="16" spans="2:8" x14ac:dyDescent="0.2">
      <c r="B16" s="47" t="s">
        <v>762</v>
      </c>
      <c r="C16" s="47"/>
      <c r="D16" s="47"/>
      <c r="E16" s="47"/>
    </row>
    <row r="17" spans="2:5" x14ac:dyDescent="0.2">
      <c r="B17" s="47" t="s">
        <v>763</v>
      </c>
      <c r="C17" s="47"/>
      <c r="D17" s="47"/>
      <c r="E17" s="47"/>
    </row>
    <row r="18" spans="2:5" x14ac:dyDescent="0.2">
      <c r="B18" s="47" t="s">
        <v>764</v>
      </c>
      <c r="C18" s="47"/>
      <c r="D18" s="47"/>
      <c r="E18" s="47"/>
    </row>
    <row r="19" spans="2:5" x14ac:dyDescent="0.2">
      <c r="B19" s="47" t="s">
        <v>765</v>
      </c>
      <c r="C19" s="47"/>
      <c r="D19" s="47"/>
      <c r="E19" s="47"/>
    </row>
    <row r="20" spans="2:5" x14ac:dyDescent="0.2">
      <c r="B20" s="47" t="s">
        <v>766</v>
      </c>
      <c r="C20" s="47"/>
      <c r="D20" s="47"/>
      <c r="E20" s="47"/>
    </row>
  </sheetData>
  <sheetProtection algorithmName="SHA-512" hashValue="vS4A8JLQJDQUFc5d61aMUbRS83fIQ8NduHV2vT257TV0uzNKc5uutiInEhGJLRnGC0BkWVabi/K0bf+Z7z/7Ag==" saltValue="hBt7bphLfldjwTD70t57F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2026-01-28T11:34:51Z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