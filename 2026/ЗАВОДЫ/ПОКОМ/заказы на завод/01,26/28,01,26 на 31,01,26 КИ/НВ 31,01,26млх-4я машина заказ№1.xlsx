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F3D19A4-6F9F-4814-8D7F-76B22917C5A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Y468" i="1" s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Z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Y405" i="1" s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Y375" i="1" s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Z263" i="1" s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Y229" i="1" s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X201" i="1"/>
  <c r="X200" i="1"/>
  <c r="BO199" i="1"/>
  <c r="BM199" i="1"/>
  <c r="Y199" i="1"/>
  <c r="P199" i="1"/>
  <c r="BO198" i="1"/>
  <c r="BM198" i="1"/>
  <c r="Y198" i="1"/>
  <c r="Y201" i="1" s="1"/>
  <c r="P198" i="1"/>
  <c r="X196" i="1"/>
  <c r="X195" i="1"/>
  <c r="BO194" i="1"/>
  <c r="BM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X180" i="1"/>
  <c r="X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Y180" i="1" s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39" i="1"/>
  <c r="X138" i="1"/>
  <c r="BO137" i="1"/>
  <c r="BM137" i="1"/>
  <c r="Y137" i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M131" i="1"/>
  <c r="Y131" i="1"/>
  <c r="BP131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Y122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Y112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Y190" i="1" l="1"/>
  <c r="Y189" i="1"/>
  <c r="BP188" i="1"/>
  <c r="BN188" i="1"/>
  <c r="Z188" i="1"/>
  <c r="Z189" i="1" s="1"/>
  <c r="BP193" i="1"/>
  <c r="BN193" i="1"/>
  <c r="Z193" i="1"/>
  <c r="BP219" i="1"/>
  <c r="BN219" i="1"/>
  <c r="Z219" i="1"/>
  <c r="Y246" i="1"/>
  <c r="Y245" i="1"/>
  <c r="BP244" i="1"/>
  <c r="BN244" i="1"/>
  <c r="Z244" i="1"/>
  <c r="Z245" i="1" s="1"/>
  <c r="Y250" i="1"/>
  <c r="Y249" i="1"/>
  <c r="BP248" i="1"/>
  <c r="BN248" i="1"/>
  <c r="Z248" i="1"/>
  <c r="Z249" i="1" s="1"/>
  <c r="BP252" i="1"/>
  <c r="BN252" i="1"/>
  <c r="Z252" i="1"/>
  <c r="BP278" i="1"/>
  <c r="BN278" i="1"/>
  <c r="Z278" i="1"/>
  <c r="BP308" i="1"/>
  <c r="BN308" i="1"/>
  <c r="Z308" i="1"/>
  <c r="BP334" i="1"/>
  <c r="BN334" i="1"/>
  <c r="Z334" i="1"/>
  <c r="BP384" i="1"/>
  <c r="BN384" i="1"/>
  <c r="Z384" i="1"/>
  <c r="Y423" i="1"/>
  <c r="Y422" i="1"/>
  <c r="BP421" i="1"/>
  <c r="BN421" i="1"/>
  <c r="Z421" i="1"/>
  <c r="Z422" i="1" s="1"/>
  <c r="BP427" i="1"/>
  <c r="BN427" i="1"/>
  <c r="Z427" i="1"/>
  <c r="BP451" i="1"/>
  <c r="BN451" i="1"/>
  <c r="Z451" i="1"/>
  <c r="X489" i="1"/>
  <c r="Z23" i="1"/>
  <c r="BN23" i="1"/>
  <c r="X488" i="1"/>
  <c r="Y31" i="1"/>
  <c r="Z52" i="1"/>
  <c r="BN52" i="1"/>
  <c r="Z62" i="1"/>
  <c r="BN62" i="1"/>
  <c r="Z78" i="1"/>
  <c r="BN78" i="1"/>
  <c r="E498" i="1"/>
  <c r="Z93" i="1"/>
  <c r="BN93" i="1"/>
  <c r="F498" i="1"/>
  <c r="Z110" i="1"/>
  <c r="BN110" i="1"/>
  <c r="Z131" i="1"/>
  <c r="BN131" i="1"/>
  <c r="Z150" i="1"/>
  <c r="BN150" i="1"/>
  <c r="I498" i="1"/>
  <c r="BP168" i="1"/>
  <c r="BN168" i="1"/>
  <c r="BP176" i="1"/>
  <c r="BN176" i="1"/>
  <c r="Z176" i="1"/>
  <c r="BP207" i="1"/>
  <c r="BN207" i="1"/>
  <c r="Z207" i="1"/>
  <c r="BP234" i="1"/>
  <c r="BN234" i="1"/>
  <c r="Z234" i="1"/>
  <c r="BP298" i="1"/>
  <c r="BN298" i="1"/>
  <c r="Z298" i="1"/>
  <c r="BP322" i="1"/>
  <c r="BN322" i="1"/>
  <c r="Z322" i="1"/>
  <c r="BP353" i="1"/>
  <c r="BN353" i="1"/>
  <c r="Z353" i="1"/>
  <c r="BP398" i="1"/>
  <c r="BN398" i="1"/>
  <c r="Z398" i="1"/>
  <c r="BP435" i="1"/>
  <c r="BN435" i="1"/>
  <c r="Z435" i="1"/>
  <c r="BP467" i="1"/>
  <c r="BN467" i="1"/>
  <c r="Z46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BP85" i="1"/>
  <c r="BN85" i="1"/>
  <c r="Z85" i="1"/>
  <c r="BP100" i="1"/>
  <c r="BN100" i="1"/>
  <c r="Z100" i="1"/>
  <c r="Y118" i="1"/>
  <c r="BP114" i="1"/>
  <c r="BN114" i="1"/>
  <c r="Z114" i="1"/>
  <c r="BP137" i="1"/>
  <c r="BN137" i="1"/>
  <c r="Z137" i="1"/>
  <c r="BP166" i="1"/>
  <c r="BN166" i="1"/>
  <c r="Z166" i="1"/>
  <c r="BP174" i="1"/>
  <c r="BN174" i="1"/>
  <c r="Z174" i="1"/>
  <c r="BP184" i="1"/>
  <c r="BN184" i="1"/>
  <c r="Z184" i="1"/>
  <c r="BP205" i="1"/>
  <c r="BN205" i="1"/>
  <c r="Z205" i="1"/>
  <c r="BP217" i="1"/>
  <c r="BN217" i="1"/>
  <c r="Z217" i="1"/>
  <c r="BP232" i="1"/>
  <c r="BN232" i="1"/>
  <c r="Z232" i="1"/>
  <c r="BP240" i="1"/>
  <c r="BN240" i="1"/>
  <c r="Z240" i="1"/>
  <c r="BP261" i="1"/>
  <c r="BN261" i="1"/>
  <c r="Z261" i="1"/>
  <c r="BP273" i="1"/>
  <c r="BN273" i="1"/>
  <c r="Z273" i="1"/>
  <c r="Q498" i="1"/>
  <c r="BP296" i="1"/>
  <c r="BN296" i="1"/>
  <c r="Z296" i="1"/>
  <c r="BP306" i="1"/>
  <c r="BN306" i="1"/>
  <c r="Z306" i="1"/>
  <c r="Y324" i="1"/>
  <c r="BP320" i="1"/>
  <c r="BN320" i="1"/>
  <c r="Z320" i="1"/>
  <c r="Y323" i="1"/>
  <c r="B498" i="1"/>
  <c r="X490" i="1"/>
  <c r="Z27" i="1"/>
  <c r="BN27" i="1"/>
  <c r="BP27" i="1"/>
  <c r="Z41" i="1"/>
  <c r="BN41" i="1"/>
  <c r="D498" i="1"/>
  <c r="Z54" i="1"/>
  <c r="BN54" i="1"/>
  <c r="Z60" i="1"/>
  <c r="BN60" i="1"/>
  <c r="BP60" i="1"/>
  <c r="Z66" i="1"/>
  <c r="BN66" i="1"/>
  <c r="BP66" i="1"/>
  <c r="Y76" i="1"/>
  <c r="Z74" i="1"/>
  <c r="BN74" i="1"/>
  <c r="Y95" i="1"/>
  <c r="BP91" i="1"/>
  <c r="BN91" i="1"/>
  <c r="Z91" i="1"/>
  <c r="BP108" i="1"/>
  <c r="BN108" i="1"/>
  <c r="Z108" i="1"/>
  <c r="G498" i="1"/>
  <c r="BP127" i="1"/>
  <c r="BN127" i="1"/>
  <c r="Z127" i="1"/>
  <c r="Y152" i="1"/>
  <c r="BP148" i="1"/>
  <c r="BN148" i="1"/>
  <c r="Z148" i="1"/>
  <c r="BP170" i="1"/>
  <c r="BN170" i="1"/>
  <c r="Z170" i="1"/>
  <c r="BP178" i="1"/>
  <c r="BN178" i="1"/>
  <c r="Z178" i="1"/>
  <c r="BP199" i="1"/>
  <c r="BN199" i="1"/>
  <c r="Z199" i="1"/>
  <c r="BP209" i="1"/>
  <c r="BN209" i="1"/>
  <c r="Z209" i="1"/>
  <c r="BP221" i="1"/>
  <c r="BN221" i="1"/>
  <c r="Z221" i="1"/>
  <c r="BP236" i="1"/>
  <c r="BN236" i="1"/>
  <c r="Z236" i="1"/>
  <c r="BP254" i="1"/>
  <c r="BN254" i="1"/>
  <c r="Z254" i="1"/>
  <c r="BP264" i="1"/>
  <c r="BN264" i="1"/>
  <c r="Z264" i="1"/>
  <c r="BP341" i="1"/>
  <c r="BN341" i="1"/>
  <c r="Z341" i="1"/>
  <c r="BP359" i="1"/>
  <c r="BN359" i="1"/>
  <c r="Z359" i="1"/>
  <c r="BP392" i="1"/>
  <c r="BN392" i="1"/>
  <c r="Z392" i="1"/>
  <c r="BP404" i="1"/>
  <c r="BN404" i="1"/>
  <c r="Z404" i="1"/>
  <c r="Y410" i="1"/>
  <c r="BP409" i="1"/>
  <c r="BN409" i="1"/>
  <c r="Z409" i="1"/>
  <c r="Z410" i="1" s="1"/>
  <c r="BP413" i="1"/>
  <c r="BN413" i="1"/>
  <c r="Z413" i="1"/>
  <c r="BP429" i="1"/>
  <c r="BN429" i="1"/>
  <c r="Z429" i="1"/>
  <c r="BP437" i="1"/>
  <c r="BN437" i="1"/>
  <c r="Z437" i="1"/>
  <c r="BP453" i="1"/>
  <c r="BN453" i="1"/>
  <c r="Z453" i="1"/>
  <c r="Y80" i="1"/>
  <c r="Y133" i="1"/>
  <c r="Y186" i="1"/>
  <c r="Y211" i="1"/>
  <c r="Y223" i="1"/>
  <c r="Y258" i="1"/>
  <c r="BP280" i="1"/>
  <c r="BN280" i="1"/>
  <c r="Z280" i="1"/>
  <c r="BP285" i="1"/>
  <c r="BN285" i="1"/>
  <c r="Z285" i="1"/>
  <c r="BP300" i="1"/>
  <c r="BN300" i="1"/>
  <c r="Z300" i="1"/>
  <c r="BP314" i="1"/>
  <c r="BN314" i="1"/>
  <c r="Z314" i="1"/>
  <c r="BP328" i="1"/>
  <c r="BN328" i="1"/>
  <c r="Z328" i="1"/>
  <c r="BP351" i="1"/>
  <c r="BN351" i="1"/>
  <c r="Z351" i="1"/>
  <c r="BP374" i="1"/>
  <c r="BN374" i="1"/>
  <c r="Z374" i="1"/>
  <c r="BP378" i="1"/>
  <c r="BN378" i="1"/>
  <c r="Z378" i="1"/>
  <c r="BP396" i="1"/>
  <c r="BN396" i="1"/>
  <c r="Z396" i="1"/>
  <c r="BP416" i="1"/>
  <c r="BN416" i="1"/>
  <c r="Z416" i="1"/>
  <c r="BP433" i="1"/>
  <c r="BN433" i="1"/>
  <c r="Z433" i="1"/>
  <c r="BP449" i="1"/>
  <c r="BN449" i="1"/>
  <c r="Z449" i="1"/>
  <c r="BP461" i="1"/>
  <c r="BN461" i="1"/>
  <c r="Z461" i="1"/>
  <c r="Y282" i="1"/>
  <c r="Y281" i="1"/>
  <c r="Y310" i="1"/>
  <c r="Y365" i="1"/>
  <c r="X498" i="1"/>
  <c r="W498" i="1"/>
  <c r="H9" i="1"/>
  <c r="A10" i="1"/>
  <c r="Y24" i="1"/>
  <c r="Y32" i="1"/>
  <c r="Y36" i="1"/>
  <c r="Y44" i="1"/>
  <c r="Y48" i="1"/>
  <c r="Y57" i="1"/>
  <c r="Y63" i="1"/>
  <c r="Y69" i="1"/>
  <c r="Y75" i="1"/>
  <c r="Y81" i="1"/>
  <c r="Y88" i="1"/>
  <c r="Y96" i="1"/>
  <c r="Y105" i="1"/>
  <c r="Y111" i="1"/>
  <c r="Y119" i="1"/>
  <c r="Y123" i="1"/>
  <c r="Y128" i="1"/>
  <c r="Y134" i="1"/>
  <c r="Y138" i="1"/>
  <c r="Y145" i="1"/>
  <c r="Y153" i="1"/>
  <c r="Y157" i="1"/>
  <c r="Y163" i="1"/>
  <c r="Y179" i="1"/>
  <c r="Y185" i="1"/>
  <c r="Y196" i="1"/>
  <c r="Y200" i="1"/>
  <c r="Y212" i="1"/>
  <c r="Y224" i="1"/>
  <c r="Y228" i="1"/>
  <c r="Y241" i="1"/>
  <c r="Y257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BP299" i="1"/>
  <c r="BN299" i="1"/>
  <c r="Z299" i="1"/>
  <c r="BP307" i="1"/>
  <c r="BN307" i="1"/>
  <c r="Z307" i="1"/>
  <c r="BP315" i="1"/>
  <c r="BN315" i="1"/>
  <c r="Z315" i="1"/>
  <c r="BP327" i="1"/>
  <c r="BN327" i="1"/>
  <c r="Z327" i="1"/>
  <c r="BP335" i="1"/>
  <c r="BN335" i="1"/>
  <c r="Z335" i="1"/>
  <c r="Y337" i="1"/>
  <c r="R498" i="1"/>
  <c r="Y343" i="1"/>
  <c r="BP340" i="1"/>
  <c r="BN340" i="1"/>
  <c r="Z340" i="1"/>
  <c r="BP350" i="1"/>
  <c r="BN350" i="1"/>
  <c r="Z350" i="1"/>
  <c r="BP354" i="1"/>
  <c r="BN354" i="1"/>
  <c r="Z354" i="1"/>
  <c r="Y356" i="1"/>
  <c r="Y361" i="1"/>
  <c r="BP358" i="1"/>
  <c r="BN358" i="1"/>
  <c r="Z358" i="1"/>
  <c r="Z360" i="1" s="1"/>
  <c r="BP379" i="1"/>
  <c r="BN379" i="1"/>
  <c r="Z379" i="1"/>
  <c r="Z380" i="1" s="1"/>
  <c r="Y381" i="1"/>
  <c r="Y386" i="1"/>
  <c r="BP383" i="1"/>
  <c r="BN383" i="1"/>
  <c r="Z383" i="1"/>
  <c r="BP393" i="1"/>
  <c r="BN393" i="1"/>
  <c r="Z393" i="1"/>
  <c r="BP397" i="1"/>
  <c r="BN397" i="1"/>
  <c r="Z397" i="1"/>
  <c r="Z417" i="1"/>
  <c r="BP414" i="1"/>
  <c r="BN414" i="1"/>
  <c r="Z414" i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Y446" i="1"/>
  <c r="BP450" i="1"/>
  <c r="BN450" i="1"/>
  <c r="Z450" i="1"/>
  <c r="Y454" i="1"/>
  <c r="BP460" i="1"/>
  <c r="BN460" i="1"/>
  <c r="Z460" i="1"/>
  <c r="Y498" i="1"/>
  <c r="Y464" i="1"/>
  <c r="BP480" i="1"/>
  <c r="BN480" i="1"/>
  <c r="Z480" i="1"/>
  <c r="Z481" i="1" s="1"/>
  <c r="Y482" i="1"/>
  <c r="F9" i="1"/>
  <c r="J9" i="1"/>
  <c r="Z22" i="1"/>
  <c r="Z24" i="1" s="1"/>
  <c r="BN22" i="1"/>
  <c r="BP22" i="1"/>
  <c r="X492" i="1"/>
  <c r="Y25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BN61" i="1"/>
  <c r="Z67" i="1"/>
  <c r="Z68" i="1" s="1"/>
  <c r="BN67" i="1"/>
  <c r="Z71" i="1"/>
  <c r="BN71" i="1"/>
  <c r="BP71" i="1"/>
  <c r="Z73" i="1"/>
  <c r="BN73" i="1"/>
  <c r="Z79" i="1"/>
  <c r="Z80" i="1" s="1"/>
  <c r="BN79" i="1"/>
  <c r="Z84" i="1"/>
  <c r="BN84" i="1"/>
  <c r="BP84" i="1"/>
  <c r="Z86" i="1"/>
  <c r="BN86" i="1"/>
  <c r="Y89" i="1"/>
  <c r="Z92" i="1"/>
  <c r="BN92" i="1"/>
  <c r="Z94" i="1"/>
  <c r="BN94" i="1"/>
  <c r="Z99" i="1"/>
  <c r="BN99" i="1"/>
  <c r="BP99" i="1"/>
  <c r="Z101" i="1"/>
  <c r="BN101" i="1"/>
  <c r="Z103" i="1"/>
  <c r="BN103" i="1"/>
  <c r="Y104" i="1"/>
  <c r="Z107" i="1"/>
  <c r="BN107" i="1"/>
  <c r="BP107" i="1"/>
  <c r="Z109" i="1"/>
  <c r="BN109" i="1"/>
  <c r="Z115" i="1"/>
  <c r="BN115" i="1"/>
  <c r="Z117" i="1"/>
  <c r="BN117" i="1"/>
  <c r="Z121" i="1"/>
  <c r="Z122" i="1" s="1"/>
  <c r="BN121" i="1"/>
  <c r="BP121" i="1"/>
  <c r="Z126" i="1"/>
  <c r="Z128" i="1" s="1"/>
  <c r="BN126" i="1"/>
  <c r="BP126" i="1"/>
  <c r="Y129" i="1"/>
  <c r="Z132" i="1"/>
  <c r="Z133" i="1" s="1"/>
  <c r="BN132" i="1"/>
  <c r="Z136" i="1"/>
  <c r="Z138" i="1" s="1"/>
  <c r="BN136" i="1"/>
  <c r="BP136" i="1"/>
  <c r="H498" i="1"/>
  <c r="Z143" i="1"/>
  <c r="Z144" i="1" s="1"/>
  <c r="BN143" i="1"/>
  <c r="Y144" i="1"/>
  <c r="Z147" i="1"/>
  <c r="BN147" i="1"/>
  <c r="BP147" i="1"/>
  <c r="Z149" i="1"/>
  <c r="BN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5" i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Z183" i="1"/>
  <c r="Z185" i="1" s="1"/>
  <c r="BN183" i="1"/>
  <c r="J498" i="1"/>
  <c r="Z194" i="1"/>
  <c r="BN194" i="1"/>
  <c r="Y195" i="1"/>
  <c r="Z198" i="1"/>
  <c r="Z200" i="1" s="1"/>
  <c r="BN198" i="1"/>
  <c r="BP198" i="1"/>
  <c r="Z204" i="1"/>
  <c r="BN204" i="1"/>
  <c r="Z206" i="1"/>
  <c r="BN206" i="1"/>
  <c r="Z208" i="1"/>
  <c r="BN208" i="1"/>
  <c r="Z210" i="1"/>
  <c r="BN210" i="1"/>
  <c r="Z214" i="1"/>
  <c r="BN214" i="1"/>
  <c r="BP214" i="1"/>
  <c r="Z216" i="1"/>
  <c r="BN216" i="1"/>
  <c r="Z218" i="1"/>
  <c r="BN218" i="1"/>
  <c r="Z220" i="1"/>
  <c r="BN220" i="1"/>
  <c r="Z222" i="1"/>
  <c r="BN222" i="1"/>
  <c r="Z226" i="1"/>
  <c r="Z228" i="1" s="1"/>
  <c r="BN226" i="1"/>
  <c r="BP226" i="1"/>
  <c r="K498" i="1"/>
  <c r="Z233" i="1"/>
  <c r="BN233" i="1"/>
  <c r="Z235" i="1"/>
  <c r="BN235" i="1"/>
  <c r="Z237" i="1"/>
  <c r="BN237" i="1"/>
  <c r="Z239" i="1"/>
  <c r="BN239" i="1"/>
  <c r="Y242" i="1"/>
  <c r="Z253" i="1"/>
  <c r="BN253" i="1"/>
  <c r="Z255" i="1"/>
  <c r="BN255" i="1"/>
  <c r="L498" i="1"/>
  <c r="Y266" i="1"/>
  <c r="Z262" i="1"/>
  <c r="BN262" i="1"/>
  <c r="BP263" i="1"/>
  <c r="BN263" i="1"/>
  <c r="BP265" i="1"/>
  <c r="BN265" i="1"/>
  <c r="Z265" i="1"/>
  <c r="Y267" i="1"/>
  <c r="M498" i="1"/>
  <c r="Y275" i="1"/>
  <c r="BP270" i="1"/>
  <c r="BN270" i="1"/>
  <c r="Z270" i="1"/>
  <c r="Z274" i="1" s="1"/>
  <c r="Y274" i="1"/>
  <c r="BP279" i="1"/>
  <c r="BN279" i="1"/>
  <c r="Z279" i="1"/>
  <c r="O498" i="1"/>
  <c r="Y292" i="1"/>
  <c r="BP297" i="1"/>
  <c r="BN297" i="1"/>
  <c r="Z297" i="1"/>
  <c r="Z301" i="1" s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Z317" i="1" s="1"/>
  <c r="Y317" i="1"/>
  <c r="BP321" i="1"/>
  <c r="BN321" i="1"/>
  <c r="Z321" i="1"/>
  <c r="Z323" i="1" s="1"/>
  <c r="Y330" i="1"/>
  <c r="BP329" i="1"/>
  <c r="BN329" i="1"/>
  <c r="Z329" i="1"/>
  <c r="Y331" i="1"/>
  <c r="Y336" i="1"/>
  <c r="BP333" i="1"/>
  <c r="BN333" i="1"/>
  <c r="Z333" i="1"/>
  <c r="BP342" i="1"/>
  <c r="BN342" i="1"/>
  <c r="Z342" i="1"/>
  <c r="Y344" i="1"/>
  <c r="Y355" i="1"/>
  <c r="BP348" i="1"/>
  <c r="BN348" i="1"/>
  <c r="Z348" i="1"/>
  <c r="S498" i="1"/>
  <c r="BP352" i="1"/>
  <c r="BN352" i="1"/>
  <c r="Z352" i="1"/>
  <c r="Y360" i="1"/>
  <c r="BP364" i="1"/>
  <c r="BN364" i="1"/>
  <c r="Z364" i="1"/>
  <c r="Z365" i="1" s="1"/>
  <c r="Y366" i="1"/>
  <c r="Y369" i="1"/>
  <c r="BP368" i="1"/>
  <c r="BN368" i="1"/>
  <c r="Z368" i="1"/>
  <c r="Z369" i="1" s="1"/>
  <c r="Y370" i="1"/>
  <c r="T498" i="1"/>
  <c r="Y376" i="1"/>
  <c r="BP373" i="1"/>
  <c r="BN373" i="1"/>
  <c r="Z373" i="1"/>
  <c r="Z375" i="1" s="1"/>
  <c r="Y380" i="1"/>
  <c r="BP385" i="1"/>
  <c r="BN385" i="1"/>
  <c r="Z385" i="1"/>
  <c r="Y387" i="1"/>
  <c r="U498" i="1"/>
  <c r="Y400" i="1"/>
  <c r="BP391" i="1"/>
  <c r="BN391" i="1"/>
  <c r="Z391" i="1"/>
  <c r="BP395" i="1"/>
  <c r="BN395" i="1"/>
  <c r="Z395" i="1"/>
  <c r="BP399" i="1"/>
  <c r="BN399" i="1"/>
  <c r="Z399" i="1"/>
  <c r="Y401" i="1"/>
  <c r="Y406" i="1"/>
  <c r="BP403" i="1"/>
  <c r="BN403" i="1"/>
  <c r="Z403" i="1"/>
  <c r="Z405" i="1" s="1"/>
  <c r="Z498" i="1"/>
  <c r="Y486" i="1"/>
  <c r="BP485" i="1"/>
  <c r="BN485" i="1"/>
  <c r="Z485" i="1"/>
  <c r="Z486" i="1" s="1"/>
  <c r="Y487" i="1"/>
  <c r="P498" i="1"/>
  <c r="Y287" i="1"/>
  <c r="Y302" i="1"/>
  <c r="V498" i="1"/>
  <c r="Y411" i="1"/>
  <c r="Y418" i="1"/>
  <c r="BP415" i="1"/>
  <c r="BN415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55" i="1"/>
  <c r="BP448" i="1"/>
  <c r="BN448" i="1"/>
  <c r="Z448" i="1"/>
  <c r="Z454" i="1" s="1"/>
  <c r="BP452" i="1"/>
  <c r="BN452" i="1"/>
  <c r="Z452" i="1"/>
  <c r="Y463" i="1"/>
  <c r="BP462" i="1"/>
  <c r="BN462" i="1"/>
  <c r="Z462" i="1"/>
  <c r="Y469" i="1"/>
  <c r="BP466" i="1"/>
  <c r="BN466" i="1"/>
  <c r="Z466" i="1"/>
  <c r="Y481" i="1"/>
  <c r="Y439" i="1"/>
  <c r="Z468" i="1" l="1"/>
  <c r="Z281" i="1"/>
  <c r="Z195" i="1"/>
  <c r="X491" i="1"/>
  <c r="Z241" i="1"/>
  <c r="Z95" i="1"/>
  <c r="Z336" i="1"/>
  <c r="Z266" i="1"/>
  <c r="Z257" i="1"/>
  <c r="Z223" i="1"/>
  <c r="Z211" i="1"/>
  <c r="Z179" i="1"/>
  <c r="Z152" i="1"/>
  <c r="Z118" i="1"/>
  <c r="Z75" i="1"/>
  <c r="Z63" i="1"/>
  <c r="Z57" i="1"/>
  <c r="Z31" i="1"/>
  <c r="Z463" i="1"/>
  <c r="Z330" i="1"/>
  <c r="Y489" i="1"/>
  <c r="Z343" i="1"/>
  <c r="Z400" i="1"/>
  <c r="Z439" i="1"/>
  <c r="Z355" i="1"/>
  <c r="Z111" i="1"/>
  <c r="Z104" i="1"/>
  <c r="Z88" i="1"/>
  <c r="Z43" i="1"/>
  <c r="Y488" i="1"/>
  <c r="Y490" i="1"/>
  <c r="Z445" i="1"/>
  <c r="Z386" i="1"/>
  <c r="Y492" i="1"/>
  <c r="Z493" i="1" l="1"/>
  <c r="Y491" i="1"/>
</calcChain>
</file>

<file path=xl/sharedStrings.xml><?xml version="1.0" encoding="utf-8"?>
<sst xmlns="http://schemas.openxmlformats.org/spreadsheetml/2006/main" count="2320" uniqueCount="768">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</sst>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46053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Суббота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0.5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hidden="1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29</v>
      </c>
      <c r="Y51" s="546">
        <f t="shared" ref="Y51:Y56" si="0">IFERROR(IF(X51="",0,CEILING((X51/$H51),1)*$H51),"")</f>
        <v>33.599999999999994</v>
      </c>
      <c r="Z51" s="36">
        <f>IFERROR(IF(Y51=0,"",ROUNDUP(Y51/H51,0)*0.01898),"")</f>
        <v>5.6940000000000004E-2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30.061607142857145</v>
      </c>
      <c r="BN51" s="64">
        <f t="shared" ref="BN51:BN56" si="2">IFERROR(Y51*I51/H51,"0")</f>
        <v>34.829999999999991</v>
      </c>
      <c r="BO51" s="64">
        <f t="shared" ref="BO51:BO56" si="3">IFERROR(1/J51*(X51/H51),"0")</f>
        <v>4.0457589285714288E-2</v>
      </c>
      <c r="BP51" s="64">
        <f t="shared" ref="BP51:BP56" si="4">IFERROR(1/J51*(Y51/H51),"0")</f>
        <v>4.6874999999999993E-2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36</v>
      </c>
      <c r="Y54" s="546">
        <f t="shared" si="0"/>
        <v>36</v>
      </c>
      <c r="Z54" s="36">
        <f>IFERROR(IF(Y54=0,"",ROUNDUP(Y54/H54,0)*0.00902),"")</f>
        <v>8.1180000000000002E-2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37.71</v>
      </c>
      <c r="BN54" s="64">
        <f t="shared" si="2"/>
        <v>37.71</v>
      </c>
      <c r="BO54" s="64">
        <f t="shared" si="3"/>
        <v>6.8181818181818177E-2</v>
      </c>
      <c r="BP54" s="64">
        <f t="shared" si="4"/>
        <v>6.8181818181818177E-2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90</v>
      </c>
      <c r="Y56" s="546">
        <f t="shared" si="0"/>
        <v>90</v>
      </c>
      <c r="Z56" s="36">
        <f>IFERROR(IF(Y56=0,"",ROUNDUP(Y56/H56,0)*0.00902),"")</f>
        <v>0.1804</v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93.800000000000011</v>
      </c>
      <c r="BN56" s="64">
        <f t="shared" si="2"/>
        <v>93.800000000000011</v>
      </c>
      <c r="BO56" s="64">
        <f t="shared" si="3"/>
        <v>0.15151515151515152</v>
      </c>
      <c r="BP56" s="64">
        <f t="shared" si="4"/>
        <v>0.15151515151515152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31.589285714285715</v>
      </c>
      <c r="Y57" s="547">
        <f>IFERROR(Y51/H51,"0")+IFERROR(Y52/H52,"0")+IFERROR(Y53/H53,"0")+IFERROR(Y54/H54,"0")+IFERROR(Y55/H55,"0")+IFERROR(Y56/H56,"0")</f>
        <v>32</v>
      </c>
      <c r="Z57" s="547">
        <f>IFERROR(IF(Z51="",0,Z51),"0")+IFERROR(IF(Z52="",0,Z52),"0")+IFERROR(IF(Z53="",0,Z53),"0")+IFERROR(IF(Z54="",0,Z54),"0")+IFERROR(IF(Z55="",0,Z55),"0")+IFERROR(IF(Z56="",0,Z56),"0")</f>
        <v>0.31852000000000003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155</v>
      </c>
      <c r="Y58" s="547">
        <f>IFERROR(SUM(Y51:Y56),"0")</f>
        <v>159.6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22</v>
      </c>
      <c r="Y78" s="546">
        <f>IFERROR(IF(X78="",0,CEILING((X78/$H78),1)*$H78),"")</f>
        <v>23.4</v>
      </c>
      <c r="Z78" s="36">
        <f>IFERROR(IF(Y78=0,"",ROUNDUP(Y78/H78,0)*0.01898),"")</f>
        <v>5.6940000000000004E-2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23.156410256410258</v>
      </c>
      <c r="BN78" s="64">
        <f>IFERROR(Y78*I78/H78,"0")</f>
        <v>24.630000000000003</v>
      </c>
      <c r="BO78" s="64">
        <f>IFERROR(1/J78*(X78/H78),"0")</f>
        <v>4.4070512820512824E-2</v>
      </c>
      <c r="BP78" s="64">
        <f>IFERROR(1/J78*(Y78/H78),"0")</f>
        <v>4.6875E-2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2.8205128205128207</v>
      </c>
      <c r="Y80" s="547">
        <f>IFERROR(Y78/H78,"0")+IFERROR(Y79/H79,"0")</f>
        <v>3</v>
      </c>
      <c r="Z80" s="547">
        <f>IFERROR(IF(Z78="",0,Z78),"0")+IFERROR(IF(Z79="",0,Z79),"0")</f>
        <v>5.6940000000000004E-2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22</v>
      </c>
      <c r="Y81" s="547">
        <f>IFERROR(SUM(Y78:Y79),"0")</f>
        <v>23.4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35</v>
      </c>
      <c r="Y84" s="546">
        <f>IFERROR(IF(X84="",0,CEILING((X84/$H84),1)*$H84),"")</f>
        <v>43.2</v>
      </c>
      <c r="Z84" s="36">
        <f>IFERROR(IF(Y84=0,"",ROUNDUP(Y84/H84,0)*0.01898),"")</f>
        <v>7.5920000000000001E-2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36.328703703703702</v>
      </c>
      <c r="BN84" s="64">
        <f>IFERROR(Y84*I84/H84,"0")</f>
        <v>44.84</v>
      </c>
      <c r="BO84" s="64">
        <f>IFERROR(1/J84*(X84/H84),"0")</f>
        <v>5.063657407407407E-2</v>
      </c>
      <c r="BP84" s="64">
        <f>IFERROR(1/J84*(Y84/H84),"0")</f>
        <v>6.25E-2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30</v>
      </c>
      <c r="Y87" s="546">
        <f>IFERROR(IF(X87="",0,CEILING((X87/$H87),1)*$H87),"")</f>
        <v>31.5</v>
      </c>
      <c r="Z87" s="36">
        <f>IFERROR(IF(Y87=0,"",ROUNDUP(Y87/H87,0)*0.00902),"")</f>
        <v>6.3140000000000002E-2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31.266666666666669</v>
      </c>
      <c r="BN87" s="64">
        <f>IFERROR(Y87*I87/H87,"0")</f>
        <v>32.830000000000005</v>
      </c>
      <c r="BO87" s="64">
        <f>IFERROR(1/J87*(X87/H87),"0")</f>
        <v>5.0505050505050511E-2</v>
      </c>
      <c r="BP87" s="64">
        <f>IFERROR(1/J87*(Y87/H87),"0")</f>
        <v>5.3030303030303032E-2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9.9074074074074083</v>
      </c>
      <c r="Y88" s="547">
        <f>IFERROR(Y84/H84,"0")+IFERROR(Y85/H85,"0")+IFERROR(Y86/H86,"0")+IFERROR(Y87/H87,"0")</f>
        <v>11</v>
      </c>
      <c r="Z88" s="547">
        <f>IFERROR(IF(Z84="",0,Z84),"0")+IFERROR(IF(Z85="",0,Z85),"0")+IFERROR(IF(Z86="",0,Z86),"0")+IFERROR(IF(Z87="",0,Z87),"0")</f>
        <v>0.13906000000000002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65</v>
      </c>
      <c r="Y89" s="547">
        <f>IFERROR(SUM(Y84:Y87),"0")</f>
        <v>74.7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223</v>
      </c>
      <c r="Y91" s="546">
        <f>IFERROR(IF(X91="",0,CEILING((X91/$H91),1)*$H91),"")</f>
        <v>226.79999999999998</v>
      </c>
      <c r="Z91" s="36">
        <f>IFERROR(IF(Y91=0,"",ROUNDUP(Y91/H91,0)*0.01898),"")</f>
        <v>0.53144000000000002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236.60024691358024</v>
      </c>
      <c r="BN91" s="64">
        <f>IFERROR(Y91*I91/H91,"0")</f>
        <v>240.63199999999998</v>
      </c>
      <c r="BO91" s="64">
        <f>IFERROR(1/J91*(X91/H91),"0")</f>
        <v>0.43016975308641975</v>
      </c>
      <c r="BP91" s="64">
        <f>IFERROR(1/J91*(Y91/H91),"0")</f>
        <v>0.4375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32</v>
      </c>
      <c r="Y93" s="546">
        <f>IFERROR(IF(X93="",0,CEILING((X93/$H93),1)*$H93),"")</f>
        <v>32.400000000000006</v>
      </c>
      <c r="Z93" s="36">
        <f>IFERROR(IF(Y93=0,"",ROUNDUP(Y93/H93,0)*0.00651),"")</f>
        <v>7.8119999999999995E-2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34.986666666666665</v>
      </c>
      <c r="BN93" s="64">
        <f>IFERROR(Y93*I93/H93,"0")</f>
        <v>35.424000000000007</v>
      </c>
      <c r="BO93" s="64">
        <f>IFERROR(1/J93*(X93/H93),"0")</f>
        <v>6.5120065120065115E-2</v>
      </c>
      <c r="BP93" s="64">
        <f>IFERROR(1/J93*(Y93/H93),"0")</f>
        <v>6.593406593406595E-2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39.382716049382715</v>
      </c>
      <c r="Y95" s="547">
        <f>IFERROR(Y91/H91,"0")+IFERROR(Y92/H92,"0")+IFERROR(Y93/H93,"0")+IFERROR(Y94/H94,"0")</f>
        <v>40</v>
      </c>
      <c r="Z95" s="547">
        <f>IFERROR(IF(Z91="",0,Z91),"0")+IFERROR(IF(Z92="",0,Z92),"0")+IFERROR(IF(Z93="",0,Z93),"0")+IFERROR(IF(Z94="",0,Z94),"0")</f>
        <v>0.60955999999999999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255</v>
      </c>
      <c r="Y96" s="547">
        <f>IFERROR(SUM(Y91:Y94),"0")</f>
        <v>259.2</v>
      </c>
      <c r="Z96" s="37"/>
      <c r="AA96" s="548"/>
      <c r="AB96" s="548"/>
      <c r="AC96" s="548"/>
    </row>
    <row r="97" spans="1:68" ht="16.5" hidden="1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44</v>
      </c>
      <c r="Y102" s="546">
        <f>IFERROR(IF(X102="",0,CEILING((X102/$H102),1)*$H102),"")</f>
        <v>45</v>
      </c>
      <c r="Z102" s="36">
        <f>IFERROR(IF(Y102=0,"",ROUNDUP(Y102/H102,0)*0.00902),"")</f>
        <v>9.0200000000000002E-2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45.857777777777784</v>
      </c>
      <c r="BN102" s="64">
        <f>IFERROR(Y102*I102/H102,"0")</f>
        <v>46.900000000000006</v>
      </c>
      <c r="BO102" s="64">
        <f>IFERROR(1/J102*(X102/H102),"0")</f>
        <v>7.4074074074074084E-2</v>
      </c>
      <c r="BP102" s="64">
        <f>IFERROR(1/J102*(Y102/H102),"0")</f>
        <v>7.575757575757576E-2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9.7777777777777786</v>
      </c>
      <c r="Y104" s="547">
        <f>IFERROR(Y99/H99,"0")+IFERROR(Y100/H100,"0")+IFERROR(Y101/H101,"0")+IFERROR(Y102/H102,"0")+IFERROR(Y103/H103,"0")</f>
        <v>10</v>
      </c>
      <c r="Z104" s="547">
        <f>IFERROR(IF(Z99="",0,Z99),"0")+IFERROR(IF(Z100="",0,Z100),"0")+IFERROR(IF(Z101="",0,Z101),"0")+IFERROR(IF(Z102="",0,Z102),"0")+IFERROR(IF(Z103="",0,Z103),"0")</f>
        <v>9.0200000000000002E-2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44</v>
      </c>
      <c r="Y105" s="547">
        <f>IFERROR(SUM(Y99:Y103),"0")</f>
        <v>45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54</v>
      </c>
      <c r="Y107" s="546">
        <f>IFERROR(IF(X107="",0,CEILING((X107/$H107),1)*$H107),"")</f>
        <v>54</v>
      </c>
      <c r="Z107" s="36">
        <f>IFERROR(IF(Y107=0,"",ROUNDUP(Y107/H107,0)*0.01898),"")</f>
        <v>9.4899999999999998E-2</v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56.05</v>
      </c>
      <c r="BN107" s="64">
        <f>IFERROR(Y107*I107/H107,"0")</f>
        <v>56.05</v>
      </c>
      <c r="BO107" s="64">
        <f>IFERROR(1/J107*(X107/H107),"0")</f>
        <v>7.8125E-2</v>
      </c>
      <c r="BP107" s="64">
        <f>IFERROR(1/J107*(Y107/H107),"0")</f>
        <v>7.8125E-2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40</v>
      </c>
      <c r="Y110" s="546">
        <f>IFERROR(IF(X110="",0,CEILING((X110/$H110),1)*$H110),"")</f>
        <v>40.799999999999997</v>
      </c>
      <c r="Z110" s="36">
        <f>IFERROR(IF(Y110=0,"",ROUNDUP(Y110/H110,0)*0.00651),"")</f>
        <v>0.11067</v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43</v>
      </c>
      <c r="BN110" s="64">
        <f>IFERROR(Y110*I110/H110,"0")</f>
        <v>43.86</v>
      </c>
      <c r="BO110" s="64">
        <f>IFERROR(1/J110*(X110/H110),"0")</f>
        <v>9.1575091575091583E-2</v>
      </c>
      <c r="BP110" s="64">
        <f>IFERROR(1/J110*(Y110/H110),"0")</f>
        <v>9.3406593406593408E-2</v>
      </c>
    </row>
    <row r="111" spans="1:68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21.666666666666668</v>
      </c>
      <c r="Y111" s="547">
        <f>IFERROR(Y107/H107,"0")+IFERROR(Y108/H108,"0")+IFERROR(Y109/H109,"0")+IFERROR(Y110/H110,"0")</f>
        <v>22</v>
      </c>
      <c r="Z111" s="547">
        <f>IFERROR(IF(Z107="",0,Z107),"0")+IFERROR(IF(Z108="",0,Z108),"0")+IFERROR(IF(Z109="",0,Z109),"0")+IFERROR(IF(Z110="",0,Z110),"0")</f>
        <v>0.20557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94</v>
      </c>
      <c r="Y112" s="547">
        <f>IFERROR(SUM(Y107:Y110),"0")</f>
        <v>94.8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275</v>
      </c>
      <c r="Y114" s="546">
        <f>IFERROR(IF(X114="",0,CEILING((X114/$H114),1)*$H114),"")</f>
        <v>275.39999999999998</v>
      </c>
      <c r="Z114" s="36">
        <f>IFERROR(IF(Y114=0,"",ROUNDUP(Y114/H114,0)*0.01898),"")</f>
        <v>0.64532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291.5679012345679</v>
      </c>
      <c r="BN114" s="64">
        <f>IFERROR(Y114*I114/H114,"0")</f>
        <v>291.99199999999996</v>
      </c>
      <c r="BO114" s="64">
        <f>IFERROR(1/J114*(X114/H114),"0")</f>
        <v>0.53047839506172845</v>
      </c>
      <c r="BP114" s="64">
        <f>IFERROR(1/J114*(Y114/H114),"0")</f>
        <v>0.53125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70</v>
      </c>
      <c r="Y116" s="546">
        <f>IFERROR(IF(X116="",0,CEILING((X116/$H116),1)*$H116),"")</f>
        <v>70.2</v>
      </c>
      <c r="Z116" s="36">
        <f>IFERROR(IF(Y116=0,"",ROUNDUP(Y116/H116,0)*0.00651),"")</f>
        <v>0.16925999999999999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76.533333333333317</v>
      </c>
      <c r="BN116" s="64">
        <f>IFERROR(Y116*I116/H116,"0")</f>
        <v>76.751999999999995</v>
      </c>
      <c r="BO116" s="64">
        <f>IFERROR(1/J116*(X116/H116),"0")</f>
        <v>0.14245014245014245</v>
      </c>
      <c r="BP116" s="64">
        <f>IFERROR(1/J116*(Y116/H116),"0")</f>
        <v>0.14285714285714288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59.876543209876544</v>
      </c>
      <c r="Y118" s="547">
        <f>IFERROR(Y114/H114,"0")+IFERROR(Y115/H115,"0")+IFERROR(Y116/H116,"0")+IFERROR(Y117/H117,"0")</f>
        <v>60</v>
      </c>
      <c r="Z118" s="547">
        <f>IFERROR(IF(Z114="",0,Z114),"0")+IFERROR(IF(Z115="",0,Z115),"0")+IFERROR(IF(Z116="",0,Z116),"0")+IFERROR(IF(Z117="",0,Z117),"0")</f>
        <v>0.81457999999999997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345</v>
      </c>
      <c r="Y119" s="547">
        <f>IFERROR(SUM(Y114:Y117),"0")</f>
        <v>345.59999999999997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59</v>
      </c>
      <c r="Y165" s="546">
        <f t="shared" ref="Y165:Y178" si="5">IFERROR(IF(X165="",0,CEILING((X165/$H165),1)*$H165),"")</f>
        <v>63</v>
      </c>
      <c r="Z165" s="36">
        <f>IFERROR(IF(Y165=0,"",ROUNDUP(Y165/H165,0)*0.00902),"")</f>
        <v>0.1353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62.511904761904759</v>
      </c>
      <c r="BN165" s="64">
        <f t="shared" ref="BN165:BN178" si="7">IFERROR(Y165*I165/H165,"0")</f>
        <v>66.75</v>
      </c>
      <c r="BO165" s="64">
        <f t="shared" ref="BO165:BO178" si="8">IFERROR(1/J165*(X165/H165),"0")</f>
        <v>0.10642135642135642</v>
      </c>
      <c r="BP165" s="64">
        <f t="shared" ref="BP165:BP178" si="9">IFERROR(1/J165*(Y165/H165),"0")</f>
        <v>0.11363636363636365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10</v>
      </c>
      <c r="Y169" s="546">
        <f t="shared" si="5"/>
        <v>10.5</v>
      </c>
      <c r="Z169" s="36">
        <f>IFERROR(IF(Y169=0,"",ROUNDUP(Y169/H169,0)*0.00502),"")</f>
        <v>2.5100000000000001E-2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10.619047619047619</v>
      </c>
      <c r="BN169" s="64">
        <f t="shared" si="7"/>
        <v>11.149999999999999</v>
      </c>
      <c r="BO169" s="64">
        <f t="shared" si="8"/>
        <v>2.0350020350020353E-2</v>
      </c>
      <c r="BP169" s="64">
        <f t="shared" si="9"/>
        <v>2.1367521367521368E-2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111</v>
      </c>
      <c r="Y176" s="546">
        <f t="shared" si="5"/>
        <v>111.30000000000001</v>
      </c>
      <c r="Z176" s="36">
        <f>IFERROR(IF(Y176=0,"",ROUNDUP(Y176/H176,0)*0.00502),"")</f>
        <v>0.26606000000000002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116.28571428571429</v>
      </c>
      <c r="BN176" s="64">
        <f t="shared" si="7"/>
        <v>116.60000000000001</v>
      </c>
      <c r="BO176" s="64">
        <f t="shared" si="8"/>
        <v>0.22588522588522589</v>
      </c>
      <c r="BP176" s="64">
        <f t="shared" si="9"/>
        <v>0.22649572649572652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71.666666666666657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73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0.42646000000000006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180</v>
      </c>
      <c r="Y180" s="547">
        <f>IFERROR(SUM(Y165:Y178),"0")</f>
        <v>184.8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2</v>
      </c>
      <c r="Y183" s="546">
        <f>IFERROR(IF(X183="",0,CEILING((X183/$H183),1)*$H183),"")</f>
        <v>2.52</v>
      </c>
      <c r="Z183" s="36">
        <f>IFERROR(IF(Y183=0,"",ROUNDUP(Y183/H183,0)*0.0059),"")</f>
        <v>1.18E-2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2.3015873015873014</v>
      </c>
      <c r="BN183" s="64">
        <f>IFERROR(Y183*I183/H183,"0")</f>
        <v>2.9</v>
      </c>
      <c r="BO183" s="64">
        <f>IFERROR(1/J183*(X183/H183),"0")</f>
        <v>7.3486184597295699E-3</v>
      </c>
      <c r="BP183" s="64">
        <f>IFERROR(1/J183*(Y183/H183),"0")</f>
        <v>9.2592592592592587E-3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1.5873015873015872</v>
      </c>
      <c r="Y185" s="547">
        <f>IFERROR(Y182/H182,"0")+IFERROR(Y183/H183,"0")+IFERROR(Y184/H184,"0")</f>
        <v>2</v>
      </c>
      <c r="Z185" s="547">
        <f>IFERROR(IF(Z182="",0,Z182),"0")+IFERROR(IF(Z183="",0,Z183),"0")+IFERROR(IF(Z184="",0,Z184),"0")</f>
        <v>1.18E-2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2</v>
      </c>
      <c r="Y186" s="547">
        <f>IFERROR(SUM(Y182:Y184),"0")</f>
        <v>2.52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186</v>
      </c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124</v>
      </c>
      <c r="Y203" s="546">
        <f t="shared" ref="Y203:Y210" si="10">IFERROR(IF(X203="",0,CEILING((X203/$H203),1)*$H203),"")</f>
        <v>124.2</v>
      </c>
      <c r="Z203" s="36">
        <f>IFERROR(IF(Y203=0,"",ROUNDUP(Y203/H203,0)*0.00902),"")</f>
        <v>0.20746000000000001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128.36296296296294</v>
      </c>
      <c r="BN203" s="64">
        <f t="shared" ref="BN203:BN210" si="12">IFERROR(Y203*I203/H203,"0")</f>
        <v>128.57</v>
      </c>
      <c r="BO203" s="64">
        <f t="shared" ref="BO203:BO210" si="13">IFERROR(1/J203*(X203/H203),"0")</f>
        <v>0.17396184062850728</v>
      </c>
      <c r="BP203" s="64">
        <f t="shared" ref="BP203:BP210" si="14">IFERROR(1/J203*(Y203/H203),"0")</f>
        <v>0.17424242424242425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49</v>
      </c>
      <c r="Y204" s="546">
        <f t="shared" si="10"/>
        <v>54</v>
      </c>
      <c r="Z204" s="36">
        <f>IFERROR(IF(Y204=0,"",ROUNDUP(Y204/H204,0)*0.00902),"")</f>
        <v>9.0200000000000002E-2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50.724074074074068</v>
      </c>
      <c r="BN204" s="64">
        <f t="shared" si="12"/>
        <v>55.9</v>
      </c>
      <c r="BO204" s="64">
        <f t="shared" si="13"/>
        <v>6.8742985409652069E-2</v>
      </c>
      <c r="BP204" s="64">
        <f t="shared" si="14"/>
        <v>7.575757575757576E-2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150</v>
      </c>
      <c r="Y205" s="546">
        <f t="shared" si="10"/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155.27777777777777</v>
      </c>
      <c r="BN205" s="64">
        <f t="shared" si="12"/>
        <v>156.52000000000001</v>
      </c>
      <c r="BO205" s="64">
        <f t="shared" si="13"/>
        <v>0.21043771043771042</v>
      </c>
      <c r="BP205" s="64">
        <f t="shared" si="14"/>
        <v>0.21212121212121213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136</v>
      </c>
      <c r="Y206" s="546">
        <f t="shared" si="10"/>
        <v>140.4</v>
      </c>
      <c r="Z206" s="36">
        <f>IFERROR(IF(Y206=0,"",ROUNDUP(Y206/H206,0)*0.00902),"")</f>
        <v>0.23452000000000001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140.78518518518518</v>
      </c>
      <c r="BN206" s="64">
        <f t="shared" si="12"/>
        <v>145.34</v>
      </c>
      <c r="BO206" s="64">
        <f t="shared" si="13"/>
        <v>0.19079685746352412</v>
      </c>
      <c r="BP206" s="64">
        <f t="shared" si="14"/>
        <v>0.19696969696969696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9</v>
      </c>
      <c r="Y207" s="546">
        <f t="shared" si="10"/>
        <v>9</v>
      </c>
      <c r="Z207" s="36">
        <f>IFERROR(IF(Y207=0,"",ROUNDUP(Y207/H207,0)*0.00502),"")</f>
        <v>2.5100000000000001E-2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9.65</v>
      </c>
      <c r="BN207" s="64">
        <f t="shared" si="12"/>
        <v>9.65</v>
      </c>
      <c r="BO207" s="64">
        <f t="shared" si="13"/>
        <v>2.1367521367521368E-2</v>
      </c>
      <c r="BP207" s="64">
        <f t="shared" si="14"/>
        <v>2.1367521367521368E-2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17</v>
      </c>
      <c r="Y208" s="546">
        <f t="shared" si="10"/>
        <v>18</v>
      </c>
      <c r="Z208" s="36">
        <f>IFERROR(IF(Y208=0,"",ROUNDUP(Y208/H208,0)*0.00502),"")</f>
        <v>5.0200000000000002E-2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17.944444444444443</v>
      </c>
      <c r="BN208" s="64">
        <f t="shared" si="12"/>
        <v>18.999999999999996</v>
      </c>
      <c r="BO208" s="64">
        <f t="shared" si="13"/>
        <v>4.0360873694207031E-2</v>
      </c>
      <c r="BP208" s="64">
        <f t="shared" si="14"/>
        <v>4.2735042735042736E-2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99.444444444444443</v>
      </c>
      <c r="Y211" s="547">
        <f>IFERROR(Y203/H203,"0")+IFERROR(Y204/H204,"0")+IFERROR(Y205/H205,"0")+IFERROR(Y206/H206,"0")+IFERROR(Y207/H207,"0")+IFERROR(Y208/H208,"0")+IFERROR(Y209/H209,"0")+IFERROR(Y210/H210,"0")</f>
        <v>102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0.86004000000000003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485</v>
      </c>
      <c r="Y212" s="547">
        <f>IFERROR(SUM(Y203:Y210),"0")</f>
        <v>496.79999999999995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7</v>
      </c>
      <c r="Y215" s="546">
        <f t="shared" si="15"/>
        <v>8.1</v>
      </c>
      <c r="Z215" s="36">
        <f>IFERROR(IF(Y215=0,"",ROUNDUP(Y215/H215,0)*0.01898),"")</f>
        <v>1.898E-2</v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7.4113580246913591</v>
      </c>
      <c r="BN215" s="64">
        <f t="shared" si="17"/>
        <v>8.5760000000000005</v>
      </c>
      <c r="BO215" s="64">
        <f t="shared" si="18"/>
        <v>1.3503086419753087E-2</v>
      </c>
      <c r="BP215" s="64">
        <f t="shared" si="19"/>
        <v>1.5625E-2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111</v>
      </c>
      <c r="Y217" s="546">
        <f t="shared" si="15"/>
        <v>112.8</v>
      </c>
      <c r="Z217" s="36">
        <f t="shared" ref="Z217:Z222" si="20">IFERROR(IF(Y217=0,"",ROUNDUP(Y217/H217,0)*0.00651),"")</f>
        <v>0.30597000000000002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123.48750000000001</v>
      </c>
      <c r="BN217" s="64">
        <f t="shared" si="17"/>
        <v>125.49</v>
      </c>
      <c r="BO217" s="64">
        <f t="shared" si="18"/>
        <v>0.25412087912087916</v>
      </c>
      <c r="BP217" s="64">
        <f t="shared" si="19"/>
        <v>0.25824175824175827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236</v>
      </c>
      <c r="Y219" s="546">
        <f t="shared" si="15"/>
        <v>237.6</v>
      </c>
      <c r="Z219" s="36">
        <f t="shared" si="20"/>
        <v>0.64449000000000001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260.78000000000003</v>
      </c>
      <c r="BN219" s="64">
        <f t="shared" si="17"/>
        <v>262.54800000000006</v>
      </c>
      <c r="BO219" s="64">
        <f t="shared" si="18"/>
        <v>0.54029304029304037</v>
      </c>
      <c r="BP219" s="64">
        <f t="shared" si="19"/>
        <v>0.54395604395604402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204</v>
      </c>
      <c r="Y220" s="546">
        <f t="shared" si="15"/>
        <v>204</v>
      </c>
      <c r="Z220" s="36">
        <f t="shared" si="20"/>
        <v>0.55335000000000001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225.42000000000002</v>
      </c>
      <c r="BN220" s="64">
        <f t="shared" si="17"/>
        <v>225.42000000000002</v>
      </c>
      <c r="BO220" s="64">
        <f t="shared" si="18"/>
        <v>0.46703296703296709</v>
      </c>
      <c r="BP220" s="64">
        <f t="shared" si="19"/>
        <v>0.46703296703296709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140</v>
      </c>
      <c r="Y221" s="546">
        <f t="shared" si="15"/>
        <v>141.6</v>
      </c>
      <c r="Z221" s="36">
        <f t="shared" si="20"/>
        <v>0.38408999999999999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154.70000000000002</v>
      </c>
      <c r="BN221" s="64">
        <f t="shared" si="17"/>
        <v>156.46800000000002</v>
      </c>
      <c r="BO221" s="64">
        <f t="shared" si="18"/>
        <v>0.32051282051282054</v>
      </c>
      <c r="BP221" s="64">
        <f t="shared" si="19"/>
        <v>0.32417582417582419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51</v>
      </c>
      <c r="Y222" s="546">
        <f t="shared" si="15"/>
        <v>52.8</v>
      </c>
      <c r="Z222" s="36">
        <f t="shared" si="20"/>
        <v>0.14322000000000001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56.482500000000002</v>
      </c>
      <c r="BN222" s="64">
        <f t="shared" si="17"/>
        <v>58.475999999999999</v>
      </c>
      <c r="BO222" s="64">
        <f t="shared" si="18"/>
        <v>0.11675824175824177</v>
      </c>
      <c r="BP222" s="64">
        <f t="shared" si="19"/>
        <v>0.12087912087912089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310.03086419753089</v>
      </c>
      <c r="Y223" s="547">
        <f>IFERROR(Y214/H214,"0")+IFERROR(Y215/H215,"0")+IFERROR(Y216/H216,"0")+IFERROR(Y217/H217,"0")+IFERROR(Y218/H218,"0")+IFERROR(Y219/H219,"0")+IFERROR(Y220/H220,"0")+IFERROR(Y221/H221,"0")+IFERROR(Y222/H222,"0")</f>
        <v>313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2.0501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749</v>
      </c>
      <c r="Y224" s="547">
        <f>IFERROR(SUM(Y214:Y222),"0")</f>
        <v>756.9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186</v>
      </c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25</v>
      </c>
      <c r="Y226" s="546">
        <f>IFERROR(IF(X226="",0,CEILING((X226/$H226),1)*$H226),"")</f>
        <v>26.4</v>
      </c>
      <c r="Z226" s="36">
        <f>IFERROR(IF(Y226=0,"",ROUNDUP(Y226/H226,0)*0.00651),"")</f>
        <v>7.1610000000000007E-2</v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27.625</v>
      </c>
      <c r="BN226" s="64">
        <f>IFERROR(Y226*I226/H226,"0")</f>
        <v>29.172000000000001</v>
      </c>
      <c r="BO226" s="64">
        <f>IFERROR(1/J226*(X226/H226),"0")</f>
        <v>5.7234432234432246E-2</v>
      </c>
      <c r="BP226" s="64">
        <f>IFERROR(1/J226*(Y226/H226),"0")</f>
        <v>6.0439560439560447E-2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186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57</v>
      </c>
      <c r="Y227" s="546">
        <f>IFERROR(IF(X227="",0,CEILING((X227/$H227),1)*$H227),"")</f>
        <v>57.599999999999994</v>
      </c>
      <c r="Z227" s="36">
        <f>IFERROR(IF(Y227=0,"",ROUNDUP(Y227/H227,0)*0.00651),"")</f>
        <v>0.15623999999999999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62.985000000000007</v>
      </c>
      <c r="BN227" s="64">
        <f>IFERROR(Y227*I227/H227,"0")</f>
        <v>63.648000000000003</v>
      </c>
      <c r="BO227" s="64">
        <f>IFERROR(1/J227*(X227/H227),"0")</f>
        <v>0.1304945054945055</v>
      </c>
      <c r="BP227" s="64">
        <f>IFERROR(1/J227*(Y227/H227),"0")</f>
        <v>0.13186813186813187</v>
      </c>
    </row>
    <row r="228" spans="1:68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34.166666666666671</v>
      </c>
      <c r="Y228" s="547">
        <f>IFERROR(Y226/H226,"0")+IFERROR(Y227/H227,"0")</f>
        <v>35</v>
      </c>
      <c r="Z228" s="547">
        <f>IFERROR(IF(Z226="",0,Z226),"0")+IFERROR(IF(Z227="",0,Z227),"0")</f>
        <v>0.22785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82</v>
      </c>
      <c r="Y229" s="547">
        <f>IFERROR(SUM(Y226:Y227),"0")</f>
        <v>84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17</v>
      </c>
      <c r="Y232" s="546">
        <f t="shared" ref="Y232:Y240" si="21">IFERROR(IF(X232="",0,CEILING((X232/$H232),1)*$H232),"")</f>
        <v>23.2</v>
      </c>
      <c r="Z232" s="36">
        <f>IFERROR(IF(Y232=0,"",ROUNDUP(Y232/H232,0)*0.01898),"")</f>
        <v>3.7960000000000001E-2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17.600862068965515</v>
      </c>
      <c r="BN232" s="64">
        <f t="shared" ref="BN232:BN240" si="23">IFERROR(Y232*I232/H232,"0")</f>
        <v>24.02</v>
      </c>
      <c r="BO232" s="64">
        <f t="shared" ref="BO232:BO240" si="24">IFERROR(1/J232*(X232/H232),"0")</f>
        <v>2.2898706896551727E-2</v>
      </c>
      <c r="BP232" s="64">
        <f t="shared" ref="BP232:BP240" si="25">IFERROR(1/J232*(Y232/H232),"0")</f>
        <v>3.125E-2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3</v>
      </c>
      <c r="Y235" s="546">
        <f t="shared" si="21"/>
        <v>4</v>
      </c>
      <c r="Z235" s="36">
        <f>IFERROR(IF(Y235=0,"",ROUNDUP(Y235/H235,0)*0.00902),"")</f>
        <v>9.0200000000000002E-3</v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3.1425000000000001</v>
      </c>
      <c r="BN235" s="64">
        <f t="shared" si="23"/>
        <v>4.1900000000000004</v>
      </c>
      <c r="BO235" s="64">
        <f t="shared" si="24"/>
        <v>5.681818181818182E-3</v>
      </c>
      <c r="BP235" s="64">
        <f t="shared" si="25"/>
        <v>7.575757575757576E-3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2.2155172413793105</v>
      </c>
      <c r="Y241" s="547">
        <f>IFERROR(Y232/H232,"0")+IFERROR(Y233/H233,"0")+IFERROR(Y234/H234,"0")+IFERROR(Y235/H235,"0")+IFERROR(Y236/H236,"0")+IFERROR(Y237/H237,"0")+IFERROR(Y238/H238,"0")+IFERROR(Y239/H239,"0")+IFERROR(Y240/H240,"0")</f>
        <v>3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4.6980000000000001E-2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20</v>
      </c>
      <c r="Y242" s="547">
        <f>IFERROR(SUM(Y232:Y240),"0")</f>
        <v>27.2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2</v>
      </c>
      <c r="Y256" s="546">
        <f>IFERROR(IF(X256="",0,CEILING((X256/$H256),1)*$H256),"")</f>
        <v>2.9699999999999998</v>
      </c>
      <c r="Z256" s="36">
        <f>IFERROR(IF(Y256=0,"",ROUNDUP(Y256/H256,0)*0.0059),"")</f>
        <v>1.77E-2</v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2.3838383838383836</v>
      </c>
      <c r="BN256" s="64">
        <f>IFERROR(Y256*I256/H256,"0")</f>
        <v>3.5399999999999996</v>
      </c>
      <c r="BO256" s="64">
        <f>IFERROR(1/J256*(X256/H256),"0")</f>
        <v>9.3527871305649091E-3</v>
      </c>
      <c r="BP256" s="64">
        <f>IFERROR(1/J256*(Y256/H256),"0")</f>
        <v>1.3888888888888886E-2</v>
      </c>
    </row>
    <row r="257" spans="1:68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2.0202020202020203</v>
      </c>
      <c r="Y257" s="547">
        <f>IFERROR(Y252/H252,"0")+IFERROR(Y253/H253,"0")+IFERROR(Y254/H254,"0")+IFERROR(Y255/H255,"0")+IFERROR(Y256/H256,"0")</f>
        <v>2.9999999999999996</v>
      </c>
      <c r="Z257" s="547">
        <f>IFERROR(IF(Z252="",0,Z252),"0")+IFERROR(IF(Z253="",0,Z253),"0")+IFERROR(IF(Z254="",0,Z254),"0")+IFERROR(IF(Z255="",0,Z255),"0")+IFERROR(IF(Z256="",0,Z256),"0")</f>
        <v>1.77E-2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2</v>
      </c>
      <c r="Y258" s="547">
        <f>IFERROR(SUM(Y252:Y256),"0")</f>
        <v>2.9699999999999998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4</v>
      </c>
      <c r="Y279" s="546">
        <f>IFERROR(IF(X279="",0,CEILING((X279/$H279),1)*$H279),"")</f>
        <v>4.8</v>
      </c>
      <c r="Z279" s="36">
        <f>IFERROR(IF(Y279=0,"",ROUNDUP(Y279/H279,0)*0.00651),"")</f>
        <v>1.302E-2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4.4200000000000008</v>
      </c>
      <c r="BN279" s="64">
        <f>IFERROR(Y279*I279/H279,"0")</f>
        <v>5.3040000000000003</v>
      </c>
      <c r="BO279" s="64">
        <f>IFERROR(1/J279*(X279/H279),"0")</f>
        <v>9.1575091575091579E-3</v>
      </c>
      <c r="BP279" s="64">
        <f>IFERROR(1/J279*(Y279/H279),"0")</f>
        <v>1.098901098901099E-2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33</v>
      </c>
      <c r="Y280" s="546">
        <f>IFERROR(IF(X280="",0,CEILING((X280/$H280),1)*$H280),"")</f>
        <v>33.6</v>
      </c>
      <c r="Z280" s="36">
        <f>IFERROR(IF(Y280=0,"",ROUNDUP(Y280/H280,0)*0.00651),"")</f>
        <v>9.1139999999999999E-2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35.475000000000001</v>
      </c>
      <c r="BN280" s="64">
        <f>IFERROR(Y280*I280/H280,"0")</f>
        <v>36.120000000000005</v>
      </c>
      <c r="BO280" s="64">
        <f>IFERROR(1/J280*(X280/H280),"0")</f>
        <v>7.5549450549450559E-2</v>
      </c>
      <c r="BP280" s="64">
        <f>IFERROR(1/J280*(Y280/H280),"0")</f>
        <v>7.6923076923076941E-2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15.416666666666666</v>
      </c>
      <c r="Y281" s="547">
        <f>IFERROR(Y278/H278,"0")+IFERROR(Y279/H279,"0")+IFERROR(Y280/H280,"0")</f>
        <v>16</v>
      </c>
      <c r="Z281" s="547">
        <f>IFERROR(IF(Z278="",0,Z278),"0")+IFERROR(IF(Z279="",0,Z279),"0")+IFERROR(IF(Z280="",0,Z280),"0")</f>
        <v>0.10416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37</v>
      </c>
      <c r="Y282" s="547">
        <f>IFERROR(SUM(Y278:Y280),"0")</f>
        <v>38.4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6</v>
      </c>
      <c r="Y309" s="546">
        <f t="shared" si="26"/>
        <v>7.2</v>
      </c>
      <c r="Z309" s="36">
        <f>IFERROR(IF(Y309=0,"",ROUNDUP(Y309/H309,0)*0.00651),"")</f>
        <v>2.6040000000000001E-2</v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6.76</v>
      </c>
      <c r="BN309" s="64">
        <f t="shared" si="28"/>
        <v>8.1120000000000001</v>
      </c>
      <c r="BO309" s="64">
        <f t="shared" si="29"/>
        <v>1.8315018315018316E-2</v>
      </c>
      <c r="BP309" s="64">
        <f t="shared" si="30"/>
        <v>2.197802197802198E-2</v>
      </c>
    </row>
    <row r="310" spans="1:68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3.333333333333333</v>
      </c>
      <c r="Y310" s="547">
        <f>IFERROR(Y304/H304,"0")+IFERROR(Y305/H305,"0")+IFERROR(Y306/H306,"0")+IFERROR(Y307/H307,"0")+IFERROR(Y308/H308,"0")+IFERROR(Y309/H309,"0")</f>
        <v>4</v>
      </c>
      <c r="Z310" s="547">
        <f>IFERROR(IF(Z304="",0,Z304),"0")+IFERROR(IF(Z305="",0,Z305),"0")+IFERROR(IF(Z306="",0,Z306),"0")+IFERROR(IF(Z307="",0,Z307),"0")+IFERROR(IF(Z308="",0,Z308),"0")+IFERROR(IF(Z309="",0,Z309),"0")</f>
        <v>2.6040000000000001E-2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6</v>
      </c>
      <c r="Y311" s="547">
        <f>IFERROR(SUM(Y304:Y309),"0")</f>
        <v>7.2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10</v>
      </c>
      <c r="Y321" s="546">
        <f>IFERROR(IF(X321="",0,CEILING((X321/$H321),1)*$H321),"")</f>
        <v>15.6</v>
      </c>
      <c r="Z321" s="36">
        <f>IFERROR(IF(Y321=0,"",ROUNDUP(Y321/H321,0)*0.01898),"")</f>
        <v>3.7960000000000001E-2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10.633333333333333</v>
      </c>
      <c r="BN321" s="64">
        <f>IFERROR(Y321*I321/H321,"0")</f>
        <v>16.588000000000001</v>
      </c>
      <c r="BO321" s="64">
        <f>IFERROR(1/J321*(X321/H321),"0")</f>
        <v>2.0032051282051284E-2</v>
      </c>
      <c r="BP321" s="64">
        <f>IFERROR(1/J321*(Y321/H321),"0")</f>
        <v>3.125E-2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1.2820512820512822</v>
      </c>
      <c r="Y323" s="547">
        <f>IFERROR(Y320/H320,"0")+IFERROR(Y321/H321,"0")+IFERROR(Y322/H322,"0")</f>
        <v>2</v>
      </c>
      <c r="Z323" s="547">
        <f>IFERROR(IF(Z320="",0,Z320),"0")+IFERROR(IF(Z321="",0,Z321),"0")+IFERROR(IF(Z322="",0,Z322),"0")</f>
        <v>3.7960000000000001E-2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10</v>
      </c>
      <c r="Y324" s="547">
        <f>IFERROR(SUM(Y320:Y322),"0")</f>
        <v>15.6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21</v>
      </c>
      <c r="Y326" s="546">
        <f>IFERROR(IF(X326="",0,CEILING((X326/$H326),1)*$H326),"")</f>
        <v>21.28</v>
      </c>
      <c r="Z326" s="36">
        <f>IFERROR(IF(Y326=0,"",ROUNDUP(Y326/H326,0)*0.00902),"")</f>
        <v>6.3140000000000002E-2</v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22.86513157894737</v>
      </c>
      <c r="BN326" s="64">
        <f>IFERROR(Y326*I326/H326,"0")</f>
        <v>23.17</v>
      </c>
      <c r="BO326" s="64">
        <f>IFERROR(1/J326*(X326/H326),"0")</f>
        <v>5.2332535885167467E-2</v>
      </c>
      <c r="BP326" s="64">
        <f>IFERROR(1/J326*(Y326/H326),"0")</f>
        <v>5.3030303030303032E-2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12</v>
      </c>
      <c r="Y327" s="546">
        <f>IFERROR(IF(X327="",0,CEILING((X327/$H327),1)*$H327),"")</f>
        <v>12.16</v>
      </c>
      <c r="Z327" s="36">
        <f>IFERROR(IF(Y327=0,"",ROUNDUP(Y327/H327,0)*0.00902),"")</f>
        <v>3.6080000000000001E-2</v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12.907894736842106</v>
      </c>
      <c r="BN327" s="64">
        <f>IFERROR(Y327*I327/H327,"0")</f>
        <v>13.079999999999998</v>
      </c>
      <c r="BO327" s="64">
        <f>IFERROR(1/J327*(X327/H327),"0")</f>
        <v>2.9904306220095694E-2</v>
      </c>
      <c r="BP327" s="64">
        <f>IFERROR(1/J327*(Y327/H327),"0")</f>
        <v>3.0303030303030304E-2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14</v>
      </c>
      <c r="Y329" s="546">
        <f>IFERROR(IF(X329="",0,CEILING((X329/$H329),1)*$H329),"")</f>
        <v>15.299999999999999</v>
      </c>
      <c r="Z329" s="36">
        <f>IFERROR(IF(Y329=0,"",ROUNDUP(Y329/H329,0)*0.00651),"")</f>
        <v>3.9059999999999997E-2</v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15.811764705882354</v>
      </c>
      <c r="BN329" s="64">
        <f>IFERROR(Y329*I329/H329,"0")</f>
        <v>17.279999999999998</v>
      </c>
      <c r="BO329" s="64">
        <f>IFERROR(1/J329*(X329/H329),"0")</f>
        <v>3.0165912518853699E-2</v>
      </c>
      <c r="BP329" s="64">
        <f>IFERROR(1/J329*(Y329/H329),"0")</f>
        <v>3.2967032967032968E-2</v>
      </c>
    </row>
    <row r="330" spans="1:68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16.345459236326107</v>
      </c>
      <c r="Y330" s="547">
        <f>IFERROR(Y326/H326,"0")+IFERROR(Y327/H327,"0")+IFERROR(Y328/H328,"0")+IFERROR(Y329/H329,"0")</f>
        <v>17</v>
      </c>
      <c r="Z330" s="547">
        <f>IFERROR(IF(Z326="",0,Z326),"0")+IFERROR(IF(Z327="",0,Z327),"0")+IFERROR(IF(Z328="",0,Z328),"0")+IFERROR(IF(Z329="",0,Z329),"0")</f>
        <v>0.13828000000000001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47</v>
      </c>
      <c r="Y331" s="547">
        <f>IFERROR(SUM(Y326:Y329),"0")</f>
        <v>48.739999999999995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186</v>
      </c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1</v>
      </c>
      <c r="Y333" s="546">
        <f>IFERROR(IF(X333="",0,CEILING((X333/$H333),1)*$H333),"")</f>
        <v>2</v>
      </c>
      <c r="Z333" s="36">
        <f>IFERROR(IF(Y333=0,"",ROUNDUP(Y333/H333,0)*0.00474),"")</f>
        <v>4.7400000000000003E-3</v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1.1200000000000001</v>
      </c>
      <c r="BN333" s="64">
        <f>IFERROR(Y333*I333/H333,"0")</f>
        <v>2.2400000000000002</v>
      </c>
      <c r="BO333" s="64">
        <f>IFERROR(1/J333*(X333/H333),"0")</f>
        <v>2.1008403361344537E-3</v>
      </c>
      <c r="BP333" s="64">
        <f>IFERROR(1/J333*(Y333/H333),"0")</f>
        <v>4.2016806722689074E-3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 t="s">
        <v>186</v>
      </c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2</v>
      </c>
      <c r="Y334" s="546">
        <f>IFERROR(IF(X334="",0,CEILING((X334/$H334),1)*$H334),"")</f>
        <v>2</v>
      </c>
      <c r="Z334" s="36">
        <f>IFERROR(IF(Y334=0,"",ROUNDUP(Y334/H334,0)*0.00474),"")</f>
        <v>4.7400000000000003E-3</v>
      </c>
      <c r="AA334" s="56"/>
      <c r="AB334" s="57"/>
      <c r="AC334" s="391" t="s">
        <v>535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2.2400000000000002</v>
      </c>
      <c r="BN334" s="64">
        <f>IFERROR(Y334*I334/H334,"0")</f>
        <v>2.2400000000000002</v>
      </c>
      <c r="BO334" s="64">
        <f>IFERROR(1/J334*(X334/H334),"0")</f>
        <v>4.2016806722689074E-3</v>
      </c>
      <c r="BP334" s="64">
        <f>IFERROR(1/J334*(Y334/H334),"0")</f>
        <v>4.2016806722689074E-3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186</v>
      </c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1.5</v>
      </c>
      <c r="Y336" s="547">
        <f>IFERROR(Y333/H333,"0")+IFERROR(Y334/H334,"0")+IFERROR(Y335/H335,"0")</f>
        <v>2</v>
      </c>
      <c r="Z336" s="547">
        <f>IFERROR(IF(Z333="",0,Z333),"0")+IFERROR(IF(Z334="",0,Z334),"0")+IFERROR(IF(Z335="",0,Z335),"0")</f>
        <v>9.4800000000000006E-3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3</v>
      </c>
      <c r="Y337" s="547">
        <f>IFERROR(SUM(Y333:Y335),"0")</f>
        <v>4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53</v>
      </c>
      <c r="Y341" s="546">
        <f>IFERROR(IF(X341="",0,CEILING((X341/$H341),1)*$H341),"")</f>
        <v>54.6</v>
      </c>
      <c r="Z341" s="36">
        <f>IFERROR(IF(Y341=0,"",ROUNDUP(Y341/H341,0)*0.00651),"")</f>
        <v>0.16925999999999999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59.359999999999992</v>
      </c>
      <c r="BN341" s="64">
        <f>IFERROR(Y341*I341/H341,"0")</f>
        <v>61.151999999999994</v>
      </c>
      <c r="BO341" s="64">
        <f>IFERROR(1/J341*(X341/H341),"0")</f>
        <v>0.13867085295656725</v>
      </c>
      <c r="BP341" s="64">
        <f>IFERROR(1/J341*(Y341/H341),"0")</f>
        <v>0.14285714285714288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35</v>
      </c>
      <c r="Y342" s="546">
        <f>IFERROR(IF(X342="",0,CEILING((X342/$H342),1)*$H342),"")</f>
        <v>35.700000000000003</v>
      </c>
      <c r="Z342" s="36">
        <f>IFERROR(IF(Y342=0,"",ROUNDUP(Y342/H342,0)*0.00651),"")</f>
        <v>0.11067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38.999999999999993</v>
      </c>
      <c r="BN342" s="64">
        <f>IFERROR(Y342*I342/H342,"0")</f>
        <v>39.779999999999994</v>
      </c>
      <c r="BO342" s="64">
        <f>IFERROR(1/J342*(X342/H342),"0")</f>
        <v>9.1575091575091569E-2</v>
      </c>
      <c r="BP342" s="64">
        <f>IFERROR(1/J342*(Y342/H342),"0")</f>
        <v>9.3406593406593408E-2</v>
      </c>
    </row>
    <row r="343" spans="1:68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41.904761904761898</v>
      </c>
      <c r="Y343" s="547">
        <f>IFERROR(Y340/H340,"0")+IFERROR(Y341/H341,"0")+IFERROR(Y342/H342,"0")</f>
        <v>43</v>
      </c>
      <c r="Z343" s="547">
        <f>IFERROR(IF(Z340="",0,Z340),"0")+IFERROR(IF(Z341="",0,Z341),"0")+IFERROR(IF(Z342="",0,Z342),"0")</f>
        <v>0.27993000000000001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88</v>
      </c>
      <c r="Y344" s="547">
        <f>IFERROR(SUM(Y340:Y342),"0")</f>
        <v>90.300000000000011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hidden="1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ref="Y348:Y354" si="31">IFERROR(IF(X348="",0,CEILING((X348/$H348),1)*$H348),"")</f>
        <v>0</v>
      </c>
      <c r="Z348" s="36" t="str">
        <f>IFERROR(IF(Y348=0,"",ROUNDUP(Y348/H348,0)*0.02175),"")</f>
        <v/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0</v>
      </c>
      <c r="BN348" s="64">
        <f t="shared" ref="BN348:BN354" si="33">IFERROR(Y348*I348/H348,"0")</f>
        <v>0</v>
      </c>
      <c r="BO348" s="64">
        <f t="shared" ref="BO348:BO354" si="34">IFERROR(1/J348*(X348/H348),"0")</f>
        <v>0</v>
      </c>
      <c r="BP348" s="64">
        <f t="shared" ref="BP348:BP354" si="35">IFERROR(1/J348*(Y348/H348),"0")</f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441</v>
      </c>
      <c r="Y349" s="546">
        <f t="shared" si="31"/>
        <v>450</v>
      </c>
      <c r="Z349" s="36">
        <f>IFERROR(IF(Y349=0,"",ROUNDUP(Y349/H349,0)*0.02175),"")</f>
        <v>0.65249999999999997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454.81800000000004</v>
      </c>
      <c r="BN349" s="64">
        <f t="shared" si="33"/>
        <v>464.1</v>
      </c>
      <c r="BO349" s="64">
        <f t="shared" si="34"/>
        <v>0.61249999999999993</v>
      </c>
      <c r="BP349" s="64">
        <f t="shared" si="35"/>
        <v>0.625</v>
      </c>
    </row>
    <row r="350" spans="1:68" ht="27" customHeight="1" x14ac:dyDescent="0.25">
      <c r="A350" s="54" t="s">
        <v>558</v>
      </c>
      <c r="B350" s="54" t="s">
        <v>559</v>
      </c>
      <c r="C350" s="31">
        <v>4301012215</v>
      </c>
      <c r="D350" s="552">
        <v>4680115887046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86</v>
      </c>
      <c r="N350" s="33"/>
      <c r="O350" s="32">
        <v>60</v>
      </c>
      <c r="P350" s="59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206</v>
      </c>
      <c r="Y350" s="546">
        <f t="shared" si="31"/>
        <v>210</v>
      </c>
      <c r="Z350" s="36">
        <f>IFERROR(IF(Y350=0,"",ROUNDUP(Y350/H350,0)*0.02175),"")</f>
        <v>0.30449999999999999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212.45466666666667</v>
      </c>
      <c r="BN350" s="64">
        <f t="shared" si="33"/>
        <v>216.58</v>
      </c>
      <c r="BO350" s="64">
        <f t="shared" si="34"/>
        <v>0.28611111111111109</v>
      </c>
      <c r="BP350" s="64">
        <f t="shared" si="35"/>
        <v>0.29166666666666663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2">
        <v>4680115884830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722</v>
      </c>
      <c r="Y351" s="546">
        <f t="shared" si="31"/>
        <v>735</v>
      </c>
      <c r="Z351" s="36">
        <f>IFERROR(IF(Y351=0,"",ROUNDUP(Y351/H351,0)*0.02175),"")</f>
        <v>1.06575</v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2"/>
        <v>744.62266666666665</v>
      </c>
      <c r="BN351" s="64">
        <f t="shared" si="33"/>
        <v>758.03000000000009</v>
      </c>
      <c r="BO351" s="64">
        <f t="shared" si="34"/>
        <v>1.0027777777777778</v>
      </c>
      <c r="BP351" s="64">
        <f t="shared" si="35"/>
        <v>1.0208333333333333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563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91.266666666666666</v>
      </c>
      <c r="Y355" s="547">
        <f>IFERROR(Y348/H348,"0")+IFERROR(Y349/H349,"0")+IFERROR(Y350/H350,"0")+IFERROR(Y351/H351,"0")+IFERROR(Y352/H352,"0")+IFERROR(Y353/H353,"0")+IFERROR(Y354/H354,"0")</f>
        <v>93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2.0227499999999998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1369</v>
      </c>
      <c r="Y356" s="547">
        <f>IFERROR(SUM(Y348:Y354),"0")</f>
        <v>1395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60</v>
      </c>
      <c r="Y364" s="546">
        <f>IFERROR(IF(X364="",0,CEILING((X364/$H364),1)*$H364),"")</f>
        <v>63</v>
      </c>
      <c r="Z364" s="36">
        <f>IFERROR(IF(Y364=0,"",ROUNDUP(Y364/H364,0)*0.01898),"")</f>
        <v>0.13286000000000001</v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63.293333333333329</v>
      </c>
      <c r="BN364" s="64">
        <f>IFERROR(Y364*I364/H364,"0")</f>
        <v>66.457999999999998</v>
      </c>
      <c r="BO364" s="64">
        <f>IFERROR(1/J364*(X364/H364),"0")</f>
        <v>0.10416666666666667</v>
      </c>
      <c r="BP364" s="64">
        <f>IFERROR(1/J364*(Y364/H364),"0")</f>
        <v>0.109375</v>
      </c>
    </row>
    <row r="365" spans="1:68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6.666666666666667</v>
      </c>
      <c r="Y365" s="547">
        <f>IFERROR(Y363/H363,"0")+IFERROR(Y364/H364,"0")</f>
        <v>7</v>
      </c>
      <c r="Z365" s="547">
        <f>IFERROR(IF(Z363="",0,Z363),"0")+IFERROR(IF(Z364="",0,Z364),"0")</f>
        <v>0.13286000000000001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60</v>
      </c>
      <c r="Y366" s="547">
        <f>IFERROR(SUM(Y363:Y364),"0")</f>
        <v>63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168</v>
      </c>
      <c r="Y368" s="546">
        <f>IFERROR(IF(X368="",0,CEILING((X368/$H368),1)*$H368),"")</f>
        <v>171</v>
      </c>
      <c r="Z368" s="36">
        <f>IFERROR(IF(Y368=0,"",ROUNDUP(Y368/H368,0)*0.01898),"")</f>
        <v>0.36062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177.22133333333332</v>
      </c>
      <c r="BN368" s="64">
        <f>IFERROR(Y368*I368/H368,"0")</f>
        <v>180.386</v>
      </c>
      <c r="BO368" s="64">
        <f>IFERROR(1/J368*(X368/H368),"0")</f>
        <v>0.29166666666666669</v>
      </c>
      <c r="BP368" s="64">
        <f>IFERROR(1/J368*(Y368/H368),"0")</f>
        <v>0.296875</v>
      </c>
    </row>
    <row r="369" spans="1:68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18.666666666666668</v>
      </c>
      <c r="Y369" s="547">
        <f>IFERROR(Y368/H368,"0")</f>
        <v>19</v>
      </c>
      <c r="Z369" s="547">
        <f>IFERROR(IF(Z368="",0,Z368),"0")</f>
        <v>0.36062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168</v>
      </c>
      <c r="Y370" s="547">
        <f>IFERROR(SUM(Y368:Y368),"0")</f>
        <v>171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4301031457</v>
      </c>
      <c r="D378" s="552">
        <v>4607091384802</v>
      </c>
      <c r="E378" s="553"/>
      <c r="F378" s="544">
        <v>0.7</v>
      </c>
      <c r="G378" s="32">
        <v>6</v>
      </c>
      <c r="H378" s="544">
        <v>4.2</v>
      </c>
      <c r="I378" s="544">
        <v>4.45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50</v>
      </c>
      <c r="P378" s="6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4301031303</v>
      </c>
      <c r="D379" s="552">
        <v>4607091384802</v>
      </c>
      <c r="E379" s="553"/>
      <c r="F379" s="544">
        <v>0.73</v>
      </c>
      <c r="G379" s="32">
        <v>6</v>
      </c>
      <c r="H379" s="544">
        <v>4.38</v>
      </c>
      <c r="I379" s="544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6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515</v>
      </c>
      <c r="Y383" s="546">
        <f>IFERROR(IF(X383="",0,CEILING((X383/$H383),1)*$H383),"")</f>
        <v>522</v>
      </c>
      <c r="Z383" s="36">
        <f>IFERROR(IF(Y383=0,"",ROUNDUP(Y383/H383,0)*0.01898),"")</f>
        <v>1.10084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543.26777777777772</v>
      </c>
      <c r="BN383" s="64">
        <f>IFERROR(Y383*I383/H383,"0")</f>
        <v>550.65199999999993</v>
      </c>
      <c r="BO383" s="64">
        <f>IFERROR(1/J383*(X383/H383),"0")</f>
        <v>0.89409722222222221</v>
      </c>
      <c r="BP383" s="64">
        <f>IFERROR(1/J383*(Y383/H383),"0")</f>
        <v>0.90625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57.222222222222221</v>
      </c>
      <c r="Y386" s="547">
        <f>IFERROR(Y383/H383,"0")+IFERROR(Y384/H384,"0")+IFERROR(Y385/H385,"0")</f>
        <v>58</v>
      </c>
      <c r="Z386" s="547">
        <f>IFERROR(IF(Z383="",0,Z383),"0")+IFERROR(IF(Z384="",0,Z384),"0")+IFERROR(IF(Z385="",0,Z385),"0")</f>
        <v>1.10084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515</v>
      </c>
      <c r="Y387" s="547">
        <f>IFERROR(SUM(Y383:Y385),"0")</f>
        <v>522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 t="s">
        <v>110</v>
      </c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 t="s">
        <v>106</v>
      </c>
      <c r="AK391" s="68">
        <v>64.8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 t="s">
        <v>110</v>
      </c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11</v>
      </c>
      <c r="Y413" s="546">
        <f>IFERROR(IF(X413="",0,CEILING((X413/$H413),1)*$H413),"")</f>
        <v>16.200000000000003</v>
      </c>
      <c r="Z413" s="36">
        <f>IFERROR(IF(Y413=0,"",ROUNDUP(Y413/H413,0)*0.00902),"")</f>
        <v>2.7060000000000001E-2</v>
      </c>
      <c r="AA413" s="56"/>
      <c r="AB413" s="57"/>
      <c r="AC413" s="463" t="s">
        <v>642</v>
      </c>
      <c r="AG413" s="64"/>
      <c r="AJ413" s="68" t="s">
        <v>106</v>
      </c>
      <c r="AK413" s="68">
        <v>64.8</v>
      </c>
      <c r="BB413" s="464" t="s">
        <v>1</v>
      </c>
      <c r="BM413" s="64">
        <f>IFERROR(X413*I413/H413,"0")</f>
        <v>11.387037037037036</v>
      </c>
      <c r="BN413" s="64">
        <f>IFERROR(Y413*I413/H413,"0")</f>
        <v>16.77</v>
      </c>
      <c r="BO413" s="64">
        <f>IFERROR(1/J413*(X413/H413),"0")</f>
        <v>1.5432098765432098E-2</v>
      </c>
      <c r="BP413" s="64">
        <f>IFERROR(1/J413*(Y413/H413),"0")</f>
        <v>2.2727272727272731E-2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2.0370370370370368</v>
      </c>
      <c r="Y417" s="547">
        <f>IFERROR(Y413/H413,"0")+IFERROR(Y414/H414,"0")+IFERROR(Y415/H415,"0")+IFERROR(Y416/H416,"0")</f>
        <v>3.0000000000000004</v>
      </c>
      <c r="Z417" s="547">
        <f>IFERROR(IF(Z413="",0,Z413),"0")+IFERROR(IF(Z414="",0,Z414),"0")+IFERROR(IF(Z415="",0,Z415),"0")+IFERROR(IF(Z416="",0,Z416),"0")</f>
        <v>2.7060000000000001E-2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11</v>
      </c>
      <c r="Y418" s="547">
        <f>IFERROR(SUM(Y413:Y416),"0")</f>
        <v>16.200000000000003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 t="s">
        <v>110</v>
      </c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12</v>
      </c>
      <c r="Y438" s="546">
        <f t="shared" si="42"/>
        <v>14.399999999999999</v>
      </c>
      <c r="Z438" s="36">
        <f>IFERROR(IF(Y438=0,"",ROUNDUP(Y438/H438,0)*0.00902),"")</f>
        <v>2.7060000000000001E-2</v>
      </c>
      <c r="AA438" s="56"/>
      <c r="AB438" s="57"/>
      <c r="AC438" s="495" t="s">
        <v>673</v>
      </c>
      <c r="AG438" s="64"/>
      <c r="AJ438" s="68" t="s">
        <v>106</v>
      </c>
      <c r="AK438" s="68">
        <v>57.6</v>
      </c>
      <c r="BB438" s="496" t="s">
        <v>1</v>
      </c>
      <c r="BM438" s="64">
        <f t="shared" si="44"/>
        <v>17.275000000000002</v>
      </c>
      <c r="BN438" s="64">
        <f t="shared" si="45"/>
        <v>20.73</v>
      </c>
      <c r="BO438" s="64">
        <f t="shared" si="46"/>
        <v>1.893939393939394E-2</v>
      </c>
      <c r="BP438" s="64">
        <f t="shared" si="47"/>
        <v>2.2727272727272728E-2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2.5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3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2.7060000000000001E-2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12</v>
      </c>
      <c r="Y440" s="547">
        <f>IFERROR(SUM(Y427:Y438),"0")</f>
        <v>14.399999999999999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184</v>
      </c>
      <c r="Y442" s="546">
        <f>IFERROR(IF(X442="",0,CEILING((X442/$H442),1)*$H442),"")</f>
        <v>184.8</v>
      </c>
      <c r="Z442" s="36">
        <f>IFERROR(IF(Y442=0,"",ROUNDUP(Y442/H442,0)*0.01196),"")</f>
        <v>0.41860000000000003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196.19696969696969</v>
      </c>
      <c r="BN442" s="64">
        <f>IFERROR(Y442*I442/H442,"0")</f>
        <v>197.04999999999998</v>
      </c>
      <c r="BO442" s="64">
        <f>IFERROR(1/J442*(X442/H442),"0")</f>
        <v>0.33508158508158503</v>
      </c>
      <c r="BP442" s="64">
        <f>IFERROR(1/J442*(Y442/H442),"0")</f>
        <v>0.33653846153846156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34.848484848484844</v>
      </c>
      <c r="Y445" s="547">
        <f>IFERROR(Y442/H442,"0")+IFERROR(Y443/H443,"0")+IFERROR(Y444/H444,"0")</f>
        <v>35</v>
      </c>
      <c r="Z445" s="547">
        <f>IFERROR(IF(Z442="",0,Z442),"0")+IFERROR(IF(Z443="",0,Z443),"0")+IFERROR(IF(Z444="",0,Z444),"0")</f>
        <v>0.41860000000000003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184</v>
      </c>
      <c r="Y446" s="547">
        <f>IFERROR(SUM(Y442:Y444),"0")</f>
        <v>184.8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hidden="1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hidden="1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71</v>
      </c>
      <c r="Y450" s="546">
        <f t="shared" si="48"/>
        <v>73.92</v>
      </c>
      <c r="Z450" s="36">
        <f>IFERROR(IF(Y450=0,"",ROUNDUP(Y450/H450,0)*0.01196),"")</f>
        <v>0.16744000000000001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75.706439393939391</v>
      </c>
      <c r="BN450" s="64">
        <f t="shared" si="50"/>
        <v>78.819999999999993</v>
      </c>
      <c r="BO450" s="64">
        <f t="shared" si="51"/>
        <v>0.12929778554778554</v>
      </c>
      <c r="BP450" s="64">
        <f t="shared" si="52"/>
        <v>0.13461538461538464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13.446969696969695</v>
      </c>
      <c r="Y454" s="547">
        <f>IFERROR(Y448/H448,"0")+IFERROR(Y449/H449,"0")+IFERROR(Y450/H450,"0")+IFERROR(Y451/H451,"0")+IFERROR(Y452/H452,"0")+IFERROR(Y453/H453,"0")</f>
        <v>14</v>
      </c>
      <c r="Z454" s="547">
        <f>IFERROR(IF(Z448="",0,Z448),"0")+IFERROR(IF(Z449="",0,Z449),"0")+IFERROR(IF(Z450="",0,Z450),"0")+IFERROR(IF(Z451="",0,Z451),"0")+IFERROR(IF(Z452="",0,Z452),"0")+IFERROR(IF(Z453="",0,Z453),"0")</f>
        <v>0.16744000000000001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71</v>
      </c>
      <c r="Y455" s="547">
        <f>IFERROR(SUM(Y448:Y453),"0")</f>
        <v>73.92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20</v>
      </c>
      <c r="Y475" s="546">
        <f>IFERROR(IF(X475="",0,CEILING((X475/$H475),1)*$H475),"")</f>
        <v>27</v>
      </c>
      <c r="Z475" s="36">
        <f>IFERROR(IF(Y475=0,"",ROUNDUP(Y475/H475,0)*0.01898),"")</f>
        <v>5.6940000000000004E-2</v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21.097777777777779</v>
      </c>
      <c r="BN475" s="64">
        <f>IFERROR(Y475*I475/H475,"0")</f>
        <v>28.481999999999996</v>
      </c>
      <c r="BO475" s="64">
        <f>IFERROR(1/J475*(X475/H475),"0")</f>
        <v>3.4722222222222224E-2</v>
      </c>
      <c r="BP475" s="64">
        <f>IFERROR(1/J475*(Y475/H475),"0")</f>
        <v>4.6875E-2</v>
      </c>
    </row>
    <row r="476" spans="1:68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2.2222222222222223</v>
      </c>
      <c r="Y476" s="547">
        <f>IFERROR(Y475/H475,"0")</f>
        <v>3</v>
      </c>
      <c r="Z476" s="547">
        <f>IFERROR(IF(Z475="",0,Z475),"0")</f>
        <v>5.6940000000000004E-2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20</v>
      </c>
      <c r="Y477" s="547">
        <f>IFERROR(SUM(Y475:Y475),"0")</f>
        <v>27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5101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5229.0499999999993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5401.3346966242634</v>
      </c>
      <c r="Y489" s="547">
        <f>IFERROR(SUM(BN22:BN485),"0")</f>
        <v>5537.3020000000006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10</v>
      </c>
      <c r="Y490" s="38">
        <f>ROUNDUP(SUM(BP22:BP485),0)</f>
        <v>10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5651.3346966242634</v>
      </c>
      <c r="Y491" s="547">
        <f>GrossWeightTotalR+PalletQtyTotalR*25</f>
        <v>5787.3020000000006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1004.8117809201764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1028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10.785380000000002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190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183</v>
      </c>
      <c r="E498" s="46">
        <f>IFERROR(Y84*1,"0")+IFERROR(Y85*1,"0")+IFERROR(Y86*1,"0")+IFERROR(Y87*1,"0")+IFERROR(Y91*1,"0")+IFERROR(Y92*1,"0")+IFERROR(Y93*1,"0")+IFERROR(Y94*1,"0")</f>
        <v>333.9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485.4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187.32000000000002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1337.6999999999998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30.169999999999998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38.4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75.539999999999992</v>
      </c>
      <c r="R498" s="46">
        <f>IFERROR(Y340*1,"0")+IFERROR(Y341*1,"0")+IFERROR(Y342*1,"0")</f>
        <v>90.300000000000011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1629</v>
      </c>
      <c r="T498" s="46">
        <f>IFERROR(Y373*1,"0")+IFERROR(Y374*1,"0")+IFERROR(Y378*1,"0")+IFERROR(Y379*1,"0")+IFERROR(Y383*1,"0")+IFERROR(Y384*1,"0")+IFERROR(Y385*1,"0")</f>
        <v>522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16.200000000000003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273.12</v>
      </c>
      <c r="Y498" s="46">
        <f>IFERROR(Y459*1,"0")+IFERROR(Y460*1,"0")+IFERROR(Y461*1,"0")+IFERROR(Y462*1,"0")+IFERROR(Y466*1,"0")+IFERROR(Y467*1,"0")+IFERROR(Y471*1,"0")+IFERROR(Y475*1,"0")+IFERROR(Y479*1,"0")+IFERROR(Y480*1,"0")</f>
        <v>27</v>
      </c>
      <c r="Z498" s="46">
        <f>IFERROR(Y485*1,"0")</f>
        <v>0</v>
      </c>
      <c r="AB498" s="52"/>
      <c r="AC498" s="52"/>
      <c r="AF498" s="543"/>
    </row>
  </sheetData>
  <sheetProtection algorithmName="SHA-512" hashValue="vfdVnfE1DuYb01A2lR29izc9wgwLjKaEjdoCZ4Sx+wR/QgXe6KpIDPVsxGmqzoCc5WnjSXIO9Km/PoN/rfMvbA==" saltValue="aSu9zWYiDznTAILuO0Fap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4,81"/>
        <filter val="1 369,00"/>
        <filter val="1,00"/>
        <filter val="1,28"/>
        <filter val="1,50"/>
        <filter val="1,59"/>
        <filter val="10"/>
        <filter val="10,00"/>
        <filter val="11,00"/>
        <filter val="111,00"/>
        <filter val="12,00"/>
        <filter val="124,00"/>
        <filter val="13,45"/>
        <filter val="136,00"/>
        <filter val="14,00"/>
        <filter val="140,00"/>
        <filter val="15,42"/>
        <filter val="150,00"/>
        <filter val="155,00"/>
        <filter val="16,35"/>
        <filter val="168,00"/>
        <filter val="17,00"/>
        <filter val="18,67"/>
        <filter val="180,00"/>
        <filter val="184,00"/>
        <filter val="2,00"/>
        <filter val="2,02"/>
        <filter val="2,04"/>
        <filter val="2,22"/>
        <filter val="2,50"/>
        <filter val="2,82"/>
        <filter val="20,00"/>
        <filter val="204,00"/>
        <filter val="206,00"/>
        <filter val="21,00"/>
        <filter val="21,67"/>
        <filter val="22,00"/>
        <filter val="223,00"/>
        <filter val="236,00"/>
        <filter val="25,00"/>
        <filter val="255,00"/>
        <filter val="275,00"/>
        <filter val="29,00"/>
        <filter val="3,00"/>
        <filter val="3,33"/>
        <filter val="30,00"/>
        <filter val="31,59"/>
        <filter val="310,03"/>
        <filter val="32,00"/>
        <filter val="33,00"/>
        <filter val="34,17"/>
        <filter val="34,85"/>
        <filter val="345,00"/>
        <filter val="35,00"/>
        <filter val="36,00"/>
        <filter val="37,00"/>
        <filter val="39,38"/>
        <filter val="4,00"/>
        <filter val="40,00"/>
        <filter val="41,90"/>
        <filter val="44,00"/>
        <filter val="441,00"/>
        <filter val="47,00"/>
        <filter val="485,00"/>
        <filter val="49,00"/>
        <filter val="5 101,00"/>
        <filter val="5 401,33"/>
        <filter val="5 651,33"/>
        <filter val="51,00"/>
        <filter val="515,00"/>
        <filter val="53,00"/>
        <filter val="54,00"/>
        <filter val="57,00"/>
        <filter val="57,22"/>
        <filter val="59,00"/>
        <filter val="59,88"/>
        <filter val="6,00"/>
        <filter val="6,67"/>
        <filter val="60,00"/>
        <filter val="65,00"/>
        <filter val="7,00"/>
        <filter val="70,00"/>
        <filter val="71,00"/>
        <filter val="71,67"/>
        <filter val="722,00"/>
        <filter val="749,00"/>
        <filter val="82,00"/>
        <filter val="88,00"/>
        <filter val="9,00"/>
        <filter val="9,78"/>
        <filter val="9,91"/>
        <filter val="90,00"/>
        <filter val="91,27"/>
        <filter val="94,00"/>
        <filter val="99,44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1 X165 X167 X169 X174 X176 X199 X203:X208 X210 X214:X217 X219:X222 X226:X227 X232 X261 X279:X280 X305 X308 X313 X320:X322 X328:X329 X333:X335 X340:X342 X348:X349 X351 X358 X364 X373 X379 X383:X384 X391 X393 X398 X413 X427 X430:X431 X433 X438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xrwV3Rh1i53Mq/y5TIsYkUy2vDj5rAhmyURnH4Zy5xkZqfUKe606g4hNh/nDJ3Ie6NaYFTeLKl0yMseVc/pg0w==" saltValue="x2l4av2CH17h4Zm9WS92i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