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BDAE75-FC1C-45D3-98F9-31BFE3DBEA1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Z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BP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Z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75" i="1" l="1"/>
  <c r="BN175" i="1"/>
  <c r="Z175" i="1"/>
  <c r="BP217" i="1"/>
  <c r="BN217" i="1"/>
  <c r="Z217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79" i="1"/>
  <c r="BN279" i="1"/>
  <c r="Z279" i="1"/>
  <c r="BP286" i="1"/>
  <c r="BN286" i="1"/>
  <c r="Z286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X490" i="1"/>
  <c r="Z23" i="1"/>
  <c r="BN23" i="1"/>
  <c r="X489" i="1"/>
  <c r="Y31" i="1"/>
  <c r="Z52" i="1"/>
  <c r="BN52" i="1"/>
  <c r="Z67" i="1"/>
  <c r="BN67" i="1"/>
  <c r="Y75" i="1"/>
  <c r="Z84" i="1"/>
  <c r="BN84" i="1"/>
  <c r="Z99" i="1"/>
  <c r="BN99" i="1"/>
  <c r="Z109" i="1"/>
  <c r="BN109" i="1"/>
  <c r="Z132" i="1"/>
  <c r="BN132" i="1"/>
  <c r="Z136" i="1"/>
  <c r="BN136" i="1"/>
  <c r="BP147" i="1"/>
  <c r="BN147" i="1"/>
  <c r="BP167" i="1"/>
  <c r="BN167" i="1"/>
  <c r="Z167" i="1"/>
  <c r="BP205" i="1"/>
  <c r="BN205" i="1"/>
  <c r="Z205" i="1"/>
  <c r="BP234" i="1"/>
  <c r="BN234" i="1"/>
  <c r="Z234" i="1"/>
  <c r="BP263" i="1"/>
  <c r="BN263" i="1"/>
  <c r="Z263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BP115" i="1"/>
  <c r="BN115" i="1"/>
  <c r="Z115" i="1"/>
  <c r="BP143" i="1"/>
  <c r="BN143" i="1"/>
  <c r="Z143" i="1"/>
  <c r="Y157" i="1"/>
  <c r="Y156" i="1"/>
  <c r="BP155" i="1"/>
  <c r="BN155" i="1"/>
  <c r="Z155" i="1"/>
  <c r="Z156" i="1" s="1"/>
  <c r="Y162" i="1"/>
  <c r="BP161" i="1"/>
  <c r="BN161" i="1"/>
  <c r="Z161" i="1"/>
  <c r="Z162" i="1" s="1"/>
  <c r="Y179" i="1"/>
  <c r="BP165" i="1"/>
  <c r="BN165" i="1"/>
  <c r="Z165" i="1"/>
  <c r="BP173" i="1"/>
  <c r="BN173" i="1"/>
  <c r="Z173" i="1"/>
  <c r="BP194" i="1"/>
  <c r="BN194" i="1"/>
  <c r="Z194" i="1"/>
  <c r="BP199" i="1"/>
  <c r="BN199" i="1"/>
  <c r="Z199" i="1"/>
  <c r="BP203" i="1"/>
  <c r="BN203" i="1"/>
  <c r="Z203" i="1"/>
  <c r="BP215" i="1"/>
  <c r="BN215" i="1"/>
  <c r="Z215" i="1"/>
  <c r="BP227" i="1"/>
  <c r="BN227" i="1"/>
  <c r="Z227" i="1"/>
  <c r="BP232" i="1"/>
  <c r="BN232" i="1"/>
  <c r="Z232" i="1"/>
  <c r="BP240" i="1"/>
  <c r="BN240" i="1"/>
  <c r="Z240" i="1"/>
  <c r="BP261" i="1"/>
  <c r="BN261" i="1"/>
  <c r="Z261" i="1"/>
  <c r="BP272" i="1"/>
  <c r="BN272" i="1"/>
  <c r="Z272" i="1"/>
  <c r="B499" i="1"/>
  <c r="X491" i="1"/>
  <c r="X492" i="1" s="1"/>
  <c r="Z27" i="1"/>
  <c r="BN27" i="1"/>
  <c r="BP27" i="1"/>
  <c r="Z41" i="1"/>
  <c r="BN41" i="1"/>
  <c r="Z61" i="1"/>
  <c r="BN61" i="1"/>
  <c r="Z71" i="1"/>
  <c r="BN71" i="1"/>
  <c r="BP71" i="1"/>
  <c r="Z79" i="1"/>
  <c r="BN79" i="1"/>
  <c r="Z86" i="1"/>
  <c r="BN86" i="1"/>
  <c r="Z94" i="1"/>
  <c r="BN94" i="1"/>
  <c r="Z101" i="1"/>
  <c r="BN101" i="1"/>
  <c r="Z107" i="1"/>
  <c r="BN107" i="1"/>
  <c r="Y123" i="1"/>
  <c r="Y122" i="1"/>
  <c r="BP121" i="1"/>
  <c r="BN121" i="1"/>
  <c r="Z121" i="1"/>
  <c r="Z122" i="1" s="1"/>
  <c r="BP126" i="1"/>
  <c r="BN126" i="1"/>
  <c r="Z126" i="1"/>
  <c r="BP149" i="1"/>
  <c r="BN149" i="1"/>
  <c r="Z149" i="1"/>
  <c r="BP169" i="1"/>
  <c r="BN169" i="1"/>
  <c r="Z169" i="1"/>
  <c r="BP177" i="1"/>
  <c r="BN177" i="1"/>
  <c r="Z177" i="1"/>
  <c r="BP207" i="1"/>
  <c r="BN207" i="1"/>
  <c r="Z207" i="1"/>
  <c r="BP219" i="1"/>
  <c r="BN219" i="1"/>
  <c r="Z219" i="1"/>
  <c r="BP236" i="1"/>
  <c r="BN236" i="1"/>
  <c r="Z236" i="1"/>
  <c r="BP254" i="1"/>
  <c r="BN254" i="1"/>
  <c r="Z254" i="1"/>
  <c r="BP265" i="1"/>
  <c r="BN265" i="1"/>
  <c r="Z265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153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Y331" i="1"/>
  <c r="Y388" i="1"/>
  <c r="Y387" i="1"/>
  <c r="Y482" i="1"/>
  <c r="H9" i="1"/>
  <c r="A10" i="1"/>
  <c r="Y24" i="1"/>
  <c r="Y32" i="1"/>
  <c r="Y36" i="1"/>
  <c r="Y44" i="1"/>
  <c r="Y48" i="1"/>
  <c r="D499" i="1"/>
  <c r="Y57" i="1"/>
  <c r="BP62" i="1"/>
  <c r="BN62" i="1"/>
  <c r="Z62" i="1"/>
  <c r="Y64" i="1"/>
  <c r="Y69" i="1"/>
  <c r="BP66" i="1"/>
  <c r="BN66" i="1"/>
  <c r="Z66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Z144" i="1" s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499" i="1"/>
  <c r="F9" i="1"/>
  <c r="J9" i="1"/>
  <c r="Z22" i="1"/>
  <c r="BN22" i="1"/>
  <c r="BP22" i="1"/>
  <c r="X493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BP54" i="1"/>
  <c r="BN54" i="1"/>
  <c r="BP56" i="1"/>
  <c r="BN56" i="1"/>
  <c r="Z56" i="1"/>
  <c r="Y58" i="1"/>
  <c r="Y63" i="1"/>
  <c r="BP60" i="1"/>
  <c r="BN60" i="1"/>
  <c r="Z60" i="1"/>
  <c r="Y68" i="1"/>
  <c r="BP72" i="1"/>
  <c r="BN72" i="1"/>
  <c r="Z72" i="1"/>
  <c r="Y80" i="1"/>
  <c r="BP85" i="1"/>
  <c r="BN85" i="1"/>
  <c r="Z85" i="1"/>
  <c r="BP93" i="1"/>
  <c r="BN93" i="1"/>
  <c r="Z93" i="1"/>
  <c r="BP102" i="1"/>
  <c r="BN102" i="1"/>
  <c r="Z102" i="1"/>
  <c r="Y111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Y129" i="1"/>
  <c r="Y134" i="1"/>
  <c r="BP131" i="1"/>
  <c r="BN131" i="1"/>
  <c r="Z131" i="1"/>
  <c r="Z133" i="1" s="1"/>
  <c r="Y138" i="1"/>
  <c r="Y144" i="1"/>
  <c r="BP148" i="1"/>
  <c r="BN148" i="1"/>
  <c r="Z148" i="1"/>
  <c r="Y152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Z274" i="1" s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Z211" i="1" s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Z257" i="1" s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Z281" i="1" s="1"/>
  <c r="BP291" i="1"/>
  <c r="BN291" i="1"/>
  <c r="Z291" i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499" i="1"/>
  <c r="Y345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Z401" i="1" s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Z482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1" i="1"/>
  <c r="BN461" i="1"/>
  <c r="Z461" i="1"/>
  <c r="Z464" i="1" s="1"/>
  <c r="BP481" i="1"/>
  <c r="BN481" i="1"/>
  <c r="Z481" i="1"/>
  <c r="Y483" i="1"/>
  <c r="Z499" i="1"/>
  <c r="Y487" i="1"/>
  <c r="BP486" i="1"/>
  <c r="BN486" i="1"/>
  <c r="Z486" i="1"/>
  <c r="Z487" i="1" s="1"/>
  <c r="Y488" i="1"/>
  <c r="Y440" i="1"/>
  <c r="Z31" i="1" l="1"/>
  <c r="Z152" i="1"/>
  <c r="Z24" i="1"/>
  <c r="Z311" i="1"/>
  <c r="Z80" i="1"/>
  <c r="Z68" i="1"/>
  <c r="Z440" i="1"/>
  <c r="Z179" i="1"/>
  <c r="Z111" i="1"/>
  <c r="Z104" i="1"/>
  <c r="Z292" i="1"/>
  <c r="Z356" i="1"/>
  <c r="Z266" i="1"/>
  <c r="Z241" i="1"/>
  <c r="Z128" i="1"/>
  <c r="Z118" i="1"/>
  <c r="Z43" i="1"/>
  <c r="Z455" i="1"/>
  <c r="Z418" i="1"/>
  <c r="Y489" i="1"/>
  <c r="Y491" i="1"/>
  <c r="Z223" i="1"/>
  <c r="Z337" i="1"/>
  <c r="Z185" i="1"/>
  <c r="Z88" i="1"/>
  <c r="Z75" i="1"/>
  <c r="Z63" i="1"/>
  <c r="Z57" i="1"/>
  <c r="Y490" i="1"/>
  <c r="Y492" i="1" s="1"/>
  <c r="Z318" i="1"/>
  <c r="Z95" i="1"/>
  <c r="Y493" i="1"/>
  <c r="Z494" i="1" l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<sst xmlns="http://schemas.openxmlformats.org/spreadsheetml/2006/main" count="2343" uniqueCount="771">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</sst>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1" t="s">
        <v>0</v>
      </c>
      <c r="E1" s="587"/>
      <c r="F1" s="587"/>
      <c r="G1" s="12" t="s">
        <v>1</v>
      </c>
      <c r="H1" s="631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6" t="s">
        <v>8</v>
      </c>
      <c r="B5" s="655"/>
      <c r="C5" s="656"/>
      <c r="D5" s="635"/>
      <c r="E5" s="636"/>
      <c r="F5" s="831" t="s">
        <v>9</v>
      </c>
      <c r="G5" s="656"/>
      <c r="H5" s="635" t="s">
        <v>770</v>
      </c>
      <c r="I5" s="786"/>
      <c r="J5" s="786"/>
      <c r="K5" s="786"/>
      <c r="L5" s="786"/>
      <c r="M5" s="636"/>
      <c r="N5" s="58"/>
      <c r="P5" s="24" t="s">
        <v>10</v>
      </c>
      <c r="Q5" s="834">
        <v>46051</v>
      </c>
      <c r="R5" s="679"/>
      <c r="T5" s="719" t="s">
        <v>11</v>
      </c>
      <c r="U5" s="720"/>
      <c r="V5" s="726" t="s">
        <v>12</v>
      </c>
      <c r="W5" s="679"/>
      <c r="AB5" s="51"/>
      <c r="AC5" s="51"/>
      <c r="AD5" s="51"/>
      <c r="AE5" s="51"/>
    </row>
    <row r="6" spans="1:32" s="541" customFormat="1" ht="24" customHeight="1" x14ac:dyDescent="0.2">
      <c r="A6" s="676" t="s">
        <v>13</v>
      </c>
      <c r="B6" s="655"/>
      <c r="C6" s="656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9"/>
      <c r="N6" s="59"/>
      <c r="P6" s="24" t="s">
        <v>15</v>
      </c>
      <c r="Q6" s="835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9" t="s">
        <v>16</v>
      </c>
      <c r="U6" s="720"/>
      <c r="V6" s="768" t="s">
        <v>17</v>
      </c>
      <c r="W6" s="578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1"/>
      <c r="U7" s="720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39" t="s">
        <v>18</v>
      </c>
      <c r="B8" s="566"/>
      <c r="C8" s="567"/>
      <c r="D8" s="626" t="s">
        <v>19</v>
      </c>
      <c r="E8" s="627"/>
      <c r="F8" s="627"/>
      <c r="G8" s="627"/>
      <c r="H8" s="627"/>
      <c r="I8" s="627"/>
      <c r="J8" s="627"/>
      <c r="K8" s="627"/>
      <c r="L8" s="627"/>
      <c r="M8" s="628"/>
      <c r="N8" s="61"/>
      <c r="P8" s="24" t="s">
        <v>20</v>
      </c>
      <c r="Q8" s="688">
        <v>0.45833333333333331</v>
      </c>
      <c r="R8" s="615"/>
      <c r="T8" s="561"/>
      <c r="U8" s="720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48"/>
      <c r="E9" s="572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9"/>
      <c r="P9" s="26" t="s">
        <v>21</v>
      </c>
      <c r="Q9" s="645"/>
      <c r="R9" s="646"/>
      <c r="T9" s="561"/>
      <c r="U9" s="720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48"/>
      <c r="E10" s="572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7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0"/>
      <c r="R10" s="731"/>
      <c r="U10" s="24" t="s">
        <v>23</v>
      </c>
      <c r="V10" s="577" t="s">
        <v>24</v>
      </c>
      <c r="W10" s="578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8"/>
      <c r="R11" s="679"/>
      <c r="U11" s="24" t="s">
        <v>27</v>
      </c>
      <c r="V11" s="798" t="s">
        <v>28</v>
      </c>
      <c r="W11" s="64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88"/>
      <c r="R12" s="615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798"/>
      <c r="R13" s="6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8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0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90" t="s">
        <v>38</v>
      </c>
      <c r="D17" s="597" t="s">
        <v>39</v>
      </c>
      <c r="E17" s="660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9"/>
      <c r="R17" s="659"/>
      <c r="S17" s="659"/>
      <c r="T17" s="660"/>
      <c r="U17" s="836" t="s">
        <v>51</v>
      </c>
      <c r="V17" s="656"/>
      <c r="W17" s="597" t="s">
        <v>52</v>
      </c>
      <c r="X17" s="597" t="s">
        <v>53</v>
      </c>
      <c r="Y17" s="837" t="s">
        <v>54</v>
      </c>
      <c r="Z17" s="779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61"/>
      <c r="E18" s="663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61"/>
      <c r="Q18" s="662"/>
      <c r="R18" s="662"/>
      <c r="S18" s="662"/>
      <c r="T18" s="663"/>
      <c r="U18" s="67" t="s">
        <v>61</v>
      </c>
      <c r="V18" s="67" t="s">
        <v>62</v>
      </c>
      <c r="W18" s="598"/>
      <c r="X18" s="598"/>
      <c r="Y18" s="838"/>
      <c r="Z18" s="780"/>
      <c r="AA18" s="756"/>
      <c r="AB18" s="756"/>
      <c r="AC18" s="756"/>
      <c r="AD18" s="828"/>
      <c r="AE18" s="829"/>
      <c r="AF18" s="830"/>
      <c r="AG18" s="66"/>
      <c r="BD18" s="65"/>
    </row>
    <row r="19" spans="1:68" ht="27.75" hidden="1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hidden="1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hidden="1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hidden="1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300</v>
      </c>
      <c r="Y40" s="548">
        <f>IFERROR(IF(X40="",0,CEILING((X40/$H40),1)*$H40),"")</f>
        <v>302.40000000000003</v>
      </c>
      <c r="Z40" s="36">
        <f>IFERROR(IF(Y40=0,"",ROUNDUP(Y40/H40,0)*0.01898),"")</f>
        <v>0.53144000000000002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311.38888888888891</v>
      </c>
      <c r="BN40" s="64">
        <f>IFERROR(Y40*I40/H40,"0")</f>
        <v>313.88</v>
      </c>
      <c r="BO40" s="64">
        <f>IFERROR(1/J40*(X40/H40),"0")</f>
        <v>0.43402777777777773</v>
      </c>
      <c r="BP40" s="64">
        <f>IFERROR(1/J40*(Y40/H40),"0")</f>
        <v>0.4375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80</v>
      </c>
      <c r="Y42" s="548">
        <f>IFERROR(IF(X42="",0,CEILING((X42/$H42),1)*$H42),"")</f>
        <v>80</v>
      </c>
      <c r="Z42" s="36">
        <f>IFERROR(IF(Y42=0,"",ROUNDUP(Y42/H42,0)*0.00902),"")</f>
        <v>0.1804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83.800000000000011</v>
      </c>
      <c r="BN42" s="64">
        <f>IFERROR(Y42*I42/H42,"0")</f>
        <v>83.800000000000011</v>
      </c>
      <c r="BO42" s="64">
        <f>IFERROR(1/J42*(X42/H42),"0")</f>
        <v>0.15151515151515152</v>
      </c>
      <c r="BP42" s="64">
        <f>IFERROR(1/J42*(Y42/H42),"0")</f>
        <v>0.15151515151515152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47.777777777777771</v>
      </c>
      <c r="Y43" s="549">
        <f>IFERROR(Y40/H40,"0")+IFERROR(Y41/H41,"0")+IFERROR(Y42/H42,"0")</f>
        <v>48</v>
      </c>
      <c r="Z43" s="549">
        <f>IFERROR(IF(Z40="",0,Z40),"0")+IFERROR(IF(Z41="",0,Z41),"0")+IFERROR(IF(Z42="",0,Z42),"0")</f>
        <v>0.71184000000000003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380</v>
      </c>
      <c r="Y44" s="549">
        <f>IFERROR(SUM(Y40:Y42),"0")</f>
        <v>382.40000000000003</v>
      </c>
      <c r="Z44" s="37"/>
      <c r="AA44" s="550"/>
      <c r="AB44" s="550"/>
      <c r="AC44" s="550"/>
    </row>
    <row r="45" spans="1:68" ht="14.25" hidden="1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hidden="1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594</v>
      </c>
      <c r="Y56" s="548">
        <f t="shared" si="0"/>
        <v>594</v>
      </c>
      <c r="Z56" s="36">
        <f>IFERROR(IF(Y56=0,"",ROUNDUP(Y56/H56,0)*0.00902),"")</f>
        <v>1.1906400000000001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619.08000000000004</v>
      </c>
      <c r="BN56" s="64">
        <f t="shared" si="2"/>
        <v>619.08000000000004</v>
      </c>
      <c r="BO56" s="64">
        <f t="shared" si="3"/>
        <v>1</v>
      </c>
      <c r="BP56" s="64">
        <f t="shared" si="4"/>
        <v>1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132</v>
      </c>
      <c r="Y57" s="549">
        <f>IFERROR(Y51/H51,"0")+IFERROR(Y52/H52,"0")+IFERROR(Y53/H53,"0")+IFERROR(Y54/H54,"0")+IFERROR(Y55/H55,"0")+IFERROR(Y56/H56,"0")</f>
        <v>132</v>
      </c>
      <c r="Z57" s="549">
        <f>IFERROR(IF(Z51="",0,Z51),"0")+IFERROR(IF(Z52="",0,Z52),"0")+IFERROR(IF(Z53="",0,Z53),"0")+IFERROR(IF(Z54="",0,Z54),"0")+IFERROR(IF(Z55="",0,Z55),"0")+IFERROR(IF(Z56="",0,Z56),"0")</f>
        <v>1.1906400000000001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594</v>
      </c>
      <c r="Y58" s="549">
        <f>IFERROR(SUM(Y51:Y56),"0")</f>
        <v>594</v>
      </c>
      <c r="Z58" s="37"/>
      <c r="AA58" s="550"/>
      <c r="AB58" s="550"/>
      <c r="AC58" s="550"/>
    </row>
    <row r="59" spans="1:68" ht="14.25" hidden="1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1400</v>
      </c>
      <c r="Y60" s="548">
        <f>IFERROR(IF(X60="",0,CEILING((X60/$H60),1)*$H60),"")</f>
        <v>1404</v>
      </c>
      <c r="Z60" s="36">
        <f>IFERROR(IF(Y60=0,"",ROUNDUP(Y60/H60,0)*0.01898),"")</f>
        <v>2.4674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1453.1481481481483</v>
      </c>
      <c r="BN60" s="64">
        <f>IFERROR(Y60*I60/H60,"0")</f>
        <v>1457.3000000000002</v>
      </c>
      <c r="BO60" s="64">
        <f>IFERROR(1/J60*(X60/H60),"0")</f>
        <v>2.0254629629629628</v>
      </c>
      <c r="BP60" s="64">
        <f>IFERROR(1/J60*(Y60/H60),"0")</f>
        <v>2.03125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129.62962962962962</v>
      </c>
      <c r="Y63" s="549">
        <f>IFERROR(Y60/H60,"0")+IFERROR(Y61/H61,"0")+IFERROR(Y62/H62,"0")</f>
        <v>130</v>
      </c>
      <c r="Z63" s="549">
        <f>IFERROR(IF(Z60="",0,Z60),"0")+IFERROR(IF(Z61="",0,Z61),"0")+IFERROR(IF(Z62="",0,Z62),"0")</f>
        <v>2.4674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1400</v>
      </c>
      <c r="Y64" s="549">
        <f>IFERROR(SUM(Y60:Y62),"0")</f>
        <v>1404</v>
      </c>
      <c r="Z64" s="37"/>
      <c r="AA64" s="550"/>
      <c r="AB64" s="550"/>
      <c r="AC64" s="550"/>
    </row>
    <row r="65" spans="1:68" ht="14.25" hidden="1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hidden="1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hidden="1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hidden="1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670</v>
      </c>
      <c r="Y84" s="548">
        <f>IFERROR(IF(X84="",0,CEILING((X84/$H84),1)*$H84),"")</f>
        <v>680.40000000000009</v>
      </c>
      <c r="Z84" s="36">
        <f>IFERROR(IF(Y84=0,"",ROUNDUP(Y84/H84,0)*0.01898),"")</f>
        <v>1.19574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695.43518518518522</v>
      </c>
      <c r="BN84" s="64">
        <f>IFERROR(Y84*I84/H84,"0")</f>
        <v>706.23000000000013</v>
      </c>
      <c r="BO84" s="64">
        <f>IFERROR(1/J84*(X84/H84),"0")</f>
        <v>0.96932870370370361</v>
      </c>
      <c r="BP84" s="64">
        <f>IFERROR(1/J84*(Y84/H84),"0")</f>
        <v>0.98437500000000011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6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67</v>
      </c>
      <c r="Y87" s="548">
        <f>IFERROR(IF(X87="",0,CEILING((X87/$H87),1)*$H87),"")</f>
        <v>67.5</v>
      </c>
      <c r="Z87" s="36">
        <f>IFERROR(IF(Y87=0,"",ROUNDUP(Y87/H87,0)*0.00902),"")</f>
        <v>0.1353</v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69.828888888888898</v>
      </c>
      <c r="BN87" s="64">
        <f>IFERROR(Y87*I87/H87,"0")</f>
        <v>70.350000000000009</v>
      </c>
      <c r="BO87" s="64">
        <f>IFERROR(1/J87*(X87/H87),"0")</f>
        <v>0.11279461279461279</v>
      </c>
      <c r="BP87" s="64">
        <f>IFERROR(1/J87*(Y87/H87),"0")</f>
        <v>0.11363636363636365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76.925925925925924</v>
      </c>
      <c r="Y88" s="549">
        <f>IFERROR(Y84/H84,"0")+IFERROR(Y85/H85,"0")+IFERROR(Y86/H86,"0")+IFERROR(Y87/H87,"0")</f>
        <v>78</v>
      </c>
      <c r="Z88" s="549">
        <f>IFERROR(IF(Z84="",0,Z84),"0")+IFERROR(IF(Z85="",0,Z85),"0")+IFERROR(IF(Z86="",0,Z86),"0")+IFERROR(IF(Z87="",0,Z87),"0")</f>
        <v>1.33104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737</v>
      </c>
      <c r="Y89" s="549">
        <f>IFERROR(SUM(Y84:Y87),"0")</f>
        <v>747.90000000000009</v>
      </c>
      <c r="Z89" s="37"/>
      <c r="AA89" s="550"/>
      <c r="AB89" s="550"/>
      <c r="AC89" s="550"/>
    </row>
    <row r="90" spans="1:68" ht="14.25" hidden="1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hidden="1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hidden="1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hidden="1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hidden="1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hidden="1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hidden="1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700</v>
      </c>
      <c r="Y114" s="548">
        <f>IFERROR(IF(X114="",0,CEILING((X114/$H114),1)*$H114),"")</f>
        <v>704.69999999999993</v>
      </c>
      <c r="Z114" s="36">
        <f>IFERROR(IF(Y114=0,"",ROUNDUP(Y114/H114,0)*0.01898),"")</f>
        <v>1.65126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742.17283950617275</v>
      </c>
      <c r="BN114" s="64">
        <f>IFERROR(Y114*I114/H114,"0")</f>
        <v>747.15599999999995</v>
      </c>
      <c r="BO114" s="64">
        <f>IFERROR(1/J114*(X114/H114),"0")</f>
        <v>1.3503086419753088</v>
      </c>
      <c r="BP114" s="64">
        <f>IFERROR(1/J114*(Y114/H114),"0")</f>
        <v>1.359375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86.41975308641976</v>
      </c>
      <c r="Y118" s="549">
        <f>IFERROR(Y114/H114,"0")+IFERROR(Y115/H115,"0")+IFERROR(Y116/H116,"0")+IFERROR(Y117/H117,"0")</f>
        <v>87</v>
      </c>
      <c r="Z118" s="549">
        <f>IFERROR(IF(Z114="",0,Z114),"0")+IFERROR(IF(Z115="",0,Z115),"0")+IFERROR(IF(Z116="",0,Z116),"0")+IFERROR(IF(Z117="",0,Z117),"0")</f>
        <v>1.65126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700</v>
      </c>
      <c r="Y119" s="549">
        <f>IFERROR(SUM(Y114:Y117),"0")</f>
        <v>704.69999999999993</v>
      </c>
      <c r="Z119" s="37"/>
      <c r="AA119" s="550"/>
      <c r="AB119" s="550"/>
      <c r="AC119" s="550"/>
    </row>
    <row r="120" spans="1:68" ht="14.25" hidden="1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hidden="1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hidden="1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hidden="1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hidden="1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hidden="1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hidden="1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60</v>
      </c>
      <c r="Y147" s="548">
        <f>IFERROR(IF(X147="",0,CEILING((X147/$H147),1)*$H147),"")</f>
        <v>63</v>
      </c>
      <c r="Z147" s="36">
        <f>IFERROR(IF(Y147=0,"",ROUNDUP(Y147/H147,0)*0.00902),"")</f>
        <v>0.1353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62.714285714285708</v>
      </c>
      <c r="BN147" s="64">
        <f>IFERROR(Y147*I147/H147,"0")</f>
        <v>65.849999999999994</v>
      </c>
      <c r="BO147" s="64">
        <f>IFERROR(1/J147*(X147/H147),"0")</f>
        <v>0.10822510822510822</v>
      </c>
      <c r="BP147" s="64">
        <f>IFERROR(1/J147*(Y147/H147),"0")</f>
        <v>0.11363636363636365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25</v>
      </c>
      <c r="Y148" s="548">
        <f>IFERROR(IF(X148="",0,CEILING((X148/$H148),1)*$H148),"")</f>
        <v>25.200000000000003</v>
      </c>
      <c r="Z148" s="36">
        <f>IFERROR(IF(Y148=0,"",ROUNDUP(Y148/H148,0)*0.00651),"")</f>
        <v>3.9059999999999997E-2</v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26.607142857142858</v>
      </c>
      <c r="BN148" s="64">
        <f>IFERROR(Y148*I148/H148,"0")</f>
        <v>26.82</v>
      </c>
      <c r="BO148" s="64">
        <f>IFERROR(1/J148*(X148/H148),"0")</f>
        <v>3.2705389848246995E-2</v>
      </c>
      <c r="BP148" s="64">
        <f>IFERROR(1/J148*(Y148/H148),"0")</f>
        <v>3.2967032967032968E-2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30</v>
      </c>
      <c r="Y149" s="548">
        <f>IFERROR(IF(X149="",0,CEILING((X149/$H149),1)*$H149),"")</f>
        <v>33.6</v>
      </c>
      <c r="Z149" s="36">
        <f>IFERROR(IF(Y149=0,"",ROUNDUP(Y149/H149,0)*0.00902),"")</f>
        <v>7.2160000000000002E-2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31.357142857142854</v>
      </c>
      <c r="BN149" s="64">
        <f>IFERROR(Y149*I149/H149,"0")</f>
        <v>35.119999999999997</v>
      </c>
      <c r="BO149" s="64">
        <f>IFERROR(1/J149*(X149/H149),"0")</f>
        <v>5.4112554112554112E-2</v>
      </c>
      <c r="BP149" s="64">
        <f>IFERROR(1/J149*(Y149/H149),"0")</f>
        <v>6.0606060606060608E-2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150</v>
      </c>
      <c r="Y150" s="548">
        <f>IFERROR(IF(X150="",0,CEILING((X150/$H150),1)*$H150),"")</f>
        <v>153</v>
      </c>
      <c r="Z150" s="36">
        <f>IFERROR(IF(Y150=0,"",ROUNDUP(Y150/H150,0)*0.01898),"")</f>
        <v>0.32266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159.33333333333334</v>
      </c>
      <c r="BN150" s="64">
        <f>IFERROR(Y150*I150/H150,"0")</f>
        <v>162.52000000000001</v>
      </c>
      <c r="BO150" s="64">
        <f>IFERROR(1/J150*(X150/H150),"0")</f>
        <v>0.26041666666666669</v>
      </c>
      <c r="BP150" s="64">
        <f>IFERROR(1/J150*(Y150/H150),"0")</f>
        <v>0.265625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6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44.047619047619051</v>
      </c>
      <c r="Y152" s="549">
        <f>IFERROR(Y147/H147,"0")+IFERROR(Y148/H148,"0")+IFERROR(Y149/H149,"0")+IFERROR(Y150/H150,"0")+IFERROR(Y151/H151,"0")</f>
        <v>46</v>
      </c>
      <c r="Z152" s="549">
        <f>IFERROR(IF(Z147="",0,Z147),"0")+IFERROR(IF(Z148="",0,Z148),"0")+IFERROR(IF(Z149="",0,Z149),"0")+IFERROR(IF(Z150="",0,Z150),"0")+IFERROR(IF(Z151="",0,Z151),"0")</f>
        <v>0.56918000000000002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265</v>
      </c>
      <c r="Y153" s="549">
        <f>IFERROR(SUM(Y147:Y151),"0")</f>
        <v>274.8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hidden="1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hidden="1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hidden="1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hidden="1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200</v>
      </c>
      <c r="Y203" s="548">
        <f t="shared" ref="Y203:Y210" si="10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207.03703703703701</v>
      </c>
      <c r="BN203" s="64">
        <f t="shared" ref="BN203:BN210" si="12">IFERROR(Y203*I203/H203,"0")</f>
        <v>212.42</v>
      </c>
      <c r="BO203" s="64">
        <f t="shared" ref="BO203:BO210" si="13">IFERROR(1/J203*(X203/H203),"0")</f>
        <v>0.28058361391694725</v>
      </c>
      <c r="BP203" s="64">
        <f t="shared" ref="BP203:BP210" si="14">IFERROR(1/J203*(Y203/H203),"0")</f>
        <v>0.2878787878787879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200</v>
      </c>
      <c r="Y205" s="548">
        <f t="shared" si="10"/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207.03703703703701</v>
      </c>
      <c r="BN205" s="64">
        <f t="shared" si="12"/>
        <v>212.42</v>
      </c>
      <c r="BO205" s="64">
        <f t="shared" si="13"/>
        <v>0.28058361391694725</v>
      </c>
      <c r="BP205" s="64">
        <f t="shared" si="14"/>
        <v>0.2878787878787879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100</v>
      </c>
      <c r="Y206" s="548">
        <f t="shared" si="10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103.5185185185185</v>
      </c>
      <c r="BN206" s="64">
        <f t="shared" si="12"/>
        <v>106.21</v>
      </c>
      <c r="BO206" s="64">
        <f t="shared" si="13"/>
        <v>0.14029180695847362</v>
      </c>
      <c r="BP206" s="64">
        <f t="shared" si="14"/>
        <v>0.14393939393939395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92.592592592592595</v>
      </c>
      <c r="Y211" s="549">
        <f>IFERROR(Y203/H203,"0")+IFERROR(Y204/H204,"0")+IFERROR(Y205/H205,"0")+IFERROR(Y206/H206,"0")+IFERROR(Y207/H207,"0")+IFERROR(Y208/H208,"0")+IFERROR(Y209/H209,"0")+IFERROR(Y210/H210,"0")</f>
        <v>95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0.8569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500</v>
      </c>
      <c r="Y212" s="549">
        <f>IFERROR(SUM(Y203:Y210),"0")</f>
        <v>513</v>
      </c>
      <c r="Z212" s="37"/>
      <c r="AA212" s="550"/>
      <c r="AB212" s="550"/>
      <c r="AC212" s="550"/>
    </row>
    <row r="213" spans="1:68" ht="14.25" hidden="1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hidden="1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hidden="1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hidden="1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hidden="1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hidden="1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100</v>
      </c>
      <c r="Y261" s="548">
        <f>IFERROR(IF(X261="",0,CEILING((X261/$H261),1)*$H261),"")</f>
        <v>108</v>
      </c>
      <c r="Z261" s="36">
        <f>IFERROR(IF(Y261=0,"",ROUNDUP(Y261/H261,0)*0.01898),"")</f>
        <v>0.1898</v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103.79629629629629</v>
      </c>
      <c r="BN261" s="64">
        <f>IFERROR(Y261*I261/H261,"0")</f>
        <v>112.1</v>
      </c>
      <c r="BO261" s="64">
        <f>IFERROR(1/J261*(X261/H261),"0")</f>
        <v>0.14467592592592593</v>
      </c>
      <c r="BP261" s="64">
        <f>IFERROR(1/J261*(Y261/H261),"0")</f>
        <v>0.15625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40</v>
      </c>
      <c r="Y264" s="548">
        <f>IFERROR(IF(X264="",0,CEILING((X264/$H264),1)*$H264),"")</f>
        <v>40</v>
      </c>
      <c r="Z264" s="36">
        <f>IFERROR(IF(Y264=0,"",ROUNDUP(Y264/H264,0)*0.00902),"")</f>
        <v>9.0200000000000002E-2</v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41.900000000000006</v>
      </c>
      <c r="BN264" s="64">
        <f>IFERROR(Y264*I264/H264,"0")</f>
        <v>41.900000000000006</v>
      </c>
      <c r="BO264" s="64">
        <f>IFERROR(1/J264*(X264/H264),"0")</f>
        <v>7.575757575757576E-2</v>
      </c>
      <c r="BP264" s="64">
        <f>IFERROR(1/J264*(Y264/H264),"0")</f>
        <v>7.575757575757576E-2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19.25925925925926</v>
      </c>
      <c r="Y266" s="549">
        <f>IFERROR(Y261/H261,"0")+IFERROR(Y262/H262,"0")+IFERROR(Y263/H263,"0")+IFERROR(Y264/H264,"0")+IFERROR(Y265/H265,"0")</f>
        <v>20</v>
      </c>
      <c r="Z266" s="549">
        <f>IFERROR(IF(Z261="",0,Z261),"0")+IFERROR(IF(Z262="",0,Z262),"0")+IFERROR(IF(Z263="",0,Z263),"0")+IFERROR(IF(Z264="",0,Z264),"0")+IFERROR(IF(Z265="",0,Z265),"0")</f>
        <v>0.28000000000000003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140</v>
      </c>
      <c r="Y267" s="549">
        <f>IFERROR(SUM(Y261:Y265),"0")</f>
        <v>148</v>
      </c>
      <c r="Z267" s="37"/>
      <c r="AA267" s="550"/>
      <c r="AB267" s="550"/>
      <c r="AC267" s="550"/>
    </row>
    <row r="268" spans="1:68" ht="16.5" hidden="1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hidden="1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hidden="1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hidden="1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36</v>
      </c>
      <c r="Y290" s="548">
        <f>IFERROR(IF(X290="",0,CEILING((X290/$H290),1)*$H290),"")</f>
        <v>36</v>
      </c>
      <c r="Z290" s="36">
        <f>IFERROR(IF(Y290=0,"",ROUNDUP(Y290/H290,0)*0.00902),"")</f>
        <v>9.0200000000000002E-2</v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37.9</v>
      </c>
      <c r="BN290" s="64">
        <f>IFERROR(Y290*I290/H290,"0")</f>
        <v>37.9</v>
      </c>
      <c r="BO290" s="64">
        <f>IFERROR(1/J290*(X290/H290),"0")</f>
        <v>7.575757575757576E-2</v>
      </c>
      <c r="BP290" s="64">
        <f>IFERROR(1/J290*(Y290/H290),"0")</f>
        <v>7.575757575757576E-2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10</v>
      </c>
      <c r="Y292" s="549">
        <f>IFERROR(Y290/H290,"0")+IFERROR(Y291/H291,"0")</f>
        <v>10</v>
      </c>
      <c r="Z292" s="549">
        <f>IFERROR(IF(Z290="",0,Z290),"0")+IFERROR(IF(Z291="",0,Z291),"0")</f>
        <v>9.0200000000000002E-2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36</v>
      </c>
      <c r="Y293" s="549">
        <f>IFERROR(SUM(Y290:Y291),"0")</f>
        <v>36</v>
      </c>
      <c r="Z293" s="37"/>
      <c r="AA293" s="550"/>
      <c r="AB293" s="550"/>
      <c r="AC293" s="550"/>
    </row>
    <row r="294" spans="1:68" ht="16.5" hidden="1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hidden="1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200</v>
      </c>
      <c r="Y297" s="548">
        <f t="shared" si="26"/>
        <v>205.20000000000002</v>
      </c>
      <c r="Z297" s="36">
        <f>IFERROR(IF(Y297=0,"",ROUNDUP(Y297/H297,0)*0.01898),"")</f>
        <v>0.36062</v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207.59259259259258</v>
      </c>
      <c r="BN297" s="64">
        <f t="shared" si="28"/>
        <v>212.99</v>
      </c>
      <c r="BO297" s="64">
        <f t="shared" si="29"/>
        <v>0.28935185185185186</v>
      </c>
      <c r="BP297" s="64">
        <f t="shared" si="30"/>
        <v>0.296875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250</v>
      </c>
      <c r="Y298" s="548">
        <f t="shared" si="26"/>
        <v>259.20000000000005</v>
      </c>
      <c r="Z298" s="36">
        <f>IFERROR(IF(Y298=0,"",ROUNDUP(Y298/H298,0)*0.01898),"")</f>
        <v>0.45552000000000004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259.4907407407407</v>
      </c>
      <c r="BN298" s="64">
        <f t="shared" si="28"/>
        <v>269.04000000000002</v>
      </c>
      <c r="BO298" s="64">
        <f t="shared" si="29"/>
        <v>0.36168981481481477</v>
      </c>
      <c r="BP298" s="64">
        <f t="shared" si="30"/>
        <v>0.37500000000000006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60</v>
      </c>
      <c r="Y300" s="548">
        <f t="shared" si="26"/>
        <v>60</v>
      </c>
      <c r="Z300" s="36">
        <f>IFERROR(IF(Y300=0,"",ROUNDUP(Y300/H300,0)*0.00902),"")</f>
        <v>0.1353</v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62.850000000000009</v>
      </c>
      <c r="BN300" s="64">
        <f t="shared" si="28"/>
        <v>62.850000000000009</v>
      </c>
      <c r="BO300" s="64">
        <f t="shared" si="29"/>
        <v>0.11363636363636365</v>
      </c>
      <c r="BP300" s="64">
        <f t="shared" si="30"/>
        <v>0.11363636363636365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56.666666666666664</v>
      </c>
      <c r="Y302" s="549">
        <f>IFERROR(Y296/H296,"0")+IFERROR(Y297/H297,"0")+IFERROR(Y298/H298,"0")+IFERROR(Y299/H299,"0")+IFERROR(Y300/H300,"0")+IFERROR(Y301/H301,"0")</f>
        <v>58</v>
      </c>
      <c r="Z302" s="549">
        <f>IFERROR(IF(Z296="",0,Z296),"0")+IFERROR(IF(Z297="",0,Z297),"0")+IFERROR(IF(Z298="",0,Z298),"0")+IFERROR(IF(Z299="",0,Z299),"0")+IFERROR(IF(Z300="",0,Z300),"0")+IFERROR(IF(Z301="",0,Z301),"0")</f>
        <v>0.95144000000000006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510</v>
      </c>
      <c r="Y303" s="549">
        <f>IFERROR(SUM(Y296:Y301),"0")</f>
        <v>524.40000000000009</v>
      </c>
      <c r="Z303" s="37"/>
      <c r="AA303" s="550"/>
      <c r="AB303" s="550"/>
      <c r="AC303" s="550"/>
    </row>
    <row r="304" spans="1:68" ht="14.25" hidden="1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450</v>
      </c>
      <c r="Y305" s="548">
        <f t="shared" ref="Y305:Y310" si="31">IFERROR(IF(X305="",0,CEILING((X305/$H305),1)*$H305),"")</f>
        <v>453.6</v>
      </c>
      <c r="Z305" s="36">
        <f>IFERROR(IF(Y305=0,"",ROUNDUP(Y305/H305,0)*0.00902),"")</f>
        <v>0.97416000000000003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476.78571428571428</v>
      </c>
      <c r="BN305" s="64">
        <f t="shared" ref="BN305:BN310" si="33">IFERROR(Y305*I305/H305,"0")</f>
        <v>480.6</v>
      </c>
      <c r="BO305" s="64">
        <f t="shared" ref="BO305:BO310" si="34">IFERROR(1/J305*(X305/H305),"0")</f>
        <v>0.81168831168831168</v>
      </c>
      <c r="BP305" s="64">
        <f t="shared" ref="BP305:BP310" si="35">IFERROR(1/J305*(Y305/H305),"0")</f>
        <v>0.81818181818181823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300</v>
      </c>
      <c r="Y306" s="548">
        <f t="shared" si="31"/>
        <v>302.40000000000003</v>
      </c>
      <c r="Z306" s="36">
        <f>IFERROR(IF(Y306=0,"",ROUNDUP(Y306/H306,0)*0.00902),"")</f>
        <v>0.64944000000000002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317.85714285714283</v>
      </c>
      <c r="BN306" s="64">
        <f t="shared" si="33"/>
        <v>320.40000000000003</v>
      </c>
      <c r="BO306" s="64">
        <f t="shared" si="34"/>
        <v>0.54112554112554112</v>
      </c>
      <c r="BP306" s="64">
        <f t="shared" si="35"/>
        <v>0.54545454545454541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28</v>
      </c>
      <c r="Y308" s="548">
        <f t="shared" si="31"/>
        <v>29.400000000000002</v>
      </c>
      <c r="Z308" s="36">
        <f>IFERROR(IF(Y308=0,"",ROUNDUP(Y308/H308,0)*0.00502),"")</f>
        <v>7.0280000000000009E-2</v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29.733333333333331</v>
      </c>
      <c r="BN308" s="64">
        <f t="shared" si="33"/>
        <v>31.22</v>
      </c>
      <c r="BO308" s="64">
        <f t="shared" si="34"/>
        <v>5.6980056980056981E-2</v>
      </c>
      <c r="BP308" s="64">
        <f t="shared" si="35"/>
        <v>5.9829059829059839E-2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191.9047619047619</v>
      </c>
      <c r="Y311" s="549">
        <f>IFERROR(Y305/H305,"0")+IFERROR(Y306/H306,"0")+IFERROR(Y307/H307,"0")+IFERROR(Y308/H308,"0")+IFERROR(Y309/H309,"0")+IFERROR(Y310/H310,"0")</f>
        <v>194</v>
      </c>
      <c r="Z311" s="549">
        <f>IFERROR(IF(Z305="",0,Z305),"0")+IFERROR(IF(Z306="",0,Z306),"0")+IFERROR(IF(Z307="",0,Z307),"0")+IFERROR(IF(Z308="",0,Z308),"0")+IFERROR(IF(Z309="",0,Z309),"0")+IFERROR(IF(Z310="",0,Z310),"0")</f>
        <v>1.6938800000000001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778</v>
      </c>
      <c r="Y312" s="549">
        <f>IFERROR(SUM(Y305:Y310),"0")</f>
        <v>785.4</v>
      </c>
      <c r="Z312" s="37"/>
      <c r="AA312" s="550"/>
      <c r="AB312" s="550"/>
      <c r="AC312" s="550"/>
    </row>
    <row r="313" spans="1:68" ht="14.25" hidden="1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4200</v>
      </c>
      <c r="Y314" s="548">
        <f>IFERROR(IF(X314="",0,CEILING((X314/$H314),1)*$H314),"")</f>
        <v>4204.2</v>
      </c>
      <c r="Z314" s="36">
        <f>IFERROR(IF(Y314=0,"",ROUNDUP(Y314/H314,0)*0.01898),"")</f>
        <v>10.230220000000001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4462.7692307692305</v>
      </c>
      <c r="BN314" s="64">
        <f>IFERROR(Y314*I314/H314,"0")</f>
        <v>4467.232</v>
      </c>
      <c r="BO314" s="64">
        <f>IFERROR(1/J314*(X314/H314),"0")</f>
        <v>8.4134615384615383</v>
      </c>
      <c r="BP314" s="64">
        <f>IFERROR(1/J314*(Y314/H314),"0")</f>
        <v>8.421875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538.46153846153845</v>
      </c>
      <c r="Y318" s="549">
        <f>IFERROR(Y314/H314,"0")+IFERROR(Y315/H315,"0")+IFERROR(Y316/H316,"0")+IFERROR(Y317/H317,"0")</f>
        <v>539</v>
      </c>
      <c r="Z318" s="549">
        <f>IFERROR(IF(Z314="",0,Z314),"0")+IFERROR(IF(Z315="",0,Z315),"0")+IFERROR(IF(Z316="",0,Z316),"0")+IFERROR(IF(Z317="",0,Z317),"0")</f>
        <v>10.230220000000001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4200</v>
      </c>
      <c r="Y319" s="549">
        <f>IFERROR(SUM(Y314:Y317),"0")</f>
        <v>4204.2</v>
      </c>
      <c r="Z319" s="37"/>
      <c r="AA319" s="550"/>
      <c r="AB319" s="550"/>
      <c r="AC319" s="550"/>
    </row>
    <row r="320" spans="1:68" ht="14.25" hidden="1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700</v>
      </c>
      <c r="Y322" s="548">
        <f>IFERROR(IF(X322="",0,CEILING((X322/$H322),1)*$H322),"")</f>
        <v>702</v>
      </c>
      <c r="Z322" s="36">
        <f>IFERROR(IF(Y322=0,"",ROUNDUP(Y322/H322,0)*0.01898),"")</f>
        <v>1.7081999999999999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744.33333333333337</v>
      </c>
      <c r="BN322" s="64">
        <f>IFERROR(Y322*I322/H322,"0")</f>
        <v>746.46</v>
      </c>
      <c r="BO322" s="64">
        <f>IFERROR(1/J322*(X322/H322),"0")</f>
        <v>1.4022435897435899</v>
      </c>
      <c r="BP322" s="64">
        <f>IFERROR(1/J322*(Y322/H322),"0")</f>
        <v>1.40625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150</v>
      </c>
      <c r="Y323" s="548">
        <f>IFERROR(IF(X323="",0,CEILING((X323/$H323),1)*$H323),"")</f>
        <v>151.20000000000002</v>
      </c>
      <c r="Z323" s="36">
        <f>IFERROR(IF(Y323=0,"",ROUNDUP(Y323/H323,0)*0.01898),"")</f>
        <v>0.34164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158.82142857142856</v>
      </c>
      <c r="BN323" s="64">
        <f>IFERROR(Y323*I323/H323,"0")</f>
        <v>160.09200000000001</v>
      </c>
      <c r="BO323" s="64">
        <f>IFERROR(1/J323*(X323/H323),"0")</f>
        <v>0.27901785714285715</v>
      </c>
      <c r="BP323" s="64">
        <f>IFERROR(1/J323*(Y323/H323),"0")</f>
        <v>0.28125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107.60073260073261</v>
      </c>
      <c r="Y324" s="549">
        <f>IFERROR(Y321/H321,"0")+IFERROR(Y322/H322,"0")+IFERROR(Y323/H323,"0")</f>
        <v>108</v>
      </c>
      <c r="Z324" s="549">
        <f>IFERROR(IF(Z321="",0,Z321),"0")+IFERROR(IF(Z322="",0,Z322),"0")+IFERROR(IF(Z323="",0,Z323),"0")</f>
        <v>2.0498400000000001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850</v>
      </c>
      <c r="Y325" s="549">
        <f>IFERROR(SUM(Y321:Y323),"0")</f>
        <v>853.2</v>
      </c>
      <c r="Z325" s="37"/>
      <c r="AA325" s="550"/>
      <c r="AB325" s="550"/>
      <c r="AC325" s="550"/>
    </row>
    <row r="326" spans="1:68" ht="14.25" hidden="1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hidden="1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hidden="1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hidden="1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hidden="1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hidden="1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300</v>
      </c>
      <c r="Y341" s="548">
        <f>IFERROR(IF(X341="",0,CEILING((X341/$H341),1)*$H341),"")</f>
        <v>307.8</v>
      </c>
      <c r="Z341" s="36">
        <f>IFERROR(IF(Y341=0,"",ROUNDUP(Y341/H341,0)*0.01898),"")</f>
        <v>0.72123999999999999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318.2962962962963</v>
      </c>
      <c r="BN341" s="64">
        <f>IFERROR(Y341*I341/H341,"0")</f>
        <v>326.572</v>
      </c>
      <c r="BO341" s="64">
        <f>IFERROR(1/J341*(X341/H341),"0")</f>
        <v>0.57870370370370372</v>
      </c>
      <c r="BP341" s="64">
        <f>IFERROR(1/J341*(Y341/H341),"0")</f>
        <v>0.59375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105</v>
      </c>
      <c r="Y342" s="548">
        <f>IFERROR(IF(X342="",0,CEILING((X342/$H342),1)*$H342),"")</f>
        <v>105</v>
      </c>
      <c r="Z342" s="36">
        <f>IFERROR(IF(Y342=0,"",ROUNDUP(Y342/H342,0)*0.00651),"")</f>
        <v>0.32550000000000001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117.59999999999998</v>
      </c>
      <c r="BN342" s="64">
        <f>IFERROR(Y342*I342/H342,"0")</f>
        <v>117.59999999999998</v>
      </c>
      <c r="BO342" s="64">
        <f>IFERROR(1/J342*(X342/H342),"0")</f>
        <v>0.27472527472527475</v>
      </c>
      <c r="BP342" s="64">
        <f>IFERROR(1/J342*(Y342/H342),"0")</f>
        <v>0.27472527472527475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52</v>
      </c>
      <c r="Y343" s="548">
        <f>IFERROR(IF(X343="",0,CEILING((X343/$H343),1)*$H343),"")</f>
        <v>52.5</v>
      </c>
      <c r="Z343" s="36">
        <f>IFERROR(IF(Y343=0,"",ROUNDUP(Y343/H343,0)*0.00651),"")</f>
        <v>0.16275000000000001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57.942857142857136</v>
      </c>
      <c r="BN343" s="64">
        <f>IFERROR(Y343*I343/H343,"0")</f>
        <v>58.499999999999993</v>
      </c>
      <c r="BO343" s="64">
        <f>IFERROR(1/J343*(X343/H343),"0")</f>
        <v>0.13605442176870747</v>
      </c>
      <c r="BP343" s="64">
        <f>IFERROR(1/J343*(Y343/H343),"0")</f>
        <v>0.13736263736263737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111.7989417989418</v>
      </c>
      <c r="Y344" s="549">
        <f>IFERROR(Y341/H341,"0")+IFERROR(Y342/H342,"0")+IFERROR(Y343/H343,"0")</f>
        <v>113</v>
      </c>
      <c r="Z344" s="549">
        <f>IFERROR(IF(Z341="",0,Z341),"0")+IFERROR(IF(Z342="",0,Z342),"0")+IFERROR(IF(Z343="",0,Z343),"0")</f>
        <v>1.20949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457</v>
      </c>
      <c r="Y345" s="549">
        <f>IFERROR(SUM(Y341:Y343),"0")</f>
        <v>465.3</v>
      </c>
      <c r="Z345" s="37"/>
      <c r="AA345" s="550"/>
      <c r="AB345" s="550"/>
      <c r="AC345" s="550"/>
    </row>
    <row r="346" spans="1:68" ht="27.75" hidden="1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hidden="1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hidden="1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1500</v>
      </c>
      <c r="Y352" s="548">
        <f t="shared" si="36"/>
        <v>1500</v>
      </c>
      <c r="Z352" s="36">
        <f>IFERROR(IF(Y352=0,"",ROUNDUP(Y352/H352,0)*0.02175),"")</f>
        <v>2.1749999999999998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1547</v>
      </c>
      <c r="BN352" s="64">
        <f t="shared" si="38"/>
        <v>1547</v>
      </c>
      <c r="BO352" s="64">
        <f t="shared" si="39"/>
        <v>2.083333333333333</v>
      </c>
      <c r="BP352" s="64">
        <f t="shared" si="40"/>
        <v>2.083333333333333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50</v>
      </c>
      <c r="Y354" s="548">
        <f t="shared" si="36"/>
        <v>50</v>
      </c>
      <c r="Z354" s="36">
        <f>IFERROR(IF(Y354=0,"",ROUNDUP(Y354/H354,0)*0.00902),"")</f>
        <v>9.0200000000000002E-2</v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51.9</v>
      </c>
      <c r="BN354" s="64">
        <f t="shared" si="38"/>
        <v>51.9</v>
      </c>
      <c r="BO354" s="64">
        <f t="shared" si="39"/>
        <v>7.575757575757576E-2</v>
      </c>
      <c r="BP354" s="64">
        <f t="shared" si="40"/>
        <v>7.575757575757576E-2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110</v>
      </c>
      <c r="Y356" s="549">
        <f>IFERROR(Y349/H349,"0")+IFERROR(Y350/H350,"0")+IFERROR(Y351/H351,"0")+IFERROR(Y352/H352,"0")+IFERROR(Y353/H353,"0")+IFERROR(Y354/H354,"0")+IFERROR(Y355/H355,"0")</f>
        <v>110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2.2651999999999997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1550</v>
      </c>
      <c r="Y357" s="549">
        <f>IFERROR(SUM(Y349:Y355),"0")</f>
        <v>1550</v>
      </c>
      <c r="Z357" s="37"/>
      <c r="AA357" s="550"/>
      <c r="AB357" s="550"/>
      <c r="AC357" s="550"/>
    </row>
    <row r="358" spans="1:68" ht="14.25" hidden="1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1500</v>
      </c>
      <c r="Y359" s="548">
        <f>IFERROR(IF(X359="",0,CEILING((X359/$H359),1)*$H359),"")</f>
        <v>1500</v>
      </c>
      <c r="Z359" s="36">
        <f>IFERROR(IF(Y359=0,"",ROUNDUP(Y359/H359,0)*0.02175),"")</f>
        <v>2.1749999999999998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1547</v>
      </c>
      <c r="BN359" s="64">
        <f>IFERROR(Y359*I359/H359,"0")</f>
        <v>1547</v>
      </c>
      <c r="BO359" s="64">
        <f>IFERROR(1/J359*(X359/H359),"0")</f>
        <v>2.083333333333333</v>
      </c>
      <c r="BP359" s="64">
        <f>IFERROR(1/J359*(Y359/H359),"0")</f>
        <v>2.083333333333333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100</v>
      </c>
      <c r="Y361" s="549">
        <f>IFERROR(Y359/H359,"0")+IFERROR(Y360/H360,"0")</f>
        <v>100</v>
      </c>
      <c r="Z361" s="549">
        <f>IFERROR(IF(Z359="",0,Z359),"0")+IFERROR(IF(Z360="",0,Z360),"0")</f>
        <v>2.1749999999999998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1500</v>
      </c>
      <c r="Y362" s="549">
        <f>IFERROR(SUM(Y359:Y360),"0")</f>
        <v>1500</v>
      </c>
      <c r="Z362" s="37"/>
      <c r="AA362" s="550"/>
      <c r="AB362" s="550"/>
      <c r="AC362" s="550"/>
    </row>
    <row r="363" spans="1:68" ht="14.25" hidden="1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200</v>
      </c>
      <c r="Y364" s="548">
        <f>IFERROR(IF(X364="",0,CEILING((X364/$H364),1)*$H364),"")</f>
        <v>207</v>
      </c>
      <c r="Z364" s="36">
        <f>IFERROR(IF(Y364=0,"",ROUNDUP(Y364/H364,0)*0.01898),"")</f>
        <v>0.43653999999999998</v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211.11111111111111</v>
      </c>
      <c r="BN364" s="64">
        <f>IFERROR(Y364*I364/H364,"0")</f>
        <v>218.5</v>
      </c>
      <c r="BO364" s="64">
        <f>IFERROR(1/J364*(X364/H364),"0")</f>
        <v>0.34722222222222221</v>
      </c>
      <c r="BP364" s="64">
        <f>IFERROR(1/J364*(Y364/H364),"0")</f>
        <v>0.359375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22.222222222222221</v>
      </c>
      <c r="Y366" s="549">
        <f>IFERROR(Y364/H364,"0")+IFERROR(Y365/H365,"0")</f>
        <v>23</v>
      </c>
      <c r="Z366" s="549">
        <f>IFERROR(IF(Z364="",0,Z364),"0")+IFERROR(IF(Z365="",0,Z365),"0")</f>
        <v>0.43653999999999998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200</v>
      </c>
      <c r="Y367" s="549">
        <f>IFERROR(SUM(Y364:Y365),"0")</f>
        <v>207</v>
      </c>
      <c r="Z367" s="37"/>
      <c r="AA367" s="550"/>
      <c r="AB367" s="550"/>
      <c r="AC367" s="550"/>
    </row>
    <row r="368" spans="1:68" ht="14.25" hidden="1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hidden="1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hidden="1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hidden="1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hidden="1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hidden="1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8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hidden="1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hidden="1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hidden="1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hidden="1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hidden="1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hidden="1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hidden="1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hidden="1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hidden="1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hidden="1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hidden="1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hidden="1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hidden="1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hidden="1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550</v>
      </c>
      <c r="Y434" s="548">
        <f t="shared" si="47"/>
        <v>554.4</v>
      </c>
      <c r="Z434" s="36">
        <f t="shared" si="48"/>
        <v>1.2558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586.45833333333326</v>
      </c>
      <c r="BN434" s="64">
        <f t="shared" si="50"/>
        <v>591.15</v>
      </c>
      <c r="BO434" s="64">
        <f t="shared" si="51"/>
        <v>1.0016025641025641</v>
      </c>
      <c r="BP434" s="64">
        <f t="shared" si="52"/>
        <v>1.0096153846153846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104.16666666666666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104.99999999999999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1.2558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550</v>
      </c>
      <c r="Y441" s="549">
        <f>IFERROR(SUM(Y428:Y439),"0")</f>
        <v>554.4</v>
      </c>
      <c r="Z441" s="37"/>
      <c r="AA441" s="550"/>
      <c r="AB441" s="550"/>
      <c r="AC441" s="550"/>
    </row>
    <row r="442" spans="1:68" ht="14.25" hidden="1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5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1100</v>
      </c>
      <c r="Y443" s="548">
        <f>IFERROR(IF(X443="",0,CEILING((X443/$H443),1)*$H443),"")</f>
        <v>1103.52</v>
      </c>
      <c r="Z443" s="36">
        <f>IFERROR(IF(Y443=0,"",ROUNDUP(Y443/H443,0)*0.01196),"")</f>
        <v>2.4996399999999999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1172.9166666666665</v>
      </c>
      <c r="BN443" s="64">
        <f>IFERROR(Y443*I443/H443,"0")</f>
        <v>1176.6699999999998</v>
      </c>
      <c r="BO443" s="64">
        <f>IFERROR(1/J443*(X443/H443),"0")</f>
        <v>2.0032051282051282</v>
      </c>
      <c r="BP443" s="64">
        <f>IFERROR(1/J443*(Y443/H443),"0")</f>
        <v>2.0096153846153846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208.33333333333331</v>
      </c>
      <c r="Y446" s="549">
        <f>IFERROR(Y443/H443,"0")+IFERROR(Y444/H444,"0")+IFERROR(Y445/H445,"0")</f>
        <v>209</v>
      </c>
      <c r="Z446" s="549">
        <f>IFERROR(IF(Z443="",0,Z443),"0")+IFERROR(IF(Z444="",0,Z444),"0")+IFERROR(IF(Z445="",0,Z445),"0")</f>
        <v>2.4996399999999999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1100</v>
      </c>
      <c r="Y447" s="549">
        <f>IFERROR(SUM(Y443:Y445),"0")</f>
        <v>1103.52</v>
      </c>
      <c r="Z447" s="37"/>
      <c r="AA447" s="550"/>
      <c r="AB447" s="550"/>
      <c r="AC447" s="550"/>
    </row>
    <row r="448" spans="1:68" ht="14.25" hidden="1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100</v>
      </c>
      <c r="Y449" s="548">
        <f t="shared" ref="Y449:Y454" si="53">IFERROR(IF(X449="",0,CEILING((X449/$H449),1)*$H449),"")</f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106.62878787878788</v>
      </c>
      <c r="BN449" s="64">
        <f t="shared" ref="BN449:BN454" si="55">IFERROR(Y449*I449/H449,"0")</f>
        <v>106.97</v>
      </c>
      <c r="BO449" s="64">
        <f t="shared" ref="BO449:BO454" si="56">IFERROR(1/J449*(X449/H449),"0")</f>
        <v>0.18210955710955709</v>
      </c>
      <c r="BP449" s="64">
        <f t="shared" ref="BP449:BP454" si="57">IFERROR(1/J449*(Y449/H449),"0")</f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150</v>
      </c>
      <c r="Y450" s="548">
        <f t="shared" si="53"/>
        <v>153.12</v>
      </c>
      <c r="Z450" s="36">
        <f>IFERROR(IF(Y450=0,"",ROUNDUP(Y450/H450,0)*0.01196),"")</f>
        <v>0.34683999999999998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159.94318181818181</v>
      </c>
      <c r="BN450" s="64">
        <f t="shared" si="55"/>
        <v>163.26999999999998</v>
      </c>
      <c r="BO450" s="64">
        <f t="shared" si="56"/>
        <v>0.27316433566433568</v>
      </c>
      <c r="BP450" s="64">
        <f t="shared" si="57"/>
        <v>0.27884615384615385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500</v>
      </c>
      <c r="Y451" s="548">
        <f t="shared" si="53"/>
        <v>501.6</v>
      </c>
      <c r="Z451" s="36">
        <f>IFERROR(IF(Y451=0,"",ROUNDUP(Y451/H451,0)*0.01196),"")</f>
        <v>1.1362000000000001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533.14393939393938</v>
      </c>
      <c r="BN451" s="64">
        <f t="shared" si="55"/>
        <v>534.85</v>
      </c>
      <c r="BO451" s="64">
        <f t="shared" si="56"/>
        <v>0.91054778554778548</v>
      </c>
      <c r="BP451" s="64">
        <f t="shared" si="57"/>
        <v>0.91346153846153855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142.04545454545453</v>
      </c>
      <c r="Y455" s="549">
        <f>IFERROR(Y449/H449,"0")+IFERROR(Y450/H450,"0")+IFERROR(Y451/H451,"0")+IFERROR(Y452/H452,"0")+IFERROR(Y453/H453,"0")+IFERROR(Y454/H454,"0")</f>
        <v>143</v>
      </c>
      <c r="Z455" s="549">
        <f>IFERROR(IF(Z449="",0,Z449),"0")+IFERROR(IF(Z450="",0,Z450),"0")+IFERROR(IF(Z451="",0,Z451),"0")+IFERROR(IF(Z452="",0,Z452),"0")+IFERROR(IF(Z453="",0,Z453),"0")+IFERROR(IF(Z454="",0,Z454),"0")</f>
        <v>1.71028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750</v>
      </c>
      <c r="Y456" s="549">
        <f>IFERROR(SUM(Y449:Y454),"0")</f>
        <v>755.04</v>
      </c>
      <c r="Z456" s="37"/>
      <c r="AA456" s="550"/>
      <c r="AB456" s="550"/>
      <c r="AC456" s="550"/>
    </row>
    <row r="457" spans="1:68" ht="27.75" hidden="1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hidden="1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hidden="1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120</v>
      </c>
      <c r="Y462" s="548">
        <f>IFERROR(IF(X462="",0,CEILING((X462/$H462),1)*$H462),"")</f>
        <v>120</v>
      </c>
      <c r="Z462" s="36">
        <f>IFERROR(IF(Y462=0,"",ROUNDUP(Y462/H462,0)*0.01898),"")</f>
        <v>0.1898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124.10000000000001</v>
      </c>
      <c r="BN462" s="64">
        <f>IFERROR(Y462*I462/H462,"0")</f>
        <v>124.10000000000001</v>
      </c>
      <c r="BO462" s="64">
        <f>IFERROR(1/J462*(X462/H462),"0")</f>
        <v>0.15625</v>
      </c>
      <c r="BP462" s="64">
        <f>IFERROR(1/J462*(Y462/H462),"0")</f>
        <v>0.15625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10</v>
      </c>
      <c r="Y464" s="549">
        <f>IFERROR(Y460/H460,"0")+IFERROR(Y461/H461,"0")+IFERROR(Y462/H462,"0")+IFERROR(Y463/H463,"0")</f>
        <v>10</v>
      </c>
      <c r="Z464" s="549">
        <f>IFERROR(IF(Z460="",0,Z460),"0")+IFERROR(IF(Z461="",0,Z461),"0")+IFERROR(IF(Z462="",0,Z462),"0")+IFERROR(IF(Z463="",0,Z463),"0")</f>
        <v>0.1898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120</v>
      </c>
      <c r="Y465" s="549">
        <f>IFERROR(SUM(Y460:Y463),"0")</f>
        <v>120</v>
      </c>
      <c r="Z465" s="37"/>
      <c r="AA465" s="550"/>
      <c r="AB465" s="550"/>
      <c r="AC465" s="550"/>
    </row>
    <row r="466" spans="1:68" ht="14.25" hidden="1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600</v>
      </c>
      <c r="Y472" s="548">
        <f>IFERROR(IF(X472="",0,CEILING((X472/$H472),1)*$H472),"")</f>
        <v>600</v>
      </c>
      <c r="Z472" s="36">
        <f>IFERROR(IF(Y472=0,"",ROUNDUP(Y472/H472,0)*0.00902),"")</f>
        <v>1.1274999999999999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631.25</v>
      </c>
      <c r="BN472" s="64">
        <f>IFERROR(Y472*I472/H472,"0")</f>
        <v>631.25</v>
      </c>
      <c r="BO472" s="64">
        <f>IFERROR(1/J472*(X472/H472),"0")</f>
        <v>0.94696969696969702</v>
      </c>
      <c r="BP472" s="64">
        <f>IFERROR(1/J472*(Y472/H472),"0")</f>
        <v>0.94696969696969702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125</v>
      </c>
      <c r="Y473" s="549">
        <f>IFERROR(Y472/H472,"0")</f>
        <v>125</v>
      </c>
      <c r="Z473" s="549">
        <f>IFERROR(IF(Z472="",0,Z472),"0")</f>
        <v>1.1274999999999999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600</v>
      </c>
      <c r="Y474" s="549">
        <f>IFERROR(SUM(Y472:Y472),"0")</f>
        <v>600</v>
      </c>
      <c r="Z474" s="37"/>
      <c r="AA474" s="550"/>
      <c r="AB474" s="550"/>
      <c r="AC474" s="550"/>
    </row>
    <row r="475" spans="1:68" ht="14.25" hidden="1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8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hidden="1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2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20"/>
      <c r="P489" s="654" t="s">
        <v>744</v>
      </c>
      <c r="Q489" s="655"/>
      <c r="R489" s="655"/>
      <c r="S489" s="655"/>
      <c r="T489" s="655"/>
      <c r="U489" s="655"/>
      <c r="V489" s="656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17917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18027.259999999998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20"/>
      <c r="P490" s="654" t="s">
        <v>745</v>
      </c>
      <c r="Q490" s="655"/>
      <c r="R490" s="655"/>
      <c r="S490" s="655"/>
      <c r="T490" s="655"/>
      <c r="U490" s="655"/>
      <c r="V490" s="656"/>
      <c r="W490" s="37" t="s">
        <v>69</v>
      </c>
      <c r="X490" s="549">
        <f>IFERROR(SUM(BM22:BM486),"0")</f>
        <v>18841.57943439277</v>
      </c>
      <c r="Y490" s="549">
        <f>IFERROR(SUM(BN22:BN486),"0")</f>
        <v>18957.272000000001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20"/>
      <c r="P491" s="654" t="s">
        <v>746</v>
      </c>
      <c r="Q491" s="655"/>
      <c r="R491" s="655"/>
      <c r="S491" s="655"/>
      <c r="T491" s="655"/>
      <c r="U491" s="655"/>
      <c r="V491" s="656"/>
      <c r="W491" s="37" t="s">
        <v>747</v>
      </c>
      <c r="X491" s="38">
        <f>ROUNDUP(SUM(BO22:BO486),0)</f>
        <v>31</v>
      </c>
      <c r="Y491" s="38">
        <f>ROUNDUP(SUM(BP22:BP486),0)</f>
        <v>32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20"/>
      <c r="P492" s="654" t="s">
        <v>748</v>
      </c>
      <c r="Q492" s="655"/>
      <c r="R492" s="655"/>
      <c r="S492" s="655"/>
      <c r="T492" s="655"/>
      <c r="U492" s="655"/>
      <c r="V492" s="656"/>
      <c r="W492" s="37" t="s">
        <v>69</v>
      </c>
      <c r="X492" s="549">
        <f>GrossWeightTotal+PalletQtyTotal*25</f>
        <v>19616.57943439277</v>
      </c>
      <c r="Y492" s="549">
        <f>GrossWeightTotalR+PalletQtyTotalR*25</f>
        <v>19757.272000000001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20"/>
      <c r="P493" s="654" t="s">
        <v>749</v>
      </c>
      <c r="Q493" s="655"/>
      <c r="R493" s="655"/>
      <c r="S493" s="655"/>
      <c r="T493" s="655"/>
      <c r="U493" s="655"/>
      <c r="V493" s="656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2466.8528755195421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2483</v>
      </c>
      <c r="Z493" s="37"/>
      <c r="AA493" s="550"/>
      <c r="AB493" s="550"/>
      <c r="AC493" s="550"/>
    </row>
    <row r="494" spans="1:68" ht="14.25" hidden="1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20"/>
      <c r="P494" s="654" t="s">
        <v>750</v>
      </c>
      <c r="Q494" s="655"/>
      <c r="R494" s="655"/>
      <c r="S494" s="655"/>
      <c r="T494" s="655"/>
      <c r="U494" s="655"/>
      <c r="V494" s="656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36.943089999999998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99" t="s">
        <v>99</v>
      </c>
      <c r="D496" s="677"/>
      <c r="E496" s="677"/>
      <c r="F496" s="677"/>
      <c r="G496" s="677"/>
      <c r="H496" s="606"/>
      <c r="I496" s="599" t="s">
        <v>263</v>
      </c>
      <c r="J496" s="677"/>
      <c r="K496" s="677"/>
      <c r="L496" s="677"/>
      <c r="M496" s="677"/>
      <c r="N496" s="677"/>
      <c r="O496" s="677"/>
      <c r="P496" s="677"/>
      <c r="Q496" s="677"/>
      <c r="R496" s="606"/>
      <c r="S496" s="599" t="s">
        <v>553</v>
      </c>
      <c r="T496" s="606"/>
      <c r="U496" s="599" t="s">
        <v>607</v>
      </c>
      <c r="V496" s="677"/>
      <c r="W496" s="606"/>
      <c r="X496" s="544" t="s">
        <v>658</v>
      </c>
      <c r="Y496" s="599" t="s">
        <v>710</v>
      </c>
      <c r="Z496" s="606"/>
      <c r="AB496" s="52"/>
      <c r="AC496" s="52"/>
      <c r="AF496" s="545"/>
    </row>
    <row r="497" spans="1:32" ht="14.25" customHeight="1" thickTop="1" x14ac:dyDescent="0.2">
      <c r="A497" s="851" t="s">
        <v>753</v>
      </c>
      <c r="B497" s="599" t="s">
        <v>63</v>
      </c>
      <c r="C497" s="599" t="s">
        <v>100</v>
      </c>
      <c r="D497" s="599" t="s">
        <v>117</v>
      </c>
      <c r="E497" s="599" t="s">
        <v>168</v>
      </c>
      <c r="F497" s="599" t="s">
        <v>190</v>
      </c>
      <c r="G497" s="599" t="s">
        <v>227</v>
      </c>
      <c r="H497" s="599" t="s">
        <v>99</v>
      </c>
      <c r="I497" s="599" t="s">
        <v>264</v>
      </c>
      <c r="J497" s="599" t="s">
        <v>319</v>
      </c>
      <c r="K497" s="599" t="s">
        <v>379</v>
      </c>
      <c r="L497" s="599" t="s">
        <v>420</v>
      </c>
      <c r="M497" s="599" t="s">
        <v>436</v>
      </c>
      <c r="N497" s="545"/>
      <c r="O497" s="599" t="s">
        <v>447</v>
      </c>
      <c r="P497" s="599" t="s">
        <v>456</v>
      </c>
      <c r="Q497" s="599" t="s">
        <v>469</v>
      </c>
      <c r="R497" s="599" t="s">
        <v>543</v>
      </c>
      <c r="S497" s="599" t="s">
        <v>554</v>
      </c>
      <c r="T497" s="599" t="s">
        <v>589</v>
      </c>
      <c r="U497" s="599" t="s">
        <v>608</v>
      </c>
      <c r="V497" s="599" t="s">
        <v>639</v>
      </c>
      <c r="W497" s="599" t="s">
        <v>654</v>
      </c>
      <c r="X497" s="599" t="s">
        <v>658</v>
      </c>
      <c r="Y497" s="599" t="s">
        <v>710</v>
      </c>
      <c r="Z497" s="599" t="s">
        <v>740</v>
      </c>
      <c r="AB497" s="52"/>
      <c r="AC497" s="52"/>
      <c r="AF497" s="545"/>
    </row>
    <row r="498" spans="1:32" ht="13.5" customHeight="1" thickBot="1" x14ac:dyDescent="0.25">
      <c r="A498" s="852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45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382.40000000000003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1998</v>
      </c>
      <c r="E499" s="46">
        <f>IFERROR(Y84*1,"0")+IFERROR(Y85*1,"0")+IFERROR(Y86*1,"0")+IFERROR(Y87*1,"0")+IFERROR(Y91*1,"0")+IFERROR(Y92*1,"0")+IFERROR(Y93*1,"0")+IFERROR(Y94*1,"0")</f>
        <v>747.90000000000009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704.69999999999993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274.8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513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148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36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6367.2</v>
      </c>
      <c r="R499" s="46">
        <f>IFERROR(Y341*1,"0")+IFERROR(Y342*1,"0")+IFERROR(Y343*1,"0")</f>
        <v>465.3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3257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2412.96</v>
      </c>
      <c r="Y499" s="46">
        <f>IFERROR(Y460*1,"0")+IFERROR(Y461*1,"0")+IFERROR(Y462*1,"0")+IFERROR(Y463*1,"0")+IFERROR(Y467*1,"0")+IFERROR(Y468*1,"0")+IFERROR(Y472*1,"0")+IFERROR(Y476*1,"0")+IFERROR(Y480*1,"0")+IFERROR(Y481*1,"0")</f>
        <v>720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400,00"/>
        <filter val="1 500,00"/>
        <filter val="1 550,00"/>
        <filter val="10,00"/>
        <filter val="100,00"/>
        <filter val="104,17"/>
        <filter val="105,00"/>
        <filter val="107,60"/>
        <filter val="110,00"/>
        <filter val="111,80"/>
        <filter val="120,00"/>
        <filter val="125,00"/>
        <filter val="129,63"/>
        <filter val="132,00"/>
        <filter val="140,00"/>
        <filter val="142,05"/>
        <filter val="150,00"/>
        <filter val="17 917,00"/>
        <filter val="18 841,58"/>
        <filter val="19 616,58"/>
        <filter val="19,26"/>
        <filter val="191,90"/>
        <filter val="2 466,85"/>
        <filter val="200,00"/>
        <filter val="208,33"/>
        <filter val="22,22"/>
        <filter val="25,00"/>
        <filter val="250,00"/>
        <filter val="265,00"/>
        <filter val="28,00"/>
        <filter val="30,00"/>
        <filter val="300,00"/>
        <filter val="31"/>
        <filter val="36,00"/>
        <filter val="380,00"/>
        <filter val="4 200,00"/>
        <filter val="40,00"/>
        <filter val="44,05"/>
        <filter val="450,00"/>
        <filter val="457,00"/>
        <filter val="47,78"/>
        <filter val="50,00"/>
        <filter val="500,00"/>
        <filter val="510,00"/>
        <filter val="52,00"/>
        <filter val="538,46"/>
        <filter val="550,00"/>
        <filter val="56,67"/>
        <filter val="594,00"/>
        <filter val="60,00"/>
        <filter val="600,00"/>
        <filter val="67,00"/>
        <filter val="670,00"/>
        <filter val="700,00"/>
        <filter val="737,00"/>
        <filter val="750,00"/>
        <filter val="76,93"/>
        <filter val="778,00"/>
        <filter val="80,00"/>
        <filter val="850,00"/>
        <filter val="86,42"/>
        <filter val="92,59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2026-01-27T09:25:23Z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