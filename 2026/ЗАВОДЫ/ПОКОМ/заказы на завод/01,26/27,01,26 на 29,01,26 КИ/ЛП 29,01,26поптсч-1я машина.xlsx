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A244DBC-A865-4A02-9BEF-E42897EE8D7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P481" i="1"/>
  <c r="BO480" i="1"/>
  <c r="BM480" i="1"/>
  <c r="Y480" i="1"/>
  <c r="Y482" i="1" s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BP416" i="1" s="1"/>
  <c r="P416" i="1"/>
  <c r="BO415" i="1"/>
  <c r="BM415" i="1"/>
  <c r="Y415" i="1"/>
  <c r="P415" i="1"/>
  <c r="BO414" i="1"/>
  <c r="BM414" i="1"/>
  <c r="Y414" i="1"/>
  <c r="Y418" i="1" s="1"/>
  <c r="P414" i="1"/>
  <c r="X412" i="1"/>
  <c r="X411" i="1"/>
  <c r="BO410" i="1"/>
  <c r="BM410" i="1"/>
  <c r="Y410" i="1"/>
  <c r="V499" i="1" s="1"/>
  <c r="P410" i="1"/>
  <c r="X407" i="1"/>
  <c r="X406" i="1"/>
  <c r="BO405" i="1"/>
  <c r="BM405" i="1"/>
  <c r="Y405" i="1"/>
  <c r="Y407" i="1" s="1"/>
  <c r="P405" i="1"/>
  <c r="BP404" i="1"/>
  <c r="BO404" i="1"/>
  <c r="BN404" i="1"/>
  <c r="BM404" i="1"/>
  <c r="Z404" i="1"/>
  <c r="Y404" i="1"/>
  <c r="P404" i="1"/>
  <c r="X402" i="1"/>
  <c r="X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Y381" i="1" s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P343" i="1"/>
  <c r="BO343" i="1"/>
  <c r="BN343" i="1"/>
  <c r="BM343" i="1"/>
  <c r="Z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Y319" i="1" s="1"/>
  <c r="P315" i="1"/>
  <c r="BP314" i="1"/>
  <c r="BO314" i="1"/>
  <c r="BN314" i="1"/>
  <c r="BM314" i="1"/>
  <c r="Z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BP291" i="1" s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Z256" i="1" s="1"/>
  <c r="P256" i="1"/>
  <c r="BP255" i="1"/>
  <c r="BO255" i="1"/>
  <c r="BN255" i="1"/>
  <c r="BM255" i="1"/>
  <c r="Z255" i="1"/>
  <c r="Y255" i="1"/>
  <c r="P255" i="1"/>
  <c r="BO254" i="1"/>
  <c r="BM254" i="1"/>
  <c r="Y254" i="1"/>
  <c r="BP254" i="1" s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BP221" i="1" s="1"/>
  <c r="P221" i="1"/>
  <c r="BP220" i="1"/>
  <c r="BO220" i="1"/>
  <c r="BN220" i="1"/>
  <c r="BM220" i="1"/>
  <c r="Z220" i="1"/>
  <c r="Y220" i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BP217" i="1" s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Y211" i="1" s="1"/>
  <c r="P203" i="1"/>
  <c r="X201" i="1"/>
  <c r="X200" i="1"/>
  <c r="BO199" i="1"/>
  <c r="BM199" i="1"/>
  <c r="Y199" i="1"/>
  <c r="Y201" i="1" s="1"/>
  <c r="P199" i="1"/>
  <c r="BP198" i="1"/>
  <c r="BO198" i="1"/>
  <c r="BN198" i="1"/>
  <c r="BM198" i="1"/>
  <c r="Z198" i="1"/>
  <c r="Y198" i="1"/>
  <c r="P198" i="1"/>
  <c r="X196" i="1"/>
  <c r="X195" i="1"/>
  <c r="BO194" i="1"/>
  <c r="BM194" i="1"/>
  <c r="Y194" i="1"/>
  <c r="BP194" i="1" s="1"/>
  <c r="P194" i="1"/>
  <c r="BO193" i="1"/>
  <c r="BM193" i="1"/>
  <c r="Y193" i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P165" i="1"/>
  <c r="X163" i="1"/>
  <c r="X162" i="1"/>
  <c r="BO161" i="1"/>
  <c r="BM161" i="1"/>
  <c r="Y161" i="1"/>
  <c r="Y162" i="1" s="1"/>
  <c r="P161" i="1"/>
  <c r="X157" i="1"/>
  <c r="X156" i="1"/>
  <c r="BO155" i="1"/>
  <c r="BM155" i="1"/>
  <c r="Y155" i="1"/>
  <c r="Y157" i="1" s="1"/>
  <c r="P155" i="1"/>
  <c r="X153" i="1"/>
  <c r="X152" i="1"/>
  <c r="BO151" i="1"/>
  <c r="BM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Y152" i="1" s="1"/>
  <c r="P148" i="1"/>
  <c r="BP147" i="1"/>
  <c r="BO147" i="1"/>
  <c r="BN147" i="1"/>
  <c r="BM147" i="1"/>
  <c r="Z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P142" i="1"/>
  <c r="X139" i="1"/>
  <c r="X138" i="1"/>
  <c r="BO137" i="1"/>
  <c r="BM137" i="1"/>
  <c r="Y137" i="1"/>
  <c r="P137" i="1"/>
  <c r="BO136" i="1"/>
  <c r="BM136" i="1"/>
  <c r="Y136" i="1"/>
  <c r="P136" i="1"/>
  <c r="X134" i="1"/>
  <c r="X133" i="1"/>
  <c r="BO132" i="1"/>
  <c r="BM132" i="1"/>
  <c r="Y132" i="1"/>
  <c r="BP132" i="1" s="1"/>
  <c r="P132" i="1"/>
  <c r="BO131" i="1"/>
  <c r="BM131" i="1"/>
  <c r="Y131" i="1"/>
  <c r="Y133" i="1" s="1"/>
  <c r="P131" i="1"/>
  <c r="X129" i="1"/>
  <c r="X128" i="1"/>
  <c r="BO127" i="1"/>
  <c r="BM127" i="1"/>
  <c r="Y127" i="1"/>
  <c r="Y129" i="1" s="1"/>
  <c r="P127" i="1"/>
  <c r="BP126" i="1"/>
  <c r="BO126" i="1"/>
  <c r="BN126" i="1"/>
  <c r="BM126" i="1"/>
  <c r="Z126" i="1"/>
  <c r="Y126" i="1"/>
  <c r="P126" i="1"/>
  <c r="X123" i="1"/>
  <c r="Y122" i="1"/>
  <c r="X122" i="1"/>
  <c r="BP121" i="1"/>
  <c r="BO121" i="1"/>
  <c r="BN121" i="1"/>
  <c r="BM121" i="1"/>
  <c r="Z121" i="1"/>
  <c r="Z122" i="1" s="1"/>
  <c r="Y121" i="1"/>
  <c r="Y123" i="1" s="1"/>
  <c r="P121" i="1"/>
  <c r="X119" i="1"/>
  <c r="X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Y112" i="1" s="1"/>
  <c r="P108" i="1"/>
  <c r="BP107" i="1"/>
  <c r="BO107" i="1"/>
  <c r="BN107" i="1"/>
  <c r="BM107" i="1"/>
  <c r="Z107" i="1"/>
  <c r="Y107" i="1"/>
  <c r="P107" i="1"/>
  <c r="X105" i="1"/>
  <c r="X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BO84" i="1"/>
  <c r="BM84" i="1"/>
  <c r="Y84" i="1"/>
  <c r="BP84" i="1" s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Y68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1" i="1" s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01" i="1" l="1"/>
  <c r="BN101" i="1"/>
  <c r="Z101" i="1"/>
  <c r="BP136" i="1"/>
  <c r="BN136" i="1"/>
  <c r="Z136" i="1"/>
  <c r="BP171" i="1"/>
  <c r="BN171" i="1"/>
  <c r="Z171" i="1"/>
  <c r="BP206" i="1"/>
  <c r="BN206" i="1"/>
  <c r="Z206" i="1"/>
  <c r="BP226" i="1"/>
  <c r="BN226" i="1"/>
  <c r="Z226" i="1"/>
  <c r="BP264" i="1"/>
  <c r="BN264" i="1"/>
  <c r="Z264" i="1"/>
  <c r="BP296" i="1"/>
  <c r="BN296" i="1"/>
  <c r="Z296" i="1"/>
  <c r="BP322" i="1"/>
  <c r="BN322" i="1"/>
  <c r="Z322" i="1"/>
  <c r="BP349" i="1"/>
  <c r="BN349" i="1"/>
  <c r="Z349" i="1"/>
  <c r="BP386" i="1"/>
  <c r="BN386" i="1"/>
  <c r="Z386" i="1"/>
  <c r="BP417" i="1"/>
  <c r="BN417" i="1"/>
  <c r="Z417" i="1"/>
  <c r="BP429" i="1"/>
  <c r="BN429" i="1"/>
  <c r="Z429" i="1"/>
  <c r="BP451" i="1"/>
  <c r="BN451" i="1"/>
  <c r="Z451" i="1"/>
  <c r="Z22" i="1"/>
  <c r="BN22" i="1"/>
  <c r="Y25" i="1"/>
  <c r="Z42" i="1"/>
  <c r="BN42" i="1"/>
  <c r="Z61" i="1"/>
  <c r="BN61" i="1"/>
  <c r="BP86" i="1"/>
  <c r="BN86" i="1"/>
  <c r="Z86" i="1"/>
  <c r="BP115" i="1"/>
  <c r="BN115" i="1"/>
  <c r="Z115" i="1"/>
  <c r="BP151" i="1"/>
  <c r="BN151" i="1"/>
  <c r="Z151" i="1"/>
  <c r="BP183" i="1"/>
  <c r="BN183" i="1"/>
  <c r="Z183" i="1"/>
  <c r="Y224" i="1"/>
  <c r="BP216" i="1"/>
  <c r="BN216" i="1"/>
  <c r="Z216" i="1"/>
  <c r="BP239" i="1"/>
  <c r="BN239" i="1"/>
  <c r="Z239" i="1"/>
  <c r="BP280" i="1"/>
  <c r="BN280" i="1"/>
  <c r="Z280" i="1"/>
  <c r="BP308" i="1"/>
  <c r="BN308" i="1"/>
  <c r="Z308" i="1"/>
  <c r="BP336" i="1"/>
  <c r="BN336" i="1"/>
  <c r="Z336" i="1"/>
  <c r="BP359" i="1"/>
  <c r="BN359" i="1"/>
  <c r="Z359" i="1"/>
  <c r="BP398" i="1"/>
  <c r="BN398" i="1"/>
  <c r="Z398" i="1"/>
  <c r="BP437" i="1"/>
  <c r="BN437" i="1"/>
  <c r="Z437" i="1"/>
  <c r="BP467" i="1"/>
  <c r="BN467" i="1"/>
  <c r="Z467" i="1"/>
  <c r="Y76" i="1"/>
  <c r="Y139" i="1"/>
  <c r="H499" i="1"/>
  <c r="Y179" i="1"/>
  <c r="J499" i="1"/>
  <c r="Y229" i="1"/>
  <c r="K499" i="1"/>
  <c r="Y257" i="1"/>
  <c r="BP298" i="1"/>
  <c r="BN298" i="1"/>
  <c r="Z298" i="1"/>
  <c r="BP310" i="1"/>
  <c r="BN310" i="1"/>
  <c r="Z310" i="1"/>
  <c r="BP328" i="1"/>
  <c r="BN328" i="1"/>
  <c r="Z328" i="1"/>
  <c r="BP341" i="1"/>
  <c r="BN341" i="1"/>
  <c r="Z341" i="1"/>
  <c r="Y281" i="1"/>
  <c r="BP355" i="1"/>
  <c r="BN355" i="1"/>
  <c r="Z355" i="1"/>
  <c r="Y388" i="1"/>
  <c r="BP384" i="1"/>
  <c r="BN384" i="1"/>
  <c r="Z384" i="1"/>
  <c r="BP396" i="1"/>
  <c r="BN396" i="1"/>
  <c r="Z396" i="1"/>
  <c r="BP415" i="1"/>
  <c r="BN415" i="1"/>
  <c r="Z415" i="1"/>
  <c r="BP435" i="1"/>
  <c r="BN435" i="1"/>
  <c r="Z435" i="1"/>
  <c r="BP445" i="1"/>
  <c r="BN445" i="1"/>
  <c r="Z445" i="1"/>
  <c r="BP449" i="1"/>
  <c r="BN449" i="1"/>
  <c r="Z449" i="1"/>
  <c r="BP463" i="1"/>
  <c r="BN463" i="1"/>
  <c r="Z463" i="1"/>
  <c r="J9" i="1"/>
  <c r="X493" i="1"/>
  <c r="Z28" i="1"/>
  <c r="BN28" i="1"/>
  <c r="Z34" i="1"/>
  <c r="Z35" i="1" s="1"/>
  <c r="BN34" i="1"/>
  <c r="BP34" i="1"/>
  <c r="Y35" i="1"/>
  <c r="Z40" i="1"/>
  <c r="BN40" i="1"/>
  <c r="Y43" i="1"/>
  <c r="Z46" i="1"/>
  <c r="Z47" i="1" s="1"/>
  <c r="BN46" i="1"/>
  <c r="BP46" i="1"/>
  <c r="Y47" i="1"/>
  <c r="Z51" i="1"/>
  <c r="BN51" i="1"/>
  <c r="Z55" i="1"/>
  <c r="BN55" i="1"/>
  <c r="Y64" i="1"/>
  <c r="Z67" i="1"/>
  <c r="BN67" i="1"/>
  <c r="Y75" i="1"/>
  <c r="Z73" i="1"/>
  <c r="BN73" i="1"/>
  <c r="Z84" i="1"/>
  <c r="BN84" i="1"/>
  <c r="Y89" i="1"/>
  <c r="Z92" i="1"/>
  <c r="BN92" i="1"/>
  <c r="Z99" i="1"/>
  <c r="BN99" i="1"/>
  <c r="Z103" i="1"/>
  <c r="BN103" i="1"/>
  <c r="Y111" i="1"/>
  <c r="Z109" i="1"/>
  <c r="BN109" i="1"/>
  <c r="Y118" i="1"/>
  <c r="Z117" i="1"/>
  <c r="BN117" i="1"/>
  <c r="Z132" i="1"/>
  <c r="BN132" i="1"/>
  <c r="Y138" i="1"/>
  <c r="Z143" i="1"/>
  <c r="BN143" i="1"/>
  <c r="Y153" i="1"/>
  <c r="Z149" i="1"/>
  <c r="BN149" i="1"/>
  <c r="Z155" i="1"/>
  <c r="Z156" i="1" s="1"/>
  <c r="BN155" i="1"/>
  <c r="BP155" i="1"/>
  <c r="Y156" i="1"/>
  <c r="Z161" i="1"/>
  <c r="Z162" i="1" s="1"/>
  <c r="BN161" i="1"/>
  <c r="BP161" i="1"/>
  <c r="Z165" i="1"/>
  <c r="BN165" i="1"/>
  <c r="BP165" i="1"/>
  <c r="Y180" i="1"/>
  <c r="Z169" i="1"/>
  <c r="BN169" i="1"/>
  <c r="Z173" i="1"/>
  <c r="BN173" i="1"/>
  <c r="Z177" i="1"/>
  <c r="BN177" i="1"/>
  <c r="Y186" i="1"/>
  <c r="Z194" i="1"/>
  <c r="BN194" i="1"/>
  <c r="Y200" i="1"/>
  <c r="Z204" i="1"/>
  <c r="BN204" i="1"/>
  <c r="Z208" i="1"/>
  <c r="BN208" i="1"/>
  <c r="Z214" i="1"/>
  <c r="BN214" i="1"/>
  <c r="BP214" i="1"/>
  <c r="Y223" i="1"/>
  <c r="Z218" i="1"/>
  <c r="BN218" i="1"/>
  <c r="Z222" i="1"/>
  <c r="BN222" i="1"/>
  <c r="Y228" i="1"/>
  <c r="Z233" i="1"/>
  <c r="BN233" i="1"/>
  <c r="Z237" i="1"/>
  <c r="BN237" i="1"/>
  <c r="Z253" i="1"/>
  <c r="BN253" i="1"/>
  <c r="Z262" i="1"/>
  <c r="BN262" i="1"/>
  <c r="Z271" i="1"/>
  <c r="BN271" i="1"/>
  <c r="Z278" i="1"/>
  <c r="BN278" i="1"/>
  <c r="Z291" i="1"/>
  <c r="BN291" i="1"/>
  <c r="BP306" i="1"/>
  <c r="BN306" i="1"/>
  <c r="Z306" i="1"/>
  <c r="BP316" i="1"/>
  <c r="BN316" i="1"/>
  <c r="Z316" i="1"/>
  <c r="BP334" i="1"/>
  <c r="BN334" i="1"/>
  <c r="Z334" i="1"/>
  <c r="Y344" i="1"/>
  <c r="Y356" i="1"/>
  <c r="BP351" i="1"/>
  <c r="BN351" i="1"/>
  <c r="Z351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392" i="1"/>
  <c r="BN392" i="1"/>
  <c r="Z392" i="1"/>
  <c r="BP400" i="1"/>
  <c r="BN400" i="1"/>
  <c r="Z400" i="1"/>
  <c r="BP431" i="1"/>
  <c r="BN431" i="1"/>
  <c r="Z431" i="1"/>
  <c r="BP439" i="1"/>
  <c r="BN439" i="1"/>
  <c r="Z439" i="1"/>
  <c r="BP453" i="1"/>
  <c r="BN453" i="1"/>
  <c r="Z453" i="1"/>
  <c r="BP481" i="1"/>
  <c r="BN481" i="1"/>
  <c r="Z481" i="1"/>
  <c r="Y337" i="1"/>
  <c r="Y361" i="1"/>
  <c r="Y377" i="1"/>
  <c r="Y387" i="1"/>
  <c r="Y401" i="1"/>
  <c r="Y406" i="1"/>
  <c r="Y447" i="1"/>
  <c r="Y446" i="1"/>
  <c r="Y58" i="1"/>
  <c r="Y80" i="1"/>
  <c r="Y95" i="1"/>
  <c r="Y104" i="1"/>
  <c r="H9" i="1"/>
  <c r="B499" i="1"/>
  <c r="X490" i="1"/>
  <c r="X491" i="1"/>
  <c r="Z23" i="1"/>
  <c r="Z24" i="1" s="1"/>
  <c r="BN23" i="1"/>
  <c r="BP23" i="1"/>
  <c r="Y24" i="1"/>
  <c r="X489" i="1"/>
  <c r="Z27" i="1"/>
  <c r="BN27" i="1"/>
  <c r="BP27" i="1"/>
  <c r="Z29" i="1"/>
  <c r="BN29" i="1"/>
  <c r="Y32" i="1"/>
  <c r="C499" i="1"/>
  <c r="Z41" i="1"/>
  <c r="Z43" i="1" s="1"/>
  <c r="BN41" i="1"/>
  <c r="BP41" i="1"/>
  <c r="Y44" i="1"/>
  <c r="D499" i="1"/>
  <c r="Z52" i="1"/>
  <c r="BN52" i="1"/>
  <c r="Z54" i="1"/>
  <c r="BN54" i="1"/>
  <c r="Z56" i="1"/>
  <c r="BN56" i="1"/>
  <c r="Y57" i="1"/>
  <c r="Z60" i="1"/>
  <c r="BN60" i="1"/>
  <c r="BP60" i="1"/>
  <c r="Z62" i="1"/>
  <c r="BN62" i="1"/>
  <c r="Y63" i="1"/>
  <c r="Z66" i="1"/>
  <c r="Z68" i="1" s="1"/>
  <c r="BN66" i="1"/>
  <c r="BP66" i="1"/>
  <c r="Y69" i="1"/>
  <c r="Z72" i="1"/>
  <c r="BN72" i="1"/>
  <c r="BP72" i="1"/>
  <c r="Z74" i="1"/>
  <c r="BN74" i="1"/>
  <c r="Z78" i="1"/>
  <c r="Z80" i="1" s="1"/>
  <c r="BN78" i="1"/>
  <c r="BP78" i="1"/>
  <c r="E499" i="1"/>
  <c r="Z85" i="1"/>
  <c r="BN85" i="1"/>
  <c r="BP85" i="1"/>
  <c r="Z87" i="1"/>
  <c r="BN87" i="1"/>
  <c r="Y88" i="1"/>
  <c r="Z91" i="1"/>
  <c r="BN91" i="1"/>
  <c r="BP91" i="1"/>
  <c r="Z93" i="1"/>
  <c r="BN93" i="1"/>
  <c r="F499" i="1"/>
  <c r="Z100" i="1"/>
  <c r="BN100" i="1"/>
  <c r="Z102" i="1"/>
  <c r="BN102" i="1"/>
  <c r="Y105" i="1"/>
  <c r="Z108" i="1"/>
  <c r="Z111" i="1" s="1"/>
  <c r="BN108" i="1"/>
  <c r="BP108" i="1"/>
  <c r="Z110" i="1"/>
  <c r="BN110" i="1"/>
  <c r="Z114" i="1"/>
  <c r="BN114" i="1"/>
  <c r="BP114" i="1"/>
  <c r="Z116" i="1"/>
  <c r="BN116" i="1"/>
  <c r="Y119" i="1"/>
  <c r="G499" i="1"/>
  <c r="Z127" i="1"/>
  <c r="Z128" i="1" s="1"/>
  <c r="BN127" i="1"/>
  <c r="BP127" i="1"/>
  <c r="Y128" i="1"/>
  <c r="Z131" i="1"/>
  <c r="Z133" i="1" s="1"/>
  <c r="BN131" i="1"/>
  <c r="BP131" i="1"/>
  <c r="Y134" i="1"/>
  <c r="Z137" i="1"/>
  <c r="Z138" i="1" s="1"/>
  <c r="BN137" i="1"/>
  <c r="BP137" i="1"/>
  <c r="Z142" i="1"/>
  <c r="BN142" i="1"/>
  <c r="BP142" i="1"/>
  <c r="Y145" i="1"/>
  <c r="Z148" i="1"/>
  <c r="BN148" i="1"/>
  <c r="BP148" i="1"/>
  <c r="Z150" i="1"/>
  <c r="BN150" i="1"/>
  <c r="I499" i="1"/>
  <c r="Y163" i="1"/>
  <c r="Z166" i="1"/>
  <c r="BN166" i="1"/>
  <c r="BP166" i="1"/>
  <c r="Z168" i="1"/>
  <c r="BN168" i="1"/>
  <c r="Z170" i="1"/>
  <c r="BN170" i="1"/>
  <c r="Z172" i="1"/>
  <c r="BN172" i="1"/>
  <c r="Z174" i="1"/>
  <c r="BN174" i="1"/>
  <c r="Z176" i="1"/>
  <c r="BN176" i="1"/>
  <c r="Z178" i="1"/>
  <c r="BN178" i="1"/>
  <c r="Z182" i="1"/>
  <c r="BN182" i="1"/>
  <c r="BP182" i="1"/>
  <c r="Z184" i="1"/>
  <c r="BN184" i="1"/>
  <c r="Y185" i="1"/>
  <c r="Z188" i="1"/>
  <c r="Z189" i="1" s="1"/>
  <c r="BN188" i="1"/>
  <c r="BP188" i="1"/>
  <c r="Y189" i="1"/>
  <c r="Z193" i="1"/>
  <c r="Z195" i="1" s="1"/>
  <c r="BN193" i="1"/>
  <c r="BP193" i="1"/>
  <c r="Y196" i="1"/>
  <c r="Z199" i="1"/>
  <c r="Z200" i="1" s="1"/>
  <c r="BN199" i="1"/>
  <c r="BP199" i="1"/>
  <c r="Z203" i="1"/>
  <c r="BN203" i="1"/>
  <c r="BP203" i="1"/>
  <c r="Z205" i="1"/>
  <c r="BN205" i="1"/>
  <c r="Z207" i="1"/>
  <c r="BN207" i="1"/>
  <c r="Z209" i="1"/>
  <c r="BN209" i="1"/>
  <c r="Y212" i="1"/>
  <c r="Z215" i="1"/>
  <c r="Z223" i="1" s="1"/>
  <c r="BN215" i="1"/>
  <c r="BP215" i="1"/>
  <c r="Z217" i="1"/>
  <c r="BN217" i="1"/>
  <c r="Z219" i="1"/>
  <c r="BN219" i="1"/>
  <c r="Z221" i="1"/>
  <c r="BN221" i="1"/>
  <c r="Z227" i="1"/>
  <c r="Z228" i="1" s="1"/>
  <c r="BN227" i="1"/>
  <c r="BP227" i="1"/>
  <c r="Z232" i="1"/>
  <c r="BN232" i="1"/>
  <c r="BP232" i="1"/>
  <c r="Z234" i="1"/>
  <c r="BN234" i="1"/>
  <c r="Z236" i="1"/>
  <c r="BN236" i="1"/>
  <c r="Z238" i="1"/>
  <c r="BN238" i="1"/>
  <c r="Z240" i="1"/>
  <c r="BN240" i="1"/>
  <c r="Y241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BP252" i="1"/>
  <c r="Z254" i="1"/>
  <c r="BN254" i="1"/>
  <c r="Y258" i="1"/>
  <c r="L499" i="1"/>
  <c r="Y266" i="1"/>
  <c r="BP261" i="1"/>
  <c r="BN261" i="1"/>
  <c r="Z261" i="1"/>
  <c r="BP265" i="1"/>
  <c r="BN265" i="1"/>
  <c r="Z265" i="1"/>
  <c r="Y267" i="1"/>
  <c r="M499" i="1"/>
  <c r="Y275" i="1"/>
  <c r="BP270" i="1"/>
  <c r="BN270" i="1"/>
  <c r="Z270" i="1"/>
  <c r="Y274" i="1"/>
  <c r="BP279" i="1"/>
  <c r="BN279" i="1"/>
  <c r="Z279" i="1"/>
  <c r="BP297" i="1"/>
  <c r="BN297" i="1"/>
  <c r="Z297" i="1"/>
  <c r="BP301" i="1"/>
  <c r="BN301" i="1"/>
  <c r="Z301" i="1"/>
  <c r="Y303" i="1"/>
  <c r="Y312" i="1"/>
  <c r="BP305" i="1"/>
  <c r="BN305" i="1"/>
  <c r="Z305" i="1"/>
  <c r="BP309" i="1"/>
  <c r="BN309" i="1"/>
  <c r="Z309" i="1"/>
  <c r="Y318" i="1"/>
  <c r="BP317" i="1"/>
  <c r="BN317" i="1"/>
  <c r="Z317" i="1"/>
  <c r="Y324" i="1"/>
  <c r="BP321" i="1"/>
  <c r="BN321" i="1"/>
  <c r="Z321" i="1"/>
  <c r="BP329" i="1"/>
  <c r="BN329" i="1"/>
  <c r="Z329" i="1"/>
  <c r="Y338" i="1"/>
  <c r="BP342" i="1"/>
  <c r="BN342" i="1"/>
  <c r="Z342" i="1"/>
  <c r="Z344" i="1" s="1"/>
  <c r="BP352" i="1"/>
  <c r="BN352" i="1"/>
  <c r="Z352" i="1"/>
  <c r="BP360" i="1"/>
  <c r="BN360" i="1"/>
  <c r="Z360" i="1"/>
  <c r="Z361" i="1" s="1"/>
  <c r="Y362" i="1"/>
  <c r="Y367" i="1"/>
  <c r="BP364" i="1"/>
  <c r="BN364" i="1"/>
  <c r="Z364" i="1"/>
  <c r="Z366" i="1" s="1"/>
  <c r="Y144" i="1"/>
  <c r="Y195" i="1"/>
  <c r="Y242" i="1"/>
  <c r="BP256" i="1"/>
  <c r="BN256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BP299" i="1"/>
  <c r="BN299" i="1"/>
  <c r="Z299" i="1"/>
  <c r="BP307" i="1"/>
  <c r="BN307" i="1"/>
  <c r="Z307" i="1"/>
  <c r="Y311" i="1"/>
  <c r="BP315" i="1"/>
  <c r="BN315" i="1"/>
  <c r="Z315" i="1"/>
  <c r="Z318" i="1" s="1"/>
  <c r="BP323" i="1"/>
  <c r="BN323" i="1"/>
  <c r="Z323" i="1"/>
  <c r="Y325" i="1"/>
  <c r="Y332" i="1"/>
  <c r="BP327" i="1"/>
  <c r="BN327" i="1"/>
  <c r="Z327" i="1"/>
  <c r="Y331" i="1"/>
  <c r="BP335" i="1"/>
  <c r="BN335" i="1"/>
  <c r="Z335" i="1"/>
  <c r="Z337" i="1" s="1"/>
  <c r="BP350" i="1"/>
  <c r="BN350" i="1"/>
  <c r="Z350" i="1"/>
  <c r="BP354" i="1"/>
  <c r="BN354" i="1"/>
  <c r="Z354" i="1"/>
  <c r="O499" i="1"/>
  <c r="Y282" i="1"/>
  <c r="P499" i="1"/>
  <c r="Y287" i="1"/>
  <c r="Q499" i="1"/>
  <c r="Y302" i="1"/>
  <c r="R499" i="1"/>
  <c r="Y345" i="1"/>
  <c r="S499" i="1"/>
  <c r="Y357" i="1"/>
  <c r="T499" i="1"/>
  <c r="Z375" i="1"/>
  <c r="Z376" i="1" s="1"/>
  <c r="BN375" i="1"/>
  <c r="BP375" i="1"/>
  <c r="Y376" i="1"/>
  <c r="Z379" i="1"/>
  <c r="Z381" i="1" s="1"/>
  <c r="BN379" i="1"/>
  <c r="BP379" i="1"/>
  <c r="Y382" i="1"/>
  <c r="Z385" i="1"/>
  <c r="Z387" i="1" s="1"/>
  <c r="BN385" i="1"/>
  <c r="BP385" i="1"/>
  <c r="U499" i="1"/>
  <c r="Z393" i="1"/>
  <c r="BN393" i="1"/>
  <c r="BP393" i="1"/>
  <c r="Z395" i="1"/>
  <c r="BN395" i="1"/>
  <c r="Z397" i="1"/>
  <c r="BN397" i="1"/>
  <c r="Z399" i="1"/>
  <c r="BN399" i="1"/>
  <c r="Y402" i="1"/>
  <c r="Z405" i="1"/>
  <c r="Z406" i="1" s="1"/>
  <c r="BN405" i="1"/>
  <c r="BP405" i="1"/>
  <c r="Z410" i="1"/>
  <c r="Z411" i="1" s="1"/>
  <c r="BN410" i="1"/>
  <c r="BP410" i="1"/>
  <c r="Y411" i="1"/>
  <c r="Z414" i="1"/>
  <c r="BN414" i="1"/>
  <c r="BP414" i="1"/>
  <c r="Z416" i="1"/>
  <c r="BN416" i="1"/>
  <c r="Y419" i="1"/>
  <c r="W499" i="1"/>
  <c r="Y423" i="1"/>
  <c r="BP422" i="1"/>
  <c r="BN422" i="1"/>
  <c r="Z422" i="1"/>
  <c r="Z423" i="1" s="1"/>
  <c r="Y424" i="1"/>
  <c r="X499" i="1"/>
  <c r="Y441" i="1"/>
  <c r="BP428" i="1"/>
  <c r="BN428" i="1"/>
  <c r="Z428" i="1"/>
  <c r="BP432" i="1"/>
  <c r="BN432" i="1"/>
  <c r="Z432" i="1"/>
  <c r="BP436" i="1"/>
  <c r="BN436" i="1"/>
  <c r="Z436" i="1"/>
  <c r="Y440" i="1"/>
  <c r="BP444" i="1"/>
  <c r="BN444" i="1"/>
  <c r="Z444" i="1"/>
  <c r="Z446" i="1" s="1"/>
  <c r="Y455" i="1"/>
  <c r="BP452" i="1"/>
  <c r="BN452" i="1"/>
  <c r="Z452" i="1"/>
  <c r="BP462" i="1"/>
  <c r="BN462" i="1"/>
  <c r="Z462" i="1"/>
  <c r="Y469" i="1"/>
  <c r="Y412" i="1"/>
  <c r="BP430" i="1"/>
  <c r="BN430" i="1"/>
  <c r="Z430" i="1"/>
  <c r="BP434" i="1"/>
  <c r="BN434" i="1"/>
  <c r="Z434" i="1"/>
  <c r="BP438" i="1"/>
  <c r="BN438" i="1"/>
  <c r="Z438" i="1"/>
  <c r="BP450" i="1"/>
  <c r="BN450" i="1"/>
  <c r="Z450" i="1"/>
  <c r="BP454" i="1"/>
  <c r="BN454" i="1"/>
  <c r="Z454" i="1"/>
  <c r="Y456" i="1"/>
  <c r="Y499" i="1"/>
  <c r="Y465" i="1"/>
  <c r="BP460" i="1"/>
  <c r="BN460" i="1"/>
  <c r="Z460" i="1"/>
  <c r="Y464" i="1"/>
  <c r="BP468" i="1"/>
  <c r="BN468" i="1"/>
  <c r="Z468" i="1"/>
  <c r="Z469" i="1" s="1"/>
  <c r="Y470" i="1"/>
  <c r="Y473" i="1"/>
  <c r="BP472" i="1"/>
  <c r="BN472" i="1"/>
  <c r="Z472" i="1"/>
  <c r="Z473" i="1" s="1"/>
  <c r="Y474" i="1"/>
  <c r="Y477" i="1"/>
  <c r="BP476" i="1"/>
  <c r="BN476" i="1"/>
  <c r="Z476" i="1"/>
  <c r="Z477" i="1" s="1"/>
  <c r="Y478" i="1"/>
  <c r="Y483" i="1"/>
  <c r="BP480" i="1"/>
  <c r="BN480" i="1"/>
  <c r="Z480" i="1"/>
  <c r="Z482" i="1" s="1"/>
  <c r="Y488" i="1"/>
  <c r="Z486" i="1"/>
  <c r="Z487" i="1" s="1"/>
  <c r="BN486" i="1"/>
  <c r="BP486" i="1"/>
  <c r="Y487" i="1"/>
  <c r="Z455" i="1" l="1"/>
  <c r="Z418" i="1"/>
  <c r="Z281" i="1"/>
  <c r="Z144" i="1"/>
  <c r="Z356" i="1"/>
  <c r="Y489" i="1"/>
  <c r="Z401" i="1"/>
  <c r="Z311" i="1"/>
  <c r="Z302" i="1"/>
  <c r="Z274" i="1"/>
  <c r="Z185" i="1"/>
  <c r="Z179" i="1"/>
  <c r="Z152" i="1"/>
  <c r="Z118" i="1"/>
  <c r="Z104" i="1"/>
  <c r="Z95" i="1"/>
  <c r="Z88" i="1"/>
  <c r="Z75" i="1"/>
  <c r="Z57" i="1"/>
  <c r="Y491" i="1"/>
  <c r="Z31" i="1"/>
  <c r="Y490" i="1"/>
  <c r="Y492" i="1" s="1"/>
  <c r="Z464" i="1"/>
  <c r="Z331" i="1"/>
  <c r="Z324" i="1"/>
  <c r="Z266" i="1"/>
  <c r="Z257" i="1"/>
  <c r="Z241" i="1"/>
  <c r="Z211" i="1"/>
  <c r="Z63" i="1"/>
  <c r="X492" i="1"/>
  <c r="Z440" i="1"/>
  <c r="Y493" i="1"/>
  <c r="Z494" i="1" l="1"/>
</calcChain>
</file>

<file path=xl/sharedStrings.xml><?xml version="1.0" encoding="utf-8"?>
<sst xmlns="http://schemas.openxmlformats.org/spreadsheetml/2006/main" count="2343" uniqueCount="771">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</sst>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743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69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63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49" fontId="36" fillId="0" borderId="15" xfId="0" applyNumberFormat="1" applyFont="1" applyBorder="1" applyAlignment="1">
      <alignment horizontal="center" vertical="center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1" t="s">
        <v>0</v>
      </c>
      <c r="E1" s="587"/>
      <c r="F1" s="587"/>
      <c r="G1" s="12" t="s">
        <v>1</v>
      </c>
      <c r="H1" s="631" t="s">
        <v>2</v>
      </c>
      <c r="I1" s="587"/>
      <c r="J1" s="587"/>
      <c r="K1" s="587"/>
      <c r="L1" s="587"/>
      <c r="M1" s="587"/>
      <c r="N1" s="587"/>
      <c r="O1" s="587"/>
      <c r="P1" s="587"/>
      <c r="Q1" s="587"/>
      <c r="R1" s="586" t="s">
        <v>3</v>
      </c>
      <c r="S1" s="587"/>
      <c r="T1" s="58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76" t="s">
        <v>8</v>
      </c>
      <c r="B5" s="655"/>
      <c r="C5" s="656"/>
      <c r="D5" s="635"/>
      <c r="E5" s="636"/>
      <c r="F5" s="831" t="s">
        <v>9</v>
      </c>
      <c r="G5" s="656"/>
      <c r="H5" s="635" t="s">
        <v>770</v>
      </c>
      <c r="I5" s="786"/>
      <c r="J5" s="786"/>
      <c r="K5" s="786"/>
      <c r="L5" s="786"/>
      <c r="M5" s="636"/>
      <c r="N5" s="58"/>
      <c r="P5" s="24" t="s">
        <v>10</v>
      </c>
      <c r="Q5" s="834">
        <v>46051</v>
      </c>
      <c r="R5" s="679"/>
      <c r="T5" s="719" t="s">
        <v>11</v>
      </c>
      <c r="U5" s="720"/>
      <c r="V5" s="726" t="s">
        <v>12</v>
      </c>
      <c r="W5" s="679"/>
      <c r="AB5" s="51"/>
      <c r="AC5" s="51"/>
      <c r="AD5" s="51"/>
      <c r="AE5" s="51"/>
    </row>
    <row r="6" spans="1:32" s="541" customFormat="1" ht="24" customHeight="1" x14ac:dyDescent="0.2">
      <c r="A6" s="676" t="s">
        <v>13</v>
      </c>
      <c r="B6" s="655"/>
      <c r="C6" s="656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9"/>
      <c r="N6" s="59"/>
      <c r="P6" s="24" t="s">
        <v>15</v>
      </c>
      <c r="Q6" s="835" t="str">
        <f>IF(Q5=0," ",CHOOSE(WEEKDAY(Q5,2),"Понедельник","Вторник","Среда","Четверг","Пятница","Суббота","Воскресенье"))</f>
        <v>Четверг</v>
      </c>
      <c r="R6" s="555"/>
      <c r="T6" s="729" t="s">
        <v>16</v>
      </c>
      <c r="U6" s="720"/>
      <c r="V6" s="768" t="s">
        <v>17</v>
      </c>
      <c r="W6" s="578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1"/>
      <c r="U7" s="720"/>
      <c r="V7" s="769"/>
      <c r="W7" s="770"/>
      <c r="AB7" s="51"/>
      <c r="AC7" s="51"/>
      <c r="AD7" s="51"/>
      <c r="AE7" s="51"/>
    </row>
    <row r="8" spans="1:32" s="541" customFormat="1" ht="25.5" customHeight="1" x14ac:dyDescent="0.2">
      <c r="A8" s="839" t="s">
        <v>18</v>
      </c>
      <c r="B8" s="566"/>
      <c r="C8" s="567"/>
      <c r="D8" s="626" t="s">
        <v>19</v>
      </c>
      <c r="E8" s="627"/>
      <c r="F8" s="627"/>
      <c r="G8" s="627"/>
      <c r="H8" s="627"/>
      <c r="I8" s="627"/>
      <c r="J8" s="627"/>
      <c r="K8" s="627"/>
      <c r="L8" s="627"/>
      <c r="M8" s="628"/>
      <c r="N8" s="61"/>
      <c r="P8" s="24" t="s">
        <v>20</v>
      </c>
      <c r="Q8" s="688">
        <v>0.41666666666666669</v>
      </c>
      <c r="R8" s="615"/>
      <c r="T8" s="561"/>
      <c r="U8" s="720"/>
      <c r="V8" s="769"/>
      <c r="W8" s="770"/>
      <c r="AB8" s="51"/>
      <c r="AC8" s="51"/>
      <c r="AD8" s="51"/>
      <c r="AE8" s="51"/>
    </row>
    <row r="9" spans="1:32" s="541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48"/>
      <c r="E9" s="572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9"/>
      <c r="P9" s="26" t="s">
        <v>21</v>
      </c>
      <c r="Q9" s="645"/>
      <c r="R9" s="646"/>
      <c r="T9" s="561"/>
      <c r="U9" s="720"/>
      <c r="V9" s="771"/>
      <c r="W9" s="772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48"/>
      <c r="E10" s="572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7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30"/>
      <c r="R10" s="731"/>
      <c r="U10" s="24" t="s">
        <v>23</v>
      </c>
      <c r="V10" s="577" t="s">
        <v>24</v>
      </c>
      <c r="W10" s="578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8"/>
      <c r="R11" s="679"/>
      <c r="U11" s="24" t="s">
        <v>27</v>
      </c>
      <c r="V11" s="798" t="s">
        <v>28</v>
      </c>
      <c r="W11" s="646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6"/>
      <c r="N12" s="62"/>
      <c r="P12" s="24" t="s">
        <v>30</v>
      </c>
      <c r="Q12" s="688"/>
      <c r="R12" s="615"/>
      <c r="S12" s="23"/>
      <c r="U12" s="24"/>
      <c r="V12" s="587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6"/>
      <c r="N13" s="62"/>
      <c r="O13" s="26"/>
      <c r="P13" s="26" t="s">
        <v>32</v>
      </c>
      <c r="Q13" s="798"/>
      <c r="R13" s="64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18" t="s">
        <v>34</v>
      </c>
      <c r="B15" s="655"/>
      <c r="C15" s="655"/>
      <c r="D15" s="655"/>
      <c r="E15" s="655"/>
      <c r="F15" s="655"/>
      <c r="G15" s="655"/>
      <c r="H15" s="655"/>
      <c r="I15" s="655"/>
      <c r="J15" s="655"/>
      <c r="K15" s="655"/>
      <c r="L15" s="655"/>
      <c r="M15" s="656"/>
      <c r="N15" s="63"/>
      <c r="P15" s="700" t="s">
        <v>35</v>
      </c>
      <c r="Q15" s="587"/>
      <c r="R15" s="587"/>
      <c r="S15" s="587"/>
      <c r="T15" s="58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7" t="s">
        <v>36</v>
      </c>
      <c r="B17" s="597" t="s">
        <v>37</v>
      </c>
      <c r="C17" s="690" t="s">
        <v>38</v>
      </c>
      <c r="D17" s="597" t="s">
        <v>39</v>
      </c>
      <c r="E17" s="660"/>
      <c r="F17" s="597" t="s">
        <v>40</v>
      </c>
      <c r="G17" s="597" t="s">
        <v>41</v>
      </c>
      <c r="H17" s="597" t="s">
        <v>42</v>
      </c>
      <c r="I17" s="597" t="s">
        <v>43</v>
      </c>
      <c r="J17" s="597" t="s">
        <v>44</v>
      </c>
      <c r="K17" s="597" t="s">
        <v>45</v>
      </c>
      <c r="L17" s="597" t="s">
        <v>46</v>
      </c>
      <c r="M17" s="597" t="s">
        <v>47</v>
      </c>
      <c r="N17" s="597" t="s">
        <v>48</v>
      </c>
      <c r="O17" s="597" t="s">
        <v>49</v>
      </c>
      <c r="P17" s="597" t="s">
        <v>50</v>
      </c>
      <c r="Q17" s="659"/>
      <c r="R17" s="659"/>
      <c r="S17" s="659"/>
      <c r="T17" s="660"/>
      <c r="U17" s="836" t="s">
        <v>51</v>
      </c>
      <c r="V17" s="656"/>
      <c r="W17" s="597" t="s">
        <v>52</v>
      </c>
      <c r="X17" s="597" t="s">
        <v>53</v>
      </c>
      <c r="Y17" s="837" t="s">
        <v>54</v>
      </c>
      <c r="Z17" s="779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8"/>
      <c r="B18" s="598"/>
      <c r="C18" s="598"/>
      <c r="D18" s="661"/>
      <c r="E18" s="663"/>
      <c r="F18" s="598"/>
      <c r="G18" s="598"/>
      <c r="H18" s="598"/>
      <c r="I18" s="598"/>
      <c r="J18" s="598"/>
      <c r="K18" s="598"/>
      <c r="L18" s="598"/>
      <c r="M18" s="598"/>
      <c r="N18" s="598"/>
      <c r="O18" s="598"/>
      <c r="P18" s="661"/>
      <c r="Q18" s="662"/>
      <c r="R18" s="662"/>
      <c r="S18" s="662"/>
      <c r="T18" s="663"/>
      <c r="U18" s="67" t="s">
        <v>61</v>
      </c>
      <c r="V18" s="67" t="s">
        <v>62</v>
      </c>
      <c r="W18" s="598"/>
      <c r="X18" s="598"/>
      <c r="Y18" s="838"/>
      <c r="Z18" s="780"/>
      <c r="AA18" s="756"/>
      <c r="AB18" s="756"/>
      <c r="AC18" s="756"/>
      <c r="AD18" s="828"/>
      <c r="AE18" s="829"/>
      <c r="AF18" s="830"/>
      <c r="AG18" s="66"/>
      <c r="BD18" s="65"/>
    </row>
    <row r="19" spans="1:68" ht="27.75" hidden="1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hidden="1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hidden="1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hidden="1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hidden="1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79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hidden="1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hidden="1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hidden="1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hidden="1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8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50</v>
      </c>
      <c r="Y40" s="548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4.6296296296296298</v>
      </c>
      <c r="Y43" s="549">
        <f>IFERROR(Y40/H40,"0")+IFERROR(Y41/H41,"0")+IFERROR(Y42/H42,"0")</f>
        <v>5</v>
      </c>
      <c r="Z43" s="549">
        <f>IFERROR(IF(Z40="",0,Z40),"0")+IFERROR(IF(Z41="",0,Z41),"0")+IFERROR(IF(Z42="",0,Z42),"0")</f>
        <v>9.4899999999999998E-2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50</v>
      </c>
      <c r="Y44" s="549">
        <f>IFERROR(SUM(Y40:Y42),"0")</f>
        <v>54</v>
      </c>
      <c r="Z44" s="37"/>
      <c r="AA44" s="550"/>
      <c r="AB44" s="550"/>
      <c r="AC44" s="550"/>
    </row>
    <row r="45" spans="1:68" ht="14.25" hidden="1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hidden="1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hidden="1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hidden="1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90</v>
      </c>
      <c r="Y52" s="548">
        <f t="shared" si="0"/>
        <v>97.2</v>
      </c>
      <c r="Z52" s="36">
        <f>IFERROR(IF(Y52=0,"",ROUNDUP(Y52/H52,0)*0.01898),"")</f>
        <v>0.17082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93.416666666666671</v>
      </c>
      <c r="BN52" s="64">
        <f t="shared" si="2"/>
        <v>100.89</v>
      </c>
      <c r="BO52" s="64">
        <f t="shared" si="3"/>
        <v>0.13020833333333331</v>
      </c>
      <c r="BP52" s="64">
        <f t="shared" si="4"/>
        <v>0.140625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5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8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18</v>
      </c>
      <c r="Y56" s="548">
        <f t="shared" si="0"/>
        <v>18</v>
      </c>
      <c r="Z56" s="36">
        <f>IFERROR(IF(Y56=0,"",ROUNDUP(Y56/H56,0)*0.00902),"")</f>
        <v>3.6080000000000001E-2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18.760000000000002</v>
      </c>
      <c r="BN56" s="64">
        <f t="shared" si="2"/>
        <v>18.760000000000002</v>
      </c>
      <c r="BO56" s="64">
        <f t="shared" si="3"/>
        <v>3.0303030303030304E-2</v>
      </c>
      <c r="BP56" s="64">
        <f t="shared" si="4"/>
        <v>3.0303030303030304E-2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12.333333333333332</v>
      </c>
      <c r="Y57" s="549">
        <f>IFERROR(Y51/H51,"0")+IFERROR(Y52/H52,"0")+IFERROR(Y53/H53,"0")+IFERROR(Y54/H54,"0")+IFERROR(Y55/H55,"0")+IFERROR(Y56/H56,"0")</f>
        <v>13</v>
      </c>
      <c r="Z57" s="549">
        <f>IFERROR(IF(Z51="",0,Z51),"0")+IFERROR(IF(Z52="",0,Z52),"0")+IFERROR(IF(Z53="",0,Z53),"0")+IFERROR(IF(Z54="",0,Z54),"0")+IFERROR(IF(Z55="",0,Z55),"0")+IFERROR(IF(Z56="",0,Z56),"0")</f>
        <v>0.2069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108</v>
      </c>
      <c r="Y58" s="549">
        <f>IFERROR(SUM(Y51:Y56),"0")</f>
        <v>115.2</v>
      </c>
      <c r="Z58" s="37"/>
      <c r="AA58" s="550"/>
      <c r="AB58" s="550"/>
      <c r="AC58" s="550"/>
    </row>
    <row r="59" spans="1:68" ht="14.25" hidden="1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620</v>
      </c>
      <c r="Y60" s="548">
        <f>IFERROR(IF(X60="",0,CEILING((X60/$H60),1)*$H60),"")</f>
        <v>626.40000000000009</v>
      </c>
      <c r="Z60" s="36">
        <f>IFERROR(IF(Y60=0,"",ROUNDUP(Y60/H60,0)*0.01898),"")</f>
        <v>1.10084</v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643.53703703703707</v>
      </c>
      <c r="BN60" s="64">
        <f>IFERROR(Y60*I60/H60,"0")</f>
        <v>650.18000000000006</v>
      </c>
      <c r="BO60" s="64">
        <f>IFERROR(1/J60*(X60/H60),"0")</f>
        <v>0.8969907407407407</v>
      </c>
      <c r="BP60" s="64">
        <f>IFERROR(1/J60*(Y60/H60),"0")</f>
        <v>0.90625000000000011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6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74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57.407407407407405</v>
      </c>
      <c r="Y63" s="549">
        <f>IFERROR(Y60/H60,"0")+IFERROR(Y61/H61,"0")+IFERROR(Y62/H62,"0")</f>
        <v>58.000000000000007</v>
      </c>
      <c r="Z63" s="549">
        <f>IFERROR(IF(Z60="",0,Z60),"0")+IFERROR(IF(Z61="",0,Z61),"0")+IFERROR(IF(Z62="",0,Z62),"0")</f>
        <v>1.10084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620</v>
      </c>
      <c r="Y64" s="549">
        <f>IFERROR(SUM(Y60:Y62),"0")</f>
        <v>626.40000000000009</v>
      </c>
      <c r="Z64" s="37"/>
      <c r="AA64" s="550"/>
      <c r="AB64" s="550"/>
      <c r="AC64" s="550"/>
    </row>
    <row r="65" spans="1:68" ht="14.25" hidden="1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hidden="1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hidden="1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hidden="1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hidden="1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hidden="1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50</v>
      </c>
      <c r="Y78" s="548">
        <f>IFERROR(IF(X78="",0,CEILING((X78/$H78),1)*$H78),"")</f>
        <v>54.6</v>
      </c>
      <c r="Z78" s="36">
        <f>IFERROR(IF(Y78=0,"",ROUNDUP(Y78/H78,0)*0.01898),"")</f>
        <v>0.13286000000000001</v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52.628205128205138</v>
      </c>
      <c r="BN78" s="64">
        <f>IFERROR(Y78*I78/H78,"0")</f>
        <v>57.470000000000013</v>
      </c>
      <c r="BO78" s="64">
        <f>IFERROR(1/J78*(X78/H78),"0")</f>
        <v>0.10016025641025642</v>
      </c>
      <c r="BP78" s="64">
        <f>IFERROR(1/J78*(Y78/H78),"0")</f>
        <v>0.109375</v>
      </c>
    </row>
    <row r="79" spans="1:68" ht="27" hidden="1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6.4102564102564106</v>
      </c>
      <c r="Y80" s="549">
        <f>IFERROR(Y78/H78,"0")+IFERROR(Y79/H79,"0")</f>
        <v>7</v>
      </c>
      <c r="Z80" s="549">
        <f>IFERROR(IF(Z78="",0,Z78),"0")+IFERROR(IF(Z79="",0,Z79),"0")</f>
        <v>0.13286000000000001</v>
      </c>
      <c r="AA80" s="550"/>
      <c r="AB80" s="550"/>
      <c r="AC80" s="550"/>
    </row>
    <row r="81" spans="1:68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50</v>
      </c>
      <c r="Y81" s="549">
        <f>IFERROR(SUM(Y78:Y79),"0")</f>
        <v>54.6</v>
      </c>
      <c r="Z81" s="37"/>
      <c r="AA81" s="550"/>
      <c r="AB81" s="550"/>
      <c r="AC81" s="550"/>
    </row>
    <row r="82" spans="1:68" ht="16.5" hidden="1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hidden="1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10</v>
      </c>
      <c r="Y84" s="548">
        <f>IFERROR(IF(X84="",0,CEILING((X84/$H84),1)*$H84),"")</f>
        <v>10.8</v>
      </c>
      <c r="Z84" s="36">
        <f>IFERROR(IF(Y84=0,"",ROUNDUP(Y84/H84,0)*0.01898),"")</f>
        <v>1.898E-2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10.37962962962963</v>
      </c>
      <c r="BN84" s="64">
        <f>IFERROR(Y84*I84/H84,"0")</f>
        <v>11.21</v>
      </c>
      <c r="BO84" s="64">
        <f>IFERROR(1/J84*(X84/H84),"0")</f>
        <v>1.4467592592592591E-2</v>
      </c>
      <c r="BP84" s="64">
        <f>IFERROR(1/J84*(Y84/H84),"0")</f>
        <v>1.5625E-2</v>
      </c>
    </row>
    <row r="85" spans="1:68" ht="27" hidden="1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6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0.92592592592592582</v>
      </c>
      <c r="Y88" s="549">
        <f>IFERROR(Y84/H84,"0")+IFERROR(Y85/H85,"0")+IFERROR(Y86/H86,"0")+IFERROR(Y87/H87,"0")</f>
        <v>1</v>
      </c>
      <c r="Z88" s="549">
        <f>IFERROR(IF(Z84="",0,Z84),"0")+IFERROR(IF(Z85="",0,Z85),"0")+IFERROR(IF(Z86="",0,Z86),"0")+IFERROR(IF(Z87="",0,Z87),"0")</f>
        <v>1.898E-2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10</v>
      </c>
      <c r="Y89" s="549">
        <f>IFERROR(SUM(Y84:Y87),"0")</f>
        <v>10.8</v>
      </c>
      <c r="Z89" s="37"/>
      <c r="AA89" s="550"/>
      <c r="AB89" s="550"/>
      <c r="AC89" s="550"/>
    </row>
    <row r="90" spans="1:68" ht="14.25" hidden="1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hidden="1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0</v>
      </c>
      <c r="Y91" s="548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0</v>
      </c>
      <c r="Y95" s="549">
        <f>IFERROR(Y91/H91,"0")+IFERROR(Y92/H92,"0")+IFERROR(Y93/H93,"0")+IFERROR(Y94/H94,"0")</f>
        <v>0</v>
      </c>
      <c r="Z95" s="549">
        <f>IFERROR(IF(Z91="",0,Z91),"0")+IFERROR(IF(Z92="",0,Z92),"0")+IFERROR(IF(Z93="",0,Z93),"0")+IFERROR(IF(Z94="",0,Z94),"0")</f>
        <v>0</v>
      </c>
      <c r="AA95" s="550"/>
      <c r="AB95" s="550"/>
      <c r="AC95" s="550"/>
    </row>
    <row r="96" spans="1:68" hidden="1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0</v>
      </c>
      <c r="Y96" s="549">
        <f>IFERROR(SUM(Y91:Y94),"0")</f>
        <v>0</v>
      </c>
      <c r="Z96" s="37"/>
      <c r="AA96" s="550"/>
      <c r="AB96" s="550"/>
      <c r="AC96" s="550"/>
    </row>
    <row r="97" spans="1:68" ht="16.5" hidden="1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hidden="1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7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100</v>
      </c>
      <c r="Y99" s="548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103.79629629629629</v>
      </c>
      <c r="BN99" s="64">
        <f>IFERROR(Y99*I99/H99,"0")</f>
        <v>112.1</v>
      </c>
      <c r="BO99" s="64">
        <f>IFERROR(1/J99*(X99/H99),"0")</f>
        <v>0.14467592592592593</v>
      </c>
      <c r="BP99" s="64">
        <f>IFERROR(1/J99*(Y99/H99),"0")</f>
        <v>0.15625</v>
      </c>
    </row>
    <row r="100" spans="1:68" ht="27" hidden="1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3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9.2592592592592595</v>
      </c>
      <c r="Y104" s="549">
        <f>IFERROR(Y99/H99,"0")+IFERROR(Y100/H100,"0")+IFERROR(Y101/H101,"0")+IFERROR(Y102/H102,"0")+IFERROR(Y103/H103,"0")</f>
        <v>10</v>
      </c>
      <c r="Z104" s="549">
        <f>IFERROR(IF(Z99="",0,Z99),"0")+IFERROR(IF(Z100="",0,Z100),"0")+IFERROR(IF(Z101="",0,Z101),"0")+IFERROR(IF(Z102="",0,Z102),"0")+IFERROR(IF(Z103="",0,Z103),"0")</f>
        <v>0.1898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100</v>
      </c>
      <c r="Y105" s="549">
        <f>IFERROR(SUM(Y99:Y103),"0")</f>
        <v>108</v>
      </c>
      <c r="Z105" s="37"/>
      <c r="AA105" s="550"/>
      <c r="AB105" s="550"/>
      <c r="AC105" s="550"/>
    </row>
    <row r="106" spans="1:68" ht="14.25" hidden="1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hidden="1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hidden="1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hidden="1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160</v>
      </c>
      <c r="Y114" s="548">
        <f>IFERROR(IF(X114="",0,CEILING((X114/$H114),1)*$H114),"")</f>
        <v>162</v>
      </c>
      <c r="Z114" s="36">
        <f>IFERROR(IF(Y114=0,"",ROUNDUP(Y114/H114,0)*0.01898),"")</f>
        <v>0.37959999999999999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169.6395061728395</v>
      </c>
      <c r="BN114" s="64">
        <f>IFERROR(Y114*I114/H114,"0")</f>
        <v>171.76</v>
      </c>
      <c r="BO114" s="64">
        <f>IFERROR(1/J114*(X114/H114),"0")</f>
        <v>0.30864197530864201</v>
      </c>
      <c r="BP114" s="64">
        <f>IFERROR(1/J114*(Y114/H114),"0")</f>
        <v>0.3125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1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3</v>
      </c>
      <c r="Y117" s="548">
        <f>IFERROR(IF(X117="",0,CEILING((X117/$H117),1)*$H117),"")</f>
        <v>3.6</v>
      </c>
      <c r="Z117" s="36">
        <f>IFERROR(IF(Y117=0,"",ROUNDUP(Y117/H117,0)*0.00651),"")</f>
        <v>1.302E-2</v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3.3</v>
      </c>
      <c r="BN117" s="64">
        <f>IFERROR(Y117*I117/H117,"0")</f>
        <v>3.96</v>
      </c>
      <c r="BO117" s="64">
        <f>IFERROR(1/J117*(X117/H117),"0")</f>
        <v>9.1575091575091579E-3</v>
      </c>
      <c r="BP117" s="64">
        <f>IFERROR(1/J117*(Y117/H117),"0")</f>
        <v>1.098901098901099E-2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21.419753086419757</v>
      </c>
      <c r="Y118" s="549">
        <f>IFERROR(Y114/H114,"0")+IFERROR(Y115/H115,"0")+IFERROR(Y116/H116,"0")+IFERROR(Y117/H117,"0")</f>
        <v>22</v>
      </c>
      <c r="Z118" s="549">
        <f>IFERROR(IF(Z114="",0,Z114),"0")+IFERROR(IF(Z115="",0,Z115),"0")+IFERROR(IF(Z116="",0,Z116),"0")+IFERROR(IF(Z117="",0,Z117),"0")</f>
        <v>0.39261999999999997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163</v>
      </c>
      <c r="Y119" s="549">
        <f>IFERROR(SUM(Y114:Y117),"0")</f>
        <v>165.6</v>
      </c>
      <c r="Z119" s="37"/>
      <c r="AA119" s="550"/>
      <c r="AB119" s="550"/>
      <c r="AC119" s="550"/>
    </row>
    <row r="120" spans="1:68" ht="14.25" hidden="1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hidden="1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hidden="1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hidden="1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69</v>
      </c>
      <c r="Y126" s="548">
        <f>IFERROR(IF(X126="",0,CEILING((X126/$H126),1)*$H126),"")</f>
        <v>70.400000000000006</v>
      </c>
      <c r="Z126" s="36">
        <f>IFERROR(IF(Y126=0,"",ROUNDUP(Y126/H126,0)*0.00651),"")</f>
        <v>0.14322000000000001</v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72.881249999999994</v>
      </c>
      <c r="BN126" s="64">
        <f>IFERROR(Y126*I126/H126,"0")</f>
        <v>74.36</v>
      </c>
      <c r="BO126" s="64">
        <f>IFERROR(1/J126*(X126/H126),"0")</f>
        <v>0.11847527472527473</v>
      </c>
      <c r="BP126" s="64">
        <f>IFERROR(1/J126*(Y126/H126),"0")</f>
        <v>0.12087912087912089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21.5625</v>
      </c>
      <c r="Y128" s="549">
        <f>IFERROR(Y126/H126,"0")+IFERROR(Y127/H127,"0")</f>
        <v>22</v>
      </c>
      <c r="Z128" s="549">
        <f>IFERROR(IF(Z126="",0,Z126),"0")+IFERROR(IF(Z127="",0,Z127),"0")</f>
        <v>0.14322000000000001</v>
      </c>
      <c r="AA128" s="550"/>
      <c r="AB128" s="550"/>
      <c r="AC128" s="550"/>
    </row>
    <row r="129" spans="1:68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69</v>
      </c>
      <c r="Y129" s="549">
        <f>IFERROR(SUM(Y126:Y127),"0")</f>
        <v>70.400000000000006</v>
      </c>
      <c r="Z129" s="37"/>
      <c r="AA129" s="550"/>
      <c r="AB129" s="550"/>
      <c r="AC129" s="550"/>
    </row>
    <row r="130" spans="1:68" ht="14.25" hidden="1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6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46</v>
      </c>
      <c r="Y131" s="548">
        <f>IFERROR(IF(X131="",0,CEILING((X131/$H131),1)*$H131),"")</f>
        <v>47.599999999999994</v>
      </c>
      <c r="Z131" s="36">
        <f>IFERROR(IF(Y131=0,"",ROUNDUP(Y131/H131,0)*0.00651),"")</f>
        <v>0.11067</v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50.402857142857151</v>
      </c>
      <c r="BN131" s="64">
        <f>IFERROR(Y131*I131/H131,"0")</f>
        <v>52.156000000000006</v>
      </c>
      <c r="BO131" s="64">
        <f>IFERROR(1/J131*(X131/H131),"0")</f>
        <v>9.0266875981161718E-2</v>
      </c>
      <c r="BP131" s="64">
        <f>IFERROR(1/J131*(Y131/H131),"0")</f>
        <v>9.3406593406593408E-2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16.428571428571431</v>
      </c>
      <c r="Y133" s="549">
        <f>IFERROR(Y131/H131,"0")+IFERROR(Y132/H132,"0")</f>
        <v>17</v>
      </c>
      <c r="Z133" s="549">
        <f>IFERROR(IF(Z131="",0,Z131),"0")+IFERROR(IF(Z132="",0,Z132),"0")</f>
        <v>0.11067</v>
      </c>
      <c r="AA133" s="550"/>
      <c r="AB133" s="550"/>
      <c r="AC133" s="550"/>
    </row>
    <row r="134" spans="1:68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46</v>
      </c>
      <c r="Y134" s="549">
        <f>IFERROR(SUM(Y131:Y132),"0")</f>
        <v>47.599999999999994</v>
      </c>
      <c r="Z134" s="37"/>
      <c r="AA134" s="550"/>
      <c r="AB134" s="550"/>
      <c r="AC134" s="550"/>
    </row>
    <row r="135" spans="1:68" ht="14.25" hidden="1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10</v>
      </c>
      <c r="Y136" s="548">
        <f>IFERROR(IF(X136="",0,CEILING((X136/$H136),1)*$H136),"")</f>
        <v>10.56</v>
      </c>
      <c r="Z136" s="36">
        <f>IFERROR(IF(Y136=0,"",ROUNDUP(Y136/H136,0)*0.00651),"")</f>
        <v>2.6040000000000001E-2</v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11.015151515151514</v>
      </c>
      <c r="BN136" s="64">
        <f>IFERROR(Y136*I136/H136,"0")</f>
        <v>11.632</v>
      </c>
      <c r="BO136" s="64">
        <f>IFERROR(1/J136*(X136/H136),"0")</f>
        <v>2.0812520812520812E-2</v>
      </c>
      <c r="BP136" s="64">
        <f>IFERROR(1/J136*(Y136/H136),"0")</f>
        <v>2.197802197802198E-2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3.7878787878787876</v>
      </c>
      <c r="Y138" s="549">
        <f>IFERROR(Y136/H136,"0")+IFERROR(Y137/H137,"0")</f>
        <v>4</v>
      </c>
      <c r="Z138" s="549">
        <f>IFERROR(IF(Z136="",0,Z136),"0")+IFERROR(IF(Z137="",0,Z137),"0")</f>
        <v>2.6040000000000001E-2</v>
      </c>
      <c r="AA138" s="550"/>
      <c r="AB138" s="550"/>
      <c r="AC138" s="550"/>
    </row>
    <row r="139" spans="1:68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10</v>
      </c>
      <c r="Y139" s="549">
        <f>IFERROR(SUM(Y136:Y137),"0")</f>
        <v>10.56</v>
      </c>
      <c r="Z139" s="37"/>
      <c r="AA139" s="550"/>
      <c r="AB139" s="550"/>
      <c r="AC139" s="550"/>
    </row>
    <row r="140" spans="1:68" ht="16.5" hidden="1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hidden="1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8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hidden="1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hidden="1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6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30</v>
      </c>
      <c r="Y149" s="548">
        <f>IFERROR(IF(X149="",0,CEILING((X149/$H149),1)*$H149),"")</f>
        <v>33.6</v>
      </c>
      <c r="Z149" s="36">
        <f>IFERROR(IF(Y149=0,"",ROUNDUP(Y149/H149,0)*0.00902),"")</f>
        <v>7.2160000000000002E-2</v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31.357142857142854</v>
      </c>
      <c r="BN149" s="64">
        <f>IFERROR(Y149*I149/H149,"0")</f>
        <v>35.119999999999997</v>
      </c>
      <c r="BO149" s="64">
        <f>IFERROR(1/J149*(X149/H149),"0")</f>
        <v>5.4112554112554112E-2</v>
      </c>
      <c r="BP149" s="64">
        <f>IFERROR(1/J149*(Y149/H149),"0")</f>
        <v>6.0606060606060608E-2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8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8</v>
      </c>
      <c r="Y150" s="548">
        <f>IFERROR(IF(X150="",0,CEILING((X150/$H150),1)*$H150),"")</f>
        <v>9</v>
      </c>
      <c r="Z150" s="36">
        <f>IFERROR(IF(Y150=0,"",ROUNDUP(Y150/H150,0)*0.01898),"")</f>
        <v>1.898E-2</v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8.4977777777777774</v>
      </c>
      <c r="BN150" s="64">
        <f>IFERROR(Y150*I150/H150,"0")</f>
        <v>9.56</v>
      </c>
      <c r="BO150" s="64">
        <f>IFERROR(1/J150*(X150/H150),"0")</f>
        <v>1.3888888888888888E-2</v>
      </c>
      <c r="BP150" s="64">
        <f>IFERROR(1/J150*(Y150/H150),"0")</f>
        <v>1.5625E-2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67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8.0317460317460316</v>
      </c>
      <c r="Y152" s="549">
        <f>IFERROR(Y147/H147,"0")+IFERROR(Y148/H148,"0")+IFERROR(Y149/H149,"0")+IFERROR(Y150/H150,"0")+IFERROR(Y151/H151,"0")</f>
        <v>9</v>
      </c>
      <c r="Z152" s="549">
        <f>IFERROR(IF(Z147="",0,Z147),"0")+IFERROR(IF(Z148="",0,Z148),"0")+IFERROR(IF(Z149="",0,Z149),"0")+IFERROR(IF(Z150="",0,Z150),"0")+IFERROR(IF(Z151="",0,Z151),"0")</f>
        <v>9.1139999999999999E-2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38</v>
      </c>
      <c r="Y153" s="549">
        <f>IFERROR(SUM(Y147:Y151),"0")</f>
        <v>42.6</v>
      </c>
      <c r="Z153" s="37"/>
      <c r="AA153" s="550"/>
      <c r="AB153" s="550"/>
      <c r="AC153" s="550"/>
    </row>
    <row r="154" spans="1:68" ht="14.25" hidden="1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hidden="1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hidden="1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hidden="1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hidden="1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hidden="1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hidden="1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5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80</v>
      </c>
      <c r="Y167" s="548">
        <f t="shared" si="5"/>
        <v>84</v>
      </c>
      <c r="Z167" s="36">
        <f>IFERROR(IF(Y167=0,"",ROUNDUP(Y167/H167,0)*0.00902),"")</f>
        <v>0.1804</v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83.619047619047606</v>
      </c>
      <c r="BN167" s="64">
        <f t="shared" si="7"/>
        <v>87.8</v>
      </c>
      <c r="BO167" s="64">
        <f t="shared" si="8"/>
        <v>0.14430014430014429</v>
      </c>
      <c r="BP167" s="64">
        <f t="shared" si="9"/>
        <v>0.15151515151515152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6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8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748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hidden="1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19.047619047619047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20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0.1804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80</v>
      </c>
      <c r="Y180" s="549">
        <f>IFERROR(SUM(Y165:Y178),"0")</f>
        <v>84</v>
      </c>
      <c r="Z180" s="37"/>
      <c r="AA180" s="550"/>
      <c r="AB180" s="550"/>
      <c r="AC180" s="550"/>
    </row>
    <row r="181" spans="1:68" ht="14.25" hidden="1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hidden="1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13</v>
      </c>
      <c r="Y194" s="548">
        <f>IFERROR(IF(X194="",0,CEILING((X194/$H194),1)*$H194),"")</f>
        <v>13.5</v>
      </c>
      <c r="Z194" s="36">
        <f>IFERROR(IF(Y194=0,"",ROUNDUP(Y194/H194,0)*0.00651),"")</f>
        <v>3.2550000000000003E-2</v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13.866666666666665</v>
      </c>
      <c r="BN194" s="64">
        <f>IFERROR(Y194*I194/H194,"0")</f>
        <v>14.399999999999997</v>
      </c>
      <c r="BO194" s="64">
        <f>IFERROR(1/J194*(X194/H194),"0")</f>
        <v>2.6455026455026457E-2</v>
      </c>
      <c r="BP194" s="64">
        <f>IFERROR(1/J194*(Y194/H194),"0")</f>
        <v>2.7472527472527476E-2</v>
      </c>
    </row>
    <row r="195" spans="1:68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4.8148148148148149</v>
      </c>
      <c r="Y195" s="549">
        <f>IFERROR(Y193/H193,"0")+IFERROR(Y194/H194,"0")</f>
        <v>5</v>
      </c>
      <c r="Z195" s="549">
        <f>IFERROR(IF(Z193="",0,Z193),"0")+IFERROR(IF(Z194="",0,Z194),"0")</f>
        <v>3.2550000000000003E-2</v>
      </c>
      <c r="AA195" s="550"/>
      <c r="AB195" s="550"/>
      <c r="AC195" s="550"/>
    </row>
    <row r="196" spans="1:68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13</v>
      </c>
      <c r="Y196" s="549">
        <f>IFERROR(SUM(Y193:Y194),"0")</f>
        <v>13.5</v>
      </c>
      <c r="Z196" s="37"/>
      <c r="AA196" s="550"/>
      <c r="AB196" s="550"/>
      <c r="AC196" s="550"/>
    </row>
    <row r="197" spans="1:68" ht="14.25" hidden="1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2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270</v>
      </c>
      <c r="Y203" s="548">
        <f t="shared" ref="Y203:Y210" si="10">IFERROR(IF(X203="",0,CEILING((X203/$H203),1)*$H203),"")</f>
        <v>270</v>
      </c>
      <c r="Z203" s="36">
        <f>IFERROR(IF(Y203=0,"",ROUNDUP(Y203/H203,0)*0.00902),"")</f>
        <v>0.45100000000000001</v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279.5</v>
      </c>
      <c r="BN203" s="64">
        <f t="shared" ref="BN203:BN210" si="12">IFERROR(Y203*I203/H203,"0")</f>
        <v>279.5</v>
      </c>
      <c r="BO203" s="64">
        <f t="shared" ref="BO203:BO210" si="13">IFERROR(1/J203*(X203/H203),"0")</f>
        <v>0.37878787878787878</v>
      </c>
      <c r="BP203" s="64">
        <f t="shared" ref="BP203:BP210" si="14">IFERROR(1/J203*(Y203/H203),"0")</f>
        <v>0.37878787878787878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64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200</v>
      </c>
      <c r="Y204" s="548">
        <f t="shared" si="10"/>
        <v>205.20000000000002</v>
      </c>
      <c r="Z204" s="36">
        <f>IFERROR(IF(Y204=0,"",ROUNDUP(Y204/H204,0)*0.00902),"")</f>
        <v>0.34276000000000001</v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207.03703703703701</v>
      </c>
      <c r="BN204" s="64">
        <f t="shared" si="12"/>
        <v>212.42</v>
      </c>
      <c r="BO204" s="64">
        <f t="shared" si="13"/>
        <v>0.28058361391694725</v>
      </c>
      <c r="BP204" s="64">
        <f t="shared" si="14"/>
        <v>0.2878787878787879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300</v>
      </c>
      <c r="Y205" s="548">
        <f t="shared" si="10"/>
        <v>302.40000000000003</v>
      </c>
      <c r="Z205" s="36">
        <f>IFERROR(IF(Y205=0,"",ROUNDUP(Y205/H205,0)*0.00902),"")</f>
        <v>0.50512000000000001</v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310.55555555555554</v>
      </c>
      <c r="BN205" s="64">
        <f t="shared" si="12"/>
        <v>313.04000000000002</v>
      </c>
      <c r="BO205" s="64">
        <f t="shared" si="13"/>
        <v>0.42087542087542085</v>
      </c>
      <c r="BP205" s="64">
        <f t="shared" si="14"/>
        <v>0.42424242424242425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540</v>
      </c>
      <c r="Y206" s="548">
        <f t="shared" si="10"/>
        <v>540</v>
      </c>
      <c r="Z206" s="36">
        <f>IFERROR(IF(Y206=0,"",ROUNDUP(Y206/H206,0)*0.00902),"")</f>
        <v>0.90200000000000002</v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559</v>
      </c>
      <c r="BN206" s="64">
        <f t="shared" si="12"/>
        <v>559</v>
      </c>
      <c r="BO206" s="64">
        <f t="shared" si="13"/>
        <v>0.75757575757575757</v>
      </c>
      <c r="BP206" s="64">
        <f t="shared" si="14"/>
        <v>0.75757575757575757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hidden="1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242.59259259259258</v>
      </c>
      <c r="Y211" s="549">
        <f>IFERROR(Y203/H203,"0")+IFERROR(Y204/H204,"0")+IFERROR(Y205/H205,"0")+IFERROR(Y206/H206,"0")+IFERROR(Y207/H207,"0")+IFERROR(Y208/H208,"0")+IFERROR(Y209/H209,"0")+IFERROR(Y210/H210,"0")</f>
        <v>244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2.2008800000000002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1310</v>
      </c>
      <c r="Y212" s="549">
        <f>IFERROR(SUM(Y203:Y210),"0")</f>
        <v>1317.6000000000001</v>
      </c>
      <c r="Z212" s="37"/>
      <c r="AA212" s="550"/>
      <c r="AB212" s="550"/>
      <c r="AC212" s="550"/>
    </row>
    <row r="213" spans="1:68" ht="14.25" hidden="1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9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180</v>
      </c>
      <c r="Y216" s="548">
        <f t="shared" si="15"/>
        <v>182.7</v>
      </c>
      <c r="Z216" s="36">
        <f>IFERROR(IF(Y216=0,"",ROUNDUP(Y216/H216,0)*0.01898),"")</f>
        <v>0.39857999999999999</v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190.22068965517244</v>
      </c>
      <c r="BN216" s="64">
        <f t="shared" si="17"/>
        <v>193.07400000000001</v>
      </c>
      <c r="BO216" s="64">
        <f t="shared" si="18"/>
        <v>0.32327586206896552</v>
      </c>
      <c r="BP216" s="64">
        <f t="shared" si="19"/>
        <v>0.328125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87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72</v>
      </c>
      <c r="Y219" s="548">
        <f t="shared" si="15"/>
        <v>72</v>
      </c>
      <c r="Z219" s="36">
        <f t="shared" si="20"/>
        <v>0.1953</v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79.560000000000016</v>
      </c>
      <c r="BN219" s="64">
        <f t="shared" si="17"/>
        <v>79.560000000000016</v>
      </c>
      <c r="BO219" s="64">
        <f t="shared" si="18"/>
        <v>0.16483516483516486</v>
      </c>
      <c r="BP219" s="64">
        <f t="shared" si="19"/>
        <v>0.16483516483516486</v>
      </c>
    </row>
    <row r="220" spans="1:68" ht="27" hidden="1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15"/>
        <v>0</v>
      </c>
      <c r="Z220" s="36" t="str">
        <f t="shared" si="20"/>
        <v/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144</v>
      </c>
      <c r="Y221" s="548">
        <f t="shared" si="15"/>
        <v>144</v>
      </c>
      <c r="Z221" s="36">
        <f t="shared" si="20"/>
        <v>0.3906</v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159.12000000000003</v>
      </c>
      <c r="BN221" s="64">
        <f t="shared" si="17"/>
        <v>159.12000000000003</v>
      </c>
      <c r="BO221" s="64">
        <f t="shared" si="18"/>
        <v>0.32967032967032972</v>
      </c>
      <c r="BP221" s="64">
        <f t="shared" si="19"/>
        <v>0.32967032967032972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84</v>
      </c>
      <c r="Y222" s="548">
        <f t="shared" si="15"/>
        <v>84</v>
      </c>
      <c r="Z222" s="36">
        <f t="shared" si="20"/>
        <v>0.22785</v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93.03</v>
      </c>
      <c r="BN222" s="64">
        <f t="shared" si="17"/>
        <v>93.03</v>
      </c>
      <c r="BO222" s="64">
        <f t="shared" si="18"/>
        <v>0.19230769230769232</v>
      </c>
      <c r="BP222" s="64">
        <f t="shared" si="19"/>
        <v>0.19230769230769232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145.68965517241378</v>
      </c>
      <c r="Y223" s="549">
        <f>IFERROR(Y214/H214,"0")+IFERROR(Y215/H215,"0")+IFERROR(Y216/H216,"0")+IFERROR(Y217/H217,"0")+IFERROR(Y218/H218,"0")+IFERROR(Y219/H219,"0")+IFERROR(Y220/H220,"0")+IFERROR(Y221/H221,"0")+IFERROR(Y222/H222,"0")</f>
        <v>146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1.2123300000000001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480</v>
      </c>
      <c r="Y224" s="549">
        <f>IFERROR(SUM(Y214:Y222),"0")</f>
        <v>482.7</v>
      </c>
      <c r="Z224" s="37"/>
      <c r="AA224" s="550"/>
      <c r="AB224" s="550"/>
      <c r="AC224" s="550"/>
    </row>
    <row r="225" spans="1:68" ht="14.25" hidden="1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9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16</v>
      </c>
      <c r="Y226" s="548">
        <f>IFERROR(IF(X226="",0,CEILING((X226/$H226),1)*$H226),"")</f>
        <v>16.8</v>
      </c>
      <c r="Z226" s="36">
        <f>IFERROR(IF(Y226=0,"",ROUNDUP(Y226/H226,0)*0.00651),"")</f>
        <v>4.5569999999999999E-2</v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17.680000000000003</v>
      </c>
      <c r="BN226" s="64">
        <f>IFERROR(Y226*I226/H226,"0")</f>
        <v>18.564000000000004</v>
      </c>
      <c r="BO226" s="64">
        <f>IFERROR(1/J226*(X226/H226),"0")</f>
        <v>3.6630036630036632E-2</v>
      </c>
      <c r="BP226" s="64">
        <f>IFERROR(1/J226*(Y226/H226),"0")</f>
        <v>3.8461538461538471E-2</v>
      </c>
    </row>
    <row r="227" spans="1:68" ht="37.5" hidden="1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6.666666666666667</v>
      </c>
      <c r="Y228" s="549">
        <f>IFERROR(Y226/H226,"0")+IFERROR(Y227/H227,"0")</f>
        <v>7.0000000000000009</v>
      </c>
      <c r="Z228" s="549">
        <f>IFERROR(IF(Z226="",0,Z226),"0")+IFERROR(IF(Z227="",0,Z227),"0")</f>
        <v>4.5569999999999999E-2</v>
      </c>
      <c r="AA228" s="550"/>
      <c r="AB228" s="550"/>
      <c r="AC228" s="550"/>
    </row>
    <row r="229" spans="1:68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16</v>
      </c>
      <c r="Y229" s="549">
        <f>IFERROR(SUM(Y226:Y227),"0")</f>
        <v>16.8</v>
      </c>
      <c r="Z229" s="37"/>
      <c r="AA229" s="550"/>
      <c r="AB229" s="550"/>
      <c r="AC229" s="550"/>
    </row>
    <row r="230" spans="1:68" ht="16.5" hidden="1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hidden="1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3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1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hidden="1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8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20</v>
      </c>
      <c r="Y261" s="548">
        <f>IFERROR(IF(X261="",0,CEILING((X261/$H261),1)*$H261),"")</f>
        <v>21.6</v>
      </c>
      <c r="Z261" s="36">
        <f>IFERROR(IF(Y261=0,"",ROUNDUP(Y261/H261,0)*0.01898),"")</f>
        <v>3.7960000000000001E-2</v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20.75925925925926</v>
      </c>
      <c r="BN261" s="64">
        <f>IFERROR(Y261*I261/H261,"0")</f>
        <v>22.42</v>
      </c>
      <c r="BO261" s="64">
        <f>IFERROR(1/J261*(X261/H261),"0")</f>
        <v>2.8935185185185182E-2</v>
      </c>
      <c r="BP261" s="64">
        <f>IFERROR(1/J261*(Y261/H261),"0")</f>
        <v>3.125E-2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10</v>
      </c>
      <c r="Y263" s="548">
        <f>IFERROR(IF(X263="",0,CEILING((X263/$H263),1)*$H263),"")</f>
        <v>10.8</v>
      </c>
      <c r="Z263" s="36">
        <f>IFERROR(IF(Y263=0,"",ROUNDUP(Y263/H263,0)*0.01898),"")</f>
        <v>1.898E-2</v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10.37962962962963</v>
      </c>
      <c r="BN263" s="64">
        <f>IFERROR(Y263*I263/H263,"0")</f>
        <v>11.21</v>
      </c>
      <c r="BO263" s="64">
        <f>IFERROR(1/J263*(X263/H263),"0")</f>
        <v>1.4467592592592591E-2</v>
      </c>
      <c r="BP263" s="64">
        <f>IFERROR(1/J263*(Y263/H263),"0")</f>
        <v>1.5625E-2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2.7777777777777777</v>
      </c>
      <c r="Y266" s="549">
        <f>IFERROR(Y261/H261,"0")+IFERROR(Y262/H262,"0")+IFERROR(Y263/H263,"0")+IFERROR(Y264/H264,"0")+IFERROR(Y265/H265,"0")</f>
        <v>3</v>
      </c>
      <c r="Z266" s="549">
        <f>IFERROR(IF(Z261="",0,Z261),"0")+IFERROR(IF(Z262="",0,Z262),"0")+IFERROR(IF(Z263="",0,Z263),"0")+IFERROR(IF(Z264="",0,Z264),"0")+IFERROR(IF(Z265="",0,Z265),"0")</f>
        <v>5.6940000000000004E-2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30</v>
      </c>
      <c r="Y267" s="549">
        <f>IFERROR(SUM(Y261:Y265),"0")</f>
        <v>32.400000000000006</v>
      </c>
      <c r="Z267" s="37"/>
      <c r="AA267" s="550"/>
      <c r="AB267" s="550"/>
      <c r="AC267" s="550"/>
    </row>
    <row r="268" spans="1:68" ht="16.5" hidden="1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hidden="1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2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hidden="1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hidden="1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hidden="1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3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120</v>
      </c>
      <c r="Y296" s="548">
        <f t="shared" ref="Y296:Y301" si="26">IFERROR(IF(X296="",0,CEILING((X296/$H296),1)*$H296),"")</f>
        <v>129.60000000000002</v>
      </c>
      <c r="Z296" s="36">
        <f>IFERROR(IF(Y296=0,"",ROUNDUP(Y296/H296,0)*0.01898),"")</f>
        <v>0.22776000000000002</v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124.55555555555556</v>
      </c>
      <c r="BN296" s="64">
        <f t="shared" ref="BN296:BN301" si="28">IFERROR(Y296*I296/H296,"0")</f>
        <v>134.52000000000001</v>
      </c>
      <c r="BO296" s="64">
        <f t="shared" ref="BO296:BO301" si="29">IFERROR(1/J296*(X296/H296),"0")</f>
        <v>0.1736111111111111</v>
      </c>
      <c r="BP296" s="64">
        <f t="shared" ref="BP296:BP301" si="30">IFERROR(1/J296*(Y296/H296),"0")</f>
        <v>0.18750000000000003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20</v>
      </c>
      <c r="Y297" s="548">
        <f t="shared" si="26"/>
        <v>21.6</v>
      </c>
      <c r="Z297" s="36">
        <f>IFERROR(IF(Y297=0,"",ROUNDUP(Y297/H297,0)*0.01898),"")</f>
        <v>3.7960000000000001E-2</v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20.75925925925926</v>
      </c>
      <c r="BN297" s="64">
        <f t="shared" si="28"/>
        <v>22.42</v>
      </c>
      <c r="BO297" s="64">
        <f t="shared" si="29"/>
        <v>2.8935185185185182E-2</v>
      </c>
      <c r="BP297" s="64">
        <f t="shared" si="30"/>
        <v>3.125E-2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20</v>
      </c>
      <c r="Y298" s="548">
        <f t="shared" si="26"/>
        <v>21.6</v>
      </c>
      <c r="Z298" s="36">
        <f>IFERROR(IF(Y298=0,"",ROUNDUP(Y298/H298,0)*0.01898),"")</f>
        <v>3.7960000000000001E-2</v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20.75925925925926</v>
      </c>
      <c r="BN298" s="64">
        <f t="shared" si="28"/>
        <v>22.42</v>
      </c>
      <c r="BO298" s="64">
        <f t="shared" si="29"/>
        <v>2.8935185185185182E-2</v>
      </c>
      <c r="BP298" s="64">
        <f t="shared" si="30"/>
        <v>3.125E-2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6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14.814814814814813</v>
      </c>
      <c r="Y302" s="549">
        <f>IFERROR(Y296/H296,"0")+IFERROR(Y297/H297,"0")+IFERROR(Y298/H298,"0")+IFERROR(Y299/H299,"0")+IFERROR(Y300/H300,"0")+IFERROR(Y301/H301,"0")</f>
        <v>16</v>
      </c>
      <c r="Z302" s="549">
        <f>IFERROR(IF(Z296="",0,Z296),"0")+IFERROR(IF(Z297="",0,Z297),"0")+IFERROR(IF(Z298="",0,Z298),"0")+IFERROR(IF(Z299="",0,Z299),"0")+IFERROR(IF(Z300="",0,Z300),"0")+IFERROR(IF(Z301="",0,Z301),"0")</f>
        <v>0.30368000000000001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160</v>
      </c>
      <c r="Y303" s="549">
        <f>IFERROR(SUM(Y296:Y301),"0")</f>
        <v>172.8</v>
      </c>
      <c r="Z303" s="37"/>
      <c r="AA303" s="550"/>
      <c r="AB303" s="550"/>
      <c r="AC303" s="550"/>
    </row>
    <row r="304" spans="1:68" ht="14.25" hidden="1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20</v>
      </c>
      <c r="Y305" s="548">
        <f t="shared" ref="Y305:Y310" si="31">IFERROR(IF(X305="",0,CEILING((X305/$H305),1)*$H305),"")</f>
        <v>21</v>
      </c>
      <c r="Z305" s="36">
        <f>IFERROR(IF(Y305=0,"",ROUNDUP(Y305/H305,0)*0.00902),"")</f>
        <v>4.5100000000000001E-2</v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21.19047619047619</v>
      </c>
      <c r="BN305" s="64">
        <f t="shared" ref="BN305:BN310" si="33">IFERROR(Y305*I305/H305,"0")</f>
        <v>22.25</v>
      </c>
      <c r="BO305" s="64">
        <f t="shared" ref="BO305:BO310" si="34">IFERROR(1/J305*(X305/H305),"0")</f>
        <v>3.6075036075036072E-2</v>
      </c>
      <c r="BP305" s="64">
        <f t="shared" ref="BP305:BP310" si="35">IFERROR(1/J305*(Y305/H305),"0")</f>
        <v>3.787878787878788E-2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4.7619047619047619</v>
      </c>
      <c r="Y311" s="549">
        <f>IFERROR(Y305/H305,"0")+IFERROR(Y306/H306,"0")+IFERROR(Y307/H307,"0")+IFERROR(Y308/H308,"0")+IFERROR(Y309/H309,"0")+IFERROR(Y310/H310,"0")</f>
        <v>5</v>
      </c>
      <c r="Z311" s="549">
        <f>IFERROR(IF(Z305="",0,Z305),"0")+IFERROR(IF(Z306="",0,Z306),"0")+IFERROR(IF(Z307="",0,Z307),"0")+IFERROR(IF(Z308="",0,Z308),"0")+IFERROR(IF(Z309="",0,Z309),"0")+IFERROR(IF(Z310="",0,Z310),"0")</f>
        <v>4.5100000000000001E-2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20</v>
      </c>
      <c r="Y312" s="549">
        <f>IFERROR(SUM(Y305:Y310),"0")</f>
        <v>21</v>
      </c>
      <c r="Z312" s="37"/>
      <c r="AA312" s="550"/>
      <c r="AB312" s="550"/>
      <c r="AC312" s="550"/>
    </row>
    <row r="313" spans="1:68" ht="14.25" hidden="1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3450</v>
      </c>
      <c r="Y314" s="548">
        <f>IFERROR(IF(X314="",0,CEILING((X314/$H314),1)*$H314),"")</f>
        <v>3455.4</v>
      </c>
      <c r="Z314" s="36">
        <f>IFERROR(IF(Y314=0,"",ROUNDUP(Y314/H314,0)*0.01898),"")</f>
        <v>8.4081399999999995</v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3665.8461538461543</v>
      </c>
      <c r="BN314" s="64">
        <f>IFERROR(Y314*I314/H314,"0")</f>
        <v>3671.5840000000003</v>
      </c>
      <c r="BO314" s="64">
        <f>IFERROR(1/J314*(X314/H314),"0")</f>
        <v>6.9110576923076925</v>
      </c>
      <c r="BP314" s="64">
        <f>IFERROR(1/J314*(Y314/H314),"0")</f>
        <v>6.921875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5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4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442.30769230769232</v>
      </c>
      <c r="Y318" s="549">
        <f>IFERROR(Y314/H314,"0")+IFERROR(Y315/H315,"0")+IFERROR(Y316/H316,"0")+IFERROR(Y317/H317,"0")</f>
        <v>443</v>
      </c>
      <c r="Z318" s="549">
        <f>IFERROR(IF(Z314="",0,Z314),"0")+IFERROR(IF(Z315="",0,Z315),"0")+IFERROR(IF(Z316="",0,Z316),"0")+IFERROR(IF(Z317="",0,Z317),"0")</f>
        <v>8.4081399999999995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3450</v>
      </c>
      <c r="Y319" s="549">
        <f>IFERROR(SUM(Y314:Y317),"0")</f>
        <v>3455.4</v>
      </c>
      <c r="Z319" s="37"/>
      <c r="AA319" s="550"/>
      <c r="AB319" s="550"/>
      <c r="AC319" s="550"/>
    </row>
    <row r="320" spans="1:68" ht="14.25" hidden="1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80</v>
      </c>
      <c r="Y321" s="548">
        <f>IFERROR(IF(X321="",0,CEILING((X321/$H321),1)*$H321),"")</f>
        <v>84</v>
      </c>
      <c r="Z321" s="36">
        <f>IFERROR(IF(Y321=0,"",ROUNDUP(Y321/H321,0)*0.01898),"")</f>
        <v>0.1898</v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84.704761904761895</v>
      </c>
      <c r="BN321" s="64">
        <f>IFERROR(Y321*I321/H321,"0")</f>
        <v>88.94</v>
      </c>
      <c r="BO321" s="64">
        <f>IFERROR(1/J321*(X321/H321),"0")</f>
        <v>0.14880952380952381</v>
      </c>
      <c r="BP321" s="64">
        <f>IFERROR(1/J321*(Y321/H321),"0")</f>
        <v>0.15625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170</v>
      </c>
      <c r="Y322" s="548">
        <f>IFERROR(IF(X322="",0,CEILING((X322/$H322),1)*$H322),"")</f>
        <v>171.6</v>
      </c>
      <c r="Z322" s="36">
        <f>IFERROR(IF(Y322=0,"",ROUNDUP(Y322/H322,0)*0.01898),"")</f>
        <v>0.41755999999999999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180.76666666666668</v>
      </c>
      <c r="BN322" s="64">
        <f>IFERROR(Y322*I322/H322,"0")</f>
        <v>182.46800000000002</v>
      </c>
      <c r="BO322" s="64">
        <f>IFERROR(1/J322*(X322/H322),"0")</f>
        <v>0.34054487179487181</v>
      </c>
      <c r="BP322" s="64">
        <f>IFERROR(1/J322*(Y322/H322),"0")</f>
        <v>0.34375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80</v>
      </c>
      <c r="Y323" s="548">
        <f>IFERROR(IF(X323="",0,CEILING((X323/$H323),1)*$H323),"")</f>
        <v>84</v>
      </c>
      <c r="Z323" s="36">
        <f>IFERROR(IF(Y323=0,"",ROUNDUP(Y323/H323,0)*0.01898),"")</f>
        <v>0.1898</v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84.704761904761895</v>
      </c>
      <c r="BN323" s="64">
        <f>IFERROR(Y323*I323/H323,"0")</f>
        <v>88.94</v>
      </c>
      <c r="BO323" s="64">
        <f>IFERROR(1/J323*(X323/H323),"0")</f>
        <v>0.14880952380952381</v>
      </c>
      <c r="BP323" s="64">
        <f>IFERROR(1/J323*(Y323/H323),"0")</f>
        <v>0.15625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40.842490842490847</v>
      </c>
      <c r="Y324" s="549">
        <f>IFERROR(Y321/H321,"0")+IFERROR(Y322/H322,"0")+IFERROR(Y323/H323,"0")</f>
        <v>42</v>
      </c>
      <c r="Z324" s="549">
        <f>IFERROR(IF(Z321="",0,Z321),"0")+IFERROR(IF(Z322="",0,Z322),"0")+IFERROR(IF(Z323="",0,Z323),"0")</f>
        <v>0.79715999999999998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330</v>
      </c>
      <c r="Y325" s="549">
        <f>IFERROR(SUM(Y321:Y323),"0")</f>
        <v>339.6</v>
      </c>
      <c r="Z325" s="37"/>
      <c r="AA325" s="550"/>
      <c r="AB325" s="550"/>
      <c r="AC325" s="550"/>
    </row>
    <row r="326" spans="1:68" ht="14.25" hidden="1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7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hidden="1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hidden="1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hidden="1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hidden="1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hidden="1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1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70</v>
      </c>
      <c r="Y341" s="548">
        <f>IFERROR(IF(X341="",0,CEILING((X341/$H341),1)*$H341),"")</f>
        <v>72.899999999999991</v>
      </c>
      <c r="Z341" s="36">
        <f>IFERROR(IF(Y341=0,"",ROUNDUP(Y341/H341,0)*0.01898),"")</f>
        <v>0.17082</v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74.269135802469137</v>
      </c>
      <c r="BN341" s="64">
        <f>IFERROR(Y341*I341/H341,"0")</f>
        <v>77.345999999999989</v>
      </c>
      <c r="BO341" s="64">
        <f>IFERROR(1/J341*(X341/H341),"0")</f>
        <v>0.13503086419753088</v>
      </c>
      <c r="BP341" s="64">
        <f>IFERROR(1/J341*(Y341/H341),"0")</f>
        <v>0.140625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0</v>
      </c>
      <c r="Y343" s="548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8.6419753086419764</v>
      </c>
      <c r="Y344" s="549">
        <f>IFERROR(Y341/H341,"0")+IFERROR(Y342/H342,"0")+IFERROR(Y343/H343,"0")</f>
        <v>9</v>
      </c>
      <c r="Z344" s="549">
        <f>IFERROR(IF(Z341="",0,Z341),"0")+IFERROR(IF(Z342="",0,Z342),"0")+IFERROR(IF(Z343="",0,Z343),"0")</f>
        <v>0.17082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70</v>
      </c>
      <c r="Y345" s="549">
        <f>IFERROR(SUM(Y341:Y343),"0")</f>
        <v>72.899999999999991</v>
      </c>
      <c r="Z345" s="37"/>
      <c r="AA345" s="550"/>
      <c r="AB345" s="550"/>
      <c r="AC345" s="550"/>
    </row>
    <row r="346" spans="1:68" ht="27.75" hidden="1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hidden="1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hidden="1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750</v>
      </c>
      <c r="Y349" s="548">
        <f t="shared" ref="Y349:Y355" si="36">IFERROR(IF(X349="",0,CEILING((X349/$H349),1)*$H349),"")</f>
        <v>750</v>
      </c>
      <c r="Z349" s="36">
        <f>IFERROR(IF(Y349=0,"",ROUNDUP(Y349/H349,0)*0.02175),"")</f>
        <v>1.0874999999999999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773.5</v>
      </c>
      <c r="BN349" s="64">
        <f t="shared" ref="BN349:BN355" si="38">IFERROR(Y349*I349/H349,"0")</f>
        <v>773.5</v>
      </c>
      <c r="BO349" s="64">
        <f t="shared" ref="BO349:BO355" si="39">IFERROR(1/J349*(X349/H349),"0")</f>
        <v>1.0416666666666665</v>
      </c>
      <c r="BP349" s="64">
        <f t="shared" ref="BP349:BP355" si="40">IFERROR(1/J349*(Y349/H349),"0")</f>
        <v>1.0416666666666665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750</v>
      </c>
      <c r="Y350" s="548">
        <f t="shared" si="36"/>
        <v>750</v>
      </c>
      <c r="Z350" s="36">
        <f>IFERROR(IF(Y350=0,"",ROUNDUP(Y350/H350,0)*0.02175),"")</f>
        <v>1.0874999999999999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773.5</v>
      </c>
      <c r="BN350" s="64">
        <f t="shared" si="38"/>
        <v>773.5</v>
      </c>
      <c r="BO350" s="64">
        <f t="shared" si="39"/>
        <v>1.0416666666666665</v>
      </c>
      <c r="BP350" s="64">
        <f t="shared" si="40"/>
        <v>1.0416666666666665</v>
      </c>
    </row>
    <row r="351" spans="1:68" ht="37.5" hidden="1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6250</v>
      </c>
      <c r="Y352" s="548">
        <f t="shared" si="36"/>
        <v>6255</v>
      </c>
      <c r="Z352" s="36">
        <f>IFERROR(IF(Y352=0,"",ROUNDUP(Y352/H352,0)*0.02175),"")</f>
        <v>9.0697499999999991</v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6445.833333333333</v>
      </c>
      <c r="BN352" s="64">
        <f t="shared" si="38"/>
        <v>6450.9900000000007</v>
      </c>
      <c r="BO352" s="64">
        <f t="shared" si="39"/>
        <v>8.6805555555555554</v>
      </c>
      <c r="BP352" s="64">
        <f t="shared" si="40"/>
        <v>8.6875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516.66666666666674</v>
      </c>
      <c r="Y356" s="549">
        <f>IFERROR(Y349/H349,"0")+IFERROR(Y350/H350,"0")+IFERROR(Y351/H351,"0")+IFERROR(Y352/H352,"0")+IFERROR(Y353/H353,"0")+IFERROR(Y354/H354,"0")+IFERROR(Y355/H355,"0")</f>
        <v>517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11.24475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7750</v>
      </c>
      <c r="Y357" s="549">
        <f>IFERROR(SUM(Y349:Y355),"0")</f>
        <v>7755</v>
      </c>
      <c r="Z357" s="37"/>
      <c r="AA357" s="550"/>
      <c r="AB357" s="550"/>
      <c r="AC357" s="550"/>
    </row>
    <row r="358" spans="1:68" ht="14.25" hidden="1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6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750</v>
      </c>
      <c r="Y359" s="548">
        <f>IFERROR(IF(X359="",0,CEILING((X359/$H359),1)*$H359),"")</f>
        <v>750</v>
      </c>
      <c r="Z359" s="36">
        <f>IFERROR(IF(Y359=0,"",ROUNDUP(Y359/H359,0)*0.02175),"")</f>
        <v>1.0874999999999999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773.5</v>
      </c>
      <c r="BN359" s="64">
        <f>IFERROR(Y359*I359/H359,"0")</f>
        <v>773.5</v>
      </c>
      <c r="BO359" s="64">
        <f>IFERROR(1/J359*(X359/H359),"0")</f>
        <v>1.0416666666666665</v>
      </c>
      <c r="BP359" s="64">
        <f>IFERROR(1/J359*(Y359/H359),"0")</f>
        <v>1.0416666666666665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74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50</v>
      </c>
      <c r="Y361" s="549">
        <f>IFERROR(Y359/H359,"0")+IFERROR(Y360/H360,"0")</f>
        <v>50</v>
      </c>
      <c r="Z361" s="549">
        <f>IFERROR(IF(Z359="",0,Z359),"0")+IFERROR(IF(Z360="",0,Z360),"0")</f>
        <v>1.0874999999999999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750</v>
      </c>
      <c r="Y362" s="549">
        <f>IFERROR(SUM(Y359:Y360),"0")</f>
        <v>750</v>
      </c>
      <c r="Z362" s="37"/>
      <c r="AA362" s="550"/>
      <c r="AB362" s="550"/>
      <c r="AC362" s="550"/>
    </row>
    <row r="363" spans="1:68" ht="14.25" hidden="1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7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620</v>
      </c>
      <c r="Y364" s="548">
        <f>IFERROR(IF(X364="",0,CEILING((X364/$H364),1)*$H364),"")</f>
        <v>621</v>
      </c>
      <c r="Z364" s="36">
        <f>IFERROR(IF(Y364=0,"",ROUNDUP(Y364/H364,0)*0.01898),"")</f>
        <v>1.30962</v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654.44444444444446</v>
      </c>
      <c r="BN364" s="64">
        <f>IFERROR(Y364*I364/H364,"0")</f>
        <v>655.5</v>
      </c>
      <c r="BO364" s="64">
        <f>IFERROR(1/J364*(X364/H364),"0")</f>
        <v>1.0763888888888888</v>
      </c>
      <c r="BP364" s="64">
        <f>IFERROR(1/J364*(Y364/H364),"0")</f>
        <v>1.078125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75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150</v>
      </c>
      <c r="Y365" s="548">
        <f>IFERROR(IF(X365="",0,CEILING((X365/$H365),1)*$H365),"")</f>
        <v>153</v>
      </c>
      <c r="Z365" s="36">
        <f>IFERROR(IF(Y365=0,"",ROUNDUP(Y365/H365,0)*0.01898),"")</f>
        <v>0.32266</v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158.23333333333332</v>
      </c>
      <c r="BN365" s="64">
        <f>IFERROR(Y365*I365/H365,"0")</f>
        <v>161.398</v>
      </c>
      <c r="BO365" s="64">
        <f>IFERROR(1/J365*(X365/H365),"0")</f>
        <v>0.26041666666666669</v>
      </c>
      <c r="BP365" s="64">
        <f>IFERROR(1/J365*(Y365/H365),"0")</f>
        <v>0.265625</v>
      </c>
    </row>
    <row r="366" spans="1:68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85.555555555555557</v>
      </c>
      <c r="Y366" s="549">
        <f>IFERROR(Y364/H364,"0")+IFERROR(Y365/H365,"0")</f>
        <v>86</v>
      </c>
      <c r="Z366" s="549">
        <f>IFERROR(IF(Z364="",0,Z364),"0")+IFERROR(IF(Z365="",0,Z365),"0")</f>
        <v>1.63228</v>
      </c>
      <c r="AA366" s="550"/>
      <c r="AB366" s="550"/>
      <c r="AC366" s="550"/>
    </row>
    <row r="367" spans="1:68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770</v>
      </c>
      <c r="Y367" s="549">
        <f>IFERROR(SUM(Y364:Y365),"0")</f>
        <v>774</v>
      </c>
      <c r="Z367" s="37"/>
      <c r="AA367" s="550"/>
      <c r="AB367" s="550"/>
      <c r="AC367" s="550"/>
    </row>
    <row r="368" spans="1:68" ht="14.25" hidden="1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150</v>
      </c>
      <c r="Y369" s="548">
        <f>IFERROR(IF(X369="",0,CEILING((X369/$H369),1)*$H369),"")</f>
        <v>153</v>
      </c>
      <c r="Z369" s="36">
        <f>IFERROR(IF(Y369=0,"",ROUNDUP(Y369/H369,0)*0.01898),"")</f>
        <v>0.32266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158.23333333333332</v>
      </c>
      <c r="BN369" s="64">
        <f>IFERROR(Y369*I369/H369,"0")</f>
        <v>161.398</v>
      </c>
      <c r="BO369" s="64">
        <f>IFERROR(1/J369*(X369/H369),"0")</f>
        <v>0.26041666666666669</v>
      </c>
      <c r="BP369" s="64">
        <f>IFERROR(1/J369*(Y369/H369),"0")</f>
        <v>0.265625</v>
      </c>
    </row>
    <row r="370" spans="1:68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16.666666666666668</v>
      </c>
      <c r="Y370" s="549">
        <f>IFERROR(Y369/H369,"0")</f>
        <v>17</v>
      </c>
      <c r="Z370" s="549">
        <f>IFERROR(IF(Z369="",0,Z369),"0")</f>
        <v>0.32266</v>
      </c>
      <c r="AA370" s="550"/>
      <c r="AB370" s="550"/>
      <c r="AC370" s="550"/>
    </row>
    <row r="371" spans="1:68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150</v>
      </c>
      <c r="Y371" s="549">
        <f>IFERROR(SUM(Y369:Y369),"0")</f>
        <v>153</v>
      </c>
      <c r="Z371" s="37"/>
      <c r="AA371" s="550"/>
      <c r="AB371" s="550"/>
      <c r="AC371" s="550"/>
    </row>
    <row r="372" spans="1:68" ht="16.5" hidden="1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hidden="1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64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hidden="1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hidden="1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8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20</v>
      </c>
      <c r="Y379" s="548">
        <f>IFERROR(IF(X379="",0,CEILING((X379/$H379),1)*$H379),"")</f>
        <v>21.9</v>
      </c>
      <c r="Z379" s="36">
        <f>IFERROR(IF(Y379=0,"",ROUNDUP(Y379/H379,0)*0.00902),"")</f>
        <v>4.5100000000000001E-2</v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21.141552511415526</v>
      </c>
      <c r="BN379" s="64">
        <f>IFERROR(Y379*I379/H379,"0")</f>
        <v>23.15</v>
      </c>
      <c r="BO379" s="64">
        <f>IFERROR(1/J379*(X379/H379),"0")</f>
        <v>3.4592500345925009E-2</v>
      </c>
      <c r="BP379" s="64">
        <f>IFERROR(1/J379*(Y379/H379),"0")</f>
        <v>3.787878787878788E-2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4.5662100456621006</v>
      </c>
      <c r="Y381" s="549">
        <f>IFERROR(Y379/H379,"0")+IFERROR(Y380/H380,"0")</f>
        <v>5</v>
      </c>
      <c r="Z381" s="549">
        <f>IFERROR(IF(Z379="",0,Z379),"0")+IFERROR(IF(Z380="",0,Z380),"0")</f>
        <v>4.5100000000000001E-2</v>
      </c>
      <c r="AA381" s="550"/>
      <c r="AB381" s="550"/>
      <c r="AC381" s="550"/>
    </row>
    <row r="382" spans="1:68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20</v>
      </c>
      <c r="Y382" s="549">
        <f>IFERROR(SUM(Y379:Y380),"0")</f>
        <v>21.9</v>
      </c>
      <c r="Z382" s="37"/>
      <c r="AA382" s="550"/>
      <c r="AB382" s="550"/>
      <c r="AC382" s="550"/>
    </row>
    <row r="383" spans="1:68" ht="14.25" hidden="1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74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230</v>
      </c>
      <c r="Y384" s="548">
        <f>IFERROR(IF(X384="",0,CEILING((X384/$H384),1)*$H384),"")</f>
        <v>234</v>
      </c>
      <c r="Z384" s="36">
        <f>IFERROR(IF(Y384=0,"",ROUNDUP(Y384/H384,0)*0.01898),"")</f>
        <v>0.49348000000000003</v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242.62444444444444</v>
      </c>
      <c r="BN384" s="64">
        <f>IFERROR(Y384*I384/H384,"0")</f>
        <v>246.84399999999999</v>
      </c>
      <c r="BO384" s="64">
        <f>IFERROR(1/J384*(X384/H384),"0")</f>
        <v>0.39930555555555558</v>
      </c>
      <c r="BP384" s="64">
        <f>IFERROR(1/J384*(Y384/H384),"0")</f>
        <v>0.40625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25.555555555555557</v>
      </c>
      <c r="Y387" s="549">
        <f>IFERROR(Y384/H384,"0")+IFERROR(Y385/H385,"0")+IFERROR(Y386/H386,"0")</f>
        <v>26</v>
      </c>
      <c r="Z387" s="549">
        <f>IFERROR(IF(Z384="",0,Z384),"0")+IFERROR(IF(Z385="",0,Z385),"0")+IFERROR(IF(Z386="",0,Z386),"0")</f>
        <v>0.49348000000000003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230</v>
      </c>
      <c r="Y388" s="549">
        <f>IFERROR(SUM(Y384:Y386),"0")</f>
        <v>234</v>
      </c>
      <c r="Z388" s="37"/>
      <c r="AA388" s="550"/>
      <c r="AB388" s="550"/>
      <c r="AC388" s="550"/>
    </row>
    <row r="389" spans="1:68" ht="27.75" hidden="1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hidden="1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hidden="1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50</v>
      </c>
      <c r="Y392" s="548">
        <f t="shared" ref="Y392:Y400" si="41">IFERROR(IF(X392="",0,CEILING((X392/$H392),1)*$H392),"")</f>
        <v>54</v>
      </c>
      <c r="Z392" s="36">
        <f>IFERROR(IF(Y392=0,"",ROUNDUP(Y392/H392,0)*0.00902),"")</f>
        <v>9.0200000000000002E-2</v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51.759259259259252</v>
      </c>
      <c r="BN392" s="64">
        <f t="shared" ref="BN392:BN400" si="43">IFERROR(Y392*I392/H392,"0")</f>
        <v>55.9</v>
      </c>
      <c r="BO392" s="64">
        <f t="shared" ref="BO392:BO400" si="44">IFERROR(1/J392*(X392/H392),"0")</f>
        <v>7.0145903479236812E-2</v>
      </c>
      <c r="BP392" s="64">
        <f t="shared" ref="BP392:BP400" si="45">IFERROR(1/J392*(Y392/H392),"0")</f>
        <v>7.575757575757576E-2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6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50</v>
      </c>
      <c r="Y394" s="548">
        <f t="shared" si="41"/>
        <v>54</v>
      </c>
      <c r="Z394" s="36">
        <f>IFERROR(IF(Y394=0,"",ROUNDUP(Y394/H394,0)*0.00902),"")</f>
        <v>9.0200000000000002E-2</v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51.759259259259252</v>
      </c>
      <c r="BN394" s="64">
        <f t="shared" si="43"/>
        <v>55.9</v>
      </c>
      <c r="BO394" s="64">
        <f t="shared" si="44"/>
        <v>7.0145903479236812E-2</v>
      </c>
      <c r="BP394" s="64">
        <f t="shared" si="45"/>
        <v>7.575757575757576E-2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18.518518518518519</v>
      </c>
      <c r="Y401" s="549">
        <f>IFERROR(Y392/H392,"0")+IFERROR(Y393/H393,"0")+IFERROR(Y394/H394,"0")+IFERROR(Y395/H395,"0")+IFERROR(Y396/H396,"0")+IFERROR(Y397/H397,"0")+IFERROR(Y398/H398,"0")+IFERROR(Y399/H399,"0")+IFERROR(Y400/H400,"0")</f>
        <v>20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0.1804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100</v>
      </c>
      <c r="Y402" s="549">
        <f>IFERROR(SUM(Y392:Y400),"0")</f>
        <v>108</v>
      </c>
      <c r="Z402" s="37"/>
      <c r="AA402" s="550"/>
      <c r="AB402" s="550"/>
      <c r="AC402" s="550"/>
    </row>
    <row r="403" spans="1:68" ht="14.25" hidden="1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hidden="1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hidden="1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hidden="1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4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hidden="1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hidden="1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200</v>
      </c>
      <c r="Y414" s="548">
        <f>IFERROR(IF(X414="",0,CEILING((X414/$H414),1)*$H414),"")</f>
        <v>205.20000000000002</v>
      </c>
      <c r="Z414" s="36">
        <f>IFERROR(IF(Y414=0,"",ROUNDUP(Y414/H414,0)*0.00902),"")</f>
        <v>0.34276000000000001</v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207.03703703703701</v>
      </c>
      <c r="BN414" s="64">
        <f>IFERROR(Y414*I414/H414,"0")</f>
        <v>212.42</v>
      </c>
      <c r="BO414" s="64">
        <f>IFERROR(1/J414*(X414/H414),"0")</f>
        <v>0.28058361391694725</v>
      </c>
      <c r="BP414" s="64">
        <f>IFERROR(1/J414*(Y414/H414),"0")</f>
        <v>0.2878787878787879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37.037037037037038</v>
      </c>
      <c r="Y418" s="549">
        <f>IFERROR(Y414/H414,"0")+IFERROR(Y415/H415,"0")+IFERROR(Y416/H416,"0")+IFERROR(Y417/H417,"0")</f>
        <v>38</v>
      </c>
      <c r="Z418" s="549">
        <f>IFERROR(IF(Z414="",0,Z414),"0")+IFERROR(IF(Z415="",0,Z415),"0")+IFERROR(IF(Z416="",0,Z416),"0")+IFERROR(IF(Z417="",0,Z417),"0")</f>
        <v>0.34276000000000001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200</v>
      </c>
      <c r="Y419" s="549">
        <f>IFERROR(SUM(Y414:Y417),"0")</f>
        <v>205.20000000000002</v>
      </c>
      <c r="Z419" s="37"/>
      <c r="AA419" s="550"/>
      <c r="AB419" s="550"/>
      <c r="AC419" s="550"/>
    </row>
    <row r="420" spans="1:68" ht="16.5" hidden="1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hidden="1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5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hidden="1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hidden="1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hidden="1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hidden="1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hidden="1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ref="Y428:Y439" si="47">IFERROR(IF(X428="",0,CEILING((X428/$H428),1)*$H428),"")</f>
        <v>0</v>
      </c>
      <c r="Z428" s="36" t="str">
        <f t="shared" ref="Z428:Z434" si="48">IFERROR(IF(Y428=0,"",ROUNDUP(Y428/H428,0)*0.01196),"")</f>
        <v/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0</v>
      </c>
      <c r="BN428" s="64">
        <f t="shared" ref="BN428:BN439" si="50">IFERROR(Y428*I428/H428,"0")</f>
        <v>0</v>
      </c>
      <c r="BO428" s="64">
        <f t="shared" ref="BO428:BO439" si="51">IFERROR(1/J428*(X428/H428),"0")</f>
        <v>0</v>
      </c>
      <c r="BP428" s="64">
        <f t="shared" ref="BP428:BP439" si="52">IFERROR(1/J428*(Y428/H428),"0")</f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120</v>
      </c>
      <c r="Y430" s="548">
        <f t="shared" si="47"/>
        <v>121.44000000000001</v>
      </c>
      <c r="Z430" s="36">
        <f t="shared" si="48"/>
        <v>0.27507999999999999</v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127.95454545454545</v>
      </c>
      <c r="BN430" s="64">
        <f t="shared" si="50"/>
        <v>129.49</v>
      </c>
      <c r="BO430" s="64">
        <f t="shared" si="51"/>
        <v>0.21853146853146854</v>
      </c>
      <c r="BP430" s="64">
        <f t="shared" si="52"/>
        <v>0.22115384615384617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74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120</v>
      </c>
      <c r="Y434" s="548">
        <f t="shared" si="47"/>
        <v>121.44000000000001</v>
      </c>
      <c r="Z434" s="36">
        <f t="shared" si="48"/>
        <v>0.27507999999999999</v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127.95454545454545</v>
      </c>
      <c r="BN434" s="64">
        <f t="shared" si="50"/>
        <v>129.49</v>
      </c>
      <c r="BO434" s="64">
        <f t="shared" si="51"/>
        <v>0.21853146853146854</v>
      </c>
      <c r="BP434" s="64">
        <f t="shared" si="52"/>
        <v>0.22115384615384617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4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2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45.454545454545453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46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0.55015999999999998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240</v>
      </c>
      <c r="Y441" s="549">
        <f>IFERROR(SUM(Y428:Y439),"0")</f>
        <v>242.88000000000002</v>
      </c>
      <c r="Z441" s="37"/>
      <c r="AA441" s="550"/>
      <c r="AB441" s="550"/>
      <c r="AC441" s="550"/>
    </row>
    <row r="442" spans="1:68" ht="14.25" hidden="1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5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60</v>
      </c>
      <c r="Y443" s="548">
        <f>IFERROR(IF(X443="",0,CEILING((X443/$H443),1)*$H443),"")</f>
        <v>63.36</v>
      </c>
      <c r="Z443" s="36">
        <f>IFERROR(IF(Y443=0,"",ROUNDUP(Y443/H443,0)*0.01196),"")</f>
        <v>0.14352000000000001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63.977272727272727</v>
      </c>
      <c r="BN443" s="64">
        <f>IFERROR(Y443*I443/H443,"0")</f>
        <v>67.559999999999988</v>
      </c>
      <c r="BO443" s="64">
        <f>IFERROR(1/J443*(X443/H443),"0")</f>
        <v>0.10926573426573427</v>
      </c>
      <c r="BP443" s="64">
        <f>IFERROR(1/J443*(Y443/H443),"0")</f>
        <v>0.11538461538461539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11.363636363636363</v>
      </c>
      <c r="Y446" s="549">
        <f>IFERROR(Y443/H443,"0")+IFERROR(Y444/H444,"0")+IFERROR(Y445/H445,"0")</f>
        <v>12</v>
      </c>
      <c r="Z446" s="549">
        <f>IFERROR(IF(Z443="",0,Z443),"0")+IFERROR(IF(Z444="",0,Z444),"0")+IFERROR(IF(Z445="",0,Z445),"0")</f>
        <v>0.14352000000000001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60</v>
      </c>
      <c r="Y447" s="549">
        <f>IFERROR(SUM(Y443:Y445),"0")</f>
        <v>63.36</v>
      </c>
      <c r="Z447" s="37"/>
      <c r="AA447" s="550"/>
      <c r="AB447" s="550"/>
      <c r="AC447" s="550"/>
    </row>
    <row r="448" spans="1:68" ht="14.25" hidden="1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90</v>
      </c>
      <c r="Y449" s="548">
        <f t="shared" ref="Y449:Y454" si="53">IFERROR(IF(X449="",0,CEILING((X449/$H449),1)*$H449),"")</f>
        <v>95.04</v>
      </c>
      <c r="Z449" s="36">
        <f>IFERROR(IF(Y449=0,"",ROUNDUP(Y449/H449,0)*0.01196),"")</f>
        <v>0.21528</v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95.965909090909079</v>
      </c>
      <c r="BN449" s="64">
        <f t="shared" ref="BN449:BN454" si="55">IFERROR(Y449*I449/H449,"0")</f>
        <v>101.33999999999999</v>
      </c>
      <c r="BO449" s="64">
        <f t="shared" ref="BO449:BO454" si="56">IFERROR(1/J449*(X449/H449),"0")</f>
        <v>0.16389860139860138</v>
      </c>
      <c r="BP449" s="64">
        <f t="shared" ref="BP449:BP454" si="57">IFERROR(1/J449*(Y449/H449),"0")</f>
        <v>0.17307692307692307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70</v>
      </c>
      <c r="Y450" s="548">
        <f t="shared" si="53"/>
        <v>73.92</v>
      </c>
      <c r="Z450" s="36">
        <f>IFERROR(IF(Y450=0,"",ROUNDUP(Y450/H450,0)*0.01196),"")</f>
        <v>0.16744000000000001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74.640151515151501</v>
      </c>
      <c r="BN450" s="64">
        <f t="shared" si="55"/>
        <v>78.819999999999993</v>
      </c>
      <c r="BO450" s="64">
        <f t="shared" si="56"/>
        <v>0.12747668997668998</v>
      </c>
      <c r="BP450" s="64">
        <f t="shared" si="57"/>
        <v>0.13461538461538464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60</v>
      </c>
      <c r="Y451" s="548">
        <f t="shared" si="53"/>
        <v>63.36</v>
      </c>
      <c r="Z451" s="36">
        <f>IFERROR(IF(Y451=0,"",ROUNDUP(Y451/H451,0)*0.01196),"")</f>
        <v>0.14352000000000001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63.977272727272727</v>
      </c>
      <c r="BN451" s="64">
        <f t="shared" si="55"/>
        <v>67.559999999999988</v>
      </c>
      <c r="BO451" s="64">
        <f t="shared" si="56"/>
        <v>0.10926573426573427</v>
      </c>
      <c r="BP451" s="64">
        <f t="shared" si="57"/>
        <v>0.11538461538461539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41.666666666666664</v>
      </c>
      <c r="Y455" s="549">
        <f>IFERROR(Y449/H449,"0")+IFERROR(Y450/H450,"0")+IFERROR(Y451/H451,"0")+IFERROR(Y452/H452,"0")+IFERROR(Y453/H453,"0")+IFERROR(Y454/H454,"0")</f>
        <v>44</v>
      </c>
      <c r="Z455" s="549">
        <f>IFERROR(IF(Z449="",0,Z449),"0")+IFERROR(IF(Z450="",0,Z450),"0")+IFERROR(IF(Z451="",0,Z451),"0")+IFERROR(IF(Z452="",0,Z452),"0")+IFERROR(IF(Z453="",0,Z453),"0")+IFERROR(IF(Z454="",0,Z454),"0")</f>
        <v>0.52624000000000004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220</v>
      </c>
      <c r="Y456" s="549">
        <f>IFERROR(SUM(Y449:Y454),"0")</f>
        <v>232.32</v>
      </c>
      <c r="Z456" s="37"/>
      <c r="AA456" s="550"/>
      <c r="AB456" s="550"/>
      <c r="AC456" s="550"/>
    </row>
    <row r="457" spans="1:68" ht="27.75" hidden="1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hidden="1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hidden="1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hidden="1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9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60</v>
      </c>
      <c r="Y462" s="548">
        <f>IFERROR(IF(X462="",0,CEILING((X462/$H462),1)*$H462),"")</f>
        <v>60</v>
      </c>
      <c r="Z462" s="36">
        <f>IFERROR(IF(Y462=0,"",ROUNDUP(Y462/H462,0)*0.01898),"")</f>
        <v>9.4899999999999998E-2</v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62.050000000000004</v>
      </c>
      <c r="BN462" s="64">
        <f>IFERROR(Y462*I462/H462,"0")</f>
        <v>62.050000000000004</v>
      </c>
      <c r="BO462" s="64">
        <f>IFERROR(1/J462*(X462/H462),"0")</f>
        <v>7.8125E-2</v>
      </c>
      <c r="BP462" s="64">
        <f>IFERROR(1/J462*(Y462/H462),"0")</f>
        <v>7.8125E-2</v>
      </c>
    </row>
    <row r="463" spans="1:68" ht="27" hidden="1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1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5</v>
      </c>
      <c r="Y464" s="549">
        <f>IFERROR(Y460/H460,"0")+IFERROR(Y461/H461,"0")+IFERROR(Y462/H462,"0")+IFERROR(Y463/H463,"0")</f>
        <v>5</v>
      </c>
      <c r="Z464" s="549">
        <f>IFERROR(IF(Z460="",0,Z460),"0")+IFERROR(IF(Z461="",0,Z461),"0")+IFERROR(IF(Z462="",0,Z462),"0")+IFERROR(IF(Z463="",0,Z463),"0")</f>
        <v>9.4899999999999998E-2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60</v>
      </c>
      <c r="Y465" s="549">
        <f>IFERROR(SUM(Y460:Y463),"0")</f>
        <v>60</v>
      </c>
      <c r="Z465" s="37"/>
      <c r="AA465" s="550"/>
      <c r="AB465" s="550"/>
      <c r="AC465" s="550"/>
    </row>
    <row r="466" spans="1:68" ht="14.25" hidden="1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hidden="1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4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56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hidden="1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hidden="1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60</v>
      </c>
      <c r="Y472" s="548">
        <f>IFERROR(IF(X472="",0,CEILING((X472/$H472),1)*$H472),"")</f>
        <v>62.4</v>
      </c>
      <c r="Z472" s="36">
        <f>IFERROR(IF(Y472=0,"",ROUNDUP(Y472/H472,0)*0.00902),"")</f>
        <v>0.11726</v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63.125</v>
      </c>
      <c r="BN472" s="64">
        <f>IFERROR(Y472*I472/H472,"0")</f>
        <v>65.650000000000006</v>
      </c>
      <c r="BO472" s="64">
        <f>IFERROR(1/J472*(X472/H472),"0")</f>
        <v>9.4696969696969696E-2</v>
      </c>
      <c r="BP472" s="64">
        <f>IFERROR(1/J472*(Y472/H472),"0")</f>
        <v>9.8484848484848481E-2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12.5</v>
      </c>
      <c r="Y473" s="549">
        <f>IFERROR(Y472/H472,"0")</f>
        <v>13</v>
      </c>
      <c r="Z473" s="549">
        <f>IFERROR(IF(Z472="",0,Z472),"0")</f>
        <v>0.11726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60</v>
      </c>
      <c r="Y474" s="549">
        <f>IFERROR(SUM(Y472:Y472),"0")</f>
        <v>62.4</v>
      </c>
      <c r="Z474" s="37"/>
      <c r="AA474" s="550"/>
      <c r="AB474" s="550"/>
      <c r="AC474" s="550"/>
    </row>
    <row r="475" spans="1:68" ht="14.25" hidden="1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hidden="1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0</v>
      </c>
      <c r="Y476" s="548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0</v>
      </c>
      <c r="Y477" s="549">
        <f>IFERROR(Y476/H476,"0")</f>
        <v>0</v>
      </c>
      <c r="Z477" s="549">
        <f>IFERROR(IF(Z476="",0,Z476),"0")</f>
        <v>0</v>
      </c>
      <c r="AA477" s="550"/>
      <c r="AB477" s="550"/>
      <c r="AC477" s="550"/>
    </row>
    <row r="478" spans="1:68" hidden="1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0</v>
      </c>
      <c r="Y478" s="549">
        <f>IFERROR(SUM(Y476:Y476),"0")</f>
        <v>0</v>
      </c>
      <c r="Z478" s="37"/>
      <c r="AA478" s="550"/>
      <c r="AB478" s="550"/>
      <c r="AC478" s="550"/>
    </row>
    <row r="479" spans="1:68" ht="14.25" hidden="1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hidden="1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8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hidden="1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hidden="1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hidden="1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hidden="1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hidden="1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62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20"/>
      <c r="P489" s="654" t="s">
        <v>744</v>
      </c>
      <c r="Q489" s="655"/>
      <c r="R489" s="655"/>
      <c r="S489" s="655"/>
      <c r="T489" s="655"/>
      <c r="U489" s="655"/>
      <c r="V489" s="656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17833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17976.520000000004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20"/>
      <c r="P490" s="654" t="s">
        <v>745</v>
      </c>
      <c r="Q490" s="655"/>
      <c r="R490" s="655"/>
      <c r="S490" s="655"/>
      <c r="T490" s="655"/>
      <c r="U490" s="655"/>
      <c r="V490" s="656"/>
      <c r="W490" s="37" t="s">
        <v>69</v>
      </c>
      <c r="X490" s="549">
        <f>IFERROR(SUM(BM22:BM486),"0")</f>
        <v>18614.604278109036</v>
      </c>
      <c r="Y490" s="549">
        <f>IFERROR(SUM(BN22:BN486),"0")</f>
        <v>18765.194000000014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20"/>
      <c r="P491" s="654" t="s">
        <v>746</v>
      </c>
      <c r="Q491" s="655"/>
      <c r="R491" s="655"/>
      <c r="S491" s="655"/>
      <c r="T491" s="655"/>
      <c r="U491" s="655"/>
      <c r="V491" s="656"/>
      <c r="W491" s="37" t="s">
        <v>747</v>
      </c>
      <c r="X491" s="38">
        <f>ROUNDUP(SUM(BO22:BO486),0)</f>
        <v>29</v>
      </c>
      <c r="Y491" s="38">
        <f>ROUNDUP(SUM(BP22:BP486),0)</f>
        <v>29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20"/>
      <c r="P492" s="654" t="s">
        <v>748</v>
      </c>
      <c r="Q492" s="655"/>
      <c r="R492" s="655"/>
      <c r="S492" s="655"/>
      <c r="T492" s="655"/>
      <c r="U492" s="655"/>
      <c r="V492" s="656"/>
      <c r="W492" s="37" t="s">
        <v>69</v>
      </c>
      <c r="X492" s="549">
        <f>GrossWeightTotal+PalletQtyTotal*25</f>
        <v>19339.604278109036</v>
      </c>
      <c r="Y492" s="549">
        <f>GrossWeightTotalR+PalletQtyTotalR*25</f>
        <v>19490.194000000014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20"/>
      <c r="P493" s="654" t="s">
        <v>749</v>
      </c>
      <c r="Q493" s="655"/>
      <c r="R493" s="655"/>
      <c r="S493" s="655"/>
      <c r="T493" s="655"/>
      <c r="U493" s="655"/>
      <c r="V493" s="656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1965.7053239383681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1987</v>
      </c>
      <c r="Z493" s="37"/>
      <c r="AA493" s="550"/>
      <c r="AB493" s="550"/>
      <c r="AC493" s="550"/>
    </row>
    <row r="494" spans="1:68" ht="14.25" hidden="1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20"/>
      <c r="P494" s="654" t="s">
        <v>750</v>
      </c>
      <c r="Q494" s="655"/>
      <c r="R494" s="655"/>
      <c r="S494" s="655"/>
      <c r="T494" s="655"/>
      <c r="U494" s="655"/>
      <c r="V494" s="656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32.742550000000008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599" t="s">
        <v>99</v>
      </c>
      <c r="D496" s="677"/>
      <c r="E496" s="677"/>
      <c r="F496" s="677"/>
      <c r="G496" s="677"/>
      <c r="H496" s="606"/>
      <c r="I496" s="599" t="s">
        <v>263</v>
      </c>
      <c r="J496" s="677"/>
      <c r="K496" s="677"/>
      <c r="L496" s="677"/>
      <c r="M496" s="677"/>
      <c r="N496" s="677"/>
      <c r="O496" s="677"/>
      <c r="P496" s="677"/>
      <c r="Q496" s="677"/>
      <c r="R496" s="606"/>
      <c r="S496" s="599" t="s">
        <v>553</v>
      </c>
      <c r="T496" s="606"/>
      <c r="U496" s="599" t="s">
        <v>607</v>
      </c>
      <c r="V496" s="677"/>
      <c r="W496" s="606"/>
      <c r="X496" s="544" t="s">
        <v>658</v>
      </c>
      <c r="Y496" s="599" t="s">
        <v>710</v>
      </c>
      <c r="Z496" s="606"/>
      <c r="AB496" s="52"/>
      <c r="AC496" s="52"/>
      <c r="AF496" s="545"/>
    </row>
    <row r="497" spans="1:32" ht="14.25" customHeight="1" thickTop="1" x14ac:dyDescent="0.2">
      <c r="A497" s="851" t="s">
        <v>753</v>
      </c>
      <c r="B497" s="599" t="s">
        <v>63</v>
      </c>
      <c r="C497" s="599" t="s">
        <v>100</v>
      </c>
      <c r="D497" s="599" t="s">
        <v>117</v>
      </c>
      <c r="E497" s="599" t="s">
        <v>168</v>
      </c>
      <c r="F497" s="599" t="s">
        <v>190</v>
      </c>
      <c r="G497" s="599" t="s">
        <v>227</v>
      </c>
      <c r="H497" s="599" t="s">
        <v>99</v>
      </c>
      <c r="I497" s="599" t="s">
        <v>264</v>
      </c>
      <c r="J497" s="599" t="s">
        <v>319</v>
      </c>
      <c r="K497" s="599" t="s">
        <v>379</v>
      </c>
      <c r="L497" s="599" t="s">
        <v>420</v>
      </c>
      <c r="M497" s="599" t="s">
        <v>436</v>
      </c>
      <c r="N497" s="545"/>
      <c r="O497" s="599" t="s">
        <v>447</v>
      </c>
      <c r="P497" s="599" t="s">
        <v>456</v>
      </c>
      <c r="Q497" s="599" t="s">
        <v>469</v>
      </c>
      <c r="R497" s="599" t="s">
        <v>543</v>
      </c>
      <c r="S497" s="599" t="s">
        <v>554</v>
      </c>
      <c r="T497" s="599" t="s">
        <v>589</v>
      </c>
      <c r="U497" s="599" t="s">
        <v>608</v>
      </c>
      <c r="V497" s="599" t="s">
        <v>639</v>
      </c>
      <c r="W497" s="599" t="s">
        <v>654</v>
      </c>
      <c r="X497" s="599" t="s">
        <v>658</v>
      </c>
      <c r="Y497" s="599" t="s">
        <v>710</v>
      </c>
      <c r="Z497" s="599" t="s">
        <v>740</v>
      </c>
      <c r="AB497" s="52"/>
      <c r="AC497" s="52"/>
      <c r="AF497" s="545"/>
    </row>
    <row r="498" spans="1:32" ht="13.5" customHeight="1" thickBot="1" x14ac:dyDescent="0.25">
      <c r="A498" s="852"/>
      <c r="B498" s="600"/>
      <c r="C498" s="600"/>
      <c r="D498" s="600"/>
      <c r="E498" s="600"/>
      <c r="F498" s="600"/>
      <c r="G498" s="600"/>
      <c r="H498" s="600"/>
      <c r="I498" s="600"/>
      <c r="J498" s="600"/>
      <c r="K498" s="600"/>
      <c r="L498" s="600"/>
      <c r="M498" s="600"/>
      <c r="N498" s="545"/>
      <c r="O498" s="600"/>
      <c r="P498" s="600"/>
      <c r="Q498" s="600"/>
      <c r="R498" s="600"/>
      <c r="S498" s="600"/>
      <c r="T498" s="600"/>
      <c r="U498" s="600"/>
      <c r="V498" s="600"/>
      <c r="W498" s="600"/>
      <c r="X498" s="600"/>
      <c r="Y498" s="600"/>
      <c r="Z498" s="600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54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796.20000000000016</v>
      </c>
      <c r="E499" s="46">
        <f>IFERROR(Y84*1,"0")+IFERROR(Y85*1,"0")+IFERROR(Y86*1,"0")+IFERROR(Y87*1,"0")+IFERROR(Y91*1,"0")+IFERROR(Y92*1,"0")+IFERROR(Y93*1,"0")+IFERROR(Y94*1,"0")</f>
        <v>10.8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273.60000000000002</v>
      </c>
      <c r="G499" s="46">
        <f>IFERROR(Y126*1,"0")+IFERROR(Y127*1,"0")+IFERROR(Y131*1,"0")+IFERROR(Y132*1,"0")+IFERROR(Y136*1,"0")+IFERROR(Y137*1,"0")</f>
        <v>128.56</v>
      </c>
      <c r="H499" s="46">
        <f>IFERROR(Y142*1,"0")+IFERROR(Y143*1,"0")+IFERROR(Y147*1,"0")+IFERROR(Y148*1,"0")+IFERROR(Y149*1,"0")+IFERROR(Y150*1,"0")+IFERROR(Y151*1,"0")+IFERROR(Y155*1,"0")</f>
        <v>42.6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84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1830.6000000000001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32.400000000000006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3988.8</v>
      </c>
      <c r="R499" s="46">
        <f>IFERROR(Y341*1,"0")+IFERROR(Y342*1,"0")+IFERROR(Y343*1,"0")</f>
        <v>72.899999999999991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9432</v>
      </c>
      <c r="T499" s="46">
        <f>IFERROR(Y374*1,"0")+IFERROR(Y375*1,"0")+IFERROR(Y379*1,"0")+IFERROR(Y380*1,"0")+IFERROR(Y384*1,"0")+IFERROR(Y385*1,"0")+IFERROR(Y386*1,"0")</f>
        <v>255.9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108</v>
      </c>
      <c r="V499" s="46">
        <f>IFERROR(Y410*1,"0")+IFERROR(Y414*1,"0")+IFERROR(Y415*1,"0")+IFERROR(Y416*1,"0")+IFERROR(Y417*1,"0")</f>
        <v>205.20000000000002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538.56000000000006</v>
      </c>
      <c r="Y499" s="46">
        <f>IFERROR(Y460*1,"0")+IFERROR(Y461*1,"0")+IFERROR(Y462*1,"0")+IFERROR(Y463*1,"0")+IFERROR(Y467*1,"0")+IFERROR(Y468*1,"0")+IFERROR(Y472*1,"0")+IFERROR(Y476*1,"0")+IFERROR(Y480*1,"0")+IFERROR(Y481*1,"0")</f>
        <v>122.4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 310,00"/>
        <filter val="1 965,71"/>
        <filter val="10,00"/>
        <filter val="100,00"/>
        <filter val="108,00"/>
        <filter val="11,36"/>
        <filter val="12,33"/>
        <filter val="12,50"/>
        <filter val="120,00"/>
        <filter val="13,00"/>
        <filter val="14,81"/>
        <filter val="144,00"/>
        <filter val="145,69"/>
        <filter val="150,00"/>
        <filter val="16,00"/>
        <filter val="16,43"/>
        <filter val="16,67"/>
        <filter val="160,00"/>
        <filter val="163,00"/>
        <filter val="17 833,00"/>
        <filter val="170,00"/>
        <filter val="18 614,60"/>
        <filter val="18,00"/>
        <filter val="18,52"/>
        <filter val="180,00"/>
        <filter val="19 339,60"/>
        <filter val="19,05"/>
        <filter val="2,78"/>
        <filter val="20,00"/>
        <filter val="200,00"/>
        <filter val="21,42"/>
        <filter val="21,56"/>
        <filter val="220,00"/>
        <filter val="230,00"/>
        <filter val="240,00"/>
        <filter val="242,59"/>
        <filter val="25,56"/>
        <filter val="270,00"/>
        <filter val="29"/>
        <filter val="3 450,00"/>
        <filter val="3,00"/>
        <filter val="3,79"/>
        <filter val="30,00"/>
        <filter val="300,00"/>
        <filter val="330,00"/>
        <filter val="37,04"/>
        <filter val="38,00"/>
        <filter val="4,57"/>
        <filter val="4,63"/>
        <filter val="4,76"/>
        <filter val="4,81"/>
        <filter val="40,84"/>
        <filter val="41,67"/>
        <filter val="442,31"/>
        <filter val="45,45"/>
        <filter val="46,00"/>
        <filter val="480,00"/>
        <filter val="5,00"/>
        <filter val="50,00"/>
        <filter val="516,67"/>
        <filter val="540,00"/>
        <filter val="57,41"/>
        <filter val="6 250,00"/>
        <filter val="6,41"/>
        <filter val="6,67"/>
        <filter val="60,00"/>
        <filter val="620,00"/>
        <filter val="69,00"/>
        <filter val="7 750,00"/>
        <filter val="70,00"/>
        <filter val="72,00"/>
        <filter val="750,00"/>
        <filter val="770,00"/>
        <filter val="8,00"/>
        <filter val="8,03"/>
        <filter val="8,64"/>
        <filter val="80,00"/>
        <filter val="84,00"/>
        <filter val="85,56"/>
        <filter val="9,26"/>
        <filter val="90,00"/>
      </filters>
    </filterColumn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A10:C10"/>
    <mergeCell ref="P126:T126"/>
    <mergeCell ref="P361:V361"/>
    <mergeCell ref="A413:Z413"/>
    <mergeCell ref="D17:E18"/>
    <mergeCell ref="X17:X18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P138:V138"/>
    <mergeCell ref="P151:T151"/>
    <mergeCell ref="P76:V76"/>
    <mergeCell ref="D395:E395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D78:E78"/>
    <mergeCell ref="P172:T172"/>
    <mergeCell ref="P432:T432"/>
    <mergeCell ref="A124:Z124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D87:E87"/>
    <mergeCell ref="D351:E351"/>
    <mergeCell ref="A287:O288"/>
    <mergeCell ref="P328:T328"/>
    <mergeCell ref="P384:T384"/>
    <mergeCell ref="A281:O282"/>
    <mergeCell ref="A378:Z378"/>
    <mergeCell ref="D205:E205"/>
    <mergeCell ref="A344:O345"/>
    <mergeCell ref="D310:E310"/>
    <mergeCell ref="P364:T364"/>
    <mergeCell ref="A245:O246"/>
    <mergeCell ref="A294:Z294"/>
    <mergeCell ref="D221:E221"/>
    <mergeCell ref="A370:O371"/>
    <mergeCell ref="A426:Z426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D53:E53"/>
    <mergeCell ref="P241:V241"/>
    <mergeCell ref="P62:T62"/>
    <mergeCell ref="D203:E203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D486:E486"/>
    <mergeCell ref="P86:T86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D431:E431"/>
    <mergeCell ref="D445:E445"/>
    <mergeCell ref="D301:E301"/>
    <mergeCell ref="A423:O424"/>
    <mergeCell ref="P232:T232"/>
    <mergeCell ref="P469:V469"/>
    <mergeCell ref="P449:T449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2026-01-27T09:24:33Z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