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9BFB41-AD4C-4F94-9391-A56B22905A4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Y469" i="1" s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Y361" i="1" s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O254" i="1"/>
  <c r="BM254" i="1"/>
  <c r="Y254" i="1"/>
  <c r="Z254" i="1" s="1"/>
  <c r="P254" i="1"/>
  <c r="BO253" i="1"/>
  <c r="BM253" i="1"/>
  <c r="Y253" i="1"/>
  <c r="BP253" i="1" s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O193" i="1"/>
  <c r="BM193" i="1"/>
  <c r="Y193" i="1"/>
  <c r="Y195" i="1" s="1"/>
  <c r="P193" i="1"/>
  <c r="X190" i="1"/>
  <c r="X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Y128" i="1" s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N85" i="1"/>
  <c r="BM85" i="1"/>
  <c r="Z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X491" i="1" s="1"/>
  <c r="BM22" i="1"/>
  <c r="Y22" i="1"/>
  <c r="P22" i="1"/>
  <c r="H10" i="1"/>
  <c r="A9" i="1"/>
  <c r="H9" i="1" s="1"/>
  <c r="D7" i="1"/>
  <c r="Q6" i="1"/>
  <c r="P2" i="1"/>
  <c r="BP170" i="1" l="1"/>
  <c r="BN170" i="1"/>
  <c r="Z170" i="1"/>
  <c r="BP199" i="1"/>
  <c r="BN199" i="1"/>
  <c r="Z199" i="1"/>
  <c r="BP221" i="1"/>
  <c r="BN221" i="1"/>
  <c r="Z221" i="1"/>
  <c r="BP279" i="1"/>
  <c r="BN279" i="1"/>
  <c r="Z279" i="1"/>
  <c r="BP309" i="1"/>
  <c r="BN309" i="1"/>
  <c r="Z309" i="1"/>
  <c r="BP342" i="1"/>
  <c r="BN342" i="1"/>
  <c r="Z342" i="1"/>
  <c r="BP393" i="1"/>
  <c r="BN393" i="1"/>
  <c r="Z393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Z23" i="1"/>
  <c r="BN23" i="1"/>
  <c r="X489" i="1"/>
  <c r="Z41" i="1"/>
  <c r="BN41" i="1"/>
  <c r="Z60" i="1"/>
  <c r="BN60" i="1"/>
  <c r="Z74" i="1"/>
  <c r="BN74" i="1"/>
  <c r="Z93" i="1"/>
  <c r="BN93" i="1"/>
  <c r="Z110" i="1"/>
  <c r="BN110" i="1"/>
  <c r="BP116" i="1"/>
  <c r="BN116" i="1"/>
  <c r="BP148" i="1"/>
  <c r="BN148" i="1"/>
  <c r="Z148" i="1"/>
  <c r="BP178" i="1"/>
  <c r="BN178" i="1"/>
  <c r="Z178" i="1"/>
  <c r="BP209" i="1"/>
  <c r="BN209" i="1"/>
  <c r="Z209" i="1"/>
  <c r="BP236" i="1"/>
  <c r="BN236" i="1"/>
  <c r="Z236" i="1"/>
  <c r="BP263" i="1"/>
  <c r="BN263" i="1"/>
  <c r="Z263" i="1"/>
  <c r="BP299" i="1"/>
  <c r="BN299" i="1"/>
  <c r="Z299" i="1"/>
  <c r="BP323" i="1"/>
  <c r="BN323" i="1"/>
  <c r="Z323" i="1"/>
  <c r="BP360" i="1"/>
  <c r="BN360" i="1"/>
  <c r="Z360" i="1"/>
  <c r="BP364" i="1"/>
  <c r="BN364" i="1"/>
  <c r="Z364" i="1"/>
  <c r="BP405" i="1"/>
  <c r="BN405" i="1"/>
  <c r="Z405" i="1"/>
  <c r="BP436" i="1"/>
  <c r="BN436" i="1"/>
  <c r="Z436" i="1"/>
  <c r="BP468" i="1"/>
  <c r="BN468" i="1"/>
  <c r="Z46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Y211" i="1"/>
  <c r="Y223" i="1"/>
  <c r="Y31" i="1"/>
  <c r="Z29" i="1"/>
  <c r="BN29" i="1"/>
  <c r="Z52" i="1"/>
  <c r="BN52" i="1"/>
  <c r="Z56" i="1"/>
  <c r="BN56" i="1"/>
  <c r="Z62" i="1"/>
  <c r="BN62" i="1"/>
  <c r="Y68" i="1"/>
  <c r="Z72" i="1"/>
  <c r="BN72" i="1"/>
  <c r="Z78" i="1"/>
  <c r="BN78" i="1"/>
  <c r="BP78" i="1"/>
  <c r="BP100" i="1"/>
  <c r="BN100" i="1"/>
  <c r="Z100" i="1"/>
  <c r="BP114" i="1"/>
  <c r="BN114" i="1"/>
  <c r="Z114" i="1"/>
  <c r="BP142" i="1"/>
  <c r="BN142" i="1"/>
  <c r="Z142" i="1"/>
  <c r="BP168" i="1"/>
  <c r="BN168" i="1"/>
  <c r="Z168" i="1"/>
  <c r="Y95" i="1"/>
  <c r="BP91" i="1"/>
  <c r="BN91" i="1"/>
  <c r="Z91" i="1"/>
  <c r="BP108" i="1"/>
  <c r="BN108" i="1"/>
  <c r="Z108" i="1"/>
  <c r="BP127" i="1"/>
  <c r="BN127" i="1"/>
  <c r="Z127" i="1"/>
  <c r="BP131" i="1"/>
  <c r="BN131" i="1"/>
  <c r="Z131" i="1"/>
  <c r="BP150" i="1"/>
  <c r="BN150" i="1"/>
  <c r="Z150" i="1"/>
  <c r="BP172" i="1"/>
  <c r="BN172" i="1"/>
  <c r="Z172" i="1"/>
  <c r="Y152" i="1"/>
  <c r="I499" i="1"/>
  <c r="Y180" i="1"/>
  <c r="Z176" i="1"/>
  <c r="BN176" i="1"/>
  <c r="Z182" i="1"/>
  <c r="BN182" i="1"/>
  <c r="BP182" i="1"/>
  <c r="Z188" i="1"/>
  <c r="Z189" i="1" s="1"/>
  <c r="BN188" i="1"/>
  <c r="BP188" i="1"/>
  <c r="Y189" i="1"/>
  <c r="Z193" i="1"/>
  <c r="BN193" i="1"/>
  <c r="BP193" i="1"/>
  <c r="Z203" i="1"/>
  <c r="BN203" i="1"/>
  <c r="BP203" i="1"/>
  <c r="Z207" i="1"/>
  <c r="BN207" i="1"/>
  <c r="Z215" i="1"/>
  <c r="BN215" i="1"/>
  <c r="Z219" i="1"/>
  <c r="BN219" i="1"/>
  <c r="Z227" i="1"/>
  <c r="BN227" i="1"/>
  <c r="Z234" i="1"/>
  <c r="BN234" i="1"/>
  <c r="Z238" i="1"/>
  <c r="BN238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BP254" i="1"/>
  <c r="BN254" i="1"/>
  <c r="BP261" i="1"/>
  <c r="BN261" i="1"/>
  <c r="Z261" i="1"/>
  <c r="BP272" i="1"/>
  <c r="BN272" i="1"/>
  <c r="Z27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4" i="1"/>
  <c r="BN354" i="1"/>
  <c r="Z354" i="1"/>
  <c r="BP385" i="1"/>
  <c r="BN385" i="1"/>
  <c r="Z385" i="1"/>
  <c r="BP399" i="1"/>
  <c r="BN399" i="1"/>
  <c r="Z399" i="1"/>
  <c r="BP417" i="1"/>
  <c r="BN417" i="1"/>
  <c r="Z417" i="1"/>
  <c r="BP434" i="1"/>
  <c r="BN434" i="1"/>
  <c r="Z434" i="1"/>
  <c r="BP450" i="1"/>
  <c r="BN450" i="1"/>
  <c r="Z450" i="1"/>
  <c r="BP462" i="1"/>
  <c r="BN462" i="1"/>
  <c r="Z462" i="1"/>
  <c r="BP265" i="1"/>
  <c r="BN265" i="1"/>
  <c r="Z265" i="1"/>
  <c r="BP286" i="1"/>
  <c r="BN286" i="1"/>
  <c r="Z286" i="1"/>
  <c r="BP301" i="1"/>
  <c r="BN301" i="1"/>
  <c r="Z301" i="1"/>
  <c r="BP315" i="1"/>
  <c r="BN315" i="1"/>
  <c r="Z315" i="1"/>
  <c r="Y331" i="1"/>
  <c r="BP327" i="1"/>
  <c r="BN327" i="1"/>
  <c r="Z327" i="1"/>
  <c r="BP350" i="1"/>
  <c r="BN350" i="1"/>
  <c r="Z350" i="1"/>
  <c r="BP375" i="1"/>
  <c r="BN375" i="1"/>
  <c r="Z375" i="1"/>
  <c r="BP395" i="1"/>
  <c r="BN395" i="1"/>
  <c r="Z395" i="1"/>
  <c r="Y411" i="1"/>
  <c r="BP410" i="1"/>
  <c r="BN410" i="1"/>
  <c r="Z410" i="1"/>
  <c r="Z411" i="1" s="1"/>
  <c r="BP414" i="1"/>
  <c r="BN414" i="1"/>
  <c r="Z414" i="1"/>
  <c r="BP430" i="1"/>
  <c r="BN430" i="1"/>
  <c r="Z430" i="1"/>
  <c r="BP438" i="1"/>
  <c r="BN438" i="1"/>
  <c r="Z438" i="1"/>
  <c r="BP454" i="1"/>
  <c r="BN454" i="1"/>
  <c r="Z454" i="1"/>
  <c r="Y292" i="1"/>
  <c r="Y381" i="1"/>
  <c r="X499" i="1"/>
  <c r="W499" i="1"/>
  <c r="Y25" i="1"/>
  <c r="BP22" i="1"/>
  <c r="BN22" i="1"/>
  <c r="Z22" i="1"/>
  <c r="Z24" i="1" s="1"/>
  <c r="B499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BP53" i="1"/>
  <c r="BN53" i="1"/>
  <c r="Z53" i="1"/>
  <c r="Y57" i="1"/>
  <c r="BP61" i="1"/>
  <c r="BN61" i="1"/>
  <c r="Z61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BP132" i="1"/>
  <c r="BN132" i="1"/>
  <c r="Z132" i="1"/>
  <c r="Y134" i="1"/>
  <c r="Y139" i="1"/>
  <c r="BP136" i="1"/>
  <c r="BN136" i="1"/>
  <c r="Z136" i="1"/>
  <c r="Z138" i="1" s="1"/>
  <c r="Y138" i="1"/>
  <c r="F10" i="1"/>
  <c r="J9" i="1"/>
  <c r="F9" i="1"/>
  <c r="A10" i="1"/>
  <c r="X490" i="1"/>
  <c r="X492" i="1" s="1"/>
  <c r="Y24" i="1"/>
  <c r="BP28" i="1"/>
  <c r="BN28" i="1"/>
  <c r="Z28" i="1"/>
  <c r="Z31" i="1" s="1"/>
  <c r="BP42" i="1"/>
  <c r="BN42" i="1"/>
  <c r="Z42" i="1"/>
  <c r="Y44" i="1"/>
  <c r="Y47" i="1"/>
  <c r="BP46" i="1"/>
  <c r="BN46" i="1"/>
  <c r="Z46" i="1"/>
  <c r="Z47" i="1" s="1"/>
  <c r="Y48" i="1"/>
  <c r="D499" i="1"/>
  <c r="Y58" i="1"/>
  <c r="BP51" i="1"/>
  <c r="BN51" i="1"/>
  <c r="Z51" i="1"/>
  <c r="Z57" i="1" s="1"/>
  <c r="BP55" i="1"/>
  <c r="BN55" i="1"/>
  <c r="Z55" i="1"/>
  <c r="Y64" i="1"/>
  <c r="Y63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9" i="1"/>
  <c r="Y89" i="1"/>
  <c r="BP84" i="1"/>
  <c r="BN84" i="1"/>
  <c r="Z84" i="1"/>
  <c r="Z88" i="1" s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19" i="1"/>
  <c r="Y122" i="1"/>
  <c r="BP121" i="1"/>
  <c r="BN121" i="1"/>
  <c r="Z121" i="1"/>
  <c r="Z122" i="1" s="1"/>
  <c r="Y123" i="1"/>
  <c r="G499" i="1"/>
  <c r="Y129" i="1"/>
  <c r="BP126" i="1"/>
  <c r="BN126" i="1"/>
  <c r="Z126" i="1"/>
  <c r="Z128" i="1" s="1"/>
  <c r="Y133" i="1"/>
  <c r="Y145" i="1"/>
  <c r="Y153" i="1"/>
  <c r="Y157" i="1"/>
  <c r="Y163" i="1"/>
  <c r="Y179" i="1"/>
  <c r="Y185" i="1"/>
  <c r="Y196" i="1"/>
  <c r="Y200" i="1"/>
  <c r="Y212" i="1"/>
  <c r="Y224" i="1"/>
  <c r="Y228" i="1"/>
  <c r="Y241" i="1"/>
  <c r="Y257" i="1"/>
  <c r="Y266" i="1"/>
  <c r="BP271" i="1"/>
  <c r="BN271" i="1"/>
  <c r="Z271" i="1"/>
  <c r="BP280" i="1"/>
  <c r="BN280" i="1"/>
  <c r="Z280" i="1"/>
  <c r="Y282" i="1"/>
  <c r="P499" i="1"/>
  <c r="Y288" i="1"/>
  <c r="BP285" i="1"/>
  <c r="BN285" i="1"/>
  <c r="Z285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BP330" i="1"/>
  <c r="BN330" i="1"/>
  <c r="Z330" i="1"/>
  <c r="Y332" i="1"/>
  <c r="Y337" i="1"/>
  <c r="BP334" i="1"/>
  <c r="BN334" i="1"/>
  <c r="Z334" i="1"/>
  <c r="BP343" i="1"/>
  <c r="BN343" i="1"/>
  <c r="Z343" i="1"/>
  <c r="Y345" i="1"/>
  <c r="Y356" i="1"/>
  <c r="BP349" i="1"/>
  <c r="BN349" i="1"/>
  <c r="Z349" i="1"/>
  <c r="BP353" i="1"/>
  <c r="BN353" i="1"/>
  <c r="Z353" i="1"/>
  <c r="BP365" i="1"/>
  <c r="BN365" i="1"/>
  <c r="Z365" i="1"/>
  <c r="Y367" i="1"/>
  <c r="Y370" i="1"/>
  <c r="BP369" i="1"/>
  <c r="BN369" i="1"/>
  <c r="Z369" i="1"/>
  <c r="Z370" i="1" s="1"/>
  <c r="Y371" i="1"/>
  <c r="T499" i="1"/>
  <c r="Y377" i="1"/>
  <c r="BP374" i="1"/>
  <c r="BN374" i="1"/>
  <c r="Z374" i="1"/>
  <c r="Z376" i="1" s="1"/>
  <c r="BP386" i="1"/>
  <c r="BN386" i="1"/>
  <c r="Z386" i="1"/>
  <c r="Y388" i="1"/>
  <c r="U499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J499" i="1"/>
  <c r="S499" i="1"/>
  <c r="X493" i="1"/>
  <c r="H499" i="1"/>
  <c r="Z143" i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BN183" i="1"/>
  <c r="Z194" i="1"/>
  <c r="Z195" i="1" s="1"/>
  <c r="BN194" i="1"/>
  <c r="Z198" i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9" i="1"/>
  <c r="Z233" i="1"/>
  <c r="BN233" i="1"/>
  <c r="Z235" i="1"/>
  <c r="BN235" i="1"/>
  <c r="Z237" i="1"/>
  <c r="BN237" i="1"/>
  <c r="Z239" i="1"/>
  <c r="BN239" i="1"/>
  <c r="Y242" i="1"/>
  <c r="Z253" i="1"/>
  <c r="BN253" i="1"/>
  <c r="Z255" i="1"/>
  <c r="BN255" i="1"/>
  <c r="L499" i="1"/>
  <c r="Y267" i="1"/>
  <c r="Z262" i="1"/>
  <c r="BN262" i="1"/>
  <c r="Z264" i="1"/>
  <c r="BN264" i="1"/>
  <c r="BP273" i="1"/>
  <c r="BN273" i="1"/>
  <c r="Z273" i="1"/>
  <c r="Y275" i="1"/>
  <c r="Y281" i="1"/>
  <c r="BP278" i="1"/>
  <c r="BN278" i="1"/>
  <c r="Z278" i="1"/>
  <c r="Y287" i="1"/>
  <c r="BP291" i="1"/>
  <c r="BN291" i="1"/>
  <c r="Z291" i="1"/>
  <c r="Z292" i="1" s="1"/>
  <c r="Y293" i="1"/>
  <c r="Q499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Y324" i="1"/>
  <c r="BP328" i="1"/>
  <c r="BN328" i="1"/>
  <c r="Z328" i="1"/>
  <c r="Z331" i="1" s="1"/>
  <c r="BP336" i="1"/>
  <c r="BN336" i="1"/>
  <c r="Z336" i="1"/>
  <c r="Y338" i="1"/>
  <c r="R499" i="1"/>
  <c r="Y344" i="1"/>
  <c r="BP341" i="1"/>
  <c r="BN341" i="1"/>
  <c r="Z341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Y366" i="1"/>
  <c r="Y376" i="1"/>
  <c r="BP380" i="1"/>
  <c r="BN380" i="1"/>
  <c r="Z380" i="1"/>
  <c r="Z381" i="1" s="1"/>
  <c r="Y382" i="1"/>
  <c r="Y387" i="1"/>
  <c r="BP384" i="1"/>
  <c r="BN384" i="1"/>
  <c r="Z384" i="1"/>
  <c r="Z387" i="1" s="1"/>
  <c r="BP394" i="1"/>
  <c r="BN394" i="1"/>
  <c r="Z394" i="1"/>
  <c r="BP398" i="1"/>
  <c r="BN398" i="1"/>
  <c r="Z398" i="1"/>
  <c r="Y406" i="1"/>
  <c r="BP415" i="1"/>
  <c r="BN415" i="1"/>
  <c r="Z415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1" i="1"/>
  <c r="BN461" i="1"/>
  <c r="Z461" i="1"/>
  <c r="Y499" i="1"/>
  <c r="Y465" i="1"/>
  <c r="BP481" i="1"/>
  <c r="BN481" i="1"/>
  <c r="Z481" i="1"/>
  <c r="Y483" i="1"/>
  <c r="Z499" i="1"/>
  <c r="Y487" i="1"/>
  <c r="BP486" i="1"/>
  <c r="BN486" i="1"/>
  <c r="Z486" i="1"/>
  <c r="Z487" i="1" s="1"/>
  <c r="Y488" i="1"/>
  <c r="O499" i="1"/>
  <c r="M499" i="1"/>
  <c r="Y274" i="1"/>
  <c r="V499" i="1"/>
  <c r="Y412" i="1"/>
  <c r="Y419" i="1"/>
  <c r="BP416" i="1"/>
  <c r="BN416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69" i="1" s="1"/>
  <c r="Y482" i="1"/>
  <c r="Y440" i="1"/>
  <c r="Z482" i="1" l="1"/>
  <c r="Z344" i="1"/>
  <c r="Z281" i="1"/>
  <c r="Z200" i="1"/>
  <c r="Z185" i="1"/>
  <c r="Z144" i="1"/>
  <c r="Z366" i="1"/>
  <c r="Z287" i="1"/>
  <c r="Z95" i="1"/>
  <c r="Z75" i="1"/>
  <c r="Z133" i="1"/>
  <c r="Z63" i="1"/>
  <c r="Z266" i="1"/>
  <c r="Z257" i="1"/>
  <c r="Z211" i="1"/>
  <c r="Z311" i="1"/>
  <c r="Z274" i="1"/>
  <c r="Z118" i="1"/>
  <c r="Z455" i="1"/>
  <c r="Z302" i="1"/>
  <c r="Z241" i="1"/>
  <c r="Z446" i="1"/>
  <c r="Z401" i="1"/>
  <c r="Z356" i="1"/>
  <c r="Z337" i="1"/>
  <c r="Y493" i="1"/>
  <c r="Z111" i="1"/>
  <c r="Z104" i="1"/>
  <c r="Y491" i="1"/>
  <c r="Z440" i="1"/>
  <c r="Z223" i="1"/>
  <c r="Z179" i="1"/>
  <c r="Z152" i="1"/>
  <c r="Z318" i="1"/>
  <c r="Z43" i="1"/>
  <c r="Y490" i="1"/>
  <c r="Y492" i="1" s="1"/>
  <c r="Y489" i="1"/>
  <c r="Z494" i="1" l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<sst xmlns="http://schemas.openxmlformats.org/spreadsheetml/2006/main" count="2343" uniqueCount="771">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</sst>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7" t="s">
        <v>8</v>
      </c>
      <c r="B5" s="656"/>
      <c r="C5" s="657"/>
      <c r="D5" s="636"/>
      <c r="E5" s="637"/>
      <c r="F5" s="830" t="s">
        <v>9</v>
      </c>
      <c r="G5" s="657"/>
      <c r="H5" s="636" t="s">
        <v>770</v>
      </c>
      <c r="I5" s="818"/>
      <c r="J5" s="818"/>
      <c r="K5" s="818"/>
      <c r="L5" s="818"/>
      <c r="M5" s="637"/>
      <c r="N5" s="58"/>
      <c r="P5" s="24" t="s">
        <v>10</v>
      </c>
      <c r="Q5" s="833">
        <v>46051</v>
      </c>
      <c r="R5" s="680"/>
      <c r="T5" s="720" t="s">
        <v>11</v>
      </c>
      <c r="U5" s="721"/>
      <c r="V5" s="727" t="s">
        <v>12</v>
      </c>
      <c r="W5" s="680"/>
      <c r="AB5" s="51"/>
      <c r="AC5" s="51"/>
      <c r="AD5" s="51"/>
      <c r="AE5" s="51"/>
    </row>
    <row r="6" spans="1:32" s="541" customFormat="1" ht="24" customHeight="1" x14ac:dyDescent="0.2">
      <c r="A6" s="677" t="s">
        <v>13</v>
      </c>
      <c r="B6" s="656"/>
      <c r="C6" s="657"/>
      <c r="D6" s="819" t="s">
        <v>14</v>
      </c>
      <c r="E6" s="820"/>
      <c r="F6" s="820"/>
      <c r="G6" s="820"/>
      <c r="H6" s="820"/>
      <c r="I6" s="820"/>
      <c r="J6" s="820"/>
      <c r="K6" s="820"/>
      <c r="L6" s="820"/>
      <c r="M6" s="680"/>
      <c r="N6" s="59"/>
      <c r="P6" s="24" t="s">
        <v>15</v>
      </c>
      <c r="Q6" s="834" t="str">
        <f>IF(Q5=0," ",CHOOSE(WEEKDAY(Q5,2),"Понедельник","Вторник","Среда","Четверг","Пятница","Суббота","Воскресенье"))</f>
        <v>Четверг</v>
      </c>
      <c r="R6" s="552"/>
      <c r="T6" s="730" t="s">
        <v>16</v>
      </c>
      <c r="U6" s="721"/>
      <c r="V6" s="767" t="s">
        <v>17</v>
      </c>
      <c r="W6" s="579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4" t="str">
        <f>IFERROR(VLOOKUP(DeliveryAddress,Table,3,0),1)</f>
        <v>1</v>
      </c>
      <c r="E7" s="615"/>
      <c r="F7" s="615"/>
      <c r="G7" s="615"/>
      <c r="H7" s="615"/>
      <c r="I7" s="615"/>
      <c r="J7" s="615"/>
      <c r="K7" s="615"/>
      <c r="L7" s="615"/>
      <c r="M7" s="616"/>
      <c r="N7" s="60"/>
      <c r="P7" s="24"/>
      <c r="Q7" s="42"/>
      <c r="R7" s="42"/>
      <c r="T7" s="554"/>
      <c r="U7" s="721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10" t="s">
        <v>18</v>
      </c>
      <c r="B8" s="557"/>
      <c r="C8" s="558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689">
        <v>0.5</v>
      </c>
      <c r="R8" s="616"/>
      <c r="T8" s="554"/>
      <c r="U8" s="721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6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49"/>
      <c r="E9" s="573"/>
      <c r="F9" s="6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72" t="str">
        <f>IF(AND($A$9="Тип доверенности/получателя при получении в адресе перегруза:",$D$9="Разовая доверенность"),"Введите ФИО","")</f>
        <v/>
      </c>
      <c r="I9" s="573"/>
      <c r="J9" s="5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3"/>
      <c r="L9" s="573"/>
      <c r="M9" s="573"/>
      <c r="N9" s="539"/>
      <c r="P9" s="26" t="s">
        <v>21</v>
      </c>
      <c r="Q9" s="646"/>
      <c r="R9" s="647"/>
      <c r="T9" s="554"/>
      <c r="U9" s="721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49"/>
      <c r="E10" s="573"/>
      <c r="F10" s="6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6" t="str">
        <f>IFERROR(VLOOKUP($D$10,Proxy,2,FALSE),"")</f>
        <v/>
      </c>
      <c r="I10" s="554"/>
      <c r="J10" s="554"/>
      <c r="K10" s="554"/>
      <c r="L10" s="554"/>
      <c r="M10" s="554"/>
      <c r="N10" s="540"/>
      <c r="P10" s="26" t="s">
        <v>22</v>
      </c>
      <c r="Q10" s="731"/>
      <c r="R10" s="732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9"/>
      <c r="R11" s="680"/>
      <c r="U11" s="24" t="s">
        <v>27</v>
      </c>
      <c r="V11" s="786" t="s">
        <v>28</v>
      </c>
      <c r="W11" s="647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9" t="s">
        <v>29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30</v>
      </c>
      <c r="Q12" s="689"/>
      <c r="R12" s="616"/>
      <c r="S12" s="23"/>
      <c r="U12" s="24"/>
      <c r="V12" s="588"/>
      <c r="W12" s="554"/>
      <c r="AB12" s="51"/>
      <c r="AC12" s="51"/>
      <c r="AD12" s="51"/>
      <c r="AE12" s="51"/>
    </row>
    <row r="13" spans="1:32" s="541" customFormat="1" ht="23.25" customHeight="1" x14ac:dyDescent="0.2">
      <c r="A13" s="709" t="s">
        <v>31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32</v>
      </c>
      <c r="Q13" s="786"/>
      <c r="R13" s="6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9" t="s">
        <v>33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9" t="s">
        <v>34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01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8" t="s">
        <v>36</v>
      </c>
      <c r="B17" s="598" t="s">
        <v>37</v>
      </c>
      <c r="C17" s="691" t="s">
        <v>38</v>
      </c>
      <c r="D17" s="598" t="s">
        <v>39</v>
      </c>
      <c r="E17" s="661"/>
      <c r="F17" s="598" t="s">
        <v>40</v>
      </c>
      <c r="G17" s="598" t="s">
        <v>41</v>
      </c>
      <c r="H17" s="598" t="s">
        <v>42</v>
      </c>
      <c r="I17" s="598" t="s">
        <v>43</v>
      </c>
      <c r="J17" s="598" t="s">
        <v>44</v>
      </c>
      <c r="K17" s="598" t="s">
        <v>45</v>
      </c>
      <c r="L17" s="598" t="s">
        <v>46</v>
      </c>
      <c r="M17" s="598" t="s">
        <v>47</v>
      </c>
      <c r="N17" s="598" t="s">
        <v>48</v>
      </c>
      <c r="O17" s="598" t="s">
        <v>49</v>
      </c>
      <c r="P17" s="598" t="s">
        <v>50</v>
      </c>
      <c r="Q17" s="660"/>
      <c r="R17" s="660"/>
      <c r="S17" s="660"/>
      <c r="T17" s="661"/>
      <c r="U17" s="835" t="s">
        <v>51</v>
      </c>
      <c r="V17" s="657"/>
      <c r="W17" s="598" t="s">
        <v>52</v>
      </c>
      <c r="X17" s="598" t="s">
        <v>53</v>
      </c>
      <c r="Y17" s="836" t="s">
        <v>54</v>
      </c>
      <c r="Z17" s="778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5"/>
      <c r="AF17" s="826"/>
      <c r="AG17" s="66"/>
      <c r="BD17" s="65" t="s">
        <v>60</v>
      </c>
    </row>
    <row r="18" spans="1:68" ht="14.25" customHeight="1" x14ac:dyDescent="0.2">
      <c r="A18" s="599"/>
      <c r="B18" s="599"/>
      <c r="C18" s="599"/>
      <c r="D18" s="662"/>
      <c r="E18" s="664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9"/>
      <c r="X18" s="599"/>
      <c r="Y18" s="837"/>
      <c r="Z18" s="779"/>
      <c r="AA18" s="755"/>
      <c r="AB18" s="755"/>
      <c r="AC18" s="755"/>
      <c r="AD18" s="827"/>
      <c r="AE18" s="828"/>
      <c r="AF18" s="829"/>
      <c r="AG18" s="66"/>
      <c r="BD18" s="65"/>
    </row>
    <row r="19" spans="1:68" ht="27.75" hidden="1" customHeight="1" x14ac:dyDescent="0.2">
      <c r="A19" s="712" t="s">
        <v>63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48"/>
      <c r="AB19" s="48"/>
      <c r="AC19" s="48"/>
    </row>
    <row r="20" spans="1:68" ht="16.5" hidden="1" customHeight="1" x14ac:dyDescent="0.25">
      <c r="A20" s="555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42"/>
      <c r="AB20" s="542"/>
      <c r="AC20" s="542"/>
    </row>
    <row r="21" spans="1:68" ht="14.25" hidden="1" customHeight="1" x14ac:dyDescent="0.25">
      <c r="A21" s="553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70"/>
      <c r="P24" s="556" t="s">
        <v>75</v>
      </c>
      <c r="Q24" s="557"/>
      <c r="R24" s="557"/>
      <c r="S24" s="557"/>
      <c r="T24" s="557"/>
      <c r="U24" s="557"/>
      <c r="V24" s="558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4"/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70"/>
      <c r="P25" s="556" t="s">
        <v>75</v>
      </c>
      <c r="Q25" s="557"/>
      <c r="R25" s="557"/>
      <c r="S25" s="557"/>
      <c r="T25" s="557"/>
      <c r="U25" s="557"/>
      <c r="V25" s="558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3" t="s">
        <v>77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9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70"/>
      <c r="P31" s="556" t="s">
        <v>75</v>
      </c>
      <c r="Q31" s="557"/>
      <c r="R31" s="557"/>
      <c r="S31" s="557"/>
      <c r="T31" s="557"/>
      <c r="U31" s="557"/>
      <c r="V31" s="558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70"/>
      <c r="P32" s="556" t="s">
        <v>75</v>
      </c>
      <c r="Q32" s="557"/>
      <c r="R32" s="557"/>
      <c r="S32" s="557"/>
      <c r="T32" s="557"/>
      <c r="U32" s="557"/>
      <c r="V32" s="558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53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1">
        <v>4607091388503</v>
      </c>
      <c r="E34" s="552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9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70"/>
      <c r="P35" s="556" t="s">
        <v>75</v>
      </c>
      <c r="Q35" s="557"/>
      <c r="R35" s="557"/>
      <c r="S35" s="557"/>
      <c r="T35" s="557"/>
      <c r="U35" s="557"/>
      <c r="V35" s="558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70"/>
      <c r="P36" s="556" t="s">
        <v>75</v>
      </c>
      <c r="Q36" s="557"/>
      <c r="R36" s="557"/>
      <c r="S36" s="557"/>
      <c r="T36" s="557"/>
      <c r="U36" s="557"/>
      <c r="V36" s="558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2" t="s">
        <v>99</v>
      </c>
      <c r="B37" s="713"/>
      <c r="C37" s="713"/>
      <c r="D37" s="713"/>
      <c r="E37" s="713"/>
      <c r="F37" s="713"/>
      <c r="G37" s="713"/>
      <c r="H37" s="713"/>
      <c r="I37" s="713"/>
      <c r="J37" s="713"/>
      <c r="K37" s="713"/>
      <c r="L37" s="713"/>
      <c r="M37" s="713"/>
      <c r="N37" s="713"/>
      <c r="O37" s="713"/>
      <c r="P37" s="713"/>
      <c r="Q37" s="713"/>
      <c r="R37" s="713"/>
      <c r="S37" s="713"/>
      <c r="T37" s="713"/>
      <c r="U37" s="713"/>
      <c r="V37" s="713"/>
      <c r="W37" s="713"/>
      <c r="X37" s="713"/>
      <c r="Y37" s="713"/>
      <c r="Z37" s="713"/>
      <c r="AA37" s="48"/>
      <c r="AB37" s="48"/>
      <c r="AC37" s="48"/>
    </row>
    <row r="38" spans="1:68" ht="16.5" hidden="1" customHeight="1" x14ac:dyDescent="0.25">
      <c r="A38" s="555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42"/>
      <c r="AB38" s="542"/>
      <c r="AC38" s="542"/>
    </row>
    <row r="39" spans="1:68" ht="14.25" hidden="1" customHeight="1" x14ac:dyDescent="0.25">
      <c r="A39" s="553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1">
        <v>4607091385670</v>
      </c>
      <c r="E40" s="552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7">
        <v>90</v>
      </c>
      <c r="Y40" s="548">
        <f>IFERROR(IF(X40="",0,CEILING((X40/$H40),1)*$H40),"")</f>
        <v>97.2</v>
      </c>
      <c r="Z40" s="36">
        <f>IFERROR(IF(Y40=0,"",ROUNDUP(Y40/H40,0)*0.01898),"")</f>
        <v>0.17082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93.416666666666671</v>
      </c>
      <c r="BN40" s="64">
        <f>IFERROR(Y40*I40/H40,"0")</f>
        <v>100.89</v>
      </c>
      <c r="BO40" s="64">
        <f>IFERROR(1/J40*(X40/H40),"0")</f>
        <v>0.13020833333333331</v>
      </c>
      <c r="BP40" s="64">
        <f>IFERROR(1/J40*(Y40/H40),"0")</f>
        <v>0.140625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1">
        <v>4680115882539</v>
      </c>
      <c r="E41" s="552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7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60"/>
      <c r="R41" s="560"/>
      <c r="S41" s="560"/>
      <c r="T41" s="561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1">
        <v>4607091385687</v>
      </c>
      <c r="E42" s="552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0"/>
      <c r="R42" s="560"/>
      <c r="S42" s="560"/>
      <c r="T42" s="561"/>
      <c r="U42" s="34"/>
      <c r="V42" s="34"/>
      <c r="W42" s="35" t="s">
        <v>69</v>
      </c>
      <c r="X42" s="547">
        <v>280</v>
      </c>
      <c r="Y42" s="548">
        <f>IFERROR(IF(X42="",0,CEILING((X42/$H42),1)*$H42),"")</f>
        <v>280</v>
      </c>
      <c r="Z42" s="36">
        <f>IFERROR(IF(Y42=0,"",ROUNDUP(Y42/H42,0)*0.00902),"")</f>
        <v>0.63139999999999996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293.3</v>
      </c>
      <c r="BN42" s="64">
        <f>IFERROR(Y42*I42/H42,"0")</f>
        <v>293.3</v>
      </c>
      <c r="BO42" s="64">
        <f>IFERROR(1/J42*(X42/H42),"0")</f>
        <v>0.53030303030303028</v>
      </c>
      <c r="BP42" s="64">
        <f>IFERROR(1/J42*(Y42/H42),"0")</f>
        <v>0.53030303030303028</v>
      </c>
    </row>
    <row r="43" spans="1:68" x14ac:dyDescent="0.2">
      <c r="A43" s="569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70"/>
      <c r="P43" s="556" t="s">
        <v>75</v>
      </c>
      <c r="Q43" s="557"/>
      <c r="R43" s="557"/>
      <c r="S43" s="557"/>
      <c r="T43" s="557"/>
      <c r="U43" s="557"/>
      <c r="V43" s="558"/>
      <c r="W43" s="37" t="s">
        <v>76</v>
      </c>
      <c r="X43" s="549">
        <f>IFERROR(X40/H40,"0")+IFERROR(X41/H41,"0")+IFERROR(X42/H42,"0")</f>
        <v>78.333333333333329</v>
      </c>
      <c r="Y43" s="549">
        <f>IFERROR(Y40/H40,"0")+IFERROR(Y41/H41,"0")+IFERROR(Y42/H42,"0")</f>
        <v>79</v>
      </c>
      <c r="Z43" s="549">
        <f>IFERROR(IF(Z40="",0,Z40),"0")+IFERROR(IF(Z41="",0,Z41),"0")+IFERROR(IF(Z42="",0,Z42),"0")</f>
        <v>0.80221999999999993</v>
      </c>
      <c r="AA43" s="550"/>
      <c r="AB43" s="550"/>
      <c r="AC43" s="550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70"/>
      <c r="P44" s="556" t="s">
        <v>75</v>
      </c>
      <c r="Q44" s="557"/>
      <c r="R44" s="557"/>
      <c r="S44" s="557"/>
      <c r="T44" s="557"/>
      <c r="U44" s="557"/>
      <c r="V44" s="558"/>
      <c r="W44" s="37" t="s">
        <v>69</v>
      </c>
      <c r="X44" s="549">
        <f>IFERROR(SUM(X40:X42),"0")</f>
        <v>370</v>
      </c>
      <c r="Y44" s="549">
        <f>IFERROR(SUM(Y40:Y42),"0")</f>
        <v>377.2</v>
      </c>
      <c r="Z44" s="37"/>
      <c r="AA44" s="550"/>
      <c r="AB44" s="550"/>
      <c r="AC44" s="550"/>
    </row>
    <row r="45" spans="1:68" ht="14.25" hidden="1" customHeight="1" x14ac:dyDescent="0.25">
      <c r="A45" s="553" t="s">
        <v>77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1">
        <v>4680115884915</v>
      </c>
      <c r="E46" s="552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9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70"/>
      <c r="P47" s="556" t="s">
        <v>75</v>
      </c>
      <c r="Q47" s="557"/>
      <c r="R47" s="557"/>
      <c r="S47" s="557"/>
      <c r="T47" s="557"/>
      <c r="U47" s="557"/>
      <c r="V47" s="558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70"/>
      <c r="P48" s="556" t="s">
        <v>75</v>
      </c>
      <c r="Q48" s="557"/>
      <c r="R48" s="557"/>
      <c r="S48" s="557"/>
      <c r="T48" s="557"/>
      <c r="U48" s="557"/>
      <c r="V48" s="558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55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42"/>
      <c r="AB49" s="542"/>
      <c r="AC49" s="542"/>
    </row>
    <row r="50" spans="1:68" ht="14.25" hidden="1" customHeight="1" x14ac:dyDescent="0.25">
      <c r="A50" s="553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1">
        <v>4680115885882</v>
      </c>
      <c r="E51" s="552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1">
        <v>4680115881426</v>
      </c>
      <c r="E52" s="552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7">
        <v>600</v>
      </c>
      <c r="Y52" s="548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1">
        <v>4680115880283</v>
      </c>
      <c r="E53" s="552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1">
        <v>4680115881525</v>
      </c>
      <c r="E54" s="552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1">
        <v>4680115885899</v>
      </c>
      <c r="E55" s="552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1">
        <v>4680115881419</v>
      </c>
      <c r="E56" s="552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7">
        <v>90</v>
      </c>
      <c r="Y56" s="548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69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70"/>
      <c r="P57" s="556" t="s">
        <v>75</v>
      </c>
      <c r="Q57" s="557"/>
      <c r="R57" s="557"/>
      <c r="S57" s="557"/>
      <c r="T57" s="557"/>
      <c r="U57" s="557"/>
      <c r="V57" s="558"/>
      <c r="W57" s="37" t="s">
        <v>76</v>
      </c>
      <c r="X57" s="549">
        <f>IFERROR(X51/H51,"0")+IFERROR(X52/H52,"0")+IFERROR(X53/H53,"0")+IFERROR(X54/H54,"0")+IFERROR(X55/H55,"0")+IFERROR(X56/H56,"0")</f>
        <v>75.555555555555543</v>
      </c>
      <c r="Y57" s="549">
        <f>IFERROR(Y51/H51,"0")+IFERROR(Y52/H52,"0")+IFERROR(Y53/H53,"0")+IFERROR(Y54/H54,"0")+IFERROR(Y55/H55,"0")+IFERROR(Y56/H56,"0")</f>
        <v>76</v>
      </c>
      <c r="Z57" s="549">
        <f>IFERROR(IF(Z51="",0,Z51),"0")+IFERROR(IF(Z52="",0,Z52),"0")+IFERROR(IF(Z53="",0,Z53),"0")+IFERROR(IF(Z54="",0,Z54),"0")+IFERROR(IF(Z55="",0,Z55),"0")+IFERROR(IF(Z56="",0,Z56),"0")</f>
        <v>1.2432799999999999</v>
      </c>
      <c r="AA57" s="550"/>
      <c r="AB57" s="550"/>
      <c r="AC57" s="550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70"/>
      <c r="P58" s="556" t="s">
        <v>75</v>
      </c>
      <c r="Q58" s="557"/>
      <c r="R58" s="557"/>
      <c r="S58" s="557"/>
      <c r="T58" s="557"/>
      <c r="U58" s="557"/>
      <c r="V58" s="558"/>
      <c r="W58" s="37" t="s">
        <v>69</v>
      </c>
      <c r="X58" s="549">
        <f>IFERROR(SUM(X51:X56),"0")</f>
        <v>690</v>
      </c>
      <c r="Y58" s="549">
        <f>IFERROR(SUM(Y51:Y56),"0")</f>
        <v>694.80000000000007</v>
      </c>
      <c r="Z58" s="37"/>
      <c r="AA58" s="550"/>
      <c r="AB58" s="550"/>
      <c r="AC58" s="550"/>
    </row>
    <row r="59" spans="1:68" ht="14.25" hidden="1" customHeight="1" x14ac:dyDescent="0.25">
      <c r="A59" s="553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1">
        <v>4680115881440</v>
      </c>
      <c r="E60" s="552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7">
        <v>100</v>
      </c>
      <c r="Y60" s="548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1">
        <v>4680115885950</v>
      </c>
      <c r="E61" s="552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1">
        <v>4680115881433</v>
      </c>
      <c r="E62" s="552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6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7">
        <v>67.5</v>
      </c>
      <c r="Y62" s="548">
        <f>IFERROR(IF(X62="",0,CEILING((X62/$H62),1)*$H62),"")</f>
        <v>67.5</v>
      </c>
      <c r="Z62" s="36">
        <f>IFERROR(IF(Y62=0,"",ROUNDUP(Y62/H62,0)*0.00651),"")</f>
        <v>0.16275000000000001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72</v>
      </c>
      <c r="BN62" s="64">
        <f>IFERROR(Y62*I62/H62,"0")</f>
        <v>72</v>
      </c>
      <c r="BO62" s="64">
        <f>IFERROR(1/J62*(X62/H62),"0")</f>
        <v>0.13736263736263737</v>
      </c>
      <c r="BP62" s="64">
        <f>IFERROR(1/J62*(Y62/H62),"0")</f>
        <v>0.13736263736263737</v>
      </c>
    </row>
    <row r="63" spans="1:68" x14ac:dyDescent="0.2">
      <c r="A63" s="569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70"/>
      <c r="P63" s="556" t="s">
        <v>75</v>
      </c>
      <c r="Q63" s="557"/>
      <c r="R63" s="557"/>
      <c r="S63" s="557"/>
      <c r="T63" s="557"/>
      <c r="U63" s="557"/>
      <c r="V63" s="558"/>
      <c r="W63" s="37" t="s">
        <v>76</v>
      </c>
      <c r="X63" s="549">
        <f>IFERROR(X60/H60,"0")+IFERROR(X61/H61,"0")+IFERROR(X62/H62,"0")</f>
        <v>34.25925925925926</v>
      </c>
      <c r="Y63" s="549">
        <f>IFERROR(Y60/H60,"0")+IFERROR(Y61/H61,"0")+IFERROR(Y62/H62,"0")</f>
        <v>35</v>
      </c>
      <c r="Z63" s="549">
        <f>IFERROR(IF(Z60="",0,Z60),"0")+IFERROR(IF(Z61="",0,Z61),"0")+IFERROR(IF(Z62="",0,Z62),"0")</f>
        <v>0.35255000000000003</v>
      </c>
      <c r="AA63" s="550"/>
      <c r="AB63" s="550"/>
      <c r="AC63" s="550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70"/>
      <c r="P64" s="556" t="s">
        <v>75</v>
      </c>
      <c r="Q64" s="557"/>
      <c r="R64" s="557"/>
      <c r="S64" s="557"/>
      <c r="T64" s="557"/>
      <c r="U64" s="557"/>
      <c r="V64" s="558"/>
      <c r="W64" s="37" t="s">
        <v>69</v>
      </c>
      <c r="X64" s="549">
        <f>IFERROR(SUM(X60:X62),"0")</f>
        <v>167.5</v>
      </c>
      <c r="Y64" s="549">
        <f>IFERROR(SUM(Y60:Y62),"0")</f>
        <v>175.5</v>
      </c>
      <c r="Z64" s="37"/>
      <c r="AA64" s="550"/>
      <c r="AB64" s="550"/>
      <c r="AC64" s="550"/>
    </row>
    <row r="65" spans="1:68" ht="14.25" hidden="1" customHeight="1" x14ac:dyDescent="0.25">
      <c r="A65" s="553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1">
        <v>4680115885073</v>
      </c>
      <c r="E66" s="552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1">
        <v>4680115885097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9"/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70"/>
      <c r="P68" s="556" t="s">
        <v>75</v>
      </c>
      <c r="Q68" s="557"/>
      <c r="R68" s="557"/>
      <c r="S68" s="557"/>
      <c r="T68" s="557"/>
      <c r="U68" s="557"/>
      <c r="V68" s="558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54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70"/>
      <c r="P69" s="556" t="s">
        <v>75</v>
      </c>
      <c r="Q69" s="557"/>
      <c r="R69" s="557"/>
      <c r="S69" s="557"/>
      <c r="T69" s="557"/>
      <c r="U69" s="557"/>
      <c r="V69" s="558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53" t="s">
        <v>77</v>
      </c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4"/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1">
        <v>4680115885769</v>
      </c>
      <c r="E71" s="552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1">
        <v>4680115884311</v>
      </c>
      <c r="E72" s="552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1">
        <v>4680115885929</v>
      </c>
      <c r="E73" s="552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1">
        <v>4680115884403</v>
      </c>
      <c r="E74" s="552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9"/>
      <c r="B75" s="554"/>
      <c r="C75" s="554"/>
      <c r="D75" s="554"/>
      <c r="E75" s="554"/>
      <c r="F75" s="554"/>
      <c r="G75" s="554"/>
      <c r="H75" s="554"/>
      <c r="I75" s="554"/>
      <c r="J75" s="554"/>
      <c r="K75" s="554"/>
      <c r="L75" s="554"/>
      <c r="M75" s="554"/>
      <c r="N75" s="554"/>
      <c r="O75" s="570"/>
      <c r="P75" s="556" t="s">
        <v>75</v>
      </c>
      <c r="Q75" s="557"/>
      <c r="R75" s="557"/>
      <c r="S75" s="557"/>
      <c r="T75" s="557"/>
      <c r="U75" s="557"/>
      <c r="V75" s="558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54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70"/>
      <c r="P76" s="556" t="s">
        <v>75</v>
      </c>
      <c r="Q76" s="557"/>
      <c r="R76" s="557"/>
      <c r="S76" s="557"/>
      <c r="T76" s="557"/>
      <c r="U76" s="557"/>
      <c r="V76" s="558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53" t="s">
        <v>161</v>
      </c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1">
        <v>4680115881532</v>
      </c>
      <c r="E78" s="552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1">
        <v>4680115881464</v>
      </c>
      <c r="E79" s="552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9"/>
      <c r="B80" s="554"/>
      <c r="C80" s="554"/>
      <c r="D80" s="554"/>
      <c r="E80" s="554"/>
      <c r="F80" s="554"/>
      <c r="G80" s="554"/>
      <c r="H80" s="554"/>
      <c r="I80" s="554"/>
      <c r="J80" s="554"/>
      <c r="K80" s="554"/>
      <c r="L80" s="554"/>
      <c r="M80" s="554"/>
      <c r="N80" s="554"/>
      <c r="O80" s="570"/>
      <c r="P80" s="556" t="s">
        <v>75</v>
      </c>
      <c r="Q80" s="557"/>
      <c r="R80" s="557"/>
      <c r="S80" s="557"/>
      <c r="T80" s="557"/>
      <c r="U80" s="557"/>
      <c r="V80" s="558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54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70"/>
      <c r="P81" s="556" t="s">
        <v>75</v>
      </c>
      <c r="Q81" s="557"/>
      <c r="R81" s="557"/>
      <c r="S81" s="557"/>
      <c r="T81" s="557"/>
      <c r="U81" s="557"/>
      <c r="V81" s="558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55" t="s">
        <v>168</v>
      </c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4"/>
      <c r="P82" s="554"/>
      <c r="Q82" s="554"/>
      <c r="R82" s="554"/>
      <c r="S82" s="554"/>
      <c r="T82" s="554"/>
      <c r="U82" s="554"/>
      <c r="V82" s="554"/>
      <c r="W82" s="554"/>
      <c r="X82" s="554"/>
      <c r="Y82" s="554"/>
      <c r="Z82" s="554"/>
      <c r="AA82" s="542"/>
      <c r="AB82" s="542"/>
      <c r="AC82" s="542"/>
    </row>
    <row r="83" spans="1:68" ht="14.25" hidden="1" customHeight="1" x14ac:dyDescent="0.25">
      <c r="A83" s="553" t="s">
        <v>101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1">
        <v>4680115881327</v>
      </c>
      <c r="E84" s="552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7">
        <v>20</v>
      </c>
      <c r="Y84" s="548">
        <f>IFERROR(IF(X84="",0,CEILING((X84/$H84),1)*$H84),"")</f>
        <v>21.6</v>
      </c>
      <c r="Z84" s="36">
        <f>IFERROR(IF(Y84=0,"",ROUNDUP(Y84/H84,0)*0.01898),"")</f>
        <v>3.7960000000000001E-2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20.75925925925926</v>
      </c>
      <c r="BN84" s="64">
        <f>IFERROR(Y84*I84/H84,"0")</f>
        <v>22.42</v>
      </c>
      <c r="BO84" s="64">
        <f>IFERROR(1/J84*(X84/H84),"0")</f>
        <v>2.8935185185185182E-2</v>
      </c>
      <c r="BP84" s="64">
        <f>IFERROR(1/J84*(Y84/H84),"0")</f>
        <v>3.125E-2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1">
        <v>4680115887732</v>
      </c>
      <c r="E85" s="552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1">
        <v>4680115881518</v>
      </c>
      <c r="E86" s="552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7">
        <v>252</v>
      </c>
      <c r="Y86" s="548">
        <f>IFERROR(IF(X86="",0,CEILING((X86/$H86),1)*$H86),"")</f>
        <v>252</v>
      </c>
      <c r="Z86" s="36">
        <f>IFERROR(IF(Y86=0,"",ROUNDUP(Y86/H86,0)*0.00902),"")</f>
        <v>0.56825999999999999</v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263.97000000000003</v>
      </c>
      <c r="BN86" s="64">
        <f>IFERROR(Y86*I86/H86,"0")</f>
        <v>263.97000000000003</v>
      </c>
      <c r="BO86" s="64">
        <f>IFERROR(1/J86*(X86/H86),"0")</f>
        <v>0.47727272727272729</v>
      </c>
      <c r="BP86" s="64">
        <f>IFERROR(1/J86*(Y86/H86),"0")</f>
        <v>0.47727272727272729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1">
        <v>4680115881303</v>
      </c>
      <c r="E87" s="552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9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70"/>
      <c r="P88" s="556" t="s">
        <v>75</v>
      </c>
      <c r="Q88" s="557"/>
      <c r="R88" s="557"/>
      <c r="S88" s="557"/>
      <c r="T88" s="557"/>
      <c r="U88" s="557"/>
      <c r="V88" s="558"/>
      <c r="W88" s="37" t="s">
        <v>76</v>
      </c>
      <c r="X88" s="549">
        <f>IFERROR(X84/H84,"0")+IFERROR(X85/H85,"0")+IFERROR(X86/H86,"0")+IFERROR(X87/H87,"0")</f>
        <v>64.851851851851848</v>
      </c>
      <c r="Y88" s="549">
        <f>IFERROR(Y84/H84,"0")+IFERROR(Y85/H85,"0")+IFERROR(Y86/H86,"0")+IFERROR(Y87/H87,"0")</f>
        <v>65</v>
      </c>
      <c r="Z88" s="549">
        <f>IFERROR(IF(Z84="",0,Z84),"0")+IFERROR(IF(Z85="",0,Z85),"0")+IFERROR(IF(Z86="",0,Z86),"0")+IFERROR(IF(Z87="",0,Z87),"0")</f>
        <v>0.60621999999999998</v>
      </c>
      <c r="AA88" s="550"/>
      <c r="AB88" s="550"/>
      <c r="AC88" s="550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70"/>
      <c r="P89" s="556" t="s">
        <v>75</v>
      </c>
      <c r="Q89" s="557"/>
      <c r="R89" s="557"/>
      <c r="S89" s="557"/>
      <c r="T89" s="557"/>
      <c r="U89" s="557"/>
      <c r="V89" s="558"/>
      <c r="W89" s="37" t="s">
        <v>69</v>
      </c>
      <c r="X89" s="549">
        <f>IFERROR(SUM(X84:X87),"0")</f>
        <v>272</v>
      </c>
      <c r="Y89" s="549">
        <f>IFERROR(SUM(Y84:Y87),"0")</f>
        <v>273.60000000000002</v>
      </c>
      <c r="Z89" s="37"/>
      <c r="AA89" s="550"/>
      <c r="AB89" s="550"/>
      <c r="AC89" s="550"/>
    </row>
    <row r="90" spans="1:68" ht="14.25" hidden="1" customHeight="1" x14ac:dyDescent="0.25">
      <c r="A90" s="553" t="s">
        <v>77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1">
        <v>4607091386967</v>
      </c>
      <c r="E91" s="552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7">
        <v>90</v>
      </c>
      <c r="Y91" s="548">
        <f>IFERROR(IF(X91="",0,CEILING((X91/$H91),1)*$H91),"")</f>
        <v>97.199999999999989</v>
      </c>
      <c r="Z91" s="36">
        <f>IFERROR(IF(Y91=0,"",ROUNDUP(Y91/H91,0)*0.01898),"")</f>
        <v>0.22776000000000002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95.48888888888888</v>
      </c>
      <c r="BN91" s="64">
        <f>IFERROR(Y91*I91/H91,"0")</f>
        <v>103.12799999999999</v>
      </c>
      <c r="BO91" s="64">
        <f>IFERROR(1/J91*(X91/H91),"0")</f>
        <v>0.1736111111111111</v>
      </c>
      <c r="BP91" s="64">
        <f>IFERROR(1/J91*(Y91/H91),"0")</f>
        <v>0.1875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1">
        <v>4680115884953</v>
      </c>
      <c r="E92" s="552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1">
        <v>4607091385731</v>
      </c>
      <c r="E93" s="552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7">
        <v>108</v>
      </c>
      <c r="Y93" s="548">
        <f>IFERROR(IF(X93="",0,CEILING((X93/$H93),1)*$H93),"")</f>
        <v>108</v>
      </c>
      <c r="Z93" s="36">
        <f>IFERROR(IF(Y93=0,"",ROUNDUP(Y93/H93,0)*0.00651),"")</f>
        <v>0.26040000000000002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118.07999999999998</v>
      </c>
      <c r="BN93" s="64">
        <f>IFERROR(Y93*I93/H93,"0")</f>
        <v>118.07999999999998</v>
      </c>
      <c r="BO93" s="64">
        <f>IFERROR(1/J93*(X93/H93),"0")</f>
        <v>0.2197802197802198</v>
      </c>
      <c r="BP93" s="64">
        <f>IFERROR(1/J93*(Y93/H93),"0")</f>
        <v>0.2197802197802198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1">
        <v>4680115880894</v>
      </c>
      <c r="E94" s="552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7">
        <v>79.2</v>
      </c>
      <c r="Y94" s="548">
        <f>IFERROR(IF(X94="",0,CEILING((X94/$H94),1)*$H94),"")</f>
        <v>79.2</v>
      </c>
      <c r="Z94" s="36">
        <f>IFERROR(IF(Y94=0,"",ROUNDUP(Y94/H94,0)*0.00651),"")</f>
        <v>0.26040000000000002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89.52000000000001</v>
      </c>
      <c r="BN94" s="64">
        <f>IFERROR(Y94*I94/H94,"0")</f>
        <v>89.52000000000001</v>
      </c>
      <c r="BO94" s="64">
        <f>IFERROR(1/J94*(X94/H94),"0")</f>
        <v>0.2197802197802198</v>
      </c>
      <c r="BP94" s="64">
        <f>IFERROR(1/J94*(Y94/H94),"0")</f>
        <v>0.2197802197802198</v>
      </c>
    </row>
    <row r="95" spans="1:68" x14ac:dyDescent="0.2">
      <c r="A95" s="569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70"/>
      <c r="P95" s="556" t="s">
        <v>75</v>
      </c>
      <c r="Q95" s="557"/>
      <c r="R95" s="557"/>
      <c r="S95" s="557"/>
      <c r="T95" s="557"/>
      <c r="U95" s="557"/>
      <c r="V95" s="558"/>
      <c r="W95" s="37" t="s">
        <v>76</v>
      </c>
      <c r="X95" s="549">
        <f>IFERROR(X91/H91,"0")+IFERROR(X92/H92,"0")+IFERROR(X93/H93,"0")+IFERROR(X94/H94,"0")</f>
        <v>91.111111111111114</v>
      </c>
      <c r="Y95" s="549">
        <f>IFERROR(Y91/H91,"0")+IFERROR(Y92/H92,"0")+IFERROR(Y93/H93,"0")+IFERROR(Y94/H94,"0")</f>
        <v>92</v>
      </c>
      <c r="Z95" s="549">
        <f>IFERROR(IF(Z91="",0,Z91),"0")+IFERROR(IF(Z92="",0,Z92),"0")+IFERROR(IF(Z93="",0,Z93),"0")+IFERROR(IF(Z94="",0,Z94),"0")</f>
        <v>0.74856000000000011</v>
      </c>
      <c r="AA95" s="550"/>
      <c r="AB95" s="550"/>
      <c r="AC95" s="550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70"/>
      <c r="P96" s="556" t="s">
        <v>75</v>
      </c>
      <c r="Q96" s="557"/>
      <c r="R96" s="557"/>
      <c r="S96" s="557"/>
      <c r="T96" s="557"/>
      <c r="U96" s="557"/>
      <c r="V96" s="558"/>
      <c r="W96" s="37" t="s">
        <v>69</v>
      </c>
      <c r="X96" s="549">
        <f>IFERROR(SUM(X91:X94),"0")</f>
        <v>277.2</v>
      </c>
      <c r="Y96" s="549">
        <f>IFERROR(SUM(Y91:Y94),"0")</f>
        <v>284.39999999999998</v>
      </c>
      <c r="Z96" s="37"/>
      <c r="AA96" s="550"/>
      <c r="AB96" s="550"/>
      <c r="AC96" s="550"/>
    </row>
    <row r="97" spans="1:68" ht="16.5" hidden="1" customHeight="1" x14ac:dyDescent="0.25">
      <c r="A97" s="555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42"/>
      <c r="AB97" s="542"/>
      <c r="AC97" s="542"/>
    </row>
    <row r="98" spans="1:68" ht="14.25" hidden="1" customHeight="1" x14ac:dyDescent="0.25">
      <c r="A98" s="553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1">
        <v>4680115882133</v>
      </c>
      <c r="E99" s="552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7">
        <v>30</v>
      </c>
      <c r="Y99" s="548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1">
        <v>4680115887718</v>
      </c>
      <c r="E100" s="552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1">
        <v>4680115880269</v>
      </c>
      <c r="E101" s="552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7">
        <v>105</v>
      </c>
      <c r="Y101" s="548">
        <f>IFERROR(IF(X101="",0,CEILING((X101/$H101),1)*$H101),"")</f>
        <v>105</v>
      </c>
      <c r="Z101" s="36">
        <f>IFERROR(IF(Y101=0,"",ROUNDUP(Y101/H101,0)*0.00902),"")</f>
        <v>0.25256000000000001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110.32</v>
      </c>
      <c r="BN101" s="64">
        <f>IFERROR(Y101*I101/H101,"0")</f>
        <v>110.32</v>
      </c>
      <c r="BO101" s="64">
        <f>IFERROR(1/J101*(X101/H101),"0")</f>
        <v>0.21212121212121213</v>
      </c>
      <c r="BP101" s="64">
        <f>IFERROR(1/J101*(Y101/H101),"0")</f>
        <v>0.21212121212121213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1">
        <v>4680115880429</v>
      </c>
      <c r="E102" s="552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7">
        <v>67.5</v>
      </c>
      <c r="Y102" s="548">
        <f>IFERROR(IF(X102="",0,CEILING((X102/$H102),1)*$H102),"")</f>
        <v>67.5</v>
      </c>
      <c r="Z102" s="36">
        <f>IFERROR(IF(Y102=0,"",ROUNDUP(Y102/H102,0)*0.00902),"")</f>
        <v>0.1353</v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70.350000000000009</v>
      </c>
      <c r="BN102" s="64">
        <f>IFERROR(Y102*I102/H102,"0")</f>
        <v>70.350000000000009</v>
      </c>
      <c r="BO102" s="64">
        <f>IFERROR(1/J102*(X102/H102),"0")</f>
        <v>0.11363636363636365</v>
      </c>
      <c r="BP102" s="64">
        <f>IFERROR(1/J102*(Y102/H102),"0")</f>
        <v>0.11363636363636365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1">
        <v>4680115881457</v>
      </c>
      <c r="E103" s="552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9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70"/>
      <c r="P104" s="556" t="s">
        <v>75</v>
      </c>
      <c r="Q104" s="557"/>
      <c r="R104" s="557"/>
      <c r="S104" s="557"/>
      <c r="T104" s="557"/>
      <c r="U104" s="557"/>
      <c r="V104" s="558"/>
      <c r="W104" s="37" t="s">
        <v>76</v>
      </c>
      <c r="X104" s="549">
        <f>IFERROR(X99/H99,"0")+IFERROR(X100/H100,"0")+IFERROR(X101/H101,"0")+IFERROR(X102/H102,"0")+IFERROR(X103/H103,"0")</f>
        <v>45.777777777777779</v>
      </c>
      <c r="Y104" s="549">
        <f>IFERROR(Y99/H99,"0")+IFERROR(Y100/H100,"0")+IFERROR(Y101/H101,"0")+IFERROR(Y102/H102,"0")+IFERROR(Y103/H103,"0")</f>
        <v>46</v>
      </c>
      <c r="Z104" s="549">
        <f>IFERROR(IF(Z99="",0,Z99),"0")+IFERROR(IF(Z100="",0,Z100),"0")+IFERROR(IF(Z101="",0,Z101),"0")+IFERROR(IF(Z102="",0,Z102),"0")+IFERROR(IF(Z103="",0,Z103),"0")</f>
        <v>0.44479999999999997</v>
      </c>
      <c r="AA104" s="550"/>
      <c r="AB104" s="550"/>
      <c r="AC104" s="550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70"/>
      <c r="P105" s="556" t="s">
        <v>75</v>
      </c>
      <c r="Q105" s="557"/>
      <c r="R105" s="557"/>
      <c r="S105" s="557"/>
      <c r="T105" s="557"/>
      <c r="U105" s="557"/>
      <c r="V105" s="558"/>
      <c r="W105" s="37" t="s">
        <v>69</v>
      </c>
      <c r="X105" s="549">
        <f>IFERROR(SUM(X99:X103),"0")</f>
        <v>202.5</v>
      </c>
      <c r="Y105" s="549">
        <f>IFERROR(SUM(Y99:Y103),"0")</f>
        <v>204.9</v>
      </c>
      <c r="Z105" s="37"/>
      <c r="AA105" s="550"/>
      <c r="AB105" s="550"/>
      <c r="AC105" s="550"/>
    </row>
    <row r="106" spans="1:68" ht="14.25" hidden="1" customHeight="1" x14ac:dyDescent="0.25">
      <c r="A106" s="553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1">
        <v>4680115881488</v>
      </c>
      <c r="E107" s="552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8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1">
        <v>4680115887664</v>
      </c>
      <c r="E108" s="552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1">
        <v>4680115882775</v>
      </c>
      <c r="E109" s="552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7">
        <v>12</v>
      </c>
      <c r="Y109" s="548">
        <f>IFERROR(IF(X109="",0,CEILING((X109/$H109),1)*$H109),"")</f>
        <v>12</v>
      </c>
      <c r="Z109" s="36">
        <f>IFERROR(IF(Y109=0,"",ROUNDUP(Y109/H109,0)*0.00502),"")</f>
        <v>2.5100000000000001E-2</v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12.5</v>
      </c>
      <c r="BN109" s="64">
        <f>IFERROR(Y109*I109/H109,"0")</f>
        <v>12.5</v>
      </c>
      <c r="BO109" s="64">
        <f>IFERROR(1/J109*(X109/H109),"0")</f>
        <v>2.1367521367521368E-2</v>
      </c>
      <c r="BP109" s="64">
        <f>IFERROR(1/J109*(Y109/H109),"0")</f>
        <v>2.1367521367521368E-2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1">
        <v>4680115880658</v>
      </c>
      <c r="E110" s="552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9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70"/>
      <c r="P111" s="556" t="s">
        <v>75</v>
      </c>
      <c r="Q111" s="557"/>
      <c r="R111" s="557"/>
      <c r="S111" s="557"/>
      <c r="T111" s="557"/>
      <c r="U111" s="557"/>
      <c r="V111" s="558"/>
      <c r="W111" s="37" t="s">
        <v>76</v>
      </c>
      <c r="X111" s="549">
        <f>IFERROR(X107/H107,"0")+IFERROR(X108/H108,"0")+IFERROR(X109/H109,"0")+IFERROR(X110/H110,"0")</f>
        <v>5</v>
      </c>
      <c r="Y111" s="549">
        <f>IFERROR(Y107/H107,"0")+IFERROR(Y108/H108,"0")+IFERROR(Y109/H109,"0")+IFERROR(Y110/H110,"0")</f>
        <v>5</v>
      </c>
      <c r="Z111" s="549">
        <f>IFERROR(IF(Z107="",0,Z107),"0")+IFERROR(IF(Z108="",0,Z108),"0")+IFERROR(IF(Z109="",0,Z109),"0")+IFERROR(IF(Z110="",0,Z110),"0")</f>
        <v>2.5100000000000001E-2</v>
      </c>
      <c r="AA111" s="550"/>
      <c r="AB111" s="550"/>
      <c r="AC111" s="550"/>
    </row>
    <row r="112" spans="1:68" x14ac:dyDescent="0.2">
      <c r="A112" s="554"/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70"/>
      <c r="P112" s="556" t="s">
        <v>75</v>
      </c>
      <c r="Q112" s="557"/>
      <c r="R112" s="557"/>
      <c r="S112" s="557"/>
      <c r="T112" s="557"/>
      <c r="U112" s="557"/>
      <c r="V112" s="558"/>
      <c r="W112" s="37" t="s">
        <v>69</v>
      </c>
      <c r="X112" s="549">
        <f>IFERROR(SUM(X107:X110),"0")</f>
        <v>12</v>
      </c>
      <c r="Y112" s="549">
        <f>IFERROR(SUM(Y107:Y110),"0")</f>
        <v>12</v>
      </c>
      <c r="Z112" s="37"/>
      <c r="AA112" s="550"/>
      <c r="AB112" s="550"/>
      <c r="AC112" s="550"/>
    </row>
    <row r="113" spans="1:68" ht="14.25" hidden="1" customHeight="1" x14ac:dyDescent="0.25">
      <c r="A113" s="553" t="s">
        <v>77</v>
      </c>
      <c r="B113" s="554"/>
      <c r="C113" s="554"/>
      <c r="D113" s="554"/>
      <c r="E113" s="554"/>
      <c r="F113" s="554"/>
      <c r="G113" s="554"/>
      <c r="H113" s="554"/>
      <c r="I113" s="554"/>
      <c r="J113" s="554"/>
      <c r="K113" s="554"/>
      <c r="L113" s="554"/>
      <c r="M113" s="554"/>
      <c r="N113" s="554"/>
      <c r="O113" s="554"/>
      <c r="P113" s="554"/>
      <c r="Q113" s="554"/>
      <c r="R113" s="554"/>
      <c r="S113" s="554"/>
      <c r="T113" s="554"/>
      <c r="U113" s="554"/>
      <c r="V113" s="554"/>
      <c r="W113" s="554"/>
      <c r="X113" s="554"/>
      <c r="Y113" s="554"/>
      <c r="Z113" s="554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1">
        <v>4607091385168</v>
      </c>
      <c r="E114" s="552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7">
        <v>250</v>
      </c>
      <c r="Y114" s="548">
        <f>IFERROR(IF(X114="",0,CEILING((X114/$H114),1)*$H114),"")</f>
        <v>251.1</v>
      </c>
      <c r="Z114" s="36">
        <f>IFERROR(IF(Y114=0,"",ROUNDUP(Y114/H114,0)*0.01898),"")</f>
        <v>0.58838000000000001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265.06172839506172</v>
      </c>
      <c r="BN114" s="64">
        <f>IFERROR(Y114*I114/H114,"0")</f>
        <v>266.22799999999995</v>
      </c>
      <c r="BO114" s="64">
        <f>IFERROR(1/J114*(X114/H114),"0")</f>
        <v>0.48225308641975312</v>
      </c>
      <c r="BP114" s="64">
        <f>IFERROR(1/J114*(Y114/H114),"0")</f>
        <v>0.484375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1">
        <v>4607091383256</v>
      </c>
      <c r="E115" s="552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7">
        <v>19.8</v>
      </c>
      <c r="Y115" s="548">
        <f>IFERROR(IF(X115="",0,CEILING((X115/$H115),1)*$H115),"")</f>
        <v>19.8</v>
      </c>
      <c r="Z115" s="36">
        <f>IFERROR(IF(Y115=0,"",ROUNDUP(Y115/H115,0)*0.00651),"")</f>
        <v>6.5100000000000005E-2</v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22.26</v>
      </c>
      <c r="BN115" s="64">
        <f>IFERROR(Y115*I115/H115,"0")</f>
        <v>22.26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1">
        <v>4607091385748</v>
      </c>
      <c r="E116" s="552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74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7">
        <v>54</v>
      </c>
      <c r="Y116" s="548">
        <f>IFERROR(IF(X116="",0,CEILING((X116/$H116),1)*$H116),"")</f>
        <v>54</v>
      </c>
      <c r="Z116" s="36">
        <f>IFERROR(IF(Y116=0,"",ROUNDUP(Y116/H116,0)*0.00651),"")</f>
        <v>0.13020000000000001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59.039999999999992</v>
      </c>
      <c r="BN116" s="64">
        <f>IFERROR(Y116*I116/H116,"0")</f>
        <v>59.039999999999992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1">
        <v>4680115884533</v>
      </c>
      <c r="E117" s="552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9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70"/>
      <c r="P118" s="556" t="s">
        <v>75</v>
      </c>
      <c r="Q118" s="557"/>
      <c r="R118" s="557"/>
      <c r="S118" s="557"/>
      <c r="T118" s="557"/>
      <c r="U118" s="557"/>
      <c r="V118" s="558"/>
      <c r="W118" s="37" t="s">
        <v>76</v>
      </c>
      <c r="X118" s="549">
        <f>IFERROR(X114/H114,"0")+IFERROR(X115/H115,"0")+IFERROR(X116/H116,"0")+IFERROR(X117/H117,"0")</f>
        <v>60.864197530864203</v>
      </c>
      <c r="Y118" s="549">
        <f>IFERROR(Y114/H114,"0")+IFERROR(Y115/H115,"0")+IFERROR(Y116/H116,"0")+IFERROR(Y117/H117,"0")</f>
        <v>61</v>
      </c>
      <c r="Z118" s="549">
        <f>IFERROR(IF(Z114="",0,Z114),"0")+IFERROR(IF(Z115="",0,Z115),"0")+IFERROR(IF(Z116="",0,Z116),"0")+IFERROR(IF(Z117="",0,Z117),"0")</f>
        <v>0.78368000000000004</v>
      </c>
      <c r="AA118" s="550"/>
      <c r="AB118" s="550"/>
      <c r="AC118" s="550"/>
    </row>
    <row r="119" spans="1:68" x14ac:dyDescent="0.2">
      <c r="A119" s="554"/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70"/>
      <c r="P119" s="556" t="s">
        <v>75</v>
      </c>
      <c r="Q119" s="557"/>
      <c r="R119" s="557"/>
      <c r="S119" s="557"/>
      <c r="T119" s="557"/>
      <c r="U119" s="557"/>
      <c r="V119" s="558"/>
      <c r="W119" s="37" t="s">
        <v>69</v>
      </c>
      <c r="X119" s="549">
        <f>IFERROR(SUM(X114:X117),"0")</f>
        <v>323.8</v>
      </c>
      <c r="Y119" s="549">
        <f>IFERROR(SUM(Y114:Y117),"0")</f>
        <v>324.89999999999998</v>
      </c>
      <c r="Z119" s="37"/>
      <c r="AA119" s="550"/>
      <c r="AB119" s="550"/>
      <c r="AC119" s="550"/>
    </row>
    <row r="120" spans="1:68" ht="14.25" hidden="1" customHeight="1" x14ac:dyDescent="0.25">
      <c r="A120" s="553" t="s">
        <v>161</v>
      </c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4"/>
      <c r="P120" s="554"/>
      <c r="Q120" s="554"/>
      <c r="R120" s="554"/>
      <c r="S120" s="554"/>
      <c r="T120" s="554"/>
      <c r="U120" s="554"/>
      <c r="V120" s="554"/>
      <c r="W120" s="554"/>
      <c r="X120" s="554"/>
      <c r="Y120" s="554"/>
      <c r="Z120" s="554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1">
        <v>4680115880238</v>
      </c>
      <c r="E121" s="552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9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70"/>
      <c r="P122" s="556" t="s">
        <v>75</v>
      </c>
      <c r="Q122" s="557"/>
      <c r="R122" s="557"/>
      <c r="S122" s="557"/>
      <c r="T122" s="557"/>
      <c r="U122" s="557"/>
      <c r="V122" s="558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54"/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70"/>
      <c r="P123" s="556" t="s">
        <v>75</v>
      </c>
      <c r="Q123" s="557"/>
      <c r="R123" s="557"/>
      <c r="S123" s="557"/>
      <c r="T123" s="557"/>
      <c r="U123" s="557"/>
      <c r="V123" s="558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55" t="s">
        <v>227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42"/>
      <c r="AB124" s="542"/>
      <c r="AC124" s="542"/>
    </row>
    <row r="125" spans="1:68" ht="14.25" hidden="1" customHeight="1" x14ac:dyDescent="0.25">
      <c r="A125" s="553" t="s">
        <v>101</v>
      </c>
      <c r="B125" s="554"/>
      <c r="C125" s="554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1">
        <v>4680115882577</v>
      </c>
      <c r="E126" s="552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0"/>
      <c r="R126" s="560"/>
      <c r="S126" s="560"/>
      <c r="T126" s="561"/>
      <c r="U126" s="34"/>
      <c r="V126" s="34"/>
      <c r="W126" s="35" t="s">
        <v>69</v>
      </c>
      <c r="X126" s="547">
        <v>48</v>
      </c>
      <c r="Y126" s="548">
        <f>IFERROR(IF(X126="",0,CEILING((X126/$H126),1)*$H126),"")</f>
        <v>48</v>
      </c>
      <c r="Z126" s="36">
        <f>IFERROR(IF(Y126=0,"",ROUNDUP(Y126/H126,0)*0.00651),"")</f>
        <v>9.7650000000000001E-2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50.7</v>
      </c>
      <c r="BN126" s="64">
        <f>IFERROR(Y126*I126/H126,"0")</f>
        <v>50.7</v>
      </c>
      <c r="BO126" s="64">
        <f>IFERROR(1/J126*(X126/H126),"0")</f>
        <v>8.241758241758243E-2</v>
      </c>
      <c r="BP126" s="64">
        <f>IFERROR(1/J126*(Y126/H126),"0")</f>
        <v>8.241758241758243E-2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1">
        <v>4680115882577</v>
      </c>
      <c r="E127" s="552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1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9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70"/>
      <c r="P128" s="556" t="s">
        <v>75</v>
      </c>
      <c r="Q128" s="557"/>
      <c r="R128" s="557"/>
      <c r="S128" s="557"/>
      <c r="T128" s="557"/>
      <c r="U128" s="557"/>
      <c r="V128" s="558"/>
      <c r="W128" s="37" t="s">
        <v>76</v>
      </c>
      <c r="X128" s="549">
        <f>IFERROR(X126/H126,"0")+IFERROR(X127/H127,"0")</f>
        <v>15</v>
      </c>
      <c r="Y128" s="549">
        <f>IFERROR(Y126/H126,"0")+IFERROR(Y127/H127,"0")</f>
        <v>15</v>
      </c>
      <c r="Z128" s="549">
        <f>IFERROR(IF(Z126="",0,Z126),"0")+IFERROR(IF(Z127="",0,Z127),"0")</f>
        <v>9.7650000000000001E-2</v>
      </c>
      <c r="AA128" s="550"/>
      <c r="AB128" s="550"/>
      <c r="AC128" s="550"/>
    </row>
    <row r="129" spans="1:68" x14ac:dyDescent="0.2">
      <c r="A129" s="554"/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70"/>
      <c r="P129" s="556" t="s">
        <v>75</v>
      </c>
      <c r="Q129" s="557"/>
      <c r="R129" s="557"/>
      <c r="S129" s="557"/>
      <c r="T129" s="557"/>
      <c r="U129" s="557"/>
      <c r="V129" s="558"/>
      <c r="W129" s="37" t="s">
        <v>69</v>
      </c>
      <c r="X129" s="549">
        <f>IFERROR(SUM(X126:X127),"0")</f>
        <v>48</v>
      </c>
      <c r="Y129" s="549">
        <f>IFERROR(SUM(Y126:Y127),"0")</f>
        <v>48</v>
      </c>
      <c r="Z129" s="37"/>
      <c r="AA129" s="550"/>
      <c r="AB129" s="550"/>
      <c r="AC129" s="550"/>
    </row>
    <row r="130" spans="1:68" ht="14.25" hidden="1" customHeight="1" x14ac:dyDescent="0.25">
      <c r="A130" s="553" t="s">
        <v>64</v>
      </c>
      <c r="B130" s="554"/>
      <c r="C130" s="554"/>
      <c r="D130" s="554"/>
      <c r="E130" s="554"/>
      <c r="F130" s="554"/>
      <c r="G130" s="554"/>
      <c r="H130" s="554"/>
      <c r="I130" s="554"/>
      <c r="J130" s="554"/>
      <c r="K130" s="554"/>
      <c r="L130" s="554"/>
      <c r="M130" s="554"/>
      <c r="N130" s="554"/>
      <c r="O130" s="554"/>
      <c r="P130" s="554"/>
      <c r="Q130" s="554"/>
      <c r="R130" s="554"/>
      <c r="S130" s="554"/>
      <c r="T130" s="554"/>
      <c r="U130" s="554"/>
      <c r="V130" s="554"/>
      <c r="W130" s="554"/>
      <c r="X130" s="554"/>
      <c r="Y130" s="554"/>
      <c r="Z130" s="554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1">
        <v>4680115883444</v>
      </c>
      <c r="E131" s="552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7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7">
        <v>50.4</v>
      </c>
      <c r="Y131" s="548">
        <f>IFERROR(IF(X131="",0,CEILING((X131/$H131),1)*$H131),"")</f>
        <v>50.4</v>
      </c>
      <c r="Z131" s="36">
        <f>IFERROR(IF(Y131=0,"",ROUNDUP(Y131/H131,0)*0.00651),"")</f>
        <v>0.11718000000000001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55.223999999999997</v>
      </c>
      <c r="BN131" s="64">
        <f>IFERROR(Y131*I131/H131,"0")</f>
        <v>55.223999999999997</v>
      </c>
      <c r="BO131" s="64">
        <f>IFERROR(1/J131*(X131/H131),"0")</f>
        <v>9.8901098901098911E-2</v>
      </c>
      <c r="BP131" s="64">
        <f>IFERROR(1/J131*(Y131/H131),"0")</f>
        <v>9.8901098901098911E-2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1">
        <v>4680115883444</v>
      </c>
      <c r="E132" s="552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9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70"/>
      <c r="P133" s="556" t="s">
        <v>75</v>
      </c>
      <c r="Q133" s="557"/>
      <c r="R133" s="557"/>
      <c r="S133" s="557"/>
      <c r="T133" s="557"/>
      <c r="U133" s="557"/>
      <c r="V133" s="558"/>
      <c r="W133" s="37" t="s">
        <v>76</v>
      </c>
      <c r="X133" s="549">
        <f>IFERROR(X131/H131,"0")+IFERROR(X132/H132,"0")</f>
        <v>18</v>
      </c>
      <c r="Y133" s="549">
        <f>IFERROR(Y131/H131,"0")+IFERROR(Y132/H132,"0")</f>
        <v>18</v>
      </c>
      <c r="Z133" s="549">
        <f>IFERROR(IF(Z131="",0,Z131),"0")+IFERROR(IF(Z132="",0,Z132),"0")</f>
        <v>0.11718000000000001</v>
      </c>
      <c r="AA133" s="550"/>
      <c r="AB133" s="550"/>
      <c r="AC133" s="550"/>
    </row>
    <row r="134" spans="1:68" x14ac:dyDescent="0.2">
      <c r="A134" s="554"/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70"/>
      <c r="P134" s="556" t="s">
        <v>75</v>
      </c>
      <c r="Q134" s="557"/>
      <c r="R134" s="557"/>
      <c r="S134" s="557"/>
      <c r="T134" s="557"/>
      <c r="U134" s="557"/>
      <c r="V134" s="558"/>
      <c r="W134" s="37" t="s">
        <v>69</v>
      </c>
      <c r="X134" s="549">
        <f>IFERROR(SUM(X131:X132),"0")</f>
        <v>50.4</v>
      </c>
      <c r="Y134" s="549">
        <f>IFERROR(SUM(Y131:Y132),"0")</f>
        <v>50.4</v>
      </c>
      <c r="Z134" s="37"/>
      <c r="AA134" s="550"/>
      <c r="AB134" s="550"/>
      <c r="AC134" s="550"/>
    </row>
    <row r="135" spans="1:68" ht="14.25" hidden="1" customHeight="1" x14ac:dyDescent="0.25">
      <c r="A135" s="553" t="s">
        <v>77</v>
      </c>
      <c r="B135" s="554"/>
      <c r="C135" s="554"/>
      <c r="D135" s="554"/>
      <c r="E135" s="554"/>
      <c r="F135" s="554"/>
      <c r="G135" s="554"/>
      <c r="H135" s="554"/>
      <c r="I135" s="554"/>
      <c r="J135" s="554"/>
      <c r="K135" s="554"/>
      <c r="L135" s="554"/>
      <c r="M135" s="554"/>
      <c r="N135" s="554"/>
      <c r="O135" s="554"/>
      <c r="P135" s="554"/>
      <c r="Q135" s="554"/>
      <c r="R135" s="554"/>
      <c r="S135" s="554"/>
      <c r="T135" s="554"/>
      <c r="U135" s="554"/>
      <c r="V135" s="554"/>
      <c r="W135" s="554"/>
      <c r="X135" s="554"/>
      <c r="Y135" s="554"/>
      <c r="Z135" s="554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1">
        <v>4680115882584</v>
      </c>
      <c r="E136" s="552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7">
        <v>66</v>
      </c>
      <c r="Y136" s="548">
        <f>IFERROR(IF(X136="",0,CEILING((X136/$H136),1)*$H136),"")</f>
        <v>66</v>
      </c>
      <c r="Z136" s="36">
        <f>IFERROR(IF(Y136=0,"",ROUNDUP(Y136/H136,0)*0.00651),"")</f>
        <v>0.16275000000000001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72.699999999999989</v>
      </c>
      <c r="BN136" s="64">
        <f>IFERROR(Y136*I136/H136,"0")</f>
        <v>72.699999999999989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1">
        <v>4680115882584</v>
      </c>
      <c r="E137" s="552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9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70"/>
      <c r="P138" s="556" t="s">
        <v>75</v>
      </c>
      <c r="Q138" s="557"/>
      <c r="R138" s="557"/>
      <c r="S138" s="557"/>
      <c r="T138" s="557"/>
      <c r="U138" s="557"/>
      <c r="V138" s="558"/>
      <c r="W138" s="37" t="s">
        <v>76</v>
      </c>
      <c r="X138" s="549">
        <f>IFERROR(X136/H136,"0")+IFERROR(X137/H137,"0")</f>
        <v>25</v>
      </c>
      <c r="Y138" s="549">
        <f>IFERROR(Y136/H136,"0")+IFERROR(Y137/H137,"0")</f>
        <v>25</v>
      </c>
      <c r="Z138" s="549">
        <f>IFERROR(IF(Z136="",0,Z136),"0")+IFERROR(IF(Z137="",0,Z137),"0")</f>
        <v>0.16275000000000001</v>
      </c>
      <c r="AA138" s="550"/>
      <c r="AB138" s="550"/>
      <c r="AC138" s="550"/>
    </row>
    <row r="139" spans="1:68" x14ac:dyDescent="0.2">
      <c r="A139" s="554"/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70"/>
      <c r="P139" s="556" t="s">
        <v>75</v>
      </c>
      <c r="Q139" s="557"/>
      <c r="R139" s="557"/>
      <c r="S139" s="557"/>
      <c r="T139" s="557"/>
      <c r="U139" s="557"/>
      <c r="V139" s="558"/>
      <c r="W139" s="37" t="s">
        <v>69</v>
      </c>
      <c r="X139" s="549">
        <f>IFERROR(SUM(X136:X137),"0")</f>
        <v>66</v>
      </c>
      <c r="Y139" s="549">
        <f>IFERROR(SUM(Y136:Y137),"0")</f>
        <v>66</v>
      </c>
      <c r="Z139" s="37"/>
      <c r="AA139" s="550"/>
      <c r="AB139" s="550"/>
      <c r="AC139" s="550"/>
    </row>
    <row r="140" spans="1:68" ht="16.5" hidden="1" customHeight="1" x14ac:dyDescent="0.25">
      <c r="A140" s="555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42"/>
      <c r="AB140" s="542"/>
      <c r="AC140" s="542"/>
    </row>
    <row r="141" spans="1:68" ht="14.25" hidden="1" customHeight="1" x14ac:dyDescent="0.25">
      <c r="A141" s="553" t="s">
        <v>101</v>
      </c>
      <c r="B141" s="554"/>
      <c r="C141" s="554"/>
      <c r="D141" s="554"/>
      <c r="E141" s="554"/>
      <c r="F141" s="554"/>
      <c r="G141" s="554"/>
      <c r="H141" s="554"/>
      <c r="I141" s="554"/>
      <c r="J141" s="554"/>
      <c r="K141" s="554"/>
      <c r="L141" s="554"/>
      <c r="M141" s="554"/>
      <c r="N141" s="554"/>
      <c r="O141" s="554"/>
      <c r="P141" s="554"/>
      <c r="Q141" s="554"/>
      <c r="R141" s="554"/>
      <c r="S141" s="554"/>
      <c r="T141" s="554"/>
      <c r="U141" s="554"/>
      <c r="V141" s="554"/>
      <c r="W141" s="554"/>
      <c r="X141" s="554"/>
      <c r="Y141" s="554"/>
      <c r="Z141" s="554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1">
        <v>4680115887374</v>
      </c>
      <c r="E142" s="552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1">
        <v>4607091384604</v>
      </c>
      <c r="E143" s="552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7">
        <v>112</v>
      </c>
      <c r="Y143" s="548">
        <f>IFERROR(IF(X143="",0,CEILING((X143/$H143),1)*$H143),"")</f>
        <v>112</v>
      </c>
      <c r="Z143" s="36">
        <f>IFERROR(IF(Y143=0,"",ROUNDUP(Y143/H143,0)*0.00902),"")</f>
        <v>0.25256000000000001</v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117.32000000000001</v>
      </c>
      <c r="BN143" s="64">
        <f>IFERROR(Y143*I143/H143,"0")</f>
        <v>117.32000000000001</v>
      </c>
      <c r="BO143" s="64">
        <f>IFERROR(1/J143*(X143/H143),"0")</f>
        <v>0.21212121212121213</v>
      </c>
      <c r="BP143" s="64">
        <f>IFERROR(1/J143*(Y143/H143),"0")</f>
        <v>0.21212121212121213</v>
      </c>
    </row>
    <row r="144" spans="1:68" x14ac:dyDescent="0.2">
      <c r="A144" s="569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70"/>
      <c r="P144" s="556" t="s">
        <v>75</v>
      </c>
      <c r="Q144" s="557"/>
      <c r="R144" s="557"/>
      <c r="S144" s="557"/>
      <c r="T144" s="557"/>
      <c r="U144" s="557"/>
      <c r="V144" s="558"/>
      <c r="W144" s="37" t="s">
        <v>76</v>
      </c>
      <c r="X144" s="549">
        <f>IFERROR(X142/H142,"0")+IFERROR(X143/H143,"0")</f>
        <v>28</v>
      </c>
      <c r="Y144" s="549">
        <f>IFERROR(Y142/H142,"0")+IFERROR(Y143/H143,"0")</f>
        <v>28</v>
      </c>
      <c r="Z144" s="549">
        <f>IFERROR(IF(Z142="",0,Z142),"0")+IFERROR(IF(Z143="",0,Z143),"0")</f>
        <v>0.25256000000000001</v>
      </c>
      <c r="AA144" s="550"/>
      <c r="AB144" s="550"/>
      <c r="AC144" s="550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70"/>
      <c r="P145" s="556" t="s">
        <v>75</v>
      </c>
      <c r="Q145" s="557"/>
      <c r="R145" s="557"/>
      <c r="S145" s="557"/>
      <c r="T145" s="557"/>
      <c r="U145" s="557"/>
      <c r="V145" s="558"/>
      <c r="W145" s="37" t="s">
        <v>69</v>
      </c>
      <c r="X145" s="549">
        <f>IFERROR(SUM(X142:X143),"0")</f>
        <v>112</v>
      </c>
      <c r="Y145" s="549">
        <f>IFERROR(SUM(Y142:Y143),"0")</f>
        <v>112</v>
      </c>
      <c r="Z145" s="37"/>
      <c r="AA145" s="550"/>
      <c r="AB145" s="550"/>
      <c r="AC145" s="550"/>
    </row>
    <row r="146" spans="1:68" ht="14.25" hidden="1" customHeight="1" x14ac:dyDescent="0.25">
      <c r="A146" s="553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1">
        <v>4680115887428</v>
      </c>
      <c r="E147" s="552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60"/>
      <c r="R147" s="560"/>
      <c r="S147" s="560"/>
      <c r="T147" s="561"/>
      <c r="U147" s="34"/>
      <c r="V147" s="34"/>
      <c r="W147" s="35" t="s">
        <v>69</v>
      </c>
      <c r="X147" s="547">
        <v>80</v>
      </c>
      <c r="Y147" s="548">
        <f>IFERROR(IF(X147="",0,CEILING((X147/$H147),1)*$H147),"")</f>
        <v>84</v>
      </c>
      <c r="Z147" s="36">
        <f>IFERROR(IF(Y147=0,"",ROUNDUP(Y147/H147,0)*0.00902),"")</f>
        <v>0.1804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83.619047619047606</v>
      </c>
      <c r="BN147" s="64">
        <f>IFERROR(Y147*I147/H147,"0")</f>
        <v>87.8</v>
      </c>
      <c r="BO147" s="64">
        <f>IFERROR(1/J147*(X147/H147),"0")</f>
        <v>0.14430014430014429</v>
      </c>
      <c r="BP147" s="64">
        <f>IFERROR(1/J147*(Y147/H147),"0")</f>
        <v>0.15151515151515152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1">
        <v>4607091387636</v>
      </c>
      <c r="E148" s="552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1">
        <v>4680115887336</v>
      </c>
      <c r="E149" s="552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1">
        <v>4607091382426</v>
      </c>
      <c r="E150" s="552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1">
        <v>4680115887398</v>
      </c>
      <c r="E151" s="552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2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9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70"/>
      <c r="P152" s="556" t="s">
        <v>75</v>
      </c>
      <c r="Q152" s="557"/>
      <c r="R152" s="557"/>
      <c r="S152" s="557"/>
      <c r="T152" s="557"/>
      <c r="U152" s="557"/>
      <c r="V152" s="558"/>
      <c r="W152" s="37" t="s">
        <v>76</v>
      </c>
      <c r="X152" s="549">
        <f>IFERROR(X147/H147,"0")+IFERROR(X148/H148,"0")+IFERROR(X149/H149,"0")+IFERROR(X150/H150,"0")+IFERROR(X151/H151,"0")</f>
        <v>19.047619047619047</v>
      </c>
      <c r="Y152" s="549">
        <f>IFERROR(Y147/H147,"0")+IFERROR(Y148/H148,"0")+IFERROR(Y149/H149,"0")+IFERROR(Y150/H150,"0")+IFERROR(Y151/H151,"0")</f>
        <v>20</v>
      </c>
      <c r="Z152" s="549">
        <f>IFERROR(IF(Z147="",0,Z147),"0")+IFERROR(IF(Z148="",0,Z148),"0")+IFERROR(IF(Z149="",0,Z149),"0")+IFERROR(IF(Z150="",0,Z150),"0")+IFERROR(IF(Z151="",0,Z151),"0")</f>
        <v>0.1804</v>
      </c>
      <c r="AA152" s="550"/>
      <c r="AB152" s="550"/>
      <c r="AC152" s="550"/>
    </row>
    <row r="153" spans="1:68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70"/>
      <c r="P153" s="556" t="s">
        <v>75</v>
      </c>
      <c r="Q153" s="557"/>
      <c r="R153" s="557"/>
      <c r="S153" s="557"/>
      <c r="T153" s="557"/>
      <c r="U153" s="557"/>
      <c r="V153" s="558"/>
      <c r="W153" s="37" t="s">
        <v>69</v>
      </c>
      <c r="X153" s="549">
        <f>IFERROR(SUM(X147:X151),"0")</f>
        <v>80</v>
      </c>
      <c r="Y153" s="549">
        <f>IFERROR(SUM(Y147:Y151),"0")</f>
        <v>84</v>
      </c>
      <c r="Z153" s="37"/>
      <c r="AA153" s="550"/>
      <c r="AB153" s="550"/>
      <c r="AC153" s="550"/>
    </row>
    <row r="154" spans="1:68" ht="14.25" hidden="1" customHeight="1" x14ac:dyDescent="0.25">
      <c r="A154" s="553" t="s">
        <v>77</v>
      </c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4"/>
      <c r="P154" s="554"/>
      <c r="Q154" s="554"/>
      <c r="R154" s="554"/>
      <c r="S154" s="554"/>
      <c r="T154" s="554"/>
      <c r="U154" s="554"/>
      <c r="V154" s="554"/>
      <c r="W154" s="554"/>
      <c r="X154" s="554"/>
      <c r="Y154" s="554"/>
      <c r="Z154" s="554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0"/>
      <c r="R155" s="560"/>
      <c r="S155" s="560"/>
      <c r="T155" s="561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9"/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70"/>
      <c r="P156" s="556" t="s">
        <v>75</v>
      </c>
      <c r="Q156" s="557"/>
      <c r="R156" s="557"/>
      <c r="S156" s="557"/>
      <c r="T156" s="557"/>
      <c r="U156" s="557"/>
      <c r="V156" s="558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4"/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70"/>
      <c r="P157" s="556" t="s">
        <v>75</v>
      </c>
      <c r="Q157" s="557"/>
      <c r="R157" s="557"/>
      <c r="S157" s="557"/>
      <c r="T157" s="557"/>
      <c r="U157" s="557"/>
      <c r="V157" s="558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2" t="s">
        <v>263</v>
      </c>
      <c r="B158" s="713"/>
      <c r="C158" s="713"/>
      <c r="D158" s="713"/>
      <c r="E158" s="713"/>
      <c r="F158" s="713"/>
      <c r="G158" s="713"/>
      <c r="H158" s="713"/>
      <c r="I158" s="713"/>
      <c r="J158" s="713"/>
      <c r="K158" s="713"/>
      <c r="L158" s="713"/>
      <c r="M158" s="713"/>
      <c r="N158" s="713"/>
      <c r="O158" s="713"/>
      <c r="P158" s="713"/>
      <c r="Q158" s="713"/>
      <c r="R158" s="713"/>
      <c r="S158" s="713"/>
      <c r="T158" s="713"/>
      <c r="U158" s="713"/>
      <c r="V158" s="713"/>
      <c r="W158" s="713"/>
      <c r="X158" s="713"/>
      <c r="Y158" s="713"/>
      <c r="Z158" s="713"/>
      <c r="AA158" s="48"/>
      <c r="AB158" s="48"/>
      <c r="AC158" s="48"/>
    </row>
    <row r="159" spans="1:68" ht="16.5" hidden="1" customHeight="1" x14ac:dyDescent="0.25">
      <c r="A159" s="555" t="s">
        <v>264</v>
      </c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4"/>
      <c r="P159" s="554"/>
      <c r="Q159" s="554"/>
      <c r="R159" s="554"/>
      <c r="S159" s="554"/>
      <c r="T159" s="554"/>
      <c r="U159" s="554"/>
      <c r="V159" s="554"/>
      <c r="W159" s="554"/>
      <c r="X159" s="554"/>
      <c r="Y159" s="554"/>
      <c r="Z159" s="554"/>
      <c r="AA159" s="542"/>
      <c r="AB159" s="542"/>
      <c r="AC159" s="542"/>
    </row>
    <row r="160" spans="1:68" ht="14.25" hidden="1" customHeight="1" x14ac:dyDescent="0.25">
      <c r="A160" s="553" t="s">
        <v>136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0"/>
      <c r="R161" s="560"/>
      <c r="S161" s="560"/>
      <c r="T161" s="561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9"/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70"/>
      <c r="P162" s="556" t="s">
        <v>75</v>
      </c>
      <c r="Q162" s="557"/>
      <c r="R162" s="557"/>
      <c r="S162" s="557"/>
      <c r="T162" s="557"/>
      <c r="U162" s="557"/>
      <c r="V162" s="558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4"/>
      <c r="B163" s="554"/>
      <c r="C163" s="554"/>
      <c r="D163" s="554"/>
      <c r="E163" s="554"/>
      <c r="F163" s="554"/>
      <c r="G163" s="554"/>
      <c r="H163" s="554"/>
      <c r="I163" s="554"/>
      <c r="J163" s="554"/>
      <c r="K163" s="554"/>
      <c r="L163" s="554"/>
      <c r="M163" s="554"/>
      <c r="N163" s="554"/>
      <c r="O163" s="570"/>
      <c r="P163" s="556" t="s">
        <v>75</v>
      </c>
      <c r="Q163" s="557"/>
      <c r="R163" s="557"/>
      <c r="S163" s="557"/>
      <c r="T163" s="557"/>
      <c r="U163" s="557"/>
      <c r="V163" s="558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3" t="s">
        <v>64</v>
      </c>
      <c r="B164" s="554"/>
      <c r="C164" s="554"/>
      <c r="D164" s="554"/>
      <c r="E164" s="554"/>
      <c r="F164" s="554"/>
      <c r="G164" s="554"/>
      <c r="H164" s="554"/>
      <c r="I164" s="554"/>
      <c r="J164" s="554"/>
      <c r="K164" s="554"/>
      <c r="L164" s="554"/>
      <c r="M164" s="554"/>
      <c r="N164" s="554"/>
      <c r="O164" s="554"/>
      <c r="P164" s="554"/>
      <c r="Q164" s="554"/>
      <c r="R164" s="554"/>
      <c r="S164" s="554"/>
      <c r="T164" s="554"/>
      <c r="U164" s="554"/>
      <c r="V164" s="554"/>
      <c r="W164" s="554"/>
      <c r="X164" s="554"/>
      <c r="Y164" s="554"/>
      <c r="Z164" s="554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1">
        <v>4680115880993</v>
      </c>
      <c r="E165" s="552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60"/>
      <c r="R165" s="560"/>
      <c r="S165" s="560"/>
      <c r="T165" s="561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1">
        <v>4680115881761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6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60"/>
      <c r="R166" s="560"/>
      <c r="S166" s="560"/>
      <c r="T166" s="561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1">
        <v>4680115881563</v>
      </c>
      <c r="E167" s="552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7">
        <v>20</v>
      </c>
      <c r="Y167" s="548">
        <f t="shared" si="5"/>
        <v>21</v>
      </c>
      <c r="Z167" s="36">
        <f>IFERROR(IF(Y167=0,"",ROUNDUP(Y167/H167,0)*0.00902),"")</f>
        <v>4.5100000000000001E-2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20.904761904761902</v>
      </c>
      <c r="BN167" s="64">
        <f t="shared" si="7"/>
        <v>21.95</v>
      </c>
      <c r="BO167" s="64">
        <f t="shared" si="8"/>
        <v>3.6075036075036072E-2</v>
      </c>
      <c r="BP167" s="64">
        <f t="shared" si="9"/>
        <v>3.787878787878788E-2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1">
        <v>4680115887565</v>
      </c>
      <c r="E168" s="552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60"/>
      <c r="R168" s="560"/>
      <c r="S168" s="560"/>
      <c r="T168" s="561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0"/>
      <c r="R169" s="560"/>
      <c r="S169" s="560"/>
      <c r="T169" s="561"/>
      <c r="U169" s="34"/>
      <c r="V169" s="34"/>
      <c r="W169" s="35" t="s">
        <v>69</v>
      </c>
      <c r="X169" s="547">
        <v>126</v>
      </c>
      <c r="Y169" s="548">
        <f t="shared" si="5"/>
        <v>126</v>
      </c>
      <c r="Z169" s="36">
        <f>IFERROR(IF(Y169=0,"",ROUNDUP(Y169/H169,0)*0.00502),"")</f>
        <v>0.30120000000000002</v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133.80000000000001</v>
      </c>
      <c r="BN169" s="64">
        <f t="shared" si="7"/>
        <v>133.80000000000001</v>
      </c>
      <c r="BO169" s="64">
        <f t="shared" si="8"/>
        <v>0.25641025641025644</v>
      </c>
      <c r="BP169" s="64">
        <f t="shared" si="9"/>
        <v>0.25641025641025644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0"/>
      <c r="R170" s="560"/>
      <c r="S170" s="560"/>
      <c r="T170" s="561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47">
        <v>74.900000000000006</v>
      </c>
      <c r="Y171" s="548">
        <f t="shared" si="5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79.536666666666676</v>
      </c>
      <c r="BN171" s="64">
        <f t="shared" si="7"/>
        <v>80.28</v>
      </c>
      <c r="BO171" s="64">
        <f t="shared" si="8"/>
        <v>0.15242165242165245</v>
      </c>
      <c r="BP171" s="64">
        <f t="shared" si="9"/>
        <v>0.15384615384615385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1">
        <v>4680115887824</v>
      </c>
      <c r="E172" s="552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1">
        <v>4680115887701</v>
      </c>
      <c r="E173" s="552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1">
        <v>4680115886537</v>
      </c>
      <c r="E174" s="552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1">
        <v>4680115887596</v>
      </c>
      <c r="E175" s="552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1">
        <v>4680115881679</v>
      </c>
      <c r="E176" s="552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0"/>
      <c r="R176" s="560"/>
      <c r="S176" s="560"/>
      <c r="T176" s="561"/>
      <c r="U176" s="34"/>
      <c r="V176" s="34"/>
      <c r="W176" s="35" t="s">
        <v>69</v>
      </c>
      <c r="X176" s="547">
        <v>94.5</v>
      </c>
      <c r="Y176" s="548">
        <f t="shared" si="5"/>
        <v>94.5</v>
      </c>
      <c r="Z176" s="36">
        <f>IFERROR(IF(Y176=0,"",ROUNDUP(Y176/H176,0)*0.00502),"")</f>
        <v>0.22590000000000002</v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99</v>
      </c>
      <c r="BN176" s="64">
        <f t="shared" si="7"/>
        <v>99</v>
      </c>
      <c r="BO176" s="64">
        <f t="shared" si="8"/>
        <v>0.19230769230769232</v>
      </c>
      <c r="BP176" s="64">
        <f t="shared" si="9"/>
        <v>0.19230769230769232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1">
        <v>4680115880191</v>
      </c>
      <c r="E177" s="552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8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1">
        <v>4680115883963</v>
      </c>
      <c r="E178" s="552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79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0"/>
      <c r="R178" s="560"/>
      <c r="S178" s="560"/>
      <c r="T178" s="561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9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70"/>
      <c r="P179" s="556" t="s">
        <v>75</v>
      </c>
      <c r="Q179" s="557"/>
      <c r="R179" s="557"/>
      <c r="S179" s="557"/>
      <c r="T179" s="557"/>
      <c r="U179" s="557"/>
      <c r="V179" s="558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145.42857142857144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146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0.75292000000000003</v>
      </c>
      <c r="AA179" s="550"/>
      <c r="AB179" s="550"/>
      <c r="AC179" s="550"/>
    </row>
    <row r="180" spans="1:68" x14ac:dyDescent="0.2">
      <c r="A180" s="554"/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70"/>
      <c r="P180" s="556" t="s">
        <v>75</v>
      </c>
      <c r="Q180" s="557"/>
      <c r="R180" s="557"/>
      <c r="S180" s="557"/>
      <c r="T180" s="557"/>
      <c r="U180" s="557"/>
      <c r="V180" s="558"/>
      <c r="W180" s="37" t="s">
        <v>69</v>
      </c>
      <c r="X180" s="549">
        <f>IFERROR(SUM(X165:X178),"0")</f>
        <v>315.39999999999998</v>
      </c>
      <c r="Y180" s="549">
        <f>IFERROR(SUM(Y165:Y178),"0")</f>
        <v>317.10000000000002</v>
      </c>
      <c r="Z180" s="37"/>
      <c r="AA180" s="550"/>
      <c r="AB180" s="550"/>
      <c r="AC180" s="550"/>
    </row>
    <row r="181" spans="1:68" ht="14.25" hidden="1" customHeight="1" x14ac:dyDescent="0.25">
      <c r="A181" s="553" t="s">
        <v>93</v>
      </c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4"/>
      <c r="P181" s="554"/>
      <c r="Q181" s="554"/>
      <c r="R181" s="554"/>
      <c r="S181" s="554"/>
      <c r="T181" s="554"/>
      <c r="U181" s="554"/>
      <c r="V181" s="554"/>
      <c r="W181" s="554"/>
      <c r="X181" s="554"/>
      <c r="Y181" s="554"/>
      <c r="Z181" s="554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1">
        <v>4680115886780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0"/>
      <c r="R182" s="560"/>
      <c r="S182" s="560"/>
      <c r="T182" s="561"/>
      <c r="U182" s="34"/>
      <c r="V182" s="34"/>
      <c r="W182" s="35" t="s">
        <v>69</v>
      </c>
      <c r="X182" s="547">
        <v>6.3</v>
      </c>
      <c r="Y182" s="548">
        <f>IFERROR(IF(X182="",0,CEILING((X182/$H182),1)*$H182),"")</f>
        <v>6.3</v>
      </c>
      <c r="Z182" s="36">
        <f>IFERROR(IF(Y182=0,"",ROUNDUP(Y182/H182,0)*0.0059),"")</f>
        <v>2.9499999999999998E-2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7.25</v>
      </c>
      <c r="BN182" s="64">
        <f>IFERROR(Y182*I182/H182,"0")</f>
        <v>7.25</v>
      </c>
      <c r="BO182" s="64">
        <f>IFERROR(1/J182*(X182/H182),"0")</f>
        <v>2.3148148148148147E-2</v>
      </c>
      <c r="BP182" s="64">
        <f>IFERROR(1/J182*(Y182/H182),"0")</f>
        <v>2.3148148148148147E-2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1">
        <v>4680115886742</v>
      </c>
      <c r="E183" s="552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9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1">
        <v>4680115886766</v>
      </c>
      <c r="E184" s="552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70"/>
      <c r="P185" s="556" t="s">
        <v>75</v>
      </c>
      <c r="Q185" s="557"/>
      <c r="R185" s="557"/>
      <c r="S185" s="557"/>
      <c r="T185" s="557"/>
      <c r="U185" s="557"/>
      <c r="V185" s="558"/>
      <c r="W185" s="37" t="s">
        <v>76</v>
      </c>
      <c r="X185" s="549">
        <f>IFERROR(X182/H182,"0")+IFERROR(X183/H183,"0")+IFERROR(X184/H184,"0")</f>
        <v>5</v>
      </c>
      <c r="Y185" s="549">
        <f>IFERROR(Y182/H182,"0")+IFERROR(Y183/H183,"0")+IFERROR(Y184/H184,"0")</f>
        <v>5</v>
      </c>
      <c r="Z185" s="549">
        <f>IFERROR(IF(Z182="",0,Z182),"0")+IFERROR(IF(Z183="",0,Z183),"0")+IFERROR(IF(Z184="",0,Z184),"0")</f>
        <v>2.9499999999999998E-2</v>
      </c>
      <c r="AA185" s="550"/>
      <c r="AB185" s="550"/>
      <c r="AC185" s="550"/>
    </row>
    <row r="186" spans="1:68" x14ac:dyDescent="0.2">
      <c r="A186" s="554"/>
      <c r="B186" s="554"/>
      <c r="C186" s="554"/>
      <c r="D186" s="554"/>
      <c r="E186" s="554"/>
      <c r="F186" s="554"/>
      <c r="G186" s="554"/>
      <c r="H186" s="554"/>
      <c r="I186" s="554"/>
      <c r="J186" s="554"/>
      <c r="K186" s="554"/>
      <c r="L186" s="554"/>
      <c r="M186" s="554"/>
      <c r="N186" s="554"/>
      <c r="O186" s="570"/>
      <c r="P186" s="556" t="s">
        <v>75</v>
      </c>
      <c r="Q186" s="557"/>
      <c r="R186" s="557"/>
      <c r="S186" s="557"/>
      <c r="T186" s="557"/>
      <c r="U186" s="557"/>
      <c r="V186" s="558"/>
      <c r="W186" s="37" t="s">
        <v>69</v>
      </c>
      <c r="X186" s="549">
        <f>IFERROR(SUM(X182:X184),"0")</f>
        <v>6.3</v>
      </c>
      <c r="Y186" s="549">
        <f>IFERROR(SUM(Y182:Y184),"0")</f>
        <v>6.3</v>
      </c>
      <c r="Z186" s="37"/>
      <c r="AA186" s="550"/>
      <c r="AB186" s="550"/>
      <c r="AC186" s="550"/>
    </row>
    <row r="187" spans="1:68" ht="14.25" hidden="1" customHeight="1" x14ac:dyDescent="0.25">
      <c r="A187" s="553" t="s">
        <v>316</v>
      </c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4"/>
      <c r="P187" s="554"/>
      <c r="Q187" s="554"/>
      <c r="R187" s="554"/>
      <c r="S187" s="554"/>
      <c r="T187" s="554"/>
      <c r="U187" s="554"/>
      <c r="V187" s="554"/>
      <c r="W187" s="554"/>
      <c r="X187" s="554"/>
      <c r="Y187" s="554"/>
      <c r="Z187" s="554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1">
        <v>4680115886797</v>
      </c>
      <c r="E188" s="552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0"/>
      <c r="R188" s="560"/>
      <c r="S188" s="560"/>
      <c r="T188" s="561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9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70"/>
      <c r="P189" s="556" t="s">
        <v>75</v>
      </c>
      <c r="Q189" s="557"/>
      <c r="R189" s="557"/>
      <c r="S189" s="557"/>
      <c r="T189" s="557"/>
      <c r="U189" s="557"/>
      <c r="V189" s="558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4"/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70"/>
      <c r="P190" s="556" t="s">
        <v>75</v>
      </c>
      <c r="Q190" s="557"/>
      <c r="R190" s="557"/>
      <c r="S190" s="557"/>
      <c r="T190" s="557"/>
      <c r="U190" s="557"/>
      <c r="V190" s="558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5" t="s">
        <v>319</v>
      </c>
      <c r="B191" s="554"/>
      <c r="C191" s="554"/>
      <c r="D191" s="554"/>
      <c r="E191" s="554"/>
      <c r="F191" s="554"/>
      <c r="G191" s="554"/>
      <c r="H191" s="554"/>
      <c r="I191" s="554"/>
      <c r="J191" s="554"/>
      <c r="K191" s="554"/>
      <c r="L191" s="554"/>
      <c r="M191" s="554"/>
      <c r="N191" s="554"/>
      <c r="O191" s="554"/>
      <c r="P191" s="554"/>
      <c r="Q191" s="554"/>
      <c r="R191" s="554"/>
      <c r="S191" s="554"/>
      <c r="T191" s="554"/>
      <c r="U191" s="554"/>
      <c r="V191" s="554"/>
      <c r="W191" s="554"/>
      <c r="X191" s="554"/>
      <c r="Y191" s="554"/>
      <c r="Z191" s="554"/>
      <c r="AA191" s="542"/>
      <c r="AB191" s="542"/>
      <c r="AC191" s="542"/>
    </row>
    <row r="192" spans="1:68" ht="14.25" hidden="1" customHeight="1" x14ac:dyDescent="0.25">
      <c r="A192" s="553" t="s">
        <v>101</v>
      </c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4"/>
      <c r="P192" s="554"/>
      <c r="Q192" s="554"/>
      <c r="R192" s="554"/>
      <c r="S192" s="554"/>
      <c r="T192" s="554"/>
      <c r="U192" s="554"/>
      <c r="V192" s="554"/>
      <c r="W192" s="554"/>
      <c r="X192" s="554"/>
      <c r="Y192" s="554"/>
      <c r="Z192" s="554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1">
        <v>4680115881402</v>
      </c>
      <c r="E193" s="552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0"/>
      <c r="R193" s="560"/>
      <c r="S193" s="560"/>
      <c r="T193" s="561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1">
        <v>4680115881396</v>
      </c>
      <c r="E194" s="552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0"/>
      <c r="R194" s="560"/>
      <c r="S194" s="560"/>
      <c r="T194" s="561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9"/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70"/>
      <c r="P195" s="556" t="s">
        <v>75</v>
      </c>
      <c r="Q195" s="557"/>
      <c r="R195" s="557"/>
      <c r="S195" s="557"/>
      <c r="T195" s="557"/>
      <c r="U195" s="557"/>
      <c r="V195" s="558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4"/>
      <c r="B196" s="554"/>
      <c r="C196" s="554"/>
      <c r="D196" s="554"/>
      <c r="E196" s="554"/>
      <c r="F196" s="554"/>
      <c r="G196" s="554"/>
      <c r="H196" s="554"/>
      <c r="I196" s="554"/>
      <c r="J196" s="554"/>
      <c r="K196" s="554"/>
      <c r="L196" s="554"/>
      <c r="M196" s="554"/>
      <c r="N196" s="554"/>
      <c r="O196" s="570"/>
      <c r="P196" s="556" t="s">
        <v>75</v>
      </c>
      <c r="Q196" s="557"/>
      <c r="R196" s="557"/>
      <c r="S196" s="557"/>
      <c r="T196" s="557"/>
      <c r="U196" s="557"/>
      <c r="V196" s="558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53" t="s">
        <v>136</v>
      </c>
      <c r="B197" s="554"/>
      <c r="C197" s="554"/>
      <c r="D197" s="554"/>
      <c r="E197" s="554"/>
      <c r="F197" s="554"/>
      <c r="G197" s="554"/>
      <c r="H197" s="554"/>
      <c r="I197" s="554"/>
      <c r="J197" s="554"/>
      <c r="K197" s="554"/>
      <c r="L197" s="554"/>
      <c r="M197" s="554"/>
      <c r="N197" s="554"/>
      <c r="O197" s="554"/>
      <c r="P197" s="554"/>
      <c r="Q197" s="554"/>
      <c r="R197" s="554"/>
      <c r="S197" s="554"/>
      <c r="T197" s="554"/>
      <c r="U197" s="554"/>
      <c r="V197" s="554"/>
      <c r="W197" s="554"/>
      <c r="X197" s="554"/>
      <c r="Y197" s="554"/>
      <c r="Z197" s="554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1">
        <v>4680115882935</v>
      </c>
      <c r="E198" s="552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0"/>
      <c r="R198" s="560"/>
      <c r="S198" s="560"/>
      <c r="T198" s="561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1">
        <v>4680115880764</v>
      </c>
      <c r="E199" s="552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0"/>
      <c r="R199" s="560"/>
      <c r="S199" s="560"/>
      <c r="T199" s="561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9"/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70"/>
      <c r="P200" s="556" t="s">
        <v>75</v>
      </c>
      <c r="Q200" s="557"/>
      <c r="R200" s="557"/>
      <c r="S200" s="557"/>
      <c r="T200" s="557"/>
      <c r="U200" s="557"/>
      <c r="V200" s="558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4"/>
      <c r="B201" s="554"/>
      <c r="C201" s="554"/>
      <c r="D201" s="554"/>
      <c r="E201" s="554"/>
      <c r="F201" s="554"/>
      <c r="G201" s="554"/>
      <c r="H201" s="554"/>
      <c r="I201" s="554"/>
      <c r="J201" s="554"/>
      <c r="K201" s="554"/>
      <c r="L201" s="554"/>
      <c r="M201" s="554"/>
      <c r="N201" s="554"/>
      <c r="O201" s="570"/>
      <c r="P201" s="556" t="s">
        <v>75</v>
      </c>
      <c r="Q201" s="557"/>
      <c r="R201" s="557"/>
      <c r="S201" s="557"/>
      <c r="T201" s="557"/>
      <c r="U201" s="557"/>
      <c r="V201" s="558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53" t="s">
        <v>64</v>
      </c>
      <c r="B202" s="554"/>
      <c r="C202" s="554"/>
      <c r="D202" s="554"/>
      <c r="E202" s="554"/>
      <c r="F202" s="554"/>
      <c r="G202" s="554"/>
      <c r="H202" s="554"/>
      <c r="I202" s="554"/>
      <c r="J202" s="554"/>
      <c r="K202" s="554"/>
      <c r="L202" s="554"/>
      <c r="M202" s="554"/>
      <c r="N202" s="554"/>
      <c r="O202" s="554"/>
      <c r="P202" s="554"/>
      <c r="Q202" s="554"/>
      <c r="R202" s="554"/>
      <c r="S202" s="554"/>
      <c r="T202" s="554"/>
      <c r="U202" s="554"/>
      <c r="V202" s="554"/>
      <c r="W202" s="554"/>
      <c r="X202" s="554"/>
      <c r="Y202" s="554"/>
      <c r="Z202" s="554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1">
        <v>4680115882683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0"/>
      <c r="R203" s="560"/>
      <c r="S203" s="560"/>
      <c r="T203" s="561"/>
      <c r="U203" s="34"/>
      <c r="V203" s="34"/>
      <c r="W203" s="35" t="s">
        <v>69</v>
      </c>
      <c r="X203" s="547">
        <v>40</v>
      </c>
      <c r="Y203" s="548">
        <f t="shared" ref="Y203:Y210" si="10">IFERROR(IF(X203="",0,CEILING((X203/$H203),1)*$H203),"")</f>
        <v>43.2</v>
      </c>
      <c r="Z203" s="36">
        <f>IFERROR(IF(Y203=0,"",ROUNDUP(Y203/H203,0)*0.00902),"")</f>
        <v>7.2160000000000002E-2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41.407407407407405</v>
      </c>
      <c r="BN203" s="64">
        <f t="shared" ref="BN203:BN210" si="12">IFERROR(Y203*I203/H203,"0")</f>
        <v>44.72</v>
      </c>
      <c r="BO203" s="64">
        <f t="shared" ref="BO203:BO210" si="13">IFERROR(1/J203*(X203/H203),"0")</f>
        <v>5.6116722783389444E-2</v>
      </c>
      <c r="BP203" s="64">
        <f t="shared" ref="BP203:BP210" si="14">IFERROR(1/J203*(Y203/H203),"0")</f>
        <v>6.0606060606060608E-2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1">
        <v>4680115882690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1">
        <v>4680115882669</v>
      </c>
      <c r="E205" s="552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7">
        <v>10</v>
      </c>
      <c r="Y205" s="548">
        <f t="shared" si="10"/>
        <v>10.8</v>
      </c>
      <c r="Z205" s="36">
        <f>IFERROR(IF(Y205=0,"",ROUNDUP(Y205/H205,0)*0.00902),"")</f>
        <v>1.804E-2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10.351851851851851</v>
      </c>
      <c r="BN205" s="64">
        <f t="shared" si="12"/>
        <v>11.18</v>
      </c>
      <c r="BO205" s="64">
        <f t="shared" si="13"/>
        <v>1.4029180695847361E-2</v>
      </c>
      <c r="BP205" s="64">
        <f t="shared" si="14"/>
        <v>1.5151515151515152E-2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1">
        <v>4680115882676</v>
      </c>
      <c r="E206" s="552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1">
        <v>4680115884014</v>
      </c>
      <c r="E207" s="552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7">
        <v>84.6</v>
      </c>
      <c r="Y207" s="548">
        <f t="shared" si="10"/>
        <v>84.600000000000009</v>
      </c>
      <c r="Z207" s="36">
        <f>IFERROR(IF(Y207=0,"",ROUNDUP(Y207/H207,0)*0.00502),"")</f>
        <v>0.23594000000000001</v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90.71</v>
      </c>
      <c r="BN207" s="64">
        <f t="shared" si="12"/>
        <v>90.710000000000008</v>
      </c>
      <c r="BO207" s="64">
        <f t="shared" si="13"/>
        <v>0.20085470085470084</v>
      </c>
      <c r="BP207" s="64">
        <f t="shared" si="14"/>
        <v>0.20085470085470092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1">
        <v>4680115884007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7">
        <v>54</v>
      </c>
      <c r="Y208" s="548">
        <f t="shared" si="10"/>
        <v>54</v>
      </c>
      <c r="Z208" s="36">
        <f>IFERROR(IF(Y208=0,"",ROUNDUP(Y208/H208,0)*0.00502),"")</f>
        <v>0.15060000000000001</v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56.999999999999993</v>
      </c>
      <c r="BN208" s="64">
        <f t="shared" si="12"/>
        <v>56.999999999999993</v>
      </c>
      <c r="BO208" s="64">
        <f t="shared" si="13"/>
        <v>0.12820512820512822</v>
      </c>
      <c r="BP208" s="64">
        <f t="shared" si="14"/>
        <v>0.12820512820512822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1">
        <v>4680115884038</v>
      </c>
      <c r="E209" s="552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1">
        <v>4680115884021</v>
      </c>
      <c r="E210" s="552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7">
        <v>90</v>
      </c>
      <c r="Y210" s="548">
        <f t="shared" si="10"/>
        <v>90</v>
      </c>
      <c r="Z210" s="36">
        <f>IFERROR(IF(Y210=0,"",ROUNDUP(Y210/H210,0)*0.00502),"")</f>
        <v>0.251</v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95</v>
      </c>
      <c r="BN210" s="64">
        <f t="shared" si="12"/>
        <v>95</v>
      </c>
      <c r="BO210" s="64">
        <f t="shared" si="13"/>
        <v>0.21367521367521369</v>
      </c>
      <c r="BP210" s="64">
        <f t="shared" si="14"/>
        <v>0.21367521367521369</v>
      </c>
    </row>
    <row r="211" spans="1:68" x14ac:dyDescent="0.2">
      <c r="A211" s="569"/>
      <c r="B211" s="554"/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70"/>
      <c r="P211" s="556" t="s">
        <v>75</v>
      </c>
      <c r="Q211" s="557"/>
      <c r="R211" s="557"/>
      <c r="S211" s="557"/>
      <c r="T211" s="557"/>
      <c r="U211" s="557"/>
      <c r="V211" s="558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136.25925925925924</v>
      </c>
      <c r="Y211" s="549">
        <f>IFERROR(Y203/H203,"0")+IFERROR(Y204/H204,"0")+IFERROR(Y205/H205,"0")+IFERROR(Y206/H206,"0")+IFERROR(Y207/H207,"0")+IFERROR(Y208/H208,"0")+IFERROR(Y209/H209,"0")+IFERROR(Y210/H210,"0")</f>
        <v>137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0.72774000000000005</v>
      </c>
      <c r="AA211" s="550"/>
      <c r="AB211" s="550"/>
      <c r="AC211" s="550"/>
    </row>
    <row r="212" spans="1:68" x14ac:dyDescent="0.2">
      <c r="A212" s="554"/>
      <c r="B212" s="554"/>
      <c r="C212" s="554"/>
      <c r="D212" s="554"/>
      <c r="E212" s="554"/>
      <c r="F212" s="554"/>
      <c r="G212" s="554"/>
      <c r="H212" s="554"/>
      <c r="I212" s="554"/>
      <c r="J212" s="554"/>
      <c r="K212" s="554"/>
      <c r="L212" s="554"/>
      <c r="M212" s="554"/>
      <c r="N212" s="554"/>
      <c r="O212" s="570"/>
      <c r="P212" s="556" t="s">
        <v>75</v>
      </c>
      <c r="Q212" s="557"/>
      <c r="R212" s="557"/>
      <c r="S212" s="557"/>
      <c r="T212" s="557"/>
      <c r="U212" s="557"/>
      <c r="V212" s="558"/>
      <c r="W212" s="37" t="s">
        <v>69</v>
      </c>
      <c r="X212" s="549">
        <f>IFERROR(SUM(X203:X210),"0")</f>
        <v>278.60000000000002</v>
      </c>
      <c r="Y212" s="549">
        <f>IFERROR(SUM(Y203:Y210),"0")</f>
        <v>282.60000000000002</v>
      </c>
      <c r="Z212" s="37"/>
      <c r="AA212" s="550"/>
      <c r="AB212" s="550"/>
      <c r="AC212" s="550"/>
    </row>
    <row r="213" spans="1:68" ht="14.25" hidden="1" customHeight="1" x14ac:dyDescent="0.25">
      <c r="A213" s="553" t="s">
        <v>77</v>
      </c>
      <c r="B213" s="554"/>
      <c r="C213" s="554"/>
      <c r="D213" s="554"/>
      <c r="E213" s="554"/>
      <c r="F213" s="554"/>
      <c r="G213" s="554"/>
      <c r="H213" s="554"/>
      <c r="I213" s="554"/>
      <c r="J213" s="554"/>
      <c r="K213" s="554"/>
      <c r="L213" s="554"/>
      <c r="M213" s="554"/>
      <c r="N213" s="554"/>
      <c r="O213" s="554"/>
      <c r="P213" s="554"/>
      <c r="Q213" s="554"/>
      <c r="R213" s="554"/>
      <c r="S213" s="554"/>
      <c r="T213" s="554"/>
      <c r="U213" s="554"/>
      <c r="V213" s="554"/>
      <c r="W213" s="554"/>
      <c r="X213" s="554"/>
      <c r="Y213" s="554"/>
      <c r="Z213" s="554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1">
        <v>4680115881594</v>
      </c>
      <c r="E214" s="552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0"/>
      <c r="R214" s="560"/>
      <c r="S214" s="560"/>
      <c r="T214" s="561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1">
        <v>4680115881617</v>
      </c>
      <c r="E215" s="552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0"/>
      <c r="R215" s="560"/>
      <c r="S215" s="560"/>
      <c r="T215" s="561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1">
        <v>4680115880573</v>
      </c>
      <c r="E216" s="552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1">
        <v>4680115882195</v>
      </c>
      <c r="E217" s="552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7">
        <v>112</v>
      </c>
      <c r="Y217" s="548">
        <f t="shared" si="15"/>
        <v>112.8</v>
      </c>
      <c r="Z217" s="36">
        <f t="shared" ref="Z217:Z222" si="20">IFERROR(IF(Y217=0,"",ROUNDUP(Y217/H217,0)*0.00651),"")</f>
        <v>0.30597000000000002</v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124.6</v>
      </c>
      <c r="BN217" s="64">
        <f t="shared" si="17"/>
        <v>125.49</v>
      </c>
      <c r="BO217" s="64">
        <f t="shared" si="18"/>
        <v>0.25641025641025644</v>
      </c>
      <c r="BP217" s="64">
        <f t="shared" si="19"/>
        <v>0.25824175824175827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1">
        <v>4680115882607</v>
      </c>
      <c r="E218" s="552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1">
        <v>4680115880092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7">
        <v>72</v>
      </c>
      <c r="Y219" s="548">
        <f t="shared" si="15"/>
        <v>72</v>
      </c>
      <c r="Z219" s="36">
        <f t="shared" si="20"/>
        <v>0.1953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79.560000000000016</v>
      </c>
      <c r="BN219" s="64">
        <f t="shared" si="17"/>
        <v>79.560000000000016</v>
      </c>
      <c r="BO219" s="64">
        <f t="shared" si="18"/>
        <v>0.16483516483516486</v>
      </c>
      <c r="BP219" s="64">
        <f t="shared" si="19"/>
        <v>0.16483516483516486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1">
        <v>4680115880221</v>
      </c>
      <c r="E220" s="552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7">
        <v>24</v>
      </c>
      <c r="Y220" s="548">
        <f t="shared" si="15"/>
        <v>24</v>
      </c>
      <c r="Z220" s="36">
        <f t="shared" si="20"/>
        <v>6.5100000000000005E-2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26.520000000000003</v>
      </c>
      <c r="BN220" s="64">
        <f t="shared" si="17"/>
        <v>26.520000000000003</v>
      </c>
      <c r="BO220" s="64">
        <f t="shared" si="18"/>
        <v>5.4945054945054951E-2</v>
      </c>
      <c r="BP220" s="64">
        <f t="shared" si="19"/>
        <v>5.4945054945054951E-2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1">
        <v>4680115880504</v>
      </c>
      <c r="E221" s="552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0"/>
      <c r="R221" s="560"/>
      <c r="S221" s="560"/>
      <c r="T221" s="561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1">
        <v>4680115882164</v>
      </c>
      <c r="E222" s="552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47">
        <v>64</v>
      </c>
      <c r="Y222" s="548">
        <f t="shared" si="15"/>
        <v>64.8</v>
      </c>
      <c r="Z222" s="36">
        <f t="shared" si="20"/>
        <v>0.17577000000000001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70.88</v>
      </c>
      <c r="BN222" s="64">
        <f t="shared" si="17"/>
        <v>71.765999999999991</v>
      </c>
      <c r="BO222" s="64">
        <f t="shared" si="18"/>
        <v>0.14652014652014653</v>
      </c>
      <c r="BP222" s="64">
        <f t="shared" si="19"/>
        <v>0.14835164835164835</v>
      </c>
    </row>
    <row r="223" spans="1:68" x14ac:dyDescent="0.2">
      <c r="A223" s="569"/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70"/>
      <c r="P223" s="556" t="s">
        <v>75</v>
      </c>
      <c r="Q223" s="557"/>
      <c r="R223" s="557"/>
      <c r="S223" s="557"/>
      <c r="T223" s="557"/>
      <c r="U223" s="557"/>
      <c r="V223" s="558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113.33333333333334</v>
      </c>
      <c r="Y223" s="549">
        <f>IFERROR(Y214/H214,"0")+IFERROR(Y215/H215,"0")+IFERROR(Y216/H216,"0")+IFERROR(Y217/H217,"0")+IFERROR(Y218/H218,"0")+IFERROR(Y219/H219,"0")+IFERROR(Y220/H220,"0")+IFERROR(Y221/H221,"0")+IFERROR(Y222/H222,"0")</f>
        <v>114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0.74214000000000002</v>
      </c>
      <c r="AA223" s="550"/>
      <c r="AB223" s="550"/>
      <c r="AC223" s="550"/>
    </row>
    <row r="224" spans="1:68" x14ac:dyDescent="0.2">
      <c r="A224" s="554"/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70"/>
      <c r="P224" s="556" t="s">
        <v>75</v>
      </c>
      <c r="Q224" s="557"/>
      <c r="R224" s="557"/>
      <c r="S224" s="557"/>
      <c r="T224" s="557"/>
      <c r="U224" s="557"/>
      <c r="V224" s="558"/>
      <c r="W224" s="37" t="s">
        <v>69</v>
      </c>
      <c r="X224" s="549">
        <f>IFERROR(SUM(X214:X222),"0")</f>
        <v>272</v>
      </c>
      <c r="Y224" s="549">
        <f>IFERROR(SUM(Y214:Y222),"0")</f>
        <v>273.60000000000002</v>
      </c>
      <c r="Z224" s="37"/>
      <c r="AA224" s="550"/>
      <c r="AB224" s="550"/>
      <c r="AC224" s="550"/>
    </row>
    <row r="225" spans="1:68" ht="14.25" hidden="1" customHeight="1" x14ac:dyDescent="0.25">
      <c r="A225" s="553" t="s">
        <v>161</v>
      </c>
      <c r="B225" s="554"/>
      <c r="C225" s="554"/>
      <c r="D225" s="554"/>
      <c r="E225" s="554"/>
      <c r="F225" s="554"/>
      <c r="G225" s="554"/>
      <c r="H225" s="554"/>
      <c r="I225" s="554"/>
      <c r="J225" s="554"/>
      <c r="K225" s="554"/>
      <c r="L225" s="554"/>
      <c r="M225" s="554"/>
      <c r="N225" s="554"/>
      <c r="O225" s="554"/>
      <c r="P225" s="554"/>
      <c r="Q225" s="554"/>
      <c r="R225" s="554"/>
      <c r="S225" s="554"/>
      <c r="T225" s="554"/>
      <c r="U225" s="554"/>
      <c r="V225" s="554"/>
      <c r="W225" s="554"/>
      <c r="X225" s="554"/>
      <c r="Y225" s="554"/>
      <c r="Z225" s="554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1">
        <v>4680115880818</v>
      </c>
      <c r="E226" s="552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0"/>
      <c r="R226" s="560"/>
      <c r="S226" s="560"/>
      <c r="T226" s="561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1">
        <v>4680115880801</v>
      </c>
      <c r="E227" s="552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8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7">
        <v>48</v>
      </c>
      <c r="Y227" s="548">
        <f>IFERROR(IF(X227="",0,CEILING((X227/$H227),1)*$H227),"")</f>
        <v>48</v>
      </c>
      <c r="Z227" s="36">
        <f>IFERROR(IF(Y227=0,"",ROUNDUP(Y227/H227,0)*0.00651),"")</f>
        <v>0.13020000000000001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53.040000000000006</v>
      </c>
      <c r="BN227" s="64">
        <f>IFERROR(Y227*I227/H227,"0")</f>
        <v>53.040000000000006</v>
      </c>
      <c r="BO227" s="64">
        <f>IFERROR(1/J227*(X227/H227),"0")</f>
        <v>0.1098901098901099</v>
      </c>
      <c r="BP227" s="64">
        <f>IFERROR(1/J227*(Y227/H227),"0")</f>
        <v>0.1098901098901099</v>
      </c>
    </row>
    <row r="228" spans="1:68" x14ac:dyDescent="0.2">
      <c r="A228" s="569"/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70"/>
      <c r="P228" s="556" t="s">
        <v>75</v>
      </c>
      <c r="Q228" s="557"/>
      <c r="R228" s="557"/>
      <c r="S228" s="557"/>
      <c r="T228" s="557"/>
      <c r="U228" s="557"/>
      <c r="V228" s="558"/>
      <c r="W228" s="37" t="s">
        <v>76</v>
      </c>
      <c r="X228" s="549">
        <f>IFERROR(X226/H226,"0")+IFERROR(X227/H227,"0")</f>
        <v>20</v>
      </c>
      <c r="Y228" s="549">
        <f>IFERROR(Y226/H226,"0")+IFERROR(Y227/H227,"0")</f>
        <v>20</v>
      </c>
      <c r="Z228" s="549">
        <f>IFERROR(IF(Z226="",0,Z226),"0")+IFERROR(IF(Z227="",0,Z227),"0")</f>
        <v>0.13020000000000001</v>
      </c>
      <c r="AA228" s="550"/>
      <c r="AB228" s="550"/>
      <c r="AC228" s="550"/>
    </row>
    <row r="229" spans="1:68" x14ac:dyDescent="0.2">
      <c r="A229" s="554"/>
      <c r="B229" s="554"/>
      <c r="C229" s="554"/>
      <c r="D229" s="554"/>
      <c r="E229" s="554"/>
      <c r="F229" s="554"/>
      <c r="G229" s="554"/>
      <c r="H229" s="554"/>
      <c r="I229" s="554"/>
      <c r="J229" s="554"/>
      <c r="K229" s="554"/>
      <c r="L229" s="554"/>
      <c r="M229" s="554"/>
      <c r="N229" s="554"/>
      <c r="O229" s="570"/>
      <c r="P229" s="556" t="s">
        <v>75</v>
      </c>
      <c r="Q229" s="557"/>
      <c r="R229" s="557"/>
      <c r="S229" s="557"/>
      <c r="T229" s="557"/>
      <c r="U229" s="557"/>
      <c r="V229" s="558"/>
      <c r="W229" s="37" t="s">
        <v>69</v>
      </c>
      <c r="X229" s="549">
        <f>IFERROR(SUM(X226:X227),"0")</f>
        <v>48</v>
      </c>
      <c r="Y229" s="549">
        <f>IFERROR(SUM(Y226:Y227),"0")</f>
        <v>48</v>
      </c>
      <c r="Z229" s="37"/>
      <c r="AA229" s="550"/>
      <c r="AB229" s="550"/>
      <c r="AC229" s="550"/>
    </row>
    <row r="230" spans="1:68" ht="16.5" hidden="1" customHeight="1" x14ac:dyDescent="0.25">
      <c r="A230" s="555" t="s">
        <v>379</v>
      </c>
      <c r="B230" s="554"/>
      <c r="C230" s="554"/>
      <c r="D230" s="554"/>
      <c r="E230" s="554"/>
      <c r="F230" s="554"/>
      <c r="G230" s="554"/>
      <c r="H230" s="554"/>
      <c r="I230" s="554"/>
      <c r="J230" s="554"/>
      <c r="K230" s="554"/>
      <c r="L230" s="554"/>
      <c r="M230" s="554"/>
      <c r="N230" s="554"/>
      <c r="O230" s="554"/>
      <c r="P230" s="554"/>
      <c r="Q230" s="554"/>
      <c r="R230" s="554"/>
      <c r="S230" s="554"/>
      <c r="T230" s="554"/>
      <c r="U230" s="554"/>
      <c r="V230" s="554"/>
      <c r="W230" s="554"/>
      <c r="X230" s="554"/>
      <c r="Y230" s="554"/>
      <c r="Z230" s="554"/>
      <c r="AA230" s="542"/>
      <c r="AB230" s="542"/>
      <c r="AC230" s="542"/>
    </row>
    <row r="231" spans="1:68" ht="14.25" hidden="1" customHeight="1" x14ac:dyDescent="0.25">
      <c r="A231" s="553" t="s">
        <v>101</v>
      </c>
      <c r="B231" s="554"/>
      <c r="C231" s="554"/>
      <c r="D231" s="554"/>
      <c r="E231" s="554"/>
      <c r="F231" s="554"/>
      <c r="G231" s="554"/>
      <c r="H231" s="554"/>
      <c r="I231" s="554"/>
      <c r="J231" s="554"/>
      <c r="K231" s="554"/>
      <c r="L231" s="554"/>
      <c r="M231" s="554"/>
      <c r="N231" s="554"/>
      <c r="O231" s="554"/>
      <c r="P231" s="554"/>
      <c r="Q231" s="554"/>
      <c r="R231" s="554"/>
      <c r="S231" s="554"/>
      <c r="T231" s="554"/>
      <c r="U231" s="554"/>
      <c r="V231" s="554"/>
      <c r="W231" s="554"/>
      <c r="X231" s="554"/>
      <c r="Y231" s="554"/>
      <c r="Z231" s="554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1">
        <v>4680115884137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5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0"/>
      <c r="R232" s="560"/>
      <c r="S232" s="560"/>
      <c r="T232" s="561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1">
        <v>4680115884236</v>
      </c>
      <c r="E233" s="552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1">
        <v>4680115884175</v>
      </c>
      <c r="E234" s="552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1">
        <v>4680115884144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1">
        <v>4680115884144</v>
      </c>
      <c r="E236" s="552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1">
        <v>4680115886551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1">
        <v>4680115887282</v>
      </c>
      <c r="E238" s="552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1">
        <v>4680115884205</v>
      </c>
      <c r="E239" s="552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1">
        <v>4680115884205</v>
      </c>
      <c r="E240" s="552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9"/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70"/>
      <c r="P241" s="556" t="s">
        <v>75</v>
      </c>
      <c r="Q241" s="557"/>
      <c r="R241" s="557"/>
      <c r="S241" s="557"/>
      <c r="T241" s="557"/>
      <c r="U241" s="557"/>
      <c r="V241" s="558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4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70"/>
      <c r="P242" s="556" t="s">
        <v>75</v>
      </c>
      <c r="Q242" s="557"/>
      <c r="R242" s="557"/>
      <c r="S242" s="557"/>
      <c r="T242" s="557"/>
      <c r="U242" s="557"/>
      <c r="V242" s="558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53" t="s">
        <v>136</v>
      </c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4"/>
      <c r="P243" s="554"/>
      <c r="Q243" s="554"/>
      <c r="R243" s="554"/>
      <c r="S243" s="554"/>
      <c r="T243" s="554"/>
      <c r="U243" s="554"/>
      <c r="V243" s="554"/>
      <c r="W243" s="554"/>
      <c r="X243" s="554"/>
      <c r="Y243" s="554"/>
      <c r="Z243" s="554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1">
        <v>4680115885981</v>
      </c>
      <c r="E244" s="552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6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0"/>
      <c r="R244" s="560"/>
      <c r="S244" s="560"/>
      <c r="T244" s="561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9"/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70"/>
      <c r="P245" s="556" t="s">
        <v>75</v>
      </c>
      <c r="Q245" s="557"/>
      <c r="R245" s="557"/>
      <c r="S245" s="557"/>
      <c r="T245" s="557"/>
      <c r="U245" s="557"/>
      <c r="V245" s="558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4"/>
      <c r="B246" s="554"/>
      <c r="C246" s="554"/>
      <c r="D246" s="554"/>
      <c r="E246" s="554"/>
      <c r="F246" s="554"/>
      <c r="G246" s="554"/>
      <c r="H246" s="554"/>
      <c r="I246" s="554"/>
      <c r="J246" s="554"/>
      <c r="K246" s="554"/>
      <c r="L246" s="554"/>
      <c r="M246" s="554"/>
      <c r="N246" s="554"/>
      <c r="O246" s="570"/>
      <c r="P246" s="556" t="s">
        <v>75</v>
      </c>
      <c r="Q246" s="557"/>
      <c r="R246" s="557"/>
      <c r="S246" s="557"/>
      <c r="T246" s="557"/>
      <c r="U246" s="557"/>
      <c r="V246" s="558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53" t="s">
        <v>404</v>
      </c>
      <c r="B247" s="554"/>
      <c r="C247" s="554"/>
      <c r="D247" s="554"/>
      <c r="E247" s="554"/>
      <c r="F247" s="554"/>
      <c r="G247" s="554"/>
      <c r="H247" s="554"/>
      <c r="I247" s="554"/>
      <c r="J247" s="554"/>
      <c r="K247" s="554"/>
      <c r="L247" s="554"/>
      <c r="M247" s="554"/>
      <c r="N247" s="554"/>
      <c r="O247" s="554"/>
      <c r="P247" s="554"/>
      <c r="Q247" s="554"/>
      <c r="R247" s="554"/>
      <c r="S247" s="554"/>
      <c r="T247" s="554"/>
      <c r="U247" s="554"/>
      <c r="V247" s="554"/>
      <c r="W247" s="554"/>
      <c r="X247" s="554"/>
      <c r="Y247" s="554"/>
      <c r="Z247" s="554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1">
        <v>4680115886803</v>
      </c>
      <c r="E248" s="552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0"/>
      <c r="R248" s="560"/>
      <c r="S248" s="560"/>
      <c r="T248" s="561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9"/>
      <c r="B249" s="554"/>
      <c r="C249" s="554"/>
      <c r="D249" s="554"/>
      <c r="E249" s="554"/>
      <c r="F249" s="554"/>
      <c r="G249" s="554"/>
      <c r="H249" s="554"/>
      <c r="I249" s="554"/>
      <c r="J249" s="554"/>
      <c r="K249" s="554"/>
      <c r="L249" s="554"/>
      <c r="M249" s="554"/>
      <c r="N249" s="554"/>
      <c r="O249" s="570"/>
      <c r="P249" s="556" t="s">
        <v>75</v>
      </c>
      <c r="Q249" s="557"/>
      <c r="R249" s="557"/>
      <c r="S249" s="557"/>
      <c r="T249" s="557"/>
      <c r="U249" s="557"/>
      <c r="V249" s="558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4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70"/>
      <c r="P250" s="556" t="s">
        <v>75</v>
      </c>
      <c r="Q250" s="557"/>
      <c r="R250" s="557"/>
      <c r="S250" s="557"/>
      <c r="T250" s="557"/>
      <c r="U250" s="557"/>
      <c r="V250" s="558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53" t="s">
        <v>408</v>
      </c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4"/>
      <c r="P251" s="554"/>
      <c r="Q251" s="554"/>
      <c r="R251" s="554"/>
      <c r="S251" s="554"/>
      <c r="T251" s="554"/>
      <c r="U251" s="554"/>
      <c r="V251" s="554"/>
      <c r="W251" s="554"/>
      <c r="X251" s="554"/>
      <c r="Y251" s="554"/>
      <c r="Z251" s="554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1">
        <v>4680115886704</v>
      </c>
      <c r="E252" s="552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0"/>
      <c r="R252" s="560"/>
      <c r="S252" s="560"/>
      <c r="T252" s="561"/>
      <c r="U252" s="34"/>
      <c r="V252" s="34"/>
      <c r="W252" s="35" t="s">
        <v>69</v>
      </c>
      <c r="X252" s="547">
        <v>1.98</v>
      </c>
      <c r="Y252" s="548">
        <f>IFERROR(IF(X252="",0,CEILING((X252/$H252),1)*$H252),"")</f>
        <v>1.98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2.36</v>
      </c>
      <c r="BN252" s="64">
        <f>IFERROR(Y252*I252/H252,"0")</f>
        <v>2.36</v>
      </c>
      <c r="BO252" s="64">
        <f>IFERROR(1/J252*(X252/H252),"0")</f>
        <v>9.2592592592592587E-3</v>
      </c>
      <c r="BP252" s="64">
        <f>IFERROR(1/J252*(Y252/H252),"0")</f>
        <v>9.2592592592592587E-3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1">
        <v>4680115886681</v>
      </c>
      <c r="E253" s="552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7">
        <v>10.8</v>
      </c>
      <c r="Y253" s="548">
        <f>IFERROR(IF(X253="",0,CEILING((X253/$H253),1)*$H253),"")</f>
        <v>10.8</v>
      </c>
      <c r="Z253" s="36">
        <f>IFERROR(IF(Y253=0,"",ROUNDUP(Y253/H253,0)*0.0059),"")</f>
        <v>3.5400000000000001E-2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11.850000000000001</v>
      </c>
      <c r="BN253" s="64">
        <f>IFERROR(Y253*I253/H253,"0")</f>
        <v>11.850000000000001</v>
      </c>
      <c r="BO253" s="64">
        <f>IFERROR(1/J253*(X253/H253),"0")</f>
        <v>2.7777777777777776E-2</v>
      </c>
      <c r="BP253" s="64">
        <f>IFERROR(1/J253*(Y253/H253),"0")</f>
        <v>2.7777777777777776E-2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1">
        <v>4680115886735</v>
      </c>
      <c r="E254" s="552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1">
        <v>4680115886728</v>
      </c>
      <c r="E255" s="552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1">
        <v>4680115886711</v>
      </c>
      <c r="E256" s="552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54"/>
      <c r="C257" s="554"/>
      <c r="D257" s="554"/>
      <c r="E257" s="554"/>
      <c r="F257" s="554"/>
      <c r="G257" s="554"/>
      <c r="H257" s="554"/>
      <c r="I257" s="554"/>
      <c r="J257" s="554"/>
      <c r="K257" s="554"/>
      <c r="L257" s="554"/>
      <c r="M257" s="554"/>
      <c r="N257" s="554"/>
      <c r="O257" s="570"/>
      <c r="P257" s="556" t="s">
        <v>75</v>
      </c>
      <c r="Q257" s="557"/>
      <c r="R257" s="557"/>
      <c r="S257" s="557"/>
      <c r="T257" s="557"/>
      <c r="U257" s="557"/>
      <c r="V257" s="558"/>
      <c r="W257" s="37" t="s">
        <v>76</v>
      </c>
      <c r="X257" s="549">
        <f>IFERROR(X252/H252,"0")+IFERROR(X253/H253,"0")+IFERROR(X254/H254,"0")+IFERROR(X255/H255,"0")+IFERROR(X256/H256,"0")</f>
        <v>8</v>
      </c>
      <c r="Y257" s="549">
        <f>IFERROR(Y252/H252,"0")+IFERROR(Y253/H253,"0")+IFERROR(Y254/H254,"0")+IFERROR(Y255/H255,"0")+IFERROR(Y256/H256,"0")</f>
        <v>8</v>
      </c>
      <c r="Z257" s="549">
        <f>IFERROR(IF(Z252="",0,Z252),"0")+IFERROR(IF(Z253="",0,Z253),"0")+IFERROR(IF(Z254="",0,Z254),"0")+IFERROR(IF(Z255="",0,Z255),"0")+IFERROR(IF(Z256="",0,Z256),"0")</f>
        <v>4.7199999999999999E-2</v>
      </c>
      <c r="AA257" s="550"/>
      <c r="AB257" s="550"/>
      <c r="AC257" s="550"/>
    </row>
    <row r="258" spans="1:68" x14ac:dyDescent="0.2">
      <c r="A258" s="554"/>
      <c r="B258" s="554"/>
      <c r="C258" s="554"/>
      <c r="D258" s="554"/>
      <c r="E258" s="554"/>
      <c r="F258" s="554"/>
      <c r="G258" s="554"/>
      <c r="H258" s="554"/>
      <c r="I258" s="554"/>
      <c r="J258" s="554"/>
      <c r="K258" s="554"/>
      <c r="L258" s="554"/>
      <c r="M258" s="554"/>
      <c r="N258" s="554"/>
      <c r="O258" s="570"/>
      <c r="P258" s="556" t="s">
        <v>75</v>
      </c>
      <c r="Q258" s="557"/>
      <c r="R258" s="557"/>
      <c r="S258" s="557"/>
      <c r="T258" s="557"/>
      <c r="U258" s="557"/>
      <c r="V258" s="558"/>
      <c r="W258" s="37" t="s">
        <v>69</v>
      </c>
      <c r="X258" s="549">
        <f>IFERROR(SUM(X252:X256),"0")</f>
        <v>12.780000000000001</v>
      </c>
      <c r="Y258" s="549">
        <f>IFERROR(SUM(Y252:Y256),"0")</f>
        <v>12.780000000000001</v>
      </c>
      <c r="Z258" s="37"/>
      <c r="AA258" s="550"/>
      <c r="AB258" s="550"/>
      <c r="AC258" s="550"/>
    </row>
    <row r="259" spans="1:68" ht="16.5" hidden="1" customHeight="1" x14ac:dyDescent="0.25">
      <c r="A259" s="555" t="s">
        <v>420</v>
      </c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4"/>
      <c r="P259" s="554"/>
      <c r="Q259" s="554"/>
      <c r="R259" s="554"/>
      <c r="S259" s="554"/>
      <c r="T259" s="554"/>
      <c r="U259" s="554"/>
      <c r="V259" s="554"/>
      <c r="W259" s="554"/>
      <c r="X259" s="554"/>
      <c r="Y259" s="554"/>
      <c r="Z259" s="554"/>
      <c r="AA259" s="542"/>
      <c r="AB259" s="542"/>
      <c r="AC259" s="542"/>
    </row>
    <row r="260" spans="1:68" ht="14.25" hidden="1" customHeight="1" x14ac:dyDescent="0.25">
      <c r="A260" s="553" t="s">
        <v>101</v>
      </c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4"/>
      <c r="P260" s="554"/>
      <c r="Q260" s="554"/>
      <c r="R260" s="554"/>
      <c r="S260" s="554"/>
      <c r="T260" s="554"/>
      <c r="U260" s="554"/>
      <c r="V260" s="554"/>
      <c r="W260" s="554"/>
      <c r="X260" s="554"/>
      <c r="Y260" s="554"/>
      <c r="Z260" s="554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1">
        <v>4680115885837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0"/>
      <c r="R261" s="560"/>
      <c r="S261" s="560"/>
      <c r="T261" s="561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1">
        <v>4680115885851</v>
      </c>
      <c r="E262" s="552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1">
        <v>4680115885806</v>
      </c>
      <c r="E263" s="552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7">
        <v>70</v>
      </c>
      <c r="Y263" s="548">
        <f>IFERROR(IF(X263="",0,CEILING((X263/$H263),1)*$H263),"")</f>
        <v>75.600000000000009</v>
      </c>
      <c r="Z263" s="36">
        <f>IFERROR(IF(Y263=0,"",ROUNDUP(Y263/H263,0)*0.01898),"")</f>
        <v>0.13286000000000001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72.657407407407405</v>
      </c>
      <c r="BN263" s="64">
        <f>IFERROR(Y263*I263/H263,"0")</f>
        <v>78.47</v>
      </c>
      <c r="BO263" s="64">
        <f>IFERROR(1/J263*(X263/H263),"0")</f>
        <v>0.10127314814814814</v>
      </c>
      <c r="BP263" s="64">
        <f>IFERROR(1/J263*(Y263/H263),"0")</f>
        <v>0.109375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1">
        <v>4680115885844</v>
      </c>
      <c r="E264" s="552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1">
        <v>4680115885820</v>
      </c>
      <c r="E265" s="552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54"/>
      <c r="C266" s="554"/>
      <c r="D266" s="554"/>
      <c r="E266" s="554"/>
      <c r="F266" s="554"/>
      <c r="G266" s="554"/>
      <c r="H266" s="554"/>
      <c r="I266" s="554"/>
      <c r="J266" s="554"/>
      <c r="K266" s="554"/>
      <c r="L266" s="554"/>
      <c r="M266" s="554"/>
      <c r="N266" s="554"/>
      <c r="O266" s="570"/>
      <c r="P266" s="556" t="s">
        <v>75</v>
      </c>
      <c r="Q266" s="557"/>
      <c r="R266" s="557"/>
      <c r="S266" s="557"/>
      <c r="T266" s="557"/>
      <c r="U266" s="557"/>
      <c r="V266" s="558"/>
      <c r="W266" s="37" t="s">
        <v>76</v>
      </c>
      <c r="X266" s="549">
        <f>IFERROR(X261/H261,"0")+IFERROR(X262/H262,"0")+IFERROR(X263/H263,"0")+IFERROR(X264/H264,"0")+IFERROR(X265/H265,"0")</f>
        <v>6.481481481481481</v>
      </c>
      <c r="Y266" s="549">
        <f>IFERROR(Y261/H261,"0")+IFERROR(Y262/H262,"0")+IFERROR(Y263/H263,"0")+IFERROR(Y264/H264,"0")+IFERROR(Y265/H265,"0")</f>
        <v>7</v>
      </c>
      <c r="Z266" s="549">
        <f>IFERROR(IF(Z261="",0,Z261),"0")+IFERROR(IF(Z262="",0,Z262),"0")+IFERROR(IF(Z263="",0,Z263),"0")+IFERROR(IF(Z264="",0,Z264),"0")+IFERROR(IF(Z265="",0,Z265),"0")</f>
        <v>0.13286000000000001</v>
      </c>
      <c r="AA266" s="550"/>
      <c r="AB266" s="550"/>
      <c r="AC266" s="550"/>
    </row>
    <row r="267" spans="1:68" x14ac:dyDescent="0.2">
      <c r="A267" s="554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70"/>
      <c r="P267" s="556" t="s">
        <v>75</v>
      </c>
      <c r="Q267" s="557"/>
      <c r="R267" s="557"/>
      <c r="S267" s="557"/>
      <c r="T267" s="557"/>
      <c r="U267" s="557"/>
      <c r="V267" s="558"/>
      <c r="W267" s="37" t="s">
        <v>69</v>
      </c>
      <c r="X267" s="549">
        <f>IFERROR(SUM(X261:X265),"0")</f>
        <v>70</v>
      </c>
      <c r="Y267" s="549">
        <f>IFERROR(SUM(Y261:Y265),"0")</f>
        <v>75.600000000000009</v>
      </c>
      <c r="Z267" s="37"/>
      <c r="AA267" s="550"/>
      <c r="AB267" s="550"/>
      <c r="AC267" s="550"/>
    </row>
    <row r="268" spans="1:68" ht="16.5" hidden="1" customHeight="1" x14ac:dyDescent="0.25">
      <c r="A268" s="555" t="s">
        <v>436</v>
      </c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4"/>
      <c r="P268" s="554"/>
      <c r="Q268" s="554"/>
      <c r="R268" s="554"/>
      <c r="S268" s="554"/>
      <c r="T268" s="554"/>
      <c r="U268" s="554"/>
      <c r="V268" s="554"/>
      <c r="W268" s="554"/>
      <c r="X268" s="554"/>
      <c r="Y268" s="554"/>
      <c r="Z268" s="554"/>
      <c r="AA268" s="542"/>
      <c r="AB268" s="542"/>
      <c r="AC268" s="542"/>
    </row>
    <row r="269" spans="1:68" ht="14.25" hidden="1" customHeight="1" x14ac:dyDescent="0.25">
      <c r="A269" s="553" t="s">
        <v>101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1">
        <v>4607091383423</v>
      </c>
      <c r="E270" s="552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79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0"/>
      <c r="R270" s="560"/>
      <c r="S270" s="560"/>
      <c r="T270" s="561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1">
        <v>4680115886957</v>
      </c>
      <c r="E271" s="552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0"/>
      <c r="R271" s="560"/>
      <c r="S271" s="560"/>
      <c r="T271" s="561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1">
        <v>4680115885660</v>
      </c>
      <c r="E272" s="552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1">
        <v>4680115886773</v>
      </c>
      <c r="E273" s="552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9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70"/>
      <c r="P274" s="556" t="s">
        <v>75</v>
      </c>
      <c r="Q274" s="557"/>
      <c r="R274" s="557"/>
      <c r="S274" s="557"/>
      <c r="T274" s="557"/>
      <c r="U274" s="557"/>
      <c r="V274" s="558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70"/>
      <c r="P275" s="556" t="s">
        <v>75</v>
      </c>
      <c r="Q275" s="557"/>
      <c r="R275" s="557"/>
      <c r="S275" s="557"/>
      <c r="T275" s="557"/>
      <c r="U275" s="557"/>
      <c r="V275" s="558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5" t="s">
        <v>447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42"/>
      <c r="AB276" s="542"/>
      <c r="AC276" s="542"/>
    </row>
    <row r="277" spans="1:68" ht="14.25" hidden="1" customHeight="1" x14ac:dyDescent="0.25">
      <c r="A277" s="553" t="s">
        <v>77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1">
        <v>4680115886186</v>
      </c>
      <c r="E278" s="552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0"/>
      <c r="R278" s="560"/>
      <c r="S278" s="560"/>
      <c r="T278" s="561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1">
        <v>4680115881228</v>
      </c>
      <c r="E279" s="552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7">
        <v>48</v>
      </c>
      <c r="Y279" s="548">
        <f>IFERROR(IF(X279="",0,CEILING((X279/$H279),1)*$H279),"")</f>
        <v>48</v>
      </c>
      <c r="Z279" s="36">
        <f>IFERROR(IF(Y279=0,"",ROUNDUP(Y279/H279,0)*0.00651),"")</f>
        <v>0.13020000000000001</v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53.040000000000006</v>
      </c>
      <c r="BN279" s="64">
        <f>IFERROR(Y279*I279/H279,"0")</f>
        <v>53.040000000000006</v>
      </c>
      <c r="BO279" s="64">
        <f>IFERROR(1/J279*(X279/H279),"0")</f>
        <v>0.1098901098901099</v>
      </c>
      <c r="BP279" s="64">
        <f>IFERROR(1/J279*(Y279/H279),"0")</f>
        <v>0.1098901098901099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1">
        <v>4680115881211</v>
      </c>
      <c r="E280" s="552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0"/>
      <c r="R280" s="560"/>
      <c r="S280" s="560"/>
      <c r="T280" s="561"/>
      <c r="U280" s="34"/>
      <c r="V280" s="34"/>
      <c r="W280" s="35" t="s">
        <v>69</v>
      </c>
      <c r="X280" s="547">
        <v>48</v>
      </c>
      <c r="Y280" s="548">
        <f>IFERROR(IF(X280="",0,CEILING((X280/$H280),1)*$H280),"")</f>
        <v>48</v>
      </c>
      <c r="Z280" s="36">
        <f>IFERROR(IF(Y280=0,"",ROUNDUP(Y280/H280,0)*0.00651),"")</f>
        <v>0.13020000000000001</v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51.6</v>
      </c>
      <c r="BN280" s="64">
        <f>IFERROR(Y280*I280/H280,"0")</f>
        <v>51.6</v>
      </c>
      <c r="BO280" s="64">
        <f>IFERROR(1/J280*(X280/H280),"0")</f>
        <v>0.1098901098901099</v>
      </c>
      <c r="BP280" s="64">
        <f>IFERROR(1/J280*(Y280/H280),"0")</f>
        <v>0.1098901098901099</v>
      </c>
    </row>
    <row r="281" spans="1:68" x14ac:dyDescent="0.2">
      <c r="A281" s="569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70"/>
      <c r="P281" s="556" t="s">
        <v>75</v>
      </c>
      <c r="Q281" s="557"/>
      <c r="R281" s="557"/>
      <c r="S281" s="557"/>
      <c r="T281" s="557"/>
      <c r="U281" s="557"/>
      <c r="V281" s="558"/>
      <c r="W281" s="37" t="s">
        <v>76</v>
      </c>
      <c r="X281" s="549">
        <f>IFERROR(X278/H278,"0")+IFERROR(X279/H279,"0")+IFERROR(X280/H280,"0")</f>
        <v>40</v>
      </c>
      <c r="Y281" s="549">
        <f>IFERROR(Y278/H278,"0")+IFERROR(Y279/H279,"0")+IFERROR(Y280/H280,"0")</f>
        <v>40</v>
      </c>
      <c r="Z281" s="549">
        <f>IFERROR(IF(Z278="",0,Z278),"0")+IFERROR(IF(Z279="",0,Z279),"0")+IFERROR(IF(Z280="",0,Z280),"0")</f>
        <v>0.26040000000000002</v>
      </c>
      <c r="AA281" s="550"/>
      <c r="AB281" s="550"/>
      <c r="AC281" s="550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70"/>
      <c r="P282" s="556" t="s">
        <v>75</v>
      </c>
      <c r="Q282" s="557"/>
      <c r="R282" s="557"/>
      <c r="S282" s="557"/>
      <c r="T282" s="557"/>
      <c r="U282" s="557"/>
      <c r="V282" s="558"/>
      <c r="W282" s="37" t="s">
        <v>69</v>
      </c>
      <c r="X282" s="549">
        <f>IFERROR(SUM(X278:X280),"0")</f>
        <v>96</v>
      </c>
      <c r="Y282" s="549">
        <f>IFERROR(SUM(Y278:Y280),"0")</f>
        <v>96</v>
      </c>
      <c r="Z282" s="37"/>
      <c r="AA282" s="550"/>
      <c r="AB282" s="550"/>
      <c r="AC282" s="550"/>
    </row>
    <row r="283" spans="1:68" ht="16.5" hidden="1" customHeight="1" x14ac:dyDescent="0.25">
      <c r="A283" s="555" t="s">
        <v>456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42"/>
      <c r="AB283" s="542"/>
      <c r="AC283" s="542"/>
    </row>
    <row r="284" spans="1:68" ht="14.25" hidden="1" customHeight="1" x14ac:dyDescent="0.25">
      <c r="A284" s="553" t="s">
        <v>64</v>
      </c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4"/>
      <c r="P284" s="554"/>
      <c r="Q284" s="554"/>
      <c r="R284" s="554"/>
      <c r="S284" s="554"/>
      <c r="T284" s="554"/>
      <c r="U284" s="554"/>
      <c r="V284" s="554"/>
      <c r="W284" s="554"/>
      <c r="X284" s="554"/>
      <c r="Y284" s="554"/>
      <c r="Z284" s="554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1">
        <v>4680115880344</v>
      </c>
      <c r="E285" s="552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0"/>
      <c r="R285" s="560"/>
      <c r="S285" s="560"/>
      <c r="T285" s="561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1">
        <v>4680115886919</v>
      </c>
      <c r="E286" s="552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0"/>
      <c r="R286" s="560"/>
      <c r="S286" s="560"/>
      <c r="T286" s="561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9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70"/>
      <c r="P287" s="556" t="s">
        <v>75</v>
      </c>
      <c r="Q287" s="557"/>
      <c r="R287" s="557"/>
      <c r="S287" s="557"/>
      <c r="T287" s="557"/>
      <c r="U287" s="557"/>
      <c r="V287" s="558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4"/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70"/>
      <c r="P288" s="556" t="s">
        <v>75</v>
      </c>
      <c r="Q288" s="557"/>
      <c r="R288" s="557"/>
      <c r="S288" s="557"/>
      <c r="T288" s="557"/>
      <c r="U288" s="557"/>
      <c r="V288" s="558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53" t="s">
        <v>77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1">
        <v>4680115884618</v>
      </c>
      <c r="E290" s="552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0"/>
      <c r="R290" s="560"/>
      <c r="S290" s="560"/>
      <c r="T290" s="561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1">
        <v>4680115887114</v>
      </c>
      <c r="E291" s="552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9"/>
      <c r="B292" s="554"/>
      <c r="C292" s="554"/>
      <c r="D292" s="554"/>
      <c r="E292" s="554"/>
      <c r="F292" s="554"/>
      <c r="G292" s="554"/>
      <c r="H292" s="554"/>
      <c r="I292" s="554"/>
      <c r="J292" s="554"/>
      <c r="K292" s="554"/>
      <c r="L292" s="554"/>
      <c r="M292" s="554"/>
      <c r="N292" s="554"/>
      <c r="O292" s="570"/>
      <c r="P292" s="556" t="s">
        <v>75</v>
      </c>
      <c r="Q292" s="557"/>
      <c r="R292" s="557"/>
      <c r="S292" s="557"/>
      <c r="T292" s="557"/>
      <c r="U292" s="557"/>
      <c r="V292" s="558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4"/>
      <c r="B293" s="554"/>
      <c r="C293" s="554"/>
      <c r="D293" s="554"/>
      <c r="E293" s="554"/>
      <c r="F293" s="554"/>
      <c r="G293" s="554"/>
      <c r="H293" s="554"/>
      <c r="I293" s="554"/>
      <c r="J293" s="554"/>
      <c r="K293" s="554"/>
      <c r="L293" s="554"/>
      <c r="M293" s="554"/>
      <c r="N293" s="554"/>
      <c r="O293" s="570"/>
      <c r="P293" s="556" t="s">
        <v>75</v>
      </c>
      <c r="Q293" s="557"/>
      <c r="R293" s="557"/>
      <c r="S293" s="557"/>
      <c r="T293" s="557"/>
      <c r="U293" s="557"/>
      <c r="V293" s="558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5" t="s">
        <v>469</v>
      </c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4"/>
      <c r="P294" s="554"/>
      <c r="Q294" s="554"/>
      <c r="R294" s="554"/>
      <c r="S294" s="554"/>
      <c r="T294" s="554"/>
      <c r="U294" s="554"/>
      <c r="V294" s="554"/>
      <c r="W294" s="554"/>
      <c r="X294" s="554"/>
      <c r="Y294" s="554"/>
      <c r="Z294" s="554"/>
      <c r="AA294" s="542"/>
      <c r="AB294" s="542"/>
      <c r="AC294" s="542"/>
    </row>
    <row r="295" spans="1:68" ht="14.25" hidden="1" customHeight="1" x14ac:dyDescent="0.25">
      <c r="A295" s="553" t="s">
        <v>101</v>
      </c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4"/>
      <c r="P295" s="554"/>
      <c r="Q295" s="554"/>
      <c r="R295" s="554"/>
      <c r="S295" s="554"/>
      <c r="T295" s="554"/>
      <c r="U295" s="554"/>
      <c r="V295" s="554"/>
      <c r="W295" s="554"/>
      <c r="X295" s="554"/>
      <c r="Y295" s="554"/>
      <c r="Z295" s="554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1">
        <v>4607091386004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0"/>
      <c r="R296" s="560"/>
      <c r="S296" s="560"/>
      <c r="T296" s="561"/>
      <c r="U296" s="34"/>
      <c r="V296" s="34"/>
      <c r="W296" s="35" t="s">
        <v>69</v>
      </c>
      <c r="X296" s="547">
        <v>300</v>
      </c>
      <c r="Y296" s="548">
        <f t="shared" ref="Y296:Y301" si="26">IFERROR(IF(X296="",0,CEILING((X296/$H296),1)*$H296),"")</f>
        <v>302.40000000000003</v>
      </c>
      <c r="Z296" s="36">
        <f>IFERROR(IF(Y296=0,"",ROUNDUP(Y296/H296,0)*0.01898),"")</f>
        <v>0.53144000000000002</v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311.38888888888891</v>
      </c>
      <c r="BN296" s="64">
        <f t="shared" ref="BN296:BN301" si="28">IFERROR(Y296*I296/H296,"0")</f>
        <v>313.88</v>
      </c>
      <c r="BO296" s="64">
        <f t="shared" ref="BO296:BO301" si="29">IFERROR(1/J296*(X296/H296),"0")</f>
        <v>0.43402777777777773</v>
      </c>
      <c r="BP296" s="64">
        <f t="shared" ref="BP296:BP301" si="30">IFERROR(1/J296*(Y296/H296),"0")</f>
        <v>0.4375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1">
        <v>4680115885615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7">
        <v>330</v>
      </c>
      <c r="Y297" s="548">
        <f t="shared" si="26"/>
        <v>334.8</v>
      </c>
      <c r="Z297" s="36">
        <f>IFERROR(IF(Y297=0,"",ROUNDUP(Y297/H297,0)*0.01898),"")</f>
        <v>0.58838000000000001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342.52777777777777</v>
      </c>
      <c r="BN297" s="64">
        <f t="shared" si="28"/>
        <v>347.51000000000005</v>
      </c>
      <c r="BO297" s="64">
        <f t="shared" si="29"/>
        <v>0.47743055555555552</v>
      </c>
      <c r="BP297" s="64">
        <f t="shared" si="30"/>
        <v>0.484375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1">
        <v>4680115885646</v>
      </c>
      <c r="E298" s="552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1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7">
        <v>40</v>
      </c>
      <c r="Y298" s="548">
        <f t="shared" si="26"/>
        <v>43.2</v>
      </c>
      <c r="Z298" s="36">
        <f>IFERROR(IF(Y298=0,"",ROUNDUP(Y298/H298,0)*0.01898),"")</f>
        <v>7.5920000000000001E-2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41.518518518518519</v>
      </c>
      <c r="BN298" s="64">
        <f t="shared" si="28"/>
        <v>44.84</v>
      </c>
      <c r="BO298" s="64">
        <f t="shared" si="29"/>
        <v>5.7870370370370364E-2</v>
      </c>
      <c r="BP298" s="64">
        <f t="shared" si="30"/>
        <v>6.25E-2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1">
        <v>4680115885554</v>
      </c>
      <c r="E299" s="552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1">
        <v>4680115885622</v>
      </c>
      <c r="E300" s="552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7">
        <v>60</v>
      </c>
      <c r="Y300" s="548">
        <f t="shared" si="26"/>
        <v>60</v>
      </c>
      <c r="Z300" s="36">
        <f>IFERROR(IF(Y300=0,"",ROUNDUP(Y300/H300,0)*0.00902),"")</f>
        <v>0.1353</v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62.850000000000009</v>
      </c>
      <c r="BN300" s="64">
        <f t="shared" si="28"/>
        <v>62.850000000000009</v>
      </c>
      <c r="BO300" s="64">
        <f t="shared" si="29"/>
        <v>0.11363636363636365</v>
      </c>
      <c r="BP300" s="64">
        <f t="shared" si="30"/>
        <v>0.11363636363636365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1">
        <v>4680115885608</v>
      </c>
      <c r="E301" s="552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7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7">
        <v>36</v>
      </c>
      <c r="Y301" s="548">
        <f t="shared" si="26"/>
        <v>36</v>
      </c>
      <c r="Z301" s="36">
        <f>IFERROR(IF(Y301=0,"",ROUNDUP(Y301/H301,0)*0.00902),"")</f>
        <v>8.1180000000000002E-2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37.71</v>
      </c>
      <c r="BN301" s="64">
        <f t="shared" si="28"/>
        <v>37.71</v>
      </c>
      <c r="BO301" s="64">
        <f t="shared" si="29"/>
        <v>6.8181818181818177E-2</v>
      </c>
      <c r="BP301" s="64">
        <f t="shared" si="30"/>
        <v>6.8181818181818177E-2</v>
      </c>
    </row>
    <row r="302" spans="1:68" x14ac:dyDescent="0.2">
      <c r="A302" s="569"/>
      <c r="B302" s="554"/>
      <c r="C302" s="554"/>
      <c r="D302" s="554"/>
      <c r="E302" s="554"/>
      <c r="F302" s="554"/>
      <c r="G302" s="554"/>
      <c r="H302" s="554"/>
      <c r="I302" s="554"/>
      <c r="J302" s="554"/>
      <c r="K302" s="554"/>
      <c r="L302" s="554"/>
      <c r="M302" s="554"/>
      <c r="N302" s="554"/>
      <c r="O302" s="570"/>
      <c r="P302" s="556" t="s">
        <v>75</v>
      </c>
      <c r="Q302" s="557"/>
      <c r="R302" s="557"/>
      <c r="S302" s="557"/>
      <c r="T302" s="557"/>
      <c r="U302" s="557"/>
      <c r="V302" s="558"/>
      <c r="W302" s="37" t="s">
        <v>76</v>
      </c>
      <c r="X302" s="549">
        <f>IFERROR(X296/H296,"0")+IFERROR(X297/H297,"0")+IFERROR(X298/H298,"0")+IFERROR(X299/H299,"0")+IFERROR(X300/H300,"0")+IFERROR(X301/H301,"0")</f>
        <v>86.037037037037038</v>
      </c>
      <c r="Y302" s="549">
        <f>IFERROR(Y296/H296,"0")+IFERROR(Y297/H297,"0")+IFERROR(Y298/H298,"0")+IFERROR(Y299/H299,"0")+IFERROR(Y300/H300,"0")+IFERROR(Y301/H301,"0")</f>
        <v>87</v>
      </c>
      <c r="Z302" s="549">
        <f>IFERROR(IF(Z296="",0,Z296),"0")+IFERROR(IF(Z297="",0,Z297),"0")+IFERROR(IF(Z298="",0,Z298),"0")+IFERROR(IF(Z299="",0,Z299),"0")+IFERROR(IF(Z300="",0,Z300),"0")+IFERROR(IF(Z301="",0,Z301),"0")</f>
        <v>1.41222</v>
      </c>
      <c r="AA302" s="550"/>
      <c r="AB302" s="550"/>
      <c r="AC302" s="550"/>
    </row>
    <row r="303" spans="1:68" x14ac:dyDescent="0.2">
      <c r="A303" s="554"/>
      <c r="B303" s="554"/>
      <c r="C303" s="554"/>
      <c r="D303" s="554"/>
      <c r="E303" s="554"/>
      <c r="F303" s="554"/>
      <c r="G303" s="554"/>
      <c r="H303" s="554"/>
      <c r="I303" s="554"/>
      <c r="J303" s="554"/>
      <c r="K303" s="554"/>
      <c r="L303" s="554"/>
      <c r="M303" s="554"/>
      <c r="N303" s="554"/>
      <c r="O303" s="570"/>
      <c r="P303" s="556" t="s">
        <v>75</v>
      </c>
      <c r="Q303" s="557"/>
      <c r="R303" s="557"/>
      <c r="S303" s="557"/>
      <c r="T303" s="557"/>
      <c r="U303" s="557"/>
      <c r="V303" s="558"/>
      <c r="W303" s="37" t="s">
        <v>69</v>
      </c>
      <c r="X303" s="549">
        <f>IFERROR(SUM(X296:X301),"0")</f>
        <v>766</v>
      </c>
      <c r="Y303" s="549">
        <f>IFERROR(SUM(Y296:Y301),"0")</f>
        <v>776.40000000000009</v>
      </c>
      <c r="Z303" s="37"/>
      <c r="AA303" s="550"/>
      <c r="AB303" s="550"/>
      <c r="AC303" s="550"/>
    </row>
    <row r="304" spans="1:68" ht="14.25" hidden="1" customHeight="1" x14ac:dyDescent="0.25">
      <c r="A304" s="553" t="s">
        <v>64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1">
        <v>4607091387193</v>
      </c>
      <c r="E305" s="552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7">
        <v>40</v>
      </c>
      <c r="Y305" s="548">
        <f t="shared" ref="Y305:Y310" si="31">IFERROR(IF(X305="",0,CEILING((X305/$H305),1)*$H305),"")</f>
        <v>42</v>
      </c>
      <c r="Z305" s="36">
        <f>IFERROR(IF(Y305=0,"",ROUNDUP(Y305/H305,0)*0.00902),"")</f>
        <v>9.0200000000000002E-2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42.38095238095238</v>
      </c>
      <c r="BN305" s="64">
        <f t="shared" ref="BN305:BN310" si="33">IFERROR(Y305*I305/H305,"0")</f>
        <v>44.5</v>
      </c>
      <c r="BO305" s="64">
        <f t="shared" ref="BO305:BO310" si="34">IFERROR(1/J305*(X305/H305),"0")</f>
        <v>7.2150072150072145E-2</v>
      </c>
      <c r="BP305" s="64">
        <f t="shared" ref="BP305:BP310" si="35">IFERROR(1/J305*(Y305/H305),"0")</f>
        <v>7.575757575757576E-2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1">
        <v>4607091387230</v>
      </c>
      <c r="E306" s="552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7">
        <v>400</v>
      </c>
      <c r="Y306" s="548">
        <f t="shared" si="31"/>
        <v>403.20000000000005</v>
      </c>
      <c r="Z306" s="36">
        <f>IFERROR(IF(Y306=0,"",ROUNDUP(Y306/H306,0)*0.00902),"")</f>
        <v>0.86592000000000002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423.8095238095238</v>
      </c>
      <c r="BN306" s="64">
        <f t="shared" si="33"/>
        <v>427.20000000000005</v>
      </c>
      <c r="BO306" s="64">
        <f t="shared" si="34"/>
        <v>0.72150072150072153</v>
      </c>
      <c r="BP306" s="64">
        <f t="shared" si="35"/>
        <v>0.72727272727272729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1">
        <v>4607091387292</v>
      </c>
      <c r="E307" s="552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1">
        <v>4607091387285</v>
      </c>
      <c r="E308" s="552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7">
        <v>21</v>
      </c>
      <c r="Y308" s="548">
        <f t="shared" si="31"/>
        <v>21</v>
      </c>
      <c r="Z308" s="36">
        <f>IFERROR(IF(Y308=0,"",ROUNDUP(Y308/H308,0)*0.00502),"")</f>
        <v>5.0200000000000002E-2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22.299999999999997</v>
      </c>
      <c r="BN308" s="64">
        <f t="shared" si="33"/>
        <v>22.299999999999997</v>
      </c>
      <c r="BO308" s="64">
        <f t="shared" si="34"/>
        <v>4.2735042735042736E-2</v>
      </c>
      <c r="BP308" s="64">
        <f t="shared" si="35"/>
        <v>4.2735042735042736E-2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1">
        <v>4607091389845</v>
      </c>
      <c r="E309" s="552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7">
        <v>63</v>
      </c>
      <c r="Y309" s="548">
        <f t="shared" si="31"/>
        <v>63</v>
      </c>
      <c r="Z309" s="36">
        <f>IFERROR(IF(Y309=0,"",ROUNDUP(Y309/H309,0)*0.00502),"")</f>
        <v>0.15060000000000001</v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66.000000000000014</v>
      </c>
      <c r="BN309" s="64">
        <f t="shared" si="33"/>
        <v>66.000000000000014</v>
      </c>
      <c r="BO309" s="64">
        <f t="shared" si="34"/>
        <v>0.12820512820512822</v>
      </c>
      <c r="BP309" s="64">
        <f t="shared" si="35"/>
        <v>0.12820512820512822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1">
        <v>4607091383836</v>
      </c>
      <c r="E310" s="552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7">
        <v>60</v>
      </c>
      <c r="Y310" s="548">
        <f t="shared" si="31"/>
        <v>61.2</v>
      </c>
      <c r="Z310" s="36">
        <f>IFERROR(IF(Y310=0,"",ROUNDUP(Y310/H310,0)*0.00651),"")</f>
        <v>0.22134000000000001</v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67.600000000000009</v>
      </c>
      <c r="BN310" s="64">
        <f t="shared" si="33"/>
        <v>68.951999999999998</v>
      </c>
      <c r="BO310" s="64">
        <f t="shared" si="34"/>
        <v>0.18315018315018317</v>
      </c>
      <c r="BP310" s="64">
        <f t="shared" si="35"/>
        <v>0.18681318681318682</v>
      </c>
    </row>
    <row r="311" spans="1:68" x14ac:dyDescent="0.2">
      <c r="A311" s="569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70"/>
      <c r="P311" s="556" t="s">
        <v>75</v>
      </c>
      <c r="Q311" s="557"/>
      <c r="R311" s="557"/>
      <c r="S311" s="557"/>
      <c r="T311" s="557"/>
      <c r="U311" s="557"/>
      <c r="V311" s="558"/>
      <c r="W311" s="37" t="s">
        <v>76</v>
      </c>
      <c r="X311" s="549">
        <f>IFERROR(X305/H305,"0")+IFERROR(X306/H306,"0")+IFERROR(X307/H307,"0")+IFERROR(X308/H308,"0")+IFERROR(X309/H309,"0")+IFERROR(X310/H310,"0")</f>
        <v>178.0952380952381</v>
      </c>
      <c r="Y311" s="549">
        <f>IFERROR(Y305/H305,"0")+IFERROR(Y306/H306,"0")+IFERROR(Y307/H307,"0")+IFERROR(Y308/H308,"0")+IFERROR(Y309/H309,"0")+IFERROR(Y310/H310,"0")</f>
        <v>180</v>
      </c>
      <c r="Z311" s="549">
        <f>IFERROR(IF(Z305="",0,Z305),"0")+IFERROR(IF(Z306="",0,Z306),"0")+IFERROR(IF(Z307="",0,Z307),"0")+IFERROR(IF(Z308="",0,Z308),"0")+IFERROR(IF(Z309="",0,Z309),"0")+IFERROR(IF(Z310="",0,Z310),"0")</f>
        <v>1.3782600000000003</v>
      </c>
      <c r="AA311" s="550"/>
      <c r="AB311" s="550"/>
      <c r="AC311" s="550"/>
    </row>
    <row r="312" spans="1:68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70"/>
      <c r="P312" s="556" t="s">
        <v>75</v>
      </c>
      <c r="Q312" s="557"/>
      <c r="R312" s="557"/>
      <c r="S312" s="557"/>
      <c r="T312" s="557"/>
      <c r="U312" s="557"/>
      <c r="V312" s="558"/>
      <c r="W312" s="37" t="s">
        <v>69</v>
      </c>
      <c r="X312" s="549">
        <f>IFERROR(SUM(X305:X310),"0")</f>
        <v>584</v>
      </c>
      <c r="Y312" s="549">
        <f>IFERROR(SUM(Y305:Y310),"0")</f>
        <v>590.40000000000009</v>
      </c>
      <c r="Z312" s="37"/>
      <c r="AA312" s="550"/>
      <c r="AB312" s="550"/>
      <c r="AC312" s="550"/>
    </row>
    <row r="313" spans="1:68" ht="14.25" hidden="1" customHeight="1" x14ac:dyDescent="0.25">
      <c r="A313" s="553" t="s">
        <v>77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1">
        <v>4607091387766</v>
      </c>
      <c r="E314" s="552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7">
        <v>2100</v>
      </c>
      <c r="Y314" s="548">
        <f>IFERROR(IF(X314="",0,CEILING((X314/$H314),1)*$H314),"")</f>
        <v>2106</v>
      </c>
      <c r="Z314" s="36">
        <f>IFERROR(IF(Y314=0,"",ROUNDUP(Y314/H314,0)*0.01898),"")</f>
        <v>5.1246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2231.3846153846152</v>
      </c>
      <c r="BN314" s="64">
        <f>IFERROR(Y314*I314/H314,"0")</f>
        <v>2237.7600000000002</v>
      </c>
      <c r="BO314" s="64">
        <f>IFERROR(1/J314*(X314/H314),"0")</f>
        <v>4.2067307692307692</v>
      </c>
      <c r="BP314" s="64">
        <f>IFERROR(1/J314*(Y314/H314),"0")</f>
        <v>4.21875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1">
        <v>4607091387957</v>
      </c>
      <c r="E315" s="552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1">
        <v>4607091387964</v>
      </c>
      <c r="E316" s="552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1">
        <v>4680115884588</v>
      </c>
      <c r="E317" s="552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7">
        <v>60</v>
      </c>
      <c r="Y317" s="548">
        <f>IFERROR(IF(X317="",0,CEILING((X317/$H317),1)*$H317),"")</f>
        <v>60</v>
      </c>
      <c r="Z317" s="36">
        <f>IFERROR(IF(Y317=0,"",ROUNDUP(Y317/H317,0)*0.00651),"")</f>
        <v>0.13020000000000001</v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64.92</v>
      </c>
      <c r="BN317" s="64">
        <f>IFERROR(Y317*I317/H317,"0")</f>
        <v>64.92</v>
      </c>
      <c r="BO317" s="64">
        <f>IFERROR(1/J317*(X317/H317),"0")</f>
        <v>0.1098901098901099</v>
      </c>
      <c r="BP317" s="64">
        <f>IFERROR(1/J317*(Y317/H317),"0")</f>
        <v>0.1098901098901099</v>
      </c>
    </row>
    <row r="318" spans="1:68" x14ac:dyDescent="0.2">
      <c r="A318" s="569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70"/>
      <c r="P318" s="556" t="s">
        <v>75</v>
      </c>
      <c r="Q318" s="557"/>
      <c r="R318" s="557"/>
      <c r="S318" s="557"/>
      <c r="T318" s="557"/>
      <c r="U318" s="557"/>
      <c r="V318" s="558"/>
      <c r="W318" s="37" t="s">
        <v>76</v>
      </c>
      <c r="X318" s="549">
        <f>IFERROR(X314/H314,"0")+IFERROR(X315/H315,"0")+IFERROR(X316/H316,"0")+IFERROR(X317/H317,"0")</f>
        <v>289.23076923076923</v>
      </c>
      <c r="Y318" s="549">
        <f>IFERROR(Y314/H314,"0")+IFERROR(Y315/H315,"0")+IFERROR(Y316/H316,"0")+IFERROR(Y317/H317,"0")</f>
        <v>290</v>
      </c>
      <c r="Z318" s="549">
        <f>IFERROR(IF(Z314="",0,Z314),"0")+IFERROR(IF(Z315="",0,Z315),"0")+IFERROR(IF(Z316="",0,Z316),"0")+IFERROR(IF(Z317="",0,Z317),"0")</f>
        <v>5.2548000000000004</v>
      </c>
      <c r="AA318" s="550"/>
      <c r="AB318" s="550"/>
      <c r="AC318" s="550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70"/>
      <c r="P319" s="556" t="s">
        <v>75</v>
      </c>
      <c r="Q319" s="557"/>
      <c r="R319" s="557"/>
      <c r="S319" s="557"/>
      <c r="T319" s="557"/>
      <c r="U319" s="557"/>
      <c r="V319" s="558"/>
      <c r="W319" s="37" t="s">
        <v>69</v>
      </c>
      <c r="X319" s="549">
        <f>IFERROR(SUM(X314:X317),"0")</f>
        <v>2160</v>
      </c>
      <c r="Y319" s="549">
        <f>IFERROR(SUM(Y314:Y317),"0")</f>
        <v>2166</v>
      </c>
      <c r="Z319" s="37"/>
      <c r="AA319" s="550"/>
      <c r="AB319" s="550"/>
      <c r="AC319" s="550"/>
    </row>
    <row r="320" spans="1:68" ht="14.25" hidden="1" customHeight="1" x14ac:dyDescent="0.25">
      <c r="A320" s="553" t="s">
        <v>161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1">
        <v>4607091380880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7">
        <v>200</v>
      </c>
      <c r="Y321" s="548">
        <f>IFERROR(IF(X321="",0,CEILING((X321/$H321),1)*$H321),"")</f>
        <v>201.60000000000002</v>
      </c>
      <c r="Z321" s="36">
        <f>IFERROR(IF(Y321=0,"",ROUNDUP(Y321/H321,0)*0.01898),"")</f>
        <v>0.45552000000000004</v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211.76190476190476</v>
      </c>
      <c r="BN321" s="64">
        <f>IFERROR(Y321*I321/H321,"0")</f>
        <v>213.45600000000002</v>
      </c>
      <c r="BO321" s="64">
        <f>IFERROR(1/J321*(X321/H321),"0")</f>
        <v>0.37202380952380953</v>
      </c>
      <c r="BP321" s="64">
        <f>IFERROR(1/J321*(Y321/H321),"0")</f>
        <v>0.375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1">
        <v>4607091384482</v>
      </c>
      <c r="E322" s="552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7">
        <v>240</v>
      </c>
      <c r="Y322" s="548">
        <f>IFERROR(IF(X322="",0,CEILING((X322/$H322),1)*$H322),"")</f>
        <v>241.79999999999998</v>
      </c>
      <c r="Z322" s="36">
        <f>IFERROR(IF(Y322=0,"",ROUNDUP(Y322/H322,0)*0.01898),"")</f>
        <v>0.58838000000000001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255.20000000000002</v>
      </c>
      <c r="BN322" s="64">
        <f>IFERROR(Y322*I322/H322,"0")</f>
        <v>257.11399999999998</v>
      </c>
      <c r="BO322" s="64">
        <f>IFERROR(1/J322*(X322/H322),"0")</f>
        <v>0.48076923076923078</v>
      </c>
      <c r="BP322" s="64">
        <f>IFERROR(1/J322*(Y322/H322),"0")</f>
        <v>0.484375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1">
        <v>4607091380897</v>
      </c>
      <c r="E323" s="552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7">
        <v>150</v>
      </c>
      <c r="Y323" s="548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69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70"/>
      <c r="P324" s="556" t="s">
        <v>75</v>
      </c>
      <c r="Q324" s="557"/>
      <c r="R324" s="557"/>
      <c r="S324" s="557"/>
      <c r="T324" s="557"/>
      <c r="U324" s="557"/>
      <c r="V324" s="558"/>
      <c r="W324" s="37" t="s">
        <v>76</v>
      </c>
      <c r="X324" s="549">
        <f>IFERROR(X321/H321,"0")+IFERROR(X322/H322,"0")+IFERROR(X323/H323,"0")</f>
        <v>72.435897435897445</v>
      </c>
      <c r="Y324" s="549">
        <f>IFERROR(Y321/H321,"0")+IFERROR(Y322/H322,"0")+IFERROR(Y323/H323,"0")</f>
        <v>73</v>
      </c>
      <c r="Z324" s="549">
        <f>IFERROR(IF(Z321="",0,Z321),"0")+IFERROR(IF(Z322="",0,Z322),"0")+IFERROR(IF(Z323="",0,Z323),"0")</f>
        <v>1.38554</v>
      </c>
      <c r="AA324" s="550"/>
      <c r="AB324" s="550"/>
      <c r="AC324" s="550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70"/>
      <c r="P325" s="556" t="s">
        <v>75</v>
      </c>
      <c r="Q325" s="557"/>
      <c r="R325" s="557"/>
      <c r="S325" s="557"/>
      <c r="T325" s="557"/>
      <c r="U325" s="557"/>
      <c r="V325" s="558"/>
      <c r="W325" s="37" t="s">
        <v>69</v>
      </c>
      <c r="X325" s="549">
        <f>IFERROR(SUM(X321:X323),"0")</f>
        <v>590</v>
      </c>
      <c r="Y325" s="549">
        <f>IFERROR(SUM(Y321:Y323),"0")</f>
        <v>594.6</v>
      </c>
      <c r="Z325" s="37"/>
      <c r="AA325" s="550"/>
      <c r="AB325" s="550"/>
      <c r="AC325" s="550"/>
    </row>
    <row r="326" spans="1:68" ht="14.25" hidden="1" customHeight="1" x14ac:dyDescent="0.25">
      <c r="A326" s="553" t="s">
        <v>93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1">
        <v>4607091388381</v>
      </c>
      <c r="E327" s="552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7">
        <v>21</v>
      </c>
      <c r="Y327" s="548">
        <f>IFERROR(IF(X327="",0,CEILING((X327/$H327),1)*$H327),"")</f>
        <v>21.28</v>
      </c>
      <c r="Z327" s="36">
        <f>IFERROR(IF(Y327=0,"",ROUNDUP(Y327/H327,0)*0.00902),"")</f>
        <v>6.3140000000000002E-2</v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22.86513157894737</v>
      </c>
      <c r="BN327" s="64">
        <f>IFERROR(Y327*I327/H327,"0")</f>
        <v>23.17</v>
      </c>
      <c r="BO327" s="64">
        <f>IFERROR(1/J327*(X327/H327),"0")</f>
        <v>5.2332535885167467E-2</v>
      </c>
      <c r="BP327" s="64">
        <f>IFERROR(1/J327*(Y327/H327),"0")</f>
        <v>5.3030303030303032E-2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1">
        <v>4607091388374</v>
      </c>
      <c r="E328" s="552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7">
        <v>21</v>
      </c>
      <c r="Y328" s="548">
        <f>IFERROR(IF(X328="",0,CEILING((X328/$H328),1)*$H328),"")</f>
        <v>21.28</v>
      </c>
      <c r="Z328" s="36">
        <f>IFERROR(IF(Y328=0,"",ROUNDUP(Y328/H328,0)*0.00902),"")</f>
        <v>6.3140000000000002E-2</v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22.588815789473685</v>
      </c>
      <c r="BN328" s="64">
        <f>IFERROR(Y328*I328/H328,"0")</f>
        <v>22.89</v>
      </c>
      <c r="BO328" s="64">
        <f>IFERROR(1/J328*(X328/H328),"0")</f>
        <v>5.2332535885167467E-2</v>
      </c>
      <c r="BP328" s="64">
        <f>IFERROR(1/J328*(Y328/H328),"0")</f>
        <v>5.3030303030303032E-2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1">
        <v>4607091383102</v>
      </c>
      <c r="E329" s="552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7">
        <v>17.850000000000001</v>
      </c>
      <c r="Y329" s="548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20.685000000000002</v>
      </c>
      <c r="BN329" s="64">
        <f>IFERROR(Y329*I329/H329,"0")</f>
        <v>20.684999999999999</v>
      </c>
      <c r="BO329" s="64">
        <f>IFERROR(1/J329*(X329/H329),"0")</f>
        <v>3.8461538461538471E-2</v>
      </c>
      <c r="BP329" s="64">
        <f>IFERROR(1/J329*(Y329/H329),"0")</f>
        <v>3.8461538461538464E-2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1">
        <v>4607091388404</v>
      </c>
      <c r="E330" s="552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8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9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70"/>
      <c r="P331" s="556" t="s">
        <v>75</v>
      </c>
      <c r="Q331" s="557"/>
      <c r="R331" s="557"/>
      <c r="S331" s="557"/>
      <c r="T331" s="557"/>
      <c r="U331" s="557"/>
      <c r="V331" s="558"/>
      <c r="W331" s="37" t="s">
        <v>76</v>
      </c>
      <c r="X331" s="549">
        <f>IFERROR(X327/H327,"0")+IFERROR(X328/H328,"0")+IFERROR(X329/H329,"0")+IFERROR(X330/H330,"0")</f>
        <v>20.815789473684212</v>
      </c>
      <c r="Y331" s="549">
        <f>IFERROR(Y327/H327,"0")+IFERROR(Y328/H328,"0")+IFERROR(Y329/H329,"0")+IFERROR(Y330/H330,"0")</f>
        <v>21</v>
      </c>
      <c r="Z331" s="549">
        <f>IFERROR(IF(Z327="",0,Z327),"0")+IFERROR(IF(Z328="",0,Z328),"0")+IFERROR(IF(Z329="",0,Z329),"0")+IFERROR(IF(Z330="",0,Z330),"0")</f>
        <v>0.17185</v>
      </c>
      <c r="AA331" s="550"/>
      <c r="AB331" s="550"/>
      <c r="AC331" s="550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70"/>
      <c r="P332" s="556" t="s">
        <v>75</v>
      </c>
      <c r="Q332" s="557"/>
      <c r="R332" s="557"/>
      <c r="S332" s="557"/>
      <c r="T332" s="557"/>
      <c r="U332" s="557"/>
      <c r="V332" s="558"/>
      <c r="W332" s="37" t="s">
        <v>69</v>
      </c>
      <c r="X332" s="549">
        <f>IFERROR(SUM(X327:X330),"0")</f>
        <v>59.85</v>
      </c>
      <c r="Y332" s="549">
        <f>IFERROR(SUM(Y327:Y330),"0")</f>
        <v>60.41</v>
      </c>
      <c r="Z332" s="37"/>
      <c r="AA332" s="550"/>
      <c r="AB332" s="550"/>
      <c r="AC332" s="550"/>
    </row>
    <row r="333" spans="1:68" ht="14.25" hidden="1" customHeight="1" x14ac:dyDescent="0.25">
      <c r="A333" s="553" t="s">
        <v>534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1">
        <v>4680115881808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7">
        <v>24</v>
      </c>
      <c r="Y334" s="548">
        <f>IFERROR(IF(X334="",0,CEILING((X334/$H334),1)*$H334),"")</f>
        <v>24</v>
      </c>
      <c r="Z334" s="36">
        <f>IFERROR(IF(Y334=0,"",ROUNDUP(Y334/H334,0)*0.00474),"")</f>
        <v>5.688E-2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26.880000000000003</v>
      </c>
      <c r="BN334" s="64">
        <f>IFERROR(Y334*I334/H334,"0")</f>
        <v>26.880000000000003</v>
      </c>
      <c r="BO334" s="64">
        <f>IFERROR(1/J334*(X334/H334),"0")</f>
        <v>5.0420168067226892E-2</v>
      </c>
      <c r="BP334" s="64">
        <f>IFERROR(1/J334*(Y334/H334),"0")</f>
        <v>5.0420168067226892E-2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1">
        <v>4680115881822</v>
      </c>
      <c r="E335" s="552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7">
        <v>26</v>
      </c>
      <c r="Y335" s="548">
        <f>IFERROR(IF(X335="",0,CEILING((X335/$H335),1)*$H335),"")</f>
        <v>26</v>
      </c>
      <c r="Z335" s="36">
        <f>IFERROR(IF(Y335=0,"",ROUNDUP(Y335/H335,0)*0.00474),"")</f>
        <v>6.1620000000000001E-2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29.120000000000005</v>
      </c>
      <c r="BN335" s="64">
        <f>IFERROR(Y335*I335/H335,"0")</f>
        <v>29.120000000000005</v>
      </c>
      <c r="BO335" s="64">
        <f>IFERROR(1/J335*(X335/H335),"0")</f>
        <v>5.4621848739495799E-2</v>
      </c>
      <c r="BP335" s="64">
        <f>IFERROR(1/J335*(Y335/H335),"0")</f>
        <v>5.4621848739495799E-2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1">
        <v>4680115880016</v>
      </c>
      <c r="E336" s="552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7">
        <v>30</v>
      </c>
      <c r="Y336" s="548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x14ac:dyDescent="0.2">
      <c r="A337" s="569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70"/>
      <c r="P337" s="556" t="s">
        <v>75</v>
      </c>
      <c r="Q337" s="557"/>
      <c r="R337" s="557"/>
      <c r="S337" s="557"/>
      <c r="T337" s="557"/>
      <c r="U337" s="557"/>
      <c r="V337" s="558"/>
      <c r="W337" s="37" t="s">
        <v>76</v>
      </c>
      <c r="X337" s="549">
        <f>IFERROR(X334/H334,"0")+IFERROR(X335/H335,"0")+IFERROR(X336/H336,"0")</f>
        <v>40</v>
      </c>
      <c r="Y337" s="549">
        <f>IFERROR(Y334/H334,"0")+IFERROR(Y335/H335,"0")+IFERROR(Y336/H336,"0")</f>
        <v>40</v>
      </c>
      <c r="Z337" s="549">
        <f>IFERROR(IF(Z334="",0,Z334),"0")+IFERROR(IF(Z335="",0,Z335),"0")+IFERROR(IF(Z336="",0,Z336),"0")</f>
        <v>0.18959999999999999</v>
      </c>
      <c r="AA337" s="550"/>
      <c r="AB337" s="550"/>
      <c r="AC337" s="550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70"/>
      <c r="P338" s="556" t="s">
        <v>75</v>
      </c>
      <c r="Q338" s="557"/>
      <c r="R338" s="557"/>
      <c r="S338" s="557"/>
      <c r="T338" s="557"/>
      <c r="U338" s="557"/>
      <c r="V338" s="558"/>
      <c r="W338" s="37" t="s">
        <v>69</v>
      </c>
      <c r="X338" s="549">
        <f>IFERROR(SUM(X334:X336),"0")</f>
        <v>80</v>
      </c>
      <c r="Y338" s="549">
        <f>IFERROR(SUM(Y334:Y336),"0")</f>
        <v>80</v>
      </c>
      <c r="Z338" s="37"/>
      <c r="AA338" s="550"/>
      <c r="AB338" s="550"/>
      <c r="AC338" s="550"/>
    </row>
    <row r="339" spans="1:68" ht="16.5" hidden="1" customHeight="1" x14ac:dyDescent="0.25">
      <c r="A339" s="555" t="s">
        <v>543</v>
      </c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4"/>
      <c r="P339" s="554"/>
      <c r="Q339" s="554"/>
      <c r="R339" s="554"/>
      <c r="S339" s="554"/>
      <c r="T339" s="554"/>
      <c r="U339" s="554"/>
      <c r="V339" s="554"/>
      <c r="W339" s="554"/>
      <c r="X339" s="554"/>
      <c r="Y339" s="554"/>
      <c r="Z339" s="554"/>
      <c r="AA339" s="542"/>
      <c r="AB339" s="542"/>
      <c r="AC339" s="542"/>
    </row>
    <row r="340" spans="1:68" ht="14.25" hidden="1" customHeight="1" x14ac:dyDescent="0.25">
      <c r="A340" s="553" t="s">
        <v>77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1">
        <v>4607091387919</v>
      </c>
      <c r="E341" s="552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7">
        <v>200</v>
      </c>
      <c r="Y341" s="548">
        <f>IFERROR(IF(X341="",0,CEILING((X341/$H341),1)*$H341),"")</f>
        <v>202.5</v>
      </c>
      <c r="Z341" s="36">
        <f>IFERROR(IF(Y341=0,"",ROUNDUP(Y341/H341,0)*0.01898),"")</f>
        <v>0.47450000000000003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212.19753086419755</v>
      </c>
      <c r="BN341" s="64">
        <f>IFERROR(Y341*I341/H341,"0")</f>
        <v>214.85</v>
      </c>
      <c r="BO341" s="64">
        <f>IFERROR(1/J341*(X341/H341),"0")</f>
        <v>0.38580246913580246</v>
      </c>
      <c r="BP341" s="64">
        <f>IFERROR(1/J341*(Y341/H341),"0")</f>
        <v>0.390625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1">
        <v>4680115883604</v>
      </c>
      <c r="E342" s="552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7">
        <v>63</v>
      </c>
      <c r="Y342" s="548">
        <f>IFERROR(IF(X342="",0,CEILING((X342/$H342),1)*$H342),"")</f>
        <v>63</v>
      </c>
      <c r="Z342" s="36">
        <f>IFERROR(IF(Y342=0,"",ROUNDUP(Y342/H342,0)*0.00651),"")</f>
        <v>0.1953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70.559999999999988</v>
      </c>
      <c r="BN342" s="64">
        <f>IFERROR(Y342*I342/H342,"0")</f>
        <v>70.559999999999988</v>
      </c>
      <c r="BO342" s="64">
        <f>IFERROR(1/J342*(X342/H342),"0")</f>
        <v>0.16483516483516486</v>
      </c>
      <c r="BP342" s="64">
        <f>IFERROR(1/J342*(Y342/H342),"0")</f>
        <v>0.16483516483516486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1">
        <v>4680115883567</v>
      </c>
      <c r="E343" s="552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7">
        <v>52.5</v>
      </c>
      <c r="Y343" s="548">
        <f>IFERROR(IF(X343="",0,CEILING((X343/$H343),1)*$H343),"")</f>
        <v>52.5</v>
      </c>
      <c r="Z343" s="36">
        <f>IFERROR(IF(Y343=0,"",ROUNDUP(Y343/H343,0)*0.00651),"")</f>
        <v>0.16275000000000001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58.499999999999993</v>
      </c>
      <c r="BN343" s="64">
        <f>IFERROR(Y343*I343/H343,"0")</f>
        <v>58.499999999999993</v>
      </c>
      <c r="BO343" s="64">
        <f>IFERROR(1/J343*(X343/H343),"0")</f>
        <v>0.13736263736263737</v>
      </c>
      <c r="BP343" s="64">
        <f>IFERROR(1/J343*(Y343/H343),"0")</f>
        <v>0.13736263736263737</v>
      </c>
    </row>
    <row r="344" spans="1:68" x14ac:dyDescent="0.2">
      <c r="A344" s="569"/>
      <c r="B344" s="554"/>
      <c r="C344" s="554"/>
      <c r="D344" s="554"/>
      <c r="E344" s="554"/>
      <c r="F344" s="554"/>
      <c r="G344" s="554"/>
      <c r="H344" s="554"/>
      <c r="I344" s="554"/>
      <c r="J344" s="554"/>
      <c r="K344" s="554"/>
      <c r="L344" s="554"/>
      <c r="M344" s="554"/>
      <c r="N344" s="554"/>
      <c r="O344" s="570"/>
      <c r="P344" s="556" t="s">
        <v>75</v>
      </c>
      <c r="Q344" s="557"/>
      <c r="R344" s="557"/>
      <c r="S344" s="557"/>
      <c r="T344" s="557"/>
      <c r="U344" s="557"/>
      <c r="V344" s="558"/>
      <c r="W344" s="37" t="s">
        <v>76</v>
      </c>
      <c r="X344" s="549">
        <f>IFERROR(X341/H341,"0")+IFERROR(X342/H342,"0")+IFERROR(X343/H343,"0")</f>
        <v>79.691358024691354</v>
      </c>
      <c r="Y344" s="549">
        <f>IFERROR(Y341/H341,"0")+IFERROR(Y342/H342,"0")+IFERROR(Y343/H343,"0")</f>
        <v>80</v>
      </c>
      <c r="Z344" s="549">
        <f>IFERROR(IF(Z341="",0,Z341),"0")+IFERROR(IF(Z342="",0,Z342),"0")+IFERROR(IF(Z343="",0,Z343),"0")</f>
        <v>0.83255000000000012</v>
      </c>
      <c r="AA344" s="550"/>
      <c r="AB344" s="550"/>
      <c r="AC344" s="550"/>
    </row>
    <row r="345" spans="1:68" x14ac:dyDescent="0.2">
      <c r="A345" s="554"/>
      <c r="B345" s="554"/>
      <c r="C345" s="554"/>
      <c r="D345" s="554"/>
      <c r="E345" s="554"/>
      <c r="F345" s="554"/>
      <c r="G345" s="554"/>
      <c r="H345" s="554"/>
      <c r="I345" s="554"/>
      <c r="J345" s="554"/>
      <c r="K345" s="554"/>
      <c r="L345" s="554"/>
      <c r="M345" s="554"/>
      <c r="N345" s="554"/>
      <c r="O345" s="570"/>
      <c r="P345" s="556" t="s">
        <v>75</v>
      </c>
      <c r="Q345" s="557"/>
      <c r="R345" s="557"/>
      <c r="S345" s="557"/>
      <c r="T345" s="557"/>
      <c r="U345" s="557"/>
      <c r="V345" s="558"/>
      <c r="W345" s="37" t="s">
        <v>69</v>
      </c>
      <c r="X345" s="549">
        <f>IFERROR(SUM(X341:X343),"0")</f>
        <v>315.5</v>
      </c>
      <c r="Y345" s="549">
        <f>IFERROR(SUM(Y341:Y343),"0")</f>
        <v>318</v>
      </c>
      <c r="Z345" s="37"/>
      <c r="AA345" s="550"/>
      <c r="AB345" s="550"/>
      <c r="AC345" s="550"/>
    </row>
    <row r="346" spans="1:68" ht="27.75" hidden="1" customHeight="1" x14ac:dyDescent="0.2">
      <c r="A346" s="712" t="s">
        <v>553</v>
      </c>
      <c r="B346" s="713"/>
      <c r="C346" s="713"/>
      <c r="D346" s="713"/>
      <c r="E346" s="713"/>
      <c r="F346" s="713"/>
      <c r="G346" s="713"/>
      <c r="H346" s="713"/>
      <c r="I346" s="713"/>
      <c r="J346" s="713"/>
      <c r="K346" s="713"/>
      <c r="L346" s="713"/>
      <c r="M346" s="713"/>
      <c r="N346" s="713"/>
      <c r="O346" s="713"/>
      <c r="P346" s="713"/>
      <c r="Q346" s="713"/>
      <c r="R346" s="713"/>
      <c r="S346" s="713"/>
      <c r="T346" s="713"/>
      <c r="U346" s="713"/>
      <c r="V346" s="713"/>
      <c r="W346" s="713"/>
      <c r="X346" s="713"/>
      <c r="Y346" s="713"/>
      <c r="Z346" s="713"/>
      <c r="AA346" s="48"/>
      <c r="AB346" s="48"/>
      <c r="AC346" s="48"/>
    </row>
    <row r="347" spans="1:68" ht="16.5" hidden="1" customHeight="1" x14ac:dyDescent="0.25">
      <c r="A347" s="555" t="s">
        <v>554</v>
      </c>
      <c r="B347" s="554"/>
      <c r="C347" s="554"/>
      <c r="D347" s="554"/>
      <c r="E347" s="554"/>
      <c r="F347" s="554"/>
      <c r="G347" s="554"/>
      <c r="H347" s="554"/>
      <c r="I347" s="554"/>
      <c r="J347" s="554"/>
      <c r="K347" s="554"/>
      <c r="L347" s="554"/>
      <c r="M347" s="554"/>
      <c r="N347" s="554"/>
      <c r="O347" s="554"/>
      <c r="P347" s="554"/>
      <c r="Q347" s="554"/>
      <c r="R347" s="554"/>
      <c r="S347" s="554"/>
      <c r="T347" s="554"/>
      <c r="U347" s="554"/>
      <c r="V347" s="554"/>
      <c r="W347" s="554"/>
      <c r="X347" s="554"/>
      <c r="Y347" s="554"/>
      <c r="Z347" s="554"/>
      <c r="AA347" s="542"/>
      <c r="AB347" s="542"/>
      <c r="AC347" s="542"/>
    </row>
    <row r="348" spans="1:68" ht="14.25" hidden="1" customHeight="1" x14ac:dyDescent="0.25">
      <c r="A348" s="553" t="s">
        <v>101</v>
      </c>
      <c r="B348" s="554"/>
      <c r="C348" s="554"/>
      <c r="D348" s="554"/>
      <c r="E348" s="554"/>
      <c r="F348" s="554"/>
      <c r="G348" s="554"/>
      <c r="H348" s="554"/>
      <c r="I348" s="554"/>
      <c r="J348" s="554"/>
      <c r="K348" s="554"/>
      <c r="L348" s="554"/>
      <c r="M348" s="554"/>
      <c r="N348" s="554"/>
      <c r="O348" s="554"/>
      <c r="P348" s="554"/>
      <c r="Q348" s="554"/>
      <c r="R348" s="554"/>
      <c r="S348" s="554"/>
      <c r="T348" s="554"/>
      <c r="U348" s="554"/>
      <c r="V348" s="554"/>
      <c r="W348" s="554"/>
      <c r="X348" s="554"/>
      <c r="Y348" s="554"/>
      <c r="Z348" s="554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1">
        <v>4680115884847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7">
        <v>280</v>
      </c>
      <c r="Y349" s="548">
        <f t="shared" ref="Y349:Y355" si="36">IFERROR(IF(X349="",0,CEILING((X349/$H349),1)*$H349),"")</f>
        <v>285</v>
      </c>
      <c r="Z349" s="36">
        <f>IFERROR(IF(Y349=0,"",ROUNDUP(Y349/H349,0)*0.02175),"")</f>
        <v>0.41324999999999995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288.77333333333337</v>
      </c>
      <c r="BN349" s="64">
        <f t="shared" ref="BN349:BN355" si="38">IFERROR(Y349*I349/H349,"0")</f>
        <v>293.93</v>
      </c>
      <c r="BO349" s="64">
        <f t="shared" ref="BO349:BO355" si="39">IFERROR(1/J349*(X349/H349),"0")</f>
        <v>0.3888888888888889</v>
      </c>
      <c r="BP349" s="64">
        <f t="shared" ref="BP349:BP355" si="40">IFERROR(1/J349*(Y349/H349),"0")</f>
        <v>0.39583333333333331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1">
        <v>4680115884854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7">
        <v>500</v>
      </c>
      <c r="Y350" s="548">
        <f t="shared" si="36"/>
        <v>510</v>
      </c>
      <c r="Z350" s="36">
        <f>IFERROR(IF(Y350=0,"",ROUNDUP(Y350/H350,0)*0.02175),"")</f>
        <v>0.73949999999999994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515.66666666666663</v>
      </c>
      <c r="BN350" s="64">
        <f t="shared" si="38"/>
        <v>525.98</v>
      </c>
      <c r="BO350" s="64">
        <f t="shared" si="39"/>
        <v>0.69444444444444442</v>
      </c>
      <c r="BP350" s="64">
        <f t="shared" si="40"/>
        <v>0.70833333333333326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1">
        <v>4680115884830</v>
      </c>
      <c r="E351" s="552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1">
        <v>4680115887046</v>
      </c>
      <c r="E352" s="552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7">
        <v>1800</v>
      </c>
      <c r="Y352" s="548">
        <f t="shared" si="36"/>
        <v>1800</v>
      </c>
      <c r="Z352" s="36">
        <f>IFERROR(IF(Y352=0,"",ROUNDUP(Y352/H352,0)*0.02175),"")</f>
        <v>2.61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1856.4</v>
      </c>
      <c r="BN352" s="64">
        <f t="shared" si="38"/>
        <v>1856.4</v>
      </c>
      <c r="BO352" s="64">
        <f t="shared" si="39"/>
        <v>2.5</v>
      </c>
      <c r="BP352" s="64">
        <f t="shared" si="40"/>
        <v>2.5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1">
        <v>4680115882638</v>
      </c>
      <c r="E353" s="552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1">
        <v>4680115884922</v>
      </c>
      <c r="E354" s="552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7">
        <v>25</v>
      </c>
      <c r="Y354" s="548">
        <f t="shared" si="36"/>
        <v>25</v>
      </c>
      <c r="Z354" s="36">
        <f>IFERROR(IF(Y354=0,"",ROUNDUP(Y354/H354,0)*0.00902),"")</f>
        <v>4.5100000000000001E-2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25.95</v>
      </c>
      <c r="BN354" s="64">
        <f t="shared" si="38"/>
        <v>25.95</v>
      </c>
      <c r="BO354" s="64">
        <f t="shared" si="39"/>
        <v>3.787878787878788E-2</v>
      </c>
      <c r="BP354" s="64">
        <f t="shared" si="40"/>
        <v>3.787878787878788E-2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1">
        <v>4680115884861</v>
      </c>
      <c r="E355" s="552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7">
        <v>40</v>
      </c>
      <c r="Y355" s="548">
        <f t="shared" si="36"/>
        <v>40</v>
      </c>
      <c r="Z355" s="36">
        <f>IFERROR(IF(Y355=0,"",ROUNDUP(Y355/H355,0)*0.00902),"")</f>
        <v>7.2160000000000002E-2</v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41.52</v>
      </c>
      <c r="BN355" s="64">
        <f t="shared" si="38"/>
        <v>41.52</v>
      </c>
      <c r="BO355" s="64">
        <f t="shared" si="39"/>
        <v>6.0606060606060608E-2</v>
      </c>
      <c r="BP355" s="64">
        <f t="shared" si="40"/>
        <v>6.0606060606060608E-2</v>
      </c>
    </row>
    <row r="356" spans="1:68" x14ac:dyDescent="0.2">
      <c r="A356" s="569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70"/>
      <c r="P356" s="556" t="s">
        <v>75</v>
      </c>
      <c r="Q356" s="557"/>
      <c r="R356" s="557"/>
      <c r="S356" s="557"/>
      <c r="T356" s="557"/>
      <c r="U356" s="557"/>
      <c r="V356" s="558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185</v>
      </c>
      <c r="Y356" s="549">
        <f>IFERROR(Y349/H349,"0")+IFERROR(Y350/H350,"0")+IFERROR(Y351/H351,"0")+IFERROR(Y352/H352,"0")+IFERROR(Y353/H353,"0")+IFERROR(Y354/H354,"0")+IFERROR(Y355/H355,"0")</f>
        <v>186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3.8800099999999995</v>
      </c>
      <c r="AA356" s="550"/>
      <c r="AB356" s="550"/>
      <c r="AC356" s="550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70"/>
      <c r="P357" s="556" t="s">
        <v>75</v>
      </c>
      <c r="Q357" s="557"/>
      <c r="R357" s="557"/>
      <c r="S357" s="557"/>
      <c r="T357" s="557"/>
      <c r="U357" s="557"/>
      <c r="V357" s="558"/>
      <c r="W357" s="37" t="s">
        <v>69</v>
      </c>
      <c r="X357" s="549">
        <f>IFERROR(SUM(X349:X355),"0")</f>
        <v>2645</v>
      </c>
      <c r="Y357" s="549">
        <f>IFERROR(SUM(Y349:Y355),"0")</f>
        <v>2660</v>
      </c>
      <c r="Z357" s="37"/>
      <c r="AA357" s="550"/>
      <c r="AB357" s="550"/>
      <c r="AC357" s="550"/>
    </row>
    <row r="358" spans="1:68" ht="14.25" hidden="1" customHeight="1" x14ac:dyDescent="0.25">
      <c r="A358" s="553" t="s">
        <v>136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1">
        <v>4607091383980</v>
      </c>
      <c r="E359" s="552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7">
        <v>850</v>
      </c>
      <c r="Y359" s="548">
        <f>IFERROR(IF(X359="",0,CEILING((X359/$H359),1)*$H359),"")</f>
        <v>855</v>
      </c>
      <c r="Z359" s="36">
        <f>IFERROR(IF(Y359=0,"",ROUNDUP(Y359/H359,0)*0.02175),"")</f>
        <v>1.2397499999999999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876.63333333333333</v>
      </c>
      <c r="BN359" s="64">
        <f>IFERROR(Y359*I359/H359,"0")</f>
        <v>881.79000000000008</v>
      </c>
      <c r="BO359" s="64">
        <f>IFERROR(1/J359*(X359/H359),"0")</f>
        <v>1.1805555555555554</v>
      </c>
      <c r="BP359" s="64">
        <f>IFERROR(1/J359*(Y359/H359),"0")</f>
        <v>1.1875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1">
        <v>4607091384178</v>
      </c>
      <c r="E360" s="552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7">
        <v>32</v>
      </c>
      <c r="Y360" s="548">
        <f>IFERROR(IF(X360="",0,CEILING((X360/$H360),1)*$H360),"")</f>
        <v>32</v>
      </c>
      <c r="Z360" s="36">
        <f>IFERROR(IF(Y360=0,"",ROUNDUP(Y360/H360,0)*0.00902),"")</f>
        <v>7.2160000000000002E-2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33.520000000000003</v>
      </c>
      <c r="BN360" s="64">
        <f>IFERROR(Y360*I360/H360,"0")</f>
        <v>33.520000000000003</v>
      </c>
      <c r="BO360" s="64">
        <f>IFERROR(1/J360*(X360/H360),"0")</f>
        <v>6.0606060606060608E-2</v>
      </c>
      <c r="BP360" s="64">
        <f>IFERROR(1/J360*(Y360/H360),"0")</f>
        <v>6.0606060606060608E-2</v>
      </c>
    </row>
    <row r="361" spans="1:68" x14ac:dyDescent="0.2">
      <c r="A361" s="569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70"/>
      <c r="P361" s="556" t="s">
        <v>75</v>
      </c>
      <c r="Q361" s="557"/>
      <c r="R361" s="557"/>
      <c r="S361" s="557"/>
      <c r="T361" s="557"/>
      <c r="U361" s="557"/>
      <c r="V361" s="558"/>
      <c r="W361" s="37" t="s">
        <v>76</v>
      </c>
      <c r="X361" s="549">
        <f>IFERROR(X359/H359,"0")+IFERROR(X360/H360,"0")</f>
        <v>64.666666666666657</v>
      </c>
      <c r="Y361" s="549">
        <f>IFERROR(Y359/H359,"0")+IFERROR(Y360/H360,"0")</f>
        <v>65</v>
      </c>
      <c r="Z361" s="549">
        <f>IFERROR(IF(Z359="",0,Z359),"0")+IFERROR(IF(Z360="",0,Z360),"0")</f>
        <v>1.3119099999999999</v>
      </c>
      <c r="AA361" s="550"/>
      <c r="AB361" s="550"/>
      <c r="AC361" s="550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70"/>
      <c r="P362" s="556" t="s">
        <v>75</v>
      </c>
      <c r="Q362" s="557"/>
      <c r="R362" s="557"/>
      <c r="S362" s="557"/>
      <c r="T362" s="557"/>
      <c r="U362" s="557"/>
      <c r="V362" s="558"/>
      <c r="W362" s="37" t="s">
        <v>69</v>
      </c>
      <c r="X362" s="549">
        <f>IFERROR(SUM(X359:X360),"0")</f>
        <v>882</v>
      </c>
      <c r="Y362" s="549">
        <f>IFERROR(SUM(Y359:Y360),"0")</f>
        <v>887</v>
      </c>
      <c r="Z362" s="37"/>
      <c r="AA362" s="550"/>
      <c r="AB362" s="550"/>
      <c r="AC362" s="550"/>
    </row>
    <row r="363" spans="1:68" ht="14.25" hidden="1" customHeight="1" x14ac:dyDescent="0.25">
      <c r="A363" s="553" t="s">
        <v>77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1">
        <v>4607091383928</v>
      </c>
      <c r="E364" s="552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4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1">
        <v>4607091384260</v>
      </c>
      <c r="E365" s="552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9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70"/>
      <c r="P366" s="556" t="s">
        <v>75</v>
      </c>
      <c r="Q366" s="557"/>
      <c r="R366" s="557"/>
      <c r="S366" s="557"/>
      <c r="T366" s="557"/>
      <c r="U366" s="557"/>
      <c r="V366" s="558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54"/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70"/>
      <c r="P367" s="556" t="s">
        <v>75</v>
      </c>
      <c r="Q367" s="557"/>
      <c r="R367" s="557"/>
      <c r="S367" s="557"/>
      <c r="T367" s="557"/>
      <c r="U367" s="557"/>
      <c r="V367" s="558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53" t="s">
        <v>161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1">
        <v>4607091384673</v>
      </c>
      <c r="E369" s="552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9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70"/>
      <c r="P370" s="556" t="s">
        <v>75</v>
      </c>
      <c r="Q370" s="557"/>
      <c r="R370" s="557"/>
      <c r="S370" s="557"/>
      <c r="T370" s="557"/>
      <c r="U370" s="557"/>
      <c r="V370" s="558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70"/>
      <c r="P371" s="556" t="s">
        <v>75</v>
      </c>
      <c r="Q371" s="557"/>
      <c r="R371" s="557"/>
      <c r="S371" s="557"/>
      <c r="T371" s="557"/>
      <c r="U371" s="557"/>
      <c r="V371" s="558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55" t="s">
        <v>589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42"/>
      <c r="AB372" s="542"/>
      <c r="AC372" s="542"/>
    </row>
    <row r="373" spans="1:68" ht="14.25" hidden="1" customHeight="1" x14ac:dyDescent="0.25">
      <c r="A373" s="553" t="s">
        <v>101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1">
        <v>4680115884885</v>
      </c>
      <c r="E374" s="552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1">
        <v>4680115884908</v>
      </c>
      <c r="E375" s="552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9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70"/>
      <c r="P376" s="556" t="s">
        <v>75</v>
      </c>
      <c r="Q376" s="557"/>
      <c r="R376" s="557"/>
      <c r="S376" s="557"/>
      <c r="T376" s="557"/>
      <c r="U376" s="557"/>
      <c r="V376" s="558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70"/>
      <c r="P377" s="556" t="s">
        <v>75</v>
      </c>
      <c r="Q377" s="557"/>
      <c r="R377" s="557"/>
      <c r="S377" s="557"/>
      <c r="T377" s="557"/>
      <c r="U377" s="557"/>
      <c r="V377" s="558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53" t="s">
        <v>64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1">
        <v>4607091384802</v>
      </c>
      <c r="E379" s="552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1">
        <v>4607091384802</v>
      </c>
      <c r="E380" s="552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9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70"/>
      <c r="P381" s="556" t="s">
        <v>75</v>
      </c>
      <c r="Q381" s="557"/>
      <c r="R381" s="557"/>
      <c r="S381" s="557"/>
      <c r="T381" s="557"/>
      <c r="U381" s="557"/>
      <c r="V381" s="558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70"/>
      <c r="P382" s="556" t="s">
        <v>75</v>
      </c>
      <c r="Q382" s="557"/>
      <c r="R382" s="557"/>
      <c r="S382" s="557"/>
      <c r="T382" s="557"/>
      <c r="U382" s="557"/>
      <c r="V382" s="558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53" t="s">
        <v>77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1">
        <v>4607091384246</v>
      </c>
      <c r="E384" s="552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7">
        <v>450</v>
      </c>
      <c r="Y384" s="548">
        <f>IFERROR(IF(X384="",0,CEILING((X384/$H384),1)*$H384),"")</f>
        <v>450</v>
      </c>
      <c r="Z384" s="36">
        <f>IFERROR(IF(Y384=0,"",ROUNDUP(Y384/H384,0)*0.01898),"")</f>
        <v>0.94900000000000007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474.70000000000005</v>
      </c>
      <c r="BN384" s="64">
        <f>IFERROR(Y384*I384/H384,"0")</f>
        <v>474.70000000000005</v>
      </c>
      <c r="BO384" s="64">
        <f>IFERROR(1/J384*(X384/H384),"0")</f>
        <v>0.78125</v>
      </c>
      <c r="BP384" s="64">
        <f>IFERROR(1/J384*(Y384/H384),"0")</f>
        <v>0.78125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1">
        <v>4607091384253</v>
      </c>
      <c r="E385" s="552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7">
        <v>48</v>
      </c>
      <c r="Y385" s="548">
        <f>IFERROR(IF(X385="",0,CEILING((X385/$H385),1)*$H385),"")</f>
        <v>48</v>
      </c>
      <c r="Z385" s="36">
        <f>IFERROR(IF(Y385=0,"",ROUNDUP(Y385/H385,0)*0.00651),"")</f>
        <v>0.13020000000000001</v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53.280000000000008</v>
      </c>
      <c r="BN385" s="64">
        <f>IFERROR(Y385*I385/H385,"0")</f>
        <v>53.280000000000008</v>
      </c>
      <c r="BO385" s="64">
        <f>IFERROR(1/J385*(X385/H385),"0")</f>
        <v>0.1098901098901099</v>
      </c>
      <c r="BP385" s="64">
        <f>IFERROR(1/J385*(Y385/H385),"0")</f>
        <v>0.1098901098901099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1">
        <v>4607091384253</v>
      </c>
      <c r="E386" s="552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9"/>
      <c r="B387" s="554"/>
      <c r="C387" s="554"/>
      <c r="D387" s="554"/>
      <c r="E387" s="554"/>
      <c r="F387" s="554"/>
      <c r="G387" s="554"/>
      <c r="H387" s="554"/>
      <c r="I387" s="554"/>
      <c r="J387" s="554"/>
      <c r="K387" s="554"/>
      <c r="L387" s="554"/>
      <c r="M387" s="554"/>
      <c r="N387" s="554"/>
      <c r="O387" s="570"/>
      <c r="P387" s="556" t="s">
        <v>75</v>
      </c>
      <c r="Q387" s="557"/>
      <c r="R387" s="557"/>
      <c r="S387" s="557"/>
      <c r="T387" s="557"/>
      <c r="U387" s="557"/>
      <c r="V387" s="558"/>
      <c r="W387" s="37" t="s">
        <v>76</v>
      </c>
      <c r="X387" s="549">
        <f>IFERROR(X384/H384,"0")+IFERROR(X385/H385,"0")+IFERROR(X386/H386,"0")</f>
        <v>70</v>
      </c>
      <c r="Y387" s="549">
        <f>IFERROR(Y384/H384,"0")+IFERROR(Y385/H385,"0")+IFERROR(Y386/H386,"0")</f>
        <v>70</v>
      </c>
      <c r="Z387" s="549">
        <f>IFERROR(IF(Z384="",0,Z384),"0")+IFERROR(IF(Z385="",0,Z385),"0")+IFERROR(IF(Z386="",0,Z386),"0")</f>
        <v>1.0792000000000002</v>
      </c>
      <c r="AA387" s="550"/>
      <c r="AB387" s="550"/>
      <c r="AC387" s="550"/>
    </row>
    <row r="388" spans="1:68" x14ac:dyDescent="0.2">
      <c r="A388" s="554"/>
      <c r="B388" s="554"/>
      <c r="C388" s="554"/>
      <c r="D388" s="554"/>
      <c r="E388" s="554"/>
      <c r="F388" s="554"/>
      <c r="G388" s="554"/>
      <c r="H388" s="554"/>
      <c r="I388" s="554"/>
      <c r="J388" s="554"/>
      <c r="K388" s="554"/>
      <c r="L388" s="554"/>
      <c r="M388" s="554"/>
      <c r="N388" s="554"/>
      <c r="O388" s="570"/>
      <c r="P388" s="556" t="s">
        <v>75</v>
      </c>
      <c r="Q388" s="557"/>
      <c r="R388" s="557"/>
      <c r="S388" s="557"/>
      <c r="T388" s="557"/>
      <c r="U388" s="557"/>
      <c r="V388" s="558"/>
      <c r="W388" s="37" t="s">
        <v>69</v>
      </c>
      <c r="X388" s="549">
        <f>IFERROR(SUM(X384:X386),"0")</f>
        <v>498</v>
      </c>
      <c r="Y388" s="549">
        <f>IFERROR(SUM(Y384:Y386),"0")</f>
        <v>498</v>
      </c>
      <c r="Z388" s="37"/>
      <c r="AA388" s="550"/>
      <c r="AB388" s="550"/>
      <c r="AC388" s="550"/>
    </row>
    <row r="389" spans="1:68" ht="27.75" hidden="1" customHeight="1" x14ac:dyDescent="0.2">
      <c r="A389" s="712" t="s">
        <v>607</v>
      </c>
      <c r="B389" s="713"/>
      <c r="C389" s="713"/>
      <c r="D389" s="713"/>
      <c r="E389" s="713"/>
      <c r="F389" s="713"/>
      <c r="G389" s="713"/>
      <c r="H389" s="713"/>
      <c r="I389" s="713"/>
      <c r="J389" s="713"/>
      <c r="K389" s="713"/>
      <c r="L389" s="713"/>
      <c r="M389" s="713"/>
      <c r="N389" s="713"/>
      <c r="O389" s="713"/>
      <c r="P389" s="713"/>
      <c r="Q389" s="713"/>
      <c r="R389" s="713"/>
      <c r="S389" s="713"/>
      <c r="T389" s="713"/>
      <c r="U389" s="713"/>
      <c r="V389" s="713"/>
      <c r="W389" s="713"/>
      <c r="X389" s="713"/>
      <c r="Y389" s="713"/>
      <c r="Z389" s="713"/>
      <c r="AA389" s="48"/>
      <c r="AB389" s="48"/>
      <c r="AC389" s="48"/>
    </row>
    <row r="390" spans="1:68" ht="16.5" hidden="1" customHeight="1" x14ac:dyDescent="0.25">
      <c r="A390" s="555" t="s">
        <v>608</v>
      </c>
      <c r="B390" s="554"/>
      <c r="C390" s="554"/>
      <c r="D390" s="554"/>
      <c r="E390" s="554"/>
      <c r="F390" s="554"/>
      <c r="G390" s="554"/>
      <c r="H390" s="554"/>
      <c r="I390" s="554"/>
      <c r="J390" s="554"/>
      <c r="K390" s="554"/>
      <c r="L390" s="554"/>
      <c r="M390" s="554"/>
      <c r="N390" s="554"/>
      <c r="O390" s="554"/>
      <c r="P390" s="554"/>
      <c r="Q390" s="554"/>
      <c r="R390" s="554"/>
      <c r="S390" s="554"/>
      <c r="T390" s="554"/>
      <c r="U390" s="554"/>
      <c r="V390" s="554"/>
      <c r="W390" s="554"/>
      <c r="X390" s="554"/>
      <c r="Y390" s="554"/>
      <c r="Z390" s="554"/>
      <c r="AA390" s="542"/>
      <c r="AB390" s="542"/>
      <c r="AC390" s="542"/>
    </row>
    <row r="391" spans="1:68" ht="14.25" hidden="1" customHeight="1" x14ac:dyDescent="0.25">
      <c r="A391" s="553" t="s">
        <v>64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1">
        <v>4680115886100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7">
        <v>25</v>
      </c>
      <c r="Y392" s="548">
        <f t="shared" ref="Y392:Y400" si="41">IFERROR(IF(X392="",0,CEILING((X392/$H392),1)*$H392),"")</f>
        <v>27</v>
      </c>
      <c r="Z392" s="36">
        <f>IFERROR(IF(Y392=0,"",ROUNDUP(Y392/H392,0)*0.00902),"")</f>
        <v>4.5100000000000001E-2</v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25.879629629629626</v>
      </c>
      <c r="BN392" s="64">
        <f t="shared" ref="BN392:BN400" si="43">IFERROR(Y392*I392/H392,"0")</f>
        <v>27.95</v>
      </c>
      <c r="BO392" s="64">
        <f t="shared" ref="BO392:BO400" si="44">IFERROR(1/J392*(X392/H392),"0")</f>
        <v>3.5072951739618406E-2</v>
      </c>
      <c r="BP392" s="64">
        <f t="shared" ref="BP392:BP400" si="45">IFERROR(1/J392*(Y392/H392),"0")</f>
        <v>3.787878787878788E-2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1">
        <v>4680115886117</v>
      </c>
      <c r="E393" s="552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7">
        <v>20</v>
      </c>
      <c r="Y393" s="548">
        <f t="shared" si="41"/>
        <v>21.6</v>
      </c>
      <c r="Z393" s="36">
        <f>IFERROR(IF(Y393=0,"",ROUNDUP(Y393/H393,0)*0.00902),"")</f>
        <v>3.6080000000000001E-2</v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20.703703703703702</v>
      </c>
      <c r="BN393" s="64">
        <f t="shared" si="43"/>
        <v>22.36</v>
      </c>
      <c r="BO393" s="64">
        <f t="shared" si="44"/>
        <v>2.8058361391694722E-2</v>
      </c>
      <c r="BP393" s="64">
        <f t="shared" si="45"/>
        <v>3.0303030303030304E-2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1">
        <v>4680115886124</v>
      </c>
      <c r="E394" s="552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7">
        <v>25</v>
      </c>
      <c r="Y394" s="548">
        <f t="shared" si="41"/>
        <v>27</v>
      </c>
      <c r="Z394" s="36">
        <f>IFERROR(IF(Y394=0,"",ROUNDUP(Y394/H394,0)*0.00902),"")</f>
        <v>4.5100000000000001E-2</v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25.879629629629626</v>
      </c>
      <c r="BN394" s="64">
        <f t="shared" si="43"/>
        <v>27.95</v>
      </c>
      <c r="BO394" s="64">
        <f t="shared" si="44"/>
        <v>3.5072951739618406E-2</v>
      </c>
      <c r="BP394" s="64">
        <f t="shared" si="45"/>
        <v>3.787878787878788E-2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1">
        <v>4680115883147</v>
      </c>
      <c r="E395" s="552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1">
        <v>4607091384338</v>
      </c>
      <c r="E396" s="552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7">
        <v>21</v>
      </c>
      <c r="Y396" s="548">
        <f t="shared" si="41"/>
        <v>21</v>
      </c>
      <c r="Z396" s="36">
        <f t="shared" si="46"/>
        <v>5.0200000000000002E-2</v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22.299999999999997</v>
      </c>
      <c r="BN396" s="64">
        <f t="shared" si="43"/>
        <v>22.299999999999997</v>
      </c>
      <c r="BO396" s="64">
        <f t="shared" si="44"/>
        <v>4.2735042735042736E-2</v>
      </c>
      <c r="BP396" s="64">
        <f t="shared" si="45"/>
        <v>4.2735042735042736E-2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1">
        <v>4607091389524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1">
        <v>4680115883161</v>
      </c>
      <c r="E398" s="552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1">
        <v>4607091389531</v>
      </c>
      <c r="E399" s="552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1">
        <v>4607091384345</v>
      </c>
      <c r="E400" s="552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9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70"/>
      <c r="P401" s="556" t="s">
        <v>75</v>
      </c>
      <c r="Q401" s="557"/>
      <c r="R401" s="557"/>
      <c r="S401" s="557"/>
      <c r="T401" s="557"/>
      <c r="U401" s="557"/>
      <c r="V401" s="558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22.962962962962962</v>
      </c>
      <c r="Y401" s="549">
        <f>IFERROR(Y392/H392,"0")+IFERROR(Y393/H393,"0")+IFERROR(Y394/H394,"0")+IFERROR(Y395/H395,"0")+IFERROR(Y396/H396,"0")+IFERROR(Y397/H397,"0")+IFERROR(Y398/H398,"0")+IFERROR(Y399/H399,"0")+IFERROR(Y400/H400,"0")</f>
        <v>24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0.17648</v>
      </c>
      <c r="AA401" s="550"/>
      <c r="AB401" s="550"/>
      <c r="AC401" s="550"/>
    </row>
    <row r="402" spans="1:68" x14ac:dyDescent="0.2">
      <c r="A402" s="554"/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70"/>
      <c r="P402" s="556" t="s">
        <v>75</v>
      </c>
      <c r="Q402" s="557"/>
      <c r="R402" s="557"/>
      <c r="S402" s="557"/>
      <c r="T402" s="557"/>
      <c r="U402" s="557"/>
      <c r="V402" s="558"/>
      <c r="W402" s="37" t="s">
        <v>69</v>
      </c>
      <c r="X402" s="549">
        <f>IFERROR(SUM(X392:X400),"0")</f>
        <v>91</v>
      </c>
      <c r="Y402" s="549">
        <f>IFERROR(SUM(Y392:Y400),"0")</f>
        <v>96.6</v>
      </c>
      <c r="Z402" s="37"/>
      <c r="AA402" s="550"/>
      <c r="AB402" s="550"/>
      <c r="AC402" s="550"/>
    </row>
    <row r="403" spans="1:68" ht="14.25" hidden="1" customHeight="1" x14ac:dyDescent="0.25">
      <c r="A403" s="553" t="s">
        <v>77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1">
        <v>4607091384352</v>
      </c>
      <c r="E404" s="552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1">
        <v>4607091389654</v>
      </c>
      <c r="E405" s="552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9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70"/>
      <c r="P406" s="556" t="s">
        <v>75</v>
      </c>
      <c r="Q406" s="557"/>
      <c r="R406" s="557"/>
      <c r="S406" s="557"/>
      <c r="T406" s="557"/>
      <c r="U406" s="557"/>
      <c r="V406" s="558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54"/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70"/>
      <c r="P407" s="556" t="s">
        <v>75</v>
      </c>
      <c r="Q407" s="557"/>
      <c r="R407" s="557"/>
      <c r="S407" s="557"/>
      <c r="T407" s="557"/>
      <c r="U407" s="557"/>
      <c r="V407" s="558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55" t="s">
        <v>639</v>
      </c>
      <c r="B408" s="554"/>
      <c r="C408" s="554"/>
      <c r="D408" s="554"/>
      <c r="E408" s="554"/>
      <c r="F408" s="554"/>
      <c r="G408" s="554"/>
      <c r="H408" s="554"/>
      <c r="I408" s="554"/>
      <c r="J408" s="554"/>
      <c r="K408" s="554"/>
      <c r="L408" s="554"/>
      <c r="M408" s="554"/>
      <c r="N408" s="554"/>
      <c r="O408" s="554"/>
      <c r="P408" s="554"/>
      <c r="Q408" s="554"/>
      <c r="R408" s="554"/>
      <c r="S408" s="554"/>
      <c r="T408" s="554"/>
      <c r="U408" s="554"/>
      <c r="V408" s="554"/>
      <c r="W408" s="554"/>
      <c r="X408" s="554"/>
      <c r="Y408" s="554"/>
      <c r="Z408" s="554"/>
      <c r="AA408" s="542"/>
      <c r="AB408" s="542"/>
      <c r="AC408" s="542"/>
    </row>
    <row r="409" spans="1:68" ht="14.25" hidden="1" customHeight="1" x14ac:dyDescent="0.25">
      <c r="A409" s="553" t="s">
        <v>136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1">
        <v>4680115885240</v>
      </c>
      <c r="E410" s="552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5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9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70"/>
      <c r="P411" s="556" t="s">
        <v>75</v>
      </c>
      <c r="Q411" s="557"/>
      <c r="R411" s="557"/>
      <c r="S411" s="557"/>
      <c r="T411" s="557"/>
      <c r="U411" s="557"/>
      <c r="V411" s="558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70"/>
      <c r="P412" s="556" t="s">
        <v>75</v>
      </c>
      <c r="Q412" s="557"/>
      <c r="R412" s="557"/>
      <c r="S412" s="557"/>
      <c r="T412" s="557"/>
      <c r="U412" s="557"/>
      <c r="V412" s="558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53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1">
        <v>4680115886094</v>
      </c>
      <c r="E414" s="552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7">
        <v>25</v>
      </c>
      <c r="Y414" s="548">
        <f>IFERROR(IF(X414="",0,CEILING((X414/$H414),1)*$H414),"")</f>
        <v>27</v>
      </c>
      <c r="Z414" s="36">
        <f>IFERROR(IF(Y414=0,"",ROUNDUP(Y414/H414,0)*0.00902),"")</f>
        <v>4.5100000000000001E-2</v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25.879629629629626</v>
      </c>
      <c r="BN414" s="64">
        <f>IFERROR(Y414*I414/H414,"0")</f>
        <v>27.95</v>
      </c>
      <c r="BO414" s="64">
        <f>IFERROR(1/J414*(X414/H414),"0")</f>
        <v>3.5072951739618406E-2</v>
      </c>
      <c r="BP414" s="64">
        <f>IFERROR(1/J414*(Y414/H414),"0")</f>
        <v>3.787878787878788E-2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1">
        <v>4607091389425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1">
        <v>4680115880771</v>
      </c>
      <c r="E416" s="552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1">
        <v>4607091389500</v>
      </c>
      <c r="E417" s="552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9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70"/>
      <c r="P418" s="556" t="s">
        <v>75</v>
      </c>
      <c r="Q418" s="557"/>
      <c r="R418" s="557"/>
      <c r="S418" s="557"/>
      <c r="T418" s="557"/>
      <c r="U418" s="557"/>
      <c r="V418" s="558"/>
      <c r="W418" s="37" t="s">
        <v>76</v>
      </c>
      <c r="X418" s="549">
        <f>IFERROR(X414/H414,"0")+IFERROR(X415/H415,"0")+IFERROR(X416/H416,"0")+IFERROR(X417/H417,"0")</f>
        <v>4.6296296296296298</v>
      </c>
      <c r="Y418" s="549">
        <f>IFERROR(Y414/H414,"0")+IFERROR(Y415/H415,"0")+IFERROR(Y416/H416,"0")+IFERROR(Y417/H417,"0")</f>
        <v>5</v>
      </c>
      <c r="Z418" s="549">
        <f>IFERROR(IF(Z414="",0,Z414),"0")+IFERROR(IF(Z415="",0,Z415),"0")+IFERROR(IF(Z416="",0,Z416),"0")+IFERROR(IF(Z417="",0,Z417),"0")</f>
        <v>4.5100000000000001E-2</v>
      </c>
      <c r="AA418" s="550"/>
      <c r="AB418" s="550"/>
      <c r="AC418" s="550"/>
    </row>
    <row r="419" spans="1:68" x14ac:dyDescent="0.2">
      <c r="A419" s="554"/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70"/>
      <c r="P419" s="556" t="s">
        <v>75</v>
      </c>
      <c r="Q419" s="557"/>
      <c r="R419" s="557"/>
      <c r="S419" s="557"/>
      <c r="T419" s="557"/>
      <c r="U419" s="557"/>
      <c r="V419" s="558"/>
      <c r="W419" s="37" t="s">
        <v>69</v>
      </c>
      <c r="X419" s="549">
        <f>IFERROR(SUM(X414:X417),"0")</f>
        <v>25</v>
      </c>
      <c r="Y419" s="549">
        <f>IFERROR(SUM(Y414:Y417),"0")</f>
        <v>27</v>
      </c>
      <c r="Z419" s="37"/>
      <c r="AA419" s="550"/>
      <c r="AB419" s="550"/>
      <c r="AC419" s="550"/>
    </row>
    <row r="420" spans="1:68" ht="16.5" hidden="1" customHeight="1" x14ac:dyDescent="0.25">
      <c r="A420" s="555" t="s">
        <v>654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42"/>
      <c r="AB420" s="542"/>
      <c r="AC420" s="542"/>
    </row>
    <row r="421" spans="1:68" ht="14.25" hidden="1" customHeight="1" x14ac:dyDescent="0.25">
      <c r="A421" s="553" t="s">
        <v>64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1">
        <v>4680115885110</v>
      </c>
      <c r="E422" s="552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9"/>
      <c r="B423" s="554"/>
      <c r="C423" s="554"/>
      <c r="D423" s="554"/>
      <c r="E423" s="554"/>
      <c r="F423" s="554"/>
      <c r="G423" s="554"/>
      <c r="H423" s="554"/>
      <c r="I423" s="554"/>
      <c r="J423" s="554"/>
      <c r="K423" s="554"/>
      <c r="L423" s="554"/>
      <c r="M423" s="554"/>
      <c r="N423" s="554"/>
      <c r="O423" s="570"/>
      <c r="P423" s="556" t="s">
        <v>75</v>
      </c>
      <c r="Q423" s="557"/>
      <c r="R423" s="557"/>
      <c r="S423" s="557"/>
      <c r="T423" s="557"/>
      <c r="U423" s="557"/>
      <c r="V423" s="558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54"/>
      <c r="B424" s="554"/>
      <c r="C424" s="554"/>
      <c r="D424" s="554"/>
      <c r="E424" s="554"/>
      <c r="F424" s="554"/>
      <c r="G424" s="554"/>
      <c r="H424" s="554"/>
      <c r="I424" s="554"/>
      <c r="J424" s="554"/>
      <c r="K424" s="554"/>
      <c r="L424" s="554"/>
      <c r="M424" s="554"/>
      <c r="N424" s="554"/>
      <c r="O424" s="570"/>
      <c r="P424" s="556" t="s">
        <v>75</v>
      </c>
      <c r="Q424" s="557"/>
      <c r="R424" s="557"/>
      <c r="S424" s="557"/>
      <c r="T424" s="557"/>
      <c r="U424" s="557"/>
      <c r="V424" s="558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2" t="s">
        <v>658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48"/>
      <c r="AB425" s="48"/>
      <c r="AC425" s="48"/>
    </row>
    <row r="426" spans="1:68" ht="16.5" hidden="1" customHeight="1" x14ac:dyDescent="0.25">
      <c r="A426" s="555" t="s">
        <v>658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542"/>
      <c r="AB426" s="542"/>
      <c r="AC426" s="542"/>
    </row>
    <row r="427" spans="1:68" ht="14.25" hidden="1" customHeight="1" x14ac:dyDescent="0.25">
      <c r="A427" s="553" t="s">
        <v>101</v>
      </c>
      <c r="B427" s="554"/>
      <c r="C427" s="554"/>
      <c r="D427" s="554"/>
      <c r="E427" s="554"/>
      <c r="F427" s="554"/>
      <c r="G427" s="554"/>
      <c r="H427" s="554"/>
      <c r="I427" s="554"/>
      <c r="J427" s="554"/>
      <c r="K427" s="554"/>
      <c r="L427" s="554"/>
      <c r="M427" s="554"/>
      <c r="N427" s="554"/>
      <c r="O427" s="554"/>
      <c r="P427" s="554"/>
      <c r="Q427" s="554"/>
      <c r="R427" s="554"/>
      <c r="S427" s="554"/>
      <c r="T427" s="554"/>
      <c r="U427" s="554"/>
      <c r="V427" s="554"/>
      <c r="W427" s="554"/>
      <c r="X427" s="554"/>
      <c r="Y427" s="554"/>
      <c r="Z427" s="554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1">
        <v>4607091389067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1">
        <v>4607091383522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1">
        <v>4607091383522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7">
        <v>120</v>
      </c>
      <c r="Y430" s="548">
        <f t="shared" si="47"/>
        <v>121.44000000000001</v>
      </c>
      <c r="Z430" s="36">
        <f t="shared" si="48"/>
        <v>0.27507999999999999</v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127.95454545454545</v>
      </c>
      <c r="BN430" s="64">
        <f t="shared" si="50"/>
        <v>129.49</v>
      </c>
      <c r="BO430" s="64">
        <f t="shared" si="51"/>
        <v>0.21853146853146854</v>
      </c>
      <c r="BP430" s="64">
        <f t="shared" si="52"/>
        <v>0.22115384615384617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1">
        <v>4680115885271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1">
        <v>4680115885226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1">
        <v>4680115884502</v>
      </c>
      <c r="E433" s="552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1">
        <v>4607091389104</v>
      </c>
      <c r="E434" s="552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1">
        <v>4680115886391</v>
      </c>
      <c r="E435" s="552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1">
        <v>4680115880603</v>
      </c>
      <c r="E436" s="552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7">
        <v>9.6</v>
      </c>
      <c r="Y436" s="548">
        <f t="shared" si="47"/>
        <v>9.6</v>
      </c>
      <c r="Z436" s="36">
        <f>IFERROR(IF(Y436=0,"",ROUNDUP(Y436/H436,0)*0.00902),"")</f>
        <v>1.804E-2</v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13.82</v>
      </c>
      <c r="BN436" s="64">
        <f t="shared" si="50"/>
        <v>13.82</v>
      </c>
      <c r="BO436" s="64">
        <f t="shared" si="51"/>
        <v>1.5151515151515152E-2</v>
      </c>
      <c r="BP436" s="64">
        <f t="shared" si="52"/>
        <v>1.5151515151515152E-2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1">
        <v>4680115882782</v>
      </c>
      <c r="E437" s="552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6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1">
        <v>4680115885479</v>
      </c>
      <c r="E438" s="552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7">
        <v>36</v>
      </c>
      <c r="Y438" s="548">
        <f t="shared" si="47"/>
        <v>36</v>
      </c>
      <c r="Z438" s="36">
        <f>IFERROR(IF(Y438=0,"",ROUNDUP(Y438/H438,0)*0.00651),"")</f>
        <v>9.7650000000000001E-2</v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38.700000000000003</v>
      </c>
      <c r="BN438" s="64">
        <f t="shared" si="50"/>
        <v>38.700000000000003</v>
      </c>
      <c r="BO438" s="64">
        <f t="shared" si="51"/>
        <v>8.241758241758243E-2</v>
      </c>
      <c r="BP438" s="64">
        <f t="shared" si="52"/>
        <v>8.241758241758243E-2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1">
        <v>4607091389982</v>
      </c>
      <c r="E439" s="552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9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70"/>
      <c r="P440" s="556" t="s">
        <v>75</v>
      </c>
      <c r="Q440" s="557"/>
      <c r="R440" s="557"/>
      <c r="S440" s="557"/>
      <c r="T440" s="557"/>
      <c r="U440" s="557"/>
      <c r="V440" s="558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39.727272727272727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40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0.39077000000000001</v>
      </c>
      <c r="AA440" s="550"/>
      <c r="AB440" s="550"/>
      <c r="AC440" s="550"/>
    </row>
    <row r="441" spans="1:68" x14ac:dyDescent="0.2">
      <c r="A441" s="554"/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70"/>
      <c r="P441" s="556" t="s">
        <v>75</v>
      </c>
      <c r="Q441" s="557"/>
      <c r="R441" s="557"/>
      <c r="S441" s="557"/>
      <c r="T441" s="557"/>
      <c r="U441" s="557"/>
      <c r="V441" s="558"/>
      <c r="W441" s="37" t="s">
        <v>69</v>
      </c>
      <c r="X441" s="549">
        <f>IFERROR(SUM(X428:X439),"0")</f>
        <v>165.6</v>
      </c>
      <c r="Y441" s="549">
        <f>IFERROR(SUM(Y428:Y439),"0")</f>
        <v>167.04000000000002</v>
      </c>
      <c r="Z441" s="37"/>
      <c r="AA441" s="550"/>
      <c r="AB441" s="550"/>
      <c r="AC441" s="550"/>
    </row>
    <row r="442" spans="1:68" ht="14.25" hidden="1" customHeight="1" x14ac:dyDescent="0.25">
      <c r="A442" s="553" t="s">
        <v>136</v>
      </c>
      <c r="B442" s="554"/>
      <c r="C442" s="554"/>
      <c r="D442" s="554"/>
      <c r="E442" s="554"/>
      <c r="F442" s="554"/>
      <c r="G442" s="554"/>
      <c r="H442" s="554"/>
      <c r="I442" s="554"/>
      <c r="J442" s="554"/>
      <c r="K442" s="554"/>
      <c r="L442" s="554"/>
      <c r="M442" s="554"/>
      <c r="N442" s="554"/>
      <c r="O442" s="554"/>
      <c r="P442" s="554"/>
      <c r="Q442" s="554"/>
      <c r="R442" s="554"/>
      <c r="S442" s="554"/>
      <c r="T442" s="554"/>
      <c r="U442" s="554"/>
      <c r="V442" s="554"/>
      <c r="W442" s="554"/>
      <c r="X442" s="554"/>
      <c r="Y442" s="554"/>
      <c r="Z442" s="554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1">
        <v>4607091388930</v>
      </c>
      <c r="E443" s="552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7">
        <v>260</v>
      </c>
      <c r="Y443" s="548">
        <f>IFERROR(IF(X443="",0,CEILING((X443/$H443),1)*$H443),"")</f>
        <v>264</v>
      </c>
      <c r="Z443" s="36">
        <f>IFERROR(IF(Y443=0,"",ROUNDUP(Y443/H443,0)*0.01196),"")</f>
        <v>0.59799999999999998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277.23484848484844</v>
      </c>
      <c r="BN443" s="64">
        <f>IFERROR(Y443*I443/H443,"0")</f>
        <v>281.5</v>
      </c>
      <c r="BO443" s="64">
        <f>IFERROR(1/J443*(X443/H443),"0")</f>
        <v>0.47348484848484851</v>
      </c>
      <c r="BP443" s="64">
        <f>IFERROR(1/J443*(Y443/H443),"0")</f>
        <v>0.48076923076923078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1">
        <v>4680115886407</v>
      </c>
      <c r="E444" s="552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1">
        <v>4680115880054</v>
      </c>
      <c r="E445" s="552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9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70"/>
      <c r="P446" s="556" t="s">
        <v>75</v>
      </c>
      <c r="Q446" s="557"/>
      <c r="R446" s="557"/>
      <c r="S446" s="557"/>
      <c r="T446" s="557"/>
      <c r="U446" s="557"/>
      <c r="V446" s="558"/>
      <c r="W446" s="37" t="s">
        <v>76</v>
      </c>
      <c r="X446" s="549">
        <f>IFERROR(X443/H443,"0")+IFERROR(X444/H444,"0")+IFERROR(X445/H445,"0")</f>
        <v>49.242424242424242</v>
      </c>
      <c r="Y446" s="549">
        <f>IFERROR(Y443/H443,"0")+IFERROR(Y444/H444,"0")+IFERROR(Y445/H445,"0")</f>
        <v>50</v>
      </c>
      <c r="Z446" s="549">
        <f>IFERROR(IF(Z443="",0,Z443),"0")+IFERROR(IF(Z444="",0,Z444),"0")+IFERROR(IF(Z445="",0,Z445),"0")</f>
        <v>0.59799999999999998</v>
      </c>
      <c r="AA446" s="550"/>
      <c r="AB446" s="550"/>
      <c r="AC446" s="550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70"/>
      <c r="P447" s="556" t="s">
        <v>75</v>
      </c>
      <c r="Q447" s="557"/>
      <c r="R447" s="557"/>
      <c r="S447" s="557"/>
      <c r="T447" s="557"/>
      <c r="U447" s="557"/>
      <c r="V447" s="558"/>
      <c r="W447" s="37" t="s">
        <v>69</v>
      </c>
      <c r="X447" s="549">
        <f>IFERROR(SUM(X443:X445),"0")</f>
        <v>260</v>
      </c>
      <c r="Y447" s="549">
        <f>IFERROR(SUM(Y443:Y445),"0")</f>
        <v>264</v>
      </c>
      <c r="Z447" s="37"/>
      <c r="AA447" s="550"/>
      <c r="AB447" s="550"/>
      <c r="AC447" s="550"/>
    </row>
    <row r="448" spans="1:68" ht="14.25" hidden="1" customHeight="1" x14ac:dyDescent="0.25">
      <c r="A448" s="553" t="s">
        <v>64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1">
        <v>4680115883116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5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7">
        <v>20</v>
      </c>
      <c r="Y449" s="548">
        <f t="shared" ref="Y449:Y454" si="53">IFERROR(IF(X449="",0,CEILING((X449/$H449),1)*$H449),"")</f>
        <v>21.12</v>
      </c>
      <c r="Z449" s="36">
        <f>IFERROR(IF(Y449=0,"",ROUNDUP(Y449/H449,0)*0.01196),"")</f>
        <v>4.7840000000000001E-2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21.325757575757574</v>
      </c>
      <c r="BN449" s="64">
        <f t="shared" ref="BN449:BN454" si="55">IFERROR(Y449*I449/H449,"0")</f>
        <v>22.52</v>
      </c>
      <c r="BO449" s="64">
        <f t="shared" ref="BO449:BO454" si="56">IFERROR(1/J449*(X449/H449),"0")</f>
        <v>3.6421911421911424E-2</v>
      </c>
      <c r="BP449" s="64">
        <f t="shared" ref="BP449:BP454" si="57">IFERROR(1/J449*(Y449/H449),"0")</f>
        <v>3.8461538461538464E-2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1">
        <v>4680115883093</v>
      </c>
      <c r="E450" s="552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1">
        <v>4680115883109</v>
      </c>
      <c r="E451" s="552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7">
        <v>90</v>
      </c>
      <c r="Y451" s="548">
        <f t="shared" si="53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95.965909090909079</v>
      </c>
      <c r="BN451" s="64">
        <f t="shared" si="55"/>
        <v>101.33999999999999</v>
      </c>
      <c r="BO451" s="64">
        <f t="shared" si="56"/>
        <v>0.16389860139860138</v>
      </c>
      <c r="BP451" s="64">
        <f t="shared" si="57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1">
        <v>4680115882072</v>
      </c>
      <c r="E452" s="552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7">
        <v>4.8</v>
      </c>
      <c r="Y452" s="548">
        <f t="shared" si="53"/>
        <v>4.8</v>
      </c>
      <c r="Z452" s="36">
        <f>IFERROR(IF(Y452=0,"",ROUNDUP(Y452/H452,0)*0.00902),"")</f>
        <v>9.0200000000000002E-3</v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6.91</v>
      </c>
      <c r="BN452" s="64">
        <f t="shared" si="55"/>
        <v>6.91</v>
      </c>
      <c r="BO452" s="64">
        <f t="shared" si="56"/>
        <v>7.575757575757576E-3</v>
      </c>
      <c r="BP452" s="64">
        <f t="shared" si="57"/>
        <v>7.575757575757576E-3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1">
        <v>4680115882102</v>
      </c>
      <c r="E453" s="552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1">
        <v>4680115882096</v>
      </c>
      <c r="E454" s="552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7">
        <v>4.8</v>
      </c>
      <c r="Y454" s="548">
        <f t="shared" si="53"/>
        <v>4.8</v>
      </c>
      <c r="Z454" s="36">
        <f>IFERROR(IF(Y454=0,"",ROUNDUP(Y454/H454,0)*0.00902),"")</f>
        <v>9.0200000000000002E-3</v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6.67</v>
      </c>
      <c r="BN454" s="64">
        <f t="shared" si="55"/>
        <v>6.67</v>
      </c>
      <c r="BO454" s="64">
        <f t="shared" si="56"/>
        <v>7.575757575757576E-3</v>
      </c>
      <c r="BP454" s="64">
        <f t="shared" si="57"/>
        <v>7.575757575757576E-3</v>
      </c>
    </row>
    <row r="455" spans="1:68" x14ac:dyDescent="0.2">
      <c r="A455" s="569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70"/>
      <c r="P455" s="556" t="s">
        <v>75</v>
      </c>
      <c r="Q455" s="557"/>
      <c r="R455" s="557"/>
      <c r="S455" s="557"/>
      <c r="T455" s="557"/>
      <c r="U455" s="557"/>
      <c r="V455" s="558"/>
      <c r="W455" s="37" t="s">
        <v>76</v>
      </c>
      <c r="X455" s="549">
        <f>IFERROR(X449/H449,"0")+IFERROR(X450/H450,"0")+IFERROR(X451/H451,"0")+IFERROR(X452/H452,"0")+IFERROR(X453/H453,"0")+IFERROR(X454/H454,"0")</f>
        <v>22.833333333333332</v>
      </c>
      <c r="Y455" s="549">
        <f>IFERROR(Y449/H449,"0")+IFERROR(Y450/H450,"0")+IFERROR(Y451/H451,"0")+IFERROR(Y452/H452,"0")+IFERROR(Y453/H453,"0")+IFERROR(Y454/H454,"0")</f>
        <v>24</v>
      </c>
      <c r="Z455" s="549">
        <f>IFERROR(IF(Z449="",0,Z449),"0")+IFERROR(IF(Z450="",0,Z450),"0")+IFERROR(IF(Z451="",0,Z451),"0")+IFERROR(IF(Z452="",0,Z452),"0")+IFERROR(IF(Z453="",0,Z453),"0")+IFERROR(IF(Z454="",0,Z454),"0")</f>
        <v>0.28116000000000008</v>
      </c>
      <c r="AA455" s="550"/>
      <c r="AB455" s="550"/>
      <c r="AC455" s="550"/>
    </row>
    <row r="456" spans="1:68" x14ac:dyDescent="0.2">
      <c r="A456" s="554"/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70"/>
      <c r="P456" s="556" t="s">
        <v>75</v>
      </c>
      <c r="Q456" s="557"/>
      <c r="R456" s="557"/>
      <c r="S456" s="557"/>
      <c r="T456" s="557"/>
      <c r="U456" s="557"/>
      <c r="V456" s="558"/>
      <c r="W456" s="37" t="s">
        <v>69</v>
      </c>
      <c r="X456" s="549">
        <f>IFERROR(SUM(X449:X454),"0")</f>
        <v>119.6</v>
      </c>
      <c r="Y456" s="549">
        <f>IFERROR(SUM(Y449:Y454),"0")</f>
        <v>125.76</v>
      </c>
      <c r="Z456" s="37"/>
      <c r="AA456" s="550"/>
      <c r="AB456" s="550"/>
      <c r="AC456" s="550"/>
    </row>
    <row r="457" spans="1:68" ht="27.75" hidden="1" customHeight="1" x14ac:dyDescent="0.2">
      <c r="A457" s="712" t="s">
        <v>710</v>
      </c>
      <c r="B457" s="713"/>
      <c r="C457" s="713"/>
      <c r="D457" s="713"/>
      <c r="E457" s="713"/>
      <c r="F457" s="713"/>
      <c r="G457" s="713"/>
      <c r="H457" s="713"/>
      <c r="I457" s="713"/>
      <c r="J457" s="713"/>
      <c r="K457" s="713"/>
      <c r="L457" s="713"/>
      <c r="M457" s="713"/>
      <c r="N457" s="713"/>
      <c r="O457" s="713"/>
      <c r="P457" s="713"/>
      <c r="Q457" s="713"/>
      <c r="R457" s="713"/>
      <c r="S457" s="713"/>
      <c r="T457" s="713"/>
      <c r="U457" s="713"/>
      <c r="V457" s="713"/>
      <c r="W457" s="713"/>
      <c r="X457" s="713"/>
      <c r="Y457" s="713"/>
      <c r="Z457" s="713"/>
      <c r="AA457" s="48"/>
      <c r="AB457" s="48"/>
      <c r="AC457" s="48"/>
    </row>
    <row r="458" spans="1:68" ht="16.5" hidden="1" customHeight="1" x14ac:dyDescent="0.25">
      <c r="A458" s="555" t="s">
        <v>710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42"/>
      <c r="AB458" s="542"/>
      <c r="AC458" s="542"/>
    </row>
    <row r="459" spans="1:68" ht="14.25" hidden="1" customHeight="1" x14ac:dyDescent="0.25">
      <c r="A459" s="553" t="s">
        <v>101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1">
        <v>4640242181011</v>
      </c>
      <c r="E460" s="552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8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0"/>
      <c r="R460" s="560"/>
      <c r="S460" s="560"/>
      <c r="T460" s="561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1">
        <v>4640242180441</v>
      </c>
      <c r="E461" s="552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80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0"/>
      <c r="R461" s="560"/>
      <c r="S461" s="560"/>
      <c r="T461" s="561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1">
        <v>4640242180564</v>
      </c>
      <c r="E462" s="552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0"/>
      <c r="R462" s="560"/>
      <c r="S462" s="560"/>
      <c r="T462" s="561"/>
      <c r="U462" s="34"/>
      <c r="V462" s="34"/>
      <c r="W462" s="35" t="s">
        <v>69</v>
      </c>
      <c r="X462" s="547">
        <v>120</v>
      </c>
      <c r="Y462" s="548">
        <f>IFERROR(IF(X462="",0,CEILING((X462/$H462),1)*$H462),"")</f>
        <v>120</v>
      </c>
      <c r="Z462" s="36">
        <f>IFERROR(IF(Y462=0,"",ROUNDUP(Y462/H462,0)*0.01898),"")</f>
        <v>0.1898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124.10000000000001</v>
      </c>
      <c r="BN462" s="64">
        <f>IFERROR(Y462*I462/H462,"0")</f>
        <v>124.10000000000001</v>
      </c>
      <c r="BO462" s="64">
        <f>IFERROR(1/J462*(X462/H462),"0")</f>
        <v>0.15625</v>
      </c>
      <c r="BP462" s="64">
        <f>IFERROR(1/J462*(Y462/H462),"0")</f>
        <v>0.15625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1">
        <v>4640242181189</v>
      </c>
      <c r="E463" s="552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7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0"/>
      <c r="R463" s="560"/>
      <c r="S463" s="560"/>
      <c r="T463" s="561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9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70"/>
      <c r="P464" s="556" t="s">
        <v>75</v>
      </c>
      <c r="Q464" s="557"/>
      <c r="R464" s="557"/>
      <c r="S464" s="557"/>
      <c r="T464" s="557"/>
      <c r="U464" s="557"/>
      <c r="V464" s="558"/>
      <c r="W464" s="37" t="s">
        <v>76</v>
      </c>
      <c r="X464" s="549">
        <f>IFERROR(X460/H460,"0")+IFERROR(X461/H461,"0")+IFERROR(X462/H462,"0")+IFERROR(X463/H463,"0")</f>
        <v>10</v>
      </c>
      <c r="Y464" s="549">
        <f>IFERROR(Y460/H460,"0")+IFERROR(Y461/H461,"0")+IFERROR(Y462/H462,"0")+IFERROR(Y463/H463,"0")</f>
        <v>10</v>
      </c>
      <c r="Z464" s="549">
        <f>IFERROR(IF(Z460="",0,Z460),"0")+IFERROR(IF(Z461="",0,Z461),"0")+IFERROR(IF(Z462="",0,Z462),"0")+IFERROR(IF(Z463="",0,Z463),"0")</f>
        <v>0.1898</v>
      </c>
      <c r="AA464" s="550"/>
      <c r="AB464" s="550"/>
      <c r="AC464" s="550"/>
    </row>
    <row r="465" spans="1:68" x14ac:dyDescent="0.2">
      <c r="A465" s="554"/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70"/>
      <c r="P465" s="556" t="s">
        <v>75</v>
      </c>
      <c r="Q465" s="557"/>
      <c r="R465" s="557"/>
      <c r="S465" s="557"/>
      <c r="T465" s="557"/>
      <c r="U465" s="557"/>
      <c r="V465" s="558"/>
      <c r="W465" s="37" t="s">
        <v>69</v>
      </c>
      <c r="X465" s="549">
        <f>IFERROR(SUM(X460:X463),"0")</f>
        <v>120</v>
      </c>
      <c r="Y465" s="549">
        <f>IFERROR(SUM(Y460:Y463),"0")</f>
        <v>120</v>
      </c>
      <c r="Z465" s="37"/>
      <c r="AA465" s="550"/>
      <c r="AB465" s="550"/>
      <c r="AC465" s="550"/>
    </row>
    <row r="466" spans="1:68" ht="14.25" hidden="1" customHeight="1" x14ac:dyDescent="0.25">
      <c r="A466" s="553" t="s">
        <v>136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1">
        <v>4640242180519</v>
      </c>
      <c r="E467" s="552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0"/>
      <c r="R467" s="560"/>
      <c r="S467" s="560"/>
      <c r="T467" s="561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1">
        <v>4640242180526</v>
      </c>
      <c r="E468" s="552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60"/>
      <c r="R468" s="560"/>
      <c r="S468" s="560"/>
      <c r="T468" s="561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70"/>
      <c r="P469" s="556" t="s">
        <v>75</v>
      </c>
      <c r="Q469" s="557"/>
      <c r="R469" s="557"/>
      <c r="S469" s="557"/>
      <c r="T469" s="557"/>
      <c r="U469" s="557"/>
      <c r="V469" s="558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70"/>
      <c r="P470" s="556" t="s">
        <v>75</v>
      </c>
      <c r="Q470" s="557"/>
      <c r="R470" s="557"/>
      <c r="S470" s="557"/>
      <c r="T470" s="557"/>
      <c r="U470" s="557"/>
      <c r="V470" s="558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53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1">
        <v>4640242180595</v>
      </c>
      <c r="E472" s="552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60"/>
      <c r="R472" s="560"/>
      <c r="S472" s="560"/>
      <c r="T472" s="561"/>
      <c r="U472" s="34"/>
      <c r="V472" s="34"/>
      <c r="W472" s="35" t="s">
        <v>69</v>
      </c>
      <c r="X472" s="547">
        <v>80</v>
      </c>
      <c r="Y472" s="548">
        <f>IFERROR(IF(X472="",0,CEILING((X472/$H472),1)*$H472),"")</f>
        <v>81.599999999999994</v>
      </c>
      <c r="Z472" s="36">
        <f>IFERROR(IF(Y472=0,"",ROUNDUP(Y472/H472,0)*0.00902),"")</f>
        <v>0.15334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84.166666666666671</v>
      </c>
      <c r="BN472" s="64">
        <f>IFERROR(Y472*I472/H472,"0")</f>
        <v>85.85</v>
      </c>
      <c r="BO472" s="64">
        <f>IFERROR(1/J472*(X472/H472),"0")</f>
        <v>0.12626262626262627</v>
      </c>
      <c r="BP472" s="64">
        <f>IFERROR(1/J472*(Y472/H472),"0")</f>
        <v>0.12878787878787878</v>
      </c>
    </row>
    <row r="473" spans="1:68" x14ac:dyDescent="0.2">
      <c r="A473" s="569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70"/>
      <c r="P473" s="556" t="s">
        <v>75</v>
      </c>
      <c r="Q473" s="557"/>
      <c r="R473" s="557"/>
      <c r="S473" s="557"/>
      <c r="T473" s="557"/>
      <c r="U473" s="557"/>
      <c r="V473" s="558"/>
      <c r="W473" s="37" t="s">
        <v>76</v>
      </c>
      <c r="X473" s="549">
        <f>IFERROR(X472/H472,"0")</f>
        <v>16.666666666666668</v>
      </c>
      <c r="Y473" s="549">
        <f>IFERROR(Y472/H472,"0")</f>
        <v>17</v>
      </c>
      <c r="Z473" s="549">
        <f>IFERROR(IF(Z472="",0,Z472),"0")</f>
        <v>0.15334</v>
      </c>
      <c r="AA473" s="550"/>
      <c r="AB473" s="550"/>
      <c r="AC473" s="550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70"/>
      <c r="P474" s="556" t="s">
        <v>75</v>
      </c>
      <c r="Q474" s="557"/>
      <c r="R474" s="557"/>
      <c r="S474" s="557"/>
      <c r="T474" s="557"/>
      <c r="U474" s="557"/>
      <c r="V474" s="558"/>
      <c r="W474" s="37" t="s">
        <v>69</v>
      </c>
      <c r="X474" s="549">
        <f>IFERROR(SUM(X472:X472),"0")</f>
        <v>80</v>
      </c>
      <c r="Y474" s="549">
        <f>IFERROR(SUM(Y472:Y472),"0")</f>
        <v>81.599999999999994</v>
      </c>
      <c r="Z474" s="37"/>
      <c r="AA474" s="550"/>
      <c r="AB474" s="550"/>
      <c r="AC474" s="550"/>
    </row>
    <row r="475" spans="1:68" ht="14.25" hidden="1" customHeight="1" x14ac:dyDescent="0.25">
      <c r="A475" s="553" t="s">
        <v>77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1">
        <v>4640242180533</v>
      </c>
      <c r="E476" s="552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9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70"/>
      <c r="P477" s="556" t="s">
        <v>75</v>
      </c>
      <c r="Q477" s="557"/>
      <c r="R477" s="557"/>
      <c r="S477" s="557"/>
      <c r="T477" s="557"/>
      <c r="U477" s="557"/>
      <c r="V477" s="558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70"/>
      <c r="P478" s="556" t="s">
        <v>75</v>
      </c>
      <c r="Q478" s="557"/>
      <c r="R478" s="557"/>
      <c r="S478" s="557"/>
      <c r="T478" s="557"/>
      <c r="U478" s="557"/>
      <c r="V478" s="558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53" t="s">
        <v>161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1">
        <v>4640242180120</v>
      </c>
      <c r="E480" s="552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1">
        <v>4640242180137</v>
      </c>
      <c r="E481" s="552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60"/>
      <c r="R481" s="560"/>
      <c r="S481" s="560"/>
      <c r="T481" s="561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9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70"/>
      <c r="P482" s="556" t="s">
        <v>75</v>
      </c>
      <c r="Q482" s="557"/>
      <c r="R482" s="557"/>
      <c r="S482" s="557"/>
      <c r="T482" s="557"/>
      <c r="U482" s="557"/>
      <c r="V482" s="558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70"/>
      <c r="P483" s="556" t="s">
        <v>75</v>
      </c>
      <c r="Q483" s="557"/>
      <c r="R483" s="557"/>
      <c r="S483" s="557"/>
      <c r="T483" s="557"/>
      <c r="U483" s="557"/>
      <c r="V483" s="558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55" t="s">
        <v>740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42"/>
      <c r="AB484" s="542"/>
      <c r="AC484" s="542"/>
    </row>
    <row r="485" spans="1:68" ht="14.25" hidden="1" customHeight="1" x14ac:dyDescent="0.25">
      <c r="A485" s="553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1">
        <v>4640242180090</v>
      </c>
      <c r="E486" s="552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60"/>
      <c r="R486" s="560"/>
      <c r="S486" s="560"/>
      <c r="T486" s="561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9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70"/>
      <c r="P487" s="556" t="s">
        <v>75</v>
      </c>
      <c r="Q487" s="557"/>
      <c r="R487" s="557"/>
      <c r="S487" s="557"/>
      <c r="T487" s="557"/>
      <c r="U487" s="557"/>
      <c r="V487" s="558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70"/>
      <c r="P488" s="556" t="s">
        <v>75</v>
      </c>
      <c r="Q488" s="557"/>
      <c r="R488" s="557"/>
      <c r="S488" s="557"/>
      <c r="T488" s="557"/>
      <c r="U488" s="557"/>
      <c r="V488" s="558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21"/>
      <c r="P489" s="655" t="s">
        <v>744</v>
      </c>
      <c r="Q489" s="656"/>
      <c r="R489" s="656"/>
      <c r="S489" s="656"/>
      <c r="T489" s="656"/>
      <c r="U489" s="656"/>
      <c r="V489" s="65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13212.030000000002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13332.490000000002</v>
      </c>
      <c r="Z489" s="37"/>
      <c r="AA489" s="550"/>
      <c r="AB489" s="550"/>
      <c r="AC489" s="550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21"/>
      <c r="P490" s="655" t="s">
        <v>745</v>
      </c>
      <c r="Q490" s="656"/>
      <c r="R490" s="656"/>
      <c r="S490" s="656"/>
      <c r="T490" s="656"/>
      <c r="U490" s="656"/>
      <c r="V490" s="657"/>
      <c r="W490" s="37" t="s">
        <v>69</v>
      </c>
      <c r="X490" s="549">
        <f>IFERROR(SUM(BM22:BM486),"0")</f>
        <v>13919.314390554866</v>
      </c>
      <c r="Y490" s="549">
        <f>IFERROR(SUM(BN22:BN486),"0")</f>
        <v>14045.445000000007</v>
      </c>
      <c r="Z490" s="37"/>
      <c r="AA490" s="550"/>
      <c r="AB490" s="550"/>
      <c r="AC490" s="550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21"/>
      <c r="P491" s="655" t="s">
        <v>746</v>
      </c>
      <c r="Q491" s="656"/>
      <c r="R491" s="656"/>
      <c r="S491" s="656"/>
      <c r="T491" s="656"/>
      <c r="U491" s="656"/>
      <c r="V491" s="657"/>
      <c r="W491" s="37" t="s">
        <v>747</v>
      </c>
      <c r="X491" s="38">
        <f>ROUNDUP(SUM(BO22:BO486),0)</f>
        <v>24</v>
      </c>
      <c r="Y491" s="38">
        <f>ROUNDUP(SUM(BP22:BP486),0)</f>
        <v>24</v>
      </c>
      <c r="Z491" s="37"/>
      <c r="AA491" s="550"/>
      <c r="AB491" s="550"/>
      <c r="AC491" s="550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21"/>
      <c r="P492" s="655" t="s">
        <v>748</v>
      </c>
      <c r="Q492" s="656"/>
      <c r="R492" s="656"/>
      <c r="S492" s="656"/>
      <c r="T492" s="656"/>
      <c r="U492" s="656"/>
      <c r="V492" s="657"/>
      <c r="W492" s="37" t="s">
        <v>69</v>
      </c>
      <c r="X492" s="549">
        <f>GrossWeightTotal+PalletQtyTotal*25</f>
        <v>14519.314390554866</v>
      </c>
      <c r="Y492" s="549">
        <f>GrossWeightTotalR+PalletQtyTotalR*25</f>
        <v>14645.445000000007</v>
      </c>
      <c r="Z492" s="37"/>
      <c r="AA492" s="550"/>
      <c r="AB492" s="550"/>
      <c r="AC492" s="550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21"/>
      <c r="P493" s="655" t="s">
        <v>749</v>
      </c>
      <c r="Q493" s="656"/>
      <c r="R493" s="656"/>
      <c r="S493" s="656"/>
      <c r="T493" s="656"/>
      <c r="U493" s="656"/>
      <c r="V493" s="65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2287.3383964962909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2304</v>
      </c>
      <c r="Z493" s="37"/>
      <c r="AA493" s="550"/>
      <c r="AB493" s="550"/>
      <c r="AC493" s="550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21"/>
      <c r="P494" s="655" t="s">
        <v>750</v>
      </c>
      <c r="Q494" s="656"/>
      <c r="R494" s="656"/>
      <c r="S494" s="656"/>
      <c r="T494" s="656"/>
      <c r="U494" s="656"/>
      <c r="V494" s="65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27.370500000000003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0" t="s">
        <v>99</v>
      </c>
      <c r="D496" s="678"/>
      <c r="E496" s="678"/>
      <c r="F496" s="678"/>
      <c r="G496" s="678"/>
      <c r="H496" s="607"/>
      <c r="I496" s="600" t="s">
        <v>263</v>
      </c>
      <c r="J496" s="678"/>
      <c r="K496" s="678"/>
      <c r="L496" s="678"/>
      <c r="M496" s="678"/>
      <c r="N496" s="678"/>
      <c r="O496" s="678"/>
      <c r="P496" s="678"/>
      <c r="Q496" s="678"/>
      <c r="R496" s="607"/>
      <c r="S496" s="600" t="s">
        <v>553</v>
      </c>
      <c r="T496" s="607"/>
      <c r="U496" s="600" t="s">
        <v>607</v>
      </c>
      <c r="V496" s="678"/>
      <c r="W496" s="607"/>
      <c r="X496" s="544" t="s">
        <v>658</v>
      </c>
      <c r="Y496" s="600" t="s">
        <v>710</v>
      </c>
      <c r="Z496" s="607"/>
      <c r="AB496" s="52"/>
      <c r="AC496" s="52"/>
      <c r="AF496" s="545"/>
    </row>
    <row r="497" spans="1:32" ht="14.25" customHeight="1" thickTop="1" x14ac:dyDescent="0.2">
      <c r="A497" s="853" t="s">
        <v>753</v>
      </c>
      <c r="B497" s="600" t="s">
        <v>63</v>
      </c>
      <c r="C497" s="600" t="s">
        <v>100</v>
      </c>
      <c r="D497" s="600" t="s">
        <v>117</v>
      </c>
      <c r="E497" s="600" t="s">
        <v>168</v>
      </c>
      <c r="F497" s="600" t="s">
        <v>190</v>
      </c>
      <c r="G497" s="600" t="s">
        <v>227</v>
      </c>
      <c r="H497" s="600" t="s">
        <v>99</v>
      </c>
      <c r="I497" s="600" t="s">
        <v>264</v>
      </c>
      <c r="J497" s="600" t="s">
        <v>319</v>
      </c>
      <c r="K497" s="600" t="s">
        <v>379</v>
      </c>
      <c r="L497" s="600" t="s">
        <v>420</v>
      </c>
      <c r="M497" s="600" t="s">
        <v>436</v>
      </c>
      <c r="N497" s="545"/>
      <c r="O497" s="600" t="s">
        <v>447</v>
      </c>
      <c r="P497" s="600" t="s">
        <v>456</v>
      </c>
      <c r="Q497" s="600" t="s">
        <v>469</v>
      </c>
      <c r="R497" s="600" t="s">
        <v>543</v>
      </c>
      <c r="S497" s="600" t="s">
        <v>554</v>
      </c>
      <c r="T497" s="600" t="s">
        <v>589</v>
      </c>
      <c r="U497" s="600" t="s">
        <v>608</v>
      </c>
      <c r="V497" s="600" t="s">
        <v>639</v>
      </c>
      <c r="W497" s="600" t="s">
        <v>654</v>
      </c>
      <c r="X497" s="600" t="s">
        <v>658</v>
      </c>
      <c r="Y497" s="600" t="s">
        <v>710</v>
      </c>
      <c r="Z497" s="600" t="s">
        <v>740</v>
      </c>
      <c r="AB497" s="52"/>
      <c r="AC497" s="52"/>
      <c r="AF497" s="545"/>
    </row>
    <row r="498" spans="1:32" ht="13.5" customHeight="1" thickBot="1" x14ac:dyDescent="0.25">
      <c r="A498" s="854"/>
      <c r="B498" s="601"/>
      <c r="C498" s="601"/>
      <c r="D498" s="601"/>
      <c r="E498" s="601"/>
      <c r="F498" s="601"/>
      <c r="G498" s="601"/>
      <c r="H498" s="601"/>
      <c r="I498" s="601"/>
      <c r="J498" s="601"/>
      <c r="K498" s="601"/>
      <c r="L498" s="601"/>
      <c r="M498" s="601"/>
      <c r="N498" s="545"/>
      <c r="O498" s="601"/>
      <c r="P498" s="601"/>
      <c r="Q498" s="601"/>
      <c r="R498" s="601"/>
      <c r="S498" s="601"/>
      <c r="T498" s="601"/>
      <c r="U498" s="601"/>
      <c r="V498" s="601"/>
      <c r="W498" s="601"/>
      <c r="X498" s="601"/>
      <c r="Y498" s="601"/>
      <c r="Z498" s="601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377.2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870.30000000000007</v>
      </c>
      <c r="E499" s="46">
        <f>IFERROR(Y84*1,"0")+IFERROR(Y85*1,"0")+IFERROR(Y86*1,"0")+IFERROR(Y87*1,"0")+IFERROR(Y91*1,"0")+IFERROR(Y92*1,"0")+IFERROR(Y93*1,"0")+IFERROR(Y94*1,"0")</f>
        <v>558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541.79999999999995</v>
      </c>
      <c r="G499" s="46">
        <f>IFERROR(Y126*1,"0")+IFERROR(Y127*1,"0")+IFERROR(Y131*1,"0")+IFERROR(Y132*1,"0")+IFERROR(Y136*1,"0")+IFERROR(Y137*1,"0")</f>
        <v>164.4</v>
      </c>
      <c r="H499" s="46">
        <f>IFERROR(Y142*1,"0")+IFERROR(Y143*1,"0")+IFERROR(Y147*1,"0")+IFERROR(Y148*1,"0")+IFERROR(Y149*1,"0")+IFERROR(Y150*1,"0")+IFERROR(Y151*1,"0")+IFERROR(Y155*1,"0")</f>
        <v>196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323.40000000000003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604.20000000000005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12.780000000000001</v>
      </c>
      <c r="L499" s="46">
        <f>IFERROR(Y261*1,"0")+IFERROR(Y262*1,"0")+IFERROR(Y263*1,"0")+IFERROR(Y264*1,"0")+IFERROR(Y265*1,"0")</f>
        <v>75.600000000000009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96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4267.8100000000004</v>
      </c>
      <c r="R499" s="46">
        <f>IFERROR(Y341*1,"0")+IFERROR(Y342*1,"0")+IFERROR(Y343*1,"0")</f>
        <v>318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3547</v>
      </c>
      <c r="T499" s="46">
        <f>IFERROR(Y374*1,"0")+IFERROR(Y375*1,"0")+IFERROR(Y379*1,"0")+IFERROR(Y380*1,"0")+IFERROR(Y384*1,"0")+IFERROR(Y385*1,"0")+IFERROR(Y386*1,"0")</f>
        <v>498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96.6</v>
      </c>
      <c r="V499" s="46">
        <f>IFERROR(Y410*1,"0")+IFERROR(Y414*1,"0")+IFERROR(Y415*1,"0")+IFERROR(Y416*1,"0")+IFERROR(Y417*1,"0")</f>
        <v>27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556.79999999999995</v>
      </c>
      <c r="Y499" s="46">
        <f>IFERROR(Y460*1,"0")+IFERROR(Y461*1,"0")+IFERROR(Y462*1,"0")+IFERROR(Y463*1,"0")+IFERROR(Y467*1,"0")+IFERROR(Y468*1,"0")+IFERROR(Y472*1,"0")+IFERROR(Y476*1,"0")+IFERROR(Y480*1,"0")+IFERROR(Y481*1,"0")</f>
        <v>201.6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,98"/>
        <filter val="10,00"/>
        <filter val="10,80"/>
        <filter val="100,00"/>
        <filter val="105,00"/>
        <filter val="108,00"/>
        <filter val="112,00"/>
        <filter val="113,33"/>
        <filter val="119,60"/>
        <filter val="12,00"/>
        <filter val="12,78"/>
        <filter val="120,00"/>
        <filter val="126,00"/>
        <filter val="13 212,03"/>
        <filter val="13 919,31"/>
        <filter val="136,26"/>
        <filter val="14 519,31"/>
        <filter val="145,43"/>
        <filter val="15,00"/>
        <filter val="150,00"/>
        <filter val="16,67"/>
        <filter val="165,60"/>
        <filter val="167,50"/>
        <filter val="17,85"/>
        <filter val="178,10"/>
        <filter val="18,00"/>
        <filter val="185,00"/>
        <filter val="19,05"/>
        <filter val="19,80"/>
        <filter val="2 100,00"/>
        <filter val="2 160,00"/>
        <filter val="2 287,34"/>
        <filter val="2 645,00"/>
        <filter val="20,00"/>
        <filter val="20,82"/>
        <filter val="200,00"/>
        <filter val="202,50"/>
        <filter val="21,00"/>
        <filter val="22,83"/>
        <filter val="22,96"/>
        <filter val="24"/>
        <filter val="24,00"/>
        <filter val="240,00"/>
        <filter val="25,00"/>
        <filter val="250,00"/>
        <filter val="252,00"/>
        <filter val="26,00"/>
        <filter val="260,00"/>
        <filter val="272,00"/>
        <filter val="277,20"/>
        <filter val="278,60"/>
        <filter val="28,00"/>
        <filter val="280,00"/>
        <filter val="289,23"/>
        <filter val="30,00"/>
        <filter val="300,00"/>
        <filter val="315,40"/>
        <filter val="315,50"/>
        <filter val="32,00"/>
        <filter val="323,80"/>
        <filter val="330,00"/>
        <filter val="34,26"/>
        <filter val="36,00"/>
        <filter val="370,00"/>
        <filter val="39,73"/>
        <filter val="4,63"/>
        <filter val="4,80"/>
        <filter val="40,00"/>
        <filter val="400,00"/>
        <filter val="45,78"/>
        <filter val="450,00"/>
        <filter val="48,00"/>
        <filter val="49,24"/>
        <filter val="498,00"/>
        <filter val="5,00"/>
        <filter val="50,40"/>
        <filter val="500,00"/>
        <filter val="52,50"/>
        <filter val="54,00"/>
        <filter val="584,00"/>
        <filter val="59,85"/>
        <filter val="590,00"/>
        <filter val="6,30"/>
        <filter val="6,48"/>
        <filter val="60,00"/>
        <filter val="60,86"/>
        <filter val="600,00"/>
        <filter val="63,00"/>
        <filter val="64,00"/>
        <filter val="64,67"/>
        <filter val="64,85"/>
        <filter val="66,00"/>
        <filter val="67,50"/>
        <filter val="690,00"/>
        <filter val="70,00"/>
        <filter val="72,00"/>
        <filter val="72,44"/>
        <filter val="74,90"/>
        <filter val="75,56"/>
        <filter val="766,00"/>
        <filter val="78,33"/>
        <filter val="79,20"/>
        <filter val="79,69"/>
        <filter val="8,00"/>
        <filter val="80,00"/>
        <filter val="84,60"/>
        <filter val="850,00"/>
        <filter val="86,04"/>
        <filter val="882,00"/>
        <filter val="9,60"/>
        <filter val="90,00"/>
        <filter val="91,00"/>
        <filter val="91,11"/>
        <filter val="94,50"/>
        <filter val="96,00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V11:W11"/>
    <mergeCell ref="D165:E165"/>
    <mergeCell ref="D29:E29"/>
    <mergeCell ref="D23:E23"/>
    <mergeCell ref="A20:Z20"/>
    <mergeCell ref="P68:V6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65:E265"/>
    <mergeCell ref="D216:E216"/>
    <mergeCell ref="P195:V195"/>
    <mergeCell ref="A125:Z125"/>
    <mergeCell ref="P411:V411"/>
    <mergeCell ref="D430:E430"/>
    <mergeCell ref="P460:T460"/>
    <mergeCell ref="A223:O224"/>
    <mergeCell ref="P226:T226"/>
    <mergeCell ref="P152:V152"/>
    <mergeCell ref="P330:T330"/>
    <mergeCell ref="P402:V402"/>
    <mergeCell ref="P452:T452"/>
    <mergeCell ref="P441:V441"/>
    <mergeCell ref="P477:V477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67:T67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P336:T336"/>
    <mergeCell ref="P258:V258"/>
    <mergeCell ref="P423:V423"/>
    <mergeCell ref="P223:V223"/>
    <mergeCell ref="A9:C9"/>
    <mergeCell ref="H5:M5"/>
    <mergeCell ref="A75:O76"/>
    <mergeCell ref="D6:M6"/>
    <mergeCell ref="P95:V95"/>
    <mergeCell ref="D143:E143"/>
    <mergeCell ref="P398:T398"/>
    <mergeCell ref="P227:T227"/>
    <mergeCell ref="P177:T177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P473:V473"/>
    <mergeCell ref="A228:O229"/>
    <mergeCell ref="A154:Z154"/>
    <mergeCell ref="D439:E439"/>
    <mergeCell ref="P396:T396"/>
    <mergeCell ref="A390:Z390"/>
    <mergeCell ref="D317:E317"/>
    <mergeCell ref="P461:T461"/>
    <mergeCell ref="P175:T175"/>
    <mergeCell ref="P266:V266"/>
    <mergeCell ref="A292:O293"/>
    <mergeCell ref="P331:V331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P31:V31"/>
    <mergeCell ref="A403:Z403"/>
    <mergeCell ref="P382:V382"/>
    <mergeCell ref="P357:V357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461:E461"/>
    <mergeCell ref="P61:T61"/>
    <mergeCell ref="P359:T359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106:Z106"/>
    <mergeCell ref="D462:E462"/>
    <mergeCell ref="P365:T365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A426:Z426"/>
    <mergeCell ref="P116:T116"/>
    <mergeCell ref="A162:O163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D299:E299"/>
    <mergeCell ref="A230:Z230"/>
    <mergeCell ref="D222:E222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P446:V446"/>
    <mergeCell ref="P464:V464"/>
    <mergeCell ref="A82:Z82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404:T404"/>
    <mergeCell ref="P252:T252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A197:Z197"/>
    <mergeCell ref="P379:T379"/>
    <mergeCell ref="D360:E360"/>
    <mergeCell ref="D431:E431"/>
    <mergeCell ref="D301:E301"/>
    <mergeCell ref="A423:O424"/>
    <mergeCell ref="P232:T232"/>
    <mergeCell ref="P316:T316"/>
    <mergeCell ref="P103:T103"/>
    <mergeCell ref="P395:T395"/>
    <mergeCell ref="A340:Z340"/>
    <mergeCell ref="D359:E359"/>
    <mergeCell ref="P360:T360"/>
    <mergeCell ref="D87:E87"/>
    <mergeCell ref="D351:E351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  <mergeCell ref="P469:V469"/>
    <mergeCell ref="P449:T449"/>
    <mergeCell ref="D445:E445"/>
    <mergeCell ref="D438:E438"/>
    <mergeCell ref="A287:O288"/>
    <mergeCell ref="P328:T328"/>
    <mergeCell ref="P384:T384"/>
    <mergeCell ref="A281:O28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