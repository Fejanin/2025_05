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427E63-CB32-4442-BF12-FC74DEF3B5C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69" i="1" l="1"/>
  <c r="BN169" i="1"/>
  <c r="Z169" i="1"/>
  <c r="BP200" i="1"/>
  <c r="BN200" i="1"/>
  <c r="Z200" i="1"/>
  <c r="BP219" i="1"/>
  <c r="BN219" i="1"/>
  <c r="Z219" i="1"/>
  <c r="BP254" i="1"/>
  <c r="BN254" i="1"/>
  <c r="Z254" i="1"/>
  <c r="BP286" i="1"/>
  <c r="BN286" i="1"/>
  <c r="Z286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0" i="1"/>
  <c r="BN30" i="1"/>
  <c r="Z53" i="1"/>
  <c r="BN53" i="1"/>
  <c r="Z73" i="1"/>
  <c r="BN73" i="1"/>
  <c r="Z94" i="1"/>
  <c r="BN94" i="1"/>
  <c r="Z99" i="1"/>
  <c r="BN99" i="1"/>
  <c r="Z109" i="1"/>
  <c r="BN109" i="1"/>
  <c r="BP117" i="1"/>
  <c r="BN117" i="1"/>
  <c r="BP143" i="1"/>
  <c r="BN143" i="1"/>
  <c r="Z143" i="1"/>
  <c r="BP147" i="1"/>
  <c r="BN147" i="1"/>
  <c r="Z147" i="1"/>
  <c r="BP177" i="1"/>
  <c r="BN177" i="1"/>
  <c r="Z177" i="1"/>
  <c r="BP209" i="1"/>
  <c r="BN209" i="1"/>
  <c r="Z209" i="1"/>
  <c r="BP234" i="1"/>
  <c r="BN234" i="1"/>
  <c r="Z234" i="1"/>
  <c r="BP272" i="1"/>
  <c r="BN272" i="1"/>
  <c r="Z272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101" i="1"/>
  <c r="BN101" i="1"/>
  <c r="Z101" i="1"/>
  <c r="BP115" i="1"/>
  <c r="BN115" i="1"/>
  <c r="Z115" i="1"/>
  <c r="Y138" i="1"/>
  <c r="BP136" i="1"/>
  <c r="BN136" i="1"/>
  <c r="Z136" i="1"/>
  <c r="BP167" i="1"/>
  <c r="BN167" i="1"/>
  <c r="Z167" i="1"/>
  <c r="BP175" i="1"/>
  <c r="BN175" i="1"/>
  <c r="Z175" i="1"/>
  <c r="BP185" i="1"/>
  <c r="BN185" i="1"/>
  <c r="Z185" i="1"/>
  <c r="Y191" i="1"/>
  <c r="Y190" i="1"/>
  <c r="BP189" i="1"/>
  <c r="BN189" i="1"/>
  <c r="Z189" i="1"/>
  <c r="Z190" i="1" s="1"/>
  <c r="BP194" i="1"/>
  <c r="BN194" i="1"/>
  <c r="Z194" i="1"/>
  <c r="BP207" i="1"/>
  <c r="BN207" i="1"/>
  <c r="Z207" i="1"/>
  <c r="BP217" i="1"/>
  <c r="BN217" i="1"/>
  <c r="Z217" i="1"/>
  <c r="BP227" i="1"/>
  <c r="BN227" i="1"/>
  <c r="Z227" i="1"/>
  <c r="BP240" i="1"/>
  <c r="BN240" i="1"/>
  <c r="Z240" i="1"/>
  <c r="BP265" i="1"/>
  <c r="BN265" i="1"/>
  <c r="Z265" i="1"/>
  <c r="BP281" i="1"/>
  <c r="BN281" i="1"/>
  <c r="Z281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BP149" i="1"/>
  <c r="BN149" i="1"/>
  <c r="Z149" i="1"/>
  <c r="BP171" i="1"/>
  <c r="BN171" i="1"/>
  <c r="Z171" i="1"/>
  <c r="BP179" i="1"/>
  <c r="BN179" i="1"/>
  <c r="Z179" i="1"/>
  <c r="BP211" i="1"/>
  <c r="BN211" i="1"/>
  <c r="Z211" i="1"/>
  <c r="BP221" i="1"/>
  <c r="BN221" i="1"/>
  <c r="Z221" i="1"/>
  <c r="BP236" i="1"/>
  <c r="BN236" i="1"/>
  <c r="Z236" i="1"/>
  <c r="BP256" i="1"/>
  <c r="BN256" i="1"/>
  <c r="Z256" i="1"/>
  <c r="BP274" i="1"/>
  <c r="BN274" i="1"/>
  <c r="Z274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87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Z361" i="1" s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BP116" i="1"/>
  <c r="BN116" i="1"/>
  <c r="Z116" i="1"/>
  <c r="Y133" i="1"/>
  <c r="BP137" i="1"/>
  <c r="BN137" i="1"/>
  <c r="Z137" i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75" i="1" l="1"/>
  <c r="Z381" i="1"/>
  <c r="Z302" i="1"/>
  <c r="Z293" i="1"/>
  <c r="Z406" i="1"/>
  <c r="Z229" i="1"/>
  <c r="Z153" i="1"/>
  <c r="Z111" i="1"/>
  <c r="Z80" i="1"/>
  <c r="Z43" i="1"/>
  <c r="Z201" i="1"/>
  <c r="Z401" i="1"/>
  <c r="Z311" i="1"/>
  <c r="Y495" i="1"/>
  <c r="Z356" i="1"/>
  <c r="Z331" i="1"/>
  <c r="Z212" i="1"/>
  <c r="Z440" i="1"/>
  <c r="Z275" i="1"/>
  <c r="Z258" i="1"/>
  <c r="Z224" i="1"/>
  <c r="Z138" i="1"/>
  <c r="Z68" i="1"/>
  <c r="Z57" i="1"/>
  <c r="Y494" i="1"/>
  <c r="Z88" i="1"/>
  <c r="Z318" i="1"/>
  <c r="Z180" i="1"/>
  <c r="Z468" i="1"/>
  <c r="Z446" i="1"/>
  <c r="Z455" i="1"/>
  <c r="Z418" i="1"/>
  <c r="Z337" i="1"/>
  <c r="Z267" i="1"/>
  <c r="Z242" i="1"/>
  <c r="Z95" i="1"/>
  <c r="Z31" i="1"/>
  <c r="Y497" i="1"/>
  <c r="X496" i="1"/>
  <c r="Z118" i="1"/>
  <c r="Z63" i="1"/>
  <c r="Y493" i="1"/>
  <c r="Y496" i="1" l="1"/>
  <c r="Z498" i="1"/>
</calcChain>
</file>

<file path=xl/sharedStrings.xml><?xml version="1.0" encoding="utf-8"?>
<sst xmlns="http://schemas.openxmlformats.org/spreadsheetml/2006/main" count="2339" uniqueCount="774">
  <si>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</si>
  <si>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</si>
  <si>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</si>
  <si>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</si>
  <si>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</si>
  <si>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</si>
  <si>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</si>
  <si>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</si>
  <si>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</si>
  <si>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</si>
  <si>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</si>
  <si>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</si>
  <si>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</si>
  <si>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</si>
  <si>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</si>
  <si>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</si>
  <si>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</si>
  <si>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</si>
  <si>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</si>
  <si>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</si>
  <si>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</si>
  <si>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</si>
  <si>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</si>
  <si>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</si>
  <si>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</si>
  <si>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</si>
  <si>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</si>
  <si>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</si>
  <si>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</si>
  <si>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</si>
  <si>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</si>
  <si>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</si>
  <si>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</si>
  <si>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</si>
  <si>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</si>
  <si>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</si>
  <si>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</si>
  <si>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</si>
  <si>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</si>
  <si>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</si>
  <si>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</si>
  <si>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</si>
  <si>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</si>
  <si>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</si>
  <si>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</si>
  <si>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</si>
  <si>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</si>
  <si>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</si>
  <si>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</si>
  <si>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</si>
  <si>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</si>
  <si>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</si>
  <si>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</si>
  <si>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</si>
  <si>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</si>
  <si>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</si>
  <si>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</si>
  <si>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</si>
  <si>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</si>
  <si>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</si>
  <si>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</si>
  <si>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</si>
  <si>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</si>
  <si>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</si>
  <si>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</si>
  <si>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</si>
  <si>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</si>
  <si>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</si>
  <si>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</si>
  <si>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</si>
  <si>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</si>
  <si>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</si>
  <si>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</si>
  <si>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</si>
  <si>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</si>
  <si>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</si>
  <si>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</si>
  <si>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</si>
  <si>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</si>
  <si>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</si>
  <si>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</si>
  <si>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</si>
  <si>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</si>
  <si>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</si>
  <si>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</si>
  <si>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</si>
  <si>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</si>
  <si>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</si>
  <si>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</si>
  <si>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</si>
  <si>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</si>
  <si>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</si>
  <si>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</si>
  <si>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</si>
  <si>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</si>
  <si>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</si>
  <si>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</si>
  <si>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</si>
  <si>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</si>
  <si>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</si>
  <si>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</si>
  <si>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</si>
  <si>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</si>
  <si>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</si>
  <si>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</si>
  <si>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</si>
  <si>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</si>
  <si>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</si>
  <si>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</si>
  <si>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</si>
  <si>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</si>
  <si>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</si>
  <si>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</si>
  <si>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</si>
  <si>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</si>
  <si>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</si>
  <si>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</si>
  <si>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</si>
  <si>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</si>
  <si>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</si>
  <si>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</si>
  <si>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</si>
  <si>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</si>
  <si>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</si>
  <si>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</si>
  <si>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</si>
  <si>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</si>
  <si>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</si>
  <si>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</si>
  <si>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</si>
  <si>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</si>
  <si>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</si>
  <si>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</si>
  <si>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</si>
  <si>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</si>
  <si>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</si>
  <si>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</si>
  <si>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</si>
  <si>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</si>
  <si>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</si>
  <si>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</si>
  <si>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</si>
  <si>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</si>
  <si>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</si>
  <si>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</si>
  <si>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</si>
  <si>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</si>
  <si>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</si>
  <si>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</si>
  <si>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</si>
  <si>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</si>
  <si>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</si>
  <si>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</si>
  <si>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</si>
  <si>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</si>
  <si>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</si>
  <si>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</si>
  <si>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</si>
  <si>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</si>
  <si>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</si>
  <si>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</si>
  <si>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</si>
  <si>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</si>
  <si>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</si>
  <si>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</si>
  <si>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</si>
  <si>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</si>
  <si>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</si>
  <si>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</si>
  <si>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</si>
  <si>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</si>
  <si>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</si>
  <si>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</si>
  <si>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</si>
  <si>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</si>
  <si>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</si>
  <si>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</si>
  <si>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</si>
  <si>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</si>
  <si>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</si>
  <si>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</si>
  <si>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</si>
  <si>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</si>
  <si>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</si>
  <si>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</si>
  <si>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</si>
  <si>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</si>
  <si>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</si>
  <si>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</si>
  <si>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</si>
  <si>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</si>
  <si>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</si>
  <si>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</si>
  <si>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</si>
  <si>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</si>
  <si>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</si>
  <si>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</si>
  <si>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</si>
  <si>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</si>
  <si>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</si>
  <si>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</si>
  <si>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</si>
  <si>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</si>
  <si>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</si>
  <si>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</si>
  <si>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</si>
  <si>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</si>
  <si>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</si>
  <si>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</si>
  <si>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</si>
  <si>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</si>
  <si>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</si>
  <si>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</si>
  <si>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</si>
  <si>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</si>
  <si>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</si>
  <si>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</si>
  <si>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</si>
  <si>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</si>
  <si>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</si>
  <si>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</si>
  <si>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</si>
  <si>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</si>
  <si>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</si>
  <si>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</si>
  <si>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</si>
  <si>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</si>
  <si>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</si>
  <si>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</si>
  <si>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</si>
  <si>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</si>
  <si>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</si>
  <si>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</si>
  <si>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</si>
  <si>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</si>
  <si>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</si>
  <si>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</si>
  <si>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</si>
  <si>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</si>
  <si>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</si>
  <si>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</si>
  <si>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</si>
  <si>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</si>
  <si>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</si>
  <si>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</si>
  <si>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</si>
  <si>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</si>
  <si>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</si>
  <si>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</si>
  <si>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</si>
  <si>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</si>
  <si>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</si>
  <si>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</si>
  <si>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</si>
  <si>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</si>
  <si>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</si>
  <si>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</si>
  <si>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</si>
  <si>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</si>
  <si>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</si>
  <si>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</si>
  <si>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</si>
  <si>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</si>
  <si>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</si>
  <si>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</si>
  <si>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</si>
  <si>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</si>
  <si>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</si>
  <si>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</si>
  <si>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</si>
  <si>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</si>
  <si>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</si>
  <si>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</si>
  <si>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</si>
  <si>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</si>
  <si>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</si>
  <si>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</si>
  <si>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</si>
  <si>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</si>
  <si>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</si>
  <si>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</si>
  <si>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</si>
  <si>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</si>
  <si>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</si>
  <si>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</si>
  <si>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</si>
  <si>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</si>
  <si>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</si>
  <si>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</si>
  <si>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</si>
  <si>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</si>
  <si>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</si>
  <si>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</si>
  <si>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</si>
  <si>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</si>
  <si>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</si>
  <si>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</si>
  <si>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</si>
  <si>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</si>
  <si>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</si>
  <si>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</si>
  <si>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</si>
  <si>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</si>
  <si>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</si>
  <si>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</si>
  <si>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</si>
  <si>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</si>
  <si>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</si>
  <si>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</si>
  <si>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</si>
  <si>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</si>
  <si>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</si>
  <si>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</si>
  <si>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</si>
  <si>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</si>
  <si>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</si>
  <si>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</si>
  <si>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</si>
  <si>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</si>
  <si>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</si>
  <si>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</si>
  <si>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</si>
  <si>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</si>
  <si>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</si>
  <si>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</si>
  <si>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</si>
  <si>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</si>
  <si>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</si>
  <si>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</si>
  <si>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</si>
  <si>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</si>
  <si>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</si>
  <si>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</si>
  <si>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</si>
  <si>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</si>
  <si>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</si>
  <si>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</si>
  <si>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</si>
  <si>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</si>
  <si>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</si>
  <si>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</si>
  <si>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</si>
  <si>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</si>
  <si>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</si>
  <si>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</si>
  <si>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</si>
  <si>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</si>
  <si>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</si>
  <si>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</si>
  <si>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</si>
  <si>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</si>
  <si>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</si>
  <si>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</si>
  <si>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</si>
  <si>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</si>
  <si>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</si>
  <si>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</si>
  <si>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</si>
  <si>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</si>
  <si>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</si>
  <si>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</si>
  <si>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</si>
  <si>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</si>
  <si>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</si>
  <si>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</si>
  <si>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</si>
  <si>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</si>
  <si>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</si>
  <si>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</si>
  <si>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</si>
  <si>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</si>
  <si>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</si>
  <si>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</si>
  <si>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</si>
  <si>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</si>
  <si>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</si>
  <si>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</si>
  <si>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</si>
  <si>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</si>
  <si>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</si>
  <si>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</si>
  <si>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</si>
  <si>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</si>
  <si>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</si>
  <si>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</si>
  <si>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</si>
  <si>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</si>
  <si>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</si>
  <si>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</si>
  <si>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</si>
  <si>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</si>
  <si>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</si>
  <si>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</si>
  <si>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</si>
  <si>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</si>
  <si>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</si>
  <si>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</si>
  <si>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</si>
  <si>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</si>
  <si>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</si>
  <si>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</si>
  <si>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</si>
  <si>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</si>
  <si>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</si>
  <si>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</si>
  <si>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</si>
  <si>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</si>
  <si>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</si>
  <si>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</si>
  <si>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</si>
  <si>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</si>
  <si>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</si>
  <si>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</si>
  <si>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</si>
  <si>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</si>
  <si>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</si>
  <si>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</si>
  <si>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</si>
  <si>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</si>
  <si>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</si>
  <si>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</si>
  <si>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</si>
  <si>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</si>
  <si>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</si>
  <si>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</si>
  <si>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</si>
  <si>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</si>
  <si>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</si>
  <si>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</si>
  <si>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</si>
  <si>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</si>
  <si>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</si>
  <si>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</si>
  <si>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</si>
  <si>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</si>
  <si>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</si>
  <si>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</si>
  <si>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</si>
  <si>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</si>
  <si>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</si>
  <si>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</si>
  <si>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</si>
  <si>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</si>
  <si>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</si>
  <si>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</si>
  <si>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</si>
  <si>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</si>
  <si>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</si>
  <si>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</si>
  <si>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</si>
  <si>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</si>
  <si>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</si>
  <si>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</si>
  <si>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</si>
  <si>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</si>
  <si>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</si>
  <si>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</si>
  <si>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</si>
  <si>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</si>
  <si>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</si>
  <si>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</si>
  <si>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</si>
  <si>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</si>
  <si>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</si>
  <si>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</si>
  <si>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</si>
  <si>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</si>
  <si>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</si>
  <si>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</si>
  <si>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</si>
  <si>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</si>
  <si>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</si>
  <si>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</si>
  <si>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</si>
  <si>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</si>
  <si>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</si>
  <si>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</si>
  <si>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</si>
  <si>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</si>
  <si>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</si>
  <si>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</si>
  <si>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</si>
  <si>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</si>
  <si>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</si>
  <si>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</si>
  <si>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</si>
  <si>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</si>
  <si>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</si>
  <si>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</si>
  <si>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</si>
  <si>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</si>
  <si>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</si>
  <si>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</si>
  <si>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</si>
  <si>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</si>
  <si>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</si>
  <si>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</si>
  <si>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</si>
  <si>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</si>
  <si>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</si>
  <si>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</si>
  <si>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</si>
  <si>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</si>
  <si>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</si>
  <si>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</si>
  <si>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</si>
  <si>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</si>
  <si>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</si>
  <si>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</si>
  <si>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</si>
  <si>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</si>
  <si>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</si>
  <si>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</si>
  <si>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</si>
  <si>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</si>
  <si>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</si>
  <si>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</si>
  <si>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</si>
  <si>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</si>
  <si>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</si>
  <si>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</si>
  <si>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</si>
  <si>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</si>
  <si>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</si>
  <si>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</si>
  <si>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</si>
  <si>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</si>
  <si>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</si>
  <si>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</si>
  <si>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</si>
  <si>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</si>
  <si>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</si>
  <si>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</si>
  <si>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</si>
  <si>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</si>
  <si>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</si>
  <si>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</si>
  <si>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</si>
  <si>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</si>
  <si>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</si>
  <si>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</si>
  <si>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</si>
  <si>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</si>
  <si>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</si>
  <si>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</si>
  <si>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</si>
  <si>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</si>
  <si>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</si>
  <si>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</si>
  <si>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</si>
  <si>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</si>
  <si>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</si>
  <si>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</si>
  <si>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</si>
  <si>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</si>
  <si>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</si>
  <si>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</si>
  <si>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</si>
  <si>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</si>
  <si>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</si>
  <si>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</si>
  <si>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</si>
  <si>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</si>
  <si>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</si>
  <si>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</si>
  <si>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</si>
  <si>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</si>
  <si>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</si>
  <si>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</si>
  <si>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</si>
  <si>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</si>
  <si>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</si>
  <si>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</si>
  <si>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</si>
  <si>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</si>
  <si>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</si>
  <si>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</si>
  <si>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</si>
  <si>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</si>
  <si>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</si>
  <si>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</si>
  <si>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</si>
  <si>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</si>
  <si>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</si>
  <si>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</si>
  <si>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</si>
  <si>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</si>
  <si>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</si>
  <si>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</si>
  <si>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</si>
  <si>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</si>
  <si>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</si>
  <si>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</si>
  <si>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</si>
  <si>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</si>
  <si>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</si>
  <si>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</si>
  <si>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</si>
  <si>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</si>
  <si>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</si>
  <si>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</si>
  <si>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</si>
  <si>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</si>
  <si>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</si>
  <si>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</si>
  <si>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</si>
  <si>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</si>
  <si>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</si>
  <si>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</si>
  <si>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</si>
  <si>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</si>
  <si>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</si>
  <si>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</si>
  <si>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</si>
  <si>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</si>
  <si>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</si>
  <si>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</si>
  <si>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</si>
  <si>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</si>
  <si>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</si>
  <si>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</si>
  <si>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</si>
  <si>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</si>
  <si>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</si>
  <si>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</si>
  <si>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</si>
  <si>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</si>
  <si>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</si>
  <si>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</si>
  <si>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</si>
  <si>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</si>
  <si>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</si>
  <si>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</si>
  <si>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</si>
  <si>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</si>
  <si>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</si>
  <si>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</si>
  <si>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</si>
  <si>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</si>
  <si>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</si>
  <si>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</si>
  <si>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</si>
  <si>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</si>
  <si>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</si>
  <si>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</si>
  <si>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</si>
  <si>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</si>
  <si>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</si>
  <si>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</si>
  <si>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</si>
  <si>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</si>
  <si>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</si>
  <si>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</si>
  <si>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</si>
  <si>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</si>
  <si>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</si>
  <si>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</si>
  <si>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</si>
  <si>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</si>
  <si>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</si>
  <si>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</si>
  <si>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</si>
  <si>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</si>
  <si>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</si>
  <si>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</si>
  <si>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</si>
  <si>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</si>
  <si>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</si>
  <si>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</si>
  <si>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</si>
  <si>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</si>
  <si>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</si>
  <si>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</si>
  <si>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</si>
  <si>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</si>
  <si>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</si>
  <si>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</si>
  <si>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</si>
  <si>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</si>
  <si>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</si>
  <si>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</si>
  <si>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</si>
  <si>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</si>
  <si>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</si>
  <si>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</si>
  <si>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</si>
  <si>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</si>
  <si>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</si>
  <si>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</si>
  <si>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</si>
  <si>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</si>
  <si>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</si>
  <si>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</si>
  <si>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</si>
  <si>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</si>
  <si>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</si>
  <si>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</si>
  <si>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</si>
  <si>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</si>
  <si>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</si>
  <si>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</si>
  <si>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</si>
  <si>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</si>
  <si>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</si>
  <si>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</si>
  <si>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</si>
  <si>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</si>
  <si>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</si>
  <si>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</si>
  <si>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</si>
  <si>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</si>
  <si>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</si>
  <si>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</si>
  <si>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</si>
  <si>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</si>
  <si>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</si>
  <si>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</si>
  <si>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</si>
  <si>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</si>
  <si>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</si>
  <si>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</si>
  <si>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</si>
  <si>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</si>
  <si>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</si>
  <si>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</si>
  <si>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</si>
  <si>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</si>
  <si>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</si>
  <si>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</si>
  <si>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</si>
  <si>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</si>
  <si>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</si>
  <si>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</si>
  <si>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</si>
  <si>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</si>
  <si>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</si>
  <si>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</si>
  <si>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</si>
  <si>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</si>
  <si>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</si>
  <si>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</si>
  <si>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</si>
  <si>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</si>
  <si>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</si>
  <si>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</si>
  <si>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</si>
  <si>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</si>
  <si>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</si>
  <si>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</si>
  <si>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</si>
  <si>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</si>
  <si>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</si>
  <si>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</si>
  <si>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</si>
  <si>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</si>
  <si>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</si>
  <si>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</si>
  <si>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</si>
  <si>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</si>
  <si>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</si>
  <si>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</si>
  <si>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</si>
  <si>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</si>
  <si>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</si>
  <si>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</si>
  <si>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</si>
  <si>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</si>
  <si>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</si>
  <si>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</si>
  <si>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</si>
  <si>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</si>
  <si>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</si>
  <si>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</si>
  <si>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15 европалет,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</si>
</sst>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46041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0.41666666666666669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300</v>
      </c>
      <c r="Y40" s="550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311.38888888888891</v>
      </c>
      <c r="BN40" s="64">
        <f>IFERROR(Y40*I40/H40,"0")</f>
        <v>313.88</v>
      </c>
      <c r="BO40" s="64">
        <f>IFERROR(1/J40*(X40/H40),"0")</f>
        <v>0.43402777777777773</v>
      </c>
      <c r="BP40" s="64">
        <f>IFERROR(1/J40*(Y40/H40),"0")</f>
        <v>0.4375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27.777777777777775</v>
      </c>
      <c r="Y43" s="551">
        <f>IFERROR(Y40/H40,"0")+IFERROR(Y41/H41,"0")+IFERROR(Y42/H42,"0")</f>
        <v>28</v>
      </c>
      <c r="Z43" s="551">
        <f>IFERROR(IF(Z40="",0,Z40),"0")+IFERROR(IF(Z41="",0,Z41),"0")+IFERROR(IF(Z42="",0,Z42),"0")</f>
        <v>0.53144000000000002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300</v>
      </c>
      <c r="Y44" s="551">
        <f>IFERROR(SUM(Y40:Y42),"0")</f>
        <v>302.40000000000003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116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45</v>
      </c>
      <c r="Y56" s="550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10</v>
      </c>
      <c r="Y57" s="551">
        <f>IFERROR(Y51/H51,"0")+IFERROR(Y52/H52,"0")+IFERROR(Y53/H53,"0")+IFERROR(Y54/H54,"0")+IFERROR(Y55/H55,"0")+IFERROR(Y56/H56,"0")</f>
        <v>10</v>
      </c>
      <c r="Z57" s="551">
        <f>IFERROR(IF(Z51="",0,Z51),"0")+IFERROR(IF(Z52="",0,Z52),"0")+IFERROR(IF(Z53="",0,Z53),"0")+IFERROR(IF(Z54="",0,Z54),"0")+IFERROR(IF(Z55="",0,Z55),"0")+IFERROR(IF(Z56="",0,Z56),"0")</f>
        <v>9.0200000000000002E-2</v>
      </c>
      <c r="AA57" s="552"/>
      <c r="AB57" s="552"/>
      <c r="AC57" s="552"/>
    </row>
    <row r="58" spans="1:68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45</v>
      </c>
      <c r="Y58" s="551">
        <f>IFERROR(SUM(Y51:Y56),"0")</f>
        <v>45</v>
      </c>
      <c r="Z58" s="37"/>
      <c r="AA58" s="552"/>
      <c r="AB58" s="552"/>
      <c r="AC58" s="552"/>
    </row>
    <row r="59" spans="1:68" ht="14.25" hidden="1" customHeight="1" x14ac:dyDescent="0.25">
      <c r="A59" s="575" t="s">
        <v>135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180</v>
      </c>
      <c r="Y60" s="550">
        <f>IFERROR(IF(X60="",0,CEILING((X60/$H60),1)*$H60),"")</f>
        <v>183.60000000000002</v>
      </c>
      <c r="Z60" s="36">
        <f>IFERROR(IF(Y60=0,"",ROUNDUP(Y60/H60,0)*0.01898),"")</f>
        <v>0.32266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186.83333333333334</v>
      </c>
      <c r="BN60" s="64">
        <f>IFERROR(Y60*I60/H60,"0")</f>
        <v>190.57000000000002</v>
      </c>
      <c r="BO60" s="64">
        <f>IFERROR(1/J60*(X60/H60),"0")</f>
        <v>0.26041666666666663</v>
      </c>
      <c r="BP60" s="64">
        <f>IFERROR(1/J60*(Y60/H60),"0")</f>
        <v>0.265625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16.666666666666664</v>
      </c>
      <c r="Y63" s="551">
        <f>IFERROR(Y60/H60,"0")+IFERROR(Y61/H61,"0")+IFERROR(Y62/H62,"0")</f>
        <v>17</v>
      </c>
      <c r="Z63" s="551">
        <f>IFERROR(IF(Z60="",0,Z60),"0")+IFERROR(IF(Z61="",0,Z61),"0")+IFERROR(IF(Z62="",0,Z62),"0")</f>
        <v>0.32266</v>
      </c>
      <c r="AA63" s="552"/>
      <c r="AB63" s="552"/>
      <c r="AC63" s="552"/>
    </row>
    <row r="64" spans="1:68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180</v>
      </c>
      <c r="Y64" s="551">
        <f>IFERROR(SUM(Y60:Y62),"0")</f>
        <v>183.60000000000002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160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72" t="s">
        <v>167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350</v>
      </c>
      <c r="Y84" s="550">
        <f>IFERROR(IF(X84="",0,CEILING((X84/$H84),1)*$H84),"")</f>
        <v>356.40000000000003</v>
      </c>
      <c r="Z84" s="36">
        <f>IFERROR(IF(Y84=0,"",ROUNDUP(Y84/H84,0)*0.01898),"")</f>
        <v>0.62634000000000001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363.28703703703707</v>
      </c>
      <c r="BN84" s="64">
        <f>IFERROR(Y84*I84/H84,"0")</f>
        <v>369.93</v>
      </c>
      <c r="BO84" s="64">
        <f>IFERROR(1/J84*(X84/H84),"0")</f>
        <v>0.5063657407407407</v>
      </c>
      <c r="BP84" s="64">
        <f>IFERROR(1/J84*(Y84/H84),"0")</f>
        <v>0.515625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32.407407407407405</v>
      </c>
      <c r="Y88" s="551">
        <f>IFERROR(Y84/H84,"0")+IFERROR(Y85/H85,"0")+IFERROR(Y86/H86,"0")+IFERROR(Y87/H87,"0")</f>
        <v>33</v>
      </c>
      <c r="Z88" s="551">
        <f>IFERROR(IF(Z84="",0,Z84),"0")+IFERROR(IF(Z85="",0,Z85),"0")+IFERROR(IF(Z86="",0,Z86),"0")+IFERROR(IF(Z87="",0,Z87),"0")</f>
        <v>0.62634000000000001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350</v>
      </c>
      <c r="Y89" s="551">
        <f>IFERROR(SUM(Y84:Y87),"0")</f>
        <v>356.40000000000003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300</v>
      </c>
      <c r="Y91" s="550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45</v>
      </c>
      <c r="Y93" s="550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53.703703703703702</v>
      </c>
      <c r="Y95" s="551">
        <f>IFERROR(Y91/H91,"0")+IFERROR(Y92/H92,"0")+IFERROR(Y93/H93,"0")+IFERROR(Y94/H94,"0")</f>
        <v>55</v>
      </c>
      <c r="Z95" s="551">
        <f>IFERROR(IF(Z91="",0,Z91),"0")+IFERROR(IF(Z92="",0,Z92),"0")+IFERROR(IF(Z93="",0,Z93),"0")+IFERROR(IF(Z94="",0,Z94),"0")</f>
        <v>0.83191000000000004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345</v>
      </c>
      <c r="Y96" s="551">
        <f>IFERROR(SUM(Y91:Y94),"0")</f>
        <v>353.70000000000005</v>
      </c>
      <c r="Z96" s="37"/>
      <c r="AA96" s="552"/>
      <c r="AB96" s="552"/>
      <c r="AC96" s="552"/>
    </row>
    <row r="97" spans="1:68" ht="16.5" hidden="1" customHeight="1" x14ac:dyDescent="0.25">
      <c r="A97" s="572" t="s">
        <v>190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300</v>
      </c>
      <c r="Y99" s="550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27.777777777777775</v>
      </c>
      <c r="Y104" s="551">
        <f>IFERROR(Y99/H99,"0")+IFERROR(Y100/H100,"0")+IFERROR(Y101/H101,"0")+IFERROR(Y102/H102,"0")+IFERROR(Y103/H103,"0")</f>
        <v>28</v>
      </c>
      <c r="Z104" s="551">
        <f>IFERROR(IF(Z99="",0,Z99),"0")+IFERROR(IF(Z100="",0,Z100),"0")+IFERROR(IF(Z101="",0,Z101),"0")+IFERROR(IF(Z102="",0,Z102),"0")+IFERROR(IF(Z103="",0,Z103),"0")</f>
        <v>0.53144000000000002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300</v>
      </c>
      <c r="Y105" s="551">
        <f>IFERROR(SUM(Y99:Y103),"0")</f>
        <v>302.40000000000003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135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45</v>
      </c>
      <c r="Y116" s="550">
        <f>IFERROR(IF(X116="",0,CEILING((X116/$H116),1)*$H116),"")</f>
        <v>45.900000000000006</v>
      </c>
      <c r="Z116" s="36">
        <f>IFERROR(IF(Y116=0,"",ROUNDUP(Y116/H116,0)*0.00651),"")</f>
        <v>0.11067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49.199999999999996</v>
      </c>
      <c r="BN116" s="64">
        <f>IFERROR(Y116*I116/H116,"0")</f>
        <v>50.183999999999997</v>
      </c>
      <c r="BO116" s="64">
        <f>IFERROR(1/J116*(X116/H116),"0")</f>
        <v>9.1575091575091569E-2</v>
      </c>
      <c r="BP116" s="64">
        <f>IFERROR(1/J116*(Y116/H116),"0")</f>
        <v>9.3406593406593408E-2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16.666666666666664</v>
      </c>
      <c r="Y118" s="551">
        <f>IFERROR(Y114/H114,"0")+IFERROR(Y115/H115,"0")+IFERROR(Y116/H116,"0")+IFERROR(Y117/H117,"0")</f>
        <v>17</v>
      </c>
      <c r="Z118" s="551">
        <f>IFERROR(IF(Z114="",0,Z114),"0")+IFERROR(IF(Z115="",0,Z115),"0")+IFERROR(IF(Z116="",0,Z116),"0")+IFERROR(IF(Z117="",0,Z117),"0")</f>
        <v>0.11067</v>
      </c>
      <c r="AA118" s="552"/>
      <c r="AB118" s="552"/>
      <c r="AC118" s="552"/>
    </row>
    <row r="119" spans="1:68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45</v>
      </c>
      <c r="Y119" s="551">
        <f>IFERROR(SUM(Y114:Y117),"0")</f>
        <v>45.900000000000006</v>
      </c>
      <c r="Z119" s="37"/>
      <c r="AA119" s="552"/>
      <c r="AB119" s="552"/>
      <c r="AC119" s="552"/>
    </row>
    <row r="120" spans="1:68" ht="14.25" hidden="1" customHeight="1" x14ac:dyDescent="0.25">
      <c r="A120" s="575" t="s">
        <v>160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135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150</v>
      </c>
      <c r="Y166" s="550">
        <f t="shared" ref="Y166:Y179" si="10">IFERROR(IF(X166="",0,CEILING((X166/$H166),1)*$H166),"")</f>
        <v>151.20000000000002</v>
      </c>
      <c r="Z166" s="36">
        <f>IFERROR(IF(Y166=0,"",ROUNDUP(Y166/H166,0)*0.00902),"")</f>
        <v>0.32472000000000001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158.92857142857142</v>
      </c>
      <c r="BN166" s="64">
        <f t="shared" ref="BN166:BN179" si="12">IFERROR(Y166*I166/H166,"0")</f>
        <v>160.20000000000002</v>
      </c>
      <c r="BO166" s="64">
        <f t="shared" ref="BO166:BO179" si="13">IFERROR(1/J166*(X166/H166),"0")</f>
        <v>0.27056277056277056</v>
      </c>
      <c r="BP166" s="64">
        <f t="shared" ref="BP166:BP179" si="14">IFERROR(1/J166*(Y166/H166),"0")</f>
        <v>0.27272727272727271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35.714285714285715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36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0.32472000000000001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150</v>
      </c>
      <c r="Y181" s="551">
        <f>IFERROR(SUM(Y166:Y179),"0")</f>
        <v>151.20000000000002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135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hidden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80</v>
      </c>
      <c r="Y220" s="550">
        <f t="shared" si="20"/>
        <v>81.599999999999994</v>
      </c>
      <c r="Z220" s="36">
        <f t="shared" si="25"/>
        <v>0.22134000000000001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88.40000000000002</v>
      </c>
      <c r="BN220" s="64">
        <f t="shared" si="22"/>
        <v>90.168000000000006</v>
      </c>
      <c r="BO220" s="64">
        <f t="shared" si="23"/>
        <v>0.18315018315018317</v>
      </c>
      <c r="BP220" s="64">
        <f t="shared" si="24"/>
        <v>0.18681318681318682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33.333333333333336</v>
      </c>
      <c r="Y224" s="551">
        <f>IFERROR(Y215/H215,"0")+IFERROR(Y216/H216,"0")+IFERROR(Y217/H217,"0")+IFERROR(Y218/H218,"0")+IFERROR(Y219/H219,"0")+IFERROR(Y220/H220,"0")+IFERROR(Y221/H221,"0")+IFERROR(Y222/H222,"0")+IFERROR(Y223/H223,"0")</f>
        <v>34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0.22134000000000001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80</v>
      </c>
      <c r="Y225" s="551">
        <f>IFERROR(SUM(Y215:Y223),"0")</f>
        <v>81.599999999999994</v>
      </c>
      <c r="Z225" s="37"/>
      <c r="AA225" s="552"/>
      <c r="AB225" s="552"/>
      <c r="AC225" s="552"/>
    </row>
    <row r="226" spans="1:68" ht="14.25" hidden="1" customHeight="1" x14ac:dyDescent="0.25">
      <c r="A226" s="575" t="s">
        <v>160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135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100</v>
      </c>
      <c r="Y305" s="550">
        <f t="shared" ref="Y305:Y310" si="31">IFERROR(IF(X305="",0,CEILING((X305/$H305),1)*$H305),"")</f>
        <v>100.80000000000001</v>
      </c>
      <c r="Z305" s="36">
        <f>IFERROR(IF(Y305=0,"",ROUNDUP(Y305/H305,0)*0.00902),"")</f>
        <v>0.21648000000000001</v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105.95238095238095</v>
      </c>
      <c r="BN305" s="64">
        <f t="shared" ref="BN305:BN310" si="33">IFERROR(Y305*I305/H305,"0")</f>
        <v>106.80000000000001</v>
      </c>
      <c r="BO305" s="64">
        <f t="shared" ref="BO305:BO310" si="34">IFERROR(1/J305*(X305/H305),"0")</f>
        <v>0.18037518037518038</v>
      </c>
      <c r="BP305" s="64">
        <f t="shared" ref="BP305:BP310" si="35">IFERROR(1/J305*(Y305/H305),"0")</f>
        <v>0.18181818181818182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23.80952380952381</v>
      </c>
      <c r="Y311" s="551">
        <f>IFERROR(Y305/H305,"0")+IFERROR(Y306/H306,"0")+IFERROR(Y307/H307,"0")+IFERROR(Y308/H308,"0")+IFERROR(Y309/H309,"0")+IFERROR(Y310/H310,"0")</f>
        <v>24</v>
      </c>
      <c r="Z311" s="551">
        <f>IFERROR(IF(Z305="",0,Z305),"0")+IFERROR(IF(Z306="",0,Z306),"0")+IFERROR(IF(Z307="",0,Z307),"0")+IFERROR(IF(Z308="",0,Z308),"0")+IFERROR(IF(Z309="",0,Z309),"0")+IFERROR(IF(Z310="",0,Z310),"0")</f>
        <v>0.21648000000000001</v>
      </c>
      <c r="AA311" s="552"/>
      <c r="AB311" s="552"/>
      <c r="AC311" s="552"/>
    </row>
    <row r="312" spans="1:68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100</v>
      </c>
      <c r="Y312" s="551">
        <f>IFERROR(SUM(Y305:Y310),"0")</f>
        <v>100.80000000000001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160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350</v>
      </c>
      <c r="Y321" s="550">
        <f>IFERROR(IF(X321="",0,CEILING((X321/$H321),1)*$H321),"")</f>
        <v>352.8</v>
      </c>
      <c r="Z321" s="36">
        <f>IFERROR(IF(Y321=0,"",ROUNDUP(Y321/H321,0)*0.01898),"")</f>
        <v>0.79715999999999998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370.58333333333331</v>
      </c>
      <c r="BN321" s="64">
        <f>IFERROR(Y321*I321/H321,"0")</f>
        <v>373.548</v>
      </c>
      <c r="BO321" s="64">
        <f>IFERROR(1/J321*(X321/H321),"0")</f>
        <v>0.65104166666666663</v>
      </c>
      <c r="BP321" s="64">
        <f>IFERROR(1/J321*(Y321/H321),"0")</f>
        <v>0.65625</v>
      </c>
    </row>
    <row r="322" spans="1:68" ht="27" hidden="1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41.666666666666664</v>
      </c>
      <c r="Y324" s="551">
        <f>IFERROR(Y321/H321,"0")+IFERROR(Y322/H322,"0")+IFERROR(Y323/H323,"0")</f>
        <v>42</v>
      </c>
      <c r="Z324" s="551">
        <f>IFERROR(IF(Z321="",0,Z321),"0")+IFERROR(IF(Z322="",0,Z322),"0")+IFERROR(IF(Z323="",0,Z323),"0")</f>
        <v>0.79715999999999998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350</v>
      </c>
      <c r="Y325" s="551">
        <f>IFERROR(SUM(Y321:Y323),"0")</f>
        <v>352.8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1500</v>
      </c>
      <c r="Y349" s="550">
        <f t="shared" ref="Y349:Y355" si="36">IFERROR(IF(X349="",0,CEILING((X349/$H349),1)*$H349),"")</f>
        <v>1500</v>
      </c>
      <c r="Z349" s="36">
        <f>IFERROR(IF(Y349=0,"",ROUNDUP(Y349/H349,0)*0.02175),"")</f>
        <v>2.1749999999999998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1547</v>
      </c>
      <c r="BN349" s="64">
        <f t="shared" ref="BN349:BN355" si="38">IFERROR(Y349*I349/H349,"0")</f>
        <v>1547</v>
      </c>
      <c r="BO349" s="64">
        <f t="shared" ref="BO349:BO355" si="39">IFERROR(1/J349*(X349/H349),"0")</f>
        <v>2.083333333333333</v>
      </c>
      <c r="BP349" s="64">
        <f t="shared" ref="BP349:BP355" si="40">IFERROR(1/J349*(Y349/H349),"0")</f>
        <v>2.083333333333333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1500</v>
      </c>
      <c r="Y351" s="550">
        <f t="shared" si="36"/>
        <v>1500</v>
      </c>
      <c r="Z351" s="36">
        <f>IFERROR(IF(Y351=0,"",ROUNDUP(Y351/H351,0)*0.02175),"")</f>
        <v>2.1749999999999998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1547</v>
      </c>
      <c r="BN351" s="64">
        <f t="shared" si="38"/>
        <v>1547</v>
      </c>
      <c r="BO351" s="64">
        <f t="shared" si="39"/>
        <v>2.083333333333333</v>
      </c>
      <c r="BP351" s="64">
        <f t="shared" si="40"/>
        <v>2.083333333333333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200</v>
      </c>
      <c r="Y356" s="551">
        <f>IFERROR(Y349/H349,"0")+IFERROR(Y350/H350,"0")+IFERROR(Y351/H351,"0")+IFERROR(Y352/H352,"0")+IFERROR(Y353/H353,"0")+IFERROR(Y354/H354,"0")+IFERROR(Y355/H355,"0")</f>
        <v>200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4.3499999999999996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3000</v>
      </c>
      <c r="Y357" s="551">
        <f>IFERROR(SUM(Y349:Y355),"0")</f>
        <v>3000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135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1500</v>
      </c>
      <c r="Y359" s="550">
        <f>IFERROR(IF(X359="",0,CEILING((X359/$H359),1)*$H359),"")</f>
        <v>1500</v>
      </c>
      <c r="Z359" s="36">
        <f>IFERROR(IF(Y359=0,"",ROUNDUP(Y359/H359,0)*0.02175),"")</f>
        <v>2.1749999999999998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1547</v>
      </c>
      <c r="BN359" s="64">
        <f>IFERROR(Y359*I359/H359,"0")</f>
        <v>1547</v>
      </c>
      <c r="BO359" s="64">
        <f>IFERROR(1/J359*(X359/H359),"0")</f>
        <v>2.083333333333333</v>
      </c>
      <c r="BP359" s="64">
        <f>IFERROR(1/J359*(Y359/H359),"0")</f>
        <v>2.083333333333333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100</v>
      </c>
      <c r="Y361" s="551">
        <f>IFERROR(Y359/H359,"0")+IFERROR(Y360/H360,"0")</f>
        <v>100</v>
      </c>
      <c r="Z361" s="551">
        <f>IFERROR(IF(Z359="",0,Z359),"0")+IFERROR(IF(Z360="",0,Z360),"0")</f>
        <v>2.1749999999999998</v>
      </c>
      <c r="AA361" s="552"/>
      <c r="AB361" s="552"/>
      <c r="AC361" s="552"/>
    </row>
    <row r="362" spans="1:68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1500</v>
      </c>
      <c r="Y362" s="551">
        <f>IFERROR(SUM(Y359:Y360),"0")</f>
        <v>1500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150</v>
      </c>
      <c r="Y365" s="550">
        <f>IFERROR(IF(X365="",0,CEILING((X365/$H365),1)*$H365),"")</f>
        <v>153</v>
      </c>
      <c r="Z365" s="36">
        <f>IFERROR(IF(Y365=0,"",ROUNDUP(Y365/H365,0)*0.01898),"")</f>
        <v>0.32266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158.23333333333332</v>
      </c>
      <c r="BN365" s="64">
        <f>IFERROR(Y365*I365/H365,"0")</f>
        <v>161.398</v>
      </c>
      <c r="BO365" s="64">
        <f>IFERROR(1/J365*(X365/H365),"0")</f>
        <v>0.26041666666666669</v>
      </c>
      <c r="BP365" s="64">
        <f>IFERROR(1/J365*(Y365/H365),"0")</f>
        <v>0.265625</v>
      </c>
    </row>
    <row r="366" spans="1:68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16.666666666666668</v>
      </c>
      <c r="Y366" s="551">
        <f>IFERROR(Y364/H364,"0")+IFERROR(Y365/H365,"0")</f>
        <v>17</v>
      </c>
      <c r="Z366" s="551">
        <f>IFERROR(IF(Z364="",0,Z364),"0")+IFERROR(IF(Z365="",0,Z365),"0")</f>
        <v>0.32266</v>
      </c>
      <c r="AA366" s="552"/>
      <c r="AB366" s="552"/>
      <c r="AC366" s="552"/>
    </row>
    <row r="367" spans="1:68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150</v>
      </c>
      <c r="Y367" s="551">
        <f>IFERROR(SUM(Y364:Y365),"0")</f>
        <v>153</v>
      </c>
      <c r="Z367" s="37"/>
      <c r="AA367" s="552"/>
      <c r="AB367" s="552"/>
      <c r="AC367" s="552"/>
    </row>
    <row r="368" spans="1:68" ht="14.25" hidden="1" customHeight="1" x14ac:dyDescent="0.25">
      <c r="A368" s="575" t="s">
        <v>160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400</v>
      </c>
      <c r="Y369" s="550">
        <f>IFERROR(IF(X369="",0,CEILING((X369/$H369),1)*$H369),"")</f>
        <v>405</v>
      </c>
      <c r="Z369" s="36">
        <f>IFERROR(IF(Y369=0,"",ROUNDUP(Y369/H369,0)*0.01898),"")</f>
        <v>0.85409999999999997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421.95555555555552</v>
      </c>
      <c r="BN369" s="64">
        <f>IFERROR(Y369*I369/H369,"0")</f>
        <v>427.22999999999996</v>
      </c>
      <c r="BO369" s="64">
        <f>IFERROR(1/J369*(X369/H369),"0")</f>
        <v>0.69444444444444442</v>
      </c>
      <c r="BP369" s="64">
        <f>IFERROR(1/J369*(Y369/H369),"0")</f>
        <v>0.703125</v>
      </c>
    </row>
    <row r="370" spans="1:68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44.444444444444443</v>
      </c>
      <c r="Y370" s="551">
        <f>IFERROR(Y369/H369,"0")</f>
        <v>45</v>
      </c>
      <c r="Z370" s="551">
        <f>IFERROR(IF(Z369="",0,Z369),"0")</f>
        <v>0.85409999999999997</v>
      </c>
      <c r="AA370" s="552"/>
      <c r="AB370" s="552"/>
      <c r="AC370" s="552"/>
    </row>
    <row r="371" spans="1:68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400</v>
      </c>
      <c r="Y371" s="551">
        <f>IFERROR(SUM(Y369:Y369),"0")</f>
        <v>405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84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200</v>
      </c>
      <c r="Y392" s="550">
        <f t="shared" ref="Y392:Y400" si="41">IFERROR(IF(X392="",0,CEILING((X392/$H392),1)*$H392),"")</f>
        <v>205.20000000000002</v>
      </c>
      <c r="Z392" s="36">
        <f>IFERROR(IF(Y392=0,"",ROUNDUP(Y392/H392,0)*0.00902),"")</f>
        <v>0.34276000000000001</v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207.03703703703701</v>
      </c>
      <c r="BN392" s="64">
        <f t="shared" ref="BN392:BN400" si="43">IFERROR(Y392*I392/H392,"0")</f>
        <v>212.42</v>
      </c>
      <c r="BO392" s="64">
        <f t="shared" ref="BO392:BO400" si="44">IFERROR(1/J392*(X392/H392),"0")</f>
        <v>0.28058361391694725</v>
      </c>
      <c r="BP392" s="64">
        <f t="shared" ref="BP392:BP400" si="45">IFERROR(1/J392*(Y392/H392),"0")</f>
        <v>0.2878787878787879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50</v>
      </c>
      <c r="Y393" s="550">
        <f t="shared" si="41"/>
        <v>54</v>
      </c>
      <c r="Z393" s="36">
        <f>IFERROR(IF(Y393=0,"",ROUNDUP(Y393/H393,0)*0.00902),"")</f>
        <v>9.0200000000000002E-2</v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51.759259259259252</v>
      </c>
      <c r="BN393" s="64">
        <f t="shared" si="43"/>
        <v>55.9</v>
      </c>
      <c r="BO393" s="64">
        <f t="shared" si="44"/>
        <v>7.0145903479236812E-2</v>
      </c>
      <c r="BP393" s="64">
        <f t="shared" si="45"/>
        <v>7.575757575757576E-2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200</v>
      </c>
      <c r="Y394" s="550">
        <f t="shared" si="41"/>
        <v>205.20000000000002</v>
      </c>
      <c r="Z394" s="36">
        <f>IFERROR(IF(Y394=0,"",ROUNDUP(Y394/H394,0)*0.00902),"")</f>
        <v>0.34276000000000001</v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207.03703703703701</v>
      </c>
      <c r="BN394" s="64">
        <f t="shared" si="43"/>
        <v>212.42</v>
      </c>
      <c r="BO394" s="64">
        <f t="shared" si="44"/>
        <v>0.28058361391694725</v>
      </c>
      <c r="BP394" s="64">
        <f t="shared" si="45"/>
        <v>0.2878787878787879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10.5</v>
      </c>
      <c r="Y397" s="550">
        <f t="shared" si="41"/>
        <v>10.5</v>
      </c>
      <c r="Z397" s="36">
        <f t="shared" si="46"/>
        <v>2.5100000000000001E-2</v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11.149999999999999</v>
      </c>
      <c r="BN397" s="64">
        <f t="shared" si="43"/>
        <v>11.149999999999999</v>
      </c>
      <c r="BO397" s="64">
        <f t="shared" si="44"/>
        <v>2.1367521367521368E-2</v>
      </c>
      <c r="BP397" s="64">
        <f t="shared" si="45"/>
        <v>2.1367521367521368E-2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21</v>
      </c>
      <c r="Y400" s="550">
        <f t="shared" si="41"/>
        <v>21</v>
      </c>
      <c r="Z400" s="36">
        <f t="shared" si="46"/>
        <v>5.0200000000000002E-2</v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22.299999999999997</v>
      </c>
      <c r="BN400" s="64">
        <f t="shared" si="43"/>
        <v>22.299999999999997</v>
      </c>
      <c r="BO400" s="64">
        <f t="shared" si="44"/>
        <v>4.2735042735042736E-2</v>
      </c>
      <c r="BP400" s="64">
        <f t="shared" si="45"/>
        <v>4.2735042735042736E-2</v>
      </c>
    </row>
    <row r="401" spans="1:68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98.333333333333343</v>
      </c>
      <c r="Y401" s="551">
        <f>IFERROR(Y392/H392,"0")+IFERROR(Y393/H393,"0")+IFERROR(Y394/H394,"0")+IFERROR(Y395/H395,"0")+IFERROR(Y396/H396,"0")+IFERROR(Y397/H397,"0")+IFERROR(Y398/H398,"0")+IFERROR(Y399/H399,"0")+IFERROR(Y400/H400,"0")</f>
        <v>101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0.85102</v>
      </c>
      <c r="AA401" s="552"/>
      <c r="AB401" s="552"/>
      <c r="AC401" s="552"/>
    </row>
    <row r="402" spans="1:68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481.5</v>
      </c>
      <c r="Y402" s="551">
        <f>IFERROR(SUM(Y392:Y400),"0")</f>
        <v>495.90000000000009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135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200</v>
      </c>
      <c r="Y414" s="550">
        <f>IFERROR(IF(X414="",0,CEILING((X414/$H414),1)*$H414),"")</f>
        <v>205.20000000000002</v>
      </c>
      <c r="Z414" s="36">
        <f>IFERROR(IF(Y414=0,"",ROUNDUP(Y414/H414,0)*0.00902),"")</f>
        <v>0.34276000000000001</v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207.03703703703701</v>
      </c>
      <c r="BN414" s="64">
        <f>IFERROR(Y414*I414/H414,"0")</f>
        <v>212.42</v>
      </c>
      <c r="BO414" s="64">
        <f>IFERROR(1/J414*(X414/H414),"0")</f>
        <v>0.28058361391694725</v>
      </c>
      <c r="BP414" s="64">
        <f>IFERROR(1/J414*(Y414/H414),"0")</f>
        <v>0.2878787878787879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21</v>
      </c>
      <c r="Y417" s="550">
        <f>IFERROR(IF(X417="",0,CEILING((X417/$H417),1)*$H417),"")</f>
        <v>21</v>
      </c>
      <c r="Z417" s="36">
        <f>IFERROR(IF(Y417=0,"",ROUNDUP(Y417/H417,0)*0.00502),"")</f>
        <v>5.0200000000000002E-2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22.299999999999997</v>
      </c>
      <c r="BN417" s="64">
        <f>IFERROR(Y417*I417/H417,"0")</f>
        <v>22.299999999999997</v>
      </c>
      <c r="BO417" s="64">
        <f>IFERROR(1/J417*(X417/H417),"0")</f>
        <v>4.2735042735042736E-2</v>
      </c>
      <c r="BP417" s="64">
        <f>IFERROR(1/J417*(Y417/H417),"0")</f>
        <v>4.2735042735042736E-2</v>
      </c>
    </row>
    <row r="418" spans="1:68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47.037037037037038</v>
      </c>
      <c r="Y418" s="551">
        <f>IFERROR(Y414/H414,"0")+IFERROR(Y415/H415,"0")+IFERROR(Y416/H416,"0")+IFERROR(Y417/H417,"0")</f>
        <v>48</v>
      </c>
      <c r="Z418" s="551">
        <f>IFERROR(IF(Z414="",0,Z414),"0")+IFERROR(IF(Z415="",0,Z415),"0")+IFERROR(IF(Z416="",0,Z416),"0")+IFERROR(IF(Z417="",0,Z417),"0")</f>
        <v>0.39296000000000003</v>
      </c>
      <c r="AA418" s="552"/>
      <c r="AB418" s="552"/>
      <c r="AC418" s="552"/>
    </row>
    <row r="419" spans="1:68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221</v>
      </c>
      <c r="Y419" s="551">
        <f>IFERROR(SUM(Y414:Y417),"0")</f>
        <v>226.20000000000002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30</v>
      </c>
      <c r="Y431" s="550">
        <f t="shared" si="47"/>
        <v>31.68</v>
      </c>
      <c r="Z431" s="36">
        <f t="shared" si="48"/>
        <v>7.1760000000000004E-2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31.988636363636363</v>
      </c>
      <c r="BN431" s="64">
        <f t="shared" si="50"/>
        <v>33.779999999999994</v>
      </c>
      <c r="BO431" s="64">
        <f t="shared" si="51"/>
        <v>5.4632867132867136E-2</v>
      </c>
      <c r="BP431" s="64">
        <f t="shared" si="52"/>
        <v>5.7692307692307696E-2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250</v>
      </c>
      <c r="Y434" s="550">
        <f t="shared" si="47"/>
        <v>253.44</v>
      </c>
      <c r="Z434" s="36">
        <f t="shared" si="48"/>
        <v>0.57408000000000003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266.57196969696969</v>
      </c>
      <c r="BN434" s="64">
        <f t="shared" si="50"/>
        <v>270.23999999999995</v>
      </c>
      <c r="BO434" s="64">
        <f t="shared" si="51"/>
        <v>0.45527389277389274</v>
      </c>
      <c r="BP434" s="64">
        <f t="shared" si="52"/>
        <v>0.46153846153846156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53.030303030303024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54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0.64584000000000008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280</v>
      </c>
      <c r="Y441" s="551">
        <f>IFERROR(SUM(Y428:Y439),"0")</f>
        <v>285.12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135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300</v>
      </c>
      <c r="Y443" s="550">
        <f>IFERROR(IF(X443="",0,CEILING((X443/$H443),1)*$H443),"")</f>
        <v>300.96000000000004</v>
      </c>
      <c r="Z443" s="36">
        <f>IFERROR(IF(Y443=0,"",ROUNDUP(Y443/H443,0)*0.01196),"")</f>
        <v>0.68171999999999999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319.88636363636363</v>
      </c>
      <c r="BN443" s="64">
        <f>IFERROR(Y443*I443/H443,"0")</f>
        <v>320.91000000000003</v>
      </c>
      <c r="BO443" s="64">
        <f>IFERROR(1/J443*(X443/H443),"0")</f>
        <v>0.54632867132867136</v>
      </c>
      <c r="BP443" s="64">
        <f>IFERROR(1/J443*(Y443/H443),"0")</f>
        <v>0.54807692307692313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56.818181818181813</v>
      </c>
      <c r="Y446" s="551">
        <f>IFERROR(Y443/H443,"0")+IFERROR(Y444/H444,"0")+IFERROR(Y445/H445,"0")</f>
        <v>57.000000000000007</v>
      </c>
      <c r="Z446" s="551">
        <f>IFERROR(IF(Z443="",0,Z443),"0")+IFERROR(IF(Z444="",0,Z444),"0")+IFERROR(IF(Z445="",0,Z445),"0")</f>
        <v>0.68171999999999999</v>
      </c>
      <c r="AA446" s="552"/>
      <c r="AB446" s="552"/>
      <c r="AC446" s="552"/>
    </row>
    <row r="447" spans="1:68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300</v>
      </c>
      <c r="Y447" s="551">
        <f>IFERROR(SUM(Y443:Y445),"0")</f>
        <v>300.96000000000004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100</v>
      </c>
      <c r="Y449" s="550">
        <f t="shared" ref="Y449:Y454" si="53">IFERROR(IF(X449="",0,CEILING((X449/$H449),1)*$H449),"")</f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106.62878787878788</v>
      </c>
      <c r="BN449" s="64">
        <f t="shared" ref="BN449:BN454" si="55">IFERROR(Y449*I449/H449,"0")</f>
        <v>106.97</v>
      </c>
      <c r="BO449" s="64">
        <f t="shared" ref="BO449:BO454" si="56">IFERROR(1/J449*(X449/H449),"0")</f>
        <v>0.18210955710955709</v>
      </c>
      <c r="BP449" s="64">
        <f t="shared" ref="BP449:BP454" si="57">IFERROR(1/J449*(Y449/H449),"0")</f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200</v>
      </c>
      <c r="Y450" s="550">
        <f t="shared" si="53"/>
        <v>200.64000000000001</v>
      </c>
      <c r="Z450" s="36">
        <f>IFERROR(IF(Y450=0,"",ROUNDUP(Y450/H450,0)*0.01196),"")</f>
        <v>0.45448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213.25757575757575</v>
      </c>
      <c r="BN450" s="64">
        <f t="shared" si="55"/>
        <v>213.94</v>
      </c>
      <c r="BO450" s="64">
        <f t="shared" si="56"/>
        <v>0.36421911421911418</v>
      </c>
      <c r="BP450" s="64">
        <f t="shared" si="57"/>
        <v>0.36538461538461542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150</v>
      </c>
      <c r="Y451" s="550">
        <f t="shared" si="53"/>
        <v>153.12</v>
      </c>
      <c r="Z451" s="36">
        <f>IFERROR(IF(Y451=0,"",ROUNDUP(Y451/H451,0)*0.01196),"")</f>
        <v>0.34683999999999998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159.94318181818181</v>
      </c>
      <c r="BN451" s="64">
        <f t="shared" si="55"/>
        <v>163.26999999999998</v>
      </c>
      <c r="BO451" s="64">
        <f t="shared" si="56"/>
        <v>0.27316433566433568</v>
      </c>
      <c r="BP451" s="64">
        <f t="shared" si="57"/>
        <v>0.27884615384615385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85.22727272727272</v>
      </c>
      <c r="Y455" s="551">
        <f>IFERROR(Y449/H449,"0")+IFERROR(Y450/H450,"0")+IFERROR(Y451/H451,"0")+IFERROR(Y452/H452,"0")+IFERROR(Y453/H453,"0")+IFERROR(Y454/H454,"0")</f>
        <v>86</v>
      </c>
      <c r="Z455" s="551">
        <f>IFERROR(IF(Z449="",0,Z449),"0")+IFERROR(IF(Z450="",0,Z450),"0")+IFERROR(IF(Z451="",0,Z451),"0")+IFERROR(IF(Z452="",0,Z452),"0")+IFERROR(IF(Z453="",0,Z453),"0")+IFERROR(IF(Z454="",0,Z454),"0")</f>
        <v>1.0285599999999999</v>
      </c>
      <c r="AA455" s="552"/>
      <c r="AB455" s="552"/>
      <c r="AC455" s="552"/>
    </row>
    <row r="456" spans="1:68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450</v>
      </c>
      <c r="Y456" s="551">
        <f>IFERROR(SUM(Y449:Y454),"0")</f>
        <v>454.08000000000004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135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100</v>
      </c>
      <c r="Y476" s="550">
        <f>IFERROR(IF(X476="",0,CEILING((X476/$H476),1)*$H476),"")</f>
        <v>100.8</v>
      </c>
      <c r="Z476" s="36">
        <f>IFERROR(IF(Y476=0,"",ROUNDUP(Y476/H476,0)*0.00902),"")</f>
        <v>0.18942000000000001</v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105.20833333333334</v>
      </c>
      <c r="BN476" s="64">
        <f>IFERROR(Y476*I476/H476,"0")</f>
        <v>106.05</v>
      </c>
      <c r="BO476" s="64">
        <f>IFERROR(1/J476*(X476/H476),"0")</f>
        <v>0.15782828282828285</v>
      </c>
      <c r="BP476" s="64">
        <f>IFERROR(1/J476*(Y476/H476),"0")</f>
        <v>0.15909090909090909</v>
      </c>
    </row>
    <row r="477" spans="1:68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20.833333333333336</v>
      </c>
      <c r="Y477" s="551">
        <f>IFERROR(Y476/H476,"0")</f>
        <v>21</v>
      </c>
      <c r="Z477" s="551">
        <f>IFERROR(IF(Z476="",0,Z476),"0")</f>
        <v>0.18942000000000001</v>
      </c>
      <c r="AA477" s="552"/>
      <c r="AB477" s="552"/>
      <c r="AC477" s="552"/>
    </row>
    <row r="478" spans="1:68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100</v>
      </c>
      <c r="Y478" s="551">
        <f>IFERROR(SUM(Y476:Y476),"0")</f>
        <v>100.8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75" t="s">
        <v>160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135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9127.5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9196.8599999999988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9513.6528379028387</v>
      </c>
      <c r="Y494" s="551">
        <f>IFERROR(SUM(BN22:BN490),"0")</f>
        <v>9586.5139999999974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15</v>
      </c>
      <c r="Y495" s="38">
        <f>ROUNDUP(SUM(BP22:BP490),0)</f>
        <v>15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9888.6528379028387</v>
      </c>
      <c r="Y496" s="551">
        <f>GrossWeightTotalR+PalletQtyTotalR*25</f>
        <v>9961.5139999999974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1041.9143819143819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1053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16.09564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116</v>
      </c>
      <c r="E501" s="566" t="s">
        <v>167</v>
      </c>
      <c r="F501" s="566" t="s">
        <v>190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302.40000000000003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228.60000000000002</v>
      </c>
      <c r="E503" s="46">
        <f>IFERROR(Y84*1,"0")+IFERROR(Y85*1,"0")+IFERROR(Y86*1,"0")+IFERROR(Y87*1,"0")+IFERROR(Y91*1,"0")+IFERROR(Y92*1,"0")+IFERROR(Y93*1,"0")+IFERROR(Y94*1,"0")</f>
        <v>710.1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348.30000000000007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151.20000000000002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81.599999999999994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453.6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5058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495.90000000000009</v>
      </c>
      <c r="V503" s="46">
        <f>IFERROR(Y410*1,"0")+IFERROR(Y414*1,"0")+IFERROR(Y415*1,"0")+IFERROR(Y416*1,"0")+IFERROR(Y417*1,"0")</f>
        <v>226.20000000000002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1040.1600000000001</v>
      </c>
      <c r="Y503" s="46">
        <f>IFERROR(Y464*1,"0")+IFERROR(Y465*1,"0")+IFERROR(Y466*1,"0")+IFERROR(Y467*1,"0")+IFERROR(Y471*1,"0")+IFERROR(Y472*1,"0")+IFERROR(Y476*1,"0")+IFERROR(Y480*1,"0")+IFERROR(Y484*1,"0")+IFERROR(Y485*1,"0")</f>
        <v>100.8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1,91"/>
        <filter val="1 500,00"/>
        <filter val="10,00"/>
        <filter val="10,50"/>
        <filter val="100,00"/>
        <filter val="15"/>
        <filter val="150,00"/>
        <filter val="16,67"/>
        <filter val="180,00"/>
        <filter val="20,83"/>
        <filter val="200,00"/>
        <filter val="21,00"/>
        <filter val="221,00"/>
        <filter val="23,81"/>
        <filter val="250,00"/>
        <filter val="27,78"/>
        <filter val="280,00"/>
        <filter val="3 000,00"/>
        <filter val="30,00"/>
        <filter val="300,00"/>
        <filter val="32,41"/>
        <filter val="33,33"/>
        <filter val="345,00"/>
        <filter val="35,71"/>
        <filter val="350,00"/>
        <filter val="400,00"/>
        <filter val="41,67"/>
        <filter val="44,44"/>
        <filter val="45,00"/>
        <filter val="450,00"/>
        <filter val="47,04"/>
        <filter val="481,50"/>
        <filter val="50,00"/>
        <filter val="53,03"/>
        <filter val="53,70"/>
        <filter val="56,82"/>
        <filter val="80,00"/>
        <filter val="85,23"/>
        <filter val="9 127,50"/>
        <filter val="9 513,65"/>
        <filter val="9 888,65"/>
        <filter val="98,33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