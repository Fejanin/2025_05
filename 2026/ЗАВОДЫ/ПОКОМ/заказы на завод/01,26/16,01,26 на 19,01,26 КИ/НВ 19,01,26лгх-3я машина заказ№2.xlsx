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69936E-215B-4B08-9A69-BE46C6113C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0" i="1"/>
  <c r="BN30" i="1"/>
  <c r="Z53" i="1"/>
  <c r="BN53" i="1"/>
  <c r="Z73" i="1"/>
  <c r="BN73" i="1"/>
  <c r="Z94" i="1"/>
  <c r="BN9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4" i="1" s="1"/>
  <c r="Y104" i="1"/>
  <c r="BP108" i="1"/>
  <c r="BN108" i="1"/>
  <c r="Z108" i="1"/>
  <c r="BP116" i="1"/>
  <c r="BN116" i="1"/>
  <c r="Z116" i="1"/>
  <c r="Y133" i="1"/>
  <c r="BP137" i="1"/>
  <c r="BN137" i="1"/>
  <c r="Z137" i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Z186" i="1" s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46" i="1" l="1"/>
  <c r="Z361" i="1"/>
  <c r="Z381" i="1"/>
  <c r="Z302" i="1"/>
  <c r="Z293" i="1"/>
  <c r="Z212" i="1"/>
  <c r="Z406" i="1"/>
  <c r="Z138" i="1"/>
  <c r="Z68" i="1"/>
  <c r="Z201" i="1"/>
  <c r="Z401" i="1"/>
  <c r="Z224" i="1"/>
  <c r="Z57" i="1"/>
  <c r="Y494" i="1"/>
  <c r="Y496" i="1" s="1"/>
  <c r="Z75" i="1"/>
  <c r="Z356" i="1"/>
  <c r="Z440" i="1"/>
  <c r="Z229" i="1"/>
  <c r="Z111" i="1"/>
  <c r="Z95" i="1"/>
  <c r="Z80" i="1"/>
  <c r="Z43" i="1"/>
  <c r="Y495" i="1"/>
  <c r="Z311" i="1"/>
  <c r="Z153" i="1"/>
  <c r="Z88" i="1"/>
  <c r="Z275" i="1"/>
  <c r="Z258" i="1"/>
  <c r="Z318" i="1"/>
  <c r="Z180" i="1"/>
  <c r="Z468" i="1"/>
  <c r="Z455" i="1"/>
  <c r="Z418" i="1"/>
  <c r="Z337" i="1"/>
  <c r="Z267" i="1"/>
  <c r="Z242" i="1"/>
  <c r="Z31" i="1"/>
  <c r="Y497" i="1"/>
  <c r="X496" i="1"/>
  <c r="Z118" i="1"/>
  <c r="Z63" i="1"/>
  <c r="Y493" i="1"/>
  <c r="Z498" i="1" l="1"/>
</calcChain>
</file>

<file path=xl/sharedStrings.xml><?xml version="1.0" encoding="utf-8"?>
<sst xmlns="http://schemas.openxmlformats.org/spreadsheetml/2006/main" count="2275" uniqueCount="774">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</sst>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6"/>
      <c r="R2" s="566"/>
      <c r="S2" s="566"/>
      <c r="T2" s="566"/>
      <c r="U2" s="566"/>
      <c r="V2" s="566"/>
      <c r="W2" s="566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6"/>
      <c r="Q3" s="566"/>
      <c r="R3" s="566"/>
      <c r="S3" s="566"/>
      <c r="T3" s="566"/>
      <c r="U3" s="566"/>
      <c r="V3" s="566"/>
      <c r="W3" s="566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69" t="s">
        <v>8</v>
      </c>
      <c r="B5" s="670"/>
      <c r="C5" s="671"/>
      <c r="D5" s="627"/>
      <c r="E5" s="628"/>
      <c r="F5" s="840" t="s">
        <v>9</v>
      </c>
      <c r="G5" s="671"/>
      <c r="H5" s="627" t="s">
        <v>773</v>
      </c>
      <c r="I5" s="776"/>
      <c r="J5" s="776"/>
      <c r="K5" s="776"/>
      <c r="L5" s="776"/>
      <c r="M5" s="628"/>
      <c r="N5" s="58"/>
      <c r="P5" s="24" t="s">
        <v>10</v>
      </c>
      <c r="Q5" s="852">
        <v>46041</v>
      </c>
      <c r="R5" s="666"/>
      <c r="T5" s="721" t="s">
        <v>11</v>
      </c>
      <c r="U5" s="722"/>
      <c r="V5" s="723" t="s">
        <v>12</v>
      </c>
      <c r="W5" s="666"/>
      <c r="AB5" s="51"/>
      <c r="AC5" s="51"/>
      <c r="AD5" s="51"/>
      <c r="AE5" s="51"/>
    </row>
    <row r="6" spans="1:32" s="543" customFormat="1" ht="24" customHeight="1" x14ac:dyDescent="0.2">
      <c r="A6" s="669" t="s">
        <v>13</v>
      </c>
      <c r="B6" s="670"/>
      <c r="C6" s="671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6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26" t="s">
        <v>16</v>
      </c>
      <c r="U6" s="722"/>
      <c r="V6" s="805" t="s">
        <v>17</v>
      </c>
      <c r="W6" s="586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31" t="str">
        <f>IFERROR(VLOOKUP(DeliveryAddress,Table,3,0),1)</f>
        <v>1</v>
      </c>
      <c r="E7" s="632"/>
      <c r="F7" s="632"/>
      <c r="G7" s="632"/>
      <c r="H7" s="632"/>
      <c r="I7" s="632"/>
      <c r="J7" s="632"/>
      <c r="K7" s="632"/>
      <c r="L7" s="632"/>
      <c r="M7" s="633"/>
      <c r="N7" s="60"/>
      <c r="P7" s="24"/>
      <c r="Q7" s="42"/>
      <c r="R7" s="42"/>
      <c r="T7" s="566"/>
      <c r="U7" s="722"/>
      <c r="V7" s="806"/>
      <c r="W7" s="807"/>
      <c r="AB7" s="51"/>
      <c r="AC7" s="51"/>
      <c r="AD7" s="51"/>
      <c r="AE7" s="51"/>
    </row>
    <row r="8" spans="1:32" s="543" customFormat="1" ht="25.5" customHeight="1" x14ac:dyDescent="0.2">
      <c r="A8" s="875" t="s">
        <v>18</v>
      </c>
      <c r="B8" s="563"/>
      <c r="C8" s="564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9">
        <v>0.45833333333333331</v>
      </c>
      <c r="R8" s="633"/>
      <c r="T8" s="566"/>
      <c r="U8" s="722"/>
      <c r="V8" s="806"/>
      <c r="W8" s="807"/>
      <c r="AB8" s="51"/>
      <c r="AC8" s="51"/>
      <c r="AD8" s="51"/>
      <c r="AE8" s="51"/>
    </row>
    <row r="9" spans="1:32" s="543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6"/>
      <c r="C9" s="566"/>
      <c r="D9" s="690"/>
      <c r="E9" s="561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41"/>
      <c r="P9" s="26" t="s">
        <v>21</v>
      </c>
      <c r="Q9" s="659"/>
      <c r="R9" s="660"/>
      <c r="T9" s="566"/>
      <c r="U9" s="722"/>
      <c r="V9" s="808"/>
      <c r="W9" s="809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6"/>
      <c r="C10" s="566"/>
      <c r="D10" s="690"/>
      <c r="E10" s="561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6"/>
      <c r="H10" s="758" t="str">
        <f>IFERROR(VLOOKUP($D$10,Proxy,2,FALSE),"")</f>
        <v/>
      </c>
      <c r="I10" s="566"/>
      <c r="J10" s="566"/>
      <c r="K10" s="566"/>
      <c r="L10" s="566"/>
      <c r="M10" s="566"/>
      <c r="N10" s="542"/>
      <c r="P10" s="26" t="s">
        <v>22</v>
      </c>
      <c r="Q10" s="727"/>
      <c r="R10" s="72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4" t="s">
        <v>28</v>
      </c>
      <c r="W11" s="66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7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99"/>
      <c r="R12" s="633"/>
      <c r="S12" s="23"/>
      <c r="U12" s="24"/>
      <c r="V12" s="574"/>
      <c r="W12" s="566"/>
      <c r="AB12" s="51"/>
      <c r="AC12" s="51"/>
      <c r="AD12" s="51"/>
      <c r="AE12" s="51"/>
    </row>
    <row r="13" spans="1:32" s="543" customFormat="1" ht="23.25" customHeight="1" x14ac:dyDescent="0.2">
      <c r="A13" s="717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794"/>
      <c r="R13" s="6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7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2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694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5"/>
      <c r="Q16" s="695"/>
      <c r="R16" s="695"/>
      <c r="S16" s="695"/>
      <c r="T16" s="6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703" t="s">
        <v>38</v>
      </c>
      <c r="D17" s="589" t="s">
        <v>39</v>
      </c>
      <c r="E17" s="643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2"/>
      <c r="R17" s="642"/>
      <c r="S17" s="642"/>
      <c r="T17" s="643"/>
      <c r="U17" s="870" t="s">
        <v>51</v>
      </c>
      <c r="V17" s="671"/>
      <c r="W17" s="589" t="s">
        <v>52</v>
      </c>
      <c r="X17" s="589" t="s">
        <v>53</v>
      </c>
      <c r="Y17" s="873" t="s">
        <v>54</v>
      </c>
      <c r="Z17" s="766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35"/>
      <c r="AF17" s="836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44"/>
      <c r="E18" s="646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90"/>
      <c r="X18" s="590"/>
      <c r="Y18" s="874"/>
      <c r="Z18" s="767"/>
      <c r="AA18" s="757"/>
      <c r="AB18" s="757"/>
      <c r="AC18" s="757"/>
      <c r="AD18" s="837"/>
      <c r="AE18" s="838"/>
      <c r="AF18" s="839"/>
      <c r="AG18" s="66"/>
      <c r="BD18" s="65"/>
    </row>
    <row r="19" spans="1:68" ht="27.75" hidden="1" customHeight="1" x14ac:dyDescent="0.2">
      <c r="A19" s="661" t="s">
        <v>63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565" t="s">
        <v>63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44"/>
      <c r="AB20" s="544"/>
      <c r="AC20" s="544"/>
    </row>
    <row r="21" spans="1:68" ht="14.25" hidden="1" customHeight="1" x14ac:dyDescent="0.25">
      <c r="A21" s="567" t="s">
        <v>64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  <c r="M21" s="566"/>
      <c r="N21" s="566"/>
      <c r="O21" s="566"/>
      <c r="P21" s="566"/>
      <c r="Q21" s="566"/>
      <c r="R21" s="566"/>
      <c r="S21" s="566"/>
      <c r="T21" s="566"/>
      <c r="U21" s="566"/>
      <c r="V21" s="566"/>
      <c r="W21" s="566"/>
      <c r="X21" s="566"/>
      <c r="Y21" s="566"/>
      <c r="Z21" s="566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81"/>
      <c r="B24" s="566"/>
      <c r="C24" s="566"/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82"/>
      <c r="P24" s="562" t="s">
        <v>75</v>
      </c>
      <c r="Q24" s="563"/>
      <c r="R24" s="563"/>
      <c r="S24" s="563"/>
      <c r="T24" s="563"/>
      <c r="U24" s="563"/>
      <c r="V24" s="564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6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566"/>
      <c r="M25" s="566"/>
      <c r="N25" s="566"/>
      <c r="O25" s="582"/>
      <c r="P25" s="562" t="s">
        <v>75</v>
      </c>
      <c r="Q25" s="563"/>
      <c r="R25" s="563"/>
      <c r="S25" s="563"/>
      <c r="T25" s="563"/>
      <c r="U25" s="563"/>
      <c r="V25" s="564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67" t="s">
        <v>77</v>
      </c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66"/>
      <c r="T26" s="566"/>
      <c r="U26" s="566"/>
      <c r="V26" s="566"/>
      <c r="W26" s="566"/>
      <c r="X26" s="566"/>
      <c r="Y26" s="566"/>
      <c r="Z26" s="566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81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6"/>
      <c r="O31" s="582"/>
      <c r="P31" s="562" t="s">
        <v>75</v>
      </c>
      <c r="Q31" s="563"/>
      <c r="R31" s="563"/>
      <c r="S31" s="563"/>
      <c r="T31" s="563"/>
      <c r="U31" s="563"/>
      <c r="V31" s="564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6"/>
      <c r="B32" s="566"/>
      <c r="C32" s="566"/>
      <c r="D32" s="566"/>
      <c r="E32" s="566"/>
      <c r="F32" s="566"/>
      <c r="G32" s="566"/>
      <c r="H32" s="566"/>
      <c r="I32" s="566"/>
      <c r="J32" s="566"/>
      <c r="K32" s="566"/>
      <c r="L32" s="566"/>
      <c r="M32" s="566"/>
      <c r="N32" s="566"/>
      <c r="O32" s="582"/>
      <c r="P32" s="562" t="s">
        <v>75</v>
      </c>
      <c r="Q32" s="563"/>
      <c r="R32" s="563"/>
      <c r="S32" s="563"/>
      <c r="T32" s="563"/>
      <c r="U32" s="563"/>
      <c r="V32" s="564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67" t="s">
        <v>91</v>
      </c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6"/>
      <c r="R33" s="566"/>
      <c r="S33" s="566"/>
      <c r="T33" s="566"/>
      <c r="U33" s="566"/>
      <c r="V33" s="566"/>
      <c r="W33" s="566"/>
      <c r="X33" s="566"/>
      <c r="Y33" s="566"/>
      <c r="Z33" s="566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8">
        <v>4607091388503</v>
      </c>
      <c r="E34" s="559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63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81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82"/>
      <c r="P35" s="562" t="s">
        <v>75</v>
      </c>
      <c r="Q35" s="563"/>
      <c r="R35" s="563"/>
      <c r="S35" s="563"/>
      <c r="T35" s="563"/>
      <c r="U35" s="563"/>
      <c r="V35" s="564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6"/>
      <c r="B36" s="566"/>
      <c r="C36" s="566"/>
      <c r="D36" s="566"/>
      <c r="E36" s="566"/>
      <c r="F36" s="566"/>
      <c r="G36" s="566"/>
      <c r="H36" s="566"/>
      <c r="I36" s="566"/>
      <c r="J36" s="566"/>
      <c r="K36" s="566"/>
      <c r="L36" s="566"/>
      <c r="M36" s="566"/>
      <c r="N36" s="566"/>
      <c r="O36" s="582"/>
      <c r="P36" s="562" t="s">
        <v>75</v>
      </c>
      <c r="Q36" s="563"/>
      <c r="R36" s="563"/>
      <c r="S36" s="563"/>
      <c r="T36" s="563"/>
      <c r="U36" s="563"/>
      <c r="V36" s="564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61" t="s">
        <v>97</v>
      </c>
      <c r="B37" s="662"/>
      <c r="C37" s="662"/>
      <c r="D37" s="662"/>
      <c r="E37" s="662"/>
      <c r="F37" s="662"/>
      <c r="G37" s="662"/>
      <c r="H37" s="662"/>
      <c r="I37" s="662"/>
      <c r="J37" s="662"/>
      <c r="K37" s="662"/>
      <c r="L37" s="662"/>
      <c r="M37" s="662"/>
      <c r="N37" s="662"/>
      <c r="O37" s="662"/>
      <c r="P37" s="662"/>
      <c r="Q37" s="662"/>
      <c r="R37" s="662"/>
      <c r="S37" s="662"/>
      <c r="T37" s="662"/>
      <c r="U37" s="662"/>
      <c r="V37" s="662"/>
      <c r="W37" s="662"/>
      <c r="X37" s="662"/>
      <c r="Y37" s="662"/>
      <c r="Z37" s="662"/>
      <c r="AA37" s="48"/>
      <c r="AB37" s="48"/>
      <c r="AC37" s="48"/>
    </row>
    <row r="38" spans="1:68" ht="16.5" hidden="1" customHeight="1" x14ac:dyDescent="0.25">
      <c r="A38" s="565" t="s">
        <v>98</v>
      </c>
      <c r="B38" s="566"/>
      <c r="C38" s="566"/>
      <c r="D38" s="566"/>
      <c r="E38" s="566"/>
      <c r="F38" s="566"/>
      <c r="G38" s="566"/>
      <c r="H38" s="566"/>
      <c r="I38" s="566"/>
      <c r="J38" s="566"/>
      <c r="K38" s="566"/>
      <c r="L38" s="566"/>
      <c r="M38" s="566"/>
      <c r="N38" s="566"/>
      <c r="O38" s="566"/>
      <c r="P38" s="566"/>
      <c r="Q38" s="566"/>
      <c r="R38" s="566"/>
      <c r="S38" s="566"/>
      <c r="T38" s="566"/>
      <c r="U38" s="566"/>
      <c r="V38" s="566"/>
      <c r="W38" s="566"/>
      <c r="X38" s="566"/>
      <c r="Y38" s="566"/>
      <c r="Z38" s="566"/>
      <c r="AA38" s="544"/>
      <c r="AB38" s="544"/>
      <c r="AC38" s="544"/>
    </row>
    <row r="39" spans="1:68" ht="14.25" hidden="1" customHeight="1" x14ac:dyDescent="0.25">
      <c r="A39" s="567" t="s">
        <v>99</v>
      </c>
      <c r="B39" s="566"/>
      <c r="C39" s="566"/>
      <c r="D39" s="566"/>
      <c r="E39" s="566"/>
      <c r="F39" s="566"/>
      <c r="G39" s="566"/>
      <c r="H39" s="566"/>
      <c r="I39" s="566"/>
      <c r="J39" s="566"/>
      <c r="K39" s="566"/>
      <c r="L39" s="566"/>
      <c r="M39" s="566"/>
      <c r="N39" s="566"/>
      <c r="O39" s="566"/>
      <c r="P39" s="566"/>
      <c r="Q39" s="566"/>
      <c r="R39" s="566"/>
      <c r="S39" s="566"/>
      <c r="T39" s="566"/>
      <c r="U39" s="566"/>
      <c r="V39" s="566"/>
      <c r="W39" s="566"/>
      <c r="X39" s="566"/>
      <c r="Y39" s="566"/>
      <c r="Z39" s="566"/>
      <c r="AA39" s="545"/>
      <c r="AB39" s="545"/>
      <c r="AC39" s="54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8">
        <v>4607091385670</v>
      </c>
      <c r="E40" s="559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81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8">
        <v>4607091385687</v>
      </c>
      <c r="E41" s="559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7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8">
        <v>4680115882539</v>
      </c>
      <c r="E42" s="559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81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566"/>
      <c r="O43" s="582"/>
      <c r="P43" s="562" t="s">
        <v>75</v>
      </c>
      <c r="Q43" s="563"/>
      <c r="R43" s="563"/>
      <c r="S43" s="563"/>
      <c r="T43" s="563"/>
      <c r="U43" s="563"/>
      <c r="V43" s="564"/>
      <c r="W43" s="37" t="s">
        <v>76</v>
      </c>
      <c r="X43" s="551">
        <f>IFERROR(X40/H40,"0")+IFERROR(X41/H41,"0")+IFERROR(X42/H42,"0")</f>
        <v>0</v>
      </c>
      <c r="Y43" s="551">
        <f>IFERROR(Y40/H40,"0")+IFERROR(Y41/H41,"0")+IFERROR(Y42/H42,"0")</f>
        <v>0</v>
      </c>
      <c r="Z43" s="551">
        <f>IFERROR(IF(Z40="",0,Z40),"0")+IFERROR(IF(Z41="",0,Z41),"0")+IFERROR(IF(Z42="",0,Z42),"0")</f>
        <v>0</v>
      </c>
      <c r="AA43" s="552"/>
      <c r="AB43" s="552"/>
      <c r="AC43" s="552"/>
    </row>
    <row r="44" spans="1:68" hidden="1" x14ac:dyDescent="0.2">
      <c r="A44" s="566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82"/>
      <c r="P44" s="562" t="s">
        <v>75</v>
      </c>
      <c r="Q44" s="563"/>
      <c r="R44" s="563"/>
      <c r="S44" s="563"/>
      <c r="T44" s="563"/>
      <c r="U44" s="563"/>
      <c r="V44" s="564"/>
      <c r="W44" s="37" t="s">
        <v>69</v>
      </c>
      <c r="X44" s="551">
        <f>IFERROR(SUM(X40:X42),"0")</f>
        <v>0</v>
      </c>
      <c r="Y44" s="551">
        <f>IFERROR(SUM(Y40:Y42),"0")</f>
        <v>0</v>
      </c>
      <c r="Z44" s="37"/>
      <c r="AA44" s="552"/>
      <c r="AB44" s="552"/>
      <c r="AC44" s="552"/>
    </row>
    <row r="45" spans="1:68" ht="14.25" hidden="1" customHeight="1" x14ac:dyDescent="0.25">
      <c r="A45" s="567" t="s">
        <v>77</v>
      </c>
      <c r="B45" s="566"/>
      <c r="C45" s="566"/>
      <c r="D45" s="566"/>
      <c r="E45" s="566"/>
      <c r="F45" s="566"/>
      <c r="G45" s="566"/>
      <c r="H45" s="566"/>
      <c r="I45" s="566"/>
      <c r="J45" s="566"/>
      <c r="K45" s="566"/>
      <c r="L45" s="566"/>
      <c r="M45" s="566"/>
      <c r="N45" s="566"/>
      <c r="O45" s="566"/>
      <c r="P45" s="566"/>
      <c r="Q45" s="566"/>
      <c r="R45" s="566"/>
      <c r="S45" s="566"/>
      <c r="T45" s="566"/>
      <c r="U45" s="566"/>
      <c r="V45" s="566"/>
      <c r="W45" s="566"/>
      <c r="X45" s="566"/>
      <c r="Y45" s="566"/>
      <c r="Z45" s="566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8">
        <v>4680115884915</v>
      </c>
      <c r="E46" s="559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81"/>
      <c r="B47" s="566"/>
      <c r="C47" s="566"/>
      <c r="D47" s="566"/>
      <c r="E47" s="566"/>
      <c r="F47" s="566"/>
      <c r="G47" s="566"/>
      <c r="H47" s="566"/>
      <c r="I47" s="566"/>
      <c r="J47" s="566"/>
      <c r="K47" s="566"/>
      <c r="L47" s="566"/>
      <c r="M47" s="566"/>
      <c r="N47" s="566"/>
      <c r="O47" s="582"/>
      <c r="P47" s="562" t="s">
        <v>75</v>
      </c>
      <c r="Q47" s="563"/>
      <c r="R47" s="563"/>
      <c r="S47" s="563"/>
      <c r="T47" s="563"/>
      <c r="U47" s="563"/>
      <c r="V47" s="564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6"/>
      <c r="B48" s="566"/>
      <c r="C48" s="566"/>
      <c r="D48" s="566"/>
      <c r="E48" s="566"/>
      <c r="F48" s="566"/>
      <c r="G48" s="566"/>
      <c r="H48" s="566"/>
      <c r="I48" s="566"/>
      <c r="J48" s="566"/>
      <c r="K48" s="566"/>
      <c r="L48" s="566"/>
      <c r="M48" s="566"/>
      <c r="N48" s="566"/>
      <c r="O48" s="582"/>
      <c r="P48" s="562" t="s">
        <v>75</v>
      </c>
      <c r="Q48" s="563"/>
      <c r="R48" s="563"/>
      <c r="S48" s="563"/>
      <c r="T48" s="563"/>
      <c r="U48" s="563"/>
      <c r="V48" s="564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65" t="s">
        <v>116</v>
      </c>
      <c r="B49" s="566"/>
      <c r="C49" s="566"/>
      <c r="D49" s="566"/>
      <c r="E49" s="566"/>
      <c r="F49" s="566"/>
      <c r="G49" s="566"/>
      <c r="H49" s="566"/>
      <c r="I49" s="566"/>
      <c r="J49" s="566"/>
      <c r="K49" s="566"/>
      <c r="L49" s="566"/>
      <c r="M49" s="566"/>
      <c r="N49" s="566"/>
      <c r="O49" s="566"/>
      <c r="P49" s="566"/>
      <c r="Q49" s="566"/>
      <c r="R49" s="566"/>
      <c r="S49" s="566"/>
      <c r="T49" s="566"/>
      <c r="U49" s="566"/>
      <c r="V49" s="566"/>
      <c r="W49" s="566"/>
      <c r="X49" s="566"/>
      <c r="Y49" s="566"/>
      <c r="Z49" s="566"/>
      <c r="AA49" s="544"/>
      <c r="AB49" s="544"/>
      <c r="AC49" s="544"/>
    </row>
    <row r="50" spans="1:68" ht="14.25" hidden="1" customHeight="1" x14ac:dyDescent="0.25">
      <c r="A50" s="567" t="s">
        <v>99</v>
      </c>
      <c r="B50" s="566"/>
      <c r="C50" s="566"/>
      <c r="D50" s="566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O50" s="566"/>
      <c r="P50" s="566"/>
      <c r="Q50" s="566"/>
      <c r="R50" s="566"/>
      <c r="S50" s="566"/>
      <c r="T50" s="566"/>
      <c r="U50" s="566"/>
      <c r="V50" s="566"/>
      <c r="W50" s="566"/>
      <c r="X50" s="566"/>
      <c r="Y50" s="566"/>
      <c r="Z50" s="566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8">
        <v>4680115885882</v>
      </c>
      <c r="E51" s="559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66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8">
        <v>4680115881426</v>
      </c>
      <c r="E52" s="559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8">
        <v>4680115880283</v>
      </c>
      <c r="E53" s="559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8">
        <v>4680115881525</v>
      </c>
      <c r="E54" s="559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8">
        <v>4680115885899</v>
      </c>
      <c r="E55" s="559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8">
        <v>4680115881419</v>
      </c>
      <c r="E56" s="559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81"/>
      <c r="B57" s="566"/>
      <c r="C57" s="566"/>
      <c r="D57" s="566"/>
      <c r="E57" s="566"/>
      <c r="F57" s="566"/>
      <c r="G57" s="566"/>
      <c r="H57" s="566"/>
      <c r="I57" s="566"/>
      <c r="J57" s="566"/>
      <c r="K57" s="566"/>
      <c r="L57" s="566"/>
      <c r="M57" s="566"/>
      <c r="N57" s="566"/>
      <c r="O57" s="582"/>
      <c r="P57" s="562" t="s">
        <v>75</v>
      </c>
      <c r="Q57" s="563"/>
      <c r="R57" s="563"/>
      <c r="S57" s="563"/>
      <c r="T57" s="563"/>
      <c r="U57" s="563"/>
      <c r="V57" s="564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6"/>
      <c r="B58" s="566"/>
      <c r="C58" s="566"/>
      <c r="D58" s="566"/>
      <c r="E58" s="566"/>
      <c r="F58" s="566"/>
      <c r="G58" s="566"/>
      <c r="H58" s="566"/>
      <c r="I58" s="566"/>
      <c r="J58" s="566"/>
      <c r="K58" s="566"/>
      <c r="L58" s="566"/>
      <c r="M58" s="566"/>
      <c r="N58" s="566"/>
      <c r="O58" s="582"/>
      <c r="P58" s="562" t="s">
        <v>75</v>
      </c>
      <c r="Q58" s="563"/>
      <c r="R58" s="563"/>
      <c r="S58" s="563"/>
      <c r="T58" s="563"/>
      <c r="U58" s="563"/>
      <c r="V58" s="564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67" t="s">
        <v>135</v>
      </c>
      <c r="B59" s="566"/>
      <c r="C59" s="566"/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6"/>
      <c r="O59" s="566"/>
      <c r="P59" s="566"/>
      <c r="Q59" s="566"/>
      <c r="R59" s="566"/>
      <c r="S59" s="566"/>
      <c r="T59" s="566"/>
      <c r="U59" s="566"/>
      <c r="V59" s="566"/>
      <c r="W59" s="566"/>
      <c r="X59" s="566"/>
      <c r="Y59" s="566"/>
      <c r="Z59" s="566"/>
      <c r="AA59" s="545"/>
      <c r="AB59" s="545"/>
      <c r="AC59" s="545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8">
        <v>4680115881440</v>
      </c>
      <c r="E60" s="559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8">
        <v>4680115885950</v>
      </c>
      <c r="E61" s="559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8">
        <v>4680115881433</v>
      </c>
      <c r="E62" s="559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81"/>
      <c r="B63" s="566"/>
      <c r="C63" s="566"/>
      <c r="D63" s="566"/>
      <c r="E63" s="566"/>
      <c r="F63" s="566"/>
      <c r="G63" s="566"/>
      <c r="H63" s="566"/>
      <c r="I63" s="566"/>
      <c r="J63" s="566"/>
      <c r="K63" s="566"/>
      <c r="L63" s="566"/>
      <c r="M63" s="566"/>
      <c r="N63" s="566"/>
      <c r="O63" s="582"/>
      <c r="P63" s="562" t="s">
        <v>75</v>
      </c>
      <c r="Q63" s="563"/>
      <c r="R63" s="563"/>
      <c r="S63" s="563"/>
      <c r="T63" s="563"/>
      <c r="U63" s="563"/>
      <c r="V63" s="564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6"/>
      <c r="B64" s="566"/>
      <c r="C64" s="566"/>
      <c r="D64" s="566"/>
      <c r="E64" s="566"/>
      <c r="F64" s="566"/>
      <c r="G64" s="566"/>
      <c r="H64" s="566"/>
      <c r="I64" s="566"/>
      <c r="J64" s="566"/>
      <c r="K64" s="566"/>
      <c r="L64" s="566"/>
      <c r="M64" s="566"/>
      <c r="N64" s="566"/>
      <c r="O64" s="582"/>
      <c r="P64" s="562" t="s">
        <v>75</v>
      </c>
      <c r="Q64" s="563"/>
      <c r="R64" s="563"/>
      <c r="S64" s="563"/>
      <c r="T64" s="563"/>
      <c r="U64" s="563"/>
      <c r="V64" s="564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67" t="s">
        <v>64</v>
      </c>
      <c r="B65" s="566"/>
      <c r="C65" s="566"/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6"/>
      <c r="S65" s="566"/>
      <c r="T65" s="566"/>
      <c r="U65" s="566"/>
      <c r="V65" s="566"/>
      <c r="W65" s="566"/>
      <c r="X65" s="566"/>
      <c r="Y65" s="566"/>
      <c r="Z65" s="566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8">
        <v>4680115885073</v>
      </c>
      <c r="E66" s="559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0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8">
        <v>4680115885097</v>
      </c>
      <c r="E67" s="559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81"/>
      <c r="B68" s="566"/>
      <c r="C68" s="566"/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6"/>
      <c r="O68" s="582"/>
      <c r="P68" s="562" t="s">
        <v>75</v>
      </c>
      <c r="Q68" s="563"/>
      <c r="R68" s="563"/>
      <c r="S68" s="563"/>
      <c r="T68" s="563"/>
      <c r="U68" s="563"/>
      <c r="V68" s="564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6"/>
      <c r="B69" s="566"/>
      <c r="C69" s="566"/>
      <c r="D69" s="566"/>
      <c r="E69" s="566"/>
      <c r="F69" s="566"/>
      <c r="G69" s="566"/>
      <c r="H69" s="566"/>
      <c r="I69" s="566"/>
      <c r="J69" s="566"/>
      <c r="K69" s="566"/>
      <c r="L69" s="566"/>
      <c r="M69" s="566"/>
      <c r="N69" s="566"/>
      <c r="O69" s="582"/>
      <c r="P69" s="562" t="s">
        <v>75</v>
      </c>
      <c r="Q69" s="563"/>
      <c r="R69" s="563"/>
      <c r="S69" s="563"/>
      <c r="T69" s="563"/>
      <c r="U69" s="563"/>
      <c r="V69" s="564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67" t="s">
        <v>77</v>
      </c>
      <c r="B70" s="566"/>
      <c r="C70" s="566"/>
      <c r="D70" s="566"/>
      <c r="E70" s="566"/>
      <c r="F70" s="566"/>
      <c r="G70" s="566"/>
      <c r="H70" s="566"/>
      <c r="I70" s="566"/>
      <c r="J70" s="566"/>
      <c r="K70" s="566"/>
      <c r="L70" s="566"/>
      <c r="M70" s="566"/>
      <c r="N70" s="566"/>
      <c r="O70" s="566"/>
      <c r="P70" s="566"/>
      <c r="Q70" s="566"/>
      <c r="R70" s="566"/>
      <c r="S70" s="566"/>
      <c r="T70" s="566"/>
      <c r="U70" s="566"/>
      <c r="V70" s="566"/>
      <c r="W70" s="566"/>
      <c r="X70" s="566"/>
      <c r="Y70" s="566"/>
      <c r="Z70" s="566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8">
        <v>4680115885769</v>
      </c>
      <c r="E71" s="559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1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8">
        <v>4680115884311</v>
      </c>
      <c r="E72" s="559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8">
        <v>4680115885929</v>
      </c>
      <c r="E73" s="559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8">
        <v>4680115884403</v>
      </c>
      <c r="E74" s="559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81"/>
      <c r="B75" s="566"/>
      <c r="C75" s="566"/>
      <c r="D75" s="566"/>
      <c r="E75" s="566"/>
      <c r="F75" s="566"/>
      <c r="G75" s="566"/>
      <c r="H75" s="566"/>
      <c r="I75" s="566"/>
      <c r="J75" s="566"/>
      <c r="K75" s="566"/>
      <c r="L75" s="566"/>
      <c r="M75" s="566"/>
      <c r="N75" s="566"/>
      <c r="O75" s="582"/>
      <c r="P75" s="562" t="s">
        <v>75</v>
      </c>
      <c r="Q75" s="563"/>
      <c r="R75" s="563"/>
      <c r="S75" s="563"/>
      <c r="T75" s="563"/>
      <c r="U75" s="563"/>
      <c r="V75" s="564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6"/>
      <c r="B76" s="566"/>
      <c r="C76" s="566"/>
      <c r="D76" s="566"/>
      <c r="E76" s="566"/>
      <c r="F76" s="566"/>
      <c r="G76" s="566"/>
      <c r="H76" s="566"/>
      <c r="I76" s="566"/>
      <c r="J76" s="566"/>
      <c r="K76" s="566"/>
      <c r="L76" s="566"/>
      <c r="M76" s="566"/>
      <c r="N76" s="566"/>
      <c r="O76" s="582"/>
      <c r="P76" s="562" t="s">
        <v>75</v>
      </c>
      <c r="Q76" s="563"/>
      <c r="R76" s="563"/>
      <c r="S76" s="563"/>
      <c r="T76" s="563"/>
      <c r="U76" s="563"/>
      <c r="V76" s="564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67" t="s">
        <v>160</v>
      </c>
      <c r="B77" s="566"/>
      <c r="C77" s="566"/>
      <c r="D77" s="566"/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45"/>
      <c r="AB77" s="545"/>
      <c r="AC77" s="545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8">
        <v>4680115881532</v>
      </c>
      <c r="E78" s="559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8">
        <v>4680115881464</v>
      </c>
      <c r="E79" s="559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81"/>
      <c r="B80" s="566"/>
      <c r="C80" s="566"/>
      <c r="D80" s="566"/>
      <c r="E80" s="566"/>
      <c r="F80" s="566"/>
      <c r="G80" s="566"/>
      <c r="H80" s="566"/>
      <c r="I80" s="566"/>
      <c r="J80" s="566"/>
      <c r="K80" s="566"/>
      <c r="L80" s="566"/>
      <c r="M80" s="566"/>
      <c r="N80" s="566"/>
      <c r="O80" s="582"/>
      <c r="P80" s="562" t="s">
        <v>75</v>
      </c>
      <c r="Q80" s="563"/>
      <c r="R80" s="563"/>
      <c r="S80" s="563"/>
      <c r="T80" s="563"/>
      <c r="U80" s="563"/>
      <c r="V80" s="564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6"/>
      <c r="B81" s="566"/>
      <c r="C81" s="566"/>
      <c r="D81" s="566"/>
      <c r="E81" s="566"/>
      <c r="F81" s="566"/>
      <c r="G81" s="566"/>
      <c r="H81" s="566"/>
      <c r="I81" s="566"/>
      <c r="J81" s="566"/>
      <c r="K81" s="566"/>
      <c r="L81" s="566"/>
      <c r="M81" s="566"/>
      <c r="N81" s="566"/>
      <c r="O81" s="582"/>
      <c r="P81" s="562" t="s">
        <v>75</v>
      </c>
      <c r="Q81" s="563"/>
      <c r="R81" s="563"/>
      <c r="S81" s="563"/>
      <c r="T81" s="563"/>
      <c r="U81" s="563"/>
      <c r="V81" s="564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65" t="s">
        <v>167</v>
      </c>
      <c r="B82" s="566"/>
      <c r="C82" s="566"/>
      <c r="D82" s="566"/>
      <c r="E82" s="566"/>
      <c r="F82" s="566"/>
      <c r="G82" s="566"/>
      <c r="H82" s="566"/>
      <c r="I82" s="566"/>
      <c r="J82" s="566"/>
      <c r="K82" s="566"/>
      <c r="L82" s="566"/>
      <c r="M82" s="566"/>
      <c r="N82" s="566"/>
      <c r="O82" s="566"/>
      <c r="P82" s="566"/>
      <c r="Q82" s="566"/>
      <c r="R82" s="566"/>
      <c r="S82" s="566"/>
      <c r="T82" s="566"/>
      <c r="U82" s="566"/>
      <c r="V82" s="566"/>
      <c r="W82" s="566"/>
      <c r="X82" s="566"/>
      <c r="Y82" s="566"/>
      <c r="Z82" s="566"/>
      <c r="AA82" s="544"/>
      <c r="AB82" s="544"/>
      <c r="AC82" s="544"/>
    </row>
    <row r="83" spans="1:68" ht="14.25" hidden="1" customHeight="1" x14ac:dyDescent="0.25">
      <c r="A83" s="567" t="s">
        <v>99</v>
      </c>
      <c r="B83" s="566"/>
      <c r="C83" s="566"/>
      <c r="D83" s="566"/>
      <c r="E83" s="566"/>
      <c r="F83" s="566"/>
      <c r="G83" s="566"/>
      <c r="H83" s="566"/>
      <c r="I83" s="566"/>
      <c r="J83" s="566"/>
      <c r="K83" s="566"/>
      <c r="L83" s="566"/>
      <c r="M83" s="566"/>
      <c r="N83" s="566"/>
      <c r="O83" s="566"/>
      <c r="P83" s="566"/>
      <c r="Q83" s="566"/>
      <c r="R83" s="566"/>
      <c r="S83" s="566"/>
      <c r="T83" s="566"/>
      <c r="U83" s="566"/>
      <c r="V83" s="566"/>
      <c r="W83" s="566"/>
      <c r="X83" s="566"/>
      <c r="Y83" s="566"/>
      <c r="Z83" s="566"/>
      <c r="AA83" s="545"/>
      <c r="AB83" s="545"/>
      <c r="AC83" s="545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8">
        <v>4680115881327</v>
      </c>
      <c r="E84" s="559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8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0</v>
      </c>
      <c r="Y84" s="550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8">
        <v>4680115887732</v>
      </c>
      <c r="E85" s="559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8">
        <v>4680115881518</v>
      </c>
      <c r="E86" s="559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8">
        <v>4680115881303</v>
      </c>
      <c r="E87" s="559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6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81"/>
      <c r="B88" s="566"/>
      <c r="C88" s="566"/>
      <c r="D88" s="566"/>
      <c r="E88" s="566"/>
      <c r="F88" s="566"/>
      <c r="G88" s="566"/>
      <c r="H88" s="566"/>
      <c r="I88" s="566"/>
      <c r="J88" s="566"/>
      <c r="K88" s="566"/>
      <c r="L88" s="566"/>
      <c r="M88" s="566"/>
      <c r="N88" s="566"/>
      <c r="O88" s="582"/>
      <c r="P88" s="562" t="s">
        <v>75</v>
      </c>
      <c r="Q88" s="563"/>
      <c r="R88" s="563"/>
      <c r="S88" s="563"/>
      <c r="T88" s="563"/>
      <c r="U88" s="563"/>
      <c r="V88" s="564"/>
      <c r="W88" s="37" t="s">
        <v>76</v>
      </c>
      <c r="X88" s="551">
        <f>IFERROR(X84/H84,"0")+IFERROR(X85/H85,"0")+IFERROR(X86/H86,"0")+IFERROR(X87/H87,"0")</f>
        <v>0</v>
      </c>
      <c r="Y88" s="551">
        <f>IFERROR(Y84/H84,"0")+IFERROR(Y85/H85,"0")+IFERROR(Y86/H86,"0")+IFERROR(Y87/H87,"0")</f>
        <v>0</v>
      </c>
      <c r="Z88" s="551">
        <f>IFERROR(IF(Z84="",0,Z84),"0")+IFERROR(IF(Z85="",0,Z85),"0")+IFERROR(IF(Z86="",0,Z86),"0")+IFERROR(IF(Z87="",0,Z87),"0")</f>
        <v>0</v>
      </c>
      <c r="AA88" s="552"/>
      <c r="AB88" s="552"/>
      <c r="AC88" s="552"/>
    </row>
    <row r="89" spans="1:68" hidden="1" x14ac:dyDescent="0.2">
      <c r="A89" s="566"/>
      <c r="B89" s="566"/>
      <c r="C89" s="566"/>
      <c r="D89" s="566"/>
      <c r="E89" s="566"/>
      <c r="F89" s="566"/>
      <c r="G89" s="566"/>
      <c r="H89" s="566"/>
      <c r="I89" s="566"/>
      <c r="J89" s="566"/>
      <c r="K89" s="566"/>
      <c r="L89" s="566"/>
      <c r="M89" s="566"/>
      <c r="N89" s="566"/>
      <c r="O89" s="582"/>
      <c r="P89" s="562" t="s">
        <v>75</v>
      </c>
      <c r="Q89" s="563"/>
      <c r="R89" s="563"/>
      <c r="S89" s="563"/>
      <c r="T89" s="563"/>
      <c r="U89" s="563"/>
      <c r="V89" s="564"/>
      <c r="W89" s="37" t="s">
        <v>69</v>
      </c>
      <c r="X89" s="551">
        <f>IFERROR(SUM(X84:X87),"0")</f>
        <v>0</v>
      </c>
      <c r="Y89" s="551">
        <f>IFERROR(SUM(Y84:Y87),"0")</f>
        <v>0</v>
      </c>
      <c r="Z89" s="37"/>
      <c r="AA89" s="552"/>
      <c r="AB89" s="552"/>
      <c r="AC89" s="552"/>
    </row>
    <row r="90" spans="1:68" ht="14.25" hidden="1" customHeight="1" x14ac:dyDescent="0.25">
      <c r="A90" s="567" t="s">
        <v>77</v>
      </c>
      <c r="B90" s="566"/>
      <c r="C90" s="566"/>
      <c r="D90" s="566"/>
      <c r="E90" s="566"/>
      <c r="F90" s="566"/>
      <c r="G90" s="566"/>
      <c r="H90" s="566"/>
      <c r="I90" s="566"/>
      <c r="J90" s="566"/>
      <c r="K90" s="566"/>
      <c r="L90" s="566"/>
      <c r="M90" s="566"/>
      <c r="N90" s="566"/>
      <c r="O90" s="566"/>
      <c r="P90" s="566"/>
      <c r="Q90" s="566"/>
      <c r="R90" s="566"/>
      <c r="S90" s="566"/>
      <c r="T90" s="566"/>
      <c r="U90" s="566"/>
      <c r="V90" s="566"/>
      <c r="W90" s="566"/>
      <c r="X90" s="566"/>
      <c r="Y90" s="566"/>
      <c r="Z90" s="566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8">
        <v>4607091386967</v>
      </c>
      <c r="E91" s="559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100</v>
      </c>
      <c r="Y91" s="550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8">
        <v>4680115884953</v>
      </c>
      <c r="E92" s="559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8">
        <v>4607091385731</v>
      </c>
      <c r="E93" s="559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45</v>
      </c>
      <c r="Y93" s="550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8">
        <v>4680115880894</v>
      </c>
      <c r="E94" s="559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81"/>
      <c r="B95" s="566"/>
      <c r="C95" s="566"/>
      <c r="D95" s="566"/>
      <c r="E95" s="566"/>
      <c r="F95" s="566"/>
      <c r="G95" s="566"/>
      <c r="H95" s="566"/>
      <c r="I95" s="566"/>
      <c r="J95" s="566"/>
      <c r="K95" s="566"/>
      <c r="L95" s="566"/>
      <c r="M95" s="566"/>
      <c r="N95" s="566"/>
      <c r="O95" s="582"/>
      <c r="P95" s="562" t="s">
        <v>75</v>
      </c>
      <c r="Q95" s="563"/>
      <c r="R95" s="563"/>
      <c r="S95" s="563"/>
      <c r="T95" s="563"/>
      <c r="U95" s="563"/>
      <c r="V95" s="564"/>
      <c r="W95" s="37" t="s">
        <v>76</v>
      </c>
      <c r="X95" s="551">
        <f>IFERROR(X91/H91,"0")+IFERROR(X92/H92,"0")+IFERROR(X93/H93,"0")+IFERROR(X94/H94,"0")</f>
        <v>29.012345679012341</v>
      </c>
      <c r="Y95" s="551">
        <f>IFERROR(Y91/H91,"0")+IFERROR(Y92/H92,"0")+IFERROR(Y93/H93,"0")+IFERROR(Y94/H94,"0")</f>
        <v>30</v>
      </c>
      <c r="Z95" s="551">
        <f>IFERROR(IF(Z91="",0,Z91),"0")+IFERROR(IF(Z92="",0,Z92),"0")+IFERROR(IF(Z93="",0,Z93),"0")+IFERROR(IF(Z94="",0,Z94),"0")</f>
        <v>0.35741000000000001</v>
      </c>
      <c r="AA95" s="552"/>
      <c r="AB95" s="552"/>
      <c r="AC95" s="552"/>
    </row>
    <row r="96" spans="1:68" x14ac:dyDescent="0.2">
      <c r="A96" s="566"/>
      <c r="B96" s="566"/>
      <c r="C96" s="566"/>
      <c r="D96" s="566"/>
      <c r="E96" s="566"/>
      <c r="F96" s="566"/>
      <c r="G96" s="566"/>
      <c r="H96" s="566"/>
      <c r="I96" s="566"/>
      <c r="J96" s="566"/>
      <c r="K96" s="566"/>
      <c r="L96" s="566"/>
      <c r="M96" s="566"/>
      <c r="N96" s="566"/>
      <c r="O96" s="582"/>
      <c r="P96" s="562" t="s">
        <v>75</v>
      </c>
      <c r="Q96" s="563"/>
      <c r="R96" s="563"/>
      <c r="S96" s="563"/>
      <c r="T96" s="563"/>
      <c r="U96" s="563"/>
      <c r="V96" s="564"/>
      <c r="W96" s="37" t="s">
        <v>69</v>
      </c>
      <c r="X96" s="551">
        <f>IFERROR(SUM(X91:X94),"0")</f>
        <v>145</v>
      </c>
      <c r="Y96" s="551">
        <f>IFERROR(SUM(Y91:Y94),"0")</f>
        <v>151.19999999999999</v>
      </c>
      <c r="Z96" s="37"/>
      <c r="AA96" s="552"/>
      <c r="AB96" s="552"/>
      <c r="AC96" s="552"/>
    </row>
    <row r="97" spans="1:68" ht="16.5" hidden="1" customHeight="1" x14ac:dyDescent="0.25">
      <c r="A97" s="565" t="s">
        <v>189</v>
      </c>
      <c r="B97" s="566"/>
      <c r="C97" s="566"/>
      <c r="D97" s="566"/>
      <c r="E97" s="566"/>
      <c r="F97" s="566"/>
      <c r="G97" s="566"/>
      <c r="H97" s="566"/>
      <c r="I97" s="566"/>
      <c r="J97" s="566"/>
      <c r="K97" s="566"/>
      <c r="L97" s="566"/>
      <c r="M97" s="566"/>
      <c r="N97" s="566"/>
      <c r="O97" s="566"/>
      <c r="P97" s="566"/>
      <c r="Q97" s="566"/>
      <c r="R97" s="566"/>
      <c r="S97" s="566"/>
      <c r="T97" s="566"/>
      <c r="U97" s="566"/>
      <c r="V97" s="566"/>
      <c r="W97" s="566"/>
      <c r="X97" s="566"/>
      <c r="Y97" s="566"/>
      <c r="Z97" s="566"/>
      <c r="AA97" s="544"/>
      <c r="AB97" s="544"/>
      <c r="AC97" s="544"/>
    </row>
    <row r="98" spans="1:68" ht="14.25" hidden="1" customHeight="1" x14ac:dyDescent="0.25">
      <c r="A98" s="567" t="s">
        <v>99</v>
      </c>
      <c r="B98" s="566"/>
      <c r="C98" s="566"/>
      <c r="D98" s="566"/>
      <c r="E98" s="566"/>
      <c r="F98" s="566"/>
      <c r="G98" s="566"/>
      <c r="H98" s="566"/>
      <c r="I98" s="566"/>
      <c r="J98" s="566"/>
      <c r="K98" s="566"/>
      <c r="L98" s="566"/>
      <c r="M98" s="566"/>
      <c r="N98" s="566"/>
      <c r="O98" s="566"/>
      <c r="P98" s="566"/>
      <c r="Q98" s="566"/>
      <c r="R98" s="566"/>
      <c r="S98" s="566"/>
      <c r="T98" s="566"/>
      <c r="U98" s="566"/>
      <c r="V98" s="566"/>
      <c r="W98" s="566"/>
      <c r="X98" s="566"/>
      <c r="Y98" s="566"/>
      <c r="Z98" s="566"/>
      <c r="AA98" s="545"/>
      <c r="AB98" s="545"/>
      <c r="AC98" s="54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58">
        <v>4680115882133</v>
      </c>
      <c r="E99" s="559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8">
        <v>4680115887718</v>
      </c>
      <c r="E100" s="559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8">
        <v>4680115880269</v>
      </c>
      <c r="E101" s="559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8">
        <v>4680115880429</v>
      </c>
      <c r="E102" s="559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8">
        <v>4680115881457</v>
      </c>
      <c r="E103" s="559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81"/>
      <c r="B104" s="566"/>
      <c r="C104" s="566"/>
      <c r="D104" s="566"/>
      <c r="E104" s="566"/>
      <c r="F104" s="566"/>
      <c r="G104" s="566"/>
      <c r="H104" s="566"/>
      <c r="I104" s="566"/>
      <c r="J104" s="566"/>
      <c r="K104" s="566"/>
      <c r="L104" s="566"/>
      <c r="M104" s="566"/>
      <c r="N104" s="566"/>
      <c r="O104" s="582"/>
      <c r="P104" s="562" t="s">
        <v>75</v>
      </c>
      <c r="Q104" s="563"/>
      <c r="R104" s="563"/>
      <c r="S104" s="563"/>
      <c r="T104" s="563"/>
      <c r="U104" s="563"/>
      <c r="V104" s="564"/>
      <c r="W104" s="37" t="s">
        <v>76</v>
      </c>
      <c r="X104" s="551">
        <f>IFERROR(X99/H99,"0")+IFERROR(X100/H100,"0")+IFERROR(X101/H101,"0")+IFERROR(X102/H102,"0")+IFERROR(X103/H103,"0")</f>
        <v>0</v>
      </c>
      <c r="Y104" s="551">
        <f>IFERROR(Y99/H99,"0")+IFERROR(Y100/H100,"0")+IFERROR(Y101/H101,"0")+IFERROR(Y102/H102,"0")+IFERROR(Y103/H103,"0")</f>
        <v>0</v>
      </c>
      <c r="Z104" s="551">
        <f>IFERROR(IF(Z99="",0,Z99),"0")+IFERROR(IF(Z100="",0,Z100),"0")+IFERROR(IF(Z101="",0,Z101),"0")+IFERROR(IF(Z102="",0,Z102),"0")+IFERROR(IF(Z103="",0,Z103),"0")</f>
        <v>0</v>
      </c>
      <c r="AA104" s="552"/>
      <c r="AB104" s="552"/>
      <c r="AC104" s="552"/>
    </row>
    <row r="105" spans="1:68" hidden="1" x14ac:dyDescent="0.2">
      <c r="A105" s="566"/>
      <c r="B105" s="566"/>
      <c r="C105" s="566"/>
      <c r="D105" s="566"/>
      <c r="E105" s="566"/>
      <c r="F105" s="566"/>
      <c r="G105" s="566"/>
      <c r="H105" s="566"/>
      <c r="I105" s="566"/>
      <c r="J105" s="566"/>
      <c r="K105" s="566"/>
      <c r="L105" s="566"/>
      <c r="M105" s="566"/>
      <c r="N105" s="566"/>
      <c r="O105" s="582"/>
      <c r="P105" s="562" t="s">
        <v>75</v>
      </c>
      <c r="Q105" s="563"/>
      <c r="R105" s="563"/>
      <c r="S105" s="563"/>
      <c r="T105" s="563"/>
      <c r="U105" s="563"/>
      <c r="V105" s="564"/>
      <c r="W105" s="37" t="s">
        <v>69</v>
      </c>
      <c r="X105" s="551">
        <f>IFERROR(SUM(X99:X103),"0")</f>
        <v>0</v>
      </c>
      <c r="Y105" s="551">
        <f>IFERROR(SUM(Y99:Y103),"0")</f>
        <v>0</v>
      </c>
      <c r="Z105" s="37"/>
      <c r="AA105" s="552"/>
      <c r="AB105" s="552"/>
      <c r="AC105" s="552"/>
    </row>
    <row r="106" spans="1:68" ht="14.25" hidden="1" customHeight="1" x14ac:dyDescent="0.25">
      <c r="A106" s="567" t="s">
        <v>135</v>
      </c>
      <c r="B106" s="566"/>
      <c r="C106" s="566"/>
      <c r="D106" s="566"/>
      <c r="E106" s="566"/>
      <c r="F106" s="566"/>
      <c r="G106" s="566"/>
      <c r="H106" s="566"/>
      <c r="I106" s="566"/>
      <c r="J106" s="566"/>
      <c r="K106" s="566"/>
      <c r="L106" s="566"/>
      <c r="M106" s="566"/>
      <c r="N106" s="566"/>
      <c r="O106" s="566"/>
      <c r="P106" s="566"/>
      <c r="Q106" s="566"/>
      <c r="R106" s="566"/>
      <c r="S106" s="566"/>
      <c r="T106" s="566"/>
      <c r="U106" s="566"/>
      <c r="V106" s="566"/>
      <c r="W106" s="566"/>
      <c r="X106" s="566"/>
      <c r="Y106" s="566"/>
      <c r="Z106" s="566"/>
      <c r="AA106" s="545"/>
      <c r="AB106" s="545"/>
      <c r="AC106" s="545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8">
        <v>4680115881488</v>
      </c>
      <c r="E107" s="559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8">
        <v>4680115887664</v>
      </c>
      <c r="E108" s="559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8">
        <v>4680115882775</v>
      </c>
      <c r="E109" s="559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8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8">
        <v>4680115880658</v>
      </c>
      <c r="E110" s="559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81"/>
      <c r="B111" s="566"/>
      <c r="C111" s="566"/>
      <c r="D111" s="566"/>
      <c r="E111" s="566"/>
      <c r="F111" s="566"/>
      <c r="G111" s="566"/>
      <c r="H111" s="566"/>
      <c r="I111" s="566"/>
      <c r="J111" s="566"/>
      <c r="K111" s="566"/>
      <c r="L111" s="566"/>
      <c r="M111" s="566"/>
      <c r="N111" s="566"/>
      <c r="O111" s="582"/>
      <c r="P111" s="562" t="s">
        <v>75</v>
      </c>
      <c r="Q111" s="563"/>
      <c r="R111" s="563"/>
      <c r="S111" s="563"/>
      <c r="T111" s="563"/>
      <c r="U111" s="563"/>
      <c r="V111" s="564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6"/>
      <c r="B112" s="566"/>
      <c r="C112" s="566"/>
      <c r="D112" s="566"/>
      <c r="E112" s="566"/>
      <c r="F112" s="566"/>
      <c r="G112" s="566"/>
      <c r="H112" s="566"/>
      <c r="I112" s="566"/>
      <c r="J112" s="566"/>
      <c r="K112" s="566"/>
      <c r="L112" s="566"/>
      <c r="M112" s="566"/>
      <c r="N112" s="566"/>
      <c r="O112" s="582"/>
      <c r="P112" s="562" t="s">
        <v>75</v>
      </c>
      <c r="Q112" s="563"/>
      <c r="R112" s="563"/>
      <c r="S112" s="563"/>
      <c r="T112" s="563"/>
      <c r="U112" s="563"/>
      <c r="V112" s="564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67" t="s">
        <v>77</v>
      </c>
      <c r="B113" s="566"/>
      <c r="C113" s="566"/>
      <c r="D113" s="566"/>
      <c r="E113" s="566"/>
      <c r="F113" s="566"/>
      <c r="G113" s="566"/>
      <c r="H113" s="566"/>
      <c r="I113" s="566"/>
      <c r="J113" s="566"/>
      <c r="K113" s="566"/>
      <c r="L113" s="566"/>
      <c r="M113" s="566"/>
      <c r="N113" s="566"/>
      <c r="O113" s="566"/>
      <c r="P113" s="566"/>
      <c r="Q113" s="566"/>
      <c r="R113" s="566"/>
      <c r="S113" s="566"/>
      <c r="T113" s="566"/>
      <c r="U113" s="566"/>
      <c r="V113" s="566"/>
      <c r="W113" s="566"/>
      <c r="X113" s="566"/>
      <c r="Y113" s="566"/>
      <c r="Z113" s="566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7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100</v>
      </c>
      <c r="Y114" s="550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90</v>
      </c>
      <c r="Y116" s="550">
        <f>IFERROR(IF(X116="",0,CEILING((X116/$H116),1)*$H116),"")</f>
        <v>91.800000000000011</v>
      </c>
      <c r="Z116" s="36">
        <f>IFERROR(IF(Y116=0,"",ROUNDUP(Y116/H116,0)*0.00651),"")</f>
        <v>0.22134000000000001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98.399999999999991</v>
      </c>
      <c r="BN116" s="64">
        <f>IFERROR(Y116*I116/H116,"0")</f>
        <v>100.36799999999999</v>
      </c>
      <c r="BO116" s="64">
        <f>IFERROR(1/J116*(X116/H116),"0")</f>
        <v>0.18315018315018314</v>
      </c>
      <c r="BP116" s="64">
        <f>IFERROR(1/J116*(Y116/H116),"0")</f>
        <v>0.18681318681318682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81"/>
      <c r="B118" s="566"/>
      <c r="C118" s="566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6"/>
      <c r="O118" s="582"/>
      <c r="P118" s="562" t="s">
        <v>75</v>
      </c>
      <c r="Q118" s="563"/>
      <c r="R118" s="563"/>
      <c r="S118" s="563"/>
      <c r="T118" s="563"/>
      <c r="U118" s="563"/>
      <c r="V118" s="564"/>
      <c r="W118" s="37" t="s">
        <v>76</v>
      </c>
      <c r="X118" s="551">
        <f>IFERROR(X114/H114,"0")+IFERROR(X115/H115,"0")+IFERROR(X116/H116,"0")+IFERROR(X117/H117,"0")</f>
        <v>45.679012345679006</v>
      </c>
      <c r="Y118" s="551">
        <f>IFERROR(Y114/H114,"0")+IFERROR(Y115/H115,"0")+IFERROR(Y116/H116,"0")+IFERROR(Y117/H117,"0")</f>
        <v>47</v>
      </c>
      <c r="Z118" s="551">
        <f>IFERROR(IF(Z114="",0,Z114),"0")+IFERROR(IF(Z115="",0,Z115),"0")+IFERROR(IF(Z116="",0,Z116),"0")+IFERROR(IF(Z117="",0,Z117),"0")</f>
        <v>0.46808000000000005</v>
      </c>
      <c r="AA118" s="552"/>
      <c r="AB118" s="552"/>
      <c r="AC118" s="552"/>
    </row>
    <row r="119" spans="1:68" x14ac:dyDescent="0.2">
      <c r="A119" s="566"/>
      <c r="B119" s="566"/>
      <c r="C119" s="566"/>
      <c r="D119" s="566"/>
      <c r="E119" s="566"/>
      <c r="F119" s="566"/>
      <c r="G119" s="566"/>
      <c r="H119" s="566"/>
      <c r="I119" s="566"/>
      <c r="J119" s="566"/>
      <c r="K119" s="566"/>
      <c r="L119" s="566"/>
      <c r="M119" s="566"/>
      <c r="N119" s="566"/>
      <c r="O119" s="582"/>
      <c r="P119" s="562" t="s">
        <v>75</v>
      </c>
      <c r="Q119" s="563"/>
      <c r="R119" s="563"/>
      <c r="S119" s="563"/>
      <c r="T119" s="563"/>
      <c r="U119" s="563"/>
      <c r="V119" s="564"/>
      <c r="W119" s="37" t="s">
        <v>69</v>
      </c>
      <c r="X119" s="551">
        <f>IFERROR(SUM(X114:X117),"0")</f>
        <v>190</v>
      </c>
      <c r="Y119" s="551">
        <f>IFERROR(SUM(Y114:Y117),"0")</f>
        <v>197.10000000000002</v>
      </c>
      <c r="Z119" s="37"/>
      <c r="AA119" s="552"/>
      <c r="AB119" s="552"/>
      <c r="AC119" s="552"/>
    </row>
    <row r="120" spans="1:68" ht="14.25" hidden="1" customHeight="1" x14ac:dyDescent="0.25">
      <c r="A120" s="567" t="s">
        <v>160</v>
      </c>
      <c r="B120" s="566"/>
      <c r="C120" s="566"/>
      <c r="D120" s="566"/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566"/>
      <c r="Q120" s="566"/>
      <c r="R120" s="566"/>
      <c r="S120" s="566"/>
      <c r="T120" s="566"/>
      <c r="U120" s="566"/>
      <c r="V120" s="566"/>
      <c r="W120" s="566"/>
      <c r="X120" s="566"/>
      <c r="Y120" s="566"/>
      <c r="Z120" s="566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2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81"/>
      <c r="B122" s="566"/>
      <c r="C122" s="566"/>
      <c r="D122" s="566"/>
      <c r="E122" s="566"/>
      <c r="F122" s="566"/>
      <c r="G122" s="566"/>
      <c r="H122" s="566"/>
      <c r="I122" s="566"/>
      <c r="J122" s="566"/>
      <c r="K122" s="566"/>
      <c r="L122" s="566"/>
      <c r="M122" s="566"/>
      <c r="N122" s="566"/>
      <c r="O122" s="582"/>
      <c r="P122" s="562" t="s">
        <v>75</v>
      </c>
      <c r="Q122" s="563"/>
      <c r="R122" s="563"/>
      <c r="S122" s="563"/>
      <c r="T122" s="563"/>
      <c r="U122" s="563"/>
      <c r="V122" s="564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6"/>
      <c r="B123" s="566"/>
      <c r="C123" s="566"/>
      <c r="D123" s="566"/>
      <c r="E123" s="566"/>
      <c r="F123" s="566"/>
      <c r="G123" s="566"/>
      <c r="H123" s="566"/>
      <c r="I123" s="566"/>
      <c r="J123" s="566"/>
      <c r="K123" s="566"/>
      <c r="L123" s="566"/>
      <c r="M123" s="566"/>
      <c r="N123" s="566"/>
      <c r="O123" s="582"/>
      <c r="P123" s="562" t="s">
        <v>75</v>
      </c>
      <c r="Q123" s="563"/>
      <c r="R123" s="563"/>
      <c r="S123" s="563"/>
      <c r="T123" s="563"/>
      <c r="U123" s="563"/>
      <c r="V123" s="564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65" t="s">
        <v>227</v>
      </c>
      <c r="B124" s="566"/>
      <c r="C124" s="566"/>
      <c r="D124" s="566"/>
      <c r="E124" s="566"/>
      <c r="F124" s="566"/>
      <c r="G124" s="566"/>
      <c r="H124" s="566"/>
      <c r="I124" s="566"/>
      <c r="J124" s="566"/>
      <c r="K124" s="566"/>
      <c r="L124" s="566"/>
      <c r="M124" s="566"/>
      <c r="N124" s="566"/>
      <c r="O124" s="566"/>
      <c r="P124" s="566"/>
      <c r="Q124" s="566"/>
      <c r="R124" s="566"/>
      <c r="S124" s="566"/>
      <c r="T124" s="566"/>
      <c r="U124" s="566"/>
      <c r="V124" s="566"/>
      <c r="W124" s="566"/>
      <c r="X124" s="566"/>
      <c r="Y124" s="566"/>
      <c r="Z124" s="566"/>
      <c r="AA124" s="544"/>
      <c r="AB124" s="544"/>
      <c r="AC124" s="544"/>
    </row>
    <row r="125" spans="1:68" ht="14.25" hidden="1" customHeight="1" x14ac:dyDescent="0.25">
      <c r="A125" s="567" t="s">
        <v>99</v>
      </c>
      <c r="B125" s="566"/>
      <c r="C125" s="566"/>
      <c r="D125" s="566"/>
      <c r="E125" s="566"/>
      <c r="F125" s="566"/>
      <c r="G125" s="566"/>
      <c r="H125" s="566"/>
      <c r="I125" s="566"/>
      <c r="J125" s="566"/>
      <c r="K125" s="566"/>
      <c r="L125" s="566"/>
      <c r="M125" s="566"/>
      <c r="N125" s="566"/>
      <c r="O125" s="566"/>
      <c r="P125" s="566"/>
      <c r="Q125" s="566"/>
      <c r="R125" s="566"/>
      <c r="S125" s="566"/>
      <c r="T125" s="566"/>
      <c r="U125" s="566"/>
      <c r="V125" s="566"/>
      <c r="W125" s="566"/>
      <c r="X125" s="566"/>
      <c r="Y125" s="566"/>
      <c r="Z125" s="566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8">
        <v>4680115882577</v>
      </c>
      <c r="E126" s="559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8">
        <v>4680115882577</v>
      </c>
      <c r="E127" s="559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81"/>
      <c r="B128" s="566"/>
      <c r="C128" s="566"/>
      <c r="D128" s="566"/>
      <c r="E128" s="566"/>
      <c r="F128" s="566"/>
      <c r="G128" s="566"/>
      <c r="H128" s="566"/>
      <c r="I128" s="566"/>
      <c r="J128" s="566"/>
      <c r="K128" s="566"/>
      <c r="L128" s="566"/>
      <c r="M128" s="566"/>
      <c r="N128" s="566"/>
      <c r="O128" s="582"/>
      <c r="P128" s="562" t="s">
        <v>75</v>
      </c>
      <c r="Q128" s="563"/>
      <c r="R128" s="563"/>
      <c r="S128" s="563"/>
      <c r="T128" s="563"/>
      <c r="U128" s="563"/>
      <c r="V128" s="564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6"/>
      <c r="B129" s="566"/>
      <c r="C129" s="566"/>
      <c r="D129" s="566"/>
      <c r="E129" s="566"/>
      <c r="F129" s="566"/>
      <c r="G129" s="566"/>
      <c r="H129" s="566"/>
      <c r="I129" s="566"/>
      <c r="J129" s="566"/>
      <c r="K129" s="566"/>
      <c r="L129" s="566"/>
      <c r="M129" s="566"/>
      <c r="N129" s="566"/>
      <c r="O129" s="582"/>
      <c r="P129" s="562" t="s">
        <v>75</v>
      </c>
      <c r="Q129" s="563"/>
      <c r="R129" s="563"/>
      <c r="S129" s="563"/>
      <c r="T129" s="563"/>
      <c r="U129" s="563"/>
      <c r="V129" s="564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67" t="s">
        <v>64</v>
      </c>
      <c r="B130" s="566"/>
      <c r="C130" s="56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P130" s="566"/>
      <c r="Q130" s="566"/>
      <c r="R130" s="566"/>
      <c r="S130" s="566"/>
      <c r="T130" s="566"/>
      <c r="U130" s="566"/>
      <c r="V130" s="566"/>
      <c r="W130" s="566"/>
      <c r="X130" s="566"/>
      <c r="Y130" s="566"/>
      <c r="Z130" s="566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8">
        <v>4680115883444</v>
      </c>
      <c r="E131" s="559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8">
        <v>4680115883444</v>
      </c>
      <c r="E132" s="559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6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81"/>
      <c r="B133" s="566"/>
      <c r="C133" s="566"/>
      <c r="D133" s="566"/>
      <c r="E133" s="566"/>
      <c r="F133" s="566"/>
      <c r="G133" s="566"/>
      <c r="H133" s="566"/>
      <c r="I133" s="566"/>
      <c r="J133" s="566"/>
      <c r="K133" s="566"/>
      <c r="L133" s="566"/>
      <c r="M133" s="566"/>
      <c r="N133" s="566"/>
      <c r="O133" s="582"/>
      <c r="P133" s="562" t="s">
        <v>75</v>
      </c>
      <c r="Q133" s="563"/>
      <c r="R133" s="563"/>
      <c r="S133" s="563"/>
      <c r="T133" s="563"/>
      <c r="U133" s="563"/>
      <c r="V133" s="564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6"/>
      <c r="B134" s="566"/>
      <c r="C134" s="566"/>
      <c r="D134" s="566"/>
      <c r="E134" s="566"/>
      <c r="F134" s="566"/>
      <c r="G134" s="566"/>
      <c r="H134" s="566"/>
      <c r="I134" s="566"/>
      <c r="J134" s="566"/>
      <c r="K134" s="566"/>
      <c r="L134" s="566"/>
      <c r="M134" s="566"/>
      <c r="N134" s="566"/>
      <c r="O134" s="582"/>
      <c r="P134" s="562" t="s">
        <v>75</v>
      </c>
      <c r="Q134" s="563"/>
      <c r="R134" s="563"/>
      <c r="S134" s="563"/>
      <c r="T134" s="563"/>
      <c r="U134" s="563"/>
      <c r="V134" s="564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67" t="s">
        <v>77</v>
      </c>
      <c r="B135" s="566"/>
      <c r="C135" s="566"/>
      <c r="D135" s="566"/>
      <c r="E135" s="566"/>
      <c r="F135" s="566"/>
      <c r="G135" s="566"/>
      <c r="H135" s="566"/>
      <c r="I135" s="566"/>
      <c r="J135" s="566"/>
      <c r="K135" s="566"/>
      <c r="L135" s="566"/>
      <c r="M135" s="566"/>
      <c r="N135" s="566"/>
      <c r="O135" s="566"/>
      <c r="P135" s="566"/>
      <c r="Q135" s="566"/>
      <c r="R135" s="566"/>
      <c r="S135" s="566"/>
      <c r="T135" s="566"/>
      <c r="U135" s="566"/>
      <c r="V135" s="566"/>
      <c r="W135" s="566"/>
      <c r="X135" s="566"/>
      <c r="Y135" s="566"/>
      <c r="Z135" s="566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0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81"/>
      <c r="B138" s="566"/>
      <c r="C138" s="566"/>
      <c r="D138" s="566"/>
      <c r="E138" s="566"/>
      <c r="F138" s="566"/>
      <c r="G138" s="566"/>
      <c r="H138" s="566"/>
      <c r="I138" s="566"/>
      <c r="J138" s="566"/>
      <c r="K138" s="566"/>
      <c r="L138" s="566"/>
      <c r="M138" s="566"/>
      <c r="N138" s="566"/>
      <c r="O138" s="582"/>
      <c r="P138" s="562" t="s">
        <v>75</v>
      </c>
      <c r="Q138" s="563"/>
      <c r="R138" s="563"/>
      <c r="S138" s="563"/>
      <c r="T138" s="563"/>
      <c r="U138" s="563"/>
      <c r="V138" s="564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6"/>
      <c r="B139" s="566"/>
      <c r="C139" s="566"/>
      <c r="D139" s="566"/>
      <c r="E139" s="566"/>
      <c r="F139" s="566"/>
      <c r="G139" s="566"/>
      <c r="H139" s="566"/>
      <c r="I139" s="566"/>
      <c r="J139" s="566"/>
      <c r="K139" s="566"/>
      <c r="L139" s="566"/>
      <c r="M139" s="566"/>
      <c r="N139" s="566"/>
      <c r="O139" s="582"/>
      <c r="P139" s="562" t="s">
        <v>75</v>
      </c>
      <c r="Q139" s="563"/>
      <c r="R139" s="563"/>
      <c r="S139" s="563"/>
      <c r="T139" s="563"/>
      <c r="U139" s="563"/>
      <c r="V139" s="564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65" t="s">
        <v>97</v>
      </c>
      <c r="B140" s="566"/>
      <c r="C140" s="566"/>
      <c r="D140" s="566"/>
      <c r="E140" s="566"/>
      <c r="F140" s="566"/>
      <c r="G140" s="566"/>
      <c r="H140" s="566"/>
      <c r="I140" s="566"/>
      <c r="J140" s="566"/>
      <c r="K140" s="566"/>
      <c r="L140" s="566"/>
      <c r="M140" s="566"/>
      <c r="N140" s="566"/>
      <c r="O140" s="566"/>
      <c r="P140" s="566"/>
      <c r="Q140" s="566"/>
      <c r="R140" s="566"/>
      <c r="S140" s="566"/>
      <c r="T140" s="566"/>
      <c r="U140" s="566"/>
      <c r="V140" s="566"/>
      <c r="W140" s="566"/>
      <c r="X140" s="566"/>
      <c r="Y140" s="566"/>
      <c r="Z140" s="566"/>
      <c r="AA140" s="544"/>
      <c r="AB140" s="544"/>
      <c r="AC140" s="544"/>
    </row>
    <row r="141" spans="1:68" ht="14.25" hidden="1" customHeight="1" x14ac:dyDescent="0.25">
      <c r="A141" s="567" t="s">
        <v>99</v>
      </c>
      <c r="B141" s="566"/>
      <c r="C141" s="566"/>
      <c r="D141" s="566"/>
      <c r="E141" s="566"/>
      <c r="F141" s="566"/>
      <c r="G141" s="566"/>
      <c r="H141" s="566"/>
      <c r="I141" s="566"/>
      <c r="J141" s="566"/>
      <c r="K141" s="566"/>
      <c r="L141" s="566"/>
      <c r="M141" s="566"/>
      <c r="N141" s="566"/>
      <c r="O141" s="566"/>
      <c r="P141" s="566"/>
      <c r="Q141" s="566"/>
      <c r="R141" s="566"/>
      <c r="S141" s="566"/>
      <c r="T141" s="566"/>
      <c r="U141" s="566"/>
      <c r="V141" s="566"/>
      <c r="W141" s="566"/>
      <c r="X141" s="566"/>
      <c r="Y141" s="566"/>
      <c r="Z141" s="566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5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81"/>
      <c r="B144" s="566"/>
      <c r="C144" s="566"/>
      <c r="D144" s="566"/>
      <c r="E144" s="566"/>
      <c r="F144" s="566"/>
      <c r="G144" s="566"/>
      <c r="H144" s="566"/>
      <c r="I144" s="566"/>
      <c r="J144" s="566"/>
      <c r="K144" s="566"/>
      <c r="L144" s="566"/>
      <c r="M144" s="566"/>
      <c r="N144" s="566"/>
      <c r="O144" s="582"/>
      <c r="P144" s="562" t="s">
        <v>75</v>
      </c>
      <c r="Q144" s="563"/>
      <c r="R144" s="563"/>
      <c r="S144" s="563"/>
      <c r="T144" s="563"/>
      <c r="U144" s="563"/>
      <c r="V144" s="564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6"/>
      <c r="B145" s="566"/>
      <c r="C145" s="566"/>
      <c r="D145" s="566"/>
      <c r="E145" s="566"/>
      <c r="F145" s="566"/>
      <c r="G145" s="566"/>
      <c r="H145" s="566"/>
      <c r="I145" s="566"/>
      <c r="J145" s="566"/>
      <c r="K145" s="566"/>
      <c r="L145" s="566"/>
      <c r="M145" s="566"/>
      <c r="N145" s="566"/>
      <c r="O145" s="582"/>
      <c r="P145" s="562" t="s">
        <v>75</v>
      </c>
      <c r="Q145" s="563"/>
      <c r="R145" s="563"/>
      <c r="S145" s="563"/>
      <c r="T145" s="563"/>
      <c r="U145" s="563"/>
      <c r="V145" s="564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67" t="s">
        <v>64</v>
      </c>
      <c r="B146" s="566"/>
      <c r="C146" s="566"/>
      <c r="D146" s="566"/>
      <c r="E146" s="566"/>
      <c r="F146" s="566"/>
      <c r="G146" s="566"/>
      <c r="H146" s="566"/>
      <c r="I146" s="566"/>
      <c r="J146" s="566"/>
      <c r="K146" s="566"/>
      <c r="L146" s="566"/>
      <c r="M146" s="566"/>
      <c r="N146" s="566"/>
      <c r="O146" s="566"/>
      <c r="P146" s="566"/>
      <c r="Q146" s="566"/>
      <c r="R146" s="566"/>
      <c r="S146" s="566"/>
      <c r="T146" s="566"/>
      <c r="U146" s="566"/>
      <c r="V146" s="566"/>
      <c r="W146" s="566"/>
      <c r="X146" s="566"/>
      <c r="Y146" s="566"/>
      <c r="Z146" s="566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7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81"/>
      <c r="B153" s="566"/>
      <c r="C153" s="566"/>
      <c r="D153" s="566"/>
      <c r="E153" s="566"/>
      <c r="F153" s="566"/>
      <c r="G153" s="566"/>
      <c r="H153" s="566"/>
      <c r="I153" s="566"/>
      <c r="J153" s="566"/>
      <c r="K153" s="566"/>
      <c r="L153" s="566"/>
      <c r="M153" s="566"/>
      <c r="N153" s="566"/>
      <c r="O153" s="582"/>
      <c r="P153" s="562" t="s">
        <v>75</v>
      </c>
      <c r="Q153" s="563"/>
      <c r="R153" s="563"/>
      <c r="S153" s="563"/>
      <c r="T153" s="563"/>
      <c r="U153" s="563"/>
      <c r="V153" s="564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6"/>
      <c r="B154" s="566"/>
      <c r="C154" s="566"/>
      <c r="D154" s="566"/>
      <c r="E154" s="566"/>
      <c r="F154" s="566"/>
      <c r="G154" s="566"/>
      <c r="H154" s="566"/>
      <c r="I154" s="566"/>
      <c r="J154" s="566"/>
      <c r="K154" s="566"/>
      <c r="L154" s="566"/>
      <c r="M154" s="566"/>
      <c r="N154" s="566"/>
      <c r="O154" s="582"/>
      <c r="P154" s="562" t="s">
        <v>75</v>
      </c>
      <c r="Q154" s="563"/>
      <c r="R154" s="563"/>
      <c r="S154" s="563"/>
      <c r="T154" s="563"/>
      <c r="U154" s="563"/>
      <c r="V154" s="564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67" t="s">
        <v>77</v>
      </c>
      <c r="B155" s="566"/>
      <c r="C155" s="566"/>
      <c r="D155" s="566"/>
      <c r="E155" s="566"/>
      <c r="F155" s="566"/>
      <c r="G155" s="566"/>
      <c r="H155" s="566"/>
      <c r="I155" s="566"/>
      <c r="J155" s="566"/>
      <c r="K155" s="566"/>
      <c r="L155" s="566"/>
      <c r="M155" s="566"/>
      <c r="N155" s="566"/>
      <c r="O155" s="566"/>
      <c r="P155" s="566"/>
      <c r="Q155" s="566"/>
      <c r="R155" s="566"/>
      <c r="S155" s="566"/>
      <c r="T155" s="566"/>
      <c r="U155" s="566"/>
      <c r="V155" s="566"/>
      <c r="W155" s="566"/>
      <c r="X155" s="566"/>
      <c r="Y155" s="566"/>
      <c r="Z155" s="566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81"/>
      <c r="B157" s="566"/>
      <c r="C157" s="566"/>
      <c r="D157" s="566"/>
      <c r="E157" s="566"/>
      <c r="F157" s="566"/>
      <c r="G157" s="566"/>
      <c r="H157" s="566"/>
      <c r="I157" s="566"/>
      <c r="J157" s="566"/>
      <c r="K157" s="566"/>
      <c r="L157" s="566"/>
      <c r="M157" s="566"/>
      <c r="N157" s="566"/>
      <c r="O157" s="582"/>
      <c r="P157" s="562" t="s">
        <v>75</v>
      </c>
      <c r="Q157" s="563"/>
      <c r="R157" s="563"/>
      <c r="S157" s="563"/>
      <c r="T157" s="563"/>
      <c r="U157" s="563"/>
      <c r="V157" s="564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6"/>
      <c r="B158" s="566"/>
      <c r="C158" s="566"/>
      <c r="D158" s="566"/>
      <c r="E158" s="566"/>
      <c r="F158" s="566"/>
      <c r="G158" s="566"/>
      <c r="H158" s="566"/>
      <c r="I158" s="566"/>
      <c r="J158" s="566"/>
      <c r="K158" s="566"/>
      <c r="L158" s="566"/>
      <c r="M158" s="566"/>
      <c r="N158" s="566"/>
      <c r="O158" s="582"/>
      <c r="P158" s="562" t="s">
        <v>75</v>
      </c>
      <c r="Q158" s="563"/>
      <c r="R158" s="563"/>
      <c r="S158" s="563"/>
      <c r="T158" s="563"/>
      <c r="U158" s="563"/>
      <c r="V158" s="564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61" t="s">
        <v>266</v>
      </c>
      <c r="B159" s="662"/>
      <c r="C159" s="662"/>
      <c r="D159" s="662"/>
      <c r="E159" s="662"/>
      <c r="F159" s="662"/>
      <c r="G159" s="662"/>
      <c r="H159" s="662"/>
      <c r="I159" s="662"/>
      <c r="J159" s="662"/>
      <c r="K159" s="662"/>
      <c r="L159" s="662"/>
      <c r="M159" s="662"/>
      <c r="N159" s="662"/>
      <c r="O159" s="662"/>
      <c r="P159" s="662"/>
      <c r="Q159" s="662"/>
      <c r="R159" s="662"/>
      <c r="S159" s="662"/>
      <c r="T159" s="662"/>
      <c r="U159" s="662"/>
      <c r="V159" s="662"/>
      <c r="W159" s="662"/>
      <c r="X159" s="662"/>
      <c r="Y159" s="662"/>
      <c r="Z159" s="662"/>
      <c r="AA159" s="48"/>
      <c r="AB159" s="48"/>
      <c r="AC159" s="48"/>
    </row>
    <row r="160" spans="1:68" ht="16.5" hidden="1" customHeight="1" x14ac:dyDescent="0.25">
      <c r="A160" s="565" t="s">
        <v>267</v>
      </c>
      <c r="B160" s="566"/>
      <c r="C160" s="566"/>
      <c r="D160" s="566"/>
      <c r="E160" s="566"/>
      <c r="F160" s="566"/>
      <c r="G160" s="566"/>
      <c r="H160" s="566"/>
      <c r="I160" s="566"/>
      <c r="J160" s="566"/>
      <c r="K160" s="566"/>
      <c r="L160" s="566"/>
      <c r="M160" s="566"/>
      <c r="N160" s="566"/>
      <c r="O160" s="566"/>
      <c r="P160" s="566"/>
      <c r="Q160" s="566"/>
      <c r="R160" s="566"/>
      <c r="S160" s="566"/>
      <c r="T160" s="566"/>
      <c r="U160" s="566"/>
      <c r="V160" s="566"/>
      <c r="W160" s="566"/>
      <c r="X160" s="566"/>
      <c r="Y160" s="566"/>
      <c r="Z160" s="566"/>
      <c r="AA160" s="544"/>
      <c r="AB160" s="544"/>
      <c r="AC160" s="544"/>
    </row>
    <row r="161" spans="1:68" ht="14.25" hidden="1" customHeight="1" x14ac:dyDescent="0.25">
      <c r="A161" s="567" t="s">
        <v>135</v>
      </c>
      <c r="B161" s="566"/>
      <c r="C161" s="566"/>
      <c r="D161" s="566"/>
      <c r="E161" s="566"/>
      <c r="F161" s="566"/>
      <c r="G161" s="566"/>
      <c r="H161" s="566"/>
      <c r="I161" s="566"/>
      <c r="J161" s="566"/>
      <c r="K161" s="566"/>
      <c r="L161" s="566"/>
      <c r="M161" s="566"/>
      <c r="N161" s="566"/>
      <c r="O161" s="566"/>
      <c r="P161" s="566"/>
      <c r="Q161" s="566"/>
      <c r="R161" s="566"/>
      <c r="S161" s="566"/>
      <c r="T161" s="566"/>
      <c r="U161" s="566"/>
      <c r="V161" s="566"/>
      <c r="W161" s="566"/>
      <c r="X161" s="566"/>
      <c r="Y161" s="566"/>
      <c r="Z161" s="566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81"/>
      <c r="B163" s="566"/>
      <c r="C163" s="566"/>
      <c r="D163" s="566"/>
      <c r="E163" s="566"/>
      <c r="F163" s="566"/>
      <c r="G163" s="566"/>
      <c r="H163" s="566"/>
      <c r="I163" s="566"/>
      <c r="J163" s="566"/>
      <c r="K163" s="566"/>
      <c r="L163" s="566"/>
      <c r="M163" s="566"/>
      <c r="N163" s="566"/>
      <c r="O163" s="582"/>
      <c r="P163" s="562" t="s">
        <v>75</v>
      </c>
      <c r="Q163" s="563"/>
      <c r="R163" s="563"/>
      <c r="S163" s="563"/>
      <c r="T163" s="563"/>
      <c r="U163" s="563"/>
      <c r="V163" s="564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6"/>
      <c r="B164" s="566"/>
      <c r="C164" s="566"/>
      <c r="D164" s="566"/>
      <c r="E164" s="566"/>
      <c r="F164" s="566"/>
      <c r="G164" s="566"/>
      <c r="H164" s="566"/>
      <c r="I164" s="566"/>
      <c r="J164" s="566"/>
      <c r="K164" s="566"/>
      <c r="L164" s="566"/>
      <c r="M164" s="566"/>
      <c r="N164" s="566"/>
      <c r="O164" s="582"/>
      <c r="P164" s="562" t="s">
        <v>75</v>
      </c>
      <c r="Q164" s="563"/>
      <c r="R164" s="563"/>
      <c r="S164" s="563"/>
      <c r="T164" s="563"/>
      <c r="U164" s="563"/>
      <c r="V164" s="564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67" t="s">
        <v>64</v>
      </c>
      <c r="B165" s="566"/>
      <c r="C165" s="566"/>
      <c r="D165" s="566"/>
      <c r="E165" s="566"/>
      <c r="F165" s="566"/>
      <c r="G165" s="566"/>
      <c r="H165" s="566"/>
      <c r="I165" s="566"/>
      <c r="J165" s="566"/>
      <c r="K165" s="566"/>
      <c r="L165" s="566"/>
      <c r="M165" s="566"/>
      <c r="N165" s="566"/>
      <c r="O165" s="566"/>
      <c r="P165" s="566"/>
      <c r="Q165" s="566"/>
      <c r="R165" s="566"/>
      <c r="S165" s="566"/>
      <c r="T165" s="566"/>
      <c r="U165" s="566"/>
      <c r="V165" s="566"/>
      <c r="W165" s="566"/>
      <c r="X165" s="566"/>
      <c r="Y165" s="566"/>
      <c r="Z165" s="566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5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100</v>
      </c>
      <c r="Y168" s="550">
        <f t="shared" si="10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104.5238095238095</v>
      </c>
      <c r="BN168" s="64">
        <f t="shared" si="12"/>
        <v>105.36</v>
      </c>
      <c r="BO168" s="64">
        <f t="shared" si="13"/>
        <v>0.18037518037518038</v>
      </c>
      <c r="BP168" s="64">
        <f t="shared" si="14"/>
        <v>0.18181818181818182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35</v>
      </c>
      <c r="Y170" s="550">
        <f t="shared" si="10"/>
        <v>35.700000000000003</v>
      </c>
      <c r="Z170" s="36">
        <f>IFERROR(IF(Y170=0,"",ROUNDUP(Y170/H170,0)*0.00502),"")</f>
        <v>8.5339999999999999E-2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37.166666666666664</v>
      </c>
      <c r="BN170" s="64">
        <f t="shared" si="12"/>
        <v>37.910000000000004</v>
      </c>
      <c r="BO170" s="64">
        <f t="shared" si="13"/>
        <v>7.1225071225071226E-2</v>
      </c>
      <c r="BP170" s="64">
        <f t="shared" si="14"/>
        <v>7.2649572649572655E-2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6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70</v>
      </c>
      <c r="Y177" s="550">
        <f t="shared" si="10"/>
        <v>71.400000000000006</v>
      </c>
      <c r="Z177" s="36">
        <f>IFERROR(IF(Y177=0,"",ROUNDUP(Y177/H177,0)*0.00502),"")</f>
        <v>0.17068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73.333333333333329</v>
      </c>
      <c r="BN177" s="64">
        <f t="shared" si="12"/>
        <v>74.8</v>
      </c>
      <c r="BO177" s="64">
        <f t="shared" si="13"/>
        <v>0.14245014245014245</v>
      </c>
      <c r="BP177" s="64">
        <f t="shared" si="14"/>
        <v>0.14529914529914531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81"/>
      <c r="B180" s="566"/>
      <c r="C180" s="566"/>
      <c r="D180" s="566"/>
      <c r="E180" s="566"/>
      <c r="F180" s="566"/>
      <c r="G180" s="566"/>
      <c r="H180" s="566"/>
      <c r="I180" s="566"/>
      <c r="J180" s="566"/>
      <c r="K180" s="566"/>
      <c r="L180" s="566"/>
      <c r="M180" s="566"/>
      <c r="N180" s="566"/>
      <c r="O180" s="582"/>
      <c r="P180" s="562" t="s">
        <v>75</v>
      </c>
      <c r="Q180" s="563"/>
      <c r="R180" s="563"/>
      <c r="S180" s="563"/>
      <c r="T180" s="563"/>
      <c r="U180" s="563"/>
      <c r="V180" s="564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73.809523809523796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75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0.47249999999999998</v>
      </c>
      <c r="AA180" s="552"/>
      <c r="AB180" s="552"/>
      <c r="AC180" s="552"/>
    </row>
    <row r="181" spans="1:68" x14ac:dyDescent="0.2">
      <c r="A181" s="566"/>
      <c r="B181" s="566"/>
      <c r="C181" s="566"/>
      <c r="D181" s="566"/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82"/>
      <c r="P181" s="562" t="s">
        <v>75</v>
      </c>
      <c r="Q181" s="563"/>
      <c r="R181" s="563"/>
      <c r="S181" s="563"/>
      <c r="T181" s="563"/>
      <c r="U181" s="563"/>
      <c r="V181" s="564"/>
      <c r="W181" s="37" t="s">
        <v>69</v>
      </c>
      <c r="X181" s="551">
        <f>IFERROR(SUM(X166:X179),"0")</f>
        <v>205</v>
      </c>
      <c r="Y181" s="551">
        <f>IFERROR(SUM(Y166:Y179),"0")</f>
        <v>207.9</v>
      </c>
      <c r="Z181" s="37"/>
      <c r="AA181" s="552"/>
      <c r="AB181" s="552"/>
      <c r="AC181" s="552"/>
    </row>
    <row r="182" spans="1:68" ht="14.25" hidden="1" customHeight="1" x14ac:dyDescent="0.25">
      <c r="A182" s="567" t="s">
        <v>91</v>
      </c>
      <c r="B182" s="566"/>
      <c r="C182" s="566"/>
      <c r="D182" s="566"/>
      <c r="E182" s="566"/>
      <c r="F182" s="566"/>
      <c r="G182" s="566"/>
      <c r="H182" s="566"/>
      <c r="I182" s="566"/>
      <c r="J182" s="566"/>
      <c r="K182" s="566"/>
      <c r="L182" s="566"/>
      <c r="M182" s="566"/>
      <c r="N182" s="566"/>
      <c r="O182" s="566"/>
      <c r="P182" s="566"/>
      <c r="Q182" s="566"/>
      <c r="R182" s="566"/>
      <c r="S182" s="566"/>
      <c r="T182" s="566"/>
      <c r="U182" s="566"/>
      <c r="V182" s="566"/>
      <c r="W182" s="566"/>
      <c r="X182" s="566"/>
      <c r="Y182" s="566"/>
      <c r="Z182" s="566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68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581"/>
      <c r="B186" s="566"/>
      <c r="C186" s="566"/>
      <c r="D186" s="566"/>
      <c r="E186" s="566"/>
      <c r="F186" s="566"/>
      <c r="G186" s="566"/>
      <c r="H186" s="566"/>
      <c r="I186" s="566"/>
      <c r="J186" s="566"/>
      <c r="K186" s="566"/>
      <c r="L186" s="566"/>
      <c r="M186" s="566"/>
      <c r="N186" s="566"/>
      <c r="O186" s="582"/>
      <c r="P186" s="562" t="s">
        <v>75</v>
      </c>
      <c r="Q186" s="563"/>
      <c r="R186" s="563"/>
      <c r="S186" s="563"/>
      <c r="T186" s="563"/>
      <c r="U186" s="563"/>
      <c r="V186" s="564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hidden="1" x14ac:dyDescent="0.2">
      <c r="A187" s="566"/>
      <c r="B187" s="566"/>
      <c r="C187" s="566"/>
      <c r="D187" s="566"/>
      <c r="E187" s="566"/>
      <c r="F187" s="566"/>
      <c r="G187" s="566"/>
      <c r="H187" s="566"/>
      <c r="I187" s="566"/>
      <c r="J187" s="566"/>
      <c r="K187" s="566"/>
      <c r="L187" s="566"/>
      <c r="M187" s="566"/>
      <c r="N187" s="566"/>
      <c r="O187" s="582"/>
      <c r="P187" s="562" t="s">
        <v>75</v>
      </c>
      <c r="Q187" s="563"/>
      <c r="R187" s="563"/>
      <c r="S187" s="563"/>
      <c r="T187" s="563"/>
      <c r="U187" s="563"/>
      <c r="V187" s="564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hidden="1" customHeight="1" x14ac:dyDescent="0.25">
      <c r="A188" s="567" t="s">
        <v>319</v>
      </c>
      <c r="B188" s="566"/>
      <c r="C188" s="566"/>
      <c r="D188" s="566"/>
      <c r="E188" s="566"/>
      <c r="F188" s="566"/>
      <c r="G188" s="566"/>
      <c r="H188" s="566"/>
      <c r="I188" s="566"/>
      <c r="J188" s="566"/>
      <c r="K188" s="566"/>
      <c r="L188" s="566"/>
      <c r="M188" s="566"/>
      <c r="N188" s="566"/>
      <c r="O188" s="566"/>
      <c r="P188" s="566"/>
      <c r="Q188" s="566"/>
      <c r="R188" s="566"/>
      <c r="S188" s="566"/>
      <c r="T188" s="566"/>
      <c r="U188" s="566"/>
      <c r="V188" s="566"/>
      <c r="W188" s="566"/>
      <c r="X188" s="566"/>
      <c r="Y188" s="566"/>
      <c r="Z188" s="566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81"/>
      <c r="B190" s="566"/>
      <c r="C190" s="566"/>
      <c r="D190" s="566"/>
      <c r="E190" s="566"/>
      <c r="F190" s="566"/>
      <c r="G190" s="566"/>
      <c r="H190" s="566"/>
      <c r="I190" s="566"/>
      <c r="J190" s="566"/>
      <c r="K190" s="566"/>
      <c r="L190" s="566"/>
      <c r="M190" s="566"/>
      <c r="N190" s="566"/>
      <c r="O190" s="582"/>
      <c r="P190" s="562" t="s">
        <v>75</v>
      </c>
      <c r="Q190" s="563"/>
      <c r="R190" s="563"/>
      <c r="S190" s="563"/>
      <c r="T190" s="563"/>
      <c r="U190" s="563"/>
      <c r="V190" s="564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6"/>
      <c r="B191" s="566"/>
      <c r="C191" s="566"/>
      <c r="D191" s="566"/>
      <c r="E191" s="566"/>
      <c r="F191" s="566"/>
      <c r="G191" s="566"/>
      <c r="H191" s="566"/>
      <c r="I191" s="566"/>
      <c r="J191" s="566"/>
      <c r="K191" s="566"/>
      <c r="L191" s="566"/>
      <c r="M191" s="566"/>
      <c r="N191" s="566"/>
      <c r="O191" s="582"/>
      <c r="P191" s="562" t="s">
        <v>75</v>
      </c>
      <c r="Q191" s="563"/>
      <c r="R191" s="563"/>
      <c r="S191" s="563"/>
      <c r="T191" s="563"/>
      <c r="U191" s="563"/>
      <c r="V191" s="564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65" t="s">
        <v>322</v>
      </c>
      <c r="B192" s="566"/>
      <c r="C192" s="566"/>
      <c r="D192" s="566"/>
      <c r="E192" s="566"/>
      <c r="F192" s="566"/>
      <c r="G192" s="566"/>
      <c r="H192" s="566"/>
      <c r="I192" s="566"/>
      <c r="J192" s="566"/>
      <c r="K192" s="566"/>
      <c r="L192" s="566"/>
      <c r="M192" s="566"/>
      <c r="N192" s="566"/>
      <c r="O192" s="566"/>
      <c r="P192" s="566"/>
      <c r="Q192" s="566"/>
      <c r="R192" s="566"/>
      <c r="S192" s="566"/>
      <c r="T192" s="566"/>
      <c r="U192" s="566"/>
      <c r="V192" s="566"/>
      <c r="W192" s="566"/>
      <c r="X192" s="566"/>
      <c r="Y192" s="566"/>
      <c r="Z192" s="566"/>
      <c r="AA192" s="544"/>
      <c r="AB192" s="544"/>
      <c r="AC192" s="544"/>
    </row>
    <row r="193" spans="1:68" ht="14.25" hidden="1" customHeight="1" x14ac:dyDescent="0.25">
      <c r="A193" s="567" t="s">
        <v>99</v>
      </c>
      <c r="B193" s="566"/>
      <c r="C193" s="566"/>
      <c r="D193" s="566"/>
      <c r="E193" s="566"/>
      <c r="F193" s="566"/>
      <c r="G193" s="566"/>
      <c r="H193" s="566"/>
      <c r="I193" s="566"/>
      <c r="J193" s="566"/>
      <c r="K193" s="566"/>
      <c r="L193" s="566"/>
      <c r="M193" s="566"/>
      <c r="N193" s="566"/>
      <c r="O193" s="566"/>
      <c r="P193" s="566"/>
      <c r="Q193" s="566"/>
      <c r="R193" s="566"/>
      <c r="S193" s="566"/>
      <c r="T193" s="566"/>
      <c r="U193" s="566"/>
      <c r="V193" s="566"/>
      <c r="W193" s="566"/>
      <c r="X193" s="566"/>
      <c r="Y193" s="566"/>
      <c r="Z193" s="566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4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81"/>
      <c r="B196" s="566"/>
      <c r="C196" s="566"/>
      <c r="D196" s="566"/>
      <c r="E196" s="566"/>
      <c r="F196" s="566"/>
      <c r="G196" s="566"/>
      <c r="H196" s="566"/>
      <c r="I196" s="566"/>
      <c r="J196" s="566"/>
      <c r="K196" s="566"/>
      <c r="L196" s="566"/>
      <c r="M196" s="566"/>
      <c r="N196" s="566"/>
      <c r="O196" s="582"/>
      <c r="P196" s="562" t="s">
        <v>75</v>
      </c>
      <c r="Q196" s="563"/>
      <c r="R196" s="563"/>
      <c r="S196" s="563"/>
      <c r="T196" s="563"/>
      <c r="U196" s="563"/>
      <c r="V196" s="564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6"/>
      <c r="B197" s="566"/>
      <c r="C197" s="566"/>
      <c r="D197" s="566"/>
      <c r="E197" s="566"/>
      <c r="F197" s="566"/>
      <c r="G197" s="566"/>
      <c r="H197" s="566"/>
      <c r="I197" s="566"/>
      <c r="J197" s="566"/>
      <c r="K197" s="566"/>
      <c r="L197" s="566"/>
      <c r="M197" s="566"/>
      <c r="N197" s="566"/>
      <c r="O197" s="582"/>
      <c r="P197" s="562" t="s">
        <v>75</v>
      </c>
      <c r="Q197" s="563"/>
      <c r="R197" s="563"/>
      <c r="S197" s="563"/>
      <c r="T197" s="563"/>
      <c r="U197" s="563"/>
      <c r="V197" s="564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67" t="s">
        <v>135</v>
      </c>
      <c r="B198" s="566"/>
      <c r="C198" s="566"/>
      <c r="D198" s="566"/>
      <c r="E198" s="566"/>
      <c r="F198" s="566"/>
      <c r="G198" s="566"/>
      <c r="H198" s="566"/>
      <c r="I198" s="566"/>
      <c r="J198" s="566"/>
      <c r="K198" s="566"/>
      <c r="L198" s="566"/>
      <c r="M198" s="566"/>
      <c r="N198" s="566"/>
      <c r="O198" s="566"/>
      <c r="P198" s="566"/>
      <c r="Q198" s="566"/>
      <c r="R198" s="566"/>
      <c r="S198" s="566"/>
      <c r="T198" s="566"/>
      <c r="U198" s="566"/>
      <c r="V198" s="566"/>
      <c r="W198" s="566"/>
      <c r="X198" s="566"/>
      <c r="Y198" s="566"/>
      <c r="Z198" s="566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81"/>
      <c r="B201" s="566"/>
      <c r="C201" s="566"/>
      <c r="D201" s="566"/>
      <c r="E201" s="566"/>
      <c r="F201" s="566"/>
      <c r="G201" s="566"/>
      <c r="H201" s="566"/>
      <c r="I201" s="566"/>
      <c r="J201" s="566"/>
      <c r="K201" s="566"/>
      <c r="L201" s="566"/>
      <c r="M201" s="566"/>
      <c r="N201" s="566"/>
      <c r="O201" s="582"/>
      <c r="P201" s="562" t="s">
        <v>75</v>
      </c>
      <c r="Q201" s="563"/>
      <c r="R201" s="563"/>
      <c r="S201" s="563"/>
      <c r="T201" s="563"/>
      <c r="U201" s="563"/>
      <c r="V201" s="564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6"/>
      <c r="B202" s="566"/>
      <c r="C202" s="566"/>
      <c r="D202" s="566"/>
      <c r="E202" s="566"/>
      <c r="F202" s="566"/>
      <c r="G202" s="566"/>
      <c r="H202" s="566"/>
      <c r="I202" s="566"/>
      <c r="J202" s="566"/>
      <c r="K202" s="566"/>
      <c r="L202" s="566"/>
      <c r="M202" s="566"/>
      <c r="N202" s="566"/>
      <c r="O202" s="582"/>
      <c r="P202" s="562" t="s">
        <v>75</v>
      </c>
      <c r="Q202" s="563"/>
      <c r="R202" s="563"/>
      <c r="S202" s="563"/>
      <c r="T202" s="563"/>
      <c r="U202" s="563"/>
      <c r="V202" s="564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67" t="s">
        <v>64</v>
      </c>
      <c r="B203" s="566"/>
      <c r="C203" s="566"/>
      <c r="D203" s="566"/>
      <c r="E203" s="566"/>
      <c r="F203" s="566"/>
      <c r="G203" s="566"/>
      <c r="H203" s="566"/>
      <c r="I203" s="566"/>
      <c r="J203" s="566"/>
      <c r="K203" s="566"/>
      <c r="L203" s="566"/>
      <c r="M203" s="566"/>
      <c r="N203" s="566"/>
      <c r="O203" s="566"/>
      <c r="P203" s="566"/>
      <c r="Q203" s="566"/>
      <c r="R203" s="566"/>
      <c r="S203" s="566"/>
      <c r="T203" s="566"/>
      <c r="U203" s="566"/>
      <c r="V203" s="566"/>
      <c r="W203" s="566"/>
      <c r="X203" s="566"/>
      <c r="Y203" s="566"/>
      <c r="Z203" s="566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idden="1" x14ac:dyDescent="0.2">
      <c r="A212" s="581"/>
      <c r="B212" s="566"/>
      <c r="C212" s="566"/>
      <c r="D212" s="566"/>
      <c r="E212" s="566"/>
      <c r="F212" s="566"/>
      <c r="G212" s="566"/>
      <c r="H212" s="566"/>
      <c r="I212" s="566"/>
      <c r="J212" s="566"/>
      <c r="K212" s="566"/>
      <c r="L212" s="566"/>
      <c r="M212" s="566"/>
      <c r="N212" s="566"/>
      <c r="O212" s="582"/>
      <c r="P212" s="562" t="s">
        <v>75</v>
      </c>
      <c r="Q212" s="563"/>
      <c r="R212" s="563"/>
      <c r="S212" s="563"/>
      <c r="T212" s="563"/>
      <c r="U212" s="563"/>
      <c r="V212" s="564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0</v>
      </c>
      <c r="Y212" s="551">
        <f>IFERROR(Y204/H204,"0")+IFERROR(Y205/H205,"0")+IFERROR(Y206/H206,"0")+IFERROR(Y207/H207,"0")+IFERROR(Y208/H208,"0")+IFERROR(Y209/H209,"0")+IFERROR(Y210/H210,"0")+IFERROR(Y211/H211,"0")</f>
        <v>0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2"/>
      <c r="AB212" s="552"/>
      <c r="AC212" s="552"/>
    </row>
    <row r="213" spans="1:68" hidden="1" x14ac:dyDescent="0.2">
      <c r="A213" s="566"/>
      <c r="B213" s="566"/>
      <c r="C213" s="566"/>
      <c r="D213" s="566"/>
      <c r="E213" s="566"/>
      <c r="F213" s="566"/>
      <c r="G213" s="566"/>
      <c r="H213" s="566"/>
      <c r="I213" s="566"/>
      <c r="J213" s="566"/>
      <c r="K213" s="566"/>
      <c r="L213" s="566"/>
      <c r="M213" s="566"/>
      <c r="N213" s="566"/>
      <c r="O213" s="582"/>
      <c r="P213" s="562" t="s">
        <v>75</v>
      </c>
      <c r="Q213" s="563"/>
      <c r="R213" s="563"/>
      <c r="S213" s="563"/>
      <c r="T213" s="563"/>
      <c r="U213" s="563"/>
      <c r="V213" s="564"/>
      <c r="W213" s="37" t="s">
        <v>69</v>
      </c>
      <c r="X213" s="551">
        <f>IFERROR(SUM(X204:X211),"0")</f>
        <v>0</v>
      </c>
      <c r="Y213" s="551">
        <f>IFERROR(SUM(Y204:Y211),"0")</f>
        <v>0</v>
      </c>
      <c r="Z213" s="37"/>
      <c r="AA213" s="552"/>
      <c r="AB213" s="552"/>
      <c r="AC213" s="552"/>
    </row>
    <row r="214" spans="1:68" ht="14.25" hidden="1" customHeight="1" x14ac:dyDescent="0.25">
      <c r="A214" s="567" t="s">
        <v>77</v>
      </c>
      <c r="B214" s="566"/>
      <c r="C214" s="566"/>
      <c r="D214" s="566"/>
      <c r="E214" s="566"/>
      <c r="F214" s="566"/>
      <c r="G214" s="566"/>
      <c r="H214" s="566"/>
      <c r="I214" s="566"/>
      <c r="J214" s="566"/>
      <c r="K214" s="566"/>
      <c r="L214" s="566"/>
      <c r="M214" s="566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566"/>
      <c r="Z214" s="566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6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6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100</v>
      </c>
      <c r="Y217" s="550">
        <f t="shared" si="20"/>
        <v>104.39999999999999</v>
      </c>
      <c r="Z217" s="36">
        <f>IFERROR(IF(Y217=0,"",ROUNDUP(Y217/H217,0)*0.01898),"")</f>
        <v>0.22776000000000002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105.67816091954025</v>
      </c>
      <c r="BN217" s="64">
        <f t="shared" si="22"/>
        <v>110.32800000000002</v>
      </c>
      <c r="BO217" s="64">
        <f t="shared" si="23"/>
        <v>0.1795977011494253</v>
      </c>
      <c r="BP217" s="64">
        <f t="shared" si="24"/>
        <v>0.1875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160</v>
      </c>
      <c r="Y218" s="550">
        <f t="shared" si="20"/>
        <v>160.79999999999998</v>
      </c>
      <c r="Z218" s="36">
        <f t="shared" ref="Z218:Z223" si="25">IFERROR(IF(Y218=0,"",ROUNDUP(Y218/H218,0)*0.00651),"")</f>
        <v>0.43617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178</v>
      </c>
      <c r="BN218" s="64">
        <f t="shared" si="22"/>
        <v>178.89</v>
      </c>
      <c r="BO218" s="64">
        <f t="shared" si="23"/>
        <v>0.36630036630036633</v>
      </c>
      <c r="BP218" s="64">
        <f t="shared" si="24"/>
        <v>0.36813186813186816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1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440</v>
      </c>
      <c r="Y220" s="550">
        <f t="shared" si="20"/>
        <v>441.59999999999997</v>
      </c>
      <c r="Z220" s="36">
        <f t="shared" si="25"/>
        <v>1.19784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486.20000000000005</v>
      </c>
      <c r="BN220" s="64">
        <f t="shared" si="22"/>
        <v>487.96800000000002</v>
      </c>
      <c r="BO220" s="64">
        <f t="shared" si="23"/>
        <v>1.0073260073260075</v>
      </c>
      <c r="BP220" s="64">
        <f t="shared" si="24"/>
        <v>1.0109890109890112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200</v>
      </c>
      <c r="Y221" s="550">
        <f t="shared" si="20"/>
        <v>201.6</v>
      </c>
      <c r="Z221" s="36">
        <f t="shared" si="25"/>
        <v>0.54683999999999999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81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80</v>
      </c>
      <c r="Y222" s="550">
        <f t="shared" si="20"/>
        <v>81.599999999999994</v>
      </c>
      <c r="Z222" s="36">
        <f t="shared" si="25"/>
        <v>0.22134000000000001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88.40000000000002</v>
      </c>
      <c r="BN222" s="64">
        <f t="shared" si="22"/>
        <v>90.168000000000006</v>
      </c>
      <c r="BO222" s="64">
        <f t="shared" si="23"/>
        <v>0.18315018315018317</v>
      </c>
      <c r="BP222" s="64">
        <f t="shared" si="24"/>
        <v>0.18681318681318682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120</v>
      </c>
      <c r="Y223" s="550">
        <f t="shared" si="20"/>
        <v>120</v>
      </c>
      <c r="Z223" s="36">
        <f t="shared" si="25"/>
        <v>0.32550000000000001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132.9</v>
      </c>
      <c r="BN223" s="64">
        <f t="shared" si="22"/>
        <v>132.9</v>
      </c>
      <c r="BO223" s="64">
        <f t="shared" si="23"/>
        <v>0.27472527472527475</v>
      </c>
      <c r="BP223" s="64">
        <f t="shared" si="24"/>
        <v>0.27472527472527475</v>
      </c>
    </row>
    <row r="224" spans="1:68" x14ac:dyDescent="0.2">
      <c r="A224" s="581"/>
      <c r="B224" s="566"/>
      <c r="C224" s="566"/>
      <c r="D224" s="566"/>
      <c r="E224" s="566"/>
      <c r="F224" s="566"/>
      <c r="G224" s="566"/>
      <c r="H224" s="566"/>
      <c r="I224" s="566"/>
      <c r="J224" s="566"/>
      <c r="K224" s="566"/>
      <c r="L224" s="566"/>
      <c r="M224" s="566"/>
      <c r="N224" s="566"/>
      <c r="O224" s="582"/>
      <c r="P224" s="562" t="s">
        <v>75</v>
      </c>
      <c r="Q224" s="563"/>
      <c r="R224" s="563"/>
      <c r="S224" s="563"/>
      <c r="T224" s="563"/>
      <c r="U224" s="563"/>
      <c r="V224" s="564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428.16091954022994</v>
      </c>
      <c r="Y224" s="551">
        <f>IFERROR(Y215/H215,"0")+IFERROR(Y216/H216,"0")+IFERROR(Y217/H217,"0")+IFERROR(Y218/H218,"0")+IFERROR(Y219/H219,"0")+IFERROR(Y220/H220,"0")+IFERROR(Y221/H221,"0")+IFERROR(Y222/H222,"0")+IFERROR(Y223/H223,"0")</f>
        <v>431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2.9554499999999999</v>
      </c>
      <c r="AA224" s="552"/>
      <c r="AB224" s="552"/>
      <c r="AC224" s="552"/>
    </row>
    <row r="225" spans="1:68" x14ac:dyDescent="0.2">
      <c r="A225" s="566"/>
      <c r="B225" s="566"/>
      <c r="C225" s="566"/>
      <c r="D225" s="566"/>
      <c r="E225" s="566"/>
      <c r="F225" s="566"/>
      <c r="G225" s="566"/>
      <c r="H225" s="566"/>
      <c r="I225" s="566"/>
      <c r="J225" s="566"/>
      <c r="K225" s="566"/>
      <c r="L225" s="566"/>
      <c r="M225" s="566"/>
      <c r="N225" s="566"/>
      <c r="O225" s="582"/>
      <c r="P225" s="562" t="s">
        <v>75</v>
      </c>
      <c r="Q225" s="563"/>
      <c r="R225" s="563"/>
      <c r="S225" s="563"/>
      <c r="T225" s="563"/>
      <c r="U225" s="563"/>
      <c r="V225" s="564"/>
      <c r="W225" s="37" t="s">
        <v>69</v>
      </c>
      <c r="X225" s="551">
        <f>IFERROR(SUM(X215:X223),"0")</f>
        <v>1100</v>
      </c>
      <c r="Y225" s="551">
        <f>IFERROR(SUM(Y215:Y223),"0")</f>
        <v>1110</v>
      </c>
      <c r="Z225" s="37"/>
      <c r="AA225" s="552"/>
      <c r="AB225" s="552"/>
      <c r="AC225" s="552"/>
    </row>
    <row r="226" spans="1:68" ht="14.25" hidden="1" customHeight="1" x14ac:dyDescent="0.25">
      <c r="A226" s="567" t="s">
        <v>160</v>
      </c>
      <c r="B226" s="566"/>
      <c r="C226" s="566"/>
      <c r="D226" s="566"/>
      <c r="E226" s="566"/>
      <c r="F226" s="566"/>
      <c r="G226" s="566"/>
      <c r="H226" s="566"/>
      <c r="I226" s="566"/>
      <c r="J226" s="566"/>
      <c r="K226" s="566"/>
      <c r="L226" s="566"/>
      <c r="M226" s="566"/>
      <c r="N226" s="566"/>
      <c r="O226" s="566"/>
      <c r="P226" s="566"/>
      <c r="Q226" s="566"/>
      <c r="R226" s="566"/>
      <c r="S226" s="566"/>
      <c r="T226" s="566"/>
      <c r="U226" s="566"/>
      <c r="V226" s="566"/>
      <c r="W226" s="566"/>
      <c r="X226" s="566"/>
      <c r="Y226" s="566"/>
      <c r="Z226" s="566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81"/>
      <c r="B229" s="566"/>
      <c r="C229" s="566"/>
      <c r="D229" s="566"/>
      <c r="E229" s="566"/>
      <c r="F229" s="566"/>
      <c r="G229" s="566"/>
      <c r="H229" s="566"/>
      <c r="I229" s="566"/>
      <c r="J229" s="566"/>
      <c r="K229" s="566"/>
      <c r="L229" s="566"/>
      <c r="M229" s="566"/>
      <c r="N229" s="566"/>
      <c r="O229" s="582"/>
      <c r="P229" s="562" t="s">
        <v>75</v>
      </c>
      <c r="Q229" s="563"/>
      <c r="R229" s="563"/>
      <c r="S229" s="563"/>
      <c r="T229" s="563"/>
      <c r="U229" s="563"/>
      <c r="V229" s="564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6"/>
      <c r="B230" s="566"/>
      <c r="C230" s="566"/>
      <c r="D230" s="566"/>
      <c r="E230" s="566"/>
      <c r="F230" s="566"/>
      <c r="G230" s="566"/>
      <c r="H230" s="566"/>
      <c r="I230" s="566"/>
      <c r="J230" s="566"/>
      <c r="K230" s="566"/>
      <c r="L230" s="566"/>
      <c r="M230" s="566"/>
      <c r="N230" s="566"/>
      <c r="O230" s="582"/>
      <c r="P230" s="562" t="s">
        <v>75</v>
      </c>
      <c r="Q230" s="563"/>
      <c r="R230" s="563"/>
      <c r="S230" s="563"/>
      <c r="T230" s="563"/>
      <c r="U230" s="563"/>
      <c r="V230" s="564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65" t="s">
        <v>382</v>
      </c>
      <c r="B231" s="566"/>
      <c r="C231" s="566"/>
      <c r="D231" s="566"/>
      <c r="E231" s="566"/>
      <c r="F231" s="566"/>
      <c r="G231" s="566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566"/>
      <c r="Z231" s="566"/>
      <c r="AA231" s="544"/>
      <c r="AB231" s="544"/>
      <c r="AC231" s="544"/>
    </row>
    <row r="232" spans="1:68" ht="14.25" hidden="1" customHeight="1" x14ac:dyDescent="0.25">
      <c r="A232" s="567" t="s">
        <v>99</v>
      </c>
      <c r="B232" s="566"/>
      <c r="C232" s="566"/>
      <c r="D232" s="566"/>
      <c r="E232" s="566"/>
      <c r="F232" s="566"/>
      <c r="G232" s="566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566"/>
      <c r="Z232" s="566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3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8">
        <v>4680115884144</v>
      </c>
      <c r="E236" s="559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5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4301011824</v>
      </c>
      <c r="D237" s="558">
        <v>4680115884144</v>
      </c>
      <c r="E237" s="559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8">
        <v>4680115884205</v>
      </c>
      <c r="E240" s="559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8">
        <v>4680115884205</v>
      </c>
      <c r="E241" s="559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81"/>
      <c r="B242" s="566"/>
      <c r="C242" s="566"/>
      <c r="D242" s="566"/>
      <c r="E242" s="566"/>
      <c r="F242" s="566"/>
      <c r="G242" s="566"/>
      <c r="H242" s="566"/>
      <c r="I242" s="566"/>
      <c r="J242" s="566"/>
      <c r="K242" s="566"/>
      <c r="L242" s="566"/>
      <c r="M242" s="566"/>
      <c r="N242" s="566"/>
      <c r="O242" s="582"/>
      <c r="P242" s="562" t="s">
        <v>75</v>
      </c>
      <c r="Q242" s="563"/>
      <c r="R242" s="563"/>
      <c r="S242" s="563"/>
      <c r="T242" s="563"/>
      <c r="U242" s="563"/>
      <c r="V242" s="564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6"/>
      <c r="B243" s="566"/>
      <c r="C243" s="566"/>
      <c r="D243" s="566"/>
      <c r="E243" s="566"/>
      <c r="F243" s="566"/>
      <c r="G243" s="566"/>
      <c r="H243" s="566"/>
      <c r="I243" s="566"/>
      <c r="J243" s="566"/>
      <c r="K243" s="566"/>
      <c r="L243" s="566"/>
      <c r="M243" s="566"/>
      <c r="N243" s="566"/>
      <c r="O243" s="582"/>
      <c r="P243" s="562" t="s">
        <v>75</v>
      </c>
      <c r="Q243" s="563"/>
      <c r="R243" s="563"/>
      <c r="S243" s="563"/>
      <c r="T243" s="563"/>
      <c r="U243" s="563"/>
      <c r="V243" s="564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67" t="s">
        <v>135</v>
      </c>
      <c r="B244" s="566"/>
      <c r="C244" s="566"/>
      <c r="D244" s="566"/>
      <c r="E244" s="566"/>
      <c r="F244" s="566"/>
      <c r="G244" s="566"/>
      <c r="H244" s="566"/>
      <c r="I244" s="566"/>
      <c r="J244" s="566"/>
      <c r="K244" s="566"/>
      <c r="L244" s="566"/>
      <c r="M244" s="566"/>
      <c r="N244" s="566"/>
      <c r="O244" s="566"/>
      <c r="P244" s="566"/>
      <c r="Q244" s="566"/>
      <c r="R244" s="566"/>
      <c r="S244" s="566"/>
      <c r="T244" s="566"/>
      <c r="U244" s="566"/>
      <c r="V244" s="566"/>
      <c r="W244" s="566"/>
      <c r="X244" s="566"/>
      <c r="Y244" s="566"/>
      <c r="Z244" s="566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6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81"/>
      <c r="B246" s="566"/>
      <c r="C246" s="566"/>
      <c r="D246" s="566"/>
      <c r="E246" s="566"/>
      <c r="F246" s="566"/>
      <c r="G246" s="566"/>
      <c r="H246" s="566"/>
      <c r="I246" s="566"/>
      <c r="J246" s="566"/>
      <c r="K246" s="566"/>
      <c r="L246" s="566"/>
      <c r="M246" s="566"/>
      <c r="N246" s="566"/>
      <c r="O246" s="582"/>
      <c r="P246" s="562" t="s">
        <v>75</v>
      </c>
      <c r="Q246" s="563"/>
      <c r="R246" s="563"/>
      <c r="S246" s="563"/>
      <c r="T246" s="563"/>
      <c r="U246" s="563"/>
      <c r="V246" s="564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6"/>
      <c r="B247" s="566"/>
      <c r="C247" s="566"/>
      <c r="D247" s="566"/>
      <c r="E247" s="566"/>
      <c r="F247" s="566"/>
      <c r="G247" s="566"/>
      <c r="H247" s="566"/>
      <c r="I247" s="566"/>
      <c r="J247" s="566"/>
      <c r="K247" s="566"/>
      <c r="L247" s="566"/>
      <c r="M247" s="566"/>
      <c r="N247" s="566"/>
      <c r="O247" s="582"/>
      <c r="P247" s="562" t="s">
        <v>75</v>
      </c>
      <c r="Q247" s="563"/>
      <c r="R247" s="563"/>
      <c r="S247" s="563"/>
      <c r="T247" s="563"/>
      <c r="U247" s="563"/>
      <c r="V247" s="564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67" t="s">
        <v>407</v>
      </c>
      <c r="B248" s="566"/>
      <c r="C248" s="566"/>
      <c r="D248" s="566"/>
      <c r="E248" s="566"/>
      <c r="F248" s="566"/>
      <c r="G248" s="566"/>
      <c r="H248" s="566"/>
      <c r="I248" s="566"/>
      <c r="J248" s="566"/>
      <c r="K248" s="566"/>
      <c r="L248" s="566"/>
      <c r="M248" s="566"/>
      <c r="N248" s="566"/>
      <c r="O248" s="566"/>
      <c r="P248" s="566"/>
      <c r="Q248" s="566"/>
      <c r="R248" s="566"/>
      <c r="S248" s="566"/>
      <c r="T248" s="566"/>
      <c r="U248" s="566"/>
      <c r="V248" s="566"/>
      <c r="W248" s="566"/>
      <c r="X248" s="566"/>
      <c r="Y248" s="566"/>
      <c r="Z248" s="566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6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81"/>
      <c r="B250" s="566"/>
      <c r="C250" s="566"/>
      <c r="D250" s="566"/>
      <c r="E250" s="566"/>
      <c r="F250" s="566"/>
      <c r="G250" s="566"/>
      <c r="H250" s="566"/>
      <c r="I250" s="566"/>
      <c r="J250" s="566"/>
      <c r="K250" s="566"/>
      <c r="L250" s="566"/>
      <c r="M250" s="566"/>
      <c r="N250" s="566"/>
      <c r="O250" s="582"/>
      <c r="P250" s="562" t="s">
        <v>75</v>
      </c>
      <c r="Q250" s="563"/>
      <c r="R250" s="563"/>
      <c r="S250" s="563"/>
      <c r="T250" s="563"/>
      <c r="U250" s="563"/>
      <c r="V250" s="564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6"/>
      <c r="B251" s="566"/>
      <c r="C251" s="566"/>
      <c r="D251" s="566"/>
      <c r="E251" s="566"/>
      <c r="F251" s="566"/>
      <c r="G251" s="566"/>
      <c r="H251" s="566"/>
      <c r="I251" s="566"/>
      <c r="J251" s="566"/>
      <c r="K251" s="566"/>
      <c r="L251" s="566"/>
      <c r="M251" s="566"/>
      <c r="N251" s="566"/>
      <c r="O251" s="582"/>
      <c r="P251" s="562" t="s">
        <v>75</v>
      </c>
      <c r="Q251" s="563"/>
      <c r="R251" s="563"/>
      <c r="S251" s="563"/>
      <c r="T251" s="563"/>
      <c r="U251" s="563"/>
      <c r="V251" s="564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67" t="s">
        <v>411</v>
      </c>
      <c r="B252" s="566"/>
      <c r="C252" s="566"/>
      <c r="D252" s="566"/>
      <c r="E252" s="566"/>
      <c r="F252" s="566"/>
      <c r="G252" s="566"/>
      <c r="H252" s="566"/>
      <c r="I252" s="566"/>
      <c r="J252" s="566"/>
      <c r="K252" s="566"/>
      <c r="L252" s="566"/>
      <c r="M252" s="566"/>
      <c r="N252" s="566"/>
      <c r="O252" s="566"/>
      <c r="P252" s="566"/>
      <c r="Q252" s="566"/>
      <c r="R252" s="566"/>
      <c r="S252" s="566"/>
      <c r="T252" s="566"/>
      <c r="U252" s="566"/>
      <c r="V252" s="566"/>
      <c r="W252" s="566"/>
      <c r="X252" s="566"/>
      <c r="Y252" s="566"/>
      <c r="Z252" s="566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81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581"/>
      <c r="B258" s="566"/>
      <c r="C258" s="566"/>
      <c r="D258" s="566"/>
      <c r="E258" s="566"/>
      <c r="F258" s="566"/>
      <c r="G258" s="566"/>
      <c r="H258" s="566"/>
      <c r="I258" s="566"/>
      <c r="J258" s="566"/>
      <c r="K258" s="566"/>
      <c r="L258" s="566"/>
      <c r="M258" s="566"/>
      <c r="N258" s="566"/>
      <c r="O258" s="582"/>
      <c r="P258" s="562" t="s">
        <v>75</v>
      </c>
      <c r="Q258" s="563"/>
      <c r="R258" s="563"/>
      <c r="S258" s="563"/>
      <c r="T258" s="563"/>
      <c r="U258" s="563"/>
      <c r="V258" s="564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hidden="1" x14ac:dyDescent="0.2">
      <c r="A259" s="566"/>
      <c r="B259" s="566"/>
      <c r="C259" s="566"/>
      <c r="D259" s="566"/>
      <c r="E259" s="566"/>
      <c r="F259" s="566"/>
      <c r="G259" s="566"/>
      <c r="H259" s="566"/>
      <c r="I259" s="566"/>
      <c r="J259" s="566"/>
      <c r="K259" s="566"/>
      <c r="L259" s="566"/>
      <c r="M259" s="566"/>
      <c r="N259" s="566"/>
      <c r="O259" s="582"/>
      <c r="P259" s="562" t="s">
        <v>75</v>
      </c>
      <c r="Q259" s="563"/>
      <c r="R259" s="563"/>
      <c r="S259" s="563"/>
      <c r="T259" s="563"/>
      <c r="U259" s="563"/>
      <c r="V259" s="564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hidden="1" customHeight="1" x14ac:dyDescent="0.25">
      <c r="A260" s="565" t="s">
        <v>423</v>
      </c>
      <c r="B260" s="566"/>
      <c r="C260" s="566"/>
      <c r="D260" s="566"/>
      <c r="E260" s="566"/>
      <c r="F260" s="566"/>
      <c r="G260" s="566"/>
      <c r="H260" s="566"/>
      <c r="I260" s="566"/>
      <c r="J260" s="566"/>
      <c r="K260" s="566"/>
      <c r="L260" s="566"/>
      <c r="M260" s="566"/>
      <c r="N260" s="566"/>
      <c r="O260" s="566"/>
      <c r="P260" s="566"/>
      <c r="Q260" s="566"/>
      <c r="R260" s="566"/>
      <c r="S260" s="566"/>
      <c r="T260" s="566"/>
      <c r="U260" s="566"/>
      <c r="V260" s="566"/>
      <c r="W260" s="566"/>
      <c r="X260" s="566"/>
      <c r="Y260" s="566"/>
      <c r="Z260" s="566"/>
      <c r="AA260" s="544"/>
      <c r="AB260" s="544"/>
      <c r="AC260" s="544"/>
    </row>
    <row r="261" spans="1:68" ht="14.25" hidden="1" customHeight="1" x14ac:dyDescent="0.25">
      <c r="A261" s="567" t="s">
        <v>99</v>
      </c>
      <c r="B261" s="566"/>
      <c r="C261" s="566"/>
      <c r="D261" s="566"/>
      <c r="E261" s="566"/>
      <c r="F261" s="566"/>
      <c r="G261" s="566"/>
      <c r="H261" s="566"/>
      <c r="I261" s="566"/>
      <c r="J261" s="566"/>
      <c r="K261" s="566"/>
      <c r="L261" s="566"/>
      <c r="M261" s="566"/>
      <c r="N261" s="566"/>
      <c r="O261" s="566"/>
      <c r="P261" s="566"/>
      <c r="Q261" s="566"/>
      <c r="R261" s="566"/>
      <c r="S261" s="566"/>
      <c r="T261" s="566"/>
      <c r="U261" s="566"/>
      <c r="V261" s="566"/>
      <c r="W261" s="566"/>
      <c r="X261" s="566"/>
      <c r="Y261" s="566"/>
      <c r="Z261" s="566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1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81"/>
      <c r="B267" s="566"/>
      <c r="C267" s="566"/>
      <c r="D267" s="566"/>
      <c r="E267" s="566"/>
      <c r="F267" s="566"/>
      <c r="G267" s="566"/>
      <c r="H267" s="566"/>
      <c r="I267" s="566"/>
      <c r="J267" s="566"/>
      <c r="K267" s="566"/>
      <c r="L267" s="566"/>
      <c r="M267" s="566"/>
      <c r="N267" s="566"/>
      <c r="O267" s="582"/>
      <c r="P267" s="562" t="s">
        <v>75</v>
      </c>
      <c r="Q267" s="563"/>
      <c r="R267" s="563"/>
      <c r="S267" s="563"/>
      <c r="T267" s="563"/>
      <c r="U267" s="563"/>
      <c r="V267" s="564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6"/>
      <c r="B268" s="566"/>
      <c r="C268" s="566"/>
      <c r="D268" s="566"/>
      <c r="E268" s="566"/>
      <c r="F268" s="566"/>
      <c r="G268" s="566"/>
      <c r="H268" s="566"/>
      <c r="I268" s="566"/>
      <c r="J268" s="566"/>
      <c r="K268" s="566"/>
      <c r="L268" s="566"/>
      <c r="M268" s="566"/>
      <c r="N268" s="566"/>
      <c r="O268" s="582"/>
      <c r="P268" s="562" t="s">
        <v>75</v>
      </c>
      <c r="Q268" s="563"/>
      <c r="R268" s="563"/>
      <c r="S268" s="563"/>
      <c r="T268" s="563"/>
      <c r="U268" s="563"/>
      <c r="V268" s="564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65" t="s">
        <v>439</v>
      </c>
      <c r="B269" s="566"/>
      <c r="C269" s="566"/>
      <c r="D269" s="566"/>
      <c r="E269" s="566"/>
      <c r="F269" s="566"/>
      <c r="G269" s="566"/>
      <c r="H269" s="566"/>
      <c r="I269" s="566"/>
      <c r="J269" s="566"/>
      <c r="K269" s="566"/>
      <c r="L269" s="566"/>
      <c r="M269" s="566"/>
      <c r="N269" s="566"/>
      <c r="O269" s="566"/>
      <c r="P269" s="566"/>
      <c r="Q269" s="566"/>
      <c r="R269" s="566"/>
      <c r="S269" s="566"/>
      <c r="T269" s="566"/>
      <c r="U269" s="566"/>
      <c r="V269" s="566"/>
      <c r="W269" s="566"/>
      <c r="X269" s="566"/>
      <c r="Y269" s="566"/>
      <c r="Z269" s="566"/>
      <c r="AA269" s="544"/>
      <c r="AB269" s="544"/>
      <c r="AC269" s="544"/>
    </row>
    <row r="270" spans="1:68" ht="14.25" hidden="1" customHeight="1" x14ac:dyDescent="0.25">
      <c r="A270" s="567" t="s">
        <v>99</v>
      </c>
      <c r="B270" s="566"/>
      <c r="C270" s="566"/>
      <c r="D270" s="566"/>
      <c r="E270" s="566"/>
      <c r="F270" s="566"/>
      <c r="G270" s="566"/>
      <c r="H270" s="566"/>
      <c r="I270" s="566"/>
      <c r="J270" s="566"/>
      <c r="K270" s="566"/>
      <c r="L270" s="566"/>
      <c r="M270" s="566"/>
      <c r="N270" s="566"/>
      <c r="O270" s="566"/>
      <c r="P270" s="566"/>
      <c r="Q270" s="566"/>
      <c r="R270" s="566"/>
      <c r="S270" s="566"/>
      <c r="T270" s="566"/>
      <c r="U270" s="566"/>
      <c r="V270" s="566"/>
      <c r="W270" s="566"/>
      <c r="X270" s="566"/>
      <c r="Y270" s="566"/>
      <c r="Z270" s="566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6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5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9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81"/>
      <c r="B275" s="566"/>
      <c r="C275" s="566"/>
      <c r="D275" s="566"/>
      <c r="E275" s="566"/>
      <c r="F275" s="566"/>
      <c r="G275" s="566"/>
      <c r="H275" s="566"/>
      <c r="I275" s="566"/>
      <c r="J275" s="566"/>
      <c r="K275" s="566"/>
      <c r="L275" s="566"/>
      <c r="M275" s="566"/>
      <c r="N275" s="566"/>
      <c r="O275" s="582"/>
      <c r="P275" s="562" t="s">
        <v>75</v>
      </c>
      <c r="Q275" s="563"/>
      <c r="R275" s="563"/>
      <c r="S275" s="563"/>
      <c r="T275" s="563"/>
      <c r="U275" s="563"/>
      <c r="V275" s="564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6"/>
      <c r="B276" s="566"/>
      <c r="C276" s="566"/>
      <c r="D276" s="566"/>
      <c r="E276" s="566"/>
      <c r="F276" s="566"/>
      <c r="G276" s="566"/>
      <c r="H276" s="566"/>
      <c r="I276" s="566"/>
      <c r="J276" s="566"/>
      <c r="K276" s="566"/>
      <c r="L276" s="566"/>
      <c r="M276" s="566"/>
      <c r="N276" s="566"/>
      <c r="O276" s="582"/>
      <c r="P276" s="562" t="s">
        <v>75</v>
      </c>
      <c r="Q276" s="563"/>
      <c r="R276" s="563"/>
      <c r="S276" s="563"/>
      <c r="T276" s="563"/>
      <c r="U276" s="563"/>
      <c r="V276" s="564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65" t="s">
        <v>450</v>
      </c>
      <c r="B277" s="566"/>
      <c r="C277" s="566"/>
      <c r="D277" s="566"/>
      <c r="E277" s="566"/>
      <c r="F277" s="566"/>
      <c r="G277" s="566"/>
      <c r="H277" s="566"/>
      <c r="I277" s="566"/>
      <c r="J277" s="566"/>
      <c r="K277" s="566"/>
      <c r="L277" s="566"/>
      <c r="M277" s="566"/>
      <c r="N277" s="566"/>
      <c r="O277" s="566"/>
      <c r="P277" s="566"/>
      <c r="Q277" s="566"/>
      <c r="R277" s="566"/>
      <c r="S277" s="566"/>
      <c r="T277" s="566"/>
      <c r="U277" s="566"/>
      <c r="V277" s="566"/>
      <c r="W277" s="566"/>
      <c r="X277" s="566"/>
      <c r="Y277" s="566"/>
      <c r="Z277" s="566"/>
      <c r="AA277" s="544"/>
      <c r="AB277" s="544"/>
      <c r="AC277" s="544"/>
    </row>
    <row r="278" spans="1:68" ht="14.25" hidden="1" customHeight="1" x14ac:dyDescent="0.25">
      <c r="A278" s="567" t="s">
        <v>77</v>
      </c>
      <c r="B278" s="566"/>
      <c r="C278" s="566"/>
      <c r="D278" s="566"/>
      <c r="E278" s="566"/>
      <c r="F278" s="566"/>
      <c r="G278" s="566"/>
      <c r="H278" s="566"/>
      <c r="I278" s="566"/>
      <c r="J278" s="566"/>
      <c r="K278" s="566"/>
      <c r="L278" s="566"/>
      <c r="M278" s="566"/>
      <c r="N278" s="566"/>
      <c r="O278" s="566"/>
      <c r="P278" s="566"/>
      <c r="Q278" s="566"/>
      <c r="R278" s="566"/>
      <c r="S278" s="566"/>
      <c r="T278" s="566"/>
      <c r="U278" s="566"/>
      <c r="V278" s="566"/>
      <c r="W278" s="566"/>
      <c r="X278" s="566"/>
      <c r="Y278" s="566"/>
      <c r="Z278" s="566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81"/>
      <c r="B282" s="566"/>
      <c r="C282" s="566"/>
      <c r="D282" s="566"/>
      <c r="E282" s="566"/>
      <c r="F282" s="566"/>
      <c r="G282" s="566"/>
      <c r="H282" s="566"/>
      <c r="I282" s="566"/>
      <c r="J282" s="566"/>
      <c r="K282" s="566"/>
      <c r="L282" s="566"/>
      <c r="M282" s="566"/>
      <c r="N282" s="566"/>
      <c r="O282" s="582"/>
      <c r="P282" s="562" t="s">
        <v>75</v>
      </c>
      <c r="Q282" s="563"/>
      <c r="R282" s="563"/>
      <c r="S282" s="563"/>
      <c r="T282" s="563"/>
      <c r="U282" s="563"/>
      <c r="V282" s="564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6"/>
      <c r="B283" s="566"/>
      <c r="C283" s="566"/>
      <c r="D283" s="566"/>
      <c r="E283" s="566"/>
      <c r="F283" s="566"/>
      <c r="G283" s="566"/>
      <c r="H283" s="566"/>
      <c r="I283" s="566"/>
      <c r="J283" s="566"/>
      <c r="K283" s="566"/>
      <c r="L283" s="566"/>
      <c r="M283" s="566"/>
      <c r="N283" s="566"/>
      <c r="O283" s="582"/>
      <c r="P283" s="562" t="s">
        <v>75</v>
      </c>
      <c r="Q283" s="563"/>
      <c r="R283" s="563"/>
      <c r="S283" s="563"/>
      <c r="T283" s="563"/>
      <c r="U283" s="563"/>
      <c r="V283" s="564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65" t="s">
        <v>459</v>
      </c>
      <c r="B284" s="566"/>
      <c r="C284" s="566"/>
      <c r="D284" s="566"/>
      <c r="E284" s="566"/>
      <c r="F284" s="566"/>
      <c r="G284" s="566"/>
      <c r="H284" s="566"/>
      <c r="I284" s="566"/>
      <c r="J284" s="566"/>
      <c r="K284" s="566"/>
      <c r="L284" s="566"/>
      <c r="M284" s="566"/>
      <c r="N284" s="566"/>
      <c r="O284" s="566"/>
      <c r="P284" s="566"/>
      <c r="Q284" s="566"/>
      <c r="R284" s="566"/>
      <c r="S284" s="566"/>
      <c r="T284" s="566"/>
      <c r="U284" s="566"/>
      <c r="V284" s="566"/>
      <c r="W284" s="566"/>
      <c r="X284" s="566"/>
      <c r="Y284" s="566"/>
      <c r="Z284" s="566"/>
      <c r="AA284" s="544"/>
      <c r="AB284" s="544"/>
      <c r="AC284" s="544"/>
    </row>
    <row r="285" spans="1:68" ht="14.25" hidden="1" customHeight="1" x14ac:dyDescent="0.25">
      <c r="A285" s="567" t="s">
        <v>64</v>
      </c>
      <c r="B285" s="566"/>
      <c r="C285" s="566"/>
      <c r="D285" s="566"/>
      <c r="E285" s="566"/>
      <c r="F285" s="566"/>
      <c r="G285" s="566"/>
      <c r="H285" s="566"/>
      <c r="I285" s="566"/>
      <c r="J285" s="566"/>
      <c r="K285" s="566"/>
      <c r="L285" s="566"/>
      <c r="M285" s="566"/>
      <c r="N285" s="566"/>
      <c r="O285" s="566"/>
      <c r="P285" s="566"/>
      <c r="Q285" s="566"/>
      <c r="R285" s="566"/>
      <c r="S285" s="566"/>
      <c r="T285" s="566"/>
      <c r="U285" s="566"/>
      <c r="V285" s="566"/>
      <c r="W285" s="566"/>
      <c r="X285" s="566"/>
      <c r="Y285" s="566"/>
      <c r="Z285" s="566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4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5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81"/>
      <c r="B288" s="566"/>
      <c r="C288" s="566"/>
      <c r="D288" s="566"/>
      <c r="E288" s="566"/>
      <c r="F288" s="566"/>
      <c r="G288" s="566"/>
      <c r="H288" s="566"/>
      <c r="I288" s="566"/>
      <c r="J288" s="566"/>
      <c r="K288" s="566"/>
      <c r="L288" s="566"/>
      <c r="M288" s="566"/>
      <c r="N288" s="566"/>
      <c r="O288" s="582"/>
      <c r="P288" s="562" t="s">
        <v>75</v>
      </c>
      <c r="Q288" s="563"/>
      <c r="R288" s="563"/>
      <c r="S288" s="563"/>
      <c r="T288" s="563"/>
      <c r="U288" s="563"/>
      <c r="V288" s="564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6"/>
      <c r="B289" s="566"/>
      <c r="C289" s="566"/>
      <c r="D289" s="566"/>
      <c r="E289" s="566"/>
      <c r="F289" s="566"/>
      <c r="G289" s="566"/>
      <c r="H289" s="566"/>
      <c r="I289" s="566"/>
      <c r="J289" s="566"/>
      <c r="K289" s="566"/>
      <c r="L289" s="566"/>
      <c r="M289" s="566"/>
      <c r="N289" s="566"/>
      <c r="O289" s="582"/>
      <c r="P289" s="562" t="s">
        <v>75</v>
      </c>
      <c r="Q289" s="563"/>
      <c r="R289" s="563"/>
      <c r="S289" s="563"/>
      <c r="T289" s="563"/>
      <c r="U289" s="563"/>
      <c r="V289" s="564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67" t="s">
        <v>77</v>
      </c>
      <c r="B290" s="566"/>
      <c r="C290" s="566"/>
      <c r="D290" s="566"/>
      <c r="E290" s="566"/>
      <c r="F290" s="566"/>
      <c r="G290" s="566"/>
      <c r="H290" s="566"/>
      <c r="I290" s="566"/>
      <c r="J290" s="566"/>
      <c r="K290" s="566"/>
      <c r="L290" s="566"/>
      <c r="M290" s="566"/>
      <c r="N290" s="566"/>
      <c r="O290" s="566"/>
      <c r="P290" s="566"/>
      <c r="Q290" s="566"/>
      <c r="R290" s="566"/>
      <c r="S290" s="566"/>
      <c r="T290" s="566"/>
      <c r="U290" s="566"/>
      <c r="V290" s="566"/>
      <c r="W290" s="566"/>
      <c r="X290" s="566"/>
      <c r="Y290" s="566"/>
      <c r="Z290" s="566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81"/>
      <c r="B293" s="566"/>
      <c r="C293" s="566"/>
      <c r="D293" s="566"/>
      <c r="E293" s="566"/>
      <c r="F293" s="566"/>
      <c r="G293" s="566"/>
      <c r="H293" s="566"/>
      <c r="I293" s="566"/>
      <c r="J293" s="566"/>
      <c r="K293" s="566"/>
      <c r="L293" s="566"/>
      <c r="M293" s="566"/>
      <c r="N293" s="566"/>
      <c r="O293" s="582"/>
      <c r="P293" s="562" t="s">
        <v>75</v>
      </c>
      <c r="Q293" s="563"/>
      <c r="R293" s="563"/>
      <c r="S293" s="563"/>
      <c r="T293" s="563"/>
      <c r="U293" s="563"/>
      <c r="V293" s="564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6"/>
      <c r="B294" s="566"/>
      <c r="C294" s="566"/>
      <c r="D294" s="566"/>
      <c r="E294" s="566"/>
      <c r="F294" s="566"/>
      <c r="G294" s="566"/>
      <c r="H294" s="566"/>
      <c r="I294" s="566"/>
      <c r="J294" s="566"/>
      <c r="K294" s="566"/>
      <c r="L294" s="566"/>
      <c r="M294" s="566"/>
      <c r="N294" s="566"/>
      <c r="O294" s="582"/>
      <c r="P294" s="562" t="s">
        <v>75</v>
      </c>
      <c r="Q294" s="563"/>
      <c r="R294" s="563"/>
      <c r="S294" s="563"/>
      <c r="T294" s="563"/>
      <c r="U294" s="563"/>
      <c r="V294" s="564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65" t="s">
        <v>472</v>
      </c>
      <c r="B295" s="566"/>
      <c r="C295" s="566"/>
      <c r="D295" s="566"/>
      <c r="E295" s="566"/>
      <c r="F295" s="566"/>
      <c r="G295" s="566"/>
      <c r="H295" s="566"/>
      <c r="I295" s="566"/>
      <c r="J295" s="566"/>
      <c r="K295" s="566"/>
      <c r="L295" s="566"/>
      <c r="M295" s="566"/>
      <c r="N295" s="566"/>
      <c r="O295" s="566"/>
      <c r="P295" s="566"/>
      <c r="Q295" s="566"/>
      <c r="R295" s="566"/>
      <c r="S295" s="566"/>
      <c r="T295" s="566"/>
      <c r="U295" s="566"/>
      <c r="V295" s="566"/>
      <c r="W295" s="566"/>
      <c r="X295" s="566"/>
      <c r="Y295" s="566"/>
      <c r="Z295" s="566"/>
      <c r="AA295" s="544"/>
      <c r="AB295" s="544"/>
      <c r="AC295" s="544"/>
    </row>
    <row r="296" spans="1:68" ht="14.25" hidden="1" customHeight="1" x14ac:dyDescent="0.25">
      <c r="A296" s="567" t="s">
        <v>99</v>
      </c>
      <c r="B296" s="566"/>
      <c r="C296" s="566"/>
      <c r="D296" s="566"/>
      <c r="E296" s="566"/>
      <c r="F296" s="566"/>
      <c r="G296" s="566"/>
      <c r="H296" s="566"/>
      <c r="I296" s="566"/>
      <c r="J296" s="566"/>
      <c r="K296" s="566"/>
      <c r="L296" s="566"/>
      <c r="M296" s="566"/>
      <c r="N296" s="566"/>
      <c r="O296" s="566"/>
      <c r="P296" s="566"/>
      <c r="Q296" s="566"/>
      <c r="R296" s="566"/>
      <c r="S296" s="566"/>
      <c r="T296" s="566"/>
      <c r="U296" s="566"/>
      <c r="V296" s="566"/>
      <c r="W296" s="566"/>
      <c r="X296" s="566"/>
      <c r="Y296" s="566"/>
      <c r="Z296" s="566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8">
        <v>4680115885615</v>
      </c>
      <c r="E297" s="559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8">
        <v>4680115885646</v>
      </c>
      <c r="E298" s="559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8">
        <v>4680115885554</v>
      </c>
      <c r="E299" s="559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8">
        <v>4680115885622</v>
      </c>
      <c r="E300" s="559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0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8">
        <v>4680115885608</v>
      </c>
      <c r="E301" s="559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7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81"/>
      <c r="B302" s="566"/>
      <c r="C302" s="566"/>
      <c r="D302" s="566"/>
      <c r="E302" s="566"/>
      <c r="F302" s="566"/>
      <c r="G302" s="566"/>
      <c r="H302" s="566"/>
      <c r="I302" s="566"/>
      <c r="J302" s="566"/>
      <c r="K302" s="566"/>
      <c r="L302" s="566"/>
      <c r="M302" s="566"/>
      <c r="N302" s="566"/>
      <c r="O302" s="582"/>
      <c r="P302" s="562" t="s">
        <v>75</v>
      </c>
      <c r="Q302" s="563"/>
      <c r="R302" s="563"/>
      <c r="S302" s="563"/>
      <c r="T302" s="563"/>
      <c r="U302" s="563"/>
      <c r="V302" s="564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6"/>
      <c r="B303" s="566"/>
      <c r="C303" s="566"/>
      <c r="D303" s="566"/>
      <c r="E303" s="566"/>
      <c r="F303" s="566"/>
      <c r="G303" s="566"/>
      <c r="H303" s="566"/>
      <c r="I303" s="566"/>
      <c r="J303" s="566"/>
      <c r="K303" s="566"/>
      <c r="L303" s="566"/>
      <c r="M303" s="566"/>
      <c r="N303" s="566"/>
      <c r="O303" s="582"/>
      <c r="P303" s="562" t="s">
        <v>75</v>
      </c>
      <c r="Q303" s="563"/>
      <c r="R303" s="563"/>
      <c r="S303" s="563"/>
      <c r="T303" s="563"/>
      <c r="U303" s="563"/>
      <c r="V303" s="564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67" t="s">
        <v>64</v>
      </c>
      <c r="B304" s="566"/>
      <c r="C304" s="566"/>
      <c r="D304" s="566"/>
      <c r="E304" s="566"/>
      <c r="F304" s="566"/>
      <c r="G304" s="566"/>
      <c r="H304" s="566"/>
      <c r="I304" s="566"/>
      <c r="J304" s="566"/>
      <c r="K304" s="566"/>
      <c r="L304" s="566"/>
      <c r="M304" s="566"/>
      <c r="N304" s="566"/>
      <c r="O304" s="566"/>
      <c r="P304" s="566"/>
      <c r="Q304" s="566"/>
      <c r="R304" s="566"/>
      <c r="S304" s="566"/>
      <c r="T304" s="566"/>
      <c r="U304" s="566"/>
      <c r="V304" s="566"/>
      <c r="W304" s="566"/>
      <c r="X304" s="566"/>
      <c r="Y304" s="566"/>
      <c r="Z304" s="566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8">
        <v>4607091387193</v>
      </c>
      <c r="E305" s="559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8">
        <v>4607091387230</v>
      </c>
      <c r="E306" s="559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8">
        <v>4607091387292</v>
      </c>
      <c r="E307" s="559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8">
        <v>4607091387285</v>
      </c>
      <c r="E308" s="559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8">
        <v>4607091389845</v>
      </c>
      <c r="E309" s="559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8">
        <v>4607091383836</v>
      </c>
      <c r="E310" s="559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81"/>
      <c r="B311" s="566"/>
      <c r="C311" s="566"/>
      <c r="D311" s="566"/>
      <c r="E311" s="566"/>
      <c r="F311" s="566"/>
      <c r="G311" s="566"/>
      <c r="H311" s="566"/>
      <c r="I311" s="566"/>
      <c r="J311" s="566"/>
      <c r="K311" s="566"/>
      <c r="L311" s="566"/>
      <c r="M311" s="566"/>
      <c r="N311" s="566"/>
      <c r="O311" s="582"/>
      <c r="P311" s="562" t="s">
        <v>75</v>
      </c>
      <c r="Q311" s="563"/>
      <c r="R311" s="563"/>
      <c r="S311" s="563"/>
      <c r="T311" s="563"/>
      <c r="U311" s="563"/>
      <c r="V311" s="564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6"/>
      <c r="B312" s="566"/>
      <c r="C312" s="566"/>
      <c r="D312" s="566"/>
      <c r="E312" s="566"/>
      <c r="F312" s="566"/>
      <c r="G312" s="566"/>
      <c r="H312" s="566"/>
      <c r="I312" s="566"/>
      <c r="J312" s="566"/>
      <c r="K312" s="566"/>
      <c r="L312" s="566"/>
      <c r="M312" s="566"/>
      <c r="N312" s="566"/>
      <c r="O312" s="582"/>
      <c r="P312" s="562" t="s">
        <v>75</v>
      </c>
      <c r="Q312" s="563"/>
      <c r="R312" s="563"/>
      <c r="S312" s="563"/>
      <c r="T312" s="563"/>
      <c r="U312" s="563"/>
      <c r="V312" s="564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67" t="s">
        <v>77</v>
      </c>
      <c r="B313" s="566"/>
      <c r="C313" s="566"/>
      <c r="D313" s="566"/>
      <c r="E313" s="566"/>
      <c r="F313" s="566"/>
      <c r="G313" s="566"/>
      <c r="H313" s="566"/>
      <c r="I313" s="566"/>
      <c r="J313" s="566"/>
      <c r="K313" s="566"/>
      <c r="L313" s="566"/>
      <c r="M313" s="566"/>
      <c r="N313" s="566"/>
      <c r="O313" s="566"/>
      <c r="P313" s="566"/>
      <c r="Q313" s="566"/>
      <c r="R313" s="566"/>
      <c r="S313" s="566"/>
      <c r="T313" s="566"/>
      <c r="U313" s="566"/>
      <c r="V313" s="566"/>
      <c r="W313" s="566"/>
      <c r="X313" s="566"/>
      <c r="Y313" s="566"/>
      <c r="Z313" s="566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8">
        <v>4607091387766</v>
      </c>
      <c r="E314" s="559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8">
        <v>4607091387957</v>
      </c>
      <c r="E315" s="559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60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8">
        <v>4607091387964</v>
      </c>
      <c r="E316" s="559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5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8">
        <v>4680115884588</v>
      </c>
      <c r="E317" s="559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81"/>
      <c r="B318" s="566"/>
      <c r="C318" s="566"/>
      <c r="D318" s="566"/>
      <c r="E318" s="566"/>
      <c r="F318" s="566"/>
      <c r="G318" s="566"/>
      <c r="H318" s="566"/>
      <c r="I318" s="566"/>
      <c r="J318" s="566"/>
      <c r="K318" s="566"/>
      <c r="L318" s="566"/>
      <c r="M318" s="566"/>
      <c r="N318" s="566"/>
      <c r="O318" s="582"/>
      <c r="P318" s="562" t="s">
        <v>75</v>
      </c>
      <c r="Q318" s="563"/>
      <c r="R318" s="563"/>
      <c r="S318" s="563"/>
      <c r="T318" s="563"/>
      <c r="U318" s="563"/>
      <c r="V318" s="564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6"/>
      <c r="B319" s="566"/>
      <c r="C319" s="566"/>
      <c r="D319" s="566"/>
      <c r="E319" s="566"/>
      <c r="F319" s="566"/>
      <c r="G319" s="566"/>
      <c r="H319" s="566"/>
      <c r="I319" s="566"/>
      <c r="J319" s="566"/>
      <c r="K319" s="566"/>
      <c r="L319" s="566"/>
      <c r="M319" s="566"/>
      <c r="N319" s="566"/>
      <c r="O319" s="582"/>
      <c r="P319" s="562" t="s">
        <v>75</v>
      </c>
      <c r="Q319" s="563"/>
      <c r="R319" s="563"/>
      <c r="S319" s="563"/>
      <c r="T319" s="563"/>
      <c r="U319" s="563"/>
      <c r="V319" s="564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67" t="s">
        <v>160</v>
      </c>
      <c r="B320" s="566"/>
      <c r="C320" s="566"/>
      <c r="D320" s="566"/>
      <c r="E320" s="566"/>
      <c r="F320" s="566"/>
      <c r="G320" s="566"/>
      <c r="H320" s="566"/>
      <c r="I320" s="566"/>
      <c r="J320" s="566"/>
      <c r="K320" s="566"/>
      <c r="L320" s="566"/>
      <c r="M320" s="566"/>
      <c r="N320" s="566"/>
      <c r="O320" s="566"/>
      <c r="P320" s="566"/>
      <c r="Q320" s="566"/>
      <c r="R320" s="566"/>
      <c r="S320" s="566"/>
      <c r="T320" s="566"/>
      <c r="U320" s="566"/>
      <c r="V320" s="566"/>
      <c r="W320" s="566"/>
      <c r="X320" s="566"/>
      <c r="Y320" s="566"/>
      <c r="Z320" s="566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8">
        <v>4607091380880</v>
      </c>
      <c r="E321" s="559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7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8">
        <v>4607091384482</v>
      </c>
      <c r="E322" s="559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200</v>
      </c>
      <c r="Y322" s="550">
        <f>IFERROR(IF(X322="",0,CEILING((X322/$H322),1)*$H322),"")</f>
        <v>202.79999999999998</v>
      </c>
      <c r="Z322" s="36">
        <f>IFERROR(IF(Y322=0,"",ROUNDUP(Y322/H322,0)*0.01898),"")</f>
        <v>0.49348000000000003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212.66666666666669</v>
      </c>
      <c r="BN322" s="64">
        <f>IFERROR(Y322*I322/H322,"0")</f>
        <v>215.64399999999998</v>
      </c>
      <c r="BO322" s="64">
        <f>IFERROR(1/J322*(X322/H322),"0")</f>
        <v>0.40064102564102566</v>
      </c>
      <c r="BP322" s="64">
        <f>IFERROR(1/J322*(Y322/H322),"0")</f>
        <v>0.40625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8">
        <v>4607091380897</v>
      </c>
      <c r="E323" s="559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81"/>
      <c r="B324" s="566"/>
      <c r="C324" s="566"/>
      <c r="D324" s="566"/>
      <c r="E324" s="566"/>
      <c r="F324" s="566"/>
      <c r="G324" s="566"/>
      <c r="H324" s="566"/>
      <c r="I324" s="566"/>
      <c r="J324" s="566"/>
      <c r="K324" s="566"/>
      <c r="L324" s="566"/>
      <c r="M324" s="566"/>
      <c r="N324" s="566"/>
      <c r="O324" s="582"/>
      <c r="P324" s="562" t="s">
        <v>75</v>
      </c>
      <c r="Q324" s="563"/>
      <c r="R324" s="563"/>
      <c r="S324" s="563"/>
      <c r="T324" s="563"/>
      <c r="U324" s="563"/>
      <c r="V324" s="564"/>
      <c r="W324" s="37" t="s">
        <v>76</v>
      </c>
      <c r="X324" s="551">
        <f>IFERROR(X321/H321,"0")+IFERROR(X322/H322,"0")+IFERROR(X323/H323,"0")</f>
        <v>25.641025641025642</v>
      </c>
      <c r="Y324" s="551">
        <f>IFERROR(Y321/H321,"0")+IFERROR(Y322/H322,"0")+IFERROR(Y323/H323,"0")</f>
        <v>26</v>
      </c>
      <c r="Z324" s="551">
        <f>IFERROR(IF(Z321="",0,Z321),"0")+IFERROR(IF(Z322="",0,Z322),"0")+IFERROR(IF(Z323="",0,Z323),"0")</f>
        <v>0.49348000000000003</v>
      </c>
      <c r="AA324" s="552"/>
      <c r="AB324" s="552"/>
      <c r="AC324" s="552"/>
    </row>
    <row r="325" spans="1:68" x14ac:dyDescent="0.2">
      <c r="A325" s="566"/>
      <c r="B325" s="566"/>
      <c r="C325" s="566"/>
      <c r="D325" s="566"/>
      <c r="E325" s="566"/>
      <c r="F325" s="566"/>
      <c r="G325" s="566"/>
      <c r="H325" s="566"/>
      <c r="I325" s="566"/>
      <c r="J325" s="566"/>
      <c r="K325" s="566"/>
      <c r="L325" s="566"/>
      <c r="M325" s="566"/>
      <c r="N325" s="566"/>
      <c r="O325" s="582"/>
      <c r="P325" s="562" t="s">
        <v>75</v>
      </c>
      <c r="Q325" s="563"/>
      <c r="R325" s="563"/>
      <c r="S325" s="563"/>
      <c r="T325" s="563"/>
      <c r="U325" s="563"/>
      <c r="V325" s="564"/>
      <c r="W325" s="37" t="s">
        <v>69</v>
      </c>
      <c r="X325" s="551">
        <f>IFERROR(SUM(X321:X323),"0")</f>
        <v>200</v>
      </c>
      <c r="Y325" s="551">
        <f>IFERROR(SUM(Y321:Y323),"0")</f>
        <v>202.79999999999998</v>
      </c>
      <c r="Z325" s="37"/>
      <c r="AA325" s="552"/>
      <c r="AB325" s="552"/>
      <c r="AC325" s="552"/>
    </row>
    <row r="326" spans="1:68" ht="14.25" hidden="1" customHeight="1" x14ac:dyDescent="0.25">
      <c r="A326" s="567" t="s">
        <v>91</v>
      </c>
      <c r="B326" s="566"/>
      <c r="C326" s="566"/>
      <c r="D326" s="566"/>
      <c r="E326" s="566"/>
      <c r="F326" s="566"/>
      <c r="G326" s="566"/>
      <c r="H326" s="566"/>
      <c r="I326" s="566"/>
      <c r="J326" s="566"/>
      <c r="K326" s="566"/>
      <c r="L326" s="566"/>
      <c r="M326" s="566"/>
      <c r="N326" s="566"/>
      <c r="O326" s="566"/>
      <c r="P326" s="566"/>
      <c r="Q326" s="566"/>
      <c r="R326" s="566"/>
      <c r="S326" s="566"/>
      <c r="T326" s="566"/>
      <c r="U326" s="566"/>
      <c r="V326" s="566"/>
      <c r="W326" s="566"/>
      <c r="X326" s="566"/>
      <c r="Y326" s="566"/>
      <c r="Z326" s="566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8">
        <v>4607091388381</v>
      </c>
      <c r="E327" s="559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8">
        <v>4607091388374</v>
      </c>
      <c r="E328" s="559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8">
        <v>4607091383102</v>
      </c>
      <c r="E329" s="559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1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8">
        <v>4607091388404</v>
      </c>
      <c r="E330" s="559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17</v>
      </c>
      <c r="Y330" s="550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19.200000000000003</v>
      </c>
      <c r="BN330" s="64">
        <f>IFERROR(Y330*I330/H330,"0")</f>
        <v>20.16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x14ac:dyDescent="0.2">
      <c r="A331" s="581"/>
      <c r="B331" s="566"/>
      <c r="C331" s="566"/>
      <c r="D331" s="566"/>
      <c r="E331" s="566"/>
      <c r="F331" s="566"/>
      <c r="G331" s="566"/>
      <c r="H331" s="566"/>
      <c r="I331" s="566"/>
      <c r="J331" s="566"/>
      <c r="K331" s="566"/>
      <c r="L331" s="566"/>
      <c r="M331" s="566"/>
      <c r="N331" s="566"/>
      <c r="O331" s="582"/>
      <c r="P331" s="562" t="s">
        <v>75</v>
      </c>
      <c r="Q331" s="563"/>
      <c r="R331" s="563"/>
      <c r="S331" s="563"/>
      <c r="T331" s="563"/>
      <c r="U331" s="563"/>
      <c r="V331" s="564"/>
      <c r="W331" s="37" t="s">
        <v>76</v>
      </c>
      <c r="X331" s="551">
        <f>IFERROR(X327/H327,"0")+IFERROR(X328/H328,"0")+IFERROR(X329/H329,"0")+IFERROR(X330/H330,"0")</f>
        <v>6.666666666666667</v>
      </c>
      <c r="Y331" s="551">
        <f>IFERROR(Y327/H327,"0")+IFERROR(Y328/H328,"0")+IFERROR(Y329/H329,"0")+IFERROR(Y330/H330,"0")</f>
        <v>7</v>
      </c>
      <c r="Z331" s="551">
        <f>IFERROR(IF(Z327="",0,Z327),"0")+IFERROR(IF(Z328="",0,Z328),"0")+IFERROR(IF(Z329="",0,Z329),"0")+IFERROR(IF(Z330="",0,Z330),"0")</f>
        <v>4.5569999999999999E-2</v>
      </c>
      <c r="AA331" s="552"/>
      <c r="AB331" s="552"/>
      <c r="AC331" s="552"/>
    </row>
    <row r="332" spans="1:68" x14ac:dyDescent="0.2">
      <c r="A332" s="566"/>
      <c r="B332" s="566"/>
      <c r="C332" s="566"/>
      <c r="D332" s="566"/>
      <c r="E332" s="566"/>
      <c r="F332" s="566"/>
      <c r="G332" s="566"/>
      <c r="H332" s="566"/>
      <c r="I332" s="566"/>
      <c r="J332" s="566"/>
      <c r="K332" s="566"/>
      <c r="L332" s="566"/>
      <c r="M332" s="566"/>
      <c r="N332" s="566"/>
      <c r="O332" s="582"/>
      <c r="P332" s="562" t="s">
        <v>75</v>
      </c>
      <c r="Q332" s="563"/>
      <c r="R332" s="563"/>
      <c r="S332" s="563"/>
      <c r="T332" s="563"/>
      <c r="U332" s="563"/>
      <c r="V332" s="564"/>
      <c r="W332" s="37" t="s">
        <v>69</v>
      </c>
      <c r="X332" s="551">
        <f>IFERROR(SUM(X327:X330),"0")</f>
        <v>17</v>
      </c>
      <c r="Y332" s="551">
        <f>IFERROR(SUM(Y327:Y330),"0")</f>
        <v>17.849999999999998</v>
      </c>
      <c r="Z332" s="37"/>
      <c r="AA332" s="552"/>
      <c r="AB332" s="552"/>
      <c r="AC332" s="552"/>
    </row>
    <row r="333" spans="1:68" ht="14.25" hidden="1" customHeight="1" x14ac:dyDescent="0.25">
      <c r="A333" s="567" t="s">
        <v>534</v>
      </c>
      <c r="B333" s="566"/>
      <c r="C333" s="566"/>
      <c r="D333" s="566"/>
      <c r="E333" s="566"/>
      <c r="F333" s="566"/>
      <c r="G333" s="566"/>
      <c r="H333" s="566"/>
      <c r="I333" s="566"/>
      <c r="J333" s="566"/>
      <c r="K333" s="566"/>
      <c r="L333" s="566"/>
      <c r="M333" s="566"/>
      <c r="N333" s="566"/>
      <c r="O333" s="566"/>
      <c r="P333" s="566"/>
      <c r="Q333" s="566"/>
      <c r="R333" s="566"/>
      <c r="S333" s="566"/>
      <c r="T333" s="566"/>
      <c r="U333" s="566"/>
      <c r="V333" s="566"/>
      <c r="W333" s="566"/>
      <c r="X333" s="566"/>
      <c r="Y333" s="566"/>
      <c r="Z333" s="566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8">
        <v>4680115881808</v>
      </c>
      <c r="E334" s="559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8">
        <v>4680115881822</v>
      </c>
      <c r="E335" s="559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8">
        <v>4680115880016</v>
      </c>
      <c r="E336" s="559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81"/>
      <c r="B337" s="566"/>
      <c r="C337" s="566"/>
      <c r="D337" s="566"/>
      <c r="E337" s="566"/>
      <c r="F337" s="566"/>
      <c r="G337" s="566"/>
      <c r="H337" s="566"/>
      <c r="I337" s="566"/>
      <c r="J337" s="566"/>
      <c r="K337" s="566"/>
      <c r="L337" s="566"/>
      <c r="M337" s="566"/>
      <c r="N337" s="566"/>
      <c r="O337" s="582"/>
      <c r="P337" s="562" t="s">
        <v>75</v>
      </c>
      <c r="Q337" s="563"/>
      <c r="R337" s="563"/>
      <c r="S337" s="563"/>
      <c r="T337" s="563"/>
      <c r="U337" s="563"/>
      <c r="V337" s="564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66"/>
      <c r="B338" s="566"/>
      <c r="C338" s="566"/>
      <c r="D338" s="566"/>
      <c r="E338" s="566"/>
      <c r="F338" s="566"/>
      <c r="G338" s="566"/>
      <c r="H338" s="566"/>
      <c r="I338" s="566"/>
      <c r="J338" s="566"/>
      <c r="K338" s="566"/>
      <c r="L338" s="566"/>
      <c r="M338" s="566"/>
      <c r="N338" s="566"/>
      <c r="O338" s="582"/>
      <c r="P338" s="562" t="s">
        <v>75</v>
      </c>
      <c r="Q338" s="563"/>
      <c r="R338" s="563"/>
      <c r="S338" s="563"/>
      <c r="T338" s="563"/>
      <c r="U338" s="563"/>
      <c r="V338" s="564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65" t="s">
        <v>543</v>
      </c>
      <c r="B339" s="566"/>
      <c r="C339" s="566"/>
      <c r="D339" s="566"/>
      <c r="E339" s="566"/>
      <c r="F339" s="566"/>
      <c r="G339" s="566"/>
      <c r="H339" s="566"/>
      <c r="I339" s="566"/>
      <c r="J339" s="566"/>
      <c r="K339" s="566"/>
      <c r="L339" s="566"/>
      <c r="M339" s="566"/>
      <c r="N339" s="566"/>
      <c r="O339" s="566"/>
      <c r="P339" s="566"/>
      <c r="Q339" s="566"/>
      <c r="R339" s="566"/>
      <c r="S339" s="566"/>
      <c r="T339" s="566"/>
      <c r="U339" s="566"/>
      <c r="V339" s="566"/>
      <c r="W339" s="566"/>
      <c r="X339" s="566"/>
      <c r="Y339" s="566"/>
      <c r="Z339" s="566"/>
      <c r="AA339" s="544"/>
      <c r="AB339" s="544"/>
      <c r="AC339" s="544"/>
    </row>
    <row r="340" spans="1:68" ht="14.25" hidden="1" customHeight="1" x14ac:dyDescent="0.25">
      <c r="A340" s="567" t="s">
        <v>77</v>
      </c>
      <c r="B340" s="566"/>
      <c r="C340" s="566"/>
      <c r="D340" s="566"/>
      <c r="E340" s="566"/>
      <c r="F340" s="566"/>
      <c r="G340" s="566"/>
      <c r="H340" s="566"/>
      <c r="I340" s="566"/>
      <c r="J340" s="566"/>
      <c r="K340" s="566"/>
      <c r="L340" s="566"/>
      <c r="M340" s="566"/>
      <c r="N340" s="566"/>
      <c r="O340" s="566"/>
      <c r="P340" s="566"/>
      <c r="Q340" s="566"/>
      <c r="R340" s="566"/>
      <c r="S340" s="566"/>
      <c r="T340" s="566"/>
      <c r="U340" s="566"/>
      <c r="V340" s="566"/>
      <c r="W340" s="566"/>
      <c r="X340" s="566"/>
      <c r="Y340" s="566"/>
      <c r="Z340" s="566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8">
        <v>4607091387919</v>
      </c>
      <c r="E341" s="559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8">
        <v>4680115883604</v>
      </c>
      <c r="E342" s="559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8">
        <v>4680115883567</v>
      </c>
      <c r="E343" s="559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7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81"/>
      <c r="B344" s="566"/>
      <c r="C344" s="566"/>
      <c r="D344" s="566"/>
      <c r="E344" s="566"/>
      <c r="F344" s="566"/>
      <c r="G344" s="566"/>
      <c r="H344" s="566"/>
      <c r="I344" s="566"/>
      <c r="J344" s="566"/>
      <c r="K344" s="566"/>
      <c r="L344" s="566"/>
      <c r="M344" s="566"/>
      <c r="N344" s="566"/>
      <c r="O344" s="582"/>
      <c r="P344" s="562" t="s">
        <v>75</v>
      </c>
      <c r="Q344" s="563"/>
      <c r="R344" s="563"/>
      <c r="S344" s="563"/>
      <c r="T344" s="563"/>
      <c r="U344" s="563"/>
      <c r="V344" s="564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6"/>
      <c r="B345" s="566"/>
      <c r="C345" s="566"/>
      <c r="D345" s="566"/>
      <c r="E345" s="566"/>
      <c r="F345" s="566"/>
      <c r="G345" s="566"/>
      <c r="H345" s="566"/>
      <c r="I345" s="566"/>
      <c r="J345" s="566"/>
      <c r="K345" s="566"/>
      <c r="L345" s="566"/>
      <c r="M345" s="566"/>
      <c r="N345" s="566"/>
      <c r="O345" s="582"/>
      <c r="P345" s="562" t="s">
        <v>75</v>
      </c>
      <c r="Q345" s="563"/>
      <c r="R345" s="563"/>
      <c r="S345" s="563"/>
      <c r="T345" s="563"/>
      <c r="U345" s="563"/>
      <c r="V345" s="564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61" t="s">
        <v>553</v>
      </c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2"/>
      <c r="U346" s="662"/>
      <c r="V346" s="662"/>
      <c r="W346" s="662"/>
      <c r="X346" s="662"/>
      <c r="Y346" s="662"/>
      <c r="Z346" s="662"/>
      <c r="AA346" s="48"/>
      <c r="AB346" s="48"/>
      <c r="AC346" s="48"/>
    </row>
    <row r="347" spans="1:68" ht="16.5" hidden="1" customHeight="1" x14ac:dyDescent="0.25">
      <c r="A347" s="565" t="s">
        <v>554</v>
      </c>
      <c r="B347" s="566"/>
      <c r="C347" s="566"/>
      <c r="D347" s="566"/>
      <c r="E347" s="566"/>
      <c r="F347" s="566"/>
      <c r="G347" s="566"/>
      <c r="H347" s="566"/>
      <c r="I347" s="566"/>
      <c r="J347" s="566"/>
      <c r="K347" s="566"/>
      <c r="L347" s="566"/>
      <c r="M347" s="566"/>
      <c r="N347" s="566"/>
      <c r="O347" s="566"/>
      <c r="P347" s="566"/>
      <c r="Q347" s="566"/>
      <c r="R347" s="566"/>
      <c r="S347" s="566"/>
      <c r="T347" s="566"/>
      <c r="U347" s="566"/>
      <c r="V347" s="566"/>
      <c r="W347" s="566"/>
      <c r="X347" s="566"/>
      <c r="Y347" s="566"/>
      <c r="Z347" s="566"/>
      <c r="AA347" s="544"/>
      <c r="AB347" s="544"/>
      <c r="AC347" s="544"/>
    </row>
    <row r="348" spans="1:68" ht="14.25" hidden="1" customHeight="1" x14ac:dyDescent="0.25">
      <c r="A348" s="567" t="s">
        <v>99</v>
      </c>
      <c r="B348" s="566"/>
      <c r="C348" s="566"/>
      <c r="D348" s="566"/>
      <c r="E348" s="566"/>
      <c r="F348" s="566"/>
      <c r="G348" s="566"/>
      <c r="H348" s="566"/>
      <c r="I348" s="566"/>
      <c r="J348" s="566"/>
      <c r="K348" s="566"/>
      <c r="L348" s="566"/>
      <c r="M348" s="566"/>
      <c r="N348" s="566"/>
      <c r="O348" s="566"/>
      <c r="P348" s="566"/>
      <c r="Q348" s="566"/>
      <c r="R348" s="566"/>
      <c r="S348" s="566"/>
      <c r="T348" s="566"/>
      <c r="U348" s="566"/>
      <c r="V348" s="566"/>
      <c r="W348" s="566"/>
      <c r="X348" s="566"/>
      <c r="Y348" s="566"/>
      <c r="Z348" s="566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8">
        <v>4680115884847</v>
      </c>
      <c r="E349" s="559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8">
        <v>4680115884854</v>
      </c>
      <c r="E350" s="559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100</v>
      </c>
      <c r="Y350" s="550">
        <f t="shared" si="36"/>
        <v>105</v>
      </c>
      <c r="Z350" s="36">
        <f>IFERROR(IF(Y350=0,"",ROUNDUP(Y350/H350,0)*0.02175),"")</f>
        <v>0.15225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103.13333333333334</v>
      </c>
      <c r="BN350" s="64">
        <f t="shared" si="38"/>
        <v>108.29</v>
      </c>
      <c r="BO350" s="64">
        <f t="shared" si="39"/>
        <v>0.1388888888888889</v>
      </c>
      <c r="BP350" s="64">
        <f t="shared" si="40"/>
        <v>0.14583333333333331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8">
        <v>4680115887046</v>
      </c>
      <c r="E351" s="559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0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300</v>
      </c>
      <c r="Y352" s="550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8">
        <v>4680115882638</v>
      </c>
      <c r="E353" s="559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8">
        <v>4680115884922</v>
      </c>
      <c r="E354" s="559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8">
        <v>4680115884861</v>
      </c>
      <c r="E355" s="559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81"/>
      <c r="B356" s="566"/>
      <c r="C356" s="566"/>
      <c r="D356" s="566"/>
      <c r="E356" s="566"/>
      <c r="F356" s="566"/>
      <c r="G356" s="566"/>
      <c r="H356" s="566"/>
      <c r="I356" s="566"/>
      <c r="J356" s="566"/>
      <c r="K356" s="566"/>
      <c r="L356" s="566"/>
      <c r="M356" s="566"/>
      <c r="N356" s="566"/>
      <c r="O356" s="582"/>
      <c r="P356" s="562" t="s">
        <v>75</v>
      </c>
      <c r="Q356" s="563"/>
      <c r="R356" s="563"/>
      <c r="S356" s="563"/>
      <c r="T356" s="563"/>
      <c r="U356" s="563"/>
      <c r="V356" s="564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26.666666666666668</v>
      </c>
      <c r="Y356" s="551">
        <f>IFERROR(Y349/H349,"0")+IFERROR(Y350/H350,"0")+IFERROR(Y351/H351,"0")+IFERROR(Y352/H352,"0")+IFERROR(Y353/H353,"0")+IFERROR(Y354/H354,"0")+IFERROR(Y355/H355,"0")</f>
        <v>27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0.58724999999999994</v>
      </c>
      <c r="AA356" s="552"/>
      <c r="AB356" s="552"/>
      <c r="AC356" s="552"/>
    </row>
    <row r="357" spans="1:68" x14ac:dyDescent="0.2">
      <c r="A357" s="566"/>
      <c r="B357" s="566"/>
      <c r="C357" s="566"/>
      <c r="D357" s="566"/>
      <c r="E357" s="566"/>
      <c r="F357" s="566"/>
      <c r="G357" s="566"/>
      <c r="H357" s="566"/>
      <c r="I357" s="566"/>
      <c r="J357" s="566"/>
      <c r="K357" s="566"/>
      <c r="L357" s="566"/>
      <c r="M357" s="566"/>
      <c r="N357" s="566"/>
      <c r="O357" s="582"/>
      <c r="P357" s="562" t="s">
        <v>75</v>
      </c>
      <c r="Q357" s="563"/>
      <c r="R357" s="563"/>
      <c r="S357" s="563"/>
      <c r="T357" s="563"/>
      <c r="U357" s="563"/>
      <c r="V357" s="564"/>
      <c r="W357" s="37" t="s">
        <v>69</v>
      </c>
      <c r="X357" s="551">
        <f>IFERROR(SUM(X349:X355),"0")</f>
        <v>400</v>
      </c>
      <c r="Y357" s="551">
        <f>IFERROR(SUM(Y349:Y355),"0")</f>
        <v>405</v>
      </c>
      <c r="Z357" s="37"/>
      <c r="AA357" s="552"/>
      <c r="AB357" s="552"/>
      <c r="AC357" s="552"/>
    </row>
    <row r="358" spans="1:68" ht="14.25" hidden="1" customHeight="1" x14ac:dyDescent="0.25">
      <c r="A358" s="567" t="s">
        <v>135</v>
      </c>
      <c r="B358" s="566"/>
      <c r="C358" s="566"/>
      <c r="D358" s="566"/>
      <c r="E358" s="566"/>
      <c r="F358" s="566"/>
      <c r="G358" s="566"/>
      <c r="H358" s="566"/>
      <c r="I358" s="566"/>
      <c r="J358" s="566"/>
      <c r="K358" s="566"/>
      <c r="L358" s="566"/>
      <c r="M358" s="566"/>
      <c r="N358" s="566"/>
      <c r="O358" s="566"/>
      <c r="P358" s="566"/>
      <c r="Q358" s="566"/>
      <c r="R358" s="566"/>
      <c r="S358" s="566"/>
      <c r="T358" s="566"/>
      <c r="U358" s="566"/>
      <c r="V358" s="566"/>
      <c r="W358" s="566"/>
      <c r="X358" s="566"/>
      <c r="Y358" s="566"/>
      <c r="Z358" s="566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8">
        <v>4607091383980</v>
      </c>
      <c r="E359" s="559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295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304.2433333333334</v>
      </c>
      <c r="BN359" s="64">
        <f>IFERROR(Y359*I359/H359,"0")</f>
        <v>309.39999999999998</v>
      </c>
      <c r="BO359" s="64">
        <f>IFERROR(1/J359*(X359/H359),"0")</f>
        <v>0.40972222222222221</v>
      </c>
      <c r="BP359" s="64">
        <f>IFERROR(1/J359*(Y359/H359),"0")</f>
        <v>0.41666666666666663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8">
        <v>4607091384178</v>
      </c>
      <c r="E360" s="559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81"/>
      <c r="B361" s="566"/>
      <c r="C361" s="566"/>
      <c r="D361" s="566"/>
      <c r="E361" s="566"/>
      <c r="F361" s="566"/>
      <c r="G361" s="566"/>
      <c r="H361" s="566"/>
      <c r="I361" s="566"/>
      <c r="J361" s="566"/>
      <c r="K361" s="566"/>
      <c r="L361" s="566"/>
      <c r="M361" s="566"/>
      <c r="N361" s="566"/>
      <c r="O361" s="582"/>
      <c r="P361" s="562" t="s">
        <v>75</v>
      </c>
      <c r="Q361" s="563"/>
      <c r="R361" s="563"/>
      <c r="S361" s="563"/>
      <c r="T361" s="563"/>
      <c r="U361" s="563"/>
      <c r="V361" s="564"/>
      <c r="W361" s="37" t="s">
        <v>76</v>
      </c>
      <c r="X361" s="551">
        <f>IFERROR(X359/H359,"0")+IFERROR(X360/H360,"0")</f>
        <v>19.666666666666668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6"/>
      <c r="B362" s="566"/>
      <c r="C362" s="566"/>
      <c r="D362" s="566"/>
      <c r="E362" s="566"/>
      <c r="F362" s="566"/>
      <c r="G362" s="566"/>
      <c r="H362" s="566"/>
      <c r="I362" s="566"/>
      <c r="J362" s="566"/>
      <c r="K362" s="566"/>
      <c r="L362" s="566"/>
      <c r="M362" s="566"/>
      <c r="N362" s="566"/>
      <c r="O362" s="582"/>
      <c r="P362" s="562" t="s">
        <v>75</v>
      </c>
      <c r="Q362" s="563"/>
      <c r="R362" s="563"/>
      <c r="S362" s="563"/>
      <c r="T362" s="563"/>
      <c r="U362" s="563"/>
      <c r="V362" s="564"/>
      <c r="W362" s="37" t="s">
        <v>69</v>
      </c>
      <c r="X362" s="551">
        <f>IFERROR(SUM(X359:X360),"0")</f>
        <v>295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hidden="1" customHeight="1" x14ac:dyDescent="0.25">
      <c r="A363" s="567" t="s">
        <v>77</v>
      </c>
      <c r="B363" s="566"/>
      <c r="C363" s="566"/>
      <c r="D363" s="566"/>
      <c r="E363" s="566"/>
      <c r="F363" s="566"/>
      <c r="G363" s="566"/>
      <c r="H363" s="566"/>
      <c r="I363" s="566"/>
      <c r="J363" s="566"/>
      <c r="K363" s="566"/>
      <c r="L363" s="566"/>
      <c r="M363" s="566"/>
      <c r="N363" s="566"/>
      <c r="O363" s="566"/>
      <c r="P363" s="566"/>
      <c r="Q363" s="566"/>
      <c r="R363" s="566"/>
      <c r="S363" s="566"/>
      <c r="T363" s="566"/>
      <c r="U363" s="566"/>
      <c r="V363" s="566"/>
      <c r="W363" s="566"/>
      <c r="X363" s="566"/>
      <c r="Y363" s="566"/>
      <c r="Z363" s="566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8">
        <v>4607091383928</v>
      </c>
      <c r="E364" s="559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8">
        <v>4607091384260</v>
      </c>
      <c r="E365" s="559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81"/>
      <c r="B366" s="566"/>
      <c r="C366" s="566"/>
      <c r="D366" s="566"/>
      <c r="E366" s="566"/>
      <c r="F366" s="566"/>
      <c r="G366" s="566"/>
      <c r="H366" s="566"/>
      <c r="I366" s="566"/>
      <c r="J366" s="566"/>
      <c r="K366" s="566"/>
      <c r="L366" s="566"/>
      <c r="M366" s="566"/>
      <c r="N366" s="566"/>
      <c r="O366" s="582"/>
      <c r="P366" s="562" t="s">
        <v>75</v>
      </c>
      <c r="Q366" s="563"/>
      <c r="R366" s="563"/>
      <c r="S366" s="563"/>
      <c r="T366" s="563"/>
      <c r="U366" s="563"/>
      <c r="V366" s="564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6"/>
      <c r="B367" s="566"/>
      <c r="C367" s="566"/>
      <c r="D367" s="566"/>
      <c r="E367" s="566"/>
      <c r="F367" s="566"/>
      <c r="G367" s="566"/>
      <c r="H367" s="566"/>
      <c r="I367" s="566"/>
      <c r="J367" s="566"/>
      <c r="K367" s="566"/>
      <c r="L367" s="566"/>
      <c r="M367" s="566"/>
      <c r="N367" s="566"/>
      <c r="O367" s="582"/>
      <c r="P367" s="562" t="s">
        <v>75</v>
      </c>
      <c r="Q367" s="563"/>
      <c r="R367" s="563"/>
      <c r="S367" s="563"/>
      <c r="T367" s="563"/>
      <c r="U367" s="563"/>
      <c r="V367" s="564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67" t="s">
        <v>160</v>
      </c>
      <c r="B368" s="566"/>
      <c r="C368" s="566"/>
      <c r="D368" s="566"/>
      <c r="E368" s="566"/>
      <c r="F368" s="566"/>
      <c r="G368" s="566"/>
      <c r="H368" s="566"/>
      <c r="I368" s="566"/>
      <c r="J368" s="566"/>
      <c r="K368" s="566"/>
      <c r="L368" s="566"/>
      <c r="M368" s="566"/>
      <c r="N368" s="566"/>
      <c r="O368" s="566"/>
      <c r="P368" s="566"/>
      <c r="Q368" s="566"/>
      <c r="R368" s="566"/>
      <c r="S368" s="566"/>
      <c r="T368" s="566"/>
      <c r="U368" s="566"/>
      <c r="V368" s="566"/>
      <c r="W368" s="566"/>
      <c r="X368" s="566"/>
      <c r="Y368" s="566"/>
      <c r="Z368" s="566"/>
      <c r="AA368" s="545"/>
      <c r="AB368" s="545"/>
      <c r="AC368" s="545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8">
        <v>4607091384673</v>
      </c>
      <c r="E369" s="559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81"/>
      <c r="B370" s="566"/>
      <c r="C370" s="566"/>
      <c r="D370" s="566"/>
      <c r="E370" s="566"/>
      <c r="F370" s="566"/>
      <c r="G370" s="566"/>
      <c r="H370" s="566"/>
      <c r="I370" s="566"/>
      <c r="J370" s="566"/>
      <c r="K370" s="566"/>
      <c r="L370" s="566"/>
      <c r="M370" s="566"/>
      <c r="N370" s="566"/>
      <c r="O370" s="582"/>
      <c r="P370" s="562" t="s">
        <v>75</v>
      </c>
      <c r="Q370" s="563"/>
      <c r="R370" s="563"/>
      <c r="S370" s="563"/>
      <c r="T370" s="563"/>
      <c r="U370" s="563"/>
      <c r="V370" s="564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66"/>
      <c r="B371" s="566"/>
      <c r="C371" s="566"/>
      <c r="D371" s="566"/>
      <c r="E371" s="566"/>
      <c r="F371" s="566"/>
      <c r="G371" s="566"/>
      <c r="H371" s="566"/>
      <c r="I371" s="566"/>
      <c r="J371" s="566"/>
      <c r="K371" s="566"/>
      <c r="L371" s="566"/>
      <c r="M371" s="566"/>
      <c r="N371" s="566"/>
      <c r="O371" s="582"/>
      <c r="P371" s="562" t="s">
        <v>75</v>
      </c>
      <c r="Q371" s="563"/>
      <c r="R371" s="563"/>
      <c r="S371" s="563"/>
      <c r="T371" s="563"/>
      <c r="U371" s="563"/>
      <c r="V371" s="564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65" t="s">
        <v>589</v>
      </c>
      <c r="B372" s="566"/>
      <c r="C372" s="566"/>
      <c r="D372" s="566"/>
      <c r="E372" s="566"/>
      <c r="F372" s="566"/>
      <c r="G372" s="566"/>
      <c r="H372" s="566"/>
      <c r="I372" s="566"/>
      <c r="J372" s="566"/>
      <c r="K372" s="566"/>
      <c r="L372" s="566"/>
      <c r="M372" s="566"/>
      <c r="N372" s="566"/>
      <c r="O372" s="566"/>
      <c r="P372" s="566"/>
      <c r="Q372" s="566"/>
      <c r="R372" s="566"/>
      <c r="S372" s="566"/>
      <c r="T372" s="566"/>
      <c r="U372" s="566"/>
      <c r="V372" s="566"/>
      <c r="W372" s="566"/>
      <c r="X372" s="566"/>
      <c r="Y372" s="566"/>
      <c r="Z372" s="566"/>
      <c r="AA372" s="544"/>
      <c r="AB372" s="544"/>
      <c r="AC372" s="544"/>
    </row>
    <row r="373" spans="1:68" ht="14.25" hidden="1" customHeight="1" x14ac:dyDescent="0.25">
      <c r="A373" s="567" t="s">
        <v>99</v>
      </c>
      <c r="B373" s="566"/>
      <c r="C373" s="566"/>
      <c r="D373" s="566"/>
      <c r="E373" s="566"/>
      <c r="F373" s="566"/>
      <c r="G373" s="566"/>
      <c r="H373" s="566"/>
      <c r="I373" s="566"/>
      <c r="J373" s="566"/>
      <c r="K373" s="566"/>
      <c r="L373" s="566"/>
      <c r="M373" s="566"/>
      <c r="N373" s="566"/>
      <c r="O373" s="566"/>
      <c r="P373" s="566"/>
      <c r="Q373" s="566"/>
      <c r="R373" s="566"/>
      <c r="S373" s="566"/>
      <c r="T373" s="566"/>
      <c r="U373" s="566"/>
      <c r="V373" s="566"/>
      <c r="W373" s="566"/>
      <c r="X373" s="566"/>
      <c r="Y373" s="566"/>
      <c r="Z373" s="566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8">
        <v>4680115884885</v>
      </c>
      <c r="E374" s="559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8">
        <v>4680115884908</v>
      </c>
      <c r="E375" s="559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81"/>
      <c r="B376" s="566"/>
      <c r="C376" s="566"/>
      <c r="D376" s="566"/>
      <c r="E376" s="566"/>
      <c r="F376" s="566"/>
      <c r="G376" s="566"/>
      <c r="H376" s="566"/>
      <c r="I376" s="566"/>
      <c r="J376" s="566"/>
      <c r="K376" s="566"/>
      <c r="L376" s="566"/>
      <c r="M376" s="566"/>
      <c r="N376" s="566"/>
      <c r="O376" s="582"/>
      <c r="P376" s="562" t="s">
        <v>75</v>
      </c>
      <c r="Q376" s="563"/>
      <c r="R376" s="563"/>
      <c r="S376" s="563"/>
      <c r="T376" s="563"/>
      <c r="U376" s="563"/>
      <c r="V376" s="564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6"/>
      <c r="B377" s="566"/>
      <c r="C377" s="566"/>
      <c r="D377" s="566"/>
      <c r="E377" s="566"/>
      <c r="F377" s="566"/>
      <c r="G377" s="566"/>
      <c r="H377" s="566"/>
      <c r="I377" s="566"/>
      <c r="J377" s="566"/>
      <c r="K377" s="566"/>
      <c r="L377" s="566"/>
      <c r="M377" s="566"/>
      <c r="N377" s="566"/>
      <c r="O377" s="582"/>
      <c r="P377" s="562" t="s">
        <v>75</v>
      </c>
      <c r="Q377" s="563"/>
      <c r="R377" s="563"/>
      <c r="S377" s="563"/>
      <c r="T377" s="563"/>
      <c r="U377" s="563"/>
      <c r="V377" s="564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67" t="s">
        <v>64</v>
      </c>
      <c r="B378" s="566"/>
      <c r="C378" s="566"/>
      <c r="D378" s="566"/>
      <c r="E378" s="566"/>
      <c r="F378" s="566"/>
      <c r="G378" s="566"/>
      <c r="H378" s="566"/>
      <c r="I378" s="566"/>
      <c r="J378" s="566"/>
      <c r="K378" s="566"/>
      <c r="L378" s="566"/>
      <c r="M378" s="566"/>
      <c r="N378" s="566"/>
      <c r="O378" s="566"/>
      <c r="P378" s="566"/>
      <c r="Q378" s="566"/>
      <c r="R378" s="566"/>
      <c r="S378" s="566"/>
      <c r="T378" s="566"/>
      <c r="U378" s="566"/>
      <c r="V378" s="566"/>
      <c r="W378" s="566"/>
      <c r="X378" s="566"/>
      <c r="Y378" s="566"/>
      <c r="Z378" s="566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8">
        <v>4607091384802</v>
      </c>
      <c r="E379" s="559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8">
        <v>4607091384802</v>
      </c>
      <c r="E380" s="559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81"/>
      <c r="B381" s="566"/>
      <c r="C381" s="566"/>
      <c r="D381" s="566"/>
      <c r="E381" s="566"/>
      <c r="F381" s="566"/>
      <c r="G381" s="566"/>
      <c r="H381" s="566"/>
      <c r="I381" s="566"/>
      <c r="J381" s="566"/>
      <c r="K381" s="566"/>
      <c r="L381" s="566"/>
      <c r="M381" s="566"/>
      <c r="N381" s="566"/>
      <c r="O381" s="582"/>
      <c r="P381" s="562" t="s">
        <v>75</v>
      </c>
      <c r="Q381" s="563"/>
      <c r="R381" s="563"/>
      <c r="S381" s="563"/>
      <c r="T381" s="563"/>
      <c r="U381" s="563"/>
      <c r="V381" s="564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6"/>
      <c r="B382" s="566"/>
      <c r="C382" s="566"/>
      <c r="D382" s="566"/>
      <c r="E382" s="566"/>
      <c r="F382" s="566"/>
      <c r="G382" s="566"/>
      <c r="H382" s="566"/>
      <c r="I382" s="566"/>
      <c r="J382" s="566"/>
      <c r="K382" s="566"/>
      <c r="L382" s="566"/>
      <c r="M382" s="566"/>
      <c r="N382" s="566"/>
      <c r="O382" s="582"/>
      <c r="P382" s="562" t="s">
        <v>75</v>
      </c>
      <c r="Q382" s="563"/>
      <c r="R382" s="563"/>
      <c r="S382" s="563"/>
      <c r="T382" s="563"/>
      <c r="U382" s="563"/>
      <c r="V382" s="564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67" t="s">
        <v>77</v>
      </c>
      <c r="B383" s="566"/>
      <c r="C383" s="566"/>
      <c r="D383" s="566"/>
      <c r="E383" s="566"/>
      <c r="F383" s="566"/>
      <c r="G383" s="566"/>
      <c r="H383" s="566"/>
      <c r="I383" s="566"/>
      <c r="J383" s="566"/>
      <c r="K383" s="566"/>
      <c r="L383" s="566"/>
      <c r="M383" s="566"/>
      <c r="N383" s="566"/>
      <c r="O383" s="566"/>
      <c r="P383" s="566"/>
      <c r="Q383" s="566"/>
      <c r="R383" s="566"/>
      <c r="S383" s="566"/>
      <c r="T383" s="566"/>
      <c r="U383" s="566"/>
      <c r="V383" s="566"/>
      <c r="W383" s="566"/>
      <c r="X383" s="566"/>
      <c r="Y383" s="566"/>
      <c r="Z383" s="566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8">
        <v>4607091384246</v>
      </c>
      <c r="E384" s="559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800</v>
      </c>
      <c r="Y384" s="550">
        <f>IFERROR(IF(X384="",0,CEILING((X384/$H384),1)*$H384),"")</f>
        <v>801</v>
      </c>
      <c r="Z384" s="36">
        <f>IFERROR(IF(Y384=0,"",ROUNDUP(Y384/H384,0)*0.01898),"")</f>
        <v>1.6892199999999999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843.91111111111104</v>
      </c>
      <c r="BN384" s="64">
        <f>IFERROR(Y384*I384/H384,"0")</f>
        <v>844.96599999999989</v>
      </c>
      <c r="BO384" s="64">
        <f>IFERROR(1/J384*(X384/H384),"0")</f>
        <v>1.3888888888888888</v>
      </c>
      <c r="BP384" s="64">
        <f>IFERROR(1/J384*(Y384/H384),"0")</f>
        <v>1.390625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8">
        <v>4607091384253</v>
      </c>
      <c r="E385" s="559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606</v>
      </c>
      <c r="C386" s="31">
        <v>4301051660</v>
      </c>
      <c r="D386" s="558">
        <v>4607091384253</v>
      </c>
      <c r="E386" s="559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81"/>
      <c r="B387" s="566"/>
      <c r="C387" s="566"/>
      <c r="D387" s="566"/>
      <c r="E387" s="566"/>
      <c r="F387" s="566"/>
      <c r="G387" s="566"/>
      <c r="H387" s="566"/>
      <c r="I387" s="566"/>
      <c r="J387" s="566"/>
      <c r="K387" s="566"/>
      <c r="L387" s="566"/>
      <c r="M387" s="566"/>
      <c r="N387" s="566"/>
      <c r="O387" s="582"/>
      <c r="P387" s="562" t="s">
        <v>75</v>
      </c>
      <c r="Q387" s="563"/>
      <c r="R387" s="563"/>
      <c r="S387" s="563"/>
      <c r="T387" s="563"/>
      <c r="U387" s="563"/>
      <c r="V387" s="564"/>
      <c r="W387" s="37" t="s">
        <v>76</v>
      </c>
      <c r="X387" s="551">
        <f>IFERROR(X384/H384,"0")+IFERROR(X385/H385,"0")+IFERROR(X386/H386,"0")</f>
        <v>88.888888888888886</v>
      </c>
      <c r="Y387" s="551">
        <f>IFERROR(Y384/H384,"0")+IFERROR(Y385/H385,"0")+IFERROR(Y386/H386,"0")</f>
        <v>89</v>
      </c>
      <c r="Z387" s="551">
        <f>IFERROR(IF(Z384="",0,Z384),"0")+IFERROR(IF(Z385="",0,Z385),"0")+IFERROR(IF(Z386="",0,Z386),"0")</f>
        <v>1.6892199999999999</v>
      </c>
      <c r="AA387" s="552"/>
      <c r="AB387" s="552"/>
      <c r="AC387" s="552"/>
    </row>
    <row r="388" spans="1:68" x14ac:dyDescent="0.2">
      <c r="A388" s="566"/>
      <c r="B388" s="566"/>
      <c r="C388" s="566"/>
      <c r="D388" s="566"/>
      <c r="E388" s="566"/>
      <c r="F388" s="566"/>
      <c r="G388" s="566"/>
      <c r="H388" s="566"/>
      <c r="I388" s="566"/>
      <c r="J388" s="566"/>
      <c r="K388" s="566"/>
      <c r="L388" s="566"/>
      <c r="M388" s="566"/>
      <c r="N388" s="566"/>
      <c r="O388" s="582"/>
      <c r="P388" s="562" t="s">
        <v>75</v>
      </c>
      <c r="Q388" s="563"/>
      <c r="R388" s="563"/>
      <c r="S388" s="563"/>
      <c r="T388" s="563"/>
      <c r="U388" s="563"/>
      <c r="V388" s="564"/>
      <c r="W388" s="37" t="s">
        <v>69</v>
      </c>
      <c r="X388" s="551">
        <f>IFERROR(SUM(X384:X386),"0")</f>
        <v>800</v>
      </c>
      <c r="Y388" s="551">
        <f>IFERROR(SUM(Y384:Y386),"0")</f>
        <v>801</v>
      </c>
      <c r="Z388" s="37"/>
      <c r="AA388" s="552"/>
      <c r="AB388" s="552"/>
      <c r="AC388" s="552"/>
    </row>
    <row r="389" spans="1:68" ht="27.75" hidden="1" customHeight="1" x14ac:dyDescent="0.2">
      <c r="A389" s="661" t="s">
        <v>607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48"/>
      <c r="AB389" s="48"/>
      <c r="AC389" s="48"/>
    </row>
    <row r="390" spans="1:68" ht="16.5" hidden="1" customHeight="1" x14ac:dyDescent="0.25">
      <c r="A390" s="565" t="s">
        <v>608</v>
      </c>
      <c r="B390" s="566"/>
      <c r="C390" s="566"/>
      <c r="D390" s="566"/>
      <c r="E390" s="566"/>
      <c r="F390" s="566"/>
      <c r="G390" s="566"/>
      <c r="H390" s="566"/>
      <c r="I390" s="566"/>
      <c r="J390" s="566"/>
      <c r="K390" s="566"/>
      <c r="L390" s="566"/>
      <c r="M390" s="566"/>
      <c r="N390" s="566"/>
      <c r="O390" s="566"/>
      <c r="P390" s="566"/>
      <c r="Q390" s="566"/>
      <c r="R390" s="566"/>
      <c r="S390" s="566"/>
      <c r="T390" s="566"/>
      <c r="U390" s="566"/>
      <c r="V390" s="566"/>
      <c r="W390" s="566"/>
      <c r="X390" s="566"/>
      <c r="Y390" s="566"/>
      <c r="Z390" s="566"/>
      <c r="AA390" s="544"/>
      <c r="AB390" s="544"/>
      <c r="AC390" s="544"/>
    </row>
    <row r="391" spans="1:68" ht="14.25" hidden="1" customHeight="1" x14ac:dyDescent="0.25">
      <c r="A391" s="567" t="s">
        <v>64</v>
      </c>
      <c r="B391" s="566"/>
      <c r="C391" s="566"/>
      <c r="D391" s="566"/>
      <c r="E391" s="566"/>
      <c r="F391" s="566"/>
      <c r="G391" s="566"/>
      <c r="H391" s="566"/>
      <c r="I391" s="566"/>
      <c r="J391" s="566"/>
      <c r="K391" s="566"/>
      <c r="L391" s="566"/>
      <c r="M391" s="566"/>
      <c r="N391" s="566"/>
      <c r="O391" s="566"/>
      <c r="P391" s="566"/>
      <c r="Q391" s="566"/>
      <c r="R391" s="566"/>
      <c r="S391" s="566"/>
      <c r="T391" s="566"/>
      <c r="U391" s="566"/>
      <c r="V391" s="566"/>
      <c r="W391" s="566"/>
      <c r="X391" s="566"/>
      <c r="Y391" s="566"/>
      <c r="Z391" s="566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8">
        <v>4680115886100</v>
      </c>
      <c r="E392" s="559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8">
        <v>4680115886117</v>
      </c>
      <c r="E393" s="559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8">
        <v>4680115886124</v>
      </c>
      <c r="E394" s="559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8">
        <v>4680115883147</v>
      </c>
      <c r="E395" s="559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6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8">
        <v>4607091384338</v>
      </c>
      <c r="E396" s="559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8">
        <v>4607091389524</v>
      </c>
      <c r="E397" s="559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8">
        <v>4680115883161</v>
      </c>
      <c r="E398" s="559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8">
        <v>4607091389531</v>
      </c>
      <c r="E399" s="559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8">
        <v>4607091384345</v>
      </c>
      <c r="E400" s="559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81"/>
      <c r="B401" s="566"/>
      <c r="C401" s="566"/>
      <c r="D401" s="566"/>
      <c r="E401" s="566"/>
      <c r="F401" s="566"/>
      <c r="G401" s="566"/>
      <c r="H401" s="566"/>
      <c r="I401" s="566"/>
      <c r="J401" s="566"/>
      <c r="K401" s="566"/>
      <c r="L401" s="566"/>
      <c r="M401" s="566"/>
      <c r="N401" s="566"/>
      <c r="O401" s="582"/>
      <c r="P401" s="562" t="s">
        <v>75</v>
      </c>
      <c r="Q401" s="563"/>
      <c r="R401" s="563"/>
      <c r="S401" s="563"/>
      <c r="T401" s="563"/>
      <c r="U401" s="563"/>
      <c r="V401" s="564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6"/>
      <c r="B402" s="566"/>
      <c r="C402" s="566"/>
      <c r="D402" s="566"/>
      <c r="E402" s="566"/>
      <c r="F402" s="566"/>
      <c r="G402" s="566"/>
      <c r="H402" s="566"/>
      <c r="I402" s="566"/>
      <c r="J402" s="566"/>
      <c r="K402" s="566"/>
      <c r="L402" s="566"/>
      <c r="M402" s="566"/>
      <c r="N402" s="566"/>
      <c r="O402" s="582"/>
      <c r="P402" s="562" t="s">
        <v>75</v>
      </c>
      <c r="Q402" s="563"/>
      <c r="R402" s="563"/>
      <c r="S402" s="563"/>
      <c r="T402" s="563"/>
      <c r="U402" s="563"/>
      <c r="V402" s="564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67" t="s">
        <v>77</v>
      </c>
      <c r="B403" s="566"/>
      <c r="C403" s="566"/>
      <c r="D403" s="566"/>
      <c r="E403" s="566"/>
      <c r="F403" s="566"/>
      <c r="G403" s="566"/>
      <c r="H403" s="566"/>
      <c r="I403" s="566"/>
      <c r="J403" s="566"/>
      <c r="K403" s="566"/>
      <c r="L403" s="566"/>
      <c r="M403" s="566"/>
      <c r="N403" s="566"/>
      <c r="O403" s="566"/>
      <c r="P403" s="566"/>
      <c r="Q403" s="566"/>
      <c r="R403" s="566"/>
      <c r="S403" s="566"/>
      <c r="T403" s="566"/>
      <c r="U403" s="566"/>
      <c r="V403" s="566"/>
      <c r="W403" s="566"/>
      <c r="X403" s="566"/>
      <c r="Y403" s="566"/>
      <c r="Z403" s="566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8">
        <v>4607091384352</v>
      </c>
      <c r="E404" s="559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8">
        <v>4607091389654</v>
      </c>
      <c r="E405" s="559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81"/>
      <c r="B406" s="566"/>
      <c r="C406" s="566"/>
      <c r="D406" s="566"/>
      <c r="E406" s="566"/>
      <c r="F406" s="566"/>
      <c r="G406" s="566"/>
      <c r="H406" s="566"/>
      <c r="I406" s="566"/>
      <c r="J406" s="566"/>
      <c r="K406" s="566"/>
      <c r="L406" s="566"/>
      <c r="M406" s="566"/>
      <c r="N406" s="566"/>
      <c r="O406" s="582"/>
      <c r="P406" s="562" t="s">
        <v>75</v>
      </c>
      <c r="Q406" s="563"/>
      <c r="R406" s="563"/>
      <c r="S406" s="563"/>
      <c r="T406" s="563"/>
      <c r="U406" s="563"/>
      <c r="V406" s="564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6"/>
      <c r="B407" s="566"/>
      <c r="C407" s="566"/>
      <c r="D407" s="566"/>
      <c r="E407" s="566"/>
      <c r="F407" s="566"/>
      <c r="G407" s="566"/>
      <c r="H407" s="566"/>
      <c r="I407" s="566"/>
      <c r="J407" s="566"/>
      <c r="K407" s="566"/>
      <c r="L407" s="566"/>
      <c r="M407" s="566"/>
      <c r="N407" s="566"/>
      <c r="O407" s="582"/>
      <c r="P407" s="562" t="s">
        <v>75</v>
      </c>
      <c r="Q407" s="563"/>
      <c r="R407" s="563"/>
      <c r="S407" s="563"/>
      <c r="T407" s="563"/>
      <c r="U407" s="563"/>
      <c r="V407" s="564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65" t="s">
        <v>639</v>
      </c>
      <c r="B408" s="566"/>
      <c r="C408" s="566"/>
      <c r="D408" s="566"/>
      <c r="E408" s="566"/>
      <c r="F408" s="566"/>
      <c r="G408" s="566"/>
      <c r="H408" s="566"/>
      <c r="I408" s="566"/>
      <c r="J408" s="566"/>
      <c r="K408" s="566"/>
      <c r="L408" s="566"/>
      <c r="M408" s="566"/>
      <c r="N408" s="566"/>
      <c r="O408" s="566"/>
      <c r="P408" s="566"/>
      <c r="Q408" s="566"/>
      <c r="R408" s="566"/>
      <c r="S408" s="566"/>
      <c r="T408" s="566"/>
      <c r="U408" s="566"/>
      <c r="V408" s="566"/>
      <c r="W408" s="566"/>
      <c r="X408" s="566"/>
      <c r="Y408" s="566"/>
      <c r="Z408" s="566"/>
      <c r="AA408" s="544"/>
      <c r="AB408" s="544"/>
      <c r="AC408" s="544"/>
    </row>
    <row r="409" spans="1:68" ht="14.25" hidden="1" customHeight="1" x14ac:dyDescent="0.25">
      <c r="A409" s="567" t="s">
        <v>135</v>
      </c>
      <c r="B409" s="566"/>
      <c r="C409" s="566"/>
      <c r="D409" s="566"/>
      <c r="E409" s="566"/>
      <c r="F409" s="566"/>
      <c r="G409" s="566"/>
      <c r="H409" s="566"/>
      <c r="I409" s="566"/>
      <c r="J409" s="566"/>
      <c r="K409" s="566"/>
      <c r="L409" s="566"/>
      <c r="M409" s="566"/>
      <c r="N409" s="566"/>
      <c r="O409" s="566"/>
      <c r="P409" s="566"/>
      <c r="Q409" s="566"/>
      <c r="R409" s="566"/>
      <c r="S409" s="566"/>
      <c r="T409" s="566"/>
      <c r="U409" s="566"/>
      <c r="V409" s="566"/>
      <c r="W409" s="566"/>
      <c r="X409" s="566"/>
      <c r="Y409" s="566"/>
      <c r="Z409" s="566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8">
        <v>4680115885240</v>
      </c>
      <c r="E410" s="559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81"/>
      <c r="B411" s="566"/>
      <c r="C411" s="566"/>
      <c r="D411" s="566"/>
      <c r="E411" s="566"/>
      <c r="F411" s="566"/>
      <c r="G411" s="566"/>
      <c r="H411" s="566"/>
      <c r="I411" s="566"/>
      <c r="J411" s="566"/>
      <c r="K411" s="566"/>
      <c r="L411" s="566"/>
      <c r="M411" s="566"/>
      <c r="N411" s="566"/>
      <c r="O411" s="582"/>
      <c r="P411" s="562" t="s">
        <v>75</v>
      </c>
      <c r="Q411" s="563"/>
      <c r="R411" s="563"/>
      <c r="S411" s="563"/>
      <c r="T411" s="563"/>
      <c r="U411" s="563"/>
      <c r="V411" s="564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6"/>
      <c r="B412" s="566"/>
      <c r="C412" s="566"/>
      <c r="D412" s="566"/>
      <c r="E412" s="566"/>
      <c r="F412" s="566"/>
      <c r="G412" s="566"/>
      <c r="H412" s="566"/>
      <c r="I412" s="566"/>
      <c r="J412" s="566"/>
      <c r="K412" s="566"/>
      <c r="L412" s="566"/>
      <c r="M412" s="566"/>
      <c r="N412" s="566"/>
      <c r="O412" s="582"/>
      <c r="P412" s="562" t="s">
        <v>75</v>
      </c>
      <c r="Q412" s="563"/>
      <c r="R412" s="563"/>
      <c r="S412" s="563"/>
      <c r="T412" s="563"/>
      <c r="U412" s="563"/>
      <c r="V412" s="564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67" t="s">
        <v>64</v>
      </c>
      <c r="B413" s="566"/>
      <c r="C413" s="566"/>
      <c r="D413" s="566"/>
      <c r="E413" s="566"/>
      <c r="F413" s="566"/>
      <c r="G413" s="566"/>
      <c r="H413" s="566"/>
      <c r="I413" s="566"/>
      <c r="J413" s="566"/>
      <c r="K413" s="566"/>
      <c r="L413" s="566"/>
      <c r="M413" s="566"/>
      <c r="N413" s="566"/>
      <c r="O413" s="566"/>
      <c r="P413" s="566"/>
      <c r="Q413" s="566"/>
      <c r="R413" s="566"/>
      <c r="S413" s="566"/>
      <c r="T413" s="566"/>
      <c r="U413" s="566"/>
      <c r="V413" s="566"/>
      <c r="W413" s="566"/>
      <c r="X413" s="566"/>
      <c r="Y413" s="566"/>
      <c r="Z413" s="566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8">
        <v>4680115886094</v>
      </c>
      <c r="E414" s="559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5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8">
        <v>4607091389425</v>
      </c>
      <c r="E415" s="559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8">
        <v>4680115880771</v>
      </c>
      <c r="E416" s="559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8">
        <v>4607091389500</v>
      </c>
      <c r="E417" s="559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81"/>
      <c r="B418" s="566"/>
      <c r="C418" s="566"/>
      <c r="D418" s="566"/>
      <c r="E418" s="566"/>
      <c r="F418" s="566"/>
      <c r="G418" s="566"/>
      <c r="H418" s="566"/>
      <c r="I418" s="566"/>
      <c r="J418" s="566"/>
      <c r="K418" s="566"/>
      <c r="L418" s="566"/>
      <c r="M418" s="566"/>
      <c r="N418" s="566"/>
      <c r="O418" s="582"/>
      <c r="P418" s="562" t="s">
        <v>75</v>
      </c>
      <c r="Q418" s="563"/>
      <c r="R418" s="563"/>
      <c r="S418" s="563"/>
      <c r="T418" s="563"/>
      <c r="U418" s="563"/>
      <c r="V418" s="564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6"/>
      <c r="B419" s="566"/>
      <c r="C419" s="566"/>
      <c r="D419" s="566"/>
      <c r="E419" s="566"/>
      <c r="F419" s="566"/>
      <c r="G419" s="566"/>
      <c r="H419" s="566"/>
      <c r="I419" s="566"/>
      <c r="J419" s="566"/>
      <c r="K419" s="566"/>
      <c r="L419" s="566"/>
      <c r="M419" s="566"/>
      <c r="N419" s="566"/>
      <c r="O419" s="582"/>
      <c r="P419" s="562" t="s">
        <v>75</v>
      </c>
      <c r="Q419" s="563"/>
      <c r="R419" s="563"/>
      <c r="S419" s="563"/>
      <c r="T419" s="563"/>
      <c r="U419" s="563"/>
      <c r="V419" s="564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65" t="s">
        <v>654</v>
      </c>
      <c r="B420" s="566"/>
      <c r="C420" s="566"/>
      <c r="D420" s="566"/>
      <c r="E420" s="566"/>
      <c r="F420" s="566"/>
      <c r="G420" s="566"/>
      <c r="H420" s="566"/>
      <c r="I420" s="566"/>
      <c r="J420" s="566"/>
      <c r="K420" s="566"/>
      <c r="L420" s="566"/>
      <c r="M420" s="566"/>
      <c r="N420" s="566"/>
      <c r="O420" s="566"/>
      <c r="P420" s="566"/>
      <c r="Q420" s="566"/>
      <c r="R420" s="566"/>
      <c r="S420" s="566"/>
      <c r="T420" s="566"/>
      <c r="U420" s="566"/>
      <c r="V420" s="566"/>
      <c r="W420" s="566"/>
      <c r="X420" s="566"/>
      <c r="Y420" s="566"/>
      <c r="Z420" s="566"/>
      <c r="AA420" s="544"/>
      <c r="AB420" s="544"/>
      <c r="AC420" s="544"/>
    </row>
    <row r="421" spans="1:68" ht="14.25" hidden="1" customHeight="1" x14ac:dyDescent="0.25">
      <c r="A421" s="567" t="s">
        <v>64</v>
      </c>
      <c r="B421" s="566"/>
      <c r="C421" s="566"/>
      <c r="D421" s="566"/>
      <c r="E421" s="566"/>
      <c r="F421" s="566"/>
      <c r="G421" s="566"/>
      <c r="H421" s="566"/>
      <c r="I421" s="566"/>
      <c r="J421" s="566"/>
      <c r="K421" s="566"/>
      <c r="L421" s="566"/>
      <c r="M421" s="566"/>
      <c r="N421" s="566"/>
      <c r="O421" s="566"/>
      <c r="P421" s="566"/>
      <c r="Q421" s="566"/>
      <c r="R421" s="566"/>
      <c r="S421" s="566"/>
      <c r="T421" s="566"/>
      <c r="U421" s="566"/>
      <c r="V421" s="566"/>
      <c r="W421" s="566"/>
      <c r="X421" s="566"/>
      <c r="Y421" s="566"/>
      <c r="Z421" s="566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8">
        <v>4680115885110</v>
      </c>
      <c r="E422" s="559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0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81"/>
      <c r="B423" s="566"/>
      <c r="C423" s="566"/>
      <c r="D423" s="566"/>
      <c r="E423" s="566"/>
      <c r="F423" s="566"/>
      <c r="G423" s="566"/>
      <c r="H423" s="566"/>
      <c r="I423" s="566"/>
      <c r="J423" s="566"/>
      <c r="K423" s="566"/>
      <c r="L423" s="566"/>
      <c r="M423" s="566"/>
      <c r="N423" s="566"/>
      <c r="O423" s="582"/>
      <c r="P423" s="562" t="s">
        <v>75</v>
      </c>
      <c r="Q423" s="563"/>
      <c r="R423" s="563"/>
      <c r="S423" s="563"/>
      <c r="T423" s="563"/>
      <c r="U423" s="563"/>
      <c r="V423" s="564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6"/>
      <c r="B424" s="566"/>
      <c r="C424" s="566"/>
      <c r="D424" s="566"/>
      <c r="E424" s="566"/>
      <c r="F424" s="566"/>
      <c r="G424" s="566"/>
      <c r="H424" s="566"/>
      <c r="I424" s="566"/>
      <c r="J424" s="566"/>
      <c r="K424" s="566"/>
      <c r="L424" s="566"/>
      <c r="M424" s="566"/>
      <c r="N424" s="566"/>
      <c r="O424" s="582"/>
      <c r="P424" s="562" t="s">
        <v>75</v>
      </c>
      <c r="Q424" s="563"/>
      <c r="R424" s="563"/>
      <c r="S424" s="563"/>
      <c r="T424" s="563"/>
      <c r="U424" s="563"/>
      <c r="V424" s="564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61" t="s">
        <v>658</v>
      </c>
      <c r="B425" s="662"/>
      <c r="C425" s="662"/>
      <c r="D425" s="662"/>
      <c r="E425" s="662"/>
      <c r="F425" s="662"/>
      <c r="G425" s="662"/>
      <c r="H425" s="662"/>
      <c r="I425" s="662"/>
      <c r="J425" s="662"/>
      <c r="K425" s="662"/>
      <c r="L425" s="662"/>
      <c r="M425" s="662"/>
      <c r="N425" s="662"/>
      <c r="O425" s="662"/>
      <c r="P425" s="662"/>
      <c r="Q425" s="662"/>
      <c r="R425" s="662"/>
      <c r="S425" s="662"/>
      <c r="T425" s="662"/>
      <c r="U425" s="662"/>
      <c r="V425" s="662"/>
      <c r="W425" s="662"/>
      <c r="X425" s="662"/>
      <c r="Y425" s="662"/>
      <c r="Z425" s="662"/>
      <c r="AA425" s="48"/>
      <c r="AB425" s="48"/>
      <c r="AC425" s="48"/>
    </row>
    <row r="426" spans="1:68" ht="16.5" hidden="1" customHeight="1" x14ac:dyDescent="0.25">
      <c r="A426" s="565" t="s">
        <v>658</v>
      </c>
      <c r="B426" s="566"/>
      <c r="C426" s="566"/>
      <c r="D426" s="566"/>
      <c r="E426" s="566"/>
      <c r="F426" s="566"/>
      <c r="G426" s="566"/>
      <c r="H426" s="566"/>
      <c r="I426" s="566"/>
      <c r="J426" s="566"/>
      <c r="K426" s="566"/>
      <c r="L426" s="566"/>
      <c r="M426" s="566"/>
      <c r="N426" s="566"/>
      <c r="O426" s="566"/>
      <c r="P426" s="566"/>
      <c r="Q426" s="566"/>
      <c r="R426" s="566"/>
      <c r="S426" s="566"/>
      <c r="T426" s="566"/>
      <c r="U426" s="566"/>
      <c r="V426" s="566"/>
      <c r="W426" s="566"/>
      <c r="X426" s="566"/>
      <c r="Y426" s="566"/>
      <c r="Z426" s="566"/>
      <c r="AA426" s="544"/>
      <c r="AB426" s="544"/>
      <c r="AC426" s="544"/>
    </row>
    <row r="427" spans="1:68" ht="14.25" hidden="1" customHeight="1" x14ac:dyDescent="0.25">
      <c r="A427" s="567" t="s">
        <v>99</v>
      </c>
      <c r="B427" s="566"/>
      <c r="C427" s="566"/>
      <c r="D427" s="566"/>
      <c r="E427" s="566"/>
      <c r="F427" s="566"/>
      <c r="G427" s="566"/>
      <c r="H427" s="566"/>
      <c r="I427" s="566"/>
      <c r="J427" s="566"/>
      <c r="K427" s="566"/>
      <c r="L427" s="566"/>
      <c r="M427" s="566"/>
      <c r="N427" s="566"/>
      <c r="O427" s="566"/>
      <c r="P427" s="566"/>
      <c r="Q427" s="566"/>
      <c r="R427" s="566"/>
      <c r="S427" s="566"/>
      <c r="T427" s="566"/>
      <c r="U427" s="566"/>
      <c r="V427" s="566"/>
      <c r="W427" s="566"/>
      <c r="X427" s="566"/>
      <c r="Y427" s="566"/>
      <c r="Z427" s="566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8">
        <v>4607091389067</v>
      </c>
      <c r="E428" s="559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8">
        <v>4607091383522</v>
      </c>
      <c r="E429" s="559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8">
        <v>4607091383522</v>
      </c>
      <c r="E430" s="559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2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8">
        <v>4680115885271</v>
      </c>
      <c r="E431" s="559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8">
        <v>4680115885226</v>
      </c>
      <c r="E432" s="559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8">
        <v>4680115884502</v>
      </c>
      <c r="E433" s="559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8">
        <v>4607091389104</v>
      </c>
      <c r="E434" s="559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8">
        <v>4680115886391</v>
      </c>
      <c r="E435" s="559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8">
        <v>4680115880603</v>
      </c>
      <c r="E436" s="559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8">
        <v>4680115882782</v>
      </c>
      <c r="E437" s="559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8">
        <v>4680115885479</v>
      </c>
      <c r="E438" s="559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8">
        <v>4607091389982</v>
      </c>
      <c r="E439" s="559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idden="1" x14ac:dyDescent="0.2">
      <c r="A440" s="581"/>
      <c r="B440" s="566"/>
      <c r="C440" s="566"/>
      <c r="D440" s="566"/>
      <c r="E440" s="566"/>
      <c r="F440" s="566"/>
      <c r="G440" s="566"/>
      <c r="H440" s="566"/>
      <c r="I440" s="566"/>
      <c r="J440" s="566"/>
      <c r="K440" s="566"/>
      <c r="L440" s="566"/>
      <c r="M440" s="566"/>
      <c r="N440" s="566"/>
      <c r="O440" s="582"/>
      <c r="P440" s="562" t="s">
        <v>75</v>
      </c>
      <c r="Q440" s="563"/>
      <c r="R440" s="563"/>
      <c r="S440" s="563"/>
      <c r="T440" s="563"/>
      <c r="U440" s="563"/>
      <c r="V440" s="564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hidden="1" x14ac:dyDescent="0.2">
      <c r="A441" s="566"/>
      <c r="B441" s="566"/>
      <c r="C441" s="566"/>
      <c r="D441" s="566"/>
      <c r="E441" s="566"/>
      <c r="F441" s="566"/>
      <c r="G441" s="566"/>
      <c r="H441" s="566"/>
      <c r="I441" s="566"/>
      <c r="J441" s="566"/>
      <c r="K441" s="566"/>
      <c r="L441" s="566"/>
      <c r="M441" s="566"/>
      <c r="N441" s="566"/>
      <c r="O441" s="582"/>
      <c r="P441" s="562" t="s">
        <v>75</v>
      </c>
      <c r="Q441" s="563"/>
      <c r="R441" s="563"/>
      <c r="S441" s="563"/>
      <c r="T441" s="563"/>
      <c r="U441" s="563"/>
      <c r="V441" s="564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hidden="1" customHeight="1" x14ac:dyDescent="0.25">
      <c r="A442" s="567" t="s">
        <v>135</v>
      </c>
      <c r="B442" s="566"/>
      <c r="C442" s="566"/>
      <c r="D442" s="566"/>
      <c r="E442" s="566"/>
      <c r="F442" s="566"/>
      <c r="G442" s="566"/>
      <c r="H442" s="566"/>
      <c r="I442" s="566"/>
      <c r="J442" s="566"/>
      <c r="K442" s="566"/>
      <c r="L442" s="566"/>
      <c r="M442" s="566"/>
      <c r="N442" s="566"/>
      <c r="O442" s="566"/>
      <c r="P442" s="566"/>
      <c r="Q442" s="566"/>
      <c r="R442" s="566"/>
      <c r="S442" s="566"/>
      <c r="T442" s="566"/>
      <c r="U442" s="566"/>
      <c r="V442" s="566"/>
      <c r="W442" s="566"/>
      <c r="X442" s="566"/>
      <c r="Y442" s="566"/>
      <c r="Z442" s="566"/>
      <c r="AA442" s="545"/>
      <c r="AB442" s="545"/>
      <c r="AC442" s="545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8">
        <v>4607091388930</v>
      </c>
      <c r="E443" s="559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5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8">
        <v>4680115886407</v>
      </c>
      <c r="E444" s="559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8">
        <v>4680115880054</v>
      </c>
      <c r="E445" s="559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81"/>
      <c r="B446" s="566"/>
      <c r="C446" s="566"/>
      <c r="D446" s="566"/>
      <c r="E446" s="566"/>
      <c r="F446" s="566"/>
      <c r="G446" s="566"/>
      <c r="H446" s="566"/>
      <c r="I446" s="566"/>
      <c r="J446" s="566"/>
      <c r="K446" s="566"/>
      <c r="L446" s="566"/>
      <c r="M446" s="566"/>
      <c r="N446" s="566"/>
      <c r="O446" s="582"/>
      <c r="P446" s="562" t="s">
        <v>75</v>
      </c>
      <c r="Q446" s="563"/>
      <c r="R446" s="563"/>
      <c r="S446" s="563"/>
      <c r="T446" s="563"/>
      <c r="U446" s="563"/>
      <c r="V446" s="564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66"/>
      <c r="B447" s="566"/>
      <c r="C447" s="566"/>
      <c r="D447" s="566"/>
      <c r="E447" s="566"/>
      <c r="F447" s="566"/>
      <c r="G447" s="566"/>
      <c r="H447" s="566"/>
      <c r="I447" s="566"/>
      <c r="J447" s="566"/>
      <c r="K447" s="566"/>
      <c r="L447" s="566"/>
      <c r="M447" s="566"/>
      <c r="N447" s="566"/>
      <c r="O447" s="582"/>
      <c r="P447" s="562" t="s">
        <v>75</v>
      </c>
      <c r="Q447" s="563"/>
      <c r="R447" s="563"/>
      <c r="S447" s="563"/>
      <c r="T447" s="563"/>
      <c r="U447" s="563"/>
      <c r="V447" s="564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67" t="s">
        <v>64</v>
      </c>
      <c r="B448" s="566"/>
      <c r="C448" s="566"/>
      <c r="D448" s="566"/>
      <c r="E448" s="566"/>
      <c r="F448" s="566"/>
      <c r="G448" s="566"/>
      <c r="H448" s="566"/>
      <c r="I448" s="566"/>
      <c r="J448" s="566"/>
      <c r="K448" s="566"/>
      <c r="L448" s="566"/>
      <c r="M448" s="566"/>
      <c r="N448" s="566"/>
      <c r="O448" s="566"/>
      <c r="P448" s="566"/>
      <c r="Q448" s="566"/>
      <c r="R448" s="566"/>
      <c r="S448" s="566"/>
      <c r="T448" s="566"/>
      <c r="U448" s="566"/>
      <c r="V448" s="566"/>
      <c r="W448" s="566"/>
      <c r="X448" s="566"/>
      <c r="Y448" s="566"/>
      <c r="Z448" s="566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8">
        <v>4680115883116</v>
      </c>
      <c r="E449" s="559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8">
        <v>4680115883093</v>
      </c>
      <c r="E450" s="559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8">
        <v>4680115883109</v>
      </c>
      <c r="E451" s="559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8">
        <v>4680115882072</v>
      </c>
      <c r="E452" s="559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8">
        <v>4680115882102</v>
      </c>
      <c r="E453" s="559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8">
        <v>4680115882096</v>
      </c>
      <c r="E454" s="559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81"/>
      <c r="B455" s="566"/>
      <c r="C455" s="566"/>
      <c r="D455" s="566"/>
      <c r="E455" s="566"/>
      <c r="F455" s="566"/>
      <c r="G455" s="566"/>
      <c r="H455" s="566"/>
      <c r="I455" s="566"/>
      <c r="J455" s="566"/>
      <c r="K455" s="566"/>
      <c r="L455" s="566"/>
      <c r="M455" s="566"/>
      <c r="N455" s="566"/>
      <c r="O455" s="582"/>
      <c r="P455" s="562" t="s">
        <v>75</v>
      </c>
      <c r="Q455" s="563"/>
      <c r="R455" s="563"/>
      <c r="S455" s="563"/>
      <c r="T455" s="563"/>
      <c r="U455" s="563"/>
      <c r="V455" s="564"/>
      <c r="W455" s="37" t="s">
        <v>76</v>
      </c>
      <c r="X455" s="551">
        <f>IFERROR(X449/H449,"0")+IFERROR(X450/H450,"0")+IFERROR(X451/H451,"0")+IFERROR(X452/H452,"0")+IFERROR(X453/H453,"0")+IFERROR(X454/H454,"0")</f>
        <v>18.939393939393938</v>
      </c>
      <c r="Y455" s="551">
        <f>IFERROR(Y449/H449,"0")+IFERROR(Y450/H450,"0")+IFERROR(Y451/H451,"0")+IFERROR(Y452/H452,"0")+IFERROR(Y453/H453,"0")+IFERROR(Y454/H454,"0")</f>
        <v>19</v>
      </c>
      <c r="Z455" s="551">
        <f>IFERROR(IF(Z449="",0,Z449),"0")+IFERROR(IF(Z450="",0,Z450),"0")+IFERROR(IF(Z451="",0,Z451),"0")+IFERROR(IF(Z452="",0,Z452),"0")+IFERROR(IF(Z453="",0,Z453),"0")+IFERROR(IF(Z454="",0,Z454),"0")</f>
        <v>0.22724</v>
      </c>
      <c r="AA455" s="552"/>
      <c r="AB455" s="552"/>
      <c r="AC455" s="552"/>
    </row>
    <row r="456" spans="1:68" x14ac:dyDescent="0.2">
      <c r="A456" s="566"/>
      <c r="B456" s="566"/>
      <c r="C456" s="566"/>
      <c r="D456" s="566"/>
      <c r="E456" s="566"/>
      <c r="F456" s="566"/>
      <c r="G456" s="566"/>
      <c r="H456" s="566"/>
      <c r="I456" s="566"/>
      <c r="J456" s="566"/>
      <c r="K456" s="566"/>
      <c r="L456" s="566"/>
      <c r="M456" s="566"/>
      <c r="N456" s="566"/>
      <c r="O456" s="582"/>
      <c r="P456" s="562" t="s">
        <v>75</v>
      </c>
      <c r="Q456" s="563"/>
      <c r="R456" s="563"/>
      <c r="S456" s="563"/>
      <c r="T456" s="563"/>
      <c r="U456" s="563"/>
      <c r="V456" s="564"/>
      <c r="W456" s="37" t="s">
        <v>69</v>
      </c>
      <c r="X456" s="551">
        <f>IFERROR(SUM(X449:X454),"0")</f>
        <v>100</v>
      </c>
      <c r="Y456" s="551">
        <f>IFERROR(SUM(Y449:Y454),"0")</f>
        <v>100.32000000000001</v>
      </c>
      <c r="Z456" s="37"/>
      <c r="AA456" s="552"/>
      <c r="AB456" s="552"/>
      <c r="AC456" s="552"/>
    </row>
    <row r="457" spans="1:68" ht="14.25" hidden="1" customHeight="1" x14ac:dyDescent="0.25">
      <c r="A457" s="567" t="s">
        <v>77</v>
      </c>
      <c r="B457" s="566"/>
      <c r="C457" s="566"/>
      <c r="D457" s="566"/>
      <c r="E457" s="566"/>
      <c r="F457" s="566"/>
      <c r="G457" s="566"/>
      <c r="H457" s="566"/>
      <c r="I457" s="566"/>
      <c r="J457" s="566"/>
      <c r="K457" s="566"/>
      <c r="L457" s="566"/>
      <c r="M457" s="566"/>
      <c r="N457" s="566"/>
      <c r="O457" s="566"/>
      <c r="P457" s="566"/>
      <c r="Q457" s="566"/>
      <c r="R457" s="566"/>
      <c r="S457" s="566"/>
      <c r="T457" s="566"/>
      <c r="U457" s="566"/>
      <c r="V457" s="566"/>
      <c r="W457" s="566"/>
      <c r="X457" s="566"/>
      <c r="Y457" s="566"/>
      <c r="Z457" s="566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8">
        <v>4680115883536</v>
      </c>
      <c r="E458" s="559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0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81"/>
      <c r="B459" s="566"/>
      <c r="C459" s="566"/>
      <c r="D459" s="566"/>
      <c r="E459" s="566"/>
      <c r="F459" s="566"/>
      <c r="G459" s="566"/>
      <c r="H459" s="566"/>
      <c r="I459" s="566"/>
      <c r="J459" s="566"/>
      <c r="K459" s="566"/>
      <c r="L459" s="566"/>
      <c r="M459" s="566"/>
      <c r="N459" s="566"/>
      <c r="O459" s="582"/>
      <c r="P459" s="562" t="s">
        <v>75</v>
      </c>
      <c r="Q459" s="563"/>
      <c r="R459" s="563"/>
      <c r="S459" s="563"/>
      <c r="T459" s="563"/>
      <c r="U459" s="563"/>
      <c r="V459" s="564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6"/>
      <c r="B460" s="566"/>
      <c r="C460" s="566"/>
      <c r="D460" s="566"/>
      <c r="E460" s="566"/>
      <c r="F460" s="566"/>
      <c r="G460" s="566"/>
      <c r="H460" s="566"/>
      <c r="I460" s="566"/>
      <c r="J460" s="566"/>
      <c r="K460" s="566"/>
      <c r="L460" s="566"/>
      <c r="M460" s="566"/>
      <c r="N460" s="566"/>
      <c r="O460" s="582"/>
      <c r="P460" s="562" t="s">
        <v>75</v>
      </c>
      <c r="Q460" s="563"/>
      <c r="R460" s="563"/>
      <c r="S460" s="563"/>
      <c r="T460" s="563"/>
      <c r="U460" s="563"/>
      <c r="V460" s="564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61" t="s">
        <v>713</v>
      </c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2"/>
      <c r="P461" s="662"/>
      <c r="Q461" s="662"/>
      <c r="R461" s="662"/>
      <c r="S461" s="662"/>
      <c r="T461" s="662"/>
      <c r="U461" s="662"/>
      <c r="V461" s="662"/>
      <c r="W461" s="662"/>
      <c r="X461" s="662"/>
      <c r="Y461" s="662"/>
      <c r="Z461" s="662"/>
      <c r="AA461" s="48"/>
      <c r="AB461" s="48"/>
      <c r="AC461" s="48"/>
    </row>
    <row r="462" spans="1:68" ht="16.5" hidden="1" customHeight="1" x14ac:dyDescent="0.25">
      <c r="A462" s="565" t="s">
        <v>713</v>
      </c>
      <c r="B462" s="566"/>
      <c r="C462" s="566"/>
      <c r="D462" s="566"/>
      <c r="E462" s="566"/>
      <c r="F462" s="566"/>
      <c r="G462" s="566"/>
      <c r="H462" s="566"/>
      <c r="I462" s="566"/>
      <c r="J462" s="566"/>
      <c r="K462" s="566"/>
      <c r="L462" s="566"/>
      <c r="M462" s="566"/>
      <c r="N462" s="566"/>
      <c r="O462" s="566"/>
      <c r="P462" s="566"/>
      <c r="Q462" s="566"/>
      <c r="R462" s="566"/>
      <c r="S462" s="566"/>
      <c r="T462" s="566"/>
      <c r="U462" s="566"/>
      <c r="V462" s="566"/>
      <c r="W462" s="566"/>
      <c r="X462" s="566"/>
      <c r="Y462" s="566"/>
      <c r="Z462" s="566"/>
      <c r="AA462" s="544"/>
      <c r="AB462" s="544"/>
      <c r="AC462" s="544"/>
    </row>
    <row r="463" spans="1:68" ht="14.25" hidden="1" customHeight="1" x14ac:dyDescent="0.25">
      <c r="A463" s="567" t="s">
        <v>99</v>
      </c>
      <c r="B463" s="566"/>
      <c r="C463" s="566"/>
      <c r="D463" s="566"/>
      <c r="E463" s="566"/>
      <c r="F463" s="566"/>
      <c r="G463" s="566"/>
      <c r="H463" s="566"/>
      <c r="I463" s="566"/>
      <c r="J463" s="566"/>
      <c r="K463" s="566"/>
      <c r="L463" s="566"/>
      <c r="M463" s="566"/>
      <c r="N463" s="566"/>
      <c r="O463" s="566"/>
      <c r="P463" s="566"/>
      <c r="Q463" s="566"/>
      <c r="R463" s="566"/>
      <c r="S463" s="566"/>
      <c r="T463" s="566"/>
      <c r="U463" s="566"/>
      <c r="V463" s="566"/>
      <c r="W463" s="566"/>
      <c r="X463" s="566"/>
      <c r="Y463" s="566"/>
      <c r="Z463" s="566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8">
        <v>4640242181011</v>
      </c>
      <c r="E464" s="559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5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8">
        <v>4640242180441</v>
      </c>
      <c r="E465" s="559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8">
        <v>4640242180564</v>
      </c>
      <c r="E466" s="559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8">
        <v>4640242181189</v>
      </c>
      <c r="E467" s="559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4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81"/>
      <c r="B468" s="566"/>
      <c r="C468" s="566"/>
      <c r="D468" s="566"/>
      <c r="E468" s="566"/>
      <c r="F468" s="566"/>
      <c r="G468" s="566"/>
      <c r="H468" s="566"/>
      <c r="I468" s="566"/>
      <c r="J468" s="566"/>
      <c r="K468" s="566"/>
      <c r="L468" s="566"/>
      <c r="M468" s="566"/>
      <c r="N468" s="566"/>
      <c r="O468" s="582"/>
      <c r="P468" s="562" t="s">
        <v>75</v>
      </c>
      <c r="Q468" s="563"/>
      <c r="R468" s="563"/>
      <c r="S468" s="563"/>
      <c r="T468" s="563"/>
      <c r="U468" s="563"/>
      <c r="V468" s="564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6"/>
      <c r="B469" s="566"/>
      <c r="C469" s="566"/>
      <c r="D469" s="566"/>
      <c r="E469" s="566"/>
      <c r="F469" s="566"/>
      <c r="G469" s="566"/>
      <c r="H469" s="566"/>
      <c r="I469" s="566"/>
      <c r="J469" s="566"/>
      <c r="K469" s="566"/>
      <c r="L469" s="566"/>
      <c r="M469" s="566"/>
      <c r="N469" s="566"/>
      <c r="O469" s="582"/>
      <c r="P469" s="562" t="s">
        <v>75</v>
      </c>
      <c r="Q469" s="563"/>
      <c r="R469" s="563"/>
      <c r="S469" s="563"/>
      <c r="T469" s="563"/>
      <c r="U469" s="563"/>
      <c r="V469" s="564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67" t="s">
        <v>135</v>
      </c>
      <c r="B470" s="566"/>
      <c r="C470" s="566"/>
      <c r="D470" s="566"/>
      <c r="E470" s="566"/>
      <c r="F470" s="566"/>
      <c r="G470" s="566"/>
      <c r="H470" s="566"/>
      <c r="I470" s="566"/>
      <c r="J470" s="566"/>
      <c r="K470" s="566"/>
      <c r="L470" s="566"/>
      <c r="M470" s="566"/>
      <c r="N470" s="566"/>
      <c r="O470" s="566"/>
      <c r="P470" s="566"/>
      <c r="Q470" s="566"/>
      <c r="R470" s="566"/>
      <c r="S470" s="566"/>
      <c r="T470" s="566"/>
      <c r="U470" s="566"/>
      <c r="V470" s="566"/>
      <c r="W470" s="566"/>
      <c r="X470" s="566"/>
      <c r="Y470" s="566"/>
      <c r="Z470" s="566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8">
        <v>4640242180519</v>
      </c>
      <c r="E471" s="559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8">
        <v>4640242180526</v>
      </c>
      <c r="E472" s="559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81"/>
      <c r="B473" s="566"/>
      <c r="C473" s="566"/>
      <c r="D473" s="566"/>
      <c r="E473" s="566"/>
      <c r="F473" s="566"/>
      <c r="G473" s="566"/>
      <c r="H473" s="566"/>
      <c r="I473" s="566"/>
      <c r="J473" s="566"/>
      <c r="K473" s="566"/>
      <c r="L473" s="566"/>
      <c r="M473" s="566"/>
      <c r="N473" s="566"/>
      <c r="O473" s="582"/>
      <c r="P473" s="562" t="s">
        <v>75</v>
      </c>
      <c r="Q473" s="563"/>
      <c r="R473" s="563"/>
      <c r="S473" s="563"/>
      <c r="T473" s="563"/>
      <c r="U473" s="563"/>
      <c r="V473" s="564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6"/>
      <c r="B474" s="566"/>
      <c r="C474" s="566"/>
      <c r="D474" s="566"/>
      <c r="E474" s="566"/>
      <c r="F474" s="566"/>
      <c r="G474" s="566"/>
      <c r="H474" s="566"/>
      <c r="I474" s="566"/>
      <c r="J474" s="566"/>
      <c r="K474" s="566"/>
      <c r="L474" s="566"/>
      <c r="M474" s="566"/>
      <c r="N474" s="566"/>
      <c r="O474" s="582"/>
      <c r="P474" s="562" t="s">
        <v>75</v>
      </c>
      <c r="Q474" s="563"/>
      <c r="R474" s="563"/>
      <c r="S474" s="563"/>
      <c r="T474" s="563"/>
      <c r="U474" s="563"/>
      <c r="V474" s="564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67" t="s">
        <v>64</v>
      </c>
      <c r="B475" s="566"/>
      <c r="C475" s="566"/>
      <c r="D475" s="566"/>
      <c r="E475" s="566"/>
      <c r="F475" s="566"/>
      <c r="G475" s="566"/>
      <c r="H475" s="566"/>
      <c r="I475" s="566"/>
      <c r="J475" s="566"/>
      <c r="K475" s="566"/>
      <c r="L475" s="566"/>
      <c r="M475" s="566"/>
      <c r="N475" s="566"/>
      <c r="O475" s="566"/>
      <c r="P475" s="566"/>
      <c r="Q475" s="566"/>
      <c r="R475" s="566"/>
      <c r="S475" s="566"/>
      <c r="T475" s="566"/>
      <c r="U475" s="566"/>
      <c r="V475" s="566"/>
      <c r="W475" s="566"/>
      <c r="X475" s="566"/>
      <c r="Y475" s="566"/>
      <c r="Z475" s="566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8">
        <v>4640242180595</v>
      </c>
      <c r="E476" s="559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81"/>
      <c r="B477" s="566"/>
      <c r="C477" s="566"/>
      <c r="D477" s="566"/>
      <c r="E477" s="566"/>
      <c r="F477" s="566"/>
      <c r="G477" s="566"/>
      <c r="H477" s="566"/>
      <c r="I477" s="566"/>
      <c r="J477" s="566"/>
      <c r="K477" s="566"/>
      <c r="L477" s="566"/>
      <c r="M477" s="566"/>
      <c r="N477" s="566"/>
      <c r="O477" s="582"/>
      <c r="P477" s="562" t="s">
        <v>75</v>
      </c>
      <c r="Q477" s="563"/>
      <c r="R477" s="563"/>
      <c r="S477" s="563"/>
      <c r="T477" s="563"/>
      <c r="U477" s="563"/>
      <c r="V477" s="564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6"/>
      <c r="B478" s="566"/>
      <c r="C478" s="566"/>
      <c r="D478" s="566"/>
      <c r="E478" s="566"/>
      <c r="F478" s="566"/>
      <c r="G478" s="566"/>
      <c r="H478" s="566"/>
      <c r="I478" s="566"/>
      <c r="J478" s="566"/>
      <c r="K478" s="566"/>
      <c r="L478" s="566"/>
      <c r="M478" s="566"/>
      <c r="N478" s="566"/>
      <c r="O478" s="582"/>
      <c r="P478" s="562" t="s">
        <v>75</v>
      </c>
      <c r="Q478" s="563"/>
      <c r="R478" s="563"/>
      <c r="S478" s="563"/>
      <c r="T478" s="563"/>
      <c r="U478" s="563"/>
      <c r="V478" s="564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67" t="s">
        <v>77</v>
      </c>
      <c r="B479" s="566"/>
      <c r="C479" s="566"/>
      <c r="D479" s="566"/>
      <c r="E479" s="566"/>
      <c r="F479" s="566"/>
      <c r="G479" s="566"/>
      <c r="H479" s="566"/>
      <c r="I479" s="566"/>
      <c r="J479" s="566"/>
      <c r="K479" s="566"/>
      <c r="L479" s="566"/>
      <c r="M479" s="566"/>
      <c r="N479" s="566"/>
      <c r="O479" s="566"/>
      <c r="P479" s="566"/>
      <c r="Q479" s="566"/>
      <c r="R479" s="566"/>
      <c r="S479" s="566"/>
      <c r="T479" s="566"/>
      <c r="U479" s="566"/>
      <c r="V479" s="566"/>
      <c r="W479" s="566"/>
      <c r="X479" s="566"/>
      <c r="Y479" s="566"/>
      <c r="Z479" s="566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8">
        <v>4640242180533</v>
      </c>
      <c r="E480" s="559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7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81"/>
      <c r="B481" s="566"/>
      <c r="C481" s="566"/>
      <c r="D481" s="566"/>
      <c r="E481" s="566"/>
      <c r="F481" s="566"/>
      <c r="G481" s="566"/>
      <c r="H481" s="566"/>
      <c r="I481" s="566"/>
      <c r="J481" s="566"/>
      <c r="K481" s="566"/>
      <c r="L481" s="566"/>
      <c r="M481" s="566"/>
      <c r="N481" s="566"/>
      <c r="O481" s="582"/>
      <c r="P481" s="562" t="s">
        <v>75</v>
      </c>
      <c r="Q481" s="563"/>
      <c r="R481" s="563"/>
      <c r="S481" s="563"/>
      <c r="T481" s="563"/>
      <c r="U481" s="563"/>
      <c r="V481" s="564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6"/>
      <c r="B482" s="566"/>
      <c r="C482" s="566"/>
      <c r="D482" s="566"/>
      <c r="E482" s="566"/>
      <c r="F482" s="566"/>
      <c r="G482" s="566"/>
      <c r="H482" s="566"/>
      <c r="I482" s="566"/>
      <c r="J482" s="566"/>
      <c r="K482" s="566"/>
      <c r="L482" s="566"/>
      <c r="M482" s="566"/>
      <c r="N482" s="566"/>
      <c r="O482" s="582"/>
      <c r="P482" s="562" t="s">
        <v>75</v>
      </c>
      <c r="Q482" s="563"/>
      <c r="R482" s="563"/>
      <c r="S482" s="563"/>
      <c r="T482" s="563"/>
      <c r="U482" s="563"/>
      <c r="V482" s="564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67" t="s">
        <v>160</v>
      </c>
      <c r="B483" s="566"/>
      <c r="C483" s="566"/>
      <c r="D483" s="566"/>
      <c r="E483" s="566"/>
      <c r="F483" s="566"/>
      <c r="G483" s="566"/>
      <c r="H483" s="566"/>
      <c r="I483" s="566"/>
      <c r="J483" s="566"/>
      <c r="K483" s="566"/>
      <c r="L483" s="566"/>
      <c r="M483" s="566"/>
      <c r="N483" s="566"/>
      <c r="O483" s="566"/>
      <c r="P483" s="566"/>
      <c r="Q483" s="566"/>
      <c r="R483" s="566"/>
      <c r="S483" s="566"/>
      <c r="T483" s="566"/>
      <c r="U483" s="566"/>
      <c r="V483" s="566"/>
      <c r="W483" s="566"/>
      <c r="X483" s="566"/>
      <c r="Y483" s="566"/>
      <c r="Z483" s="566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8">
        <v>4640242180120</v>
      </c>
      <c r="E484" s="559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8">
        <v>4640242180137</v>
      </c>
      <c r="E485" s="559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81"/>
      <c r="B486" s="566"/>
      <c r="C486" s="566"/>
      <c r="D486" s="566"/>
      <c r="E486" s="566"/>
      <c r="F486" s="566"/>
      <c r="G486" s="566"/>
      <c r="H486" s="566"/>
      <c r="I486" s="566"/>
      <c r="J486" s="566"/>
      <c r="K486" s="566"/>
      <c r="L486" s="566"/>
      <c r="M486" s="566"/>
      <c r="N486" s="566"/>
      <c r="O486" s="582"/>
      <c r="P486" s="562" t="s">
        <v>75</v>
      </c>
      <c r="Q486" s="563"/>
      <c r="R486" s="563"/>
      <c r="S486" s="563"/>
      <c r="T486" s="563"/>
      <c r="U486" s="563"/>
      <c r="V486" s="564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6"/>
      <c r="B487" s="566"/>
      <c r="C487" s="566"/>
      <c r="D487" s="566"/>
      <c r="E487" s="566"/>
      <c r="F487" s="566"/>
      <c r="G487" s="566"/>
      <c r="H487" s="566"/>
      <c r="I487" s="566"/>
      <c r="J487" s="566"/>
      <c r="K487" s="566"/>
      <c r="L487" s="566"/>
      <c r="M487" s="566"/>
      <c r="N487" s="566"/>
      <c r="O487" s="582"/>
      <c r="P487" s="562" t="s">
        <v>75</v>
      </c>
      <c r="Q487" s="563"/>
      <c r="R487" s="563"/>
      <c r="S487" s="563"/>
      <c r="T487" s="563"/>
      <c r="U487" s="563"/>
      <c r="V487" s="564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65" t="s">
        <v>743</v>
      </c>
      <c r="B488" s="566"/>
      <c r="C488" s="566"/>
      <c r="D488" s="566"/>
      <c r="E488" s="566"/>
      <c r="F488" s="566"/>
      <c r="G488" s="566"/>
      <c r="H488" s="566"/>
      <c r="I488" s="566"/>
      <c r="J488" s="566"/>
      <c r="K488" s="566"/>
      <c r="L488" s="566"/>
      <c r="M488" s="566"/>
      <c r="N488" s="566"/>
      <c r="O488" s="566"/>
      <c r="P488" s="566"/>
      <c r="Q488" s="566"/>
      <c r="R488" s="566"/>
      <c r="S488" s="566"/>
      <c r="T488" s="566"/>
      <c r="U488" s="566"/>
      <c r="V488" s="566"/>
      <c r="W488" s="566"/>
      <c r="X488" s="566"/>
      <c r="Y488" s="566"/>
      <c r="Z488" s="566"/>
      <c r="AA488" s="544"/>
      <c r="AB488" s="544"/>
      <c r="AC488" s="544"/>
    </row>
    <row r="489" spans="1:68" ht="14.25" hidden="1" customHeight="1" x14ac:dyDescent="0.25">
      <c r="A489" s="567" t="s">
        <v>135</v>
      </c>
      <c r="B489" s="566"/>
      <c r="C489" s="566"/>
      <c r="D489" s="566"/>
      <c r="E489" s="566"/>
      <c r="F489" s="566"/>
      <c r="G489" s="566"/>
      <c r="H489" s="566"/>
      <c r="I489" s="566"/>
      <c r="J489" s="566"/>
      <c r="K489" s="566"/>
      <c r="L489" s="566"/>
      <c r="M489" s="566"/>
      <c r="N489" s="566"/>
      <c r="O489" s="566"/>
      <c r="P489" s="566"/>
      <c r="Q489" s="566"/>
      <c r="R489" s="566"/>
      <c r="S489" s="566"/>
      <c r="T489" s="566"/>
      <c r="U489" s="566"/>
      <c r="V489" s="566"/>
      <c r="W489" s="566"/>
      <c r="X489" s="566"/>
      <c r="Y489" s="566"/>
      <c r="Z489" s="566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8">
        <v>4640242180090</v>
      </c>
      <c r="E490" s="559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78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81"/>
      <c r="B491" s="566"/>
      <c r="C491" s="566"/>
      <c r="D491" s="566"/>
      <c r="E491" s="566"/>
      <c r="F491" s="566"/>
      <c r="G491" s="566"/>
      <c r="H491" s="566"/>
      <c r="I491" s="566"/>
      <c r="J491" s="566"/>
      <c r="K491" s="566"/>
      <c r="L491" s="566"/>
      <c r="M491" s="566"/>
      <c r="N491" s="566"/>
      <c r="O491" s="582"/>
      <c r="P491" s="562" t="s">
        <v>75</v>
      </c>
      <c r="Q491" s="563"/>
      <c r="R491" s="563"/>
      <c r="S491" s="563"/>
      <c r="T491" s="563"/>
      <c r="U491" s="563"/>
      <c r="V491" s="564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6"/>
      <c r="B492" s="566"/>
      <c r="C492" s="566"/>
      <c r="D492" s="566"/>
      <c r="E492" s="566"/>
      <c r="F492" s="566"/>
      <c r="G492" s="566"/>
      <c r="H492" s="566"/>
      <c r="I492" s="566"/>
      <c r="J492" s="566"/>
      <c r="K492" s="566"/>
      <c r="L492" s="566"/>
      <c r="M492" s="566"/>
      <c r="N492" s="566"/>
      <c r="O492" s="582"/>
      <c r="P492" s="562" t="s">
        <v>75</v>
      </c>
      <c r="Q492" s="563"/>
      <c r="R492" s="563"/>
      <c r="S492" s="563"/>
      <c r="T492" s="563"/>
      <c r="U492" s="563"/>
      <c r="V492" s="564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795"/>
      <c r="B493" s="566"/>
      <c r="C493" s="566"/>
      <c r="D493" s="566"/>
      <c r="E493" s="566"/>
      <c r="F493" s="566"/>
      <c r="G493" s="566"/>
      <c r="H493" s="566"/>
      <c r="I493" s="566"/>
      <c r="J493" s="566"/>
      <c r="K493" s="566"/>
      <c r="L493" s="566"/>
      <c r="M493" s="566"/>
      <c r="N493" s="566"/>
      <c r="O493" s="722"/>
      <c r="P493" s="716" t="s">
        <v>747</v>
      </c>
      <c r="Q493" s="670"/>
      <c r="R493" s="670"/>
      <c r="S493" s="670"/>
      <c r="T493" s="670"/>
      <c r="U493" s="670"/>
      <c r="V493" s="6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3452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3493.17</v>
      </c>
      <c r="Z493" s="37"/>
      <c r="AA493" s="552"/>
      <c r="AB493" s="552"/>
      <c r="AC493" s="552"/>
    </row>
    <row r="494" spans="1:68" x14ac:dyDescent="0.2">
      <c r="A494" s="566"/>
      <c r="B494" s="566"/>
      <c r="C494" s="566"/>
      <c r="D494" s="566"/>
      <c r="E494" s="566"/>
      <c r="F494" s="566"/>
      <c r="G494" s="566"/>
      <c r="H494" s="566"/>
      <c r="I494" s="566"/>
      <c r="J494" s="566"/>
      <c r="K494" s="566"/>
      <c r="L494" s="566"/>
      <c r="M494" s="566"/>
      <c r="N494" s="566"/>
      <c r="O494" s="722"/>
      <c r="P494" s="716" t="s">
        <v>748</v>
      </c>
      <c r="Q494" s="670"/>
      <c r="R494" s="670"/>
      <c r="S494" s="670"/>
      <c r="T494" s="670"/>
      <c r="U494" s="670"/>
      <c r="V494" s="671"/>
      <c r="W494" s="37" t="s">
        <v>69</v>
      </c>
      <c r="X494" s="551">
        <f>IFERROR(SUM(BM22:BM490),"0")</f>
        <v>3686.1086595567058</v>
      </c>
      <c r="Y494" s="551">
        <f>IFERROR(SUM(BN22:BN490),"0")</f>
        <v>3729.84</v>
      </c>
      <c r="Z494" s="37"/>
      <c r="AA494" s="552"/>
      <c r="AB494" s="552"/>
      <c r="AC494" s="552"/>
    </row>
    <row r="495" spans="1:68" x14ac:dyDescent="0.2">
      <c r="A495" s="566"/>
      <c r="B495" s="566"/>
      <c r="C495" s="566"/>
      <c r="D495" s="566"/>
      <c r="E495" s="566"/>
      <c r="F495" s="566"/>
      <c r="G495" s="566"/>
      <c r="H495" s="566"/>
      <c r="I495" s="566"/>
      <c r="J495" s="566"/>
      <c r="K495" s="566"/>
      <c r="L495" s="566"/>
      <c r="M495" s="566"/>
      <c r="N495" s="566"/>
      <c r="O495" s="722"/>
      <c r="P495" s="716" t="s">
        <v>749</v>
      </c>
      <c r="Q495" s="670"/>
      <c r="R495" s="670"/>
      <c r="S495" s="670"/>
      <c r="T495" s="670"/>
      <c r="U495" s="670"/>
      <c r="V495" s="671"/>
      <c r="W495" s="37" t="s">
        <v>750</v>
      </c>
      <c r="X495" s="38">
        <f>ROUNDUP(SUM(BO22:BO490),0)</f>
        <v>7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66"/>
      <c r="B496" s="566"/>
      <c r="C496" s="566"/>
      <c r="D496" s="566"/>
      <c r="E496" s="566"/>
      <c r="F496" s="566"/>
      <c r="G496" s="566"/>
      <c r="H496" s="566"/>
      <c r="I496" s="566"/>
      <c r="J496" s="566"/>
      <c r="K496" s="566"/>
      <c r="L496" s="566"/>
      <c r="M496" s="566"/>
      <c r="N496" s="566"/>
      <c r="O496" s="722"/>
      <c r="P496" s="716" t="s">
        <v>751</v>
      </c>
      <c r="Q496" s="670"/>
      <c r="R496" s="670"/>
      <c r="S496" s="670"/>
      <c r="T496" s="670"/>
      <c r="U496" s="670"/>
      <c r="V496" s="671"/>
      <c r="W496" s="37" t="s">
        <v>69</v>
      </c>
      <c r="X496" s="551">
        <f>GrossWeightTotal+PalletQtyTotal*25</f>
        <v>3861.1086595567058</v>
      </c>
      <c r="Y496" s="551">
        <f>GrossWeightTotalR+PalletQtyTotalR*25</f>
        <v>3904.84</v>
      </c>
      <c r="Z496" s="37"/>
      <c r="AA496" s="552"/>
      <c r="AB496" s="552"/>
      <c r="AC496" s="552"/>
    </row>
    <row r="497" spans="1:32" x14ac:dyDescent="0.2">
      <c r="A497" s="566"/>
      <c r="B497" s="566"/>
      <c r="C497" s="566"/>
      <c r="D497" s="566"/>
      <c r="E497" s="566"/>
      <c r="F497" s="566"/>
      <c r="G497" s="566"/>
      <c r="H497" s="566"/>
      <c r="I497" s="566"/>
      <c r="J497" s="566"/>
      <c r="K497" s="566"/>
      <c r="L497" s="566"/>
      <c r="M497" s="566"/>
      <c r="N497" s="566"/>
      <c r="O497" s="722"/>
      <c r="P497" s="716" t="s">
        <v>752</v>
      </c>
      <c r="Q497" s="670"/>
      <c r="R497" s="670"/>
      <c r="S497" s="670"/>
      <c r="T497" s="670"/>
      <c r="U497" s="670"/>
      <c r="V497" s="6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763.13110984375339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771</v>
      </c>
      <c r="Z497" s="37"/>
      <c r="AA497" s="552"/>
      <c r="AB497" s="552"/>
      <c r="AC497" s="552"/>
    </row>
    <row r="498" spans="1:32" ht="14.25" hidden="1" customHeight="1" x14ac:dyDescent="0.2">
      <c r="A498" s="566"/>
      <c r="B498" s="566"/>
      <c r="C498" s="566"/>
      <c r="D498" s="566"/>
      <c r="E498" s="566"/>
      <c r="F498" s="566"/>
      <c r="G498" s="566"/>
      <c r="H498" s="566"/>
      <c r="I498" s="566"/>
      <c r="J498" s="566"/>
      <c r="K498" s="566"/>
      <c r="L498" s="566"/>
      <c r="M498" s="566"/>
      <c r="N498" s="566"/>
      <c r="O498" s="722"/>
      <c r="P498" s="716" t="s">
        <v>753</v>
      </c>
      <c r="Q498" s="670"/>
      <c r="R498" s="670"/>
      <c r="S498" s="670"/>
      <c r="T498" s="670"/>
      <c r="U498" s="670"/>
      <c r="V498" s="6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7.7311999999999985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91" t="s">
        <v>97</v>
      </c>
      <c r="D500" s="746"/>
      <c r="E500" s="746"/>
      <c r="F500" s="746"/>
      <c r="G500" s="746"/>
      <c r="H500" s="747"/>
      <c r="I500" s="591" t="s">
        <v>266</v>
      </c>
      <c r="J500" s="746"/>
      <c r="K500" s="746"/>
      <c r="L500" s="746"/>
      <c r="M500" s="746"/>
      <c r="N500" s="746"/>
      <c r="O500" s="746"/>
      <c r="P500" s="746"/>
      <c r="Q500" s="746"/>
      <c r="R500" s="747"/>
      <c r="S500" s="591" t="s">
        <v>553</v>
      </c>
      <c r="T500" s="747"/>
      <c r="U500" s="591" t="s">
        <v>607</v>
      </c>
      <c r="V500" s="746"/>
      <c r="W500" s="747"/>
      <c r="X500" s="546" t="s">
        <v>658</v>
      </c>
      <c r="Y500" s="591" t="s">
        <v>713</v>
      </c>
      <c r="Z500" s="747"/>
      <c r="AB500" s="52"/>
      <c r="AC500" s="52"/>
      <c r="AF500" s="547"/>
    </row>
    <row r="501" spans="1:32" ht="14.25" customHeight="1" thickTop="1" x14ac:dyDescent="0.2">
      <c r="A501" s="759" t="s">
        <v>756</v>
      </c>
      <c r="B501" s="591" t="s">
        <v>63</v>
      </c>
      <c r="C501" s="591" t="s">
        <v>98</v>
      </c>
      <c r="D501" s="591" t="s">
        <v>116</v>
      </c>
      <c r="E501" s="591" t="s">
        <v>167</v>
      </c>
      <c r="F501" s="591" t="s">
        <v>189</v>
      </c>
      <c r="G501" s="591" t="s">
        <v>227</v>
      </c>
      <c r="H501" s="591" t="s">
        <v>97</v>
      </c>
      <c r="I501" s="591" t="s">
        <v>267</v>
      </c>
      <c r="J501" s="591" t="s">
        <v>322</v>
      </c>
      <c r="K501" s="591" t="s">
        <v>382</v>
      </c>
      <c r="L501" s="591" t="s">
        <v>423</v>
      </c>
      <c r="M501" s="591" t="s">
        <v>439</v>
      </c>
      <c r="N501" s="547"/>
      <c r="O501" s="591" t="s">
        <v>450</v>
      </c>
      <c r="P501" s="591" t="s">
        <v>459</v>
      </c>
      <c r="Q501" s="591" t="s">
        <v>472</v>
      </c>
      <c r="R501" s="591" t="s">
        <v>543</v>
      </c>
      <c r="S501" s="591" t="s">
        <v>554</v>
      </c>
      <c r="T501" s="591" t="s">
        <v>589</v>
      </c>
      <c r="U501" s="591" t="s">
        <v>608</v>
      </c>
      <c r="V501" s="591" t="s">
        <v>639</v>
      </c>
      <c r="W501" s="591" t="s">
        <v>654</v>
      </c>
      <c r="X501" s="591" t="s">
        <v>658</v>
      </c>
      <c r="Y501" s="591" t="s">
        <v>713</v>
      </c>
      <c r="Z501" s="591" t="s">
        <v>743</v>
      </c>
      <c r="AB501" s="52"/>
      <c r="AC501" s="52"/>
      <c r="AF501" s="547"/>
    </row>
    <row r="502" spans="1:32" ht="13.5" customHeight="1" thickBot="1" x14ac:dyDescent="0.25">
      <c r="A502" s="760"/>
      <c r="B502" s="592"/>
      <c r="C502" s="592"/>
      <c r="D502" s="592"/>
      <c r="E502" s="592"/>
      <c r="F502" s="592"/>
      <c r="G502" s="592"/>
      <c r="H502" s="592"/>
      <c r="I502" s="592"/>
      <c r="J502" s="592"/>
      <c r="K502" s="592"/>
      <c r="L502" s="592"/>
      <c r="M502" s="592"/>
      <c r="N502" s="547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0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151.19999999999999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197.10000000000002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207.9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1110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220.64999999999998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705</v>
      </c>
      <c r="T503" s="46">
        <f>IFERROR(Y374*1,"0")+IFERROR(Y375*1,"0")+IFERROR(Y379*1,"0")+IFERROR(Y380*1,"0")+IFERROR(Y384*1,"0")+IFERROR(Y385*1,"0")+IFERROR(Y386*1,"0")</f>
        <v>801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100.32000000000001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00,00"/>
        <filter val="120,00"/>
        <filter val="145,00"/>
        <filter val="160,00"/>
        <filter val="17,00"/>
        <filter val="18,94"/>
        <filter val="19,67"/>
        <filter val="190,00"/>
        <filter val="200,00"/>
        <filter val="205,00"/>
        <filter val="25,64"/>
        <filter val="26,67"/>
        <filter val="29,01"/>
        <filter val="295,00"/>
        <filter val="3 452,00"/>
        <filter val="3 686,11"/>
        <filter val="3 861,11"/>
        <filter val="300,00"/>
        <filter val="35,00"/>
        <filter val="400,00"/>
        <filter val="428,16"/>
        <filter val="440,00"/>
        <filter val="45,00"/>
        <filter val="45,68"/>
        <filter val="6,67"/>
        <filter val="7"/>
        <filter val="70,00"/>
        <filter val="73,81"/>
        <filter val="763,13"/>
        <filter val="80,00"/>
        <filter val="800,00"/>
        <filter val="88,89"/>
        <filter val="90,00"/>
      </filters>
    </filterColumn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P491:V491"/>
    <mergeCell ref="P480:T480"/>
    <mergeCell ref="D108:E108"/>
    <mergeCell ref="D375:E375"/>
    <mergeCell ref="P273:T273"/>
    <mergeCell ref="D443:E443"/>
    <mergeCell ref="P487:V487"/>
    <mergeCell ref="P266:T266"/>
    <mergeCell ref="A212:O213"/>
    <mergeCell ref="P236:T236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A486:O487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A418:O419"/>
    <mergeCell ref="P186:V186"/>
    <mergeCell ref="A356:O357"/>
    <mergeCell ref="D169:E169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P52:T52"/>
    <mergeCell ref="P350:T350"/>
    <mergeCell ref="P201:V20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423:O424"/>
    <mergeCell ref="D211:E211"/>
    <mergeCell ref="P168:T168"/>
    <mergeCell ref="P190:V190"/>
    <mergeCell ref="P131:T131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P384:T384"/>
    <mergeCell ref="D78:E78"/>
    <mergeCell ref="A378:Z378"/>
    <mergeCell ref="D205:E205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379:E379"/>
    <mergeCell ref="D208:E208"/>
    <mergeCell ref="A63:O64"/>
    <mergeCell ref="H1:Q1"/>
    <mergeCell ref="P345:V345"/>
    <mergeCell ref="P246:V246"/>
    <mergeCell ref="D28:E28"/>
    <mergeCell ref="D1:F1"/>
    <mergeCell ref="L17:L18"/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