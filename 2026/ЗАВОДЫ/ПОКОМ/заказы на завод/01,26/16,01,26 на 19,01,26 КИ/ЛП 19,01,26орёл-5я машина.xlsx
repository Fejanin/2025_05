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8121529-C132-4153-91A8-620091BB1BD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заказа'!$A$18:$AF$483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заказа'!$X$479:$X$479</definedName>
    <definedName name="GrossWeightTotalR">'Бланк заказа'!$Y$479:$Y$479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заказа'!$X$480:$X$480</definedName>
    <definedName name="PalletQtyTotalR">'Бланк заказа'!$Y$480:$Y$480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заказа'!$B$46:$B$46</definedName>
    <definedName name="ProductId110">'Бланк заказа'!$B$225:$B$225</definedName>
    <definedName name="ProductId111">'Бланк заказа'!$B$229:$B$229</definedName>
    <definedName name="ProductId112">'Бланк заказа'!$B$233:$B$233</definedName>
    <definedName name="ProductId113">'Бланк заказа'!$B$237:$B$237</definedName>
    <definedName name="ProductId114">'Бланк заказа'!$B$238:$B$238</definedName>
    <definedName name="ProductId115">'Бланк заказа'!$B$239:$B$239</definedName>
    <definedName name="ProductId116">'Бланк заказа'!$B$240:$B$240</definedName>
    <definedName name="ProductId117">'Бланк заказа'!$B$241:$B$241</definedName>
    <definedName name="ProductId118">'Бланк заказа'!$B$246:$B$246</definedName>
    <definedName name="ProductId119">'Бланк заказа'!$B$247:$B$247</definedName>
    <definedName name="ProductId12">'Бланк заказа'!$B$51:$B$51</definedName>
    <definedName name="ProductId120">'Бланк заказа'!$B$248:$B$248</definedName>
    <definedName name="ProductId121">'Бланк заказа'!$B$249:$B$249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заказа'!$B$263:$B$263</definedName>
    <definedName name="ProductId128">'Бланк заказа'!$B$264:$B$264</definedName>
    <definedName name="ProductId129">'Бланк заказа'!$B$265:$B$265</definedName>
    <definedName name="ProductId13">'Бланк заказа'!$B$52:$B$52</definedName>
    <definedName name="ProductId130">'Бланк заказа'!$B$270:$B$270</definedName>
    <definedName name="ProductId131">'Бланк заказа'!$B$271:$B$271</definedName>
    <definedName name="ProductId132">'Бланк заказа'!$B$275:$B$275</definedName>
    <definedName name="ProductId133">'Бланк заказа'!$B$276:$B$276</definedName>
    <definedName name="ProductId134">'Бланк заказа'!$B$281:$B$281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заказа'!$B$286:$B$286</definedName>
    <definedName name="ProductId14">'Бланк заказа'!$B$53:$B$53</definedName>
    <definedName name="ProductId140">'Бланк заказа'!$B$290:$B$290</definedName>
    <definedName name="ProductId141">'Бланк заказа'!$B$291:$B$291</definedName>
    <definedName name="ProductId142">'Бланк заказа'!$B$292:$B$292</definedName>
    <definedName name="ProductId143">'Бланк заказа'!$B$293:$B$293</definedName>
    <definedName name="ProductId144">'Бланк заказа'!$B$294:$B$294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заказа'!$B$54:$B$54</definedName>
    <definedName name="ProductId150">'Бланк заказа'!$B$306:$B$306</definedName>
    <definedName name="ProductId151">'Бланк заказа'!$B$307:$B$307</definedName>
    <definedName name="ProductId152">'Бланк заказа'!$B$308:$B$308</definedName>
    <definedName name="ProductId153">'Бланк заказа'!$B$312:$B$312</definedName>
    <definedName name="ProductId154">'Бланк заказа'!$B$313:$B$313</definedName>
    <definedName name="ProductId155">'Бланк заказа'!$B$314:$B$314</definedName>
    <definedName name="ProductId156">'Бланк заказа'!$B$315:$B$315</definedName>
    <definedName name="ProductId157">'Бланк заказа'!$B$319:$B$319</definedName>
    <definedName name="ProductId158">'Бланк заказа'!$B$320:$B$320</definedName>
    <definedName name="ProductId159">'Бланк заказа'!$B$321:$B$321</definedName>
    <definedName name="ProductId16">'Бланк заказа'!$B$55:$B$55</definedName>
    <definedName name="ProductId160">'Бланк заказа'!$B$326:$B$326</definedName>
    <definedName name="ProductId161">'Бланк заказа'!$B$327:$B$327</definedName>
    <definedName name="ProductId162">'Бланк заказа'!$B$328:$B$328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заказа'!$B$56:$B$56</definedName>
    <definedName name="ProductId170">'Бланк заказа'!$B$344:$B$344</definedName>
    <definedName name="ProductId171">'Бланк заказа'!$B$345:$B$345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заказа'!$B$370:$B$370</definedName>
    <definedName name="ProductId181">'Бланк заказа'!$B$371:$B$371</definedName>
    <definedName name="ProductId182">'Бланк заказа'!$B$377:$B$377</definedName>
    <definedName name="ProductId183">'Бланк заказа'!$B$378:$B$378</definedName>
    <definedName name="ProductId184">'Бланк заказа'!$B$379:$B$379</definedName>
    <definedName name="ProductId185">'Бланк заказа'!$B$380:$B$380</definedName>
    <definedName name="ProductId186">'Бланк заказа'!$B$381:$B$381</definedName>
    <definedName name="ProductId187">'Бланк заказа'!$B$382:$B$382</definedName>
    <definedName name="ProductId188">'Бланк заказа'!$B$383:$B$383</definedName>
    <definedName name="ProductId189">'Бланк заказа'!$B$384:$B$384</definedName>
    <definedName name="ProductId19">'Бланк заказа'!$B$61:$B$61</definedName>
    <definedName name="ProductId190">'Бланк заказа'!$B$385:$B$385</definedName>
    <definedName name="ProductId191">'Бланк заказа'!$B$389:$B$389</definedName>
    <definedName name="ProductId192">'Бланк заказа'!$B$390:$B$390</definedName>
    <definedName name="ProductId193">'Бланк заказа'!$B$395:$B$395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заказа'!$B$407:$B$407</definedName>
    <definedName name="ProductId199">'Бланк заказа'!$B$413:$B$413</definedName>
    <definedName name="ProductId2">'Бланк заказа'!$B$23:$B$23</definedName>
    <definedName name="ProductId20">'Бланк заказа'!$B$62:$B$62</definedName>
    <definedName name="ProductId200">'Бланк заказа'!$B$414:$B$414</definedName>
    <definedName name="ProductId201">'Бланк заказа'!$B$415:$B$415</definedName>
    <definedName name="ProductId202">'Бланк заказа'!$B$416:$B$416</definedName>
    <definedName name="ProductId203">'Бланк заказа'!$B$417:$B$417</definedName>
    <definedName name="ProductId204">'Бланк заказа'!$B$418:$B$418</definedName>
    <definedName name="ProductId205">'Бланк заказа'!$B$419:$B$419</definedName>
    <definedName name="ProductId206">'Бланк заказа'!$B$420:$B$420</definedName>
    <definedName name="ProductId207">'Бланк заказа'!$B$421:$B$421</definedName>
    <definedName name="ProductId208">'Бланк заказа'!$B$422:$B$422</definedName>
    <definedName name="ProductId209">'Бланк заказа'!$B$423:$B$423</definedName>
    <definedName name="ProductId21">'Бланк заказа'!$B$66:$B$66</definedName>
    <definedName name="ProductId210">'Бланк заказа'!$B$424:$B$424</definedName>
    <definedName name="ProductId211">'Бланк заказа'!$B$428:$B$428</definedName>
    <definedName name="ProductId212">'Бланк заказа'!$B$429:$B$429</definedName>
    <definedName name="ProductId213">'Бланк заказа'!$B$430:$B$430</definedName>
    <definedName name="ProductId214">'Бланк заказа'!$B$434:$B$434</definedName>
    <definedName name="ProductId215">'Бланк заказа'!$B$435:$B$435</definedName>
    <definedName name="ProductId216">'Бланк заказа'!$B$436:$B$436</definedName>
    <definedName name="ProductId217">'Бланк заказа'!$B$437:$B$437</definedName>
    <definedName name="ProductId218">'Бланк заказа'!$B$438:$B$438</definedName>
    <definedName name="ProductId219">'Бланк заказа'!$B$439:$B$439</definedName>
    <definedName name="ProductId22">'Бланк заказа'!$B$67:$B$67</definedName>
    <definedName name="ProductId220">'Бланк заказа'!$B$443:$B$443</definedName>
    <definedName name="ProductId221">'Бланк заказа'!$B$449:$B$449</definedName>
    <definedName name="ProductId222">'Бланк заказа'!$B$450:$B$450</definedName>
    <definedName name="ProductId223">'Бланк заказа'!$B$451:$B$451</definedName>
    <definedName name="ProductId224">'Бланк заказа'!$B$452:$B$452</definedName>
    <definedName name="ProductId225">'Бланк заказа'!$B$456:$B$456</definedName>
    <definedName name="ProductId226">'Бланк заказа'!$B$457:$B$457</definedName>
    <definedName name="ProductId227">'Бланк заказа'!$B$461:$B$461</definedName>
    <definedName name="ProductId228">'Бланк заказа'!$B$465:$B$465</definedName>
    <definedName name="ProductId229">'Бланк заказа'!$B$469:$B$469</definedName>
    <definedName name="ProductId23">'Бланк заказа'!$B$71:$B$71</definedName>
    <definedName name="ProductId230">'Бланк заказа'!$B$470:$B$470</definedName>
    <definedName name="ProductId231">'Бланк заказа'!$B$475:$B$475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заказа'!$B$133:$B$133</definedName>
    <definedName name="ProductId56">'Бланк заказа'!$B$134:$B$134</definedName>
    <definedName name="ProductId57">'Бланк заказа'!$B$135:$B$135</definedName>
    <definedName name="ProductId58">'Бланк заказа'!$B$136:$B$136</definedName>
    <definedName name="ProductId59">'Бланк заказа'!$B$140:$B$140</definedName>
    <definedName name="ProductId6">'Бланк заказа'!$B$30:$B$30</definedName>
    <definedName name="ProductId60">'Бланк заказа'!$B$146:$B$146</definedName>
    <definedName name="ProductId61">'Бланк заказа'!$B$150:$B$150</definedName>
    <definedName name="ProductId62">'Бланк заказа'!$B$151:$B$151</definedName>
    <definedName name="ProductId63">'Бланк заказа'!$B$152:$B$152</definedName>
    <definedName name="ProductId64">'Бланк заказа'!$B$153:$B$153</definedName>
    <definedName name="ProductId65">'Бланк заказа'!$B$154:$B$154</definedName>
    <definedName name="ProductId66">'Бланк заказа'!$B$155:$B$155</definedName>
    <definedName name="ProductId67">'Бланк заказа'!$B$156:$B$156</definedName>
    <definedName name="ProductId68">'Бланк заказа'!$B$157:$B$157</definedName>
    <definedName name="ProductId69">'Бланк заказа'!$B$158:$B$158</definedName>
    <definedName name="ProductId7">'Бланк заказа'!$B$34:$B$34</definedName>
    <definedName name="ProductId70">'Бланк заказа'!$B$159:$B$159</definedName>
    <definedName name="ProductId71">'Бланк заказа'!$B$160:$B$160</definedName>
    <definedName name="ProductId72">'Бланк заказа'!$B$161:$B$161</definedName>
    <definedName name="ProductId73">'Бланк заказа'!$B$162:$B$162</definedName>
    <definedName name="ProductId74">'Бланк заказа'!$B$163:$B$163</definedName>
    <definedName name="ProductId75">'Бланк заказа'!$B$167:$B$167</definedName>
    <definedName name="ProductId76">'Бланк заказа'!$B$168:$B$168</definedName>
    <definedName name="ProductId77">'Бланк заказа'!$B$169:$B$169</definedName>
    <definedName name="ProductId78">'Бланк заказа'!$B$173:$B$173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заказа'!$B$189:$B$189</definedName>
    <definedName name="ProductId85">'Бланк заказа'!$B$190:$B$190</definedName>
    <definedName name="ProductId86">'Бланк заказа'!$B$191:$B$191</definedName>
    <definedName name="ProductId87">'Бланк заказа'!$B$192:$B$192</definedName>
    <definedName name="ProductId88">'Бланк заказа'!$B$193:$B$193</definedName>
    <definedName name="ProductId89">'Бланк заказа'!$B$194:$B$194</definedName>
    <definedName name="ProductId9">'Бланк заказа'!$B$41:$B$41</definedName>
    <definedName name="ProductId90">'Бланк заказа'!$B$195:$B$195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заказа'!$X$46:$X$46</definedName>
    <definedName name="SalesQty110">'Бланк заказа'!$X$225:$X$225</definedName>
    <definedName name="SalesQty111">'Бланк заказа'!$X$229:$X$229</definedName>
    <definedName name="SalesQty112">'Бланк заказа'!$X$233:$X$233</definedName>
    <definedName name="SalesQty113">'Бланк заказа'!$X$237:$X$237</definedName>
    <definedName name="SalesQty114">'Бланк заказа'!$X$238:$X$238</definedName>
    <definedName name="SalesQty115">'Бланк заказа'!$X$239:$X$239</definedName>
    <definedName name="SalesQty116">'Бланк заказа'!$X$240:$X$240</definedName>
    <definedName name="SalesQty117">'Бланк заказа'!$X$241:$X$241</definedName>
    <definedName name="SalesQty118">'Бланк заказа'!$X$246:$X$246</definedName>
    <definedName name="SalesQty119">'Бланк заказа'!$X$247:$X$247</definedName>
    <definedName name="SalesQty12">'Бланк заказа'!$X$51:$X$51</definedName>
    <definedName name="SalesQty120">'Бланк заказа'!$X$248:$X$248</definedName>
    <definedName name="SalesQty121">'Бланк заказа'!$X$249:$X$249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заказа'!$X$263:$X$263</definedName>
    <definedName name="SalesQty128">'Бланк заказа'!$X$264:$X$264</definedName>
    <definedName name="SalesQty129">'Бланк заказа'!$X$265:$X$265</definedName>
    <definedName name="SalesQty13">'Бланк заказа'!$X$52:$X$52</definedName>
    <definedName name="SalesQty130">'Бланк заказа'!$X$270:$X$270</definedName>
    <definedName name="SalesQty131">'Бланк заказа'!$X$271:$X$271</definedName>
    <definedName name="SalesQty132">'Бланк заказа'!$X$275:$X$275</definedName>
    <definedName name="SalesQty133">'Бланк заказа'!$X$276:$X$276</definedName>
    <definedName name="SalesQty134">'Бланк заказа'!$X$281:$X$281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заказа'!$X$286:$X$286</definedName>
    <definedName name="SalesQty14">'Бланк заказа'!$X$53:$X$53</definedName>
    <definedName name="SalesQty140">'Бланк заказа'!$X$290:$X$290</definedName>
    <definedName name="SalesQty141">'Бланк заказа'!$X$291:$X$291</definedName>
    <definedName name="SalesQty142">'Бланк заказа'!$X$292:$X$292</definedName>
    <definedName name="SalesQty143">'Бланк заказа'!$X$293:$X$293</definedName>
    <definedName name="SalesQty144">'Бланк заказа'!$X$294:$X$294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заказа'!$X$54:$X$54</definedName>
    <definedName name="SalesQty150">'Бланк заказа'!$X$306:$X$306</definedName>
    <definedName name="SalesQty151">'Бланк заказа'!$X$307:$X$307</definedName>
    <definedName name="SalesQty152">'Бланк заказа'!$X$308:$X$308</definedName>
    <definedName name="SalesQty153">'Бланк заказа'!$X$312:$X$312</definedName>
    <definedName name="SalesQty154">'Бланк заказа'!$X$313:$X$313</definedName>
    <definedName name="SalesQty155">'Бланк заказа'!$X$314:$X$314</definedName>
    <definedName name="SalesQty156">'Бланк заказа'!$X$315:$X$315</definedName>
    <definedName name="SalesQty157">'Бланк заказа'!$X$319:$X$319</definedName>
    <definedName name="SalesQty158">'Бланк заказа'!$X$320:$X$320</definedName>
    <definedName name="SalesQty159">'Бланк заказа'!$X$321:$X$321</definedName>
    <definedName name="SalesQty16">'Бланк заказа'!$X$55:$X$55</definedName>
    <definedName name="SalesQty160">'Бланк заказа'!$X$326:$X$326</definedName>
    <definedName name="SalesQty161">'Бланк заказа'!$X$327:$X$327</definedName>
    <definedName name="SalesQty162">'Бланк заказа'!$X$328:$X$328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заказа'!$X$56:$X$56</definedName>
    <definedName name="SalesQty170">'Бланк заказа'!$X$344:$X$344</definedName>
    <definedName name="SalesQty171">'Бланк заказа'!$X$345:$X$345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заказа'!$X$370:$X$370</definedName>
    <definedName name="SalesQty181">'Бланк заказа'!$X$371:$X$371</definedName>
    <definedName name="SalesQty182">'Бланк заказа'!$X$377:$X$377</definedName>
    <definedName name="SalesQty183">'Бланк заказа'!$X$378:$X$378</definedName>
    <definedName name="SalesQty184">'Бланк заказа'!$X$379:$X$379</definedName>
    <definedName name="SalesQty185">'Бланк заказа'!$X$380:$X$380</definedName>
    <definedName name="SalesQty186">'Бланк заказа'!$X$381:$X$381</definedName>
    <definedName name="SalesQty187">'Бланк заказа'!$X$382:$X$382</definedName>
    <definedName name="SalesQty188">'Бланк заказа'!$X$383:$X$383</definedName>
    <definedName name="SalesQty189">'Бланк заказа'!$X$384:$X$384</definedName>
    <definedName name="SalesQty19">'Бланк заказа'!$X$61:$X$61</definedName>
    <definedName name="SalesQty190">'Бланк заказа'!$X$385:$X$385</definedName>
    <definedName name="SalesQty191">'Бланк заказа'!$X$389:$X$389</definedName>
    <definedName name="SalesQty192">'Бланк заказа'!$X$390:$X$390</definedName>
    <definedName name="SalesQty193">'Бланк заказа'!$X$395:$X$395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заказа'!$X$407:$X$407</definedName>
    <definedName name="SalesQty199">'Бланк заказа'!$X$413:$X$413</definedName>
    <definedName name="SalesQty2">'Бланк заказа'!$X$23:$X$23</definedName>
    <definedName name="SalesQty20">'Бланк заказа'!$X$62:$X$62</definedName>
    <definedName name="SalesQty200">'Бланк заказа'!$X$414:$X$414</definedName>
    <definedName name="SalesQty201">'Бланк заказа'!$X$415:$X$415</definedName>
    <definedName name="SalesQty202">'Бланк заказа'!$X$416:$X$416</definedName>
    <definedName name="SalesQty203">'Бланк заказа'!$X$417:$X$417</definedName>
    <definedName name="SalesQty204">'Бланк заказа'!$X$418:$X$418</definedName>
    <definedName name="SalesQty205">'Бланк заказа'!$X$419:$X$419</definedName>
    <definedName name="SalesQty206">'Бланк заказа'!$X$420:$X$420</definedName>
    <definedName name="SalesQty207">'Бланк заказа'!$X$421:$X$421</definedName>
    <definedName name="SalesQty208">'Бланк заказа'!$X$422:$X$422</definedName>
    <definedName name="SalesQty209">'Бланк заказа'!$X$423:$X$423</definedName>
    <definedName name="SalesQty21">'Бланк заказа'!$X$66:$X$66</definedName>
    <definedName name="SalesQty210">'Бланк заказа'!$X$424:$X$424</definedName>
    <definedName name="SalesQty211">'Бланк заказа'!$X$428:$X$428</definedName>
    <definedName name="SalesQty212">'Бланк заказа'!$X$429:$X$429</definedName>
    <definedName name="SalesQty213">'Бланк заказа'!$X$430:$X$430</definedName>
    <definedName name="SalesQty214">'Бланк заказа'!$X$434:$X$434</definedName>
    <definedName name="SalesQty215">'Бланк заказа'!$X$435:$X$435</definedName>
    <definedName name="SalesQty216">'Бланк заказа'!$X$436:$X$436</definedName>
    <definedName name="SalesQty217">'Бланк заказа'!$X$437:$X$437</definedName>
    <definedName name="SalesQty218">'Бланк заказа'!$X$438:$X$438</definedName>
    <definedName name="SalesQty219">'Бланк заказа'!$X$439:$X$439</definedName>
    <definedName name="SalesQty22">'Бланк заказа'!$X$67:$X$67</definedName>
    <definedName name="SalesQty220">'Бланк заказа'!$X$443:$X$443</definedName>
    <definedName name="SalesQty221">'Бланк заказа'!$X$449:$X$449</definedName>
    <definedName name="SalesQty222">'Бланк заказа'!$X$450:$X$450</definedName>
    <definedName name="SalesQty223">'Бланк заказа'!$X$451:$X$451</definedName>
    <definedName name="SalesQty224">'Бланк заказа'!$X$452:$X$452</definedName>
    <definedName name="SalesQty225">'Бланк заказа'!$X$456:$X$456</definedName>
    <definedName name="SalesQty226">'Бланк заказа'!$X$457:$X$457</definedName>
    <definedName name="SalesQty227">'Бланк заказа'!$X$461:$X$461</definedName>
    <definedName name="SalesQty228">'Бланк заказа'!$X$465:$X$465</definedName>
    <definedName name="SalesQty229">'Бланк заказа'!$X$469:$X$469</definedName>
    <definedName name="SalesQty23">'Бланк заказа'!$X$71:$X$71</definedName>
    <definedName name="SalesQty230">'Бланк заказа'!$X$470:$X$470</definedName>
    <definedName name="SalesQty231">'Бланк заказа'!$X$475:$X$475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заказа'!$X$133:$X$133</definedName>
    <definedName name="SalesQty56">'Бланк заказа'!$X$134:$X$134</definedName>
    <definedName name="SalesQty57">'Бланк заказа'!$X$135:$X$135</definedName>
    <definedName name="SalesQty58">'Бланк заказа'!$X$136:$X$136</definedName>
    <definedName name="SalesQty59">'Бланк заказа'!$X$140:$X$140</definedName>
    <definedName name="SalesQty6">'Бланк заказа'!$X$30:$X$30</definedName>
    <definedName name="SalesQty60">'Бланк заказа'!$X$146:$X$146</definedName>
    <definedName name="SalesQty61">'Бланк заказа'!$X$150:$X$150</definedName>
    <definedName name="SalesQty62">'Бланк заказа'!$X$151:$X$151</definedName>
    <definedName name="SalesQty63">'Бланк заказа'!$X$152:$X$152</definedName>
    <definedName name="SalesQty64">'Бланк заказа'!$X$153:$X$153</definedName>
    <definedName name="SalesQty65">'Бланк заказа'!$X$154:$X$154</definedName>
    <definedName name="SalesQty66">'Бланк заказа'!$X$155:$X$155</definedName>
    <definedName name="SalesQty67">'Бланк заказа'!$X$156:$X$156</definedName>
    <definedName name="SalesQty68">'Бланк заказа'!$X$157:$X$157</definedName>
    <definedName name="SalesQty69">'Бланк заказа'!$X$158:$X$158</definedName>
    <definedName name="SalesQty7">'Бланк заказа'!$X$34:$X$34</definedName>
    <definedName name="SalesQty70">'Бланк заказа'!$X$159:$X$159</definedName>
    <definedName name="SalesQty71">'Бланк заказа'!$X$160:$X$160</definedName>
    <definedName name="SalesQty72">'Бланк заказа'!$X$161:$X$161</definedName>
    <definedName name="SalesQty73">'Бланк заказа'!$X$162:$X$162</definedName>
    <definedName name="SalesQty74">'Бланк заказа'!$X$163:$X$163</definedName>
    <definedName name="SalesQty75">'Бланк заказа'!$X$167:$X$167</definedName>
    <definedName name="SalesQty76">'Бланк заказа'!$X$168:$X$168</definedName>
    <definedName name="SalesQty77">'Бланк заказа'!$X$169:$X$169</definedName>
    <definedName name="SalesQty78">'Бланк заказа'!$X$173:$X$173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заказа'!$X$189:$X$189</definedName>
    <definedName name="SalesQty85">'Бланк заказа'!$X$190:$X$190</definedName>
    <definedName name="SalesQty86">'Бланк заказа'!$X$191:$X$191</definedName>
    <definedName name="SalesQty87">'Бланк заказа'!$X$192:$X$192</definedName>
    <definedName name="SalesQty88">'Бланк заказа'!$X$193:$X$193</definedName>
    <definedName name="SalesQty89">'Бланк заказа'!$X$194:$X$194</definedName>
    <definedName name="SalesQty9">'Бланк заказа'!$X$41:$X$41</definedName>
    <definedName name="SalesQty90">'Бланк заказа'!$X$195:$X$195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заказа'!$Y$46:$Y$46</definedName>
    <definedName name="SalesRoundBox110">'Бланк заказа'!$Y$225:$Y$225</definedName>
    <definedName name="SalesRoundBox111">'Бланк заказа'!$Y$229:$Y$229</definedName>
    <definedName name="SalesRoundBox112">'Бланк заказа'!$Y$233:$Y$233</definedName>
    <definedName name="SalesRoundBox113">'Бланк заказа'!$Y$237:$Y$237</definedName>
    <definedName name="SalesRoundBox114">'Бланк заказа'!$Y$238:$Y$238</definedName>
    <definedName name="SalesRoundBox115">'Бланк заказа'!$Y$239:$Y$239</definedName>
    <definedName name="SalesRoundBox116">'Бланк заказа'!$Y$240:$Y$240</definedName>
    <definedName name="SalesRoundBox117">'Бланк заказа'!$Y$241:$Y$241</definedName>
    <definedName name="SalesRoundBox118">'Бланк заказа'!$Y$246:$Y$246</definedName>
    <definedName name="SalesRoundBox119">'Бланк заказа'!$Y$247:$Y$247</definedName>
    <definedName name="SalesRoundBox12">'Бланк заказа'!$Y$51:$Y$51</definedName>
    <definedName name="SalesRoundBox120">'Бланк заказа'!$Y$248:$Y$248</definedName>
    <definedName name="SalesRoundBox121">'Бланк заказа'!$Y$249:$Y$249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заказа'!$Y$263:$Y$263</definedName>
    <definedName name="SalesRoundBox128">'Бланк заказа'!$Y$264:$Y$264</definedName>
    <definedName name="SalesRoundBox129">'Бланк заказа'!$Y$265:$Y$265</definedName>
    <definedName name="SalesRoundBox13">'Бланк заказа'!$Y$52:$Y$52</definedName>
    <definedName name="SalesRoundBox130">'Бланк заказа'!$Y$270:$Y$270</definedName>
    <definedName name="SalesRoundBox131">'Бланк заказа'!$Y$271:$Y$271</definedName>
    <definedName name="SalesRoundBox132">'Бланк заказа'!$Y$275:$Y$275</definedName>
    <definedName name="SalesRoundBox133">'Бланк заказа'!$Y$276:$Y$276</definedName>
    <definedName name="SalesRoundBox134">'Бланк заказа'!$Y$281:$Y$281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заказа'!$Y$286:$Y$286</definedName>
    <definedName name="SalesRoundBox14">'Бланк заказа'!$Y$53:$Y$53</definedName>
    <definedName name="SalesRoundBox140">'Бланк заказа'!$Y$290:$Y$290</definedName>
    <definedName name="SalesRoundBox141">'Бланк заказа'!$Y$291:$Y$291</definedName>
    <definedName name="SalesRoundBox142">'Бланк заказа'!$Y$292:$Y$292</definedName>
    <definedName name="SalesRoundBox143">'Бланк заказа'!$Y$293:$Y$293</definedName>
    <definedName name="SalesRoundBox144">'Бланк заказа'!$Y$294:$Y$294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заказа'!$Y$54:$Y$54</definedName>
    <definedName name="SalesRoundBox150">'Бланк заказа'!$Y$306:$Y$306</definedName>
    <definedName name="SalesRoundBox151">'Бланк заказа'!$Y$307:$Y$307</definedName>
    <definedName name="SalesRoundBox152">'Бланк заказа'!$Y$308:$Y$308</definedName>
    <definedName name="SalesRoundBox153">'Бланк заказа'!$Y$312:$Y$312</definedName>
    <definedName name="SalesRoundBox154">'Бланк заказа'!$Y$313:$Y$313</definedName>
    <definedName name="SalesRoundBox155">'Бланк заказа'!$Y$314:$Y$314</definedName>
    <definedName name="SalesRoundBox156">'Бланк заказа'!$Y$315:$Y$315</definedName>
    <definedName name="SalesRoundBox157">'Бланк заказа'!$Y$319:$Y$319</definedName>
    <definedName name="SalesRoundBox158">'Бланк заказа'!$Y$320:$Y$320</definedName>
    <definedName name="SalesRoundBox159">'Бланк заказа'!$Y$321:$Y$321</definedName>
    <definedName name="SalesRoundBox16">'Бланк заказа'!$Y$55:$Y$55</definedName>
    <definedName name="SalesRoundBox160">'Бланк заказа'!$Y$326:$Y$326</definedName>
    <definedName name="SalesRoundBox161">'Бланк заказа'!$Y$327:$Y$327</definedName>
    <definedName name="SalesRoundBox162">'Бланк заказа'!$Y$328:$Y$328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заказа'!$Y$56:$Y$56</definedName>
    <definedName name="SalesRoundBox170">'Бланк заказа'!$Y$344:$Y$344</definedName>
    <definedName name="SalesRoundBox171">'Бланк заказа'!$Y$345:$Y$345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заказа'!$Y$370:$Y$370</definedName>
    <definedName name="SalesRoundBox181">'Бланк заказа'!$Y$371:$Y$371</definedName>
    <definedName name="SalesRoundBox182">'Бланк заказа'!$Y$377:$Y$377</definedName>
    <definedName name="SalesRoundBox183">'Бланк заказа'!$Y$378:$Y$378</definedName>
    <definedName name="SalesRoundBox184">'Бланк заказа'!$Y$379:$Y$379</definedName>
    <definedName name="SalesRoundBox185">'Бланк заказа'!$Y$380:$Y$380</definedName>
    <definedName name="SalesRoundBox186">'Бланк заказа'!$Y$381:$Y$381</definedName>
    <definedName name="SalesRoundBox187">'Бланк заказа'!$Y$382:$Y$382</definedName>
    <definedName name="SalesRoundBox188">'Бланк заказа'!$Y$383:$Y$383</definedName>
    <definedName name="SalesRoundBox189">'Бланк заказа'!$Y$384:$Y$384</definedName>
    <definedName name="SalesRoundBox19">'Бланк заказа'!$Y$61:$Y$61</definedName>
    <definedName name="SalesRoundBox190">'Бланк заказа'!$Y$385:$Y$385</definedName>
    <definedName name="SalesRoundBox191">'Бланк заказа'!$Y$389:$Y$389</definedName>
    <definedName name="SalesRoundBox192">'Бланк заказа'!$Y$390:$Y$390</definedName>
    <definedName name="SalesRoundBox193">'Бланк заказа'!$Y$395:$Y$395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заказа'!$Y$407:$Y$407</definedName>
    <definedName name="SalesRoundBox199">'Бланк заказа'!$Y$413:$Y$413</definedName>
    <definedName name="SalesRoundBox2">'Бланк заказа'!$Y$23:$Y$23</definedName>
    <definedName name="SalesRoundBox20">'Бланк заказа'!$Y$62:$Y$62</definedName>
    <definedName name="SalesRoundBox200">'Бланк заказа'!$Y$414:$Y$414</definedName>
    <definedName name="SalesRoundBox201">'Бланк заказа'!$Y$415:$Y$415</definedName>
    <definedName name="SalesRoundBox202">'Бланк заказа'!$Y$416:$Y$416</definedName>
    <definedName name="SalesRoundBox203">'Бланк заказа'!$Y$417:$Y$417</definedName>
    <definedName name="SalesRoundBox204">'Бланк заказа'!$Y$418:$Y$418</definedName>
    <definedName name="SalesRoundBox205">'Бланк заказа'!$Y$419:$Y$419</definedName>
    <definedName name="SalesRoundBox206">'Бланк заказа'!$Y$420:$Y$420</definedName>
    <definedName name="SalesRoundBox207">'Бланк заказа'!$Y$421:$Y$421</definedName>
    <definedName name="SalesRoundBox208">'Бланк заказа'!$Y$422:$Y$422</definedName>
    <definedName name="SalesRoundBox209">'Бланк заказа'!$Y$423:$Y$423</definedName>
    <definedName name="SalesRoundBox21">'Бланк заказа'!$Y$66:$Y$66</definedName>
    <definedName name="SalesRoundBox210">'Бланк заказа'!$Y$424:$Y$424</definedName>
    <definedName name="SalesRoundBox211">'Бланк заказа'!$Y$428:$Y$428</definedName>
    <definedName name="SalesRoundBox212">'Бланк заказа'!$Y$429:$Y$429</definedName>
    <definedName name="SalesRoundBox213">'Бланк заказа'!$Y$430:$Y$430</definedName>
    <definedName name="SalesRoundBox214">'Бланк заказа'!$Y$434:$Y$434</definedName>
    <definedName name="SalesRoundBox215">'Бланк заказа'!$Y$435:$Y$435</definedName>
    <definedName name="SalesRoundBox216">'Бланк заказа'!$Y$436:$Y$436</definedName>
    <definedName name="SalesRoundBox217">'Бланк заказа'!$Y$437:$Y$437</definedName>
    <definedName name="SalesRoundBox218">'Бланк заказа'!$Y$438:$Y$438</definedName>
    <definedName name="SalesRoundBox219">'Бланк заказа'!$Y$439:$Y$439</definedName>
    <definedName name="SalesRoundBox22">'Бланк заказа'!$Y$67:$Y$67</definedName>
    <definedName name="SalesRoundBox220">'Бланк заказа'!$Y$443:$Y$443</definedName>
    <definedName name="SalesRoundBox221">'Бланк заказа'!$Y$449:$Y$449</definedName>
    <definedName name="SalesRoundBox222">'Бланк заказа'!$Y$450:$Y$450</definedName>
    <definedName name="SalesRoundBox223">'Бланк заказа'!$Y$451:$Y$451</definedName>
    <definedName name="SalesRoundBox224">'Бланк заказа'!$Y$452:$Y$452</definedName>
    <definedName name="SalesRoundBox225">'Бланк заказа'!$Y$456:$Y$456</definedName>
    <definedName name="SalesRoundBox226">'Бланк заказа'!$Y$457:$Y$457</definedName>
    <definedName name="SalesRoundBox227">'Бланк заказа'!$Y$461:$Y$461</definedName>
    <definedName name="SalesRoundBox228">'Бланк заказа'!$Y$465:$Y$465</definedName>
    <definedName name="SalesRoundBox229">'Бланк заказа'!$Y$469:$Y$469</definedName>
    <definedName name="SalesRoundBox23">'Бланк заказа'!$Y$71:$Y$71</definedName>
    <definedName name="SalesRoundBox230">'Бланк заказа'!$Y$470:$Y$470</definedName>
    <definedName name="SalesRoundBox231">'Бланк заказа'!$Y$475:$Y$475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заказа'!$Y$133:$Y$133</definedName>
    <definedName name="SalesRoundBox56">'Бланк заказа'!$Y$134:$Y$134</definedName>
    <definedName name="SalesRoundBox57">'Бланк заказа'!$Y$135:$Y$135</definedName>
    <definedName name="SalesRoundBox58">'Бланк заказа'!$Y$136:$Y$136</definedName>
    <definedName name="SalesRoundBox59">'Бланк заказа'!$Y$140:$Y$140</definedName>
    <definedName name="SalesRoundBox6">'Бланк заказа'!$Y$30:$Y$30</definedName>
    <definedName name="SalesRoundBox60">'Бланк заказа'!$Y$146:$Y$146</definedName>
    <definedName name="SalesRoundBox61">'Бланк заказа'!$Y$150:$Y$150</definedName>
    <definedName name="SalesRoundBox62">'Бланк заказа'!$Y$151:$Y$151</definedName>
    <definedName name="SalesRoundBox63">'Бланк заказа'!$Y$152:$Y$152</definedName>
    <definedName name="SalesRoundBox64">'Бланк заказа'!$Y$153:$Y$153</definedName>
    <definedName name="SalesRoundBox65">'Бланк заказа'!$Y$154:$Y$154</definedName>
    <definedName name="SalesRoundBox66">'Бланк заказа'!$Y$155:$Y$155</definedName>
    <definedName name="SalesRoundBox67">'Бланк заказа'!$Y$156:$Y$156</definedName>
    <definedName name="SalesRoundBox68">'Бланк заказа'!$Y$157:$Y$157</definedName>
    <definedName name="SalesRoundBox69">'Бланк заказа'!$Y$158:$Y$158</definedName>
    <definedName name="SalesRoundBox7">'Бланк заказа'!$Y$34:$Y$34</definedName>
    <definedName name="SalesRoundBox70">'Бланк заказа'!$Y$159:$Y$159</definedName>
    <definedName name="SalesRoundBox71">'Бланк заказа'!$Y$160:$Y$160</definedName>
    <definedName name="SalesRoundBox72">'Бланк заказа'!$Y$161:$Y$161</definedName>
    <definedName name="SalesRoundBox73">'Бланк заказа'!$Y$162:$Y$162</definedName>
    <definedName name="SalesRoundBox74">'Бланк заказа'!$Y$163:$Y$163</definedName>
    <definedName name="SalesRoundBox75">'Бланк заказа'!$Y$167:$Y$167</definedName>
    <definedName name="SalesRoundBox76">'Бланк заказа'!$Y$168:$Y$168</definedName>
    <definedName name="SalesRoundBox77">'Бланк заказа'!$Y$169:$Y$169</definedName>
    <definedName name="SalesRoundBox78">'Бланк заказа'!$Y$173:$Y$173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заказа'!$Y$189:$Y$189</definedName>
    <definedName name="SalesRoundBox85">'Бланк заказа'!$Y$190:$Y$190</definedName>
    <definedName name="SalesRoundBox86">'Бланк заказа'!$Y$191:$Y$191</definedName>
    <definedName name="SalesRoundBox87">'Бланк заказа'!$Y$192:$Y$192</definedName>
    <definedName name="SalesRoundBox88">'Бланк заказа'!$Y$193:$Y$193</definedName>
    <definedName name="SalesRoundBox89">'Бланк заказа'!$Y$194:$Y$194</definedName>
    <definedName name="SalesRoundBox9">'Бланк заказа'!$Y$41:$Y$41</definedName>
    <definedName name="SalesRoundBox90">'Бланк заказа'!$Y$195:$Y$195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заказа'!$W$46:$W$46</definedName>
    <definedName name="UnitOfMeasure110">'Бланк заказа'!$W$225:$W$225</definedName>
    <definedName name="UnitOfMeasure111">'Бланк заказа'!$W$229:$W$229</definedName>
    <definedName name="UnitOfMeasure112">'Бланк заказа'!$W$233:$W$233</definedName>
    <definedName name="UnitOfMeasure113">'Бланк заказа'!$W$237:$W$237</definedName>
    <definedName name="UnitOfMeasure114">'Бланк заказа'!$W$238:$W$238</definedName>
    <definedName name="UnitOfMeasure115">'Бланк заказа'!$W$239:$W$239</definedName>
    <definedName name="UnitOfMeasure116">'Бланк заказа'!$W$240:$W$240</definedName>
    <definedName name="UnitOfMeasure117">'Бланк заказа'!$W$241:$W$241</definedName>
    <definedName name="UnitOfMeasure118">'Бланк заказа'!$W$246:$W$246</definedName>
    <definedName name="UnitOfMeasure119">'Бланк заказа'!$W$247:$W$247</definedName>
    <definedName name="UnitOfMeasure12">'Бланк заказа'!$W$51:$W$51</definedName>
    <definedName name="UnitOfMeasure120">'Бланк заказа'!$W$248:$W$248</definedName>
    <definedName name="UnitOfMeasure121">'Бланк заказа'!$W$249:$W$249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заказа'!$W$263:$W$263</definedName>
    <definedName name="UnitOfMeasure128">'Бланк заказа'!$W$264:$W$264</definedName>
    <definedName name="UnitOfMeasure129">'Бланк заказа'!$W$265:$W$265</definedName>
    <definedName name="UnitOfMeasure13">'Бланк заказа'!$W$52:$W$52</definedName>
    <definedName name="UnitOfMeasure130">'Бланк заказа'!$W$270:$W$270</definedName>
    <definedName name="UnitOfMeasure131">'Бланк заказа'!$W$271:$W$271</definedName>
    <definedName name="UnitOfMeasure132">'Бланк заказа'!$W$275:$W$275</definedName>
    <definedName name="UnitOfMeasure133">'Бланк заказа'!$W$276:$W$276</definedName>
    <definedName name="UnitOfMeasure134">'Бланк заказа'!$W$281:$W$281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заказа'!$W$286:$W$286</definedName>
    <definedName name="UnitOfMeasure14">'Бланк заказа'!$W$53:$W$53</definedName>
    <definedName name="UnitOfMeasure140">'Бланк заказа'!$W$290:$W$290</definedName>
    <definedName name="UnitOfMeasure141">'Бланк заказа'!$W$291:$W$291</definedName>
    <definedName name="UnitOfMeasure142">'Бланк заказа'!$W$292:$W$292</definedName>
    <definedName name="UnitOfMeasure143">'Бланк заказа'!$W$293:$W$293</definedName>
    <definedName name="UnitOfMeasure144">'Бланк заказа'!$W$294:$W$294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заказа'!$W$54:$W$54</definedName>
    <definedName name="UnitOfMeasure150">'Бланк заказа'!$W$306:$W$306</definedName>
    <definedName name="UnitOfMeasure151">'Бланк заказа'!$W$307:$W$307</definedName>
    <definedName name="UnitOfMeasure152">'Бланк заказа'!$W$308:$W$308</definedName>
    <definedName name="UnitOfMeasure153">'Бланк заказа'!$W$312:$W$312</definedName>
    <definedName name="UnitOfMeasure154">'Бланк заказа'!$W$313:$W$313</definedName>
    <definedName name="UnitOfMeasure155">'Бланк заказа'!$W$314:$W$314</definedName>
    <definedName name="UnitOfMeasure156">'Бланк заказа'!$W$315:$W$315</definedName>
    <definedName name="UnitOfMeasure157">'Бланк заказа'!$W$319:$W$319</definedName>
    <definedName name="UnitOfMeasure158">'Бланк заказа'!$W$320:$W$320</definedName>
    <definedName name="UnitOfMeasure159">'Бланк заказа'!$W$321:$W$321</definedName>
    <definedName name="UnitOfMeasure16">'Бланк заказа'!$W$55:$W$55</definedName>
    <definedName name="UnitOfMeasure160">'Бланк заказа'!$W$326:$W$326</definedName>
    <definedName name="UnitOfMeasure161">'Бланк заказа'!$W$327:$W$327</definedName>
    <definedName name="UnitOfMeasure162">'Бланк заказа'!$W$328:$W$328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заказа'!$W$56:$W$56</definedName>
    <definedName name="UnitOfMeasure170">'Бланк заказа'!$W$344:$W$344</definedName>
    <definedName name="UnitOfMeasure171">'Бланк заказа'!$W$345:$W$345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заказа'!$W$370:$W$370</definedName>
    <definedName name="UnitOfMeasure181">'Бланк заказа'!$W$371:$W$371</definedName>
    <definedName name="UnitOfMeasure182">'Бланк заказа'!$W$377:$W$377</definedName>
    <definedName name="UnitOfMeasure183">'Бланк заказа'!$W$378:$W$378</definedName>
    <definedName name="UnitOfMeasure184">'Бланк заказа'!$W$379:$W$379</definedName>
    <definedName name="UnitOfMeasure185">'Бланк заказа'!$W$380:$W$380</definedName>
    <definedName name="UnitOfMeasure186">'Бланк заказа'!$W$381:$W$381</definedName>
    <definedName name="UnitOfMeasure187">'Бланк заказа'!$W$382:$W$382</definedName>
    <definedName name="UnitOfMeasure188">'Бланк заказа'!$W$383:$W$383</definedName>
    <definedName name="UnitOfMeasure189">'Бланк заказа'!$W$384:$W$384</definedName>
    <definedName name="UnitOfMeasure19">'Бланк заказа'!$W$61:$W$61</definedName>
    <definedName name="UnitOfMeasure190">'Бланк заказа'!$W$385:$W$385</definedName>
    <definedName name="UnitOfMeasure191">'Бланк заказа'!$W$389:$W$389</definedName>
    <definedName name="UnitOfMeasure192">'Бланк заказа'!$W$390:$W$390</definedName>
    <definedName name="UnitOfMeasure193">'Бланк заказа'!$W$395:$W$395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заказа'!$W$407:$W$407</definedName>
    <definedName name="UnitOfMeasure199">'Бланк заказа'!$W$413:$W$413</definedName>
    <definedName name="UnitOfMeasure2">'Бланк заказа'!$W$23:$W$23</definedName>
    <definedName name="UnitOfMeasure20">'Бланк заказа'!$W$62:$W$62</definedName>
    <definedName name="UnitOfMeasure200">'Бланк заказа'!$W$414:$W$414</definedName>
    <definedName name="UnitOfMeasure201">'Бланк заказа'!$W$415:$W$415</definedName>
    <definedName name="UnitOfMeasure202">'Бланк заказа'!$W$416:$W$416</definedName>
    <definedName name="UnitOfMeasure203">'Бланк заказа'!$W$417:$W$417</definedName>
    <definedName name="UnitOfMeasure204">'Бланк заказа'!$W$418:$W$418</definedName>
    <definedName name="UnitOfMeasure205">'Бланк заказа'!$W$419:$W$419</definedName>
    <definedName name="UnitOfMeasure206">'Бланк заказа'!$W$420:$W$420</definedName>
    <definedName name="UnitOfMeasure207">'Бланк заказа'!$W$421:$W$421</definedName>
    <definedName name="UnitOfMeasure208">'Бланк заказа'!$W$422:$W$422</definedName>
    <definedName name="UnitOfMeasure209">'Бланк заказа'!$W$423:$W$423</definedName>
    <definedName name="UnitOfMeasure21">'Бланк заказа'!$W$66:$W$66</definedName>
    <definedName name="UnitOfMeasure210">'Бланк заказа'!$W$424:$W$424</definedName>
    <definedName name="UnitOfMeasure211">'Бланк заказа'!$W$428:$W$428</definedName>
    <definedName name="UnitOfMeasure212">'Бланк заказа'!$W$429:$W$429</definedName>
    <definedName name="UnitOfMeasure213">'Бланк заказа'!$W$430:$W$430</definedName>
    <definedName name="UnitOfMeasure214">'Бланк заказа'!$W$434:$W$434</definedName>
    <definedName name="UnitOfMeasure215">'Бланк заказа'!$W$435:$W$435</definedName>
    <definedName name="UnitOfMeasure216">'Бланк заказа'!$W$436:$W$436</definedName>
    <definedName name="UnitOfMeasure217">'Бланк заказа'!$W$437:$W$437</definedName>
    <definedName name="UnitOfMeasure218">'Бланк заказа'!$W$438:$W$438</definedName>
    <definedName name="UnitOfMeasure219">'Бланк заказа'!$W$439:$W$439</definedName>
    <definedName name="UnitOfMeasure22">'Бланк заказа'!$W$67:$W$67</definedName>
    <definedName name="UnitOfMeasure220">'Бланк заказа'!$W$443:$W$443</definedName>
    <definedName name="UnitOfMeasure221">'Бланк заказа'!$W$449:$W$449</definedName>
    <definedName name="UnitOfMeasure222">'Бланк заказа'!$W$450:$W$450</definedName>
    <definedName name="UnitOfMeasure223">'Бланк заказа'!$W$451:$W$451</definedName>
    <definedName name="UnitOfMeasure224">'Бланк заказа'!$W$452:$W$452</definedName>
    <definedName name="UnitOfMeasure225">'Бланк заказа'!$W$456:$W$456</definedName>
    <definedName name="UnitOfMeasure226">'Бланк заказа'!$W$457:$W$457</definedName>
    <definedName name="UnitOfMeasure227">'Бланк заказа'!$W$461:$W$461</definedName>
    <definedName name="UnitOfMeasure228">'Бланк заказа'!$W$465:$W$465</definedName>
    <definedName name="UnitOfMeasure229">'Бланк заказа'!$W$469:$W$469</definedName>
    <definedName name="UnitOfMeasure23">'Бланк заказа'!$W$71:$W$71</definedName>
    <definedName name="UnitOfMeasure230">'Бланк заказа'!$W$470:$W$470</definedName>
    <definedName name="UnitOfMeasure231">'Бланк заказа'!$W$475:$W$475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заказа'!$W$133:$W$133</definedName>
    <definedName name="UnitOfMeasure56">'Бланк заказа'!$W$134:$W$134</definedName>
    <definedName name="UnitOfMeasure57">'Бланк заказа'!$W$135:$W$135</definedName>
    <definedName name="UnitOfMeasure58">'Бланк заказа'!$W$136:$W$136</definedName>
    <definedName name="UnitOfMeasure59">'Бланк заказа'!$W$140:$W$140</definedName>
    <definedName name="UnitOfMeasure6">'Бланк заказа'!$W$30:$W$30</definedName>
    <definedName name="UnitOfMeasure60">'Бланк заказа'!$W$146:$W$146</definedName>
    <definedName name="UnitOfMeasure61">'Бланк заказа'!$W$150:$W$150</definedName>
    <definedName name="UnitOfMeasure62">'Бланк заказа'!$W$151:$W$151</definedName>
    <definedName name="UnitOfMeasure63">'Бланк заказа'!$W$152:$W$152</definedName>
    <definedName name="UnitOfMeasure64">'Бланк заказа'!$W$153:$W$153</definedName>
    <definedName name="UnitOfMeasure65">'Бланк заказа'!$W$154:$W$154</definedName>
    <definedName name="UnitOfMeasure66">'Бланк заказа'!$W$155:$W$155</definedName>
    <definedName name="UnitOfMeasure67">'Бланк заказа'!$W$156:$W$156</definedName>
    <definedName name="UnitOfMeasure68">'Бланк заказа'!$W$157:$W$157</definedName>
    <definedName name="UnitOfMeasure69">'Бланк заказа'!$W$158:$W$158</definedName>
    <definedName name="UnitOfMeasure7">'Бланк заказа'!$W$34:$W$34</definedName>
    <definedName name="UnitOfMeasure70">'Бланк заказа'!$W$159:$W$159</definedName>
    <definedName name="UnitOfMeasure71">'Бланк заказа'!$W$160:$W$160</definedName>
    <definedName name="UnitOfMeasure72">'Бланк заказа'!$W$161:$W$161</definedName>
    <definedName name="UnitOfMeasure73">'Бланк заказа'!$W$162:$W$162</definedName>
    <definedName name="UnitOfMeasure74">'Бланк заказа'!$W$163:$W$163</definedName>
    <definedName name="UnitOfMeasure75">'Бланк заказа'!$W$167:$W$167</definedName>
    <definedName name="UnitOfMeasure76">'Бланк заказа'!$W$168:$W$168</definedName>
    <definedName name="UnitOfMeasure77">'Бланк заказа'!$W$169:$W$169</definedName>
    <definedName name="UnitOfMeasure78">'Бланк заказа'!$W$173:$W$173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заказа'!$W$189:$W$189</definedName>
    <definedName name="UnitOfMeasure85">'Бланк заказа'!$W$190:$W$190</definedName>
    <definedName name="UnitOfMeasure86">'Бланк заказа'!$W$191:$W$191</definedName>
    <definedName name="UnitOfMeasure87">'Бланк заказа'!$W$192:$W$192</definedName>
    <definedName name="UnitOfMeasure88">'Бланк заказа'!$W$193:$W$193</definedName>
    <definedName name="UnitOfMeasure89">'Бланк заказа'!$W$194:$W$194</definedName>
    <definedName name="UnitOfMeasure9">'Бланк заказа'!$W$41:$W$41</definedName>
    <definedName name="UnitOfMeasure90">'Бланк заказа'!$W$195:$W$195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77" i="2" l="1"/>
  <c r="X476" i="2"/>
  <c r="BO475" i="2"/>
  <c r="BM475" i="2"/>
  <c r="Y475" i="2"/>
  <c r="Y488" i="2" s="1"/>
  <c r="P475" i="2"/>
  <c r="X472" i="2"/>
  <c r="X471" i="2"/>
  <c r="BO470" i="2"/>
  <c r="BM470" i="2"/>
  <c r="Y470" i="2"/>
  <c r="Z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N465" i="2" s="1"/>
  <c r="P465" i="2"/>
  <c r="X463" i="2"/>
  <c r="X462" i="2"/>
  <c r="BO461" i="2"/>
  <c r="BM461" i="2"/>
  <c r="Y461" i="2"/>
  <c r="BN461" i="2" s="1"/>
  <c r="P461" i="2"/>
  <c r="X459" i="2"/>
  <c r="X458" i="2"/>
  <c r="BO457" i="2"/>
  <c r="BM457" i="2"/>
  <c r="Y457" i="2"/>
  <c r="P457" i="2"/>
  <c r="BO456" i="2"/>
  <c r="BM456" i="2"/>
  <c r="Y456" i="2"/>
  <c r="BP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BP449" i="2" s="1"/>
  <c r="P449" i="2"/>
  <c r="X445" i="2"/>
  <c r="X444" i="2"/>
  <c r="BO443" i="2"/>
  <c r="BM443" i="2"/>
  <c r="Y443" i="2"/>
  <c r="Y444" i="2" s="1"/>
  <c r="P443" i="2"/>
  <c r="X441" i="2"/>
  <c r="X440" i="2"/>
  <c r="BO439" i="2"/>
  <c r="BM439" i="2"/>
  <c r="Y439" i="2"/>
  <c r="Z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X432" i="2"/>
  <c r="X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P428" i="2"/>
  <c r="X426" i="2"/>
  <c r="X425" i="2"/>
  <c r="BO424" i="2"/>
  <c r="BM424" i="2"/>
  <c r="Y424" i="2"/>
  <c r="BN424" i="2" s="1"/>
  <c r="P424" i="2"/>
  <c r="BO423" i="2"/>
  <c r="BM423" i="2"/>
  <c r="Y423" i="2"/>
  <c r="BP423" i="2" s="1"/>
  <c r="P423" i="2"/>
  <c r="BO422" i="2"/>
  <c r="BM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BP418" i="2" s="1"/>
  <c r="P418" i="2"/>
  <c r="BO417" i="2"/>
  <c r="BM417" i="2"/>
  <c r="Y417" i="2"/>
  <c r="P417" i="2"/>
  <c r="BO416" i="2"/>
  <c r="BM416" i="2"/>
  <c r="Y416" i="2"/>
  <c r="BN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Z413" i="2" s="1"/>
  <c r="P413" i="2"/>
  <c r="X409" i="2"/>
  <c r="X408" i="2"/>
  <c r="BO407" i="2"/>
  <c r="BM407" i="2"/>
  <c r="Y407" i="2"/>
  <c r="Z407" i="2" s="1"/>
  <c r="Z408" i="2" s="1"/>
  <c r="P407" i="2"/>
  <c r="X404" i="2"/>
  <c r="X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BO399" i="2"/>
  <c r="BM399" i="2"/>
  <c r="Z399" i="2"/>
  <c r="Y399" i="2"/>
  <c r="BP399" i="2" s="1"/>
  <c r="P399" i="2"/>
  <c r="X397" i="2"/>
  <c r="X396" i="2"/>
  <c r="BO395" i="2"/>
  <c r="BM395" i="2"/>
  <c r="Y395" i="2"/>
  <c r="Y397" i="2" s="1"/>
  <c r="P395" i="2"/>
  <c r="X392" i="2"/>
  <c r="X391" i="2"/>
  <c r="BO390" i="2"/>
  <c r="BM390" i="2"/>
  <c r="Y390" i="2"/>
  <c r="BN390" i="2" s="1"/>
  <c r="P390" i="2"/>
  <c r="BO389" i="2"/>
  <c r="BM389" i="2"/>
  <c r="Y389" i="2"/>
  <c r="Z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N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X367" i="2"/>
  <c r="X366" i="2"/>
  <c r="BO365" i="2"/>
  <c r="BM365" i="2"/>
  <c r="Y365" i="2"/>
  <c r="P365" i="2"/>
  <c r="BO364" i="2"/>
  <c r="BM364" i="2"/>
  <c r="Y364" i="2"/>
  <c r="BP364" i="2" s="1"/>
  <c r="P364" i="2"/>
  <c r="X362" i="2"/>
  <c r="X361" i="2"/>
  <c r="BO360" i="2"/>
  <c r="BM360" i="2"/>
  <c r="Y360" i="2"/>
  <c r="BP360" i="2" s="1"/>
  <c r="P360" i="2"/>
  <c r="BO359" i="2"/>
  <c r="BM359" i="2"/>
  <c r="Y359" i="2"/>
  <c r="P359" i="2"/>
  <c r="X356" i="2"/>
  <c r="X355" i="2"/>
  <c r="BO354" i="2"/>
  <c r="BM354" i="2"/>
  <c r="Y354" i="2"/>
  <c r="Y355" i="2" s="1"/>
  <c r="P354" i="2"/>
  <c r="X352" i="2"/>
  <c r="X351" i="2"/>
  <c r="BO350" i="2"/>
  <c r="BM350" i="2"/>
  <c r="Y350" i="2"/>
  <c r="BP350" i="2" s="1"/>
  <c r="P350" i="2"/>
  <c r="BO349" i="2"/>
  <c r="BM349" i="2"/>
  <c r="Y349" i="2"/>
  <c r="BP349" i="2" s="1"/>
  <c r="P349" i="2"/>
  <c r="X347" i="2"/>
  <c r="X346" i="2"/>
  <c r="BO345" i="2"/>
  <c r="BM345" i="2"/>
  <c r="Y345" i="2"/>
  <c r="BP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P334" i="2"/>
  <c r="X330" i="2"/>
  <c r="X329" i="2"/>
  <c r="BO328" i="2"/>
  <c r="BM328" i="2"/>
  <c r="Y328" i="2"/>
  <c r="BP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BN320" i="2" s="1"/>
  <c r="P320" i="2"/>
  <c r="BO319" i="2"/>
  <c r="BM319" i="2"/>
  <c r="Y319" i="2"/>
  <c r="BN319" i="2" s="1"/>
  <c r="P319" i="2"/>
  <c r="X317" i="2"/>
  <c r="X316" i="2"/>
  <c r="BO315" i="2"/>
  <c r="BM315" i="2"/>
  <c r="Y315" i="2"/>
  <c r="BP315" i="2" s="1"/>
  <c r="P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X310" i="2"/>
  <c r="X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N306" i="2" s="1"/>
  <c r="P306" i="2"/>
  <c r="X304" i="2"/>
  <c r="X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X297" i="2"/>
  <c r="X296" i="2"/>
  <c r="BO295" i="2"/>
  <c r="BM295" i="2"/>
  <c r="Y295" i="2"/>
  <c r="BN295" i="2" s="1"/>
  <c r="P295" i="2"/>
  <c r="BO294" i="2"/>
  <c r="BM294" i="2"/>
  <c r="Y294" i="2"/>
  <c r="BN294" i="2" s="1"/>
  <c r="P294" i="2"/>
  <c r="BO293" i="2"/>
  <c r="BM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X288" i="2"/>
  <c r="X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X278" i="2"/>
  <c r="X277" i="2"/>
  <c r="BO276" i="2"/>
  <c r="BM276" i="2"/>
  <c r="Y276" i="2"/>
  <c r="BP276" i="2" s="1"/>
  <c r="P276" i="2"/>
  <c r="BO275" i="2"/>
  <c r="BM275" i="2"/>
  <c r="Y275" i="2"/>
  <c r="BN275" i="2" s="1"/>
  <c r="P275" i="2"/>
  <c r="X273" i="2"/>
  <c r="X272" i="2"/>
  <c r="BO271" i="2"/>
  <c r="BM271" i="2"/>
  <c r="Y271" i="2"/>
  <c r="BP271" i="2" s="1"/>
  <c r="P271" i="2"/>
  <c r="BO270" i="2"/>
  <c r="BM270" i="2"/>
  <c r="Y270" i="2"/>
  <c r="Z270" i="2" s="1"/>
  <c r="P270" i="2"/>
  <c r="X267" i="2"/>
  <c r="X266" i="2"/>
  <c r="BO265" i="2"/>
  <c r="BM265" i="2"/>
  <c r="Y265" i="2"/>
  <c r="BN265" i="2" s="1"/>
  <c r="P265" i="2"/>
  <c r="BO264" i="2"/>
  <c r="BM264" i="2"/>
  <c r="Y264" i="2"/>
  <c r="Z264" i="2" s="1"/>
  <c r="P264" i="2"/>
  <c r="BO263" i="2"/>
  <c r="BM263" i="2"/>
  <c r="Y263" i="2"/>
  <c r="P263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BO248" i="2"/>
  <c r="BM248" i="2"/>
  <c r="Y248" i="2"/>
  <c r="BN248" i="2" s="1"/>
  <c r="P248" i="2"/>
  <c r="BO247" i="2"/>
  <c r="BM247" i="2"/>
  <c r="Y247" i="2"/>
  <c r="BN247" i="2" s="1"/>
  <c r="P247" i="2"/>
  <c r="BO246" i="2"/>
  <c r="BM246" i="2"/>
  <c r="Y246" i="2"/>
  <c r="BP246" i="2" s="1"/>
  <c r="P246" i="2"/>
  <c r="X243" i="2"/>
  <c r="X242" i="2"/>
  <c r="BO241" i="2"/>
  <c r="BM241" i="2"/>
  <c r="Y241" i="2"/>
  <c r="BN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Z238" i="2"/>
  <c r="Y238" i="2"/>
  <c r="BN238" i="2" s="1"/>
  <c r="P238" i="2"/>
  <c r="BO237" i="2"/>
  <c r="BM237" i="2"/>
  <c r="Y237" i="2"/>
  <c r="BN237" i="2" s="1"/>
  <c r="P237" i="2"/>
  <c r="X235" i="2"/>
  <c r="X234" i="2"/>
  <c r="BO233" i="2"/>
  <c r="BM233" i="2"/>
  <c r="Y233" i="2"/>
  <c r="Y234" i="2" s="1"/>
  <c r="P233" i="2"/>
  <c r="X231" i="2"/>
  <c r="X230" i="2"/>
  <c r="BO229" i="2"/>
  <c r="BM229" i="2"/>
  <c r="Y229" i="2"/>
  <c r="Y230" i="2" s="1"/>
  <c r="P229" i="2"/>
  <c r="X227" i="2"/>
  <c r="X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N217" i="2" s="1"/>
  <c r="P217" i="2"/>
  <c r="X214" i="2"/>
  <c r="X213" i="2"/>
  <c r="BO212" i="2"/>
  <c r="BM212" i="2"/>
  <c r="Y212" i="2"/>
  <c r="P212" i="2"/>
  <c r="BO211" i="2"/>
  <c r="BM211" i="2"/>
  <c r="Y211" i="2"/>
  <c r="P211" i="2"/>
  <c r="X209" i="2"/>
  <c r="X208" i="2"/>
  <c r="BO207" i="2"/>
  <c r="BM207" i="2"/>
  <c r="Y207" i="2"/>
  <c r="BP207" i="2" s="1"/>
  <c r="P207" i="2"/>
  <c r="BO206" i="2"/>
  <c r="BM206" i="2"/>
  <c r="Y206" i="2"/>
  <c r="BN206" i="2" s="1"/>
  <c r="P206" i="2"/>
  <c r="BO205" i="2"/>
  <c r="BM205" i="2"/>
  <c r="Y205" i="2"/>
  <c r="BN205" i="2" s="1"/>
  <c r="P205" i="2"/>
  <c r="BO204" i="2"/>
  <c r="BM204" i="2"/>
  <c r="Y204" i="2"/>
  <c r="BN204" i="2" s="1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X197" i="2"/>
  <c r="X196" i="2"/>
  <c r="BO195" i="2"/>
  <c r="BM195" i="2"/>
  <c r="Y195" i="2"/>
  <c r="Z195" i="2" s="1"/>
  <c r="P195" i="2"/>
  <c r="BO194" i="2"/>
  <c r="BM194" i="2"/>
  <c r="Y194" i="2"/>
  <c r="BN194" i="2" s="1"/>
  <c r="P194" i="2"/>
  <c r="BO193" i="2"/>
  <c r="BM193" i="2"/>
  <c r="Y193" i="2"/>
  <c r="BN193" i="2" s="1"/>
  <c r="P193" i="2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BN183" i="2" s="1"/>
  <c r="P183" i="2"/>
  <c r="X181" i="2"/>
  <c r="X180" i="2"/>
  <c r="BO179" i="2"/>
  <c r="BM179" i="2"/>
  <c r="Y179" i="2"/>
  <c r="BP179" i="2" s="1"/>
  <c r="P179" i="2"/>
  <c r="BO178" i="2"/>
  <c r="BM178" i="2"/>
  <c r="Y178" i="2"/>
  <c r="BN178" i="2" s="1"/>
  <c r="P178" i="2"/>
  <c r="X175" i="2"/>
  <c r="X174" i="2"/>
  <c r="BO173" i="2"/>
  <c r="BM173" i="2"/>
  <c r="Y173" i="2"/>
  <c r="BP173" i="2" s="1"/>
  <c r="P173" i="2"/>
  <c r="X171" i="2"/>
  <c r="X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Z162" i="2" s="1"/>
  <c r="P162" i="2"/>
  <c r="BO161" i="2"/>
  <c r="BM161" i="2"/>
  <c r="Y161" i="2"/>
  <c r="BN161" i="2" s="1"/>
  <c r="P161" i="2"/>
  <c r="BO160" i="2"/>
  <c r="BM160" i="2"/>
  <c r="Y160" i="2"/>
  <c r="BN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Y148" i="2" s="1"/>
  <c r="P146" i="2"/>
  <c r="X142" i="2"/>
  <c r="X141" i="2"/>
  <c r="BO140" i="2"/>
  <c r="BM140" i="2"/>
  <c r="Y140" i="2"/>
  <c r="Y142" i="2" s="1"/>
  <c r="P140" i="2"/>
  <c r="X138" i="2"/>
  <c r="X137" i="2"/>
  <c r="BO136" i="2"/>
  <c r="BM136" i="2"/>
  <c r="Y136" i="2"/>
  <c r="BN136" i="2" s="1"/>
  <c r="P136" i="2"/>
  <c r="BO135" i="2"/>
  <c r="BM135" i="2"/>
  <c r="Y135" i="2"/>
  <c r="BP135" i="2" s="1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BO131" i="2"/>
  <c r="BM131" i="2"/>
  <c r="Y131" i="2"/>
  <c r="BN131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X123" i="2"/>
  <c r="X122" i="2"/>
  <c r="BO121" i="2"/>
  <c r="BM121" i="2"/>
  <c r="Y121" i="2"/>
  <c r="Y123" i="2" s="1"/>
  <c r="P121" i="2"/>
  <c r="X119" i="2"/>
  <c r="X118" i="2"/>
  <c r="BO117" i="2"/>
  <c r="BM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Y118" i="2" s="1"/>
  <c r="P114" i="2"/>
  <c r="X112" i="2"/>
  <c r="X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X105" i="2"/>
  <c r="X104" i="2"/>
  <c r="BO103" i="2"/>
  <c r="BM103" i="2"/>
  <c r="Y103" i="2"/>
  <c r="BN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BN100" i="2" s="1"/>
  <c r="P100" i="2"/>
  <c r="BO99" i="2"/>
  <c r="BM99" i="2"/>
  <c r="Y99" i="2"/>
  <c r="Y105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N92" i="2" s="1"/>
  <c r="P92" i="2"/>
  <c r="BO91" i="2"/>
  <c r="BM91" i="2"/>
  <c r="Y91" i="2"/>
  <c r="BP91" i="2" s="1"/>
  <c r="P91" i="2"/>
  <c r="X89" i="2"/>
  <c r="X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Z85" i="2"/>
  <c r="Y85" i="2"/>
  <c r="BN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X76" i="2"/>
  <c r="X75" i="2"/>
  <c r="BO74" i="2"/>
  <c r="BM74" i="2"/>
  <c r="Y74" i="2"/>
  <c r="Z74" i="2" s="1"/>
  <c r="P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BP60" i="2" s="1"/>
  <c r="P60" i="2"/>
  <c r="X58" i="2"/>
  <c r="X57" i="2"/>
  <c r="BO56" i="2"/>
  <c r="BM56" i="2"/>
  <c r="Y56" i="2"/>
  <c r="BP56" i="2" s="1"/>
  <c r="P56" i="2"/>
  <c r="BO55" i="2"/>
  <c r="BM55" i="2"/>
  <c r="Y55" i="2"/>
  <c r="Z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N51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BN42" i="2" s="1"/>
  <c r="P42" i="2"/>
  <c r="BO41" i="2"/>
  <c r="BM41" i="2"/>
  <c r="Y41" i="2"/>
  <c r="BN41" i="2" s="1"/>
  <c r="P41" i="2"/>
  <c r="BO40" i="2"/>
  <c r="BM40" i="2"/>
  <c r="Y40" i="2"/>
  <c r="BP40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A10" i="2" s="1"/>
  <c r="D7" i="2"/>
  <c r="Q6" i="2"/>
  <c r="P2" i="2"/>
  <c r="BP132" i="2" l="1"/>
  <c r="Z306" i="2"/>
  <c r="Z443" i="2"/>
  <c r="Z444" i="2" s="1"/>
  <c r="BN30" i="2"/>
  <c r="BP117" i="2"/>
  <c r="BN219" i="2"/>
  <c r="BN271" i="2"/>
  <c r="Y64" i="2"/>
  <c r="Z117" i="2"/>
  <c r="BP238" i="2"/>
  <c r="BN239" i="2"/>
  <c r="Z286" i="2"/>
  <c r="BP339" i="2"/>
  <c r="BN389" i="2"/>
  <c r="Z390" i="2"/>
  <c r="Z424" i="2"/>
  <c r="Z450" i="2"/>
  <c r="Y174" i="2"/>
  <c r="BN162" i="2"/>
  <c r="Z240" i="2"/>
  <c r="Z34" i="2"/>
  <c r="Z35" i="2" s="1"/>
  <c r="BP73" i="2"/>
  <c r="Z87" i="2"/>
  <c r="Y277" i="2"/>
  <c r="BN286" i="2"/>
  <c r="BN401" i="2"/>
  <c r="BP380" i="2"/>
  <c r="BP401" i="2"/>
  <c r="BN413" i="2"/>
  <c r="Y445" i="2"/>
  <c r="Z223" i="2"/>
  <c r="Z92" i="2"/>
  <c r="BP109" i="2"/>
  <c r="BP41" i="2"/>
  <c r="BP92" i="2"/>
  <c r="BN108" i="2"/>
  <c r="Z132" i="2"/>
  <c r="Z155" i="2"/>
  <c r="BP285" i="2"/>
  <c r="BP340" i="2"/>
  <c r="BP390" i="2"/>
  <c r="BN422" i="2"/>
  <c r="BP30" i="2"/>
  <c r="BP51" i="2"/>
  <c r="BN94" i="2"/>
  <c r="Y147" i="2"/>
  <c r="BP156" i="2"/>
  <c r="BP85" i="2"/>
  <c r="Y129" i="2"/>
  <c r="BP131" i="2"/>
  <c r="BP136" i="2"/>
  <c r="Z217" i="2"/>
  <c r="BP225" i="2"/>
  <c r="Y47" i="2"/>
  <c r="Z107" i="2"/>
  <c r="Z136" i="2"/>
  <c r="BP34" i="2"/>
  <c r="BP99" i="2"/>
  <c r="BN107" i="2"/>
  <c r="BN127" i="2"/>
  <c r="BP140" i="2"/>
  <c r="BP116" i="2"/>
  <c r="BP229" i="2"/>
  <c r="BP29" i="2"/>
  <c r="BP84" i="2"/>
  <c r="BN87" i="2"/>
  <c r="Y171" i="2"/>
  <c r="Y213" i="2"/>
  <c r="Y278" i="2"/>
  <c r="Z285" i="2"/>
  <c r="Y304" i="2"/>
  <c r="BP308" i="2"/>
  <c r="Y373" i="2"/>
  <c r="BP62" i="2"/>
  <c r="BN73" i="2"/>
  <c r="Z109" i="2"/>
  <c r="BP155" i="2"/>
  <c r="Z161" i="2"/>
  <c r="Z169" i="2"/>
  <c r="Z219" i="2"/>
  <c r="BP248" i="2"/>
  <c r="Z275" i="2"/>
  <c r="BP319" i="2"/>
  <c r="Z380" i="2"/>
  <c r="BP381" i="2"/>
  <c r="Z434" i="2"/>
  <c r="BP435" i="2"/>
  <c r="BP443" i="2"/>
  <c r="Z94" i="2"/>
  <c r="Y186" i="2"/>
  <c r="BP217" i="2"/>
  <c r="Y231" i="2"/>
  <c r="BN364" i="2"/>
  <c r="Z377" i="2"/>
  <c r="Y409" i="2"/>
  <c r="Z320" i="2"/>
  <c r="Z225" i="2"/>
  <c r="Z229" i="2"/>
  <c r="Z230" i="2" s="1"/>
  <c r="BN46" i="2"/>
  <c r="Z184" i="2"/>
  <c r="BP275" i="2"/>
  <c r="BP284" i="2"/>
  <c r="Y366" i="2"/>
  <c r="BN384" i="2"/>
  <c r="BP240" i="2"/>
  <c r="BP306" i="2"/>
  <c r="BN308" i="2"/>
  <c r="Z391" i="2"/>
  <c r="BP436" i="2"/>
  <c r="Z436" i="2"/>
  <c r="Y432" i="2"/>
  <c r="Z422" i="2"/>
  <c r="BP416" i="2"/>
  <c r="BP424" i="2"/>
  <c r="Z416" i="2"/>
  <c r="Z360" i="2"/>
  <c r="Y362" i="2"/>
  <c r="Y296" i="2"/>
  <c r="BP295" i="2"/>
  <c r="BP294" i="2"/>
  <c r="Z249" i="2"/>
  <c r="BP204" i="2"/>
  <c r="Z207" i="2"/>
  <c r="Z51" i="2"/>
  <c r="BN335" i="2"/>
  <c r="Z340" i="2"/>
  <c r="BN314" i="2"/>
  <c r="Z315" i="2"/>
  <c r="Z295" i="2"/>
  <c r="BN264" i="2"/>
  <c r="Z248" i="2"/>
  <c r="BN249" i="2"/>
  <c r="BP205" i="2"/>
  <c r="BN207" i="2"/>
  <c r="Z205" i="2"/>
  <c r="BP206" i="2"/>
  <c r="BP195" i="2"/>
  <c r="Z192" i="2"/>
  <c r="BP189" i="2"/>
  <c r="BN195" i="2"/>
  <c r="BP162" i="2"/>
  <c r="Z153" i="2"/>
  <c r="BP161" i="2"/>
  <c r="BP153" i="2"/>
  <c r="BN52" i="2"/>
  <c r="BP52" i="2"/>
  <c r="C488" i="2"/>
  <c r="Y209" i="2"/>
  <c r="Y242" i="2"/>
  <c r="B488" i="2"/>
  <c r="Z29" i="2"/>
  <c r="Z140" i="2"/>
  <c r="Z141" i="2" s="1"/>
  <c r="Z194" i="2"/>
  <c r="Y208" i="2"/>
  <c r="Z212" i="2"/>
  <c r="Z237" i="2"/>
  <c r="Y252" i="2"/>
  <c r="Z282" i="2"/>
  <c r="Z292" i="2"/>
  <c r="Y330" i="2"/>
  <c r="Z337" i="2"/>
  <c r="Z354" i="2"/>
  <c r="Z355" i="2" s="1"/>
  <c r="Y356" i="2"/>
  <c r="Z379" i="2"/>
  <c r="Z415" i="2"/>
  <c r="X479" i="2"/>
  <c r="X482" i="2"/>
  <c r="BP27" i="2"/>
  <c r="BP42" i="2"/>
  <c r="Z54" i="2"/>
  <c r="BN55" i="2"/>
  <c r="Z61" i="2"/>
  <c r="BP103" i="2"/>
  <c r="Z114" i="2"/>
  <c r="Z126" i="2"/>
  <c r="BN151" i="2"/>
  <c r="BP152" i="2"/>
  <c r="Z163" i="2"/>
  <c r="Z173" i="2"/>
  <c r="Z174" i="2" s="1"/>
  <c r="Y175" i="2"/>
  <c r="BN229" i="2"/>
  <c r="BP239" i="2"/>
  <c r="Z250" i="2"/>
  <c r="Z276" i="2"/>
  <c r="Z284" i="2"/>
  <c r="Z294" i="2"/>
  <c r="Z328" i="2"/>
  <c r="Z339" i="2"/>
  <c r="Y372" i="2"/>
  <c r="T488" i="2"/>
  <c r="Z378" i="2"/>
  <c r="BP389" i="2"/>
  <c r="Y391" i="2"/>
  <c r="Y404" i="2"/>
  <c r="W488" i="2"/>
  <c r="Z414" i="2"/>
  <c r="BN443" i="2"/>
  <c r="Y454" i="2"/>
  <c r="BN450" i="2"/>
  <c r="Z452" i="2"/>
  <c r="BN22" i="2"/>
  <c r="X478" i="2"/>
  <c r="BN40" i="2"/>
  <c r="BN62" i="2"/>
  <c r="BN79" i="2"/>
  <c r="F488" i="2"/>
  <c r="BN140" i="2"/>
  <c r="Y164" i="2"/>
  <c r="Y196" i="2"/>
  <c r="BP199" i="2"/>
  <c r="BP265" i="2"/>
  <c r="BP299" i="2"/>
  <c r="Y341" i="2"/>
  <c r="BP344" i="2"/>
  <c r="BN354" i="2"/>
  <c r="BN379" i="2"/>
  <c r="BN415" i="2"/>
  <c r="BN420" i="2"/>
  <c r="BN456" i="2"/>
  <c r="Y463" i="2"/>
  <c r="X480" i="2"/>
  <c r="Y43" i="2"/>
  <c r="BN54" i="2"/>
  <c r="BP55" i="2"/>
  <c r="BN61" i="2"/>
  <c r="Z99" i="2"/>
  <c r="BP121" i="2"/>
  <c r="Z150" i="2"/>
  <c r="Z159" i="2"/>
  <c r="BN163" i="2"/>
  <c r="BN173" i="2"/>
  <c r="Z188" i="2"/>
  <c r="BP194" i="2"/>
  <c r="Z206" i="2"/>
  <c r="Y214" i="2"/>
  <c r="BP220" i="2"/>
  <c r="BP237" i="2"/>
  <c r="Z241" i="2"/>
  <c r="Z246" i="2"/>
  <c r="BN250" i="2"/>
  <c r="Z257" i="2"/>
  <c r="BN276" i="2"/>
  <c r="P488" i="2"/>
  <c r="Z319" i="2"/>
  <c r="Y322" i="2"/>
  <c r="Z327" i="2"/>
  <c r="BN328" i="2"/>
  <c r="BN378" i="2"/>
  <c r="BN414" i="2"/>
  <c r="Y440" i="2"/>
  <c r="Z435" i="2"/>
  <c r="BP354" i="2"/>
  <c r="Y426" i="2"/>
  <c r="Y441" i="2"/>
  <c r="Y24" i="2"/>
  <c r="Z27" i="2"/>
  <c r="Y36" i="2"/>
  <c r="Z42" i="2"/>
  <c r="BN60" i="2"/>
  <c r="BP61" i="2"/>
  <c r="BN99" i="2"/>
  <c r="Y112" i="2"/>
  <c r="Y122" i="2"/>
  <c r="Y137" i="2"/>
  <c r="Y138" i="2"/>
  <c r="BP146" i="2"/>
  <c r="Z152" i="2"/>
  <c r="BP184" i="2"/>
  <c r="BN188" i="2"/>
  <c r="Y197" i="2"/>
  <c r="Z202" i="2"/>
  <c r="Y227" i="2"/>
  <c r="Y267" i="2"/>
  <c r="BP264" i="2"/>
  <c r="Y288" i="2"/>
  <c r="Z302" i="2"/>
  <c r="BP320" i="2"/>
  <c r="BN349" i="2"/>
  <c r="Y352" i="2"/>
  <c r="Z395" i="2"/>
  <c r="Z396" i="2" s="1"/>
  <c r="Y458" i="2"/>
  <c r="Y44" i="2"/>
  <c r="D488" i="2"/>
  <c r="Y63" i="2"/>
  <c r="BN74" i="2"/>
  <c r="BN93" i="2"/>
  <c r="Z103" i="2"/>
  <c r="Y119" i="2"/>
  <c r="Y141" i="2"/>
  <c r="Z204" i="2"/>
  <c r="Y226" i="2"/>
  <c r="Y329" i="2"/>
  <c r="BP327" i="2"/>
  <c r="BN345" i="2"/>
  <c r="Z364" i="2"/>
  <c r="BP377" i="2"/>
  <c r="BN399" i="2"/>
  <c r="BP402" i="2"/>
  <c r="BP413" i="2"/>
  <c r="BN430" i="2"/>
  <c r="BN434" i="2"/>
  <c r="BP461" i="2"/>
  <c r="E488" i="2"/>
  <c r="Z40" i="2"/>
  <c r="Y76" i="2"/>
  <c r="BP74" i="2"/>
  <c r="Z84" i="2"/>
  <c r="Z456" i="2"/>
  <c r="Y462" i="2"/>
  <c r="F9" i="2"/>
  <c r="F10" i="2"/>
  <c r="H9" i="2"/>
  <c r="J9" i="2"/>
  <c r="BP218" i="2"/>
  <c r="Y25" i="2"/>
  <c r="BN71" i="2"/>
  <c r="Z41" i="2"/>
  <c r="Y57" i="2"/>
  <c r="BP66" i="2"/>
  <c r="BP100" i="2"/>
  <c r="Z108" i="2"/>
  <c r="BP241" i="2"/>
  <c r="Y346" i="2"/>
  <c r="Y367" i="2"/>
  <c r="Y459" i="2"/>
  <c r="BN470" i="2"/>
  <c r="G488" i="2"/>
  <c r="BP86" i="2"/>
  <c r="BP110" i="2"/>
  <c r="Z131" i="2"/>
  <c r="BP133" i="2"/>
  <c r="BP178" i="2"/>
  <c r="Z22" i="2"/>
  <c r="Z24" i="2" s="1"/>
  <c r="BN34" i="2"/>
  <c r="Z46" i="2"/>
  <c r="Z47" i="2" s="1"/>
  <c r="BP71" i="2"/>
  <c r="Z79" i="2"/>
  <c r="Y95" i="2"/>
  <c r="BP115" i="2"/>
  <c r="BN126" i="2"/>
  <c r="BN150" i="2"/>
  <c r="Z158" i="2"/>
  <c r="BP160" i="2"/>
  <c r="Z168" i="2"/>
  <c r="BP183" i="2"/>
  <c r="Z191" i="2"/>
  <c r="BP193" i="2"/>
  <c r="Z201" i="2"/>
  <c r="BP203" i="2"/>
  <c r="Z211" i="2"/>
  <c r="Z213" i="2" s="1"/>
  <c r="Z222" i="2"/>
  <c r="BP224" i="2"/>
  <c r="Y235" i="2"/>
  <c r="BP247" i="2"/>
  <c r="Z256" i="2"/>
  <c r="BP258" i="2"/>
  <c r="BN270" i="2"/>
  <c r="Z281" i="2"/>
  <c r="BP283" i="2"/>
  <c r="Z291" i="2"/>
  <c r="BP293" i="2"/>
  <c r="Z301" i="2"/>
  <c r="BN313" i="2"/>
  <c r="Y316" i="2"/>
  <c r="BP326" i="2"/>
  <c r="Z336" i="2"/>
  <c r="BP338" i="2"/>
  <c r="Y351" i="2"/>
  <c r="Z359" i="2"/>
  <c r="BN371" i="2"/>
  <c r="BN383" i="2"/>
  <c r="Y386" i="2"/>
  <c r="BN407" i="2"/>
  <c r="BN419" i="2"/>
  <c r="BN429" i="2"/>
  <c r="BN439" i="2"/>
  <c r="Z451" i="2"/>
  <c r="BP465" i="2"/>
  <c r="Y477" i="2"/>
  <c r="H488" i="2"/>
  <c r="Y111" i="2"/>
  <c r="Y297" i="2"/>
  <c r="Y342" i="2"/>
  <c r="BP470" i="2"/>
  <c r="I488" i="2"/>
  <c r="Z134" i="2"/>
  <c r="BP150" i="2"/>
  <c r="BN158" i="2"/>
  <c r="BN168" i="2"/>
  <c r="Z179" i="2"/>
  <c r="BN191" i="2"/>
  <c r="BN201" i="2"/>
  <c r="BN211" i="2"/>
  <c r="BN222" i="2"/>
  <c r="BN256" i="2"/>
  <c r="Y259" i="2"/>
  <c r="BP270" i="2"/>
  <c r="BN281" i="2"/>
  <c r="BN291" i="2"/>
  <c r="BN301" i="2"/>
  <c r="BP313" i="2"/>
  <c r="Z321" i="2"/>
  <c r="Z322" i="2" s="1"/>
  <c r="BN336" i="2"/>
  <c r="Y347" i="2"/>
  <c r="BN359" i="2"/>
  <c r="Z369" i="2"/>
  <c r="BP371" i="2"/>
  <c r="Z381" i="2"/>
  <c r="BP383" i="2"/>
  <c r="BP407" i="2"/>
  <c r="Z417" i="2"/>
  <c r="BP419" i="2"/>
  <c r="BP429" i="2"/>
  <c r="Z437" i="2"/>
  <c r="BP439" i="2"/>
  <c r="BN451" i="2"/>
  <c r="Z461" i="2"/>
  <c r="Z462" i="2" s="1"/>
  <c r="Y466" i="2"/>
  <c r="J488" i="2"/>
  <c r="Z72" i="2"/>
  <c r="Z75" i="2" s="1"/>
  <c r="Y309" i="2"/>
  <c r="Y317" i="2"/>
  <c r="Y387" i="2"/>
  <c r="Y425" i="2"/>
  <c r="Y471" i="2"/>
  <c r="K488" i="2"/>
  <c r="Y88" i="2"/>
  <c r="Y96" i="2"/>
  <c r="Z116" i="2"/>
  <c r="BP46" i="2"/>
  <c r="BN67" i="2"/>
  <c r="BN101" i="2"/>
  <c r="Y104" i="2"/>
  <c r="Z121" i="2"/>
  <c r="Z122" i="2" s="1"/>
  <c r="BN134" i="2"/>
  <c r="Z146" i="2"/>
  <c r="Z147" i="2" s="1"/>
  <c r="Z156" i="2"/>
  <c r="BN179" i="2"/>
  <c r="Z189" i="2"/>
  <c r="Z199" i="2"/>
  <c r="BP211" i="2"/>
  <c r="Z220" i="2"/>
  <c r="Y243" i="2"/>
  <c r="Z265" i="2"/>
  <c r="BP281" i="2"/>
  <c r="Z299" i="2"/>
  <c r="BN321" i="2"/>
  <c r="Z334" i="2"/>
  <c r="Z344" i="2"/>
  <c r="BP359" i="2"/>
  <c r="BN369" i="2"/>
  <c r="Y392" i="2"/>
  <c r="Z402" i="2"/>
  <c r="Y408" i="2"/>
  <c r="BN417" i="2"/>
  <c r="BN437" i="2"/>
  <c r="Z449" i="2"/>
  <c r="L488" i="2"/>
  <c r="Y58" i="2"/>
  <c r="Z67" i="2"/>
  <c r="Z101" i="2"/>
  <c r="BP22" i="2"/>
  <c r="Z60" i="2"/>
  <c r="BN72" i="2"/>
  <c r="Y75" i="2"/>
  <c r="Z93" i="2"/>
  <c r="Z127" i="2"/>
  <c r="Z151" i="2"/>
  <c r="Y251" i="2"/>
  <c r="Y260" i="2"/>
  <c r="Z271" i="2"/>
  <c r="Z272" i="2" s="1"/>
  <c r="Y287" i="2"/>
  <c r="Z314" i="2"/>
  <c r="Z349" i="2"/>
  <c r="Z384" i="2"/>
  <c r="Z420" i="2"/>
  <c r="Z430" i="2"/>
  <c r="Y467" i="2"/>
  <c r="M488" i="2"/>
  <c r="Y80" i="2"/>
  <c r="Y89" i="2"/>
  <c r="BN121" i="2"/>
  <c r="BN146" i="2"/>
  <c r="BN199" i="2"/>
  <c r="BN299" i="2"/>
  <c r="Y310" i="2"/>
  <c r="BN334" i="2"/>
  <c r="BP417" i="2"/>
  <c r="BN449" i="2"/>
  <c r="Y472" i="2"/>
  <c r="O488" i="2"/>
  <c r="Z307" i="2"/>
  <c r="Z309" i="2" s="1"/>
  <c r="BP334" i="2"/>
  <c r="Z365" i="2"/>
  <c r="Z400" i="2"/>
  <c r="Z423" i="2"/>
  <c r="Z457" i="2"/>
  <c r="Z469" i="2"/>
  <c r="Z471" i="2" s="1"/>
  <c r="Q488" i="2"/>
  <c r="Z154" i="2"/>
  <c r="Y165" i="2"/>
  <c r="Y180" i="2"/>
  <c r="Z218" i="2"/>
  <c r="Z263" i="2"/>
  <c r="BN23" i="2"/>
  <c r="Y81" i="2"/>
  <c r="Z91" i="2"/>
  <c r="Z102" i="2"/>
  <c r="BN114" i="2"/>
  <c r="Z135" i="2"/>
  <c r="BN159" i="2"/>
  <c r="BN169" i="2"/>
  <c r="Y185" i="2"/>
  <c r="BN192" i="2"/>
  <c r="BN202" i="2"/>
  <c r="BN212" i="2"/>
  <c r="BN223" i="2"/>
  <c r="Z233" i="2"/>
  <c r="Z234" i="2" s="1"/>
  <c r="BN246" i="2"/>
  <c r="BN257" i="2"/>
  <c r="BN282" i="2"/>
  <c r="BN292" i="2"/>
  <c r="BN302" i="2"/>
  <c r="Z312" i="2"/>
  <c r="BN337" i="2"/>
  <c r="BN360" i="2"/>
  <c r="Z370" i="2"/>
  <c r="Z382" i="2"/>
  <c r="BN395" i="2"/>
  <c r="Z418" i="2"/>
  <c r="Z428" i="2"/>
  <c r="Z438" i="2"/>
  <c r="BN452" i="2"/>
  <c r="Z475" i="2"/>
  <c r="Z476" i="2" s="1"/>
  <c r="R488" i="2"/>
  <c r="Y68" i="2"/>
  <c r="Z86" i="2"/>
  <c r="Z88" i="2" s="1"/>
  <c r="Y31" i="2"/>
  <c r="BN53" i="2"/>
  <c r="BN218" i="2"/>
  <c r="BN263" i="2"/>
  <c r="Y266" i="2"/>
  <c r="BN307" i="2"/>
  <c r="BN365" i="2"/>
  <c r="BN400" i="2"/>
  <c r="Y403" i="2"/>
  <c r="BN423" i="2"/>
  <c r="BN457" i="2"/>
  <c r="BN469" i="2"/>
  <c r="S488" i="2"/>
  <c r="Z28" i="2"/>
  <c r="Z53" i="2"/>
  <c r="BN28" i="2"/>
  <c r="BN154" i="2"/>
  <c r="BP23" i="2"/>
  <c r="Z56" i="2"/>
  <c r="Y69" i="2"/>
  <c r="Z78" i="2"/>
  <c r="BN91" i="2"/>
  <c r="BN102" i="2"/>
  <c r="BP114" i="2"/>
  <c r="Y128" i="2"/>
  <c r="BN135" i="2"/>
  <c r="Z157" i="2"/>
  <c r="Z167" i="2"/>
  <c r="Y181" i="2"/>
  <c r="Z190" i="2"/>
  <c r="Z200" i="2"/>
  <c r="BP212" i="2"/>
  <c r="Z221" i="2"/>
  <c r="BN233" i="2"/>
  <c r="Z255" i="2"/>
  <c r="Y272" i="2"/>
  <c r="Z290" i="2"/>
  <c r="Z300" i="2"/>
  <c r="BN312" i="2"/>
  <c r="Y323" i="2"/>
  <c r="Z335" i="2"/>
  <c r="Z345" i="2"/>
  <c r="BN370" i="2"/>
  <c r="BN382" i="2"/>
  <c r="BP395" i="2"/>
  <c r="BN418" i="2"/>
  <c r="BN428" i="2"/>
  <c r="Y431" i="2"/>
  <c r="BN438" i="2"/>
  <c r="BN475" i="2"/>
  <c r="BP263" i="2"/>
  <c r="Z350" i="2"/>
  <c r="BP365" i="2"/>
  <c r="Z385" i="2"/>
  <c r="BP400" i="2"/>
  <c r="Z421" i="2"/>
  <c r="BP457" i="2"/>
  <c r="U488" i="2"/>
  <c r="Y32" i="2"/>
  <c r="BN56" i="2"/>
  <c r="Z66" i="2"/>
  <c r="Z133" i="2"/>
  <c r="BN157" i="2"/>
  <c r="BN167" i="2"/>
  <c r="Y170" i="2"/>
  <c r="Z178" i="2"/>
  <c r="BN190" i="2"/>
  <c r="BN200" i="2"/>
  <c r="BN221" i="2"/>
  <c r="BP233" i="2"/>
  <c r="BN255" i="2"/>
  <c r="BN290" i="2"/>
  <c r="BN300" i="2"/>
  <c r="Y303" i="2"/>
  <c r="Y361" i="2"/>
  <c r="Y396" i="2"/>
  <c r="BP428" i="2"/>
  <c r="Y453" i="2"/>
  <c r="BP475" i="2"/>
  <c r="V488" i="2"/>
  <c r="Z100" i="2"/>
  <c r="Z110" i="2"/>
  <c r="Z115" i="2"/>
  <c r="Z160" i="2"/>
  <c r="Z183" i="2"/>
  <c r="Z185" i="2" s="1"/>
  <c r="Z193" i="2"/>
  <c r="Z203" i="2"/>
  <c r="Z224" i="2"/>
  <c r="Z247" i="2"/>
  <c r="Z258" i="2"/>
  <c r="Y273" i="2"/>
  <c r="Z283" i="2"/>
  <c r="Z293" i="2"/>
  <c r="BN315" i="2"/>
  <c r="Z326" i="2"/>
  <c r="Z338" i="2"/>
  <c r="BN350" i="2"/>
  <c r="BN385" i="2"/>
  <c r="BN421" i="2"/>
  <c r="Z465" i="2"/>
  <c r="Z466" i="2" s="1"/>
  <c r="BN78" i="2"/>
  <c r="BP167" i="2"/>
  <c r="BP290" i="2"/>
  <c r="Y476" i="2"/>
  <c r="X488" i="2"/>
  <c r="BN326" i="2"/>
  <c r="Z458" i="2" l="1"/>
  <c r="Z63" i="2"/>
  <c r="Z361" i="2"/>
  <c r="Z111" i="2"/>
  <c r="Z277" i="2"/>
  <c r="Z31" i="2"/>
  <c r="Z118" i="2"/>
  <c r="Z180" i="2"/>
  <c r="Z431" i="2"/>
  <c r="Z251" i="2"/>
  <c r="Y479" i="2"/>
  <c r="Y482" i="2"/>
  <c r="Z104" i="2"/>
  <c r="Z95" i="2"/>
  <c r="Z128" i="2"/>
  <c r="Z425" i="2"/>
  <c r="X481" i="2"/>
  <c r="Z226" i="2"/>
  <c r="Z266" i="2"/>
  <c r="Z68" i="2"/>
  <c r="Z80" i="2"/>
  <c r="Z366" i="2"/>
  <c r="Z440" i="2"/>
  <c r="Z242" i="2"/>
  <c r="Z329" i="2"/>
  <c r="Z57" i="2"/>
  <c r="Z386" i="2"/>
  <c r="Z403" i="2"/>
  <c r="Z43" i="2"/>
  <c r="Z346" i="2"/>
  <c r="Z341" i="2"/>
  <c r="Z287" i="2"/>
  <c r="Z303" i="2"/>
  <c r="Z296" i="2"/>
  <c r="Y480" i="2"/>
  <c r="Z164" i="2"/>
  <c r="Z259" i="2"/>
  <c r="Z372" i="2"/>
  <c r="Z316" i="2"/>
  <c r="Y478" i="2"/>
  <c r="Z208" i="2"/>
  <c r="Z196" i="2"/>
  <c r="Z170" i="2"/>
  <c r="Z453" i="2"/>
  <c r="Z351" i="2"/>
  <c r="Z137" i="2"/>
  <c r="Y481" i="2" l="1"/>
  <c r="Z483" i="2"/>
</calcChain>
</file>

<file path=xl/sharedStrings.xml><?xml version="1.0" encoding="utf-8"?>
<sst xmlns="http://schemas.openxmlformats.org/spreadsheetml/2006/main" count="3558" uniqueCount="765">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</sst>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4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88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55" t="s">
        <v>26</v>
      </c>
      <c r="E1" s="855"/>
      <c r="F1" s="855"/>
      <c r="G1" s="14" t="s">
        <v>66</v>
      </c>
      <c r="H1" s="855" t="s">
        <v>46</v>
      </c>
      <c r="I1" s="855"/>
      <c r="J1" s="855"/>
      <c r="K1" s="855"/>
      <c r="L1" s="855"/>
      <c r="M1" s="855"/>
      <c r="N1" s="855"/>
      <c r="O1" s="855"/>
      <c r="P1" s="855"/>
      <c r="Q1" s="855"/>
      <c r="R1" s="856" t="s">
        <v>67</v>
      </c>
      <c r="S1" s="857"/>
      <c r="T1" s="85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58"/>
      <c r="R2" s="858"/>
      <c r="S2" s="858"/>
      <c r="T2" s="858"/>
      <c r="U2" s="858"/>
      <c r="V2" s="858"/>
      <c r="W2" s="85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58"/>
      <c r="Q3" s="858"/>
      <c r="R3" s="858"/>
      <c r="S3" s="858"/>
      <c r="T3" s="858"/>
      <c r="U3" s="858"/>
      <c r="V3" s="858"/>
      <c r="W3" s="85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37" t="s">
        <v>8</v>
      </c>
      <c r="B5" s="837"/>
      <c r="C5" s="837"/>
      <c r="D5" s="859"/>
      <c r="E5" s="859"/>
      <c r="F5" s="860" t="s">
        <v>14</v>
      </c>
      <c r="G5" s="860"/>
      <c r="H5" s="859" t="s">
        <v>764</v>
      </c>
      <c r="I5" s="859"/>
      <c r="J5" s="859"/>
      <c r="K5" s="859"/>
      <c r="L5" s="859"/>
      <c r="M5" s="859"/>
      <c r="N5" s="72"/>
      <c r="P5" s="27" t="s">
        <v>4</v>
      </c>
      <c r="Q5" s="861">
        <v>46041</v>
      </c>
      <c r="R5" s="861"/>
      <c r="T5" s="862" t="s">
        <v>3</v>
      </c>
      <c r="U5" s="863"/>
      <c r="V5" s="864" t="s">
        <v>744</v>
      </c>
      <c r="W5" s="865"/>
      <c r="AB5" s="59"/>
      <c r="AC5" s="59"/>
      <c r="AD5" s="59"/>
      <c r="AE5" s="59"/>
    </row>
    <row r="6" spans="1:32" s="17" customFormat="1" ht="24" customHeight="1" x14ac:dyDescent="0.2">
      <c r="A6" s="837" t="s">
        <v>1</v>
      </c>
      <c r="B6" s="837"/>
      <c r="C6" s="837"/>
      <c r="D6" s="838" t="s">
        <v>745</v>
      </c>
      <c r="E6" s="838"/>
      <c r="F6" s="838"/>
      <c r="G6" s="838"/>
      <c r="H6" s="838"/>
      <c r="I6" s="838"/>
      <c r="J6" s="838"/>
      <c r="K6" s="838"/>
      <c r="L6" s="838"/>
      <c r="M6" s="838"/>
      <c r="N6" s="73"/>
      <c r="P6" s="27" t="s">
        <v>27</v>
      </c>
      <c r="Q6" s="839" t="str">
        <f>IF(Q5=0," ",CHOOSE(WEEKDAY(Q5,2),"Понедельник","Вторник","Среда","Четверг","Пятница","Суббота","Воскресенье"))</f>
        <v>Понедельник</v>
      </c>
      <c r="R6" s="839"/>
      <c r="T6" s="840" t="s">
        <v>5</v>
      </c>
      <c r="U6" s="841"/>
      <c r="V6" s="842" t="s">
        <v>69</v>
      </c>
      <c r="W6" s="8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48" t="str">
        <f>IFERROR(VLOOKUP(DeliveryAddress,Table,3,0),1)</f>
        <v>1</v>
      </c>
      <c r="E7" s="849"/>
      <c r="F7" s="849"/>
      <c r="G7" s="849"/>
      <c r="H7" s="849"/>
      <c r="I7" s="849"/>
      <c r="J7" s="849"/>
      <c r="K7" s="849"/>
      <c r="L7" s="849"/>
      <c r="M7" s="850"/>
      <c r="N7" s="74"/>
      <c r="P7" s="29"/>
      <c r="Q7" s="48"/>
      <c r="R7" s="48"/>
      <c r="T7" s="840"/>
      <c r="U7" s="841"/>
      <c r="V7" s="844"/>
      <c r="W7" s="845"/>
      <c r="AB7" s="59"/>
      <c r="AC7" s="59"/>
      <c r="AD7" s="59"/>
      <c r="AE7" s="59"/>
    </row>
    <row r="8" spans="1:32" s="17" customFormat="1" ht="25.5" customHeight="1" x14ac:dyDescent="0.2">
      <c r="A8" s="851" t="s">
        <v>57</v>
      </c>
      <c r="B8" s="851"/>
      <c r="C8" s="851"/>
      <c r="D8" s="852"/>
      <c r="E8" s="852"/>
      <c r="F8" s="852"/>
      <c r="G8" s="852"/>
      <c r="H8" s="852"/>
      <c r="I8" s="852"/>
      <c r="J8" s="852"/>
      <c r="K8" s="852"/>
      <c r="L8" s="852"/>
      <c r="M8" s="852"/>
      <c r="N8" s="75"/>
      <c r="P8" s="27" t="s">
        <v>11</v>
      </c>
      <c r="Q8" s="835">
        <v>0.33333333333333331</v>
      </c>
      <c r="R8" s="835"/>
      <c r="T8" s="840"/>
      <c r="U8" s="841"/>
      <c r="V8" s="844"/>
      <c r="W8" s="845"/>
      <c r="AB8" s="59"/>
      <c r="AC8" s="59"/>
      <c r="AD8" s="59"/>
      <c r="AE8" s="59"/>
    </row>
    <row r="9" spans="1:32" s="1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27"/>
      <c r="C9" s="827"/>
      <c r="D9" s="828" t="s">
        <v>45</v>
      </c>
      <c r="E9" s="829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27"/>
      <c r="H9" s="853" t="str">
        <f>IF(AND($A$9="Тип доверенности/получателя при получении в адресе перегруза:",$D$9="Разовая доверенность"),"Введите ФИО","")</f>
        <v/>
      </c>
      <c r="I9" s="853"/>
      <c r="J9" s="8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3"/>
      <c r="L9" s="853"/>
      <c r="M9" s="853"/>
      <c r="N9" s="70"/>
      <c r="P9" s="31" t="s">
        <v>15</v>
      </c>
      <c r="Q9" s="854"/>
      <c r="R9" s="854"/>
      <c r="T9" s="840"/>
      <c r="U9" s="841"/>
      <c r="V9" s="846"/>
      <c r="W9" s="8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27"/>
      <c r="C10" s="827"/>
      <c r="D10" s="828"/>
      <c r="E10" s="829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27"/>
      <c r="H10" s="830" t="str">
        <f>IFERROR(VLOOKUP($D$10,Proxy,2,FALSE),"")</f>
        <v/>
      </c>
      <c r="I10" s="830"/>
      <c r="J10" s="830"/>
      <c r="K10" s="830"/>
      <c r="L10" s="830"/>
      <c r="M10" s="830"/>
      <c r="N10" s="71"/>
      <c r="P10" s="31" t="s">
        <v>32</v>
      </c>
      <c r="Q10" s="831"/>
      <c r="R10" s="831"/>
      <c r="U10" s="29" t="s">
        <v>12</v>
      </c>
      <c r="V10" s="832" t="s">
        <v>70</v>
      </c>
      <c r="W10" s="83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34"/>
      <c r="R11" s="834"/>
      <c r="U11" s="29" t="s">
        <v>28</v>
      </c>
      <c r="V11" s="813" t="s">
        <v>54</v>
      </c>
      <c r="W11" s="81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12" t="s">
        <v>71</v>
      </c>
      <c r="B12" s="812"/>
      <c r="C12" s="812"/>
      <c r="D12" s="812"/>
      <c r="E12" s="812"/>
      <c r="F12" s="812"/>
      <c r="G12" s="812"/>
      <c r="H12" s="812"/>
      <c r="I12" s="812"/>
      <c r="J12" s="812"/>
      <c r="K12" s="812"/>
      <c r="L12" s="812"/>
      <c r="M12" s="812"/>
      <c r="N12" s="76"/>
      <c r="P12" s="27" t="s">
        <v>30</v>
      </c>
      <c r="Q12" s="835"/>
      <c r="R12" s="835"/>
      <c r="S12" s="28"/>
      <c r="T12"/>
      <c r="U12" s="29" t="s">
        <v>45</v>
      </c>
      <c r="V12" s="836"/>
      <c r="W12" s="836"/>
      <c r="X12"/>
      <c r="AB12" s="59"/>
      <c r="AC12" s="59"/>
      <c r="AD12" s="59"/>
      <c r="AE12" s="59"/>
    </row>
    <row r="13" spans="1:32" s="17" customFormat="1" ht="23.25" customHeight="1" x14ac:dyDescent="0.2">
      <c r="A13" s="812" t="s">
        <v>72</v>
      </c>
      <c r="B13" s="812"/>
      <c r="C13" s="812"/>
      <c r="D13" s="812"/>
      <c r="E13" s="812"/>
      <c r="F13" s="812"/>
      <c r="G13" s="812"/>
      <c r="H13" s="812"/>
      <c r="I13" s="812"/>
      <c r="J13" s="812"/>
      <c r="K13" s="812"/>
      <c r="L13" s="812"/>
      <c r="M13" s="812"/>
      <c r="N13" s="76"/>
      <c r="O13" s="31"/>
      <c r="P13" s="31" t="s">
        <v>31</v>
      </c>
      <c r="Q13" s="813"/>
      <c r="R13" s="81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12" t="s">
        <v>73</v>
      </c>
      <c r="B14" s="812"/>
      <c r="C14" s="812"/>
      <c r="D14" s="812"/>
      <c r="E14" s="812"/>
      <c r="F14" s="812"/>
      <c r="G14" s="812"/>
      <c r="H14" s="812"/>
      <c r="I14" s="812"/>
      <c r="J14" s="812"/>
      <c r="K14" s="812"/>
      <c r="L14" s="812"/>
      <c r="M14" s="81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14" t="s">
        <v>74</v>
      </c>
      <c r="B15" s="814"/>
      <c r="C15" s="814"/>
      <c r="D15" s="814"/>
      <c r="E15" s="814"/>
      <c r="F15" s="814"/>
      <c r="G15" s="814"/>
      <c r="H15" s="814"/>
      <c r="I15" s="814"/>
      <c r="J15" s="814"/>
      <c r="K15" s="814"/>
      <c r="L15" s="814"/>
      <c r="M15" s="814"/>
      <c r="N15" s="77"/>
      <c r="O15"/>
      <c r="P15" s="815" t="s">
        <v>60</v>
      </c>
      <c r="Q15" s="815"/>
      <c r="R15" s="815"/>
      <c r="S15" s="815"/>
      <c r="T15" s="81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6"/>
      <c r="Q16" s="816"/>
      <c r="R16" s="816"/>
      <c r="S16" s="816"/>
      <c r="T16" s="81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98" t="s">
        <v>58</v>
      </c>
      <c r="B17" s="798" t="s">
        <v>48</v>
      </c>
      <c r="C17" s="819" t="s">
        <v>47</v>
      </c>
      <c r="D17" s="821" t="s">
        <v>49</v>
      </c>
      <c r="E17" s="822"/>
      <c r="F17" s="798" t="s">
        <v>21</v>
      </c>
      <c r="G17" s="798" t="s">
        <v>24</v>
      </c>
      <c r="H17" s="798" t="s">
        <v>22</v>
      </c>
      <c r="I17" s="798" t="s">
        <v>23</v>
      </c>
      <c r="J17" s="798" t="s">
        <v>16</v>
      </c>
      <c r="K17" s="798" t="s">
        <v>65</v>
      </c>
      <c r="L17" s="798" t="s">
        <v>63</v>
      </c>
      <c r="M17" s="798" t="s">
        <v>2</v>
      </c>
      <c r="N17" s="798" t="s">
        <v>62</v>
      </c>
      <c r="O17" s="798" t="s">
        <v>25</v>
      </c>
      <c r="P17" s="821" t="s">
        <v>17</v>
      </c>
      <c r="Q17" s="825"/>
      <c r="R17" s="825"/>
      <c r="S17" s="825"/>
      <c r="T17" s="822"/>
      <c r="U17" s="817" t="s">
        <v>55</v>
      </c>
      <c r="V17" s="818"/>
      <c r="W17" s="798" t="s">
        <v>6</v>
      </c>
      <c r="X17" s="798" t="s">
        <v>41</v>
      </c>
      <c r="Y17" s="800" t="s">
        <v>53</v>
      </c>
      <c r="Z17" s="802" t="s">
        <v>18</v>
      </c>
      <c r="AA17" s="804" t="s">
        <v>59</v>
      </c>
      <c r="AB17" s="804" t="s">
        <v>19</v>
      </c>
      <c r="AC17" s="804" t="s">
        <v>64</v>
      </c>
      <c r="AD17" s="806" t="s">
        <v>56</v>
      </c>
      <c r="AE17" s="807"/>
      <c r="AF17" s="808"/>
      <c r="AG17" s="82"/>
      <c r="BD17" s="81" t="s">
        <v>61</v>
      </c>
    </row>
    <row r="18" spans="1:68" ht="14.25" customHeight="1" x14ac:dyDescent="0.2">
      <c r="A18" s="799"/>
      <c r="B18" s="799"/>
      <c r="C18" s="820"/>
      <c r="D18" s="823"/>
      <c r="E18" s="824"/>
      <c r="F18" s="799"/>
      <c r="G18" s="799"/>
      <c r="H18" s="799"/>
      <c r="I18" s="799"/>
      <c r="J18" s="799"/>
      <c r="K18" s="799"/>
      <c r="L18" s="799"/>
      <c r="M18" s="799"/>
      <c r="N18" s="799"/>
      <c r="O18" s="799"/>
      <c r="P18" s="823"/>
      <c r="Q18" s="826"/>
      <c r="R18" s="826"/>
      <c r="S18" s="826"/>
      <c r="T18" s="824"/>
      <c r="U18" s="83" t="s">
        <v>44</v>
      </c>
      <c r="V18" s="83" t="s">
        <v>43</v>
      </c>
      <c r="W18" s="799"/>
      <c r="X18" s="799"/>
      <c r="Y18" s="801"/>
      <c r="Z18" s="803"/>
      <c r="AA18" s="805"/>
      <c r="AB18" s="805"/>
      <c r="AC18" s="805"/>
      <c r="AD18" s="809"/>
      <c r="AE18" s="810"/>
      <c r="AF18" s="811"/>
      <c r="AG18" s="82"/>
      <c r="BD18" s="81"/>
    </row>
    <row r="19" spans="1:68" ht="27.75" hidden="1" customHeight="1" x14ac:dyDescent="0.2">
      <c r="A19" s="575" t="s">
        <v>75</v>
      </c>
      <c r="B19" s="575"/>
      <c r="C19" s="575"/>
      <c r="D19" s="575"/>
      <c r="E19" s="575"/>
      <c r="F19" s="575"/>
      <c r="G19" s="575"/>
      <c r="H19" s="575"/>
      <c r="I19" s="575"/>
      <c r="J19" s="575"/>
      <c r="K19" s="575"/>
      <c r="L19" s="575"/>
      <c r="M19" s="575"/>
      <c r="N19" s="575"/>
      <c r="O19" s="575"/>
      <c r="P19" s="575"/>
      <c r="Q19" s="575"/>
      <c r="R19" s="575"/>
      <c r="S19" s="575"/>
      <c r="T19" s="575"/>
      <c r="U19" s="575"/>
      <c r="V19" s="575"/>
      <c r="W19" s="575"/>
      <c r="X19" s="575"/>
      <c r="Y19" s="575"/>
      <c r="Z19" s="575"/>
      <c r="AA19" s="54"/>
      <c r="AB19" s="54"/>
      <c r="AC19" s="54"/>
    </row>
    <row r="20" spans="1:68" ht="16.5" hidden="1" customHeight="1" x14ac:dyDescent="0.25">
      <c r="A20" s="565" t="s">
        <v>75</v>
      </c>
      <c r="B20" s="565"/>
      <c r="C20" s="565"/>
      <c r="D20" s="565"/>
      <c r="E20" s="565"/>
      <c r="F20" s="565"/>
      <c r="G20" s="565"/>
      <c r="H20" s="565"/>
      <c r="I20" s="565"/>
      <c r="J20" s="565"/>
      <c r="K20" s="565"/>
      <c r="L20" s="565"/>
      <c r="M20" s="565"/>
      <c r="N20" s="565"/>
      <c r="O20" s="565"/>
      <c r="P20" s="565"/>
      <c r="Q20" s="565"/>
      <c r="R20" s="565"/>
      <c r="S20" s="565"/>
      <c r="T20" s="565"/>
      <c r="U20" s="565"/>
      <c r="V20" s="565"/>
      <c r="W20" s="565"/>
      <c r="X20" s="565"/>
      <c r="Y20" s="565"/>
      <c r="Z20" s="565"/>
      <c r="AA20" s="65"/>
      <c r="AB20" s="65"/>
      <c r="AC20" s="79"/>
    </row>
    <row r="21" spans="1:68" ht="14.25" hidden="1" customHeight="1" x14ac:dyDescent="0.25">
      <c r="A21" s="566" t="s">
        <v>76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W21" s="566"/>
      <c r="X21" s="566"/>
      <c r="Y21" s="566"/>
      <c r="Z21" s="56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4301031446</v>
      </c>
      <c r="D22" s="561">
        <v>4680115887510</v>
      </c>
      <c r="E22" s="56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3"/>
      <c r="R22" s="563"/>
      <c r="S22" s="563"/>
      <c r="T22" s="56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4301031278</v>
      </c>
      <c r="D23" s="561">
        <v>4680115886643</v>
      </c>
      <c r="E23" s="56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7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2" t="s">
        <v>40</v>
      </c>
      <c r="Q24" s="553"/>
      <c r="R24" s="553"/>
      <c r="S24" s="553"/>
      <c r="T24" s="553"/>
      <c r="U24" s="553"/>
      <c r="V24" s="55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555"/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6"/>
      <c r="P25" s="552" t="s">
        <v>40</v>
      </c>
      <c r="Q25" s="553"/>
      <c r="R25" s="553"/>
      <c r="S25" s="553"/>
      <c r="T25" s="553"/>
      <c r="U25" s="553"/>
      <c r="V25" s="55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566" t="s">
        <v>86</v>
      </c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561">
        <v>4680115885912</v>
      </c>
      <c r="E27" s="56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79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561">
        <v>4607091388237</v>
      </c>
      <c r="E28" s="56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7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561">
        <v>4680115887350</v>
      </c>
      <c r="E29" s="56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79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561">
        <v>4680115885905</v>
      </c>
      <c r="E30" s="56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7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555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2" t="s">
        <v>40</v>
      </c>
      <c r="Q31" s="553"/>
      <c r="R31" s="553"/>
      <c r="S31" s="553"/>
      <c r="T31" s="553"/>
      <c r="U31" s="553"/>
      <c r="V31" s="554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2" t="s">
        <v>40</v>
      </c>
      <c r="Q32" s="553"/>
      <c r="R32" s="553"/>
      <c r="S32" s="553"/>
      <c r="T32" s="553"/>
      <c r="U32" s="553"/>
      <c r="V32" s="554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hidden="1" customHeight="1" x14ac:dyDescent="0.25">
      <c r="A33" s="566" t="s">
        <v>100</v>
      </c>
      <c r="B33" s="566"/>
      <c r="C33" s="566"/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66"/>
      <c r="AB33" s="66"/>
      <c r="AC33" s="80"/>
    </row>
    <row r="34" spans="1:68" ht="27" hidden="1" customHeight="1" x14ac:dyDescent="0.25">
      <c r="A34" s="63" t="s">
        <v>101</v>
      </c>
      <c r="B34" s="63" t="s">
        <v>102</v>
      </c>
      <c r="C34" s="36">
        <v>4301032013</v>
      </c>
      <c r="D34" s="561">
        <v>4607091388503</v>
      </c>
      <c r="E34" s="56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81</v>
      </c>
      <c r="L34" s="37" t="s">
        <v>45</v>
      </c>
      <c r="M34" s="38" t="s">
        <v>105</v>
      </c>
      <c r="N34" s="38"/>
      <c r="O34" s="37">
        <v>120</v>
      </c>
      <c r="P34" s="79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3"/>
      <c r="R34" s="563"/>
      <c r="S34" s="563"/>
      <c r="T34" s="56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idden="1" x14ac:dyDescent="0.2">
      <c r="A35" s="555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2" t="s">
        <v>40</v>
      </c>
      <c r="Q35" s="553"/>
      <c r="R35" s="553"/>
      <c r="S35" s="553"/>
      <c r="T35" s="553"/>
      <c r="U35" s="553"/>
      <c r="V35" s="554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2" t="s">
        <v>40</v>
      </c>
      <c r="Q36" s="553"/>
      <c r="R36" s="553"/>
      <c r="S36" s="553"/>
      <c r="T36" s="553"/>
      <c r="U36" s="553"/>
      <c r="V36" s="554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hidden="1" customHeight="1" x14ac:dyDescent="0.2">
      <c r="A37" s="575" t="s">
        <v>106</v>
      </c>
      <c r="B37" s="575"/>
      <c r="C37" s="575"/>
      <c r="D37" s="575"/>
      <c r="E37" s="575"/>
      <c r="F37" s="575"/>
      <c r="G37" s="575"/>
      <c r="H37" s="575"/>
      <c r="I37" s="575"/>
      <c r="J37" s="575"/>
      <c r="K37" s="575"/>
      <c r="L37" s="575"/>
      <c r="M37" s="575"/>
      <c r="N37" s="575"/>
      <c r="O37" s="575"/>
      <c r="P37" s="575"/>
      <c r="Q37" s="575"/>
      <c r="R37" s="575"/>
      <c r="S37" s="575"/>
      <c r="T37" s="575"/>
      <c r="U37" s="575"/>
      <c r="V37" s="575"/>
      <c r="W37" s="575"/>
      <c r="X37" s="575"/>
      <c r="Y37" s="575"/>
      <c r="Z37" s="575"/>
      <c r="AA37" s="54"/>
      <c r="AB37" s="54"/>
      <c r="AC37" s="54"/>
    </row>
    <row r="38" spans="1:68" ht="16.5" hidden="1" customHeight="1" x14ac:dyDescent="0.25">
      <c r="A38" s="565" t="s">
        <v>107</v>
      </c>
      <c r="B38" s="565"/>
      <c r="C38" s="565"/>
      <c r="D38" s="565"/>
      <c r="E38" s="565"/>
      <c r="F38" s="565"/>
      <c r="G38" s="565"/>
      <c r="H38" s="565"/>
      <c r="I38" s="565"/>
      <c r="J38" s="565"/>
      <c r="K38" s="565"/>
      <c r="L38" s="565"/>
      <c r="M38" s="565"/>
      <c r="N38" s="565"/>
      <c r="O38" s="565"/>
      <c r="P38" s="565"/>
      <c r="Q38" s="565"/>
      <c r="R38" s="565"/>
      <c r="S38" s="565"/>
      <c r="T38" s="565"/>
      <c r="U38" s="565"/>
      <c r="V38" s="565"/>
      <c r="W38" s="565"/>
      <c r="X38" s="565"/>
      <c r="Y38" s="565"/>
      <c r="Z38" s="565"/>
      <c r="AA38" s="65"/>
      <c r="AB38" s="65"/>
      <c r="AC38" s="79"/>
    </row>
    <row r="39" spans="1:68" ht="14.25" hidden="1" customHeight="1" x14ac:dyDescent="0.25">
      <c r="A39" s="566" t="s">
        <v>108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66"/>
      <c r="AB39" s="66"/>
      <c r="AC39" s="80"/>
    </row>
    <row r="40" spans="1:68" ht="16.5" hidden="1" customHeight="1" x14ac:dyDescent="0.25">
      <c r="A40" s="63" t="s">
        <v>109</v>
      </c>
      <c r="B40" s="63" t="s">
        <v>110</v>
      </c>
      <c r="C40" s="36">
        <v>4301011380</v>
      </c>
      <c r="D40" s="561">
        <v>4607091385670</v>
      </c>
      <c r="E40" s="56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7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3"/>
      <c r="R40" s="563"/>
      <c r="S40" s="563"/>
      <c r="T40" s="56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114</v>
      </c>
      <c r="B41" s="63" t="s">
        <v>115</v>
      </c>
      <c r="C41" s="36">
        <v>4301011382</v>
      </c>
      <c r="D41" s="561">
        <v>4607091385687</v>
      </c>
      <c r="E41" s="56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116</v>
      </c>
      <c r="L41" s="37" t="s">
        <v>45</v>
      </c>
      <c r="M41" s="38" t="s">
        <v>90</v>
      </c>
      <c r="N41" s="38"/>
      <c r="O41" s="37">
        <v>50</v>
      </c>
      <c r="P41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3"/>
      <c r="R41" s="563"/>
      <c r="S41" s="563"/>
      <c r="T41" s="56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117</v>
      </c>
      <c r="B42" s="63" t="s">
        <v>118</v>
      </c>
      <c r="C42" s="36">
        <v>4301011565</v>
      </c>
      <c r="D42" s="561">
        <v>4680115882539</v>
      </c>
      <c r="E42" s="56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116</v>
      </c>
      <c r="L42" s="37" t="s">
        <v>45</v>
      </c>
      <c r="M42" s="38" t="s">
        <v>90</v>
      </c>
      <c r="N42" s="38"/>
      <c r="O42" s="37">
        <v>50</v>
      </c>
      <c r="P42" s="7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3"/>
      <c r="R42" s="563"/>
      <c r="S42" s="563"/>
      <c r="T42" s="56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idden="1" x14ac:dyDescent="0.2">
      <c r="A43" s="555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2" t="s">
        <v>40</v>
      </c>
      <c r="Q43" s="553"/>
      <c r="R43" s="553"/>
      <c r="S43" s="553"/>
      <c r="T43" s="553"/>
      <c r="U43" s="553"/>
      <c r="V43" s="554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2" t="s">
        <v>40</v>
      </c>
      <c r="Q44" s="553"/>
      <c r="R44" s="553"/>
      <c r="S44" s="553"/>
      <c r="T44" s="553"/>
      <c r="U44" s="553"/>
      <c r="V44" s="554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hidden="1" customHeight="1" x14ac:dyDescent="0.25">
      <c r="A45" s="566" t="s">
        <v>86</v>
      </c>
      <c r="B45" s="566"/>
      <c r="C45" s="566"/>
      <c r="D45" s="566"/>
      <c r="E45" s="566"/>
      <c r="F45" s="566"/>
      <c r="G45" s="566"/>
      <c r="H45" s="566"/>
      <c r="I45" s="566"/>
      <c r="J45" s="566"/>
      <c r="K45" s="566"/>
      <c r="L45" s="566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66"/>
      <c r="AA45" s="66"/>
      <c r="AB45" s="66"/>
      <c r="AC45" s="80"/>
    </row>
    <row r="46" spans="1:68" ht="16.5" hidden="1" customHeight="1" x14ac:dyDescent="0.25">
      <c r="A46" s="63" t="s">
        <v>119</v>
      </c>
      <c r="B46" s="63" t="s">
        <v>120</v>
      </c>
      <c r="C46" s="36">
        <v>4301051820</v>
      </c>
      <c r="D46" s="561">
        <v>4680115884915</v>
      </c>
      <c r="E46" s="56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81</v>
      </c>
      <c r="L46" s="37" t="s">
        <v>45</v>
      </c>
      <c r="M46" s="38" t="s">
        <v>90</v>
      </c>
      <c r="N46" s="38"/>
      <c r="O46" s="37">
        <v>40</v>
      </c>
      <c r="P46" s="78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3"/>
      <c r="R46" s="563"/>
      <c r="S46" s="563"/>
      <c r="T46" s="56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555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2" t="s">
        <v>40</v>
      </c>
      <c r="Q47" s="553"/>
      <c r="R47" s="553"/>
      <c r="S47" s="553"/>
      <c r="T47" s="553"/>
      <c r="U47" s="553"/>
      <c r="V47" s="554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2" t="s">
        <v>40</v>
      </c>
      <c r="Q48" s="553"/>
      <c r="R48" s="553"/>
      <c r="S48" s="553"/>
      <c r="T48" s="553"/>
      <c r="U48" s="553"/>
      <c r="V48" s="554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hidden="1" customHeight="1" x14ac:dyDescent="0.25">
      <c r="A49" s="565" t="s">
        <v>122</v>
      </c>
      <c r="B49" s="565"/>
      <c r="C49" s="565"/>
      <c r="D49" s="565"/>
      <c r="E49" s="565"/>
      <c r="F49" s="565"/>
      <c r="G49" s="565"/>
      <c r="H49" s="565"/>
      <c r="I49" s="565"/>
      <c r="J49" s="565"/>
      <c r="K49" s="565"/>
      <c r="L49" s="565"/>
      <c r="M49" s="565"/>
      <c r="N49" s="565"/>
      <c r="O49" s="565"/>
      <c r="P49" s="565"/>
      <c r="Q49" s="565"/>
      <c r="R49" s="565"/>
      <c r="S49" s="565"/>
      <c r="T49" s="565"/>
      <c r="U49" s="565"/>
      <c r="V49" s="565"/>
      <c r="W49" s="565"/>
      <c r="X49" s="565"/>
      <c r="Y49" s="565"/>
      <c r="Z49" s="565"/>
      <c r="AA49" s="65"/>
      <c r="AB49" s="65"/>
      <c r="AC49" s="79"/>
    </row>
    <row r="50" spans="1:68" ht="14.25" hidden="1" customHeight="1" x14ac:dyDescent="0.25">
      <c r="A50" s="566" t="s">
        <v>108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66"/>
      <c r="AB50" s="66"/>
      <c r="AC50" s="80"/>
    </row>
    <row r="51" spans="1:68" ht="27" hidden="1" customHeight="1" x14ac:dyDescent="0.25">
      <c r="A51" s="63" t="s">
        <v>123</v>
      </c>
      <c r="B51" s="63" t="s">
        <v>124</v>
      </c>
      <c r="C51" s="36">
        <v>4301012030</v>
      </c>
      <c r="D51" s="561">
        <v>4680115885882</v>
      </c>
      <c r="E51" s="56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113</v>
      </c>
      <c r="L51" s="37" t="s">
        <v>45</v>
      </c>
      <c r="M51" s="38" t="s">
        <v>90</v>
      </c>
      <c r="N51" s="38"/>
      <c r="O51" s="37">
        <v>50</v>
      </c>
      <c r="P51" s="7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3"/>
      <c r="R51" s="563"/>
      <c r="S51" s="563"/>
      <c r="T51" s="56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561">
        <v>4680115881426</v>
      </c>
      <c r="E52" s="56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78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3"/>
      <c r="R52" s="563"/>
      <c r="S52" s="563"/>
      <c r="T52" s="564"/>
      <c r="U52" s="39" t="s">
        <v>45</v>
      </c>
      <c r="V52" s="39" t="s">
        <v>45</v>
      </c>
      <c r="W52" s="40" t="s">
        <v>0</v>
      </c>
      <c r="X52" s="58">
        <v>21.6</v>
      </c>
      <c r="Y52" s="55">
        <f t="shared" si="0"/>
        <v>21.6</v>
      </c>
      <c r="Z52" s="41">
        <f>IFERROR(IF(Y52=0,"",ROUNDUP(Y52/H52,0)*0.01898),"")</f>
        <v>3.7960000000000001E-2</v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22.42</v>
      </c>
      <c r="BN52" s="78">
        <f t="shared" si="2"/>
        <v>22.42</v>
      </c>
      <c r="BO52" s="78">
        <f t="shared" si="3"/>
        <v>3.125E-2</v>
      </c>
      <c r="BP52" s="78">
        <f t="shared" si="4"/>
        <v>3.125E-2</v>
      </c>
    </row>
    <row r="53" spans="1:68" ht="27" hidden="1" customHeight="1" x14ac:dyDescent="0.25">
      <c r="A53" s="63" t="s">
        <v>129</v>
      </c>
      <c r="B53" s="63" t="s">
        <v>130</v>
      </c>
      <c r="C53" s="36">
        <v>4301011386</v>
      </c>
      <c r="D53" s="561">
        <v>4680115880283</v>
      </c>
      <c r="E53" s="56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7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3"/>
      <c r="R53" s="563"/>
      <c r="S53" s="563"/>
      <c r="T53" s="56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4301011806</v>
      </c>
      <c r="D54" s="561">
        <v>4680115881525</v>
      </c>
      <c r="E54" s="56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7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3"/>
      <c r="R54" s="563"/>
      <c r="S54" s="563"/>
      <c r="T54" s="56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4301011589</v>
      </c>
      <c r="D55" s="561">
        <v>4680115885899</v>
      </c>
      <c r="E55" s="56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81</v>
      </c>
      <c r="L55" s="37" t="s">
        <v>45</v>
      </c>
      <c r="M55" s="38" t="s">
        <v>96</v>
      </c>
      <c r="N55" s="38"/>
      <c r="O55" s="37">
        <v>50</v>
      </c>
      <c r="P55" s="78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3"/>
      <c r="R55" s="563"/>
      <c r="S55" s="563"/>
      <c r="T55" s="56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hidden="1" customHeight="1" x14ac:dyDescent="0.25">
      <c r="A56" s="63" t="s">
        <v>138</v>
      </c>
      <c r="B56" s="63" t="s">
        <v>139</v>
      </c>
      <c r="C56" s="36">
        <v>4301011801</v>
      </c>
      <c r="D56" s="561">
        <v>4680115881419</v>
      </c>
      <c r="E56" s="56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78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3"/>
      <c r="R56" s="563"/>
      <c r="S56" s="563"/>
      <c r="T56" s="56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55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2" t="s">
        <v>40</v>
      </c>
      <c r="Q57" s="553"/>
      <c r="R57" s="553"/>
      <c r="S57" s="553"/>
      <c r="T57" s="553"/>
      <c r="U57" s="553"/>
      <c r="V57" s="554"/>
      <c r="W57" s="42" t="s">
        <v>39</v>
      </c>
      <c r="X57" s="43">
        <f>IFERROR(X51/H51,"0")+IFERROR(X52/H52,"0")+IFERROR(X53/H53,"0")+IFERROR(X54/H54,"0")+IFERROR(X55/H55,"0")+IFERROR(X56/H56,"0")</f>
        <v>2</v>
      </c>
      <c r="Y57" s="43">
        <f>IFERROR(Y51/H51,"0")+IFERROR(Y52/H52,"0")+IFERROR(Y53/H53,"0")+IFERROR(Y54/H54,"0")+IFERROR(Y55/H55,"0")+IFERROR(Y56/H56,"0")</f>
        <v>2</v>
      </c>
      <c r="Z57" s="43">
        <f>IFERROR(IF(Z51="",0,Z51),"0")+IFERROR(IF(Z52="",0,Z52),"0")+IFERROR(IF(Z53="",0,Z53),"0")+IFERROR(IF(Z54="",0,Z54),"0")+IFERROR(IF(Z55="",0,Z55),"0")+IFERROR(IF(Z56="",0,Z56),"0")</f>
        <v>3.7960000000000001E-2</v>
      </c>
      <c r="AA57" s="67"/>
      <c r="AB57" s="67"/>
      <c r="AC57" s="67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2" t="s">
        <v>40</v>
      </c>
      <c r="Q58" s="553"/>
      <c r="R58" s="553"/>
      <c r="S58" s="553"/>
      <c r="T58" s="553"/>
      <c r="U58" s="553"/>
      <c r="V58" s="554"/>
      <c r="W58" s="42" t="s">
        <v>0</v>
      </c>
      <c r="X58" s="43">
        <f>IFERROR(SUM(X51:X56),"0")</f>
        <v>21.6</v>
      </c>
      <c r="Y58" s="43">
        <f>IFERROR(SUM(Y51:Y56),"0")</f>
        <v>21.6</v>
      </c>
      <c r="Z58" s="42"/>
      <c r="AA58" s="67"/>
      <c r="AB58" s="67"/>
      <c r="AC58" s="67"/>
    </row>
    <row r="59" spans="1:68" ht="14.25" hidden="1" customHeight="1" x14ac:dyDescent="0.25">
      <c r="A59" s="566" t="s">
        <v>141</v>
      </c>
      <c r="B59" s="566"/>
      <c r="C59" s="566"/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66"/>
      <c r="AB59" s="66"/>
      <c r="AC59" s="80"/>
    </row>
    <row r="60" spans="1:68" ht="16.5" hidden="1" customHeight="1" x14ac:dyDescent="0.25">
      <c r="A60" s="63" t="s">
        <v>142</v>
      </c>
      <c r="B60" s="63" t="s">
        <v>143</v>
      </c>
      <c r="C60" s="36">
        <v>4301020298</v>
      </c>
      <c r="D60" s="561">
        <v>4680115881440</v>
      </c>
      <c r="E60" s="56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78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3"/>
      <c r="R60" s="563"/>
      <c r="S60" s="563"/>
      <c r="T60" s="56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hidden="1" customHeight="1" x14ac:dyDescent="0.25">
      <c r="A61" s="63" t="s">
        <v>145</v>
      </c>
      <c r="B61" s="63" t="s">
        <v>146</v>
      </c>
      <c r="C61" s="36">
        <v>4301020358</v>
      </c>
      <c r="D61" s="561">
        <v>4680115885950</v>
      </c>
      <c r="E61" s="56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81</v>
      </c>
      <c r="L61" s="37" t="s">
        <v>45</v>
      </c>
      <c r="M61" s="38" t="s">
        <v>90</v>
      </c>
      <c r="N61" s="38"/>
      <c r="O61" s="37">
        <v>50</v>
      </c>
      <c r="P61" s="7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3"/>
      <c r="R61" s="563"/>
      <c r="S61" s="563"/>
      <c r="T61" s="56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hidden="1" customHeight="1" x14ac:dyDescent="0.25">
      <c r="A62" s="63" t="s">
        <v>147</v>
      </c>
      <c r="B62" s="63" t="s">
        <v>148</v>
      </c>
      <c r="C62" s="36">
        <v>4301020296</v>
      </c>
      <c r="D62" s="561">
        <v>4680115881433</v>
      </c>
      <c r="E62" s="56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81</v>
      </c>
      <c r="L62" s="37" t="s">
        <v>45</v>
      </c>
      <c r="M62" s="38" t="s">
        <v>112</v>
      </c>
      <c r="N62" s="38"/>
      <c r="O62" s="37">
        <v>50</v>
      </c>
      <c r="P62" s="77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3"/>
      <c r="R62" s="563"/>
      <c r="S62" s="563"/>
      <c r="T62" s="56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idden="1" x14ac:dyDescent="0.2">
      <c r="A63" s="555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2" t="s">
        <v>40</v>
      </c>
      <c r="Q63" s="553"/>
      <c r="R63" s="553"/>
      <c r="S63" s="553"/>
      <c r="T63" s="553"/>
      <c r="U63" s="553"/>
      <c r="V63" s="554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2" t="s">
        <v>40</v>
      </c>
      <c r="Q64" s="553"/>
      <c r="R64" s="553"/>
      <c r="S64" s="553"/>
      <c r="T64" s="553"/>
      <c r="U64" s="553"/>
      <c r="V64" s="554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hidden="1" customHeight="1" x14ac:dyDescent="0.25">
      <c r="A65" s="566" t="s">
        <v>76</v>
      </c>
      <c r="B65" s="566"/>
      <c r="C65" s="566"/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66"/>
      <c r="AB65" s="66"/>
      <c r="AC65" s="80"/>
    </row>
    <row r="66" spans="1:68" ht="27" hidden="1" customHeight="1" x14ac:dyDescent="0.25">
      <c r="A66" s="63" t="s">
        <v>149</v>
      </c>
      <c r="B66" s="63" t="s">
        <v>150</v>
      </c>
      <c r="C66" s="36">
        <v>4301031243</v>
      </c>
      <c r="D66" s="561">
        <v>4680115885073</v>
      </c>
      <c r="E66" s="56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85</v>
      </c>
      <c r="L66" s="37" t="s">
        <v>45</v>
      </c>
      <c r="M66" s="38" t="s">
        <v>80</v>
      </c>
      <c r="N66" s="38"/>
      <c r="O66" s="37">
        <v>40</v>
      </c>
      <c r="P66" s="7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3"/>
      <c r="R66" s="563"/>
      <c r="S66" s="563"/>
      <c r="T66" s="56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152</v>
      </c>
      <c r="B67" s="63" t="s">
        <v>153</v>
      </c>
      <c r="C67" s="36">
        <v>4301031316</v>
      </c>
      <c r="D67" s="561">
        <v>4680115885097</v>
      </c>
      <c r="E67" s="56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85</v>
      </c>
      <c r="L67" s="37" t="s">
        <v>45</v>
      </c>
      <c r="M67" s="38" t="s">
        <v>80</v>
      </c>
      <c r="N67" s="38"/>
      <c r="O67" s="37">
        <v>40</v>
      </c>
      <c r="P67" s="77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3"/>
      <c r="R67" s="563"/>
      <c r="S67" s="563"/>
      <c r="T67" s="56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555"/>
      <c r="B68" s="555"/>
      <c r="C68" s="555"/>
      <c r="D68" s="555"/>
      <c r="E68" s="555"/>
      <c r="F68" s="555"/>
      <c r="G68" s="555"/>
      <c r="H68" s="555"/>
      <c r="I68" s="555"/>
      <c r="J68" s="555"/>
      <c r="K68" s="555"/>
      <c r="L68" s="555"/>
      <c r="M68" s="555"/>
      <c r="N68" s="555"/>
      <c r="O68" s="556"/>
      <c r="P68" s="552" t="s">
        <v>40</v>
      </c>
      <c r="Q68" s="553"/>
      <c r="R68" s="553"/>
      <c r="S68" s="553"/>
      <c r="T68" s="553"/>
      <c r="U68" s="553"/>
      <c r="V68" s="554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hidden="1" x14ac:dyDescent="0.2">
      <c r="A69" s="555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2" t="s">
        <v>40</v>
      </c>
      <c r="Q69" s="553"/>
      <c r="R69" s="553"/>
      <c r="S69" s="553"/>
      <c r="T69" s="553"/>
      <c r="U69" s="553"/>
      <c r="V69" s="554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hidden="1" customHeight="1" x14ac:dyDescent="0.25">
      <c r="A70" s="566" t="s">
        <v>86</v>
      </c>
      <c r="B70" s="566"/>
      <c r="C70" s="566"/>
      <c r="D70" s="566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66"/>
      <c r="AB70" s="66"/>
      <c r="AC70" s="80"/>
    </row>
    <row r="71" spans="1:68" ht="27" hidden="1" customHeight="1" x14ac:dyDescent="0.25">
      <c r="A71" s="63" t="s">
        <v>155</v>
      </c>
      <c r="B71" s="63" t="s">
        <v>156</v>
      </c>
      <c r="C71" s="36">
        <v>4301051846</v>
      </c>
      <c r="D71" s="561">
        <v>4680115885769</v>
      </c>
      <c r="E71" s="561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113</v>
      </c>
      <c r="L71" s="37" t="s">
        <v>45</v>
      </c>
      <c r="M71" s="38" t="s">
        <v>90</v>
      </c>
      <c r="N71" s="38"/>
      <c r="O71" s="37">
        <v>45</v>
      </c>
      <c r="P71" s="7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3"/>
      <c r="R71" s="563"/>
      <c r="S71" s="563"/>
      <c r="T71" s="564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157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158</v>
      </c>
      <c r="B72" s="63" t="s">
        <v>159</v>
      </c>
      <c r="C72" s="36">
        <v>4301051837</v>
      </c>
      <c r="D72" s="561">
        <v>4680115884311</v>
      </c>
      <c r="E72" s="56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81</v>
      </c>
      <c r="L72" s="37" t="s">
        <v>45</v>
      </c>
      <c r="M72" s="38" t="s">
        <v>90</v>
      </c>
      <c r="N72" s="38"/>
      <c r="O72" s="37">
        <v>40</v>
      </c>
      <c r="P72" s="77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3"/>
      <c r="R72" s="563"/>
      <c r="S72" s="563"/>
      <c r="T72" s="56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161</v>
      </c>
      <c r="B73" s="63" t="s">
        <v>162</v>
      </c>
      <c r="C73" s="36">
        <v>4301051844</v>
      </c>
      <c r="D73" s="561">
        <v>4680115885929</v>
      </c>
      <c r="E73" s="561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81</v>
      </c>
      <c r="L73" s="37" t="s">
        <v>45</v>
      </c>
      <c r="M73" s="38" t="s">
        <v>90</v>
      </c>
      <c r="N73" s="38"/>
      <c r="O73" s="37">
        <v>45</v>
      </c>
      <c r="P73" s="77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3"/>
      <c r="R73" s="563"/>
      <c r="S73" s="563"/>
      <c r="T73" s="56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157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163</v>
      </c>
      <c r="B74" s="63" t="s">
        <v>164</v>
      </c>
      <c r="C74" s="36">
        <v>4301051929</v>
      </c>
      <c r="D74" s="561">
        <v>4680115884403</v>
      </c>
      <c r="E74" s="56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77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3"/>
      <c r="R74" s="563"/>
      <c r="S74" s="563"/>
      <c r="T74" s="56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555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6"/>
      <c r="P75" s="552" t="s">
        <v>40</v>
      </c>
      <c r="Q75" s="553"/>
      <c r="R75" s="553"/>
      <c r="S75" s="553"/>
      <c r="T75" s="553"/>
      <c r="U75" s="553"/>
      <c r="V75" s="554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555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2" t="s">
        <v>40</v>
      </c>
      <c r="Q76" s="553"/>
      <c r="R76" s="553"/>
      <c r="S76" s="553"/>
      <c r="T76" s="553"/>
      <c r="U76" s="553"/>
      <c r="V76" s="554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hidden="1" customHeight="1" x14ac:dyDescent="0.25">
      <c r="A77" s="566" t="s">
        <v>166</v>
      </c>
      <c r="B77" s="566"/>
      <c r="C77" s="566"/>
      <c r="D77" s="566"/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66"/>
      <c r="AB77" s="66"/>
      <c r="AC77" s="80"/>
    </row>
    <row r="78" spans="1:68" ht="27" hidden="1" customHeight="1" x14ac:dyDescent="0.25">
      <c r="A78" s="63" t="s">
        <v>167</v>
      </c>
      <c r="B78" s="63" t="s">
        <v>168</v>
      </c>
      <c r="C78" s="36">
        <v>4301060455</v>
      </c>
      <c r="D78" s="561">
        <v>4680115881532</v>
      </c>
      <c r="E78" s="56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113</v>
      </c>
      <c r="L78" s="37" t="s">
        <v>45</v>
      </c>
      <c r="M78" s="38" t="s">
        <v>96</v>
      </c>
      <c r="N78" s="38"/>
      <c r="O78" s="37">
        <v>30</v>
      </c>
      <c r="P78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3"/>
      <c r="R78" s="563"/>
      <c r="S78" s="563"/>
      <c r="T78" s="564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169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170</v>
      </c>
      <c r="B79" s="63" t="s">
        <v>171</v>
      </c>
      <c r="C79" s="36">
        <v>4301060351</v>
      </c>
      <c r="D79" s="561">
        <v>4680115881464</v>
      </c>
      <c r="E79" s="561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116</v>
      </c>
      <c r="L79" s="37" t="s">
        <v>45</v>
      </c>
      <c r="M79" s="38" t="s">
        <v>90</v>
      </c>
      <c r="N79" s="38"/>
      <c r="O79" s="37">
        <v>30</v>
      </c>
      <c r="P79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3"/>
      <c r="R79" s="563"/>
      <c r="S79" s="563"/>
      <c r="T79" s="56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172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555"/>
      <c r="B80" s="555"/>
      <c r="C80" s="555"/>
      <c r="D80" s="555"/>
      <c r="E80" s="555"/>
      <c r="F80" s="555"/>
      <c r="G80" s="555"/>
      <c r="H80" s="555"/>
      <c r="I80" s="555"/>
      <c r="J80" s="555"/>
      <c r="K80" s="555"/>
      <c r="L80" s="555"/>
      <c r="M80" s="555"/>
      <c r="N80" s="555"/>
      <c r="O80" s="556"/>
      <c r="P80" s="552" t="s">
        <v>40</v>
      </c>
      <c r="Q80" s="553"/>
      <c r="R80" s="553"/>
      <c r="S80" s="553"/>
      <c r="T80" s="553"/>
      <c r="U80" s="553"/>
      <c r="V80" s="554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555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2" t="s">
        <v>40</v>
      </c>
      <c r="Q81" s="553"/>
      <c r="R81" s="553"/>
      <c r="S81" s="553"/>
      <c r="T81" s="553"/>
      <c r="U81" s="553"/>
      <c r="V81" s="554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565" t="s">
        <v>173</v>
      </c>
      <c r="B82" s="565"/>
      <c r="C82" s="565"/>
      <c r="D82" s="565"/>
      <c r="E82" s="565"/>
      <c r="F82" s="565"/>
      <c r="G82" s="565"/>
      <c r="H82" s="565"/>
      <c r="I82" s="565"/>
      <c r="J82" s="565"/>
      <c r="K82" s="565"/>
      <c r="L82" s="565"/>
      <c r="M82" s="565"/>
      <c r="N82" s="565"/>
      <c r="O82" s="565"/>
      <c r="P82" s="565"/>
      <c r="Q82" s="565"/>
      <c r="R82" s="565"/>
      <c r="S82" s="565"/>
      <c r="T82" s="565"/>
      <c r="U82" s="565"/>
      <c r="V82" s="565"/>
      <c r="W82" s="565"/>
      <c r="X82" s="565"/>
      <c r="Y82" s="565"/>
      <c r="Z82" s="565"/>
      <c r="AA82" s="65"/>
      <c r="AB82" s="65"/>
      <c r="AC82" s="79"/>
    </row>
    <row r="83" spans="1:68" ht="14.25" hidden="1" customHeight="1" x14ac:dyDescent="0.25">
      <c r="A83" s="566" t="s">
        <v>108</v>
      </c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66"/>
      <c r="AB83" s="66"/>
      <c r="AC83" s="80"/>
    </row>
    <row r="84" spans="1:68" ht="27" hidden="1" customHeight="1" x14ac:dyDescent="0.25">
      <c r="A84" s="63" t="s">
        <v>174</v>
      </c>
      <c r="B84" s="63" t="s">
        <v>175</v>
      </c>
      <c r="C84" s="36">
        <v>4301011468</v>
      </c>
      <c r="D84" s="561">
        <v>4680115881327</v>
      </c>
      <c r="E84" s="561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113</v>
      </c>
      <c r="L84" s="37" t="s">
        <v>45</v>
      </c>
      <c r="M84" s="38" t="s">
        <v>96</v>
      </c>
      <c r="N84" s="38"/>
      <c r="O84" s="37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3"/>
      <c r="R84" s="563"/>
      <c r="S84" s="563"/>
      <c r="T84" s="564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176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177</v>
      </c>
      <c r="B85" s="63" t="s">
        <v>178</v>
      </c>
      <c r="C85" s="36">
        <v>4301011261</v>
      </c>
      <c r="D85" s="561">
        <v>4680115887732</v>
      </c>
      <c r="E85" s="561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180</v>
      </c>
      <c r="L85" s="37" t="s">
        <v>45</v>
      </c>
      <c r="M85" s="38" t="s">
        <v>80</v>
      </c>
      <c r="N85" s="38"/>
      <c r="O85" s="37">
        <v>30</v>
      </c>
      <c r="P85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3"/>
      <c r="R85" s="563"/>
      <c r="S85" s="563"/>
      <c r="T85" s="56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181</v>
      </c>
      <c r="B86" s="63" t="s">
        <v>182</v>
      </c>
      <c r="C86" s="36">
        <v>4301011476</v>
      </c>
      <c r="D86" s="561">
        <v>4680115881518</v>
      </c>
      <c r="E86" s="56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116</v>
      </c>
      <c r="L86" s="37" t="s">
        <v>45</v>
      </c>
      <c r="M86" s="38" t="s">
        <v>90</v>
      </c>
      <c r="N86" s="38"/>
      <c r="O86" s="37">
        <v>50</v>
      </c>
      <c r="P86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3"/>
      <c r="R86" s="563"/>
      <c r="S86" s="563"/>
      <c r="T86" s="56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183</v>
      </c>
      <c r="B87" s="63" t="s">
        <v>184</v>
      </c>
      <c r="C87" s="36">
        <v>4301011443</v>
      </c>
      <c r="D87" s="561">
        <v>4680115881303</v>
      </c>
      <c r="E87" s="56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116</v>
      </c>
      <c r="L87" s="37" t="s">
        <v>45</v>
      </c>
      <c r="M87" s="38" t="s">
        <v>96</v>
      </c>
      <c r="N87" s="38"/>
      <c r="O87" s="37">
        <v>50</v>
      </c>
      <c r="P87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3"/>
      <c r="R87" s="563"/>
      <c r="S87" s="563"/>
      <c r="T87" s="56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555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2" t="s">
        <v>40</v>
      </c>
      <c r="Q88" s="553"/>
      <c r="R88" s="553"/>
      <c r="S88" s="553"/>
      <c r="T88" s="553"/>
      <c r="U88" s="553"/>
      <c r="V88" s="554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2" t="s">
        <v>40</v>
      </c>
      <c r="Q89" s="553"/>
      <c r="R89" s="553"/>
      <c r="S89" s="553"/>
      <c r="T89" s="553"/>
      <c r="U89" s="553"/>
      <c r="V89" s="554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566" t="s">
        <v>86</v>
      </c>
      <c r="B90" s="566"/>
      <c r="C90" s="566"/>
      <c r="D90" s="566"/>
      <c r="E90" s="566"/>
      <c r="F90" s="566"/>
      <c r="G90" s="566"/>
      <c r="H90" s="566"/>
      <c r="I90" s="566"/>
      <c r="J90" s="566"/>
      <c r="K90" s="566"/>
      <c r="L90" s="566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66"/>
      <c r="AA90" s="66"/>
      <c r="AB90" s="66"/>
      <c r="AC90" s="80"/>
    </row>
    <row r="91" spans="1:68" ht="27" hidden="1" customHeight="1" x14ac:dyDescent="0.25">
      <c r="A91" s="63" t="s">
        <v>185</v>
      </c>
      <c r="B91" s="63" t="s">
        <v>186</v>
      </c>
      <c r="C91" s="36">
        <v>4301051712</v>
      </c>
      <c r="D91" s="561">
        <v>4607091386967</v>
      </c>
      <c r="E91" s="56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113</v>
      </c>
      <c r="L91" s="37" t="s">
        <v>45</v>
      </c>
      <c r="M91" s="38" t="s">
        <v>96</v>
      </c>
      <c r="N91" s="38"/>
      <c r="O91" s="37">
        <v>45</v>
      </c>
      <c r="P91" s="7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3"/>
      <c r="R91" s="563"/>
      <c r="S91" s="563"/>
      <c r="T91" s="56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187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188</v>
      </c>
      <c r="B92" s="63" t="s">
        <v>189</v>
      </c>
      <c r="C92" s="36">
        <v>4301051788</v>
      </c>
      <c r="D92" s="561">
        <v>4680115884953</v>
      </c>
      <c r="E92" s="56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81</v>
      </c>
      <c r="L92" s="37" t="s">
        <v>45</v>
      </c>
      <c r="M92" s="38" t="s">
        <v>90</v>
      </c>
      <c r="N92" s="38"/>
      <c r="O92" s="37">
        <v>45</v>
      </c>
      <c r="P92" s="7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3"/>
      <c r="R92" s="563"/>
      <c r="S92" s="563"/>
      <c r="T92" s="56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187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190</v>
      </c>
      <c r="B93" s="63" t="s">
        <v>191</v>
      </c>
      <c r="C93" s="36">
        <v>4301051718</v>
      </c>
      <c r="D93" s="561">
        <v>4607091385731</v>
      </c>
      <c r="E93" s="56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81</v>
      </c>
      <c r="L93" s="37" t="s">
        <v>45</v>
      </c>
      <c r="M93" s="38" t="s">
        <v>96</v>
      </c>
      <c r="N93" s="38"/>
      <c r="O93" s="37">
        <v>45</v>
      </c>
      <c r="P93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3"/>
      <c r="R93" s="563"/>
      <c r="S93" s="563"/>
      <c r="T93" s="56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187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192</v>
      </c>
      <c r="B94" s="63" t="s">
        <v>193</v>
      </c>
      <c r="C94" s="36">
        <v>4301051438</v>
      </c>
      <c r="D94" s="561">
        <v>4680115880894</v>
      </c>
      <c r="E94" s="56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7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3"/>
      <c r="R94" s="563"/>
      <c r="S94" s="563"/>
      <c r="T94" s="56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555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2" t="s">
        <v>40</v>
      </c>
      <c r="Q95" s="553"/>
      <c r="R95" s="553"/>
      <c r="S95" s="553"/>
      <c r="T95" s="553"/>
      <c r="U95" s="553"/>
      <c r="V95" s="554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2" t="s">
        <v>40</v>
      </c>
      <c r="Q96" s="553"/>
      <c r="R96" s="553"/>
      <c r="S96" s="553"/>
      <c r="T96" s="553"/>
      <c r="U96" s="553"/>
      <c r="V96" s="554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565" t="s">
        <v>195</v>
      </c>
      <c r="B97" s="565"/>
      <c r="C97" s="565"/>
      <c r="D97" s="565"/>
      <c r="E97" s="565"/>
      <c r="F97" s="565"/>
      <c r="G97" s="565"/>
      <c r="H97" s="565"/>
      <c r="I97" s="565"/>
      <c r="J97" s="565"/>
      <c r="K97" s="565"/>
      <c r="L97" s="565"/>
      <c r="M97" s="565"/>
      <c r="N97" s="565"/>
      <c r="O97" s="565"/>
      <c r="P97" s="565"/>
      <c r="Q97" s="565"/>
      <c r="R97" s="565"/>
      <c r="S97" s="565"/>
      <c r="T97" s="565"/>
      <c r="U97" s="565"/>
      <c r="V97" s="565"/>
      <c r="W97" s="565"/>
      <c r="X97" s="565"/>
      <c r="Y97" s="565"/>
      <c r="Z97" s="565"/>
      <c r="AA97" s="65"/>
      <c r="AB97" s="65"/>
      <c r="AC97" s="79"/>
    </row>
    <row r="98" spans="1:68" ht="14.25" hidden="1" customHeight="1" x14ac:dyDescent="0.25">
      <c r="A98" s="566" t="s">
        <v>108</v>
      </c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66"/>
      <c r="AB98" s="66"/>
      <c r="AC98" s="80"/>
    </row>
    <row r="99" spans="1:68" ht="37.5" hidden="1" customHeight="1" x14ac:dyDescent="0.25">
      <c r="A99" s="63" t="s">
        <v>196</v>
      </c>
      <c r="B99" s="63" t="s">
        <v>197</v>
      </c>
      <c r="C99" s="36">
        <v>4301011514</v>
      </c>
      <c r="D99" s="561">
        <v>4680115882133</v>
      </c>
      <c r="E99" s="56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113</v>
      </c>
      <c r="L99" s="37" t="s">
        <v>45</v>
      </c>
      <c r="M99" s="38" t="s">
        <v>112</v>
      </c>
      <c r="N99" s="38"/>
      <c r="O99" s="37">
        <v>50</v>
      </c>
      <c r="P99" s="7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3"/>
      <c r="R99" s="563"/>
      <c r="S99" s="563"/>
      <c r="T99" s="56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198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199</v>
      </c>
      <c r="B100" s="63" t="s">
        <v>200</v>
      </c>
      <c r="C100" s="36">
        <v>4301012051</v>
      </c>
      <c r="D100" s="561">
        <v>4680115887718</v>
      </c>
      <c r="E100" s="561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180</v>
      </c>
      <c r="L100" s="37" t="s">
        <v>45</v>
      </c>
      <c r="M100" s="38" t="s">
        <v>80</v>
      </c>
      <c r="N100" s="38"/>
      <c r="O100" s="37">
        <v>30</v>
      </c>
      <c r="P100" s="76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3"/>
      <c r="R100" s="563"/>
      <c r="S100" s="563"/>
      <c r="T100" s="56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201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hidden="1" customHeight="1" x14ac:dyDescent="0.25">
      <c r="A101" s="63" t="s">
        <v>202</v>
      </c>
      <c r="B101" s="63" t="s">
        <v>203</v>
      </c>
      <c r="C101" s="36">
        <v>4301011417</v>
      </c>
      <c r="D101" s="561">
        <v>4680115880269</v>
      </c>
      <c r="E101" s="561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116</v>
      </c>
      <c r="L101" s="37" t="s">
        <v>45</v>
      </c>
      <c r="M101" s="38" t="s">
        <v>90</v>
      </c>
      <c r="N101" s="38"/>
      <c r="O101" s="37">
        <v>50</v>
      </c>
      <c r="P101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3"/>
      <c r="R101" s="563"/>
      <c r="S101" s="563"/>
      <c r="T101" s="56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hidden="1" customHeight="1" x14ac:dyDescent="0.25">
      <c r="A102" s="63" t="s">
        <v>204</v>
      </c>
      <c r="B102" s="63" t="s">
        <v>205</v>
      </c>
      <c r="C102" s="36">
        <v>4301011415</v>
      </c>
      <c r="D102" s="561">
        <v>4680115880429</v>
      </c>
      <c r="E102" s="561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116</v>
      </c>
      <c r="L102" s="37" t="s">
        <v>45</v>
      </c>
      <c r="M102" s="38" t="s">
        <v>90</v>
      </c>
      <c r="N102" s="38"/>
      <c r="O102" s="37">
        <v>50</v>
      </c>
      <c r="P102" s="75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3"/>
      <c r="R102" s="563"/>
      <c r="S102" s="563"/>
      <c r="T102" s="56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198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206</v>
      </c>
      <c r="B103" s="63" t="s">
        <v>207</v>
      </c>
      <c r="C103" s="36">
        <v>4301011462</v>
      </c>
      <c r="D103" s="561">
        <v>4680115881457</v>
      </c>
      <c r="E103" s="561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116</v>
      </c>
      <c r="L103" s="37" t="s">
        <v>45</v>
      </c>
      <c r="M103" s="38" t="s">
        <v>90</v>
      </c>
      <c r="N103" s="38"/>
      <c r="O103" s="37">
        <v>50</v>
      </c>
      <c r="P103" s="75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3"/>
      <c r="R103" s="563"/>
      <c r="S103" s="563"/>
      <c r="T103" s="564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198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idden="1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2" t="s">
        <v>40</v>
      </c>
      <c r="Q104" s="553"/>
      <c r="R104" s="553"/>
      <c r="S104" s="553"/>
      <c r="T104" s="553"/>
      <c r="U104" s="553"/>
      <c r="V104" s="554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hidden="1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6"/>
      <c r="P105" s="552" t="s">
        <v>40</v>
      </c>
      <c r="Q105" s="553"/>
      <c r="R105" s="553"/>
      <c r="S105" s="553"/>
      <c r="T105" s="553"/>
      <c r="U105" s="553"/>
      <c r="V105" s="554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hidden="1" customHeight="1" x14ac:dyDescent="0.25">
      <c r="A106" s="566" t="s">
        <v>141</v>
      </c>
      <c r="B106" s="566"/>
      <c r="C106" s="566"/>
      <c r="D106" s="566"/>
      <c r="E106" s="566"/>
      <c r="F106" s="566"/>
      <c r="G106" s="566"/>
      <c r="H106" s="566"/>
      <c r="I106" s="566"/>
      <c r="J106" s="566"/>
      <c r="K106" s="566"/>
      <c r="L106" s="566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66"/>
      <c r="AA106" s="66"/>
      <c r="AB106" s="66"/>
      <c r="AC106" s="80"/>
    </row>
    <row r="107" spans="1:68" ht="16.5" hidden="1" customHeight="1" x14ac:dyDescent="0.25">
      <c r="A107" s="63" t="s">
        <v>208</v>
      </c>
      <c r="B107" s="63" t="s">
        <v>209</v>
      </c>
      <c r="C107" s="36">
        <v>4301020345</v>
      </c>
      <c r="D107" s="561">
        <v>4680115881488</v>
      </c>
      <c r="E107" s="561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113</v>
      </c>
      <c r="L107" s="37" t="s">
        <v>45</v>
      </c>
      <c r="M107" s="38" t="s">
        <v>112</v>
      </c>
      <c r="N107" s="38"/>
      <c r="O107" s="37">
        <v>55</v>
      </c>
      <c r="P107" s="75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3"/>
      <c r="R107" s="563"/>
      <c r="S107" s="563"/>
      <c r="T107" s="56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210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hidden="1" customHeight="1" x14ac:dyDescent="0.25">
      <c r="A108" s="63" t="s">
        <v>211</v>
      </c>
      <c r="B108" s="63" t="s">
        <v>212</v>
      </c>
      <c r="C108" s="36">
        <v>4301020186</v>
      </c>
      <c r="D108" s="561">
        <v>4680115887664</v>
      </c>
      <c r="E108" s="561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214</v>
      </c>
      <c r="L108" s="37" t="s">
        <v>45</v>
      </c>
      <c r="M108" s="38" t="s">
        <v>80</v>
      </c>
      <c r="N108" s="38"/>
      <c r="O108" s="37">
        <v>30</v>
      </c>
      <c r="P108" s="75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3"/>
      <c r="R108" s="563"/>
      <c r="S108" s="563"/>
      <c r="T108" s="56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hidden="1" customHeight="1" x14ac:dyDescent="0.25">
      <c r="A109" s="63" t="s">
        <v>215</v>
      </c>
      <c r="B109" s="63" t="s">
        <v>216</v>
      </c>
      <c r="C109" s="36">
        <v>4301020346</v>
      </c>
      <c r="D109" s="561">
        <v>4680115882775</v>
      </c>
      <c r="E109" s="561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85</v>
      </c>
      <c r="L109" s="37" t="s">
        <v>45</v>
      </c>
      <c r="M109" s="38" t="s">
        <v>112</v>
      </c>
      <c r="N109" s="38"/>
      <c r="O109" s="37">
        <v>55</v>
      </c>
      <c r="P109" s="7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3"/>
      <c r="R109" s="563"/>
      <c r="S109" s="563"/>
      <c r="T109" s="564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210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hidden="1" customHeight="1" x14ac:dyDescent="0.25">
      <c r="A110" s="63" t="s">
        <v>217</v>
      </c>
      <c r="B110" s="63" t="s">
        <v>218</v>
      </c>
      <c r="C110" s="36">
        <v>4301020344</v>
      </c>
      <c r="D110" s="561">
        <v>4680115880658</v>
      </c>
      <c r="E110" s="561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81</v>
      </c>
      <c r="L110" s="37" t="s">
        <v>45</v>
      </c>
      <c r="M110" s="38" t="s">
        <v>112</v>
      </c>
      <c r="N110" s="38"/>
      <c r="O110" s="37">
        <v>55</v>
      </c>
      <c r="P110" s="75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3"/>
      <c r="R110" s="563"/>
      <c r="S110" s="563"/>
      <c r="T110" s="564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210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idden="1" x14ac:dyDescent="0.2">
      <c r="A111" s="555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6"/>
      <c r="P111" s="552" t="s">
        <v>40</v>
      </c>
      <c r="Q111" s="553"/>
      <c r="R111" s="553"/>
      <c r="S111" s="553"/>
      <c r="T111" s="553"/>
      <c r="U111" s="553"/>
      <c r="V111" s="554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555"/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6"/>
      <c r="P112" s="552" t="s">
        <v>40</v>
      </c>
      <c r="Q112" s="553"/>
      <c r="R112" s="553"/>
      <c r="S112" s="553"/>
      <c r="T112" s="553"/>
      <c r="U112" s="553"/>
      <c r="V112" s="554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566" t="s">
        <v>86</v>
      </c>
      <c r="B113" s="566"/>
      <c r="C113" s="566"/>
      <c r="D113" s="566"/>
      <c r="E113" s="566"/>
      <c r="F113" s="566"/>
      <c r="G113" s="566"/>
      <c r="H113" s="566"/>
      <c r="I113" s="566"/>
      <c r="J113" s="566"/>
      <c r="K113" s="566"/>
      <c r="L113" s="566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66"/>
      <c r="AA113" s="66"/>
      <c r="AB113" s="66"/>
      <c r="AC113" s="80"/>
    </row>
    <row r="114" spans="1:68" ht="27" hidden="1" customHeight="1" x14ac:dyDescent="0.25">
      <c r="A114" s="63" t="s">
        <v>219</v>
      </c>
      <c r="B114" s="63" t="s">
        <v>220</v>
      </c>
      <c r="C114" s="36">
        <v>4301051724</v>
      </c>
      <c r="D114" s="561">
        <v>4607091385168</v>
      </c>
      <c r="E114" s="561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113</v>
      </c>
      <c r="L114" s="37" t="s">
        <v>45</v>
      </c>
      <c r="M114" s="38" t="s">
        <v>96</v>
      </c>
      <c r="N114" s="38"/>
      <c r="O114" s="37">
        <v>45</v>
      </c>
      <c r="P114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3"/>
      <c r="R114" s="563"/>
      <c r="S114" s="563"/>
      <c r="T114" s="56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221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222</v>
      </c>
      <c r="B115" s="63" t="s">
        <v>223</v>
      </c>
      <c r="C115" s="36">
        <v>4301051730</v>
      </c>
      <c r="D115" s="561">
        <v>4607091383256</v>
      </c>
      <c r="E115" s="561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81</v>
      </c>
      <c r="L115" s="37" t="s">
        <v>45</v>
      </c>
      <c r="M115" s="38" t="s">
        <v>96</v>
      </c>
      <c r="N115" s="38"/>
      <c r="O115" s="37">
        <v>45</v>
      </c>
      <c r="P115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3"/>
      <c r="R115" s="563"/>
      <c r="S115" s="563"/>
      <c r="T115" s="56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221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224</v>
      </c>
      <c r="B116" s="63" t="s">
        <v>225</v>
      </c>
      <c r="C116" s="36">
        <v>4301051721</v>
      </c>
      <c r="D116" s="561">
        <v>4607091385748</v>
      </c>
      <c r="E116" s="561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81</v>
      </c>
      <c r="L116" s="37" t="s">
        <v>45</v>
      </c>
      <c r="M116" s="38" t="s">
        <v>96</v>
      </c>
      <c r="N116" s="38"/>
      <c r="O116" s="37">
        <v>45</v>
      </c>
      <c r="P116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3"/>
      <c r="R116" s="563"/>
      <c r="S116" s="563"/>
      <c r="T116" s="564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hidden="1" customHeight="1" x14ac:dyDescent="0.25">
      <c r="A117" s="63" t="s">
        <v>226</v>
      </c>
      <c r="B117" s="63" t="s">
        <v>227</v>
      </c>
      <c r="C117" s="36">
        <v>4301051740</v>
      </c>
      <c r="D117" s="561">
        <v>4680115884533</v>
      </c>
      <c r="E117" s="561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81</v>
      </c>
      <c r="L117" s="37" t="s">
        <v>45</v>
      </c>
      <c r="M117" s="38" t="s">
        <v>90</v>
      </c>
      <c r="N117" s="38"/>
      <c r="O117" s="37">
        <v>45</v>
      </c>
      <c r="P117" s="74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3"/>
      <c r="R117" s="563"/>
      <c r="S117" s="563"/>
      <c r="T117" s="564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228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555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6"/>
      <c r="P118" s="552" t="s">
        <v>40</v>
      </c>
      <c r="Q118" s="553"/>
      <c r="R118" s="553"/>
      <c r="S118" s="553"/>
      <c r="T118" s="553"/>
      <c r="U118" s="553"/>
      <c r="V118" s="554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555"/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6"/>
      <c r="P119" s="552" t="s">
        <v>40</v>
      </c>
      <c r="Q119" s="553"/>
      <c r="R119" s="553"/>
      <c r="S119" s="553"/>
      <c r="T119" s="553"/>
      <c r="U119" s="553"/>
      <c r="V119" s="554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566" t="s">
        <v>166</v>
      </c>
      <c r="B120" s="566"/>
      <c r="C120" s="566"/>
      <c r="D120" s="566"/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66"/>
      <c r="AB120" s="66"/>
      <c r="AC120" s="80"/>
    </row>
    <row r="121" spans="1:68" ht="16.5" hidden="1" customHeight="1" x14ac:dyDescent="0.25">
      <c r="A121" s="63" t="s">
        <v>229</v>
      </c>
      <c r="B121" s="63" t="s">
        <v>230</v>
      </c>
      <c r="C121" s="36">
        <v>4301060317</v>
      </c>
      <c r="D121" s="561">
        <v>4680115880238</v>
      </c>
      <c r="E121" s="561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81</v>
      </c>
      <c r="L121" s="37" t="s">
        <v>45</v>
      </c>
      <c r="M121" s="38" t="s">
        <v>90</v>
      </c>
      <c r="N121" s="38"/>
      <c r="O121" s="37">
        <v>40</v>
      </c>
      <c r="P121" s="74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3"/>
      <c r="R121" s="563"/>
      <c r="S121" s="563"/>
      <c r="T121" s="564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231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idden="1" x14ac:dyDescent="0.2">
      <c r="A122" s="555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6"/>
      <c r="P122" s="552" t="s">
        <v>40</v>
      </c>
      <c r="Q122" s="553"/>
      <c r="R122" s="553"/>
      <c r="S122" s="553"/>
      <c r="T122" s="553"/>
      <c r="U122" s="553"/>
      <c r="V122" s="554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555"/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6"/>
      <c r="P123" s="552" t="s">
        <v>40</v>
      </c>
      <c r="Q123" s="553"/>
      <c r="R123" s="553"/>
      <c r="S123" s="553"/>
      <c r="T123" s="553"/>
      <c r="U123" s="553"/>
      <c r="V123" s="554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hidden="1" customHeight="1" x14ac:dyDescent="0.25">
      <c r="A124" s="565" t="s">
        <v>106</v>
      </c>
      <c r="B124" s="565"/>
      <c r="C124" s="565"/>
      <c r="D124" s="565"/>
      <c r="E124" s="565"/>
      <c r="F124" s="565"/>
      <c r="G124" s="565"/>
      <c r="H124" s="565"/>
      <c r="I124" s="565"/>
      <c r="J124" s="565"/>
      <c r="K124" s="565"/>
      <c r="L124" s="565"/>
      <c r="M124" s="565"/>
      <c r="N124" s="565"/>
      <c r="O124" s="565"/>
      <c r="P124" s="565"/>
      <c r="Q124" s="565"/>
      <c r="R124" s="565"/>
      <c r="S124" s="565"/>
      <c r="T124" s="565"/>
      <c r="U124" s="565"/>
      <c r="V124" s="565"/>
      <c r="W124" s="565"/>
      <c r="X124" s="565"/>
      <c r="Y124" s="565"/>
      <c r="Z124" s="565"/>
      <c r="AA124" s="65"/>
      <c r="AB124" s="65"/>
      <c r="AC124" s="79"/>
    </row>
    <row r="125" spans="1:68" ht="14.25" hidden="1" customHeight="1" x14ac:dyDescent="0.25">
      <c r="A125" s="566" t="s">
        <v>108</v>
      </c>
      <c r="B125" s="566"/>
      <c r="C125" s="566"/>
      <c r="D125" s="566"/>
      <c r="E125" s="56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66"/>
      <c r="AB125" s="66"/>
      <c r="AC125" s="80"/>
    </row>
    <row r="126" spans="1:68" ht="27" hidden="1" customHeight="1" x14ac:dyDescent="0.25">
      <c r="A126" s="63" t="s">
        <v>232</v>
      </c>
      <c r="B126" s="63" t="s">
        <v>233</v>
      </c>
      <c r="C126" s="36">
        <v>4301012244</v>
      </c>
      <c r="D126" s="561">
        <v>4680115887374</v>
      </c>
      <c r="E126" s="561"/>
      <c r="F126" s="62">
        <v>1.6</v>
      </c>
      <c r="G126" s="37">
        <v>8</v>
      </c>
      <c r="H126" s="62">
        <v>12.8</v>
      </c>
      <c r="I126" s="62">
        <v>13.21</v>
      </c>
      <c r="J126" s="37">
        <v>64</v>
      </c>
      <c r="K126" s="37" t="s">
        <v>113</v>
      </c>
      <c r="L126" s="37" t="s">
        <v>45</v>
      </c>
      <c r="M126" s="38" t="s">
        <v>112</v>
      </c>
      <c r="N126" s="38"/>
      <c r="O126" s="37">
        <v>55</v>
      </c>
      <c r="P126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26" s="563"/>
      <c r="R126" s="563"/>
      <c r="S126" s="563"/>
      <c r="T126" s="564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IFERROR(IF(Y126=0,"",ROUNDUP(Y126/H126,0)*0.01898),"")</f>
        <v/>
      </c>
      <c r="AA126" s="68" t="s">
        <v>45</v>
      </c>
      <c r="AB126" s="69" t="s">
        <v>45</v>
      </c>
      <c r="AC126" s="186" t="s">
        <v>234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hidden="1" customHeight="1" x14ac:dyDescent="0.25">
      <c r="A127" s="63" t="s">
        <v>235</v>
      </c>
      <c r="B127" s="63" t="s">
        <v>236</v>
      </c>
      <c r="C127" s="36">
        <v>4301011705</v>
      </c>
      <c r="D127" s="561">
        <v>4607091384604</v>
      </c>
      <c r="E127" s="561"/>
      <c r="F127" s="62">
        <v>0.4</v>
      </c>
      <c r="G127" s="37">
        <v>10</v>
      </c>
      <c r="H127" s="62">
        <v>4</v>
      </c>
      <c r="I127" s="62">
        <v>4.1900000000000004</v>
      </c>
      <c r="J127" s="37">
        <v>132</v>
      </c>
      <c r="K127" s="37" t="s">
        <v>116</v>
      </c>
      <c r="L127" s="37" t="s">
        <v>45</v>
      </c>
      <c r="M127" s="38" t="s">
        <v>112</v>
      </c>
      <c r="N127" s="38"/>
      <c r="O127" s="37">
        <v>50</v>
      </c>
      <c r="P127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27" s="563"/>
      <c r="R127" s="563"/>
      <c r="S127" s="563"/>
      <c r="T127" s="564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IFERROR(IF(Y127=0,"",ROUNDUP(Y127/H127,0)*0.00902),"")</f>
        <v/>
      </c>
      <c r="AA127" s="68" t="s">
        <v>45</v>
      </c>
      <c r="AB127" s="69" t="s">
        <v>45</v>
      </c>
      <c r="AC127" s="188" t="s">
        <v>237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555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6"/>
      <c r="P128" s="552" t="s">
        <v>40</v>
      </c>
      <c r="Q128" s="553"/>
      <c r="R128" s="553"/>
      <c r="S128" s="553"/>
      <c r="T128" s="553"/>
      <c r="U128" s="553"/>
      <c r="V128" s="554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hidden="1" x14ac:dyDescent="0.2">
      <c r="A129" s="555"/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6"/>
      <c r="P129" s="552" t="s">
        <v>40</v>
      </c>
      <c r="Q129" s="553"/>
      <c r="R129" s="553"/>
      <c r="S129" s="553"/>
      <c r="T129" s="553"/>
      <c r="U129" s="553"/>
      <c r="V129" s="554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566" t="s">
        <v>76</v>
      </c>
      <c r="B130" s="566"/>
      <c r="C130" s="566"/>
      <c r="D130" s="566"/>
      <c r="E130" s="566"/>
      <c r="F130" s="566"/>
      <c r="G130" s="566"/>
      <c r="H130" s="566"/>
      <c r="I130" s="566"/>
      <c r="J130" s="566"/>
      <c r="K130" s="566"/>
      <c r="L130" s="566"/>
      <c r="M130" s="566"/>
      <c r="N130" s="566"/>
      <c r="O130" s="566"/>
      <c r="P130" s="566"/>
      <c r="Q130" s="566"/>
      <c r="R130" s="566"/>
      <c r="S130" s="566"/>
      <c r="T130" s="566"/>
      <c r="U130" s="566"/>
      <c r="V130" s="566"/>
      <c r="W130" s="566"/>
      <c r="X130" s="566"/>
      <c r="Y130" s="566"/>
      <c r="Z130" s="566"/>
      <c r="AA130" s="66"/>
      <c r="AB130" s="66"/>
      <c r="AC130" s="80"/>
    </row>
    <row r="131" spans="1:68" ht="16.5" hidden="1" customHeight="1" x14ac:dyDescent="0.25">
      <c r="A131" s="63" t="s">
        <v>238</v>
      </c>
      <c r="B131" s="63" t="s">
        <v>239</v>
      </c>
      <c r="C131" s="36">
        <v>4301030895</v>
      </c>
      <c r="D131" s="561">
        <v>4607091387667</v>
      </c>
      <c r="E131" s="561"/>
      <c r="F131" s="62">
        <v>0.9</v>
      </c>
      <c r="G131" s="37">
        <v>10</v>
      </c>
      <c r="H131" s="62">
        <v>9</v>
      </c>
      <c r="I131" s="62">
        <v>9.56</v>
      </c>
      <c r="J131" s="37">
        <v>64</v>
      </c>
      <c r="K131" s="37" t="s">
        <v>113</v>
      </c>
      <c r="L131" s="37" t="s">
        <v>45</v>
      </c>
      <c r="M131" s="38" t="s">
        <v>112</v>
      </c>
      <c r="N131" s="38"/>
      <c r="O131" s="37">
        <v>40</v>
      </c>
      <c r="P131" s="7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31" s="563"/>
      <c r="R131" s="563"/>
      <c r="S131" s="563"/>
      <c r="T131" s="564"/>
      <c r="U131" s="39" t="s">
        <v>45</v>
      </c>
      <c r="V131" s="39" t="s">
        <v>45</v>
      </c>
      <c r="W131" s="40" t="s">
        <v>0</v>
      </c>
      <c r="X131" s="58">
        <v>0</v>
      </c>
      <c r="Y131" s="55">
        <f t="shared" ref="Y131:Y136" si="5">IFERROR(IF(X131="",0,CEILING((X131/$H131),1)*$H131),"")</f>
        <v>0</v>
      </c>
      <c r="Z131" s="41" t="str">
        <f>IFERROR(IF(Y131=0,"",ROUNDUP(Y131/H131,0)*0.01898),"")</f>
        <v/>
      </c>
      <c r="AA131" s="68" t="s">
        <v>45</v>
      </c>
      <c r="AB131" s="69" t="s">
        <v>45</v>
      </c>
      <c r="AC131" s="190" t="s">
        <v>240</v>
      </c>
      <c r="AG131" s="78"/>
      <c r="AJ131" s="84" t="s">
        <v>45</v>
      </c>
      <c r="AK131" s="84">
        <v>0</v>
      </c>
      <c r="BB131" s="191" t="s">
        <v>66</v>
      </c>
      <c r="BM131" s="78">
        <f t="shared" ref="BM131:BM136" si="6">IFERROR(X131*I131/H131,"0")</f>
        <v>0</v>
      </c>
      <c r="BN131" s="78">
        <f t="shared" ref="BN131:BN136" si="7">IFERROR(Y131*I131/H131,"0")</f>
        <v>0</v>
      </c>
      <c r="BO131" s="78">
        <f t="shared" ref="BO131:BO136" si="8">IFERROR(1/J131*(X131/H131),"0")</f>
        <v>0</v>
      </c>
      <c r="BP131" s="78">
        <f t="shared" ref="BP131:BP136" si="9">IFERROR(1/J131*(Y131/H131),"0")</f>
        <v>0</v>
      </c>
    </row>
    <row r="132" spans="1:68" ht="16.5" hidden="1" customHeight="1" x14ac:dyDescent="0.25">
      <c r="A132" s="63" t="s">
        <v>241</v>
      </c>
      <c r="B132" s="63" t="s">
        <v>242</v>
      </c>
      <c r="C132" s="36">
        <v>4301031450</v>
      </c>
      <c r="D132" s="561">
        <v>4680115887428</v>
      </c>
      <c r="E132" s="561"/>
      <c r="F132" s="62">
        <v>0.7</v>
      </c>
      <c r="G132" s="37">
        <v>6</v>
      </c>
      <c r="H132" s="62">
        <v>4.2</v>
      </c>
      <c r="I132" s="62">
        <v>4.3899999999999997</v>
      </c>
      <c r="J132" s="37">
        <v>132</v>
      </c>
      <c r="K132" s="37" t="s">
        <v>116</v>
      </c>
      <c r="L132" s="37" t="s">
        <v>45</v>
      </c>
      <c r="M132" s="38" t="s">
        <v>80</v>
      </c>
      <c r="N132" s="38"/>
      <c r="O132" s="37">
        <v>40</v>
      </c>
      <c r="P132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32" s="563"/>
      <c r="R132" s="563"/>
      <c r="S132" s="563"/>
      <c r="T132" s="564"/>
      <c r="U132" s="39" t="s">
        <v>45</v>
      </c>
      <c r="V132" s="39" t="s">
        <v>45</v>
      </c>
      <c r="W132" s="40" t="s">
        <v>0</v>
      </c>
      <c r="X132" s="58">
        <v>0</v>
      </c>
      <c r="Y132" s="55">
        <f t="shared" si="5"/>
        <v>0</v>
      </c>
      <c r="Z132" s="41" t="str">
        <f>IFERROR(IF(Y132=0,"",ROUNDUP(Y132/H132,0)*0.00902),"")</f>
        <v/>
      </c>
      <c r="AA132" s="68" t="s">
        <v>45</v>
      </c>
      <c r="AB132" s="69" t="s">
        <v>45</v>
      </c>
      <c r="AC132" s="192" t="s">
        <v>243</v>
      </c>
      <c r="AG132" s="78"/>
      <c r="AJ132" s="84" t="s">
        <v>45</v>
      </c>
      <c r="AK132" s="84">
        <v>0</v>
      </c>
      <c r="BB132" s="193" t="s">
        <v>66</v>
      </c>
      <c r="BM132" s="78">
        <f t="shared" si="6"/>
        <v>0</v>
      </c>
      <c r="BN132" s="78">
        <f t="shared" si="7"/>
        <v>0</v>
      </c>
      <c r="BO132" s="78">
        <f t="shared" si="8"/>
        <v>0</v>
      </c>
      <c r="BP132" s="78">
        <f t="shared" si="9"/>
        <v>0</v>
      </c>
    </row>
    <row r="133" spans="1:68" ht="16.5" hidden="1" customHeight="1" x14ac:dyDescent="0.25">
      <c r="A133" s="63" t="s">
        <v>244</v>
      </c>
      <c r="B133" s="63" t="s">
        <v>245</v>
      </c>
      <c r="C133" s="36">
        <v>4301030961</v>
      </c>
      <c r="D133" s="561">
        <v>4607091387636</v>
      </c>
      <c r="E133" s="561"/>
      <c r="F133" s="62">
        <v>0.7</v>
      </c>
      <c r="G133" s="37">
        <v>6</v>
      </c>
      <c r="H133" s="62">
        <v>4.2</v>
      </c>
      <c r="I133" s="62">
        <v>4.47</v>
      </c>
      <c r="J133" s="37">
        <v>182</v>
      </c>
      <c r="K133" s="37" t="s">
        <v>81</v>
      </c>
      <c r="L133" s="37" t="s">
        <v>45</v>
      </c>
      <c r="M133" s="38" t="s">
        <v>80</v>
      </c>
      <c r="N133" s="38"/>
      <c r="O133" s="37">
        <v>40</v>
      </c>
      <c r="P133" s="74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33" s="563"/>
      <c r="R133" s="563"/>
      <c r="S133" s="563"/>
      <c r="T133" s="564"/>
      <c r="U133" s="39" t="s">
        <v>45</v>
      </c>
      <c r="V133" s="39" t="s">
        <v>45</v>
      </c>
      <c r="W133" s="40" t="s">
        <v>0</v>
      </c>
      <c r="X133" s="58">
        <v>0</v>
      </c>
      <c r="Y133" s="55">
        <f t="shared" si="5"/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246</v>
      </c>
      <c r="AG133" s="78"/>
      <c r="AJ133" s="84" t="s">
        <v>45</v>
      </c>
      <c r="AK133" s="84">
        <v>0</v>
      </c>
      <c r="BB133" s="195" t="s">
        <v>66</v>
      </c>
      <c r="BM133" s="78">
        <f t="shared" si="6"/>
        <v>0</v>
      </c>
      <c r="BN133" s="78">
        <f t="shared" si="7"/>
        <v>0</v>
      </c>
      <c r="BO133" s="78">
        <f t="shared" si="8"/>
        <v>0</v>
      </c>
      <c r="BP133" s="78">
        <f t="shared" si="9"/>
        <v>0</v>
      </c>
    </row>
    <row r="134" spans="1:68" ht="27" hidden="1" customHeight="1" x14ac:dyDescent="0.25">
      <c r="A134" s="63" t="s">
        <v>247</v>
      </c>
      <c r="B134" s="63" t="s">
        <v>248</v>
      </c>
      <c r="C134" s="36">
        <v>4301031453</v>
      </c>
      <c r="D134" s="561">
        <v>4680115887336</v>
      </c>
      <c r="E134" s="561"/>
      <c r="F134" s="62">
        <v>0.7</v>
      </c>
      <c r="G134" s="37">
        <v>6</v>
      </c>
      <c r="H134" s="62">
        <v>4.2</v>
      </c>
      <c r="I134" s="62">
        <v>4.3899999999999997</v>
      </c>
      <c r="J134" s="37">
        <v>132</v>
      </c>
      <c r="K134" s="37" t="s">
        <v>116</v>
      </c>
      <c r="L134" s="37" t="s">
        <v>45</v>
      </c>
      <c r="M134" s="38" t="s">
        <v>80</v>
      </c>
      <c r="N134" s="38"/>
      <c r="O134" s="37">
        <v>40</v>
      </c>
      <c r="P134" s="74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34" s="563"/>
      <c r="R134" s="563"/>
      <c r="S134" s="563"/>
      <c r="T134" s="564"/>
      <c r="U134" s="39" t="s">
        <v>45</v>
      </c>
      <c r="V134" s="39" t="s">
        <v>45</v>
      </c>
      <c r="W134" s="40" t="s">
        <v>0</v>
      </c>
      <c r="X134" s="58">
        <v>0</v>
      </c>
      <c r="Y134" s="55">
        <f t="shared" si="5"/>
        <v>0</v>
      </c>
      <c r="Z134" s="41" t="str">
        <f>IFERROR(IF(Y134=0,"",ROUNDUP(Y134/H134,0)*0.00902),"")</f>
        <v/>
      </c>
      <c r="AA134" s="68" t="s">
        <v>45</v>
      </c>
      <c r="AB134" s="69" t="s">
        <v>45</v>
      </c>
      <c r="AC134" s="196" t="s">
        <v>249</v>
      </c>
      <c r="AG134" s="78"/>
      <c r="AJ134" s="84" t="s">
        <v>45</v>
      </c>
      <c r="AK134" s="84">
        <v>0</v>
      </c>
      <c r="BB134" s="197" t="s">
        <v>66</v>
      </c>
      <c r="BM134" s="78">
        <f t="shared" si="6"/>
        <v>0</v>
      </c>
      <c r="BN134" s="78">
        <f t="shared" si="7"/>
        <v>0</v>
      </c>
      <c r="BO134" s="78">
        <f t="shared" si="8"/>
        <v>0</v>
      </c>
      <c r="BP134" s="78">
        <f t="shared" si="9"/>
        <v>0</v>
      </c>
    </row>
    <row r="135" spans="1:68" ht="27" hidden="1" customHeight="1" x14ac:dyDescent="0.25">
      <c r="A135" s="63" t="s">
        <v>250</v>
      </c>
      <c r="B135" s="63" t="s">
        <v>251</v>
      </c>
      <c r="C135" s="36">
        <v>4301030963</v>
      </c>
      <c r="D135" s="561">
        <v>4607091382426</v>
      </c>
      <c r="E135" s="561"/>
      <c r="F135" s="62">
        <v>0.9</v>
      </c>
      <c r="G135" s="37">
        <v>10</v>
      </c>
      <c r="H135" s="62">
        <v>9</v>
      </c>
      <c r="I135" s="62">
        <v>9.56</v>
      </c>
      <c r="J135" s="37">
        <v>64</v>
      </c>
      <c r="K135" s="37" t="s">
        <v>113</v>
      </c>
      <c r="L135" s="37" t="s">
        <v>45</v>
      </c>
      <c r="M135" s="38" t="s">
        <v>80</v>
      </c>
      <c r="N135" s="38"/>
      <c r="O135" s="37">
        <v>40</v>
      </c>
      <c r="P135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35" s="563"/>
      <c r="R135" s="563"/>
      <c r="S135" s="563"/>
      <c r="T135" s="564"/>
      <c r="U135" s="39" t="s">
        <v>45</v>
      </c>
      <c r="V135" s="39" t="s">
        <v>45</v>
      </c>
      <c r="W135" s="40" t="s">
        <v>0</v>
      </c>
      <c r="X135" s="58">
        <v>0</v>
      </c>
      <c r="Y135" s="55">
        <f t="shared" si="5"/>
        <v>0</v>
      </c>
      <c r="Z135" s="41" t="str">
        <f>IFERROR(IF(Y135=0,"",ROUNDUP(Y135/H135,0)*0.01898),"")</f>
        <v/>
      </c>
      <c r="AA135" s="68" t="s">
        <v>45</v>
      </c>
      <c r="AB135" s="69" t="s">
        <v>45</v>
      </c>
      <c r="AC135" s="198" t="s">
        <v>252</v>
      </c>
      <c r="AG135" s="78"/>
      <c r="AJ135" s="84" t="s">
        <v>45</v>
      </c>
      <c r="AK135" s="84">
        <v>0</v>
      </c>
      <c r="BB135" s="199" t="s">
        <v>66</v>
      </c>
      <c r="BM135" s="78">
        <f t="shared" si="6"/>
        <v>0</v>
      </c>
      <c r="BN135" s="78">
        <f t="shared" si="7"/>
        <v>0</v>
      </c>
      <c r="BO135" s="78">
        <f t="shared" si="8"/>
        <v>0</v>
      </c>
      <c r="BP135" s="78">
        <f t="shared" si="9"/>
        <v>0</v>
      </c>
    </row>
    <row r="136" spans="1:68" ht="27" hidden="1" customHeight="1" x14ac:dyDescent="0.25">
      <c r="A136" s="63" t="s">
        <v>253</v>
      </c>
      <c r="B136" s="63" t="s">
        <v>254</v>
      </c>
      <c r="C136" s="36">
        <v>4301031456</v>
      </c>
      <c r="D136" s="561">
        <v>4680115887398</v>
      </c>
      <c r="E136" s="561"/>
      <c r="F136" s="62">
        <v>0.7</v>
      </c>
      <c r="G136" s="37">
        <v>6</v>
      </c>
      <c r="H136" s="62">
        <v>4.2</v>
      </c>
      <c r="I136" s="62">
        <v>4.3899999999999997</v>
      </c>
      <c r="J136" s="37">
        <v>132</v>
      </c>
      <c r="K136" s="37" t="s">
        <v>116</v>
      </c>
      <c r="L136" s="37" t="s">
        <v>45</v>
      </c>
      <c r="M136" s="38" t="s">
        <v>80</v>
      </c>
      <c r="N136" s="38"/>
      <c r="O136" s="37">
        <v>40</v>
      </c>
      <c r="P136" s="74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36" s="563"/>
      <c r="R136" s="563"/>
      <c r="S136" s="563"/>
      <c r="T136" s="564"/>
      <c r="U136" s="39" t="s">
        <v>45</v>
      </c>
      <c r="V136" s="39" t="s">
        <v>45</v>
      </c>
      <c r="W136" s="40" t="s">
        <v>0</v>
      </c>
      <c r="X136" s="58">
        <v>0</v>
      </c>
      <c r="Y136" s="55">
        <f t="shared" si="5"/>
        <v>0</v>
      </c>
      <c r="Z136" s="41" t="str">
        <f>IFERROR(IF(Y136=0,"",ROUNDUP(Y136/H136,0)*0.00902),"")</f>
        <v/>
      </c>
      <c r="AA136" s="68" t="s">
        <v>45</v>
      </c>
      <c r="AB136" s="69" t="s">
        <v>45</v>
      </c>
      <c r="AC136" s="200" t="s">
        <v>255</v>
      </c>
      <c r="AG136" s="78"/>
      <c r="AJ136" s="84" t="s">
        <v>45</v>
      </c>
      <c r="AK136" s="84">
        <v>0</v>
      </c>
      <c r="BB136" s="201" t="s">
        <v>66</v>
      </c>
      <c r="BM136" s="78">
        <f t="shared" si="6"/>
        <v>0</v>
      </c>
      <c r="BN136" s="78">
        <f t="shared" si="7"/>
        <v>0</v>
      </c>
      <c r="BO136" s="78">
        <f t="shared" si="8"/>
        <v>0</v>
      </c>
      <c r="BP136" s="78">
        <f t="shared" si="9"/>
        <v>0</v>
      </c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2" t="s">
        <v>40</v>
      </c>
      <c r="Q137" s="553"/>
      <c r="R137" s="553"/>
      <c r="S137" s="553"/>
      <c r="T137" s="553"/>
      <c r="U137" s="553"/>
      <c r="V137" s="554"/>
      <c r="W137" s="42" t="s">
        <v>39</v>
      </c>
      <c r="X137" s="43">
        <f>IFERROR(X131/H131,"0")+IFERROR(X132/H132,"0")+IFERROR(X133/H133,"0")+IFERROR(X134/H134,"0")+IFERROR(X135/H135,"0")+IFERROR(X136/H136,"0")</f>
        <v>0</v>
      </c>
      <c r="Y137" s="43">
        <f>IFERROR(Y131/H131,"0")+IFERROR(Y132/H132,"0")+IFERROR(Y133/H133,"0")+IFERROR(Y134/H134,"0")+IFERROR(Y135/H135,"0")+IFERROR(Y136/H136,"0")</f>
        <v>0</v>
      </c>
      <c r="Z137" s="43">
        <f>IFERROR(IF(Z131="",0,Z131),"0")+IFERROR(IF(Z132="",0,Z132),"0")+IFERROR(IF(Z133="",0,Z133),"0")+IFERROR(IF(Z134="",0,Z134),"0")+IFERROR(IF(Z135="",0,Z135),"0")+IFERROR(IF(Z136="",0,Z136),"0")</f>
        <v>0</v>
      </c>
      <c r="AA137" s="67"/>
      <c r="AB137" s="67"/>
      <c r="AC137" s="67"/>
    </row>
    <row r="138" spans="1:68" hidden="1" x14ac:dyDescent="0.2">
      <c r="A138" s="555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6"/>
      <c r="P138" s="552" t="s">
        <v>40</v>
      </c>
      <c r="Q138" s="553"/>
      <c r="R138" s="553"/>
      <c r="S138" s="553"/>
      <c r="T138" s="553"/>
      <c r="U138" s="553"/>
      <c r="V138" s="554"/>
      <c r="W138" s="42" t="s">
        <v>0</v>
      </c>
      <c r="X138" s="43">
        <f>IFERROR(SUM(X131:X136),"0")</f>
        <v>0</v>
      </c>
      <c r="Y138" s="43">
        <f>IFERROR(SUM(Y131:Y136),"0")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566" t="s">
        <v>86</v>
      </c>
      <c r="B139" s="566"/>
      <c r="C139" s="566"/>
      <c r="D139" s="566"/>
      <c r="E139" s="566"/>
      <c r="F139" s="566"/>
      <c r="G139" s="566"/>
      <c r="H139" s="566"/>
      <c r="I139" s="566"/>
      <c r="J139" s="566"/>
      <c r="K139" s="566"/>
      <c r="L139" s="566"/>
      <c r="M139" s="566"/>
      <c r="N139" s="566"/>
      <c r="O139" s="566"/>
      <c r="P139" s="566"/>
      <c r="Q139" s="566"/>
      <c r="R139" s="566"/>
      <c r="S139" s="566"/>
      <c r="T139" s="566"/>
      <c r="U139" s="566"/>
      <c r="V139" s="566"/>
      <c r="W139" s="566"/>
      <c r="X139" s="566"/>
      <c r="Y139" s="566"/>
      <c r="Z139" s="566"/>
      <c r="AA139" s="66"/>
      <c r="AB139" s="66"/>
      <c r="AC139" s="80"/>
    </row>
    <row r="140" spans="1:68" ht="27" hidden="1" customHeight="1" x14ac:dyDescent="0.25">
      <c r="A140" s="63" t="s">
        <v>256</v>
      </c>
      <c r="B140" s="63" t="s">
        <v>257</v>
      </c>
      <c r="C140" s="36">
        <v>4301052064</v>
      </c>
      <c r="D140" s="561">
        <v>4680115887459</v>
      </c>
      <c r="E140" s="561"/>
      <c r="F140" s="62">
        <v>0.3</v>
      </c>
      <c r="G140" s="37">
        <v>6</v>
      </c>
      <c r="H140" s="62">
        <v>1.8</v>
      </c>
      <c r="I140" s="62">
        <v>2.0579999999999998</v>
      </c>
      <c r="J140" s="37">
        <v>182</v>
      </c>
      <c r="K140" s="37" t="s">
        <v>81</v>
      </c>
      <c r="L140" s="37" t="s">
        <v>45</v>
      </c>
      <c r="M140" s="38" t="s">
        <v>90</v>
      </c>
      <c r="N140" s="38"/>
      <c r="O140" s="37">
        <v>45</v>
      </c>
      <c r="P140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40" s="563"/>
      <c r="R140" s="563"/>
      <c r="S140" s="563"/>
      <c r="T140" s="56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45</v>
      </c>
      <c r="AB140" s="69" t="s">
        <v>45</v>
      </c>
      <c r="AC140" s="202" t="s">
        <v>258</v>
      </c>
      <c r="AG140" s="78"/>
      <c r="AJ140" s="84" t="s">
        <v>45</v>
      </c>
      <c r="AK140" s="84">
        <v>0</v>
      </c>
      <c r="BB140" s="203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555"/>
      <c r="B141" s="555"/>
      <c r="C141" s="555"/>
      <c r="D141" s="555"/>
      <c r="E141" s="555"/>
      <c r="F141" s="555"/>
      <c r="G141" s="555"/>
      <c r="H141" s="555"/>
      <c r="I141" s="555"/>
      <c r="J141" s="555"/>
      <c r="K141" s="555"/>
      <c r="L141" s="555"/>
      <c r="M141" s="555"/>
      <c r="N141" s="555"/>
      <c r="O141" s="556"/>
      <c r="P141" s="552" t="s">
        <v>40</v>
      </c>
      <c r="Q141" s="553"/>
      <c r="R141" s="553"/>
      <c r="S141" s="553"/>
      <c r="T141" s="553"/>
      <c r="U141" s="553"/>
      <c r="V141" s="554"/>
      <c r="W141" s="42" t="s">
        <v>39</v>
      </c>
      <c r="X141" s="43">
        <f>IFERROR(X140/H140,"0")</f>
        <v>0</v>
      </c>
      <c r="Y141" s="43">
        <f>IFERROR(Y140/H140,"0")</f>
        <v>0</v>
      </c>
      <c r="Z141" s="43">
        <f>IFERROR(IF(Z140="",0,Z140),"0")</f>
        <v>0</v>
      </c>
      <c r="AA141" s="67"/>
      <c r="AB141" s="67"/>
      <c r="AC141" s="67"/>
    </row>
    <row r="142" spans="1:68" hidden="1" x14ac:dyDescent="0.2">
      <c r="A142" s="555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52" t="s">
        <v>40</v>
      </c>
      <c r="Q142" s="553"/>
      <c r="R142" s="553"/>
      <c r="S142" s="553"/>
      <c r="T142" s="553"/>
      <c r="U142" s="553"/>
      <c r="V142" s="554"/>
      <c r="W142" s="42" t="s">
        <v>0</v>
      </c>
      <c r="X142" s="43">
        <f>IFERROR(SUM(X140:X140),"0")</f>
        <v>0</v>
      </c>
      <c r="Y142" s="43">
        <f>IFERROR(SUM(Y140:Y140),"0")</f>
        <v>0</v>
      </c>
      <c r="Z142" s="42"/>
      <c r="AA142" s="67"/>
      <c r="AB142" s="67"/>
      <c r="AC142" s="67"/>
    </row>
    <row r="143" spans="1:68" ht="27.75" hidden="1" customHeight="1" x14ac:dyDescent="0.2">
      <c r="A143" s="575" t="s">
        <v>259</v>
      </c>
      <c r="B143" s="575"/>
      <c r="C143" s="575"/>
      <c r="D143" s="575"/>
      <c r="E143" s="575"/>
      <c r="F143" s="575"/>
      <c r="G143" s="575"/>
      <c r="H143" s="575"/>
      <c r="I143" s="575"/>
      <c r="J143" s="575"/>
      <c r="K143" s="575"/>
      <c r="L143" s="575"/>
      <c r="M143" s="575"/>
      <c r="N143" s="575"/>
      <c r="O143" s="575"/>
      <c r="P143" s="575"/>
      <c r="Q143" s="575"/>
      <c r="R143" s="575"/>
      <c r="S143" s="575"/>
      <c r="T143" s="575"/>
      <c r="U143" s="575"/>
      <c r="V143" s="575"/>
      <c r="W143" s="575"/>
      <c r="X143" s="575"/>
      <c r="Y143" s="575"/>
      <c r="Z143" s="575"/>
      <c r="AA143" s="54"/>
      <c r="AB143" s="54"/>
      <c r="AC143" s="54"/>
    </row>
    <row r="144" spans="1:68" ht="16.5" hidden="1" customHeight="1" x14ac:dyDescent="0.25">
      <c r="A144" s="565" t="s">
        <v>260</v>
      </c>
      <c r="B144" s="565"/>
      <c r="C144" s="565"/>
      <c r="D144" s="565"/>
      <c r="E144" s="565"/>
      <c r="F144" s="565"/>
      <c r="G144" s="565"/>
      <c r="H144" s="565"/>
      <c r="I144" s="565"/>
      <c r="J144" s="565"/>
      <c r="K144" s="565"/>
      <c r="L144" s="565"/>
      <c r="M144" s="565"/>
      <c r="N144" s="565"/>
      <c r="O144" s="565"/>
      <c r="P144" s="565"/>
      <c r="Q144" s="565"/>
      <c r="R144" s="565"/>
      <c r="S144" s="565"/>
      <c r="T144" s="565"/>
      <c r="U144" s="565"/>
      <c r="V144" s="565"/>
      <c r="W144" s="565"/>
      <c r="X144" s="565"/>
      <c r="Y144" s="565"/>
      <c r="Z144" s="565"/>
      <c r="AA144" s="65"/>
      <c r="AB144" s="65"/>
      <c r="AC144" s="79"/>
    </row>
    <row r="145" spans="1:68" ht="14.25" hidden="1" customHeight="1" x14ac:dyDescent="0.25">
      <c r="A145" s="566" t="s">
        <v>141</v>
      </c>
      <c r="B145" s="566"/>
      <c r="C145" s="566"/>
      <c r="D145" s="566"/>
      <c r="E145" s="566"/>
      <c r="F145" s="566"/>
      <c r="G145" s="566"/>
      <c r="H145" s="566"/>
      <c r="I145" s="566"/>
      <c r="J145" s="566"/>
      <c r="K145" s="566"/>
      <c r="L145" s="566"/>
      <c r="M145" s="566"/>
      <c r="N145" s="566"/>
      <c r="O145" s="566"/>
      <c r="P145" s="566"/>
      <c r="Q145" s="566"/>
      <c r="R145" s="566"/>
      <c r="S145" s="566"/>
      <c r="T145" s="566"/>
      <c r="U145" s="566"/>
      <c r="V145" s="566"/>
      <c r="W145" s="566"/>
      <c r="X145" s="566"/>
      <c r="Y145" s="566"/>
      <c r="Z145" s="566"/>
      <c r="AA145" s="66"/>
      <c r="AB145" s="66"/>
      <c r="AC145" s="80"/>
    </row>
    <row r="146" spans="1:68" ht="27" hidden="1" customHeight="1" x14ac:dyDescent="0.25">
      <c r="A146" s="63" t="s">
        <v>261</v>
      </c>
      <c r="B146" s="63" t="s">
        <v>262</v>
      </c>
      <c r="C146" s="36">
        <v>4301020323</v>
      </c>
      <c r="D146" s="561">
        <v>4680115886223</v>
      </c>
      <c r="E146" s="561"/>
      <c r="F146" s="62">
        <v>0.33</v>
      </c>
      <c r="G146" s="37">
        <v>6</v>
      </c>
      <c r="H146" s="62">
        <v>1.98</v>
      </c>
      <c r="I146" s="62">
        <v>2.08</v>
      </c>
      <c r="J146" s="37">
        <v>234</v>
      </c>
      <c r="K146" s="37" t="s">
        <v>85</v>
      </c>
      <c r="L146" s="37" t="s">
        <v>45</v>
      </c>
      <c r="M146" s="38" t="s">
        <v>80</v>
      </c>
      <c r="N146" s="38"/>
      <c r="O146" s="37">
        <v>40</v>
      </c>
      <c r="P146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46" s="563"/>
      <c r="R146" s="563"/>
      <c r="S146" s="563"/>
      <c r="T146" s="56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IFERROR(IF(Y146=0,"",ROUNDUP(Y146/H146,0)*0.00502),"")</f>
        <v/>
      </c>
      <c r="AA146" s="68" t="s">
        <v>45</v>
      </c>
      <c r="AB146" s="69" t="s">
        <v>45</v>
      </c>
      <c r="AC146" s="204" t="s">
        <v>263</v>
      </c>
      <c r="AG146" s="78"/>
      <c r="AJ146" s="84" t="s">
        <v>45</v>
      </c>
      <c r="AK146" s="84">
        <v>0</v>
      </c>
      <c r="BB146" s="205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555"/>
      <c r="B147" s="555"/>
      <c r="C147" s="555"/>
      <c r="D147" s="555"/>
      <c r="E147" s="555"/>
      <c r="F147" s="555"/>
      <c r="G147" s="555"/>
      <c r="H147" s="555"/>
      <c r="I147" s="555"/>
      <c r="J147" s="555"/>
      <c r="K147" s="555"/>
      <c r="L147" s="555"/>
      <c r="M147" s="555"/>
      <c r="N147" s="555"/>
      <c r="O147" s="556"/>
      <c r="P147" s="552" t="s">
        <v>40</v>
      </c>
      <c r="Q147" s="553"/>
      <c r="R147" s="553"/>
      <c r="S147" s="553"/>
      <c r="T147" s="553"/>
      <c r="U147" s="553"/>
      <c r="V147" s="554"/>
      <c r="W147" s="42" t="s">
        <v>39</v>
      </c>
      <c r="X147" s="43">
        <f>IFERROR(X146/H146,"0")</f>
        <v>0</v>
      </c>
      <c r="Y147" s="43">
        <f>IFERROR(Y146/H146,"0")</f>
        <v>0</v>
      </c>
      <c r="Z147" s="43">
        <f>IFERROR(IF(Z146="",0,Z146),"0")</f>
        <v>0</v>
      </c>
      <c r="AA147" s="67"/>
      <c r="AB147" s="67"/>
      <c r="AC147" s="67"/>
    </row>
    <row r="148" spans="1:68" hidden="1" x14ac:dyDescent="0.2">
      <c r="A148" s="555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52" t="s">
        <v>40</v>
      </c>
      <c r="Q148" s="553"/>
      <c r="R148" s="553"/>
      <c r="S148" s="553"/>
      <c r="T148" s="553"/>
      <c r="U148" s="553"/>
      <c r="V148" s="554"/>
      <c r="W148" s="42" t="s">
        <v>0</v>
      </c>
      <c r="X148" s="43">
        <f>IFERROR(SUM(X146:X146),"0")</f>
        <v>0</v>
      </c>
      <c r="Y148" s="43">
        <f>IFERROR(SUM(Y146:Y146),"0")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566" t="s">
        <v>76</v>
      </c>
      <c r="B149" s="566"/>
      <c r="C149" s="566"/>
      <c r="D149" s="566"/>
      <c r="E149" s="566"/>
      <c r="F149" s="566"/>
      <c r="G149" s="566"/>
      <c r="H149" s="566"/>
      <c r="I149" s="566"/>
      <c r="J149" s="566"/>
      <c r="K149" s="566"/>
      <c r="L149" s="566"/>
      <c r="M149" s="566"/>
      <c r="N149" s="566"/>
      <c r="O149" s="566"/>
      <c r="P149" s="566"/>
      <c r="Q149" s="566"/>
      <c r="R149" s="566"/>
      <c r="S149" s="566"/>
      <c r="T149" s="566"/>
      <c r="U149" s="566"/>
      <c r="V149" s="566"/>
      <c r="W149" s="566"/>
      <c r="X149" s="566"/>
      <c r="Y149" s="566"/>
      <c r="Z149" s="56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4301031191</v>
      </c>
      <c r="D150" s="561">
        <v>4680115880993</v>
      </c>
      <c r="E150" s="561"/>
      <c r="F150" s="62">
        <v>0.7</v>
      </c>
      <c r="G150" s="37">
        <v>6</v>
      </c>
      <c r="H150" s="62">
        <v>4.2</v>
      </c>
      <c r="I150" s="62">
        <v>4.45</v>
      </c>
      <c r="J150" s="37">
        <v>132</v>
      </c>
      <c r="K150" s="37" t="s">
        <v>116</v>
      </c>
      <c r="L150" s="37" t="s">
        <v>45</v>
      </c>
      <c r="M150" s="38" t="s">
        <v>80</v>
      </c>
      <c r="N150" s="38"/>
      <c r="O150" s="37">
        <v>40</v>
      </c>
      <c r="P150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50" s="563"/>
      <c r="R150" s="563"/>
      <c r="S150" s="563"/>
      <c r="T150" s="564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ref="Y150:Y163" si="10"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6" t="s">
        <v>266</v>
      </c>
      <c r="AG150" s="78"/>
      <c r="AJ150" s="84" t="s">
        <v>45</v>
      </c>
      <c r="AK150" s="84">
        <v>0</v>
      </c>
      <c r="BB150" s="207" t="s">
        <v>66</v>
      </c>
      <c r="BM150" s="78">
        <f t="shared" ref="BM150:BM163" si="11">IFERROR(X150*I150/H150,"0")</f>
        <v>0</v>
      </c>
      <c r="BN150" s="78">
        <f t="shared" ref="BN150:BN163" si="12">IFERROR(Y150*I150/H150,"0")</f>
        <v>0</v>
      </c>
      <c r="BO150" s="78">
        <f t="shared" ref="BO150:BO163" si="13">IFERROR(1/J150*(X150/H150),"0")</f>
        <v>0</v>
      </c>
      <c r="BP150" s="78">
        <f t="shared" ref="BP150:BP163" si="14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4301031204</v>
      </c>
      <c r="D151" s="561">
        <v>4680115881761</v>
      </c>
      <c r="E151" s="561"/>
      <c r="F151" s="62">
        <v>0.7</v>
      </c>
      <c r="G151" s="37">
        <v>6</v>
      </c>
      <c r="H151" s="62">
        <v>4.2</v>
      </c>
      <c r="I151" s="62">
        <v>4.45</v>
      </c>
      <c r="J151" s="37">
        <v>132</v>
      </c>
      <c r="K151" s="37" t="s">
        <v>116</v>
      </c>
      <c r="L151" s="37" t="s">
        <v>45</v>
      </c>
      <c r="M151" s="38" t="s">
        <v>80</v>
      </c>
      <c r="N151" s="38"/>
      <c r="O151" s="37">
        <v>40</v>
      </c>
      <c r="P151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51" s="563"/>
      <c r="R151" s="563"/>
      <c r="S151" s="563"/>
      <c r="T151" s="564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10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08" t="s">
        <v>269</v>
      </c>
      <c r="AG151" s="78"/>
      <c r="AJ151" s="84" t="s">
        <v>45</v>
      </c>
      <c r="AK151" s="84">
        <v>0</v>
      </c>
      <c r="BB151" s="209" t="s">
        <v>66</v>
      </c>
      <c r="BM151" s="78">
        <f t="shared" si="11"/>
        <v>0</v>
      </c>
      <c r="BN151" s="78">
        <f t="shared" si="12"/>
        <v>0</v>
      </c>
      <c r="BO151" s="78">
        <f t="shared" si="13"/>
        <v>0</v>
      </c>
      <c r="BP151" s="78">
        <f t="shared" si="14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4301031201</v>
      </c>
      <c r="D152" s="561">
        <v>4680115881563</v>
      </c>
      <c r="E152" s="561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116</v>
      </c>
      <c r="L152" s="37" t="s">
        <v>45</v>
      </c>
      <c r="M152" s="38" t="s">
        <v>80</v>
      </c>
      <c r="N152" s="38"/>
      <c r="O152" s="37">
        <v>40</v>
      </c>
      <c r="P152" s="7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52" s="563"/>
      <c r="R152" s="563"/>
      <c r="S152" s="563"/>
      <c r="T152" s="564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10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0" t="s">
        <v>272</v>
      </c>
      <c r="AG152" s="78"/>
      <c r="AJ152" s="84" t="s">
        <v>45</v>
      </c>
      <c r="AK152" s="84">
        <v>0</v>
      </c>
      <c r="BB152" s="211" t="s">
        <v>66</v>
      </c>
      <c r="BM152" s="78">
        <f t="shared" si="11"/>
        <v>0</v>
      </c>
      <c r="BN152" s="78">
        <f t="shared" si="12"/>
        <v>0</v>
      </c>
      <c r="BO152" s="78">
        <f t="shared" si="13"/>
        <v>0</v>
      </c>
      <c r="BP152" s="78">
        <f t="shared" si="14"/>
        <v>0</v>
      </c>
    </row>
    <row r="153" spans="1:68" ht="37.5" hidden="1" customHeight="1" x14ac:dyDescent="0.25">
      <c r="A153" s="63" t="s">
        <v>273</v>
      </c>
      <c r="B153" s="63" t="s">
        <v>274</v>
      </c>
      <c r="C153" s="36">
        <v>4301031447</v>
      </c>
      <c r="D153" s="561">
        <v>4680115887565</v>
      </c>
      <c r="E153" s="561"/>
      <c r="F153" s="62">
        <v>0.08</v>
      </c>
      <c r="G153" s="37">
        <v>10</v>
      </c>
      <c r="H153" s="62">
        <v>0.8</v>
      </c>
      <c r="I153" s="62">
        <v>0.93</v>
      </c>
      <c r="J153" s="37">
        <v>216</v>
      </c>
      <c r="K153" s="37" t="s">
        <v>85</v>
      </c>
      <c r="L153" s="37" t="s">
        <v>45</v>
      </c>
      <c r="M153" s="38" t="s">
        <v>80</v>
      </c>
      <c r="N153" s="38"/>
      <c r="O153" s="37">
        <v>45</v>
      </c>
      <c r="P153" s="73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53" s="563"/>
      <c r="R153" s="563"/>
      <c r="S153" s="563"/>
      <c r="T153" s="564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10"/>
        <v>0</v>
      </c>
      <c r="Z153" s="41" t="str">
        <f>IFERROR(IF(Y153=0,"",ROUNDUP(Y153/H153,0)*0.00556),"")</f>
        <v/>
      </c>
      <c r="AA153" s="68" t="s">
        <v>45</v>
      </c>
      <c r="AB153" s="69" t="s">
        <v>45</v>
      </c>
      <c r="AC153" s="212" t="s">
        <v>275</v>
      </c>
      <c r="AG153" s="78"/>
      <c r="AJ153" s="84" t="s">
        <v>45</v>
      </c>
      <c r="AK153" s="84">
        <v>0</v>
      </c>
      <c r="BB153" s="213" t="s">
        <v>66</v>
      </c>
      <c r="BM153" s="78">
        <f t="shared" si="11"/>
        <v>0</v>
      </c>
      <c r="BN153" s="78">
        <f t="shared" si="12"/>
        <v>0</v>
      </c>
      <c r="BO153" s="78">
        <f t="shared" si="13"/>
        <v>0</v>
      </c>
      <c r="BP153" s="78">
        <f t="shared" si="14"/>
        <v>0</v>
      </c>
    </row>
    <row r="154" spans="1:68" ht="27" customHeight="1" x14ac:dyDescent="0.25">
      <c r="A154" s="63" t="s">
        <v>276</v>
      </c>
      <c r="B154" s="63" t="s">
        <v>277</v>
      </c>
      <c r="C154" s="36">
        <v>4301031199</v>
      </c>
      <c r="D154" s="561">
        <v>4680115880986</v>
      </c>
      <c r="E154" s="561"/>
      <c r="F154" s="62">
        <v>0.35</v>
      </c>
      <c r="G154" s="37">
        <v>6</v>
      </c>
      <c r="H154" s="62">
        <v>2.1</v>
      </c>
      <c r="I154" s="62">
        <v>2.23</v>
      </c>
      <c r="J154" s="37">
        <v>234</v>
      </c>
      <c r="K154" s="37" t="s">
        <v>85</v>
      </c>
      <c r="L154" s="37" t="s">
        <v>45</v>
      </c>
      <c r="M154" s="38" t="s">
        <v>80</v>
      </c>
      <c r="N154" s="38"/>
      <c r="O154" s="37">
        <v>40</v>
      </c>
      <c r="P154" s="72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54" s="563"/>
      <c r="R154" s="563"/>
      <c r="S154" s="563"/>
      <c r="T154" s="564"/>
      <c r="U154" s="39" t="s">
        <v>45</v>
      </c>
      <c r="V154" s="39" t="s">
        <v>45</v>
      </c>
      <c r="W154" s="40" t="s">
        <v>0</v>
      </c>
      <c r="X154" s="58">
        <v>75</v>
      </c>
      <c r="Y154" s="55">
        <f t="shared" si="10"/>
        <v>75.600000000000009</v>
      </c>
      <c r="Z154" s="41">
        <f>IFERROR(IF(Y154=0,"",ROUNDUP(Y154/H154,0)*0.00502),"")</f>
        <v>0.18071999999999999</v>
      </c>
      <c r="AA154" s="68" t="s">
        <v>45</v>
      </c>
      <c r="AB154" s="69" t="s">
        <v>45</v>
      </c>
      <c r="AC154" s="214" t="s">
        <v>266</v>
      </c>
      <c r="AG154" s="78"/>
      <c r="AJ154" s="84" t="s">
        <v>45</v>
      </c>
      <c r="AK154" s="84">
        <v>0</v>
      </c>
      <c r="BB154" s="215" t="s">
        <v>66</v>
      </c>
      <c r="BM154" s="78">
        <f t="shared" si="11"/>
        <v>79.642857142857139</v>
      </c>
      <c r="BN154" s="78">
        <f t="shared" si="12"/>
        <v>80.28</v>
      </c>
      <c r="BO154" s="78">
        <f t="shared" si="13"/>
        <v>0.15262515262515264</v>
      </c>
      <c r="BP154" s="78">
        <f t="shared" si="14"/>
        <v>0.15384615384615385</v>
      </c>
    </row>
    <row r="155" spans="1:68" ht="27" hidden="1" customHeight="1" x14ac:dyDescent="0.25">
      <c r="A155" s="63" t="s">
        <v>278</v>
      </c>
      <c r="B155" s="63" t="s">
        <v>279</v>
      </c>
      <c r="C155" s="36">
        <v>4301031443</v>
      </c>
      <c r="D155" s="561">
        <v>4680115887213</v>
      </c>
      <c r="E155" s="561"/>
      <c r="F155" s="62">
        <v>0.3</v>
      </c>
      <c r="G155" s="37">
        <v>6</v>
      </c>
      <c r="H155" s="62">
        <v>1.8</v>
      </c>
      <c r="I155" s="62">
        <v>1.9</v>
      </c>
      <c r="J155" s="37">
        <v>234</v>
      </c>
      <c r="K155" s="37" t="s">
        <v>85</v>
      </c>
      <c r="L155" s="37" t="s">
        <v>45</v>
      </c>
      <c r="M155" s="38" t="s">
        <v>80</v>
      </c>
      <c r="N155" s="38"/>
      <c r="O155" s="37">
        <v>45</v>
      </c>
      <c r="P155" s="73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55" s="563"/>
      <c r="R155" s="563"/>
      <c r="S155" s="563"/>
      <c r="T155" s="564"/>
      <c r="U155" s="39" t="s">
        <v>45</v>
      </c>
      <c r="V155" s="39" t="s">
        <v>45</v>
      </c>
      <c r="W155" s="40" t="s">
        <v>0</v>
      </c>
      <c r="X155" s="58">
        <v>0</v>
      </c>
      <c r="Y155" s="55">
        <f t="shared" si="10"/>
        <v>0</v>
      </c>
      <c r="Z155" s="41" t="str">
        <f>IFERROR(IF(Y155=0,"",ROUNDUP(Y155/H155,0)*0.00502),"")</f>
        <v/>
      </c>
      <c r="AA155" s="68" t="s">
        <v>45</v>
      </c>
      <c r="AB155" s="69" t="s">
        <v>45</v>
      </c>
      <c r="AC155" s="216" t="s">
        <v>280</v>
      </c>
      <c r="AG155" s="78"/>
      <c r="AJ155" s="84" t="s">
        <v>45</v>
      </c>
      <c r="AK155" s="84">
        <v>0</v>
      </c>
      <c r="BB155" s="217" t="s">
        <v>66</v>
      </c>
      <c r="BM155" s="78">
        <f t="shared" si="11"/>
        <v>0</v>
      </c>
      <c r="BN155" s="78">
        <f t="shared" si="12"/>
        <v>0</v>
      </c>
      <c r="BO155" s="78">
        <f t="shared" si="13"/>
        <v>0</v>
      </c>
      <c r="BP155" s="78">
        <f t="shared" si="14"/>
        <v>0</v>
      </c>
    </row>
    <row r="156" spans="1:68" ht="27" customHeight="1" x14ac:dyDescent="0.25">
      <c r="A156" s="63" t="s">
        <v>281</v>
      </c>
      <c r="B156" s="63" t="s">
        <v>282</v>
      </c>
      <c r="C156" s="36">
        <v>4301031205</v>
      </c>
      <c r="D156" s="561">
        <v>4680115881785</v>
      </c>
      <c r="E156" s="561"/>
      <c r="F156" s="62">
        <v>0.35</v>
      </c>
      <c r="G156" s="37">
        <v>6</v>
      </c>
      <c r="H156" s="62">
        <v>2.1</v>
      </c>
      <c r="I156" s="62">
        <v>2.23</v>
      </c>
      <c r="J156" s="37">
        <v>234</v>
      </c>
      <c r="K156" s="37" t="s">
        <v>85</v>
      </c>
      <c r="L156" s="37" t="s">
        <v>45</v>
      </c>
      <c r="M156" s="38" t="s">
        <v>80</v>
      </c>
      <c r="N156" s="38"/>
      <c r="O156" s="37">
        <v>40</v>
      </c>
      <c r="P156" s="7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56" s="563"/>
      <c r="R156" s="563"/>
      <c r="S156" s="563"/>
      <c r="T156" s="564"/>
      <c r="U156" s="39" t="s">
        <v>45</v>
      </c>
      <c r="V156" s="39" t="s">
        <v>45</v>
      </c>
      <c r="W156" s="40" t="s">
        <v>0</v>
      </c>
      <c r="X156" s="58">
        <v>11</v>
      </c>
      <c r="Y156" s="55">
        <f t="shared" si="10"/>
        <v>12.600000000000001</v>
      </c>
      <c r="Z156" s="41">
        <f>IFERROR(IF(Y156=0,"",ROUNDUP(Y156/H156,0)*0.00502),"")</f>
        <v>3.0120000000000001E-2</v>
      </c>
      <c r="AA156" s="68" t="s">
        <v>45</v>
      </c>
      <c r="AB156" s="69" t="s">
        <v>45</v>
      </c>
      <c r="AC156" s="218" t="s">
        <v>269</v>
      </c>
      <c r="AG156" s="78"/>
      <c r="AJ156" s="84" t="s">
        <v>45</v>
      </c>
      <c r="AK156" s="84">
        <v>0</v>
      </c>
      <c r="BB156" s="219" t="s">
        <v>66</v>
      </c>
      <c r="BM156" s="78">
        <f t="shared" si="11"/>
        <v>11.68095238095238</v>
      </c>
      <c r="BN156" s="78">
        <f t="shared" si="12"/>
        <v>13.38</v>
      </c>
      <c r="BO156" s="78">
        <f t="shared" si="13"/>
        <v>2.2385022385022386E-2</v>
      </c>
      <c r="BP156" s="78">
        <f t="shared" si="14"/>
        <v>2.5641025641025644E-2</v>
      </c>
    </row>
    <row r="157" spans="1:68" ht="27" hidden="1" customHeight="1" x14ac:dyDescent="0.25">
      <c r="A157" s="63" t="s">
        <v>283</v>
      </c>
      <c r="B157" s="63" t="s">
        <v>284</v>
      </c>
      <c r="C157" s="36">
        <v>4301031463</v>
      </c>
      <c r="D157" s="561">
        <v>4680115887824</v>
      </c>
      <c r="E157" s="561"/>
      <c r="F157" s="62">
        <v>0.15</v>
      </c>
      <c r="G157" s="37">
        <v>16</v>
      </c>
      <c r="H157" s="62">
        <v>2.4</v>
      </c>
      <c r="I157" s="62">
        <v>2.58</v>
      </c>
      <c r="J157" s="37">
        <v>182</v>
      </c>
      <c r="K157" s="37" t="s">
        <v>81</v>
      </c>
      <c r="L157" s="37" t="s">
        <v>45</v>
      </c>
      <c r="M157" s="38" t="s">
        <v>286</v>
      </c>
      <c r="N157" s="38"/>
      <c r="O157" s="37">
        <v>60</v>
      </c>
      <c r="P157" s="73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57" s="563"/>
      <c r="R157" s="563"/>
      <c r="S157" s="563"/>
      <c r="T157" s="564"/>
      <c r="U157" s="39" t="s">
        <v>45</v>
      </c>
      <c r="V157" s="39" t="s">
        <v>45</v>
      </c>
      <c r="W157" s="40" t="s">
        <v>0</v>
      </c>
      <c r="X157" s="58">
        <v>0</v>
      </c>
      <c r="Y157" s="55">
        <f t="shared" si="10"/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20" t="s">
        <v>285</v>
      </c>
      <c r="AG157" s="78"/>
      <c r="AJ157" s="84" t="s">
        <v>45</v>
      </c>
      <c r="AK157" s="84">
        <v>0</v>
      </c>
      <c r="BB157" s="221" t="s">
        <v>66</v>
      </c>
      <c r="BM157" s="78">
        <f t="shared" si="11"/>
        <v>0</v>
      </c>
      <c r="BN157" s="78">
        <f t="shared" si="12"/>
        <v>0</v>
      </c>
      <c r="BO157" s="78">
        <f t="shared" si="13"/>
        <v>0</v>
      </c>
      <c r="BP157" s="78">
        <f t="shared" si="14"/>
        <v>0</v>
      </c>
    </row>
    <row r="158" spans="1:68" ht="27" hidden="1" customHeight="1" x14ac:dyDescent="0.25">
      <c r="A158" s="63" t="s">
        <v>287</v>
      </c>
      <c r="B158" s="63" t="s">
        <v>288</v>
      </c>
      <c r="C158" s="36">
        <v>4301031464</v>
      </c>
      <c r="D158" s="561">
        <v>4680115887701</v>
      </c>
      <c r="E158" s="561"/>
      <c r="F158" s="62">
        <v>0.3</v>
      </c>
      <c r="G158" s="37">
        <v>8</v>
      </c>
      <c r="H158" s="62">
        <v>2.4</v>
      </c>
      <c r="I158" s="62">
        <v>2.58</v>
      </c>
      <c r="J158" s="37">
        <v>182</v>
      </c>
      <c r="K158" s="37" t="s">
        <v>81</v>
      </c>
      <c r="L158" s="37" t="s">
        <v>45</v>
      </c>
      <c r="M158" s="38" t="s">
        <v>286</v>
      </c>
      <c r="N158" s="38"/>
      <c r="O158" s="37">
        <v>60</v>
      </c>
      <c r="P158" s="73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58" s="563"/>
      <c r="R158" s="563"/>
      <c r="S158" s="563"/>
      <c r="T158" s="564"/>
      <c r="U158" s="39" t="s">
        <v>45</v>
      </c>
      <c r="V158" s="39" t="s">
        <v>45</v>
      </c>
      <c r="W158" s="40" t="s">
        <v>0</v>
      </c>
      <c r="X158" s="58">
        <v>0</v>
      </c>
      <c r="Y158" s="55">
        <f t="shared" si="10"/>
        <v>0</v>
      </c>
      <c r="Z158" s="41" t="str">
        <f>IFERROR(IF(Y158=0,"",ROUNDUP(Y158/H158,0)*0.00651),"")</f>
        <v/>
      </c>
      <c r="AA158" s="68" t="s">
        <v>45</v>
      </c>
      <c r="AB158" s="69" t="s">
        <v>45</v>
      </c>
      <c r="AC158" s="222" t="s">
        <v>285</v>
      </c>
      <c r="AG158" s="78"/>
      <c r="AJ158" s="84" t="s">
        <v>45</v>
      </c>
      <c r="AK158" s="84">
        <v>0</v>
      </c>
      <c r="BB158" s="223" t="s">
        <v>66</v>
      </c>
      <c r="BM158" s="78">
        <f t="shared" si="11"/>
        <v>0</v>
      </c>
      <c r="BN158" s="78">
        <f t="shared" si="12"/>
        <v>0</v>
      </c>
      <c r="BO158" s="78">
        <f t="shared" si="13"/>
        <v>0</v>
      </c>
      <c r="BP158" s="78">
        <f t="shared" si="14"/>
        <v>0</v>
      </c>
    </row>
    <row r="159" spans="1:68" ht="27" hidden="1" customHeight="1" x14ac:dyDescent="0.25">
      <c r="A159" s="63" t="s">
        <v>289</v>
      </c>
      <c r="B159" s="63" t="s">
        <v>290</v>
      </c>
      <c r="C159" s="36">
        <v>4301031399</v>
      </c>
      <c r="D159" s="561">
        <v>4680115886537</v>
      </c>
      <c r="E159" s="561"/>
      <c r="F159" s="62">
        <v>0.3</v>
      </c>
      <c r="G159" s="37">
        <v>6</v>
      </c>
      <c r="H159" s="62">
        <v>1.8</v>
      </c>
      <c r="I159" s="62">
        <v>1.93</v>
      </c>
      <c r="J159" s="37">
        <v>234</v>
      </c>
      <c r="K159" s="37" t="s">
        <v>85</v>
      </c>
      <c r="L159" s="37" t="s">
        <v>45</v>
      </c>
      <c r="M159" s="38" t="s">
        <v>80</v>
      </c>
      <c r="N159" s="38"/>
      <c r="O159" s="37">
        <v>40</v>
      </c>
      <c r="P159" s="72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59" s="563"/>
      <c r="R159" s="563"/>
      <c r="S159" s="563"/>
      <c r="T159" s="564"/>
      <c r="U159" s="39" t="s">
        <v>45</v>
      </c>
      <c r="V159" s="39" t="s">
        <v>45</v>
      </c>
      <c r="W159" s="40" t="s">
        <v>0</v>
      </c>
      <c r="X159" s="58">
        <v>0</v>
      </c>
      <c r="Y159" s="55">
        <f t="shared" si="10"/>
        <v>0</v>
      </c>
      <c r="Z159" s="41" t="str">
        <f>IFERROR(IF(Y159=0,"",ROUNDUP(Y159/H159,0)*0.00502),"")</f>
        <v/>
      </c>
      <c r="AA159" s="68" t="s">
        <v>45</v>
      </c>
      <c r="AB159" s="69" t="s">
        <v>45</v>
      </c>
      <c r="AC159" s="224" t="s">
        <v>291</v>
      </c>
      <c r="AG159" s="78"/>
      <c r="AJ159" s="84" t="s">
        <v>45</v>
      </c>
      <c r="AK159" s="84">
        <v>0</v>
      </c>
      <c r="BB159" s="225" t="s">
        <v>66</v>
      </c>
      <c r="BM159" s="78">
        <f t="shared" si="11"/>
        <v>0</v>
      </c>
      <c r="BN159" s="78">
        <f t="shared" si="12"/>
        <v>0</v>
      </c>
      <c r="BO159" s="78">
        <f t="shared" si="13"/>
        <v>0</v>
      </c>
      <c r="BP159" s="78">
        <f t="shared" si="14"/>
        <v>0</v>
      </c>
    </row>
    <row r="160" spans="1:68" ht="27" hidden="1" customHeight="1" x14ac:dyDescent="0.25">
      <c r="A160" s="63" t="s">
        <v>292</v>
      </c>
      <c r="B160" s="63" t="s">
        <v>293</v>
      </c>
      <c r="C160" s="36">
        <v>4301031279</v>
      </c>
      <c r="D160" s="561">
        <v>4680115887596</v>
      </c>
      <c r="E160" s="561"/>
      <c r="F160" s="62">
        <v>0.08</v>
      </c>
      <c r="G160" s="37">
        <v>10</v>
      </c>
      <c r="H160" s="62">
        <v>0.8</v>
      </c>
      <c r="I160" s="62">
        <v>1.01</v>
      </c>
      <c r="J160" s="37">
        <v>336</v>
      </c>
      <c r="K160" s="37" t="s">
        <v>180</v>
      </c>
      <c r="L160" s="37" t="s">
        <v>45</v>
      </c>
      <c r="M160" s="38" t="s">
        <v>80</v>
      </c>
      <c r="N160" s="38"/>
      <c r="O160" s="37">
        <v>45</v>
      </c>
      <c r="P160" s="7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60" s="563"/>
      <c r="R160" s="563"/>
      <c r="S160" s="563"/>
      <c r="T160" s="564"/>
      <c r="U160" s="39" t="s">
        <v>45</v>
      </c>
      <c r="V160" s="39" t="s">
        <v>45</v>
      </c>
      <c r="W160" s="40" t="s">
        <v>0</v>
      </c>
      <c r="X160" s="58">
        <v>0</v>
      </c>
      <c r="Y160" s="55">
        <f t="shared" si="10"/>
        <v>0</v>
      </c>
      <c r="Z160" s="41" t="str">
        <f>IFERROR(IF(Y160=0,"",ROUNDUP(Y160/H160,0)*0.00417),"")</f>
        <v/>
      </c>
      <c r="AA160" s="68" t="s">
        <v>45</v>
      </c>
      <c r="AB160" s="69" t="s">
        <v>45</v>
      </c>
      <c r="AC160" s="226" t="s">
        <v>294</v>
      </c>
      <c r="AG160" s="78"/>
      <c r="AJ160" s="84" t="s">
        <v>45</v>
      </c>
      <c r="AK160" s="84">
        <v>0</v>
      </c>
      <c r="BB160" s="227" t="s">
        <v>66</v>
      </c>
      <c r="BM160" s="78">
        <f t="shared" si="11"/>
        <v>0</v>
      </c>
      <c r="BN160" s="78">
        <f t="shared" si="12"/>
        <v>0</v>
      </c>
      <c r="BO160" s="78">
        <f t="shared" si="13"/>
        <v>0</v>
      </c>
      <c r="BP160" s="78">
        <f t="shared" si="14"/>
        <v>0</v>
      </c>
    </row>
    <row r="161" spans="1:68" ht="37.5" customHeight="1" x14ac:dyDescent="0.25">
      <c r="A161" s="63" t="s">
        <v>295</v>
      </c>
      <c r="B161" s="63" t="s">
        <v>296</v>
      </c>
      <c r="C161" s="36">
        <v>4301031202</v>
      </c>
      <c r="D161" s="561">
        <v>4680115881679</v>
      </c>
      <c r="E161" s="561"/>
      <c r="F161" s="62">
        <v>0.35</v>
      </c>
      <c r="G161" s="37">
        <v>6</v>
      </c>
      <c r="H161" s="62">
        <v>2.1</v>
      </c>
      <c r="I161" s="62">
        <v>2.2000000000000002</v>
      </c>
      <c r="J161" s="37">
        <v>234</v>
      </c>
      <c r="K161" s="37" t="s">
        <v>85</v>
      </c>
      <c r="L161" s="37" t="s">
        <v>45</v>
      </c>
      <c r="M161" s="38" t="s">
        <v>80</v>
      </c>
      <c r="N161" s="38"/>
      <c r="O161" s="37">
        <v>40</v>
      </c>
      <c r="P161" s="7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1" s="563"/>
      <c r="R161" s="563"/>
      <c r="S161" s="563"/>
      <c r="T161" s="564"/>
      <c r="U161" s="39" t="s">
        <v>45</v>
      </c>
      <c r="V161" s="39" t="s">
        <v>45</v>
      </c>
      <c r="W161" s="40" t="s">
        <v>0</v>
      </c>
      <c r="X161" s="58">
        <v>40</v>
      </c>
      <c r="Y161" s="55">
        <f t="shared" si="10"/>
        <v>42</v>
      </c>
      <c r="Z161" s="41">
        <f>IFERROR(IF(Y161=0,"",ROUNDUP(Y161/H161,0)*0.00502),"")</f>
        <v>0.1004</v>
      </c>
      <c r="AA161" s="68" t="s">
        <v>45</v>
      </c>
      <c r="AB161" s="69" t="s">
        <v>45</v>
      </c>
      <c r="AC161" s="228" t="s">
        <v>272</v>
      </c>
      <c r="AG161" s="78"/>
      <c r="AJ161" s="84" t="s">
        <v>45</v>
      </c>
      <c r="AK161" s="84">
        <v>0</v>
      </c>
      <c r="BB161" s="229" t="s">
        <v>66</v>
      </c>
      <c r="BM161" s="78">
        <f t="shared" si="11"/>
        <v>41.904761904761905</v>
      </c>
      <c r="BN161" s="78">
        <f t="shared" si="12"/>
        <v>44</v>
      </c>
      <c r="BO161" s="78">
        <f t="shared" si="13"/>
        <v>8.1400081400081412E-2</v>
      </c>
      <c r="BP161" s="78">
        <f t="shared" si="14"/>
        <v>8.5470085470085472E-2</v>
      </c>
    </row>
    <row r="162" spans="1:68" ht="27" hidden="1" customHeight="1" x14ac:dyDescent="0.25">
      <c r="A162" s="63" t="s">
        <v>297</v>
      </c>
      <c r="B162" s="63" t="s">
        <v>298</v>
      </c>
      <c r="C162" s="36">
        <v>4301031158</v>
      </c>
      <c r="D162" s="561">
        <v>4680115880191</v>
      </c>
      <c r="E162" s="561"/>
      <c r="F162" s="62">
        <v>0.4</v>
      </c>
      <c r="G162" s="37">
        <v>6</v>
      </c>
      <c r="H162" s="62">
        <v>2.4</v>
      </c>
      <c r="I162" s="62">
        <v>2.58</v>
      </c>
      <c r="J162" s="37">
        <v>182</v>
      </c>
      <c r="K162" s="37" t="s">
        <v>81</v>
      </c>
      <c r="L162" s="37" t="s">
        <v>45</v>
      </c>
      <c r="M162" s="38" t="s">
        <v>80</v>
      </c>
      <c r="N162" s="38"/>
      <c r="O162" s="37">
        <v>40</v>
      </c>
      <c r="P162" s="7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2" s="563"/>
      <c r="R162" s="563"/>
      <c r="S162" s="563"/>
      <c r="T162" s="56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10"/>
        <v>0</v>
      </c>
      <c r="Z162" s="41" t="str">
        <f>IFERROR(IF(Y162=0,"",ROUNDUP(Y162/H162,0)*0.00651),"")</f>
        <v/>
      </c>
      <c r="AA162" s="68" t="s">
        <v>45</v>
      </c>
      <c r="AB162" s="69" t="s">
        <v>45</v>
      </c>
      <c r="AC162" s="230" t="s">
        <v>272</v>
      </c>
      <c r="AG162" s="78"/>
      <c r="AJ162" s="84" t="s">
        <v>45</v>
      </c>
      <c r="AK162" s="84">
        <v>0</v>
      </c>
      <c r="BB162" s="231" t="s">
        <v>66</v>
      </c>
      <c r="BM162" s="78">
        <f t="shared" si="11"/>
        <v>0</v>
      </c>
      <c r="BN162" s="78">
        <f t="shared" si="12"/>
        <v>0</v>
      </c>
      <c r="BO162" s="78">
        <f t="shared" si="13"/>
        <v>0</v>
      </c>
      <c r="BP162" s="78">
        <f t="shared" si="14"/>
        <v>0</v>
      </c>
    </row>
    <row r="163" spans="1:68" ht="27" hidden="1" customHeight="1" x14ac:dyDescent="0.25">
      <c r="A163" s="63" t="s">
        <v>299</v>
      </c>
      <c r="B163" s="63" t="s">
        <v>300</v>
      </c>
      <c r="C163" s="36">
        <v>4301031245</v>
      </c>
      <c r="D163" s="561">
        <v>4680115883963</v>
      </c>
      <c r="E163" s="561"/>
      <c r="F163" s="62">
        <v>0.28000000000000003</v>
      </c>
      <c r="G163" s="37">
        <v>6</v>
      </c>
      <c r="H163" s="62">
        <v>1.68</v>
      </c>
      <c r="I163" s="62">
        <v>1.78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63" s="563"/>
      <c r="R163" s="563"/>
      <c r="S163" s="563"/>
      <c r="T163" s="56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10"/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32" t="s">
        <v>301</v>
      </c>
      <c r="AG163" s="78"/>
      <c r="AJ163" s="84" t="s">
        <v>45</v>
      </c>
      <c r="AK163" s="84">
        <v>0</v>
      </c>
      <c r="BB163" s="233" t="s">
        <v>66</v>
      </c>
      <c r="BM163" s="78">
        <f t="shared" si="11"/>
        <v>0</v>
      </c>
      <c r="BN163" s="78">
        <f t="shared" si="12"/>
        <v>0</v>
      </c>
      <c r="BO163" s="78">
        <f t="shared" si="13"/>
        <v>0</v>
      </c>
      <c r="BP163" s="78">
        <f t="shared" si="14"/>
        <v>0</v>
      </c>
    </row>
    <row r="164" spans="1:68" x14ac:dyDescent="0.2">
      <c r="A164" s="555"/>
      <c r="B164" s="555"/>
      <c r="C164" s="555"/>
      <c r="D164" s="555"/>
      <c r="E164" s="555"/>
      <c r="F164" s="555"/>
      <c r="G164" s="555"/>
      <c r="H164" s="555"/>
      <c r="I164" s="555"/>
      <c r="J164" s="555"/>
      <c r="K164" s="555"/>
      <c r="L164" s="555"/>
      <c r="M164" s="555"/>
      <c r="N164" s="555"/>
      <c r="O164" s="556"/>
      <c r="P164" s="552" t="s">
        <v>40</v>
      </c>
      <c r="Q164" s="553"/>
      <c r="R164" s="553"/>
      <c r="S164" s="553"/>
      <c r="T164" s="553"/>
      <c r="U164" s="553"/>
      <c r="V164" s="554"/>
      <c r="W164" s="42" t="s">
        <v>39</v>
      </c>
      <c r="X164" s="43">
        <f>IFERROR(X150/H150,"0")+IFERROR(X151/H151,"0")+IFERROR(X152/H152,"0")+IFERROR(X153/H153,"0")+IFERROR(X154/H154,"0")+IFERROR(X155/H155,"0")+IFERROR(X156/H156,"0")+IFERROR(X157/H157,"0")+IFERROR(X158/H158,"0")+IFERROR(X159/H159,"0")+IFERROR(X160/H160,"0")+IFERROR(X161/H161,"0")+IFERROR(X162/H162,"0")+IFERROR(X163/H163,"0")</f>
        <v>60</v>
      </c>
      <c r="Y164" s="43">
        <f>IFERROR(Y150/H150,"0")+IFERROR(Y151/H151,"0")+IFERROR(Y152/H152,"0")+IFERROR(Y153/H153,"0")+IFERROR(Y154/H154,"0")+IFERROR(Y155/H155,"0")+IFERROR(Y156/H156,"0")+IFERROR(Y157/H157,"0")+IFERROR(Y158/H158,"0")+IFERROR(Y159/H159,"0")+IFERROR(Y160/H160,"0")+IFERROR(Y161/H161,"0")+IFERROR(Y162/H162,"0")+IFERROR(Y163/H163,"0")</f>
        <v>62</v>
      </c>
      <c r="Z164" s="43">
        <f>IFERROR(IF(Z150="",0,Z150),"0")+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</f>
        <v>0.31124000000000002</v>
      </c>
      <c r="AA164" s="67"/>
      <c r="AB164" s="67"/>
      <c r="AC164" s="67"/>
    </row>
    <row r="165" spans="1:68" x14ac:dyDescent="0.2">
      <c r="A165" s="555"/>
      <c r="B165" s="555"/>
      <c r="C165" s="555"/>
      <c r="D165" s="555"/>
      <c r="E165" s="555"/>
      <c r="F165" s="555"/>
      <c r="G165" s="555"/>
      <c r="H165" s="555"/>
      <c r="I165" s="555"/>
      <c r="J165" s="555"/>
      <c r="K165" s="555"/>
      <c r="L165" s="555"/>
      <c r="M165" s="555"/>
      <c r="N165" s="555"/>
      <c r="O165" s="556"/>
      <c r="P165" s="552" t="s">
        <v>40</v>
      </c>
      <c r="Q165" s="553"/>
      <c r="R165" s="553"/>
      <c r="S165" s="553"/>
      <c r="T165" s="553"/>
      <c r="U165" s="553"/>
      <c r="V165" s="554"/>
      <c r="W165" s="42" t="s">
        <v>0</v>
      </c>
      <c r="X165" s="43">
        <f>IFERROR(SUM(X150:X163),"0")</f>
        <v>126</v>
      </c>
      <c r="Y165" s="43">
        <f>IFERROR(SUM(Y150:Y163),"0")</f>
        <v>130.20000000000002</v>
      </c>
      <c r="Z165" s="42"/>
      <c r="AA165" s="67"/>
      <c r="AB165" s="67"/>
      <c r="AC165" s="67"/>
    </row>
    <row r="166" spans="1:68" ht="14.25" hidden="1" customHeight="1" x14ac:dyDescent="0.25">
      <c r="A166" s="566" t="s">
        <v>100</v>
      </c>
      <c r="B166" s="566"/>
      <c r="C166" s="566"/>
      <c r="D166" s="566"/>
      <c r="E166" s="566"/>
      <c r="F166" s="566"/>
      <c r="G166" s="566"/>
      <c r="H166" s="566"/>
      <c r="I166" s="566"/>
      <c r="J166" s="566"/>
      <c r="K166" s="566"/>
      <c r="L166" s="566"/>
      <c r="M166" s="566"/>
      <c r="N166" s="566"/>
      <c r="O166" s="566"/>
      <c r="P166" s="566"/>
      <c r="Q166" s="566"/>
      <c r="R166" s="566"/>
      <c r="S166" s="566"/>
      <c r="T166" s="566"/>
      <c r="U166" s="566"/>
      <c r="V166" s="566"/>
      <c r="W166" s="566"/>
      <c r="X166" s="566"/>
      <c r="Y166" s="566"/>
      <c r="Z166" s="566"/>
      <c r="AA166" s="66"/>
      <c r="AB166" s="66"/>
      <c r="AC166" s="80"/>
    </row>
    <row r="167" spans="1:68" ht="27" hidden="1" customHeight="1" x14ac:dyDescent="0.25">
      <c r="A167" s="63" t="s">
        <v>302</v>
      </c>
      <c r="B167" s="63" t="s">
        <v>303</v>
      </c>
      <c r="C167" s="36">
        <v>4301032053</v>
      </c>
      <c r="D167" s="561">
        <v>4680115886780</v>
      </c>
      <c r="E167" s="561"/>
      <c r="F167" s="62">
        <v>7.0000000000000007E-2</v>
      </c>
      <c r="G167" s="37">
        <v>18</v>
      </c>
      <c r="H167" s="62">
        <v>1.26</v>
      </c>
      <c r="I167" s="62">
        <v>1.45</v>
      </c>
      <c r="J167" s="37">
        <v>216</v>
      </c>
      <c r="K167" s="37" t="s">
        <v>305</v>
      </c>
      <c r="L167" s="37" t="s">
        <v>45</v>
      </c>
      <c r="M167" s="38" t="s">
        <v>286</v>
      </c>
      <c r="N167" s="38"/>
      <c r="O167" s="37">
        <v>60</v>
      </c>
      <c r="P167" s="7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67" s="563"/>
      <c r="R167" s="563"/>
      <c r="S167" s="563"/>
      <c r="T167" s="564"/>
      <c r="U167" s="39" t="s">
        <v>45</v>
      </c>
      <c r="V167" s="39" t="s">
        <v>45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IFERROR(IF(Y167=0,"",ROUNDUP(Y167/H167,0)*0.0059),"")</f>
        <v/>
      </c>
      <c r="AA167" s="68" t="s">
        <v>45</v>
      </c>
      <c r="AB167" s="69" t="s">
        <v>45</v>
      </c>
      <c r="AC167" s="234" t="s">
        <v>304</v>
      </c>
      <c r="AG167" s="78"/>
      <c r="AJ167" s="84" t="s">
        <v>45</v>
      </c>
      <c r="AK167" s="84">
        <v>0</v>
      </c>
      <c r="BB167" s="235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306</v>
      </c>
      <c r="B168" s="63" t="s">
        <v>307</v>
      </c>
      <c r="C168" s="36">
        <v>4301032051</v>
      </c>
      <c r="D168" s="561">
        <v>4680115886742</v>
      </c>
      <c r="E168" s="561"/>
      <c r="F168" s="62">
        <v>7.0000000000000007E-2</v>
      </c>
      <c r="G168" s="37">
        <v>18</v>
      </c>
      <c r="H168" s="62">
        <v>1.26</v>
      </c>
      <c r="I168" s="62">
        <v>1.45</v>
      </c>
      <c r="J168" s="37">
        <v>216</v>
      </c>
      <c r="K168" s="37" t="s">
        <v>305</v>
      </c>
      <c r="L168" s="37" t="s">
        <v>45</v>
      </c>
      <c r="M168" s="38" t="s">
        <v>286</v>
      </c>
      <c r="N168" s="38"/>
      <c r="O168" s="37">
        <v>90</v>
      </c>
      <c r="P168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68" s="563"/>
      <c r="R168" s="563"/>
      <c r="S168" s="563"/>
      <c r="T168" s="564"/>
      <c r="U168" s="39" t="s">
        <v>45</v>
      </c>
      <c r="V168" s="39" t="s">
        <v>45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IFERROR(IF(Y168=0,"",ROUNDUP(Y168/H168,0)*0.0059),"")</f>
        <v/>
      </c>
      <c r="AA168" s="68" t="s">
        <v>45</v>
      </c>
      <c r="AB168" s="69" t="s">
        <v>45</v>
      </c>
      <c r="AC168" s="236" t="s">
        <v>308</v>
      </c>
      <c r="AG168" s="78"/>
      <c r="AJ168" s="84" t="s">
        <v>45</v>
      </c>
      <c r="AK168" s="84">
        <v>0</v>
      </c>
      <c r="BB168" s="237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27" hidden="1" customHeight="1" x14ac:dyDescent="0.25">
      <c r="A169" s="63" t="s">
        <v>309</v>
      </c>
      <c r="B169" s="63" t="s">
        <v>310</v>
      </c>
      <c r="C169" s="36">
        <v>4301032052</v>
      </c>
      <c r="D169" s="561">
        <v>4680115886766</v>
      </c>
      <c r="E169" s="561"/>
      <c r="F169" s="62">
        <v>7.0000000000000007E-2</v>
      </c>
      <c r="G169" s="37">
        <v>18</v>
      </c>
      <c r="H169" s="62">
        <v>1.26</v>
      </c>
      <c r="I169" s="62">
        <v>1.45</v>
      </c>
      <c r="J169" s="37">
        <v>216</v>
      </c>
      <c r="K169" s="37" t="s">
        <v>305</v>
      </c>
      <c r="L169" s="37" t="s">
        <v>45</v>
      </c>
      <c r="M169" s="38" t="s">
        <v>286</v>
      </c>
      <c r="N169" s="38"/>
      <c r="O169" s="37">
        <v>90</v>
      </c>
      <c r="P169" s="7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69" s="563"/>
      <c r="R169" s="563"/>
      <c r="S169" s="563"/>
      <c r="T169" s="564"/>
      <c r="U169" s="39" t="s">
        <v>45</v>
      </c>
      <c r="V169" s="39" t="s">
        <v>45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IFERROR(IF(Y169=0,"",ROUNDUP(Y169/H169,0)*0.0059),"")</f>
        <v/>
      </c>
      <c r="AA169" s="68" t="s">
        <v>45</v>
      </c>
      <c r="AB169" s="69" t="s">
        <v>45</v>
      </c>
      <c r="AC169" s="238" t="s">
        <v>308</v>
      </c>
      <c r="AG169" s="78"/>
      <c r="AJ169" s="84" t="s">
        <v>45</v>
      </c>
      <c r="AK169" s="84">
        <v>0</v>
      </c>
      <c r="BB169" s="239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555"/>
      <c r="B170" s="555"/>
      <c r="C170" s="555"/>
      <c r="D170" s="555"/>
      <c r="E170" s="555"/>
      <c r="F170" s="555"/>
      <c r="G170" s="555"/>
      <c r="H170" s="555"/>
      <c r="I170" s="555"/>
      <c r="J170" s="555"/>
      <c r="K170" s="555"/>
      <c r="L170" s="555"/>
      <c r="M170" s="555"/>
      <c r="N170" s="555"/>
      <c r="O170" s="556"/>
      <c r="P170" s="552" t="s">
        <v>40</v>
      </c>
      <c r="Q170" s="553"/>
      <c r="R170" s="553"/>
      <c r="S170" s="553"/>
      <c r="T170" s="553"/>
      <c r="U170" s="553"/>
      <c r="V170" s="554"/>
      <c r="W170" s="42" t="s">
        <v>39</v>
      </c>
      <c r="X170" s="43">
        <f>IFERROR(X167/H167,"0")+IFERROR(X168/H168,"0")+IFERROR(X169/H169,"0")</f>
        <v>0</v>
      </c>
      <c r="Y170" s="43">
        <f>IFERROR(Y167/H167,"0")+IFERROR(Y168/H168,"0")+IFERROR(Y169/H169,"0")</f>
        <v>0</v>
      </c>
      <c r="Z170" s="43">
        <f>IFERROR(IF(Z167="",0,Z167),"0")+IFERROR(IF(Z168="",0,Z168),"0")+IFERROR(IF(Z169="",0,Z169),"0")</f>
        <v>0</v>
      </c>
      <c r="AA170" s="67"/>
      <c r="AB170" s="67"/>
      <c r="AC170" s="67"/>
    </row>
    <row r="171" spans="1:68" hidden="1" x14ac:dyDescent="0.2">
      <c r="A171" s="555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52" t="s">
        <v>40</v>
      </c>
      <c r="Q171" s="553"/>
      <c r="R171" s="553"/>
      <c r="S171" s="553"/>
      <c r="T171" s="553"/>
      <c r="U171" s="553"/>
      <c r="V171" s="554"/>
      <c r="W171" s="42" t="s">
        <v>0</v>
      </c>
      <c r="X171" s="43">
        <f>IFERROR(SUM(X167:X169),"0")</f>
        <v>0</v>
      </c>
      <c r="Y171" s="43">
        <f>IFERROR(SUM(Y167:Y169),"0")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566" t="s">
        <v>311</v>
      </c>
      <c r="B172" s="566"/>
      <c r="C172" s="566"/>
      <c r="D172" s="566"/>
      <c r="E172" s="566"/>
      <c r="F172" s="566"/>
      <c r="G172" s="566"/>
      <c r="H172" s="566"/>
      <c r="I172" s="566"/>
      <c r="J172" s="566"/>
      <c r="K172" s="566"/>
      <c r="L172" s="566"/>
      <c r="M172" s="566"/>
      <c r="N172" s="566"/>
      <c r="O172" s="566"/>
      <c r="P172" s="566"/>
      <c r="Q172" s="566"/>
      <c r="R172" s="566"/>
      <c r="S172" s="566"/>
      <c r="T172" s="566"/>
      <c r="U172" s="566"/>
      <c r="V172" s="566"/>
      <c r="W172" s="566"/>
      <c r="X172" s="566"/>
      <c r="Y172" s="566"/>
      <c r="Z172" s="566"/>
      <c r="AA172" s="66"/>
      <c r="AB172" s="66"/>
      <c r="AC172" s="80"/>
    </row>
    <row r="173" spans="1:68" ht="27" hidden="1" customHeight="1" x14ac:dyDescent="0.25">
      <c r="A173" s="63" t="s">
        <v>312</v>
      </c>
      <c r="B173" s="63" t="s">
        <v>313</v>
      </c>
      <c r="C173" s="36">
        <v>4301170013</v>
      </c>
      <c r="D173" s="561">
        <v>4680115886797</v>
      </c>
      <c r="E173" s="561"/>
      <c r="F173" s="62">
        <v>7.0000000000000007E-2</v>
      </c>
      <c r="G173" s="37">
        <v>18</v>
      </c>
      <c r="H173" s="62">
        <v>1.26</v>
      </c>
      <c r="I173" s="62">
        <v>1.45</v>
      </c>
      <c r="J173" s="37">
        <v>216</v>
      </c>
      <c r="K173" s="37" t="s">
        <v>305</v>
      </c>
      <c r="L173" s="37" t="s">
        <v>45</v>
      </c>
      <c r="M173" s="38" t="s">
        <v>286</v>
      </c>
      <c r="N173" s="38"/>
      <c r="O173" s="37">
        <v>90</v>
      </c>
      <c r="P173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73" s="563"/>
      <c r="R173" s="563"/>
      <c r="S173" s="563"/>
      <c r="T173" s="564"/>
      <c r="U173" s="39" t="s">
        <v>45</v>
      </c>
      <c r="V173" s="39" t="s">
        <v>45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IFERROR(IF(Y173=0,"",ROUNDUP(Y173/H173,0)*0.0059),"")</f>
        <v/>
      </c>
      <c r="AA173" s="68" t="s">
        <v>45</v>
      </c>
      <c r="AB173" s="69" t="s">
        <v>45</v>
      </c>
      <c r="AC173" s="240" t="s">
        <v>308</v>
      </c>
      <c r="AG173" s="78"/>
      <c r="AJ173" s="84" t="s">
        <v>45</v>
      </c>
      <c r="AK173" s="84">
        <v>0</v>
      </c>
      <c r="BB173" s="241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555"/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6"/>
      <c r="P174" s="552" t="s">
        <v>40</v>
      </c>
      <c r="Q174" s="553"/>
      <c r="R174" s="553"/>
      <c r="S174" s="553"/>
      <c r="T174" s="553"/>
      <c r="U174" s="553"/>
      <c r="V174" s="554"/>
      <c r="W174" s="42" t="s">
        <v>39</v>
      </c>
      <c r="X174" s="43">
        <f>IFERROR(X173/H173,"0")</f>
        <v>0</v>
      </c>
      <c r="Y174" s="43">
        <f>IFERROR(Y173/H173,"0")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555"/>
      <c r="B175" s="555"/>
      <c r="C175" s="555"/>
      <c r="D175" s="555"/>
      <c r="E175" s="555"/>
      <c r="F175" s="555"/>
      <c r="G175" s="555"/>
      <c r="H175" s="555"/>
      <c r="I175" s="555"/>
      <c r="J175" s="555"/>
      <c r="K175" s="555"/>
      <c r="L175" s="555"/>
      <c r="M175" s="555"/>
      <c r="N175" s="555"/>
      <c r="O175" s="556"/>
      <c r="P175" s="552" t="s">
        <v>40</v>
      </c>
      <c r="Q175" s="553"/>
      <c r="R175" s="553"/>
      <c r="S175" s="553"/>
      <c r="T175" s="553"/>
      <c r="U175" s="553"/>
      <c r="V175" s="554"/>
      <c r="W175" s="42" t="s">
        <v>0</v>
      </c>
      <c r="X175" s="43">
        <f>IFERROR(SUM(X173:X173),"0")</f>
        <v>0</v>
      </c>
      <c r="Y175" s="43">
        <f>IFERROR(SUM(Y173:Y173),"0")</f>
        <v>0</v>
      </c>
      <c r="Z175" s="42"/>
      <c r="AA175" s="67"/>
      <c r="AB175" s="67"/>
      <c r="AC175" s="67"/>
    </row>
    <row r="176" spans="1:68" ht="16.5" hidden="1" customHeight="1" x14ac:dyDescent="0.25">
      <c r="A176" s="565" t="s">
        <v>314</v>
      </c>
      <c r="B176" s="565"/>
      <c r="C176" s="565"/>
      <c r="D176" s="565"/>
      <c r="E176" s="565"/>
      <c r="F176" s="565"/>
      <c r="G176" s="565"/>
      <c r="H176" s="565"/>
      <c r="I176" s="565"/>
      <c r="J176" s="565"/>
      <c r="K176" s="565"/>
      <c r="L176" s="565"/>
      <c r="M176" s="565"/>
      <c r="N176" s="565"/>
      <c r="O176" s="565"/>
      <c r="P176" s="565"/>
      <c r="Q176" s="565"/>
      <c r="R176" s="565"/>
      <c r="S176" s="565"/>
      <c r="T176" s="565"/>
      <c r="U176" s="565"/>
      <c r="V176" s="565"/>
      <c r="W176" s="565"/>
      <c r="X176" s="565"/>
      <c r="Y176" s="565"/>
      <c r="Z176" s="565"/>
      <c r="AA176" s="65"/>
      <c r="AB176" s="65"/>
      <c r="AC176" s="79"/>
    </row>
    <row r="177" spans="1:68" ht="14.25" hidden="1" customHeight="1" x14ac:dyDescent="0.25">
      <c r="A177" s="566" t="s">
        <v>108</v>
      </c>
      <c r="B177" s="566"/>
      <c r="C177" s="566"/>
      <c r="D177" s="566"/>
      <c r="E177" s="566"/>
      <c r="F177" s="566"/>
      <c r="G177" s="566"/>
      <c r="H177" s="566"/>
      <c r="I177" s="566"/>
      <c r="J177" s="566"/>
      <c r="K177" s="566"/>
      <c r="L177" s="566"/>
      <c r="M177" s="566"/>
      <c r="N177" s="566"/>
      <c r="O177" s="566"/>
      <c r="P177" s="566"/>
      <c r="Q177" s="566"/>
      <c r="R177" s="566"/>
      <c r="S177" s="566"/>
      <c r="T177" s="566"/>
      <c r="U177" s="566"/>
      <c r="V177" s="566"/>
      <c r="W177" s="566"/>
      <c r="X177" s="566"/>
      <c r="Y177" s="566"/>
      <c r="Z177" s="566"/>
      <c r="AA177" s="66"/>
      <c r="AB177" s="66"/>
      <c r="AC177" s="80"/>
    </row>
    <row r="178" spans="1:68" ht="27" hidden="1" customHeight="1" x14ac:dyDescent="0.25">
      <c r="A178" s="63" t="s">
        <v>315</v>
      </c>
      <c r="B178" s="63" t="s">
        <v>316</v>
      </c>
      <c r="C178" s="36">
        <v>4301011450</v>
      </c>
      <c r="D178" s="561">
        <v>4680115881402</v>
      </c>
      <c r="E178" s="561"/>
      <c r="F178" s="62">
        <v>1.35</v>
      </c>
      <c r="G178" s="37">
        <v>8</v>
      </c>
      <c r="H178" s="62">
        <v>10.8</v>
      </c>
      <c r="I178" s="62">
        <v>11.21</v>
      </c>
      <c r="J178" s="37">
        <v>64</v>
      </c>
      <c r="K178" s="37" t="s">
        <v>113</v>
      </c>
      <c r="L178" s="37" t="s">
        <v>45</v>
      </c>
      <c r="M178" s="38" t="s">
        <v>112</v>
      </c>
      <c r="N178" s="38"/>
      <c r="O178" s="37">
        <v>55</v>
      </c>
      <c r="P178" s="7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78" s="563"/>
      <c r="R178" s="563"/>
      <c r="S178" s="563"/>
      <c r="T178" s="564"/>
      <c r="U178" s="39" t="s">
        <v>45</v>
      </c>
      <c r="V178" s="39" t="s">
        <v>45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IFERROR(IF(Y178=0,"",ROUNDUP(Y178/H178,0)*0.01898),"")</f>
        <v/>
      </c>
      <c r="AA178" s="68" t="s">
        <v>45</v>
      </c>
      <c r="AB178" s="69" t="s">
        <v>45</v>
      </c>
      <c r="AC178" s="242" t="s">
        <v>317</v>
      </c>
      <c r="AG178" s="78"/>
      <c r="AJ178" s="84" t="s">
        <v>45</v>
      </c>
      <c r="AK178" s="84">
        <v>0</v>
      </c>
      <c r="BB178" s="243" t="s">
        <v>66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4301011768</v>
      </c>
      <c r="D179" s="561">
        <v>4680115881396</v>
      </c>
      <c r="E179" s="561"/>
      <c r="F179" s="62">
        <v>0.45</v>
      </c>
      <c r="G179" s="37">
        <v>6</v>
      </c>
      <c r="H179" s="62">
        <v>2.7</v>
      </c>
      <c r="I179" s="62">
        <v>2.88</v>
      </c>
      <c r="J179" s="37">
        <v>182</v>
      </c>
      <c r="K179" s="37" t="s">
        <v>81</v>
      </c>
      <c r="L179" s="37" t="s">
        <v>45</v>
      </c>
      <c r="M179" s="38" t="s">
        <v>112</v>
      </c>
      <c r="N179" s="38"/>
      <c r="O179" s="37">
        <v>55</v>
      </c>
      <c r="P179" s="7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79" s="563"/>
      <c r="R179" s="563"/>
      <c r="S179" s="563"/>
      <c r="T179" s="564"/>
      <c r="U179" s="39" t="s">
        <v>45</v>
      </c>
      <c r="V179" s="39" t="s">
        <v>45</v>
      </c>
      <c r="W179" s="40" t="s">
        <v>0</v>
      </c>
      <c r="X179" s="58">
        <v>0</v>
      </c>
      <c r="Y179" s="55">
        <f>IFERROR(IF(X179="",0,CEILING((X179/$H179),1)*$H179),"")</f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317</v>
      </c>
      <c r="AG179" s="78"/>
      <c r="AJ179" s="84" t="s">
        <v>45</v>
      </c>
      <c r="AK179" s="84">
        <v>0</v>
      </c>
      <c r="BB179" s="245" t="s">
        <v>66</v>
      </c>
      <c r="BM179" s="78">
        <f>IFERROR(X179*I179/H179,"0")</f>
        <v>0</v>
      </c>
      <c r="BN179" s="78">
        <f>IFERROR(Y179*I179/H179,"0")</f>
        <v>0</v>
      </c>
      <c r="BO179" s="78">
        <f>IFERROR(1/J179*(X179/H179),"0")</f>
        <v>0</v>
      </c>
      <c r="BP179" s="78">
        <f>IFERROR(1/J179*(Y179/H179),"0")</f>
        <v>0</v>
      </c>
    </row>
    <row r="180" spans="1:68" hidden="1" x14ac:dyDescent="0.2">
      <c r="A180" s="555"/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6"/>
      <c r="P180" s="552" t="s">
        <v>40</v>
      </c>
      <c r="Q180" s="553"/>
      <c r="R180" s="553"/>
      <c r="S180" s="553"/>
      <c r="T180" s="553"/>
      <c r="U180" s="553"/>
      <c r="V180" s="554"/>
      <c r="W180" s="42" t="s">
        <v>39</v>
      </c>
      <c r="X180" s="43">
        <f>IFERROR(X178/H178,"0")+IFERROR(X179/H179,"0")</f>
        <v>0</v>
      </c>
      <c r="Y180" s="43">
        <f>IFERROR(Y178/H178,"0")+IFERROR(Y179/H179,"0")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hidden="1" x14ac:dyDescent="0.2">
      <c r="A181" s="555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52" t="s">
        <v>40</v>
      </c>
      <c r="Q181" s="553"/>
      <c r="R181" s="553"/>
      <c r="S181" s="553"/>
      <c r="T181" s="553"/>
      <c r="U181" s="553"/>
      <c r="V181" s="554"/>
      <c r="W181" s="42" t="s">
        <v>0</v>
      </c>
      <c r="X181" s="43">
        <f>IFERROR(SUM(X178:X179),"0")</f>
        <v>0</v>
      </c>
      <c r="Y181" s="43">
        <f>IFERROR(SUM(Y178:Y179),"0")</f>
        <v>0</v>
      </c>
      <c r="Z181" s="42"/>
      <c r="AA181" s="67"/>
      <c r="AB181" s="67"/>
      <c r="AC181" s="67"/>
    </row>
    <row r="182" spans="1:68" ht="14.25" hidden="1" customHeight="1" x14ac:dyDescent="0.25">
      <c r="A182" s="566" t="s">
        <v>141</v>
      </c>
      <c r="B182" s="566"/>
      <c r="C182" s="566"/>
      <c r="D182" s="566"/>
      <c r="E182" s="566"/>
      <c r="F182" s="566"/>
      <c r="G182" s="566"/>
      <c r="H182" s="566"/>
      <c r="I182" s="566"/>
      <c r="J182" s="566"/>
      <c r="K182" s="566"/>
      <c r="L182" s="566"/>
      <c r="M182" s="566"/>
      <c r="N182" s="566"/>
      <c r="O182" s="566"/>
      <c r="P182" s="566"/>
      <c r="Q182" s="566"/>
      <c r="R182" s="566"/>
      <c r="S182" s="566"/>
      <c r="T182" s="566"/>
      <c r="U182" s="566"/>
      <c r="V182" s="566"/>
      <c r="W182" s="566"/>
      <c r="X182" s="566"/>
      <c r="Y182" s="566"/>
      <c r="Z182" s="566"/>
      <c r="AA182" s="66"/>
      <c r="AB182" s="66"/>
      <c r="AC182" s="80"/>
    </row>
    <row r="183" spans="1:68" ht="16.5" hidden="1" customHeight="1" x14ac:dyDescent="0.25">
      <c r="A183" s="63" t="s">
        <v>320</v>
      </c>
      <c r="B183" s="63" t="s">
        <v>321</v>
      </c>
      <c r="C183" s="36">
        <v>4301020261</v>
      </c>
      <c r="D183" s="561">
        <v>4680115882935</v>
      </c>
      <c r="E183" s="561"/>
      <c r="F183" s="62">
        <v>1.35</v>
      </c>
      <c r="G183" s="37">
        <v>8</v>
      </c>
      <c r="H183" s="62">
        <v>10.8</v>
      </c>
      <c r="I183" s="62">
        <v>11.21</v>
      </c>
      <c r="J183" s="37">
        <v>64</v>
      </c>
      <c r="K183" s="37" t="s">
        <v>113</v>
      </c>
      <c r="L183" s="37" t="s">
        <v>45</v>
      </c>
      <c r="M183" s="38" t="s">
        <v>112</v>
      </c>
      <c r="N183" s="38"/>
      <c r="O183" s="37">
        <v>50</v>
      </c>
      <c r="P183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83" s="563"/>
      <c r="R183" s="563"/>
      <c r="S183" s="563"/>
      <c r="T183" s="564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IFERROR(IF(Y183=0,"",ROUNDUP(Y183/H183,0)*0.01898),"")</f>
        <v/>
      </c>
      <c r="AA183" s="68" t="s">
        <v>45</v>
      </c>
      <c r="AB183" s="69" t="s">
        <v>45</v>
      </c>
      <c r="AC183" s="246" t="s">
        <v>322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16.5" hidden="1" customHeight="1" x14ac:dyDescent="0.25">
      <c r="A184" s="63" t="s">
        <v>323</v>
      </c>
      <c r="B184" s="63" t="s">
        <v>324</v>
      </c>
      <c r="C184" s="36">
        <v>4301020220</v>
      </c>
      <c r="D184" s="561">
        <v>4680115880764</v>
      </c>
      <c r="E184" s="561"/>
      <c r="F184" s="62">
        <v>0.35</v>
      </c>
      <c r="G184" s="37">
        <v>6</v>
      </c>
      <c r="H184" s="62">
        <v>2.1</v>
      </c>
      <c r="I184" s="62">
        <v>2.2799999999999998</v>
      </c>
      <c r="J184" s="37">
        <v>182</v>
      </c>
      <c r="K184" s="37" t="s">
        <v>81</v>
      </c>
      <c r="L184" s="37" t="s">
        <v>45</v>
      </c>
      <c r="M184" s="38" t="s">
        <v>112</v>
      </c>
      <c r="N184" s="38"/>
      <c r="O184" s="37">
        <v>50</v>
      </c>
      <c r="P184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84" s="563"/>
      <c r="R184" s="563"/>
      <c r="S184" s="563"/>
      <c r="T184" s="564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45</v>
      </c>
      <c r="AB184" s="69" t="s">
        <v>45</v>
      </c>
      <c r="AC184" s="248" t="s">
        <v>322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idden="1" x14ac:dyDescent="0.2">
      <c r="A185" s="555"/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6"/>
      <c r="P185" s="552" t="s">
        <v>40</v>
      </c>
      <c r="Q185" s="553"/>
      <c r="R185" s="553"/>
      <c r="S185" s="553"/>
      <c r="T185" s="553"/>
      <c r="U185" s="553"/>
      <c r="V185" s="554"/>
      <c r="W185" s="42" t="s">
        <v>39</v>
      </c>
      <c r="X185" s="43">
        <f>IFERROR(X183/H183,"0")+IFERROR(X184/H184,"0")</f>
        <v>0</v>
      </c>
      <c r="Y185" s="43">
        <f>IFERROR(Y183/H183,"0")+IFERROR(Y184/H184,"0")</f>
        <v>0</v>
      </c>
      <c r="Z185" s="43">
        <f>IFERROR(IF(Z183="",0,Z183),"0")+IFERROR(IF(Z184="",0,Z184),"0")</f>
        <v>0</v>
      </c>
      <c r="AA185" s="67"/>
      <c r="AB185" s="67"/>
      <c r="AC185" s="67"/>
    </row>
    <row r="186" spans="1:68" hidden="1" x14ac:dyDescent="0.2">
      <c r="A186" s="555"/>
      <c r="B186" s="555"/>
      <c r="C186" s="555"/>
      <c r="D186" s="555"/>
      <c r="E186" s="555"/>
      <c r="F186" s="555"/>
      <c r="G186" s="555"/>
      <c r="H186" s="555"/>
      <c r="I186" s="555"/>
      <c r="J186" s="555"/>
      <c r="K186" s="555"/>
      <c r="L186" s="555"/>
      <c r="M186" s="555"/>
      <c r="N186" s="555"/>
      <c r="O186" s="556"/>
      <c r="P186" s="552" t="s">
        <v>40</v>
      </c>
      <c r="Q186" s="553"/>
      <c r="R186" s="553"/>
      <c r="S186" s="553"/>
      <c r="T186" s="553"/>
      <c r="U186" s="553"/>
      <c r="V186" s="554"/>
      <c r="W186" s="42" t="s">
        <v>0</v>
      </c>
      <c r="X186" s="43">
        <f>IFERROR(SUM(X183:X184),"0")</f>
        <v>0</v>
      </c>
      <c r="Y186" s="43">
        <f>IFERROR(SUM(Y183:Y184),"0")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566" t="s">
        <v>76</v>
      </c>
      <c r="B187" s="566"/>
      <c r="C187" s="566"/>
      <c r="D187" s="566"/>
      <c r="E187" s="566"/>
      <c r="F187" s="566"/>
      <c r="G187" s="566"/>
      <c r="H187" s="566"/>
      <c r="I187" s="566"/>
      <c r="J187" s="566"/>
      <c r="K187" s="566"/>
      <c r="L187" s="566"/>
      <c r="M187" s="566"/>
      <c r="N187" s="566"/>
      <c r="O187" s="566"/>
      <c r="P187" s="566"/>
      <c r="Q187" s="566"/>
      <c r="R187" s="566"/>
      <c r="S187" s="566"/>
      <c r="T187" s="566"/>
      <c r="U187" s="566"/>
      <c r="V187" s="566"/>
      <c r="W187" s="566"/>
      <c r="X187" s="566"/>
      <c r="Y187" s="566"/>
      <c r="Z187" s="566"/>
      <c r="AA187" s="66"/>
      <c r="AB187" s="66"/>
      <c r="AC187" s="80"/>
    </row>
    <row r="188" spans="1:68" ht="27" customHeight="1" x14ac:dyDescent="0.25">
      <c r="A188" s="63" t="s">
        <v>325</v>
      </c>
      <c r="B188" s="63" t="s">
        <v>326</v>
      </c>
      <c r="C188" s="36">
        <v>4301031224</v>
      </c>
      <c r="D188" s="561">
        <v>4680115882683</v>
      </c>
      <c r="E188" s="561"/>
      <c r="F188" s="62">
        <v>0.9</v>
      </c>
      <c r="G188" s="37">
        <v>6</v>
      </c>
      <c r="H188" s="62">
        <v>5.4</v>
      </c>
      <c r="I188" s="62">
        <v>5.59</v>
      </c>
      <c r="J188" s="37">
        <v>132</v>
      </c>
      <c r="K188" s="37" t="s">
        <v>116</v>
      </c>
      <c r="L188" s="37" t="s">
        <v>45</v>
      </c>
      <c r="M188" s="38" t="s">
        <v>80</v>
      </c>
      <c r="N188" s="38"/>
      <c r="O188" s="37">
        <v>40</v>
      </c>
      <c r="P188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88" s="563"/>
      <c r="R188" s="563"/>
      <c r="S188" s="563"/>
      <c r="T188" s="564"/>
      <c r="U188" s="39" t="s">
        <v>45</v>
      </c>
      <c r="V188" s="39" t="s">
        <v>45</v>
      </c>
      <c r="W188" s="40" t="s">
        <v>0</v>
      </c>
      <c r="X188" s="58">
        <v>37.799999999999997</v>
      </c>
      <c r="Y188" s="55">
        <f t="shared" ref="Y188:Y195" si="15">IFERROR(IF(X188="",0,CEILING((X188/$H188),1)*$H188),"")</f>
        <v>37.800000000000004</v>
      </c>
      <c r="Z188" s="41">
        <f>IFERROR(IF(Y188=0,"",ROUNDUP(Y188/H188,0)*0.00902),"")</f>
        <v>6.3140000000000002E-2</v>
      </c>
      <c r="AA188" s="68" t="s">
        <v>45</v>
      </c>
      <c r="AB188" s="69" t="s">
        <v>45</v>
      </c>
      <c r="AC188" s="250" t="s">
        <v>327</v>
      </c>
      <c r="AG188" s="78"/>
      <c r="AJ188" s="84" t="s">
        <v>45</v>
      </c>
      <c r="AK188" s="84">
        <v>0</v>
      </c>
      <c r="BB188" s="251" t="s">
        <v>66</v>
      </c>
      <c r="BM188" s="78">
        <f t="shared" ref="BM188:BM195" si="16">IFERROR(X188*I188/H188,"0")</f>
        <v>39.129999999999995</v>
      </c>
      <c r="BN188" s="78">
        <f t="shared" ref="BN188:BN195" si="17">IFERROR(Y188*I188/H188,"0")</f>
        <v>39.130000000000003</v>
      </c>
      <c r="BO188" s="78">
        <f t="shared" ref="BO188:BO195" si="18">IFERROR(1/J188*(X188/H188),"0")</f>
        <v>5.3030303030303025E-2</v>
      </c>
      <c r="BP188" s="78">
        <f t="shared" ref="BP188:BP195" si="19">IFERROR(1/J188*(Y188/H188),"0")</f>
        <v>5.3030303030303032E-2</v>
      </c>
    </row>
    <row r="189" spans="1:68" ht="27" hidden="1" customHeight="1" x14ac:dyDescent="0.25">
      <c r="A189" s="63" t="s">
        <v>328</v>
      </c>
      <c r="B189" s="63" t="s">
        <v>329</v>
      </c>
      <c r="C189" s="36">
        <v>4301031230</v>
      </c>
      <c r="D189" s="561">
        <v>4680115882690</v>
      </c>
      <c r="E189" s="561"/>
      <c r="F189" s="62">
        <v>0.9</v>
      </c>
      <c r="G189" s="37">
        <v>6</v>
      </c>
      <c r="H189" s="62">
        <v>5.4</v>
      </c>
      <c r="I189" s="62">
        <v>5.59</v>
      </c>
      <c r="J189" s="37">
        <v>132</v>
      </c>
      <c r="K189" s="37" t="s">
        <v>116</v>
      </c>
      <c r="L189" s="37" t="s">
        <v>45</v>
      </c>
      <c r="M189" s="38" t="s">
        <v>80</v>
      </c>
      <c r="N189" s="38"/>
      <c r="O189" s="37">
        <v>40</v>
      </c>
      <c r="P189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89" s="563"/>
      <c r="R189" s="563"/>
      <c r="S189" s="563"/>
      <c r="T189" s="564"/>
      <c r="U189" s="39" t="s">
        <v>45</v>
      </c>
      <c r="V189" s="39" t="s">
        <v>45</v>
      </c>
      <c r="W189" s="40" t="s">
        <v>0</v>
      </c>
      <c r="X189" s="58">
        <v>0</v>
      </c>
      <c r="Y189" s="55">
        <f t="shared" si="15"/>
        <v>0</v>
      </c>
      <c r="Z189" s="41" t="str">
        <f>IFERROR(IF(Y189=0,"",ROUNDUP(Y189/H189,0)*0.00902),"")</f>
        <v/>
      </c>
      <c r="AA189" s="68" t="s">
        <v>45</v>
      </c>
      <c r="AB189" s="69" t="s">
        <v>45</v>
      </c>
      <c r="AC189" s="252" t="s">
        <v>330</v>
      </c>
      <c r="AG189" s="78"/>
      <c r="AJ189" s="84" t="s">
        <v>45</v>
      </c>
      <c r="AK189" s="84">
        <v>0</v>
      </c>
      <c r="BB189" s="253" t="s">
        <v>66</v>
      </c>
      <c r="BM189" s="78">
        <f t="shared" si="16"/>
        <v>0</v>
      </c>
      <c r="BN189" s="78">
        <f t="shared" si="17"/>
        <v>0</v>
      </c>
      <c r="BO189" s="78">
        <f t="shared" si="18"/>
        <v>0</v>
      </c>
      <c r="BP189" s="78">
        <f t="shared" si="19"/>
        <v>0</v>
      </c>
    </row>
    <row r="190" spans="1:68" ht="27" hidden="1" customHeight="1" x14ac:dyDescent="0.25">
      <c r="A190" s="63" t="s">
        <v>331</v>
      </c>
      <c r="B190" s="63" t="s">
        <v>332</v>
      </c>
      <c r="C190" s="36">
        <v>4301031220</v>
      </c>
      <c r="D190" s="561">
        <v>4680115882669</v>
      </c>
      <c r="E190" s="561"/>
      <c r="F190" s="62">
        <v>0.9</v>
      </c>
      <c r="G190" s="37">
        <v>6</v>
      </c>
      <c r="H190" s="62">
        <v>5.4</v>
      </c>
      <c r="I190" s="62">
        <v>5.59</v>
      </c>
      <c r="J190" s="37">
        <v>132</v>
      </c>
      <c r="K190" s="37" t="s">
        <v>116</v>
      </c>
      <c r="L190" s="37" t="s">
        <v>45</v>
      </c>
      <c r="M190" s="38" t="s">
        <v>80</v>
      </c>
      <c r="N190" s="38"/>
      <c r="O190" s="37">
        <v>40</v>
      </c>
      <c r="P190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0" s="563"/>
      <c r="R190" s="563"/>
      <c r="S190" s="563"/>
      <c r="T190" s="564"/>
      <c r="U190" s="39" t="s">
        <v>45</v>
      </c>
      <c r="V190" s="39" t="s">
        <v>45</v>
      </c>
      <c r="W190" s="40" t="s">
        <v>0</v>
      </c>
      <c r="X190" s="58">
        <v>0</v>
      </c>
      <c r="Y190" s="55">
        <f t="shared" si="15"/>
        <v>0</v>
      </c>
      <c r="Z190" s="41" t="str">
        <f>IFERROR(IF(Y190=0,"",ROUNDUP(Y190/H190,0)*0.00902),"")</f>
        <v/>
      </c>
      <c r="AA190" s="68" t="s">
        <v>45</v>
      </c>
      <c r="AB190" s="69" t="s">
        <v>45</v>
      </c>
      <c r="AC190" s="254" t="s">
        <v>333</v>
      </c>
      <c r="AG190" s="78"/>
      <c r="AJ190" s="84" t="s">
        <v>45</v>
      </c>
      <c r="AK190" s="84">
        <v>0</v>
      </c>
      <c r="BB190" s="255" t="s">
        <v>66</v>
      </c>
      <c r="BM190" s="78">
        <f t="shared" si="16"/>
        <v>0</v>
      </c>
      <c r="BN190" s="78">
        <f t="shared" si="17"/>
        <v>0</v>
      </c>
      <c r="BO190" s="78">
        <f t="shared" si="18"/>
        <v>0</v>
      </c>
      <c r="BP190" s="78">
        <f t="shared" si="19"/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4301031221</v>
      </c>
      <c r="D191" s="561">
        <v>4680115882676</v>
      </c>
      <c r="E191" s="561"/>
      <c r="F191" s="62">
        <v>0.9</v>
      </c>
      <c r="G191" s="37">
        <v>6</v>
      </c>
      <c r="H191" s="62">
        <v>5.4</v>
      </c>
      <c r="I191" s="62">
        <v>5.59</v>
      </c>
      <c r="J191" s="37">
        <v>132</v>
      </c>
      <c r="K191" s="37" t="s">
        <v>116</v>
      </c>
      <c r="L191" s="37" t="s">
        <v>45</v>
      </c>
      <c r="M191" s="38" t="s">
        <v>80</v>
      </c>
      <c r="N191" s="38"/>
      <c r="O191" s="37">
        <v>40</v>
      </c>
      <c r="P191" s="7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1" s="563"/>
      <c r="R191" s="563"/>
      <c r="S191" s="563"/>
      <c r="T191" s="564"/>
      <c r="U191" s="39" t="s">
        <v>45</v>
      </c>
      <c r="V191" s="39" t="s">
        <v>45</v>
      </c>
      <c r="W191" s="40" t="s">
        <v>0</v>
      </c>
      <c r="X191" s="58">
        <v>40</v>
      </c>
      <c r="Y191" s="55">
        <f t="shared" si="15"/>
        <v>43.2</v>
      </c>
      <c r="Z191" s="41">
        <f>IFERROR(IF(Y191=0,"",ROUNDUP(Y191/H191,0)*0.00902),"")</f>
        <v>7.2160000000000002E-2</v>
      </c>
      <c r="AA191" s="68" t="s">
        <v>45</v>
      </c>
      <c r="AB191" s="69" t="s">
        <v>45</v>
      </c>
      <c r="AC191" s="256" t="s">
        <v>336</v>
      </c>
      <c r="AG191" s="78"/>
      <c r="AJ191" s="84" t="s">
        <v>45</v>
      </c>
      <c r="AK191" s="84">
        <v>0</v>
      </c>
      <c r="BB191" s="257" t="s">
        <v>66</v>
      </c>
      <c r="BM191" s="78">
        <f t="shared" si="16"/>
        <v>41.407407407407405</v>
      </c>
      <c r="BN191" s="78">
        <f t="shared" si="17"/>
        <v>44.72</v>
      </c>
      <c r="BO191" s="78">
        <f t="shared" si="18"/>
        <v>5.6116722783389444E-2</v>
      </c>
      <c r="BP191" s="78">
        <f t="shared" si="19"/>
        <v>6.0606060606060608E-2</v>
      </c>
    </row>
    <row r="192" spans="1:68" ht="27" hidden="1" customHeight="1" x14ac:dyDescent="0.25">
      <c r="A192" s="63" t="s">
        <v>337</v>
      </c>
      <c r="B192" s="63" t="s">
        <v>338</v>
      </c>
      <c r="C192" s="36">
        <v>4301031223</v>
      </c>
      <c r="D192" s="561">
        <v>4680115884014</v>
      </c>
      <c r="E192" s="561"/>
      <c r="F192" s="62">
        <v>0.3</v>
      </c>
      <c r="G192" s="37">
        <v>6</v>
      </c>
      <c r="H192" s="62">
        <v>1.8</v>
      </c>
      <c r="I192" s="62">
        <v>1.93</v>
      </c>
      <c r="J192" s="37">
        <v>234</v>
      </c>
      <c r="K192" s="37" t="s">
        <v>85</v>
      </c>
      <c r="L192" s="37" t="s">
        <v>45</v>
      </c>
      <c r="M192" s="38" t="s">
        <v>80</v>
      </c>
      <c r="N192" s="38"/>
      <c r="O192" s="37">
        <v>40</v>
      </c>
      <c r="P192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2" s="563"/>
      <c r="R192" s="563"/>
      <c r="S192" s="563"/>
      <c r="T192" s="564"/>
      <c r="U192" s="39" t="s">
        <v>45</v>
      </c>
      <c r="V192" s="39" t="s">
        <v>45</v>
      </c>
      <c r="W192" s="40" t="s">
        <v>0</v>
      </c>
      <c r="X192" s="58">
        <v>0</v>
      </c>
      <c r="Y192" s="55">
        <f t="shared" si="15"/>
        <v>0</v>
      </c>
      <c r="Z192" s="41" t="str">
        <f>IFERROR(IF(Y192=0,"",ROUNDUP(Y192/H192,0)*0.00502),"")</f>
        <v/>
      </c>
      <c r="AA192" s="68" t="s">
        <v>45</v>
      </c>
      <c r="AB192" s="69" t="s">
        <v>45</v>
      </c>
      <c r="AC192" s="258" t="s">
        <v>327</v>
      </c>
      <c r="AG192" s="78"/>
      <c r="AJ192" s="84" t="s">
        <v>45</v>
      </c>
      <c r="AK192" s="84">
        <v>0</v>
      </c>
      <c r="BB192" s="259" t="s">
        <v>66</v>
      </c>
      <c r="BM192" s="78">
        <f t="shared" si="16"/>
        <v>0</v>
      </c>
      <c r="BN192" s="78">
        <f t="shared" si="17"/>
        <v>0</v>
      </c>
      <c r="BO192" s="78">
        <f t="shared" si="18"/>
        <v>0</v>
      </c>
      <c r="BP192" s="78">
        <f t="shared" si="19"/>
        <v>0</v>
      </c>
    </row>
    <row r="193" spans="1:68" ht="27" customHeight="1" x14ac:dyDescent="0.25">
      <c r="A193" s="63" t="s">
        <v>339</v>
      </c>
      <c r="B193" s="63" t="s">
        <v>340</v>
      </c>
      <c r="C193" s="36">
        <v>4301031222</v>
      </c>
      <c r="D193" s="561">
        <v>4680115884007</v>
      </c>
      <c r="E193" s="561"/>
      <c r="F193" s="62">
        <v>0.3</v>
      </c>
      <c r="G193" s="37">
        <v>6</v>
      </c>
      <c r="H193" s="62">
        <v>1.8</v>
      </c>
      <c r="I193" s="62">
        <v>1.9</v>
      </c>
      <c r="J193" s="37">
        <v>234</v>
      </c>
      <c r="K193" s="37" t="s">
        <v>85</v>
      </c>
      <c r="L193" s="37" t="s">
        <v>45</v>
      </c>
      <c r="M193" s="38" t="s">
        <v>80</v>
      </c>
      <c r="N193" s="38"/>
      <c r="O193" s="37">
        <v>40</v>
      </c>
      <c r="P193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193" s="563"/>
      <c r="R193" s="563"/>
      <c r="S193" s="563"/>
      <c r="T193" s="564"/>
      <c r="U193" s="39" t="s">
        <v>45</v>
      </c>
      <c r="V193" s="39" t="s">
        <v>45</v>
      </c>
      <c r="W193" s="40" t="s">
        <v>0</v>
      </c>
      <c r="X193" s="58">
        <v>8</v>
      </c>
      <c r="Y193" s="55">
        <f t="shared" si="15"/>
        <v>9</v>
      </c>
      <c r="Z193" s="41">
        <f>IFERROR(IF(Y193=0,"",ROUNDUP(Y193/H193,0)*0.00502),"")</f>
        <v>2.5100000000000001E-2</v>
      </c>
      <c r="AA193" s="68" t="s">
        <v>45</v>
      </c>
      <c r="AB193" s="69" t="s">
        <v>45</v>
      </c>
      <c r="AC193" s="260" t="s">
        <v>330</v>
      </c>
      <c r="AG193" s="78"/>
      <c r="AJ193" s="84" t="s">
        <v>45</v>
      </c>
      <c r="AK193" s="84">
        <v>0</v>
      </c>
      <c r="BB193" s="261" t="s">
        <v>66</v>
      </c>
      <c r="BM193" s="78">
        <f t="shared" si="16"/>
        <v>8.4444444444444446</v>
      </c>
      <c r="BN193" s="78">
        <f t="shared" si="17"/>
        <v>9.4999999999999982</v>
      </c>
      <c r="BO193" s="78">
        <f t="shared" si="18"/>
        <v>1.8993352326685663E-2</v>
      </c>
      <c r="BP193" s="78">
        <f t="shared" si="19"/>
        <v>2.1367521367521368E-2</v>
      </c>
    </row>
    <row r="194" spans="1:68" ht="27" hidden="1" customHeight="1" x14ac:dyDescent="0.25">
      <c r="A194" s="63" t="s">
        <v>341</v>
      </c>
      <c r="B194" s="63" t="s">
        <v>342</v>
      </c>
      <c r="C194" s="36">
        <v>4301031229</v>
      </c>
      <c r="D194" s="561">
        <v>4680115884038</v>
      </c>
      <c r="E194" s="561"/>
      <c r="F194" s="62">
        <v>0.3</v>
      </c>
      <c r="G194" s="37">
        <v>6</v>
      </c>
      <c r="H194" s="62">
        <v>1.8</v>
      </c>
      <c r="I194" s="62">
        <v>1.9</v>
      </c>
      <c r="J194" s="37">
        <v>234</v>
      </c>
      <c r="K194" s="37" t="s">
        <v>85</v>
      </c>
      <c r="L194" s="37" t="s">
        <v>45</v>
      </c>
      <c r="M194" s="38" t="s">
        <v>80</v>
      </c>
      <c r="N194" s="38"/>
      <c r="O194" s="37">
        <v>40</v>
      </c>
      <c r="P194" s="7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194" s="563"/>
      <c r="R194" s="563"/>
      <c r="S194" s="563"/>
      <c r="T194" s="564"/>
      <c r="U194" s="39" t="s">
        <v>45</v>
      </c>
      <c r="V194" s="39" t="s">
        <v>45</v>
      </c>
      <c r="W194" s="40" t="s">
        <v>0</v>
      </c>
      <c r="X194" s="58">
        <v>0</v>
      </c>
      <c r="Y194" s="55">
        <f t="shared" si="15"/>
        <v>0</v>
      </c>
      <c r="Z194" s="41" t="str">
        <f>IFERROR(IF(Y194=0,"",ROUNDUP(Y194/H194,0)*0.00502),"")</f>
        <v/>
      </c>
      <c r="AA194" s="68" t="s">
        <v>45</v>
      </c>
      <c r="AB194" s="69" t="s">
        <v>45</v>
      </c>
      <c r="AC194" s="262" t="s">
        <v>333</v>
      </c>
      <c r="AG194" s="78"/>
      <c r="AJ194" s="84" t="s">
        <v>45</v>
      </c>
      <c r="AK194" s="84">
        <v>0</v>
      </c>
      <c r="BB194" s="263" t="s">
        <v>66</v>
      </c>
      <c r="BM194" s="78">
        <f t="shared" si="16"/>
        <v>0</v>
      </c>
      <c r="BN194" s="78">
        <f t="shared" si="17"/>
        <v>0</v>
      </c>
      <c r="BO194" s="78">
        <f t="shared" si="18"/>
        <v>0</v>
      </c>
      <c r="BP194" s="78">
        <f t="shared" si="19"/>
        <v>0</v>
      </c>
    </row>
    <row r="195" spans="1:68" ht="27" hidden="1" customHeight="1" x14ac:dyDescent="0.25">
      <c r="A195" s="63" t="s">
        <v>343</v>
      </c>
      <c r="B195" s="63" t="s">
        <v>344</v>
      </c>
      <c r="C195" s="36">
        <v>4301031225</v>
      </c>
      <c r="D195" s="561">
        <v>4680115884021</v>
      </c>
      <c r="E195" s="561"/>
      <c r="F195" s="62">
        <v>0.3</v>
      </c>
      <c r="G195" s="37">
        <v>6</v>
      </c>
      <c r="H195" s="62">
        <v>1.8</v>
      </c>
      <c r="I195" s="62">
        <v>1.9</v>
      </c>
      <c r="J195" s="37">
        <v>234</v>
      </c>
      <c r="K195" s="37" t="s">
        <v>85</v>
      </c>
      <c r="L195" s="37" t="s">
        <v>45</v>
      </c>
      <c r="M195" s="38" t="s">
        <v>80</v>
      </c>
      <c r="N195" s="38"/>
      <c r="O195" s="37">
        <v>40</v>
      </c>
      <c r="P195" s="7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195" s="563"/>
      <c r="R195" s="563"/>
      <c r="S195" s="563"/>
      <c r="T195" s="56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si="15"/>
        <v>0</v>
      </c>
      <c r="Z195" s="41" t="str">
        <f>IFERROR(IF(Y195=0,"",ROUNDUP(Y195/H195,0)*0.00502),"")</f>
        <v/>
      </c>
      <c r="AA195" s="68" t="s">
        <v>45</v>
      </c>
      <c r="AB195" s="69" t="s">
        <v>45</v>
      </c>
      <c r="AC195" s="264" t="s">
        <v>336</v>
      </c>
      <c r="AG195" s="78"/>
      <c r="AJ195" s="84" t="s">
        <v>45</v>
      </c>
      <c r="AK195" s="84">
        <v>0</v>
      </c>
      <c r="BB195" s="265" t="s">
        <v>66</v>
      </c>
      <c r="BM195" s="78">
        <f t="shared" si="16"/>
        <v>0</v>
      </c>
      <c r="BN195" s="78">
        <f t="shared" si="17"/>
        <v>0</v>
      </c>
      <c r="BO195" s="78">
        <f t="shared" si="18"/>
        <v>0</v>
      </c>
      <c r="BP195" s="78">
        <f t="shared" si="19"/>
        <v>0</v>
      </c>
    </row>
    <row r="196" spans="1:68" x14ac:dyDescent="0.2">
      <c r="A196" s="555"/>
      <c r="B196" s="555"/>
      <c r="C196" s="555"/>
      <c r="D196" s="555"/>
      <c r="E196" s="555"/>
      <c r="F196" s="555"/>
      <c r="G196" s="555"/>
      <c r="H196" s="555"/>
      <c r="I196" s="555"/>
      <c r="J196" s="555"/>
      <c r="K196" s="555"/>
      <c r="L196" s="555"/>
      <c r="M196" s="555"/>
      <c r="N196" s="555"/>
      <c r="O196" s="556"/>
      <c r="P196" s="552" t="s">
        <v>40</v>
      </c>
      <c r="Q196" s="553"/>
      <c r="R196" s="553"/>
      <c r="S196" s="553"/>
      <c r="T196" s="553"/>
      <c r="U196" s="553"/>
      <c r="V196" s="554"/>
      <c r="W196" s="42" t="s">
        <v>39</v>
      </c>
      <c r="X196" s="43">
        <f>IFERROR(X188/H188,"0")+IFERROR(X189/H189,"0")+IFERROR(X190/H190,"0")+IFERROR(X191/H191,"0")+IFERROR(X192/H192,"0")+IFERROR(X193/H193,"0")+IFERROR(X194/H194,"0")+IFERROR(X195/H195,"0")</f>
        <v>18.851851851851848</v>
      </c>
      <c r="Y196" s="43">
        <f>IFERROR(Y188/H188,"0")+IFERROR(Y189/H189,"0")+IFERROR(Y190/H190,"0")+IFERROR(Y191/H191,"0")+IFERROR(Y192/H192,"0")+IFERROR(Y193/H193,"0")+IFERROR(Y194/H194,"0")+IFERROR(Y195/H195,"0")</f>
        <v>20</v>
      </c>
      <c r="Z196" s="43">
        <f>IFERROR(IF(Z188="",0,Z188),"0")+IFERROR(IF(Z189="",0,Z189),"0")+IFERROR(IF(Z190="",0,Z190),"0")+IFERROR(IF(Z191="",0,Z191),"0")+IFERROR(IF(Z192="",0,Z192),"0")+IFERROR(IF(Z193="",0,Z193),"0")+IFERROR(IF(Z194="",0,Z194),"0")+IFERROR(IF(Z195="",0,Z195),"0")</f>
        <v>0.16040000000000001</v>
      </c>
      <c r="AA196" s="67"/>
      <c r="AB196" s="67"/>
      <c r="AC196" s="67"/>
    </row>
    <row r="197" spans="1:68" x14ac:dyDescent="0.2">
      <c r="A197" s="555"/>
      <c r="B197" s="555"/>
      <c r="C197" s="555"/>
      <c r="D197" s="555"/>
      <c r="E197" s="555"/>
      <c r="F197" s="555"/>
      <c r="G197" s="555"/>
      <c r="H197" s="555"/>
      <c r="I197" s="555"/>
      <c r="J197" s="555"/>
      <c r="K197" s="555"/>
      <c r="L197" s="555"/>
      <c r="M197" s="555"/>
      <c r="N197" s="555"/>
      <c r="O197" s="556"/>
      <c r="P197" s="552" t="s">
        <v>40</v>
      </c>
      <c r="Q197" s="553"/>
      <c r="R197" s="553"/>
      <c r="S197" s="553"/>
      <c r="T197" s="553"/>
      <c r="U197" s="553"/>
      <c r="V197" s="554"/>
      <c r="W197" s="42" t="s">
        <v>0</v>
      </c>
      <c r="X197" s="43">
        <f>IFERROR(SUM(X188:X195),"0")</f>
        <v>85.8</v>
      </c>
      <c r="Y197" s="43">
        <f>IFERROR(SUM(Y188:Y195),"0")</f>
        <v>90</v>
      </c>
      <c r="Z197" s="42"/>
      <c r="AA197" s="67"/>
      <c r="AB197" s="67"/>
      <c r="AC197" s="67"/>
    </row>
    <row r="198" spans="1:68" ht="14.25" hidden="1" customHeight="1" x14ac:dyDescent="0.25">
      <c r="A198" s="566" t="s">
        <v>86</v>
      </c>
      <c r="B198" s="566"/>
      <c r="C198" s="566"/>
      <c r="D198" s="566"/>
      <c r="E198" s="566"/>
      <c r="F198" s="566"/>
      <c r="G198" s="566"/>
      <c r="H198" s="566"/>
      <c r="I198" s="566"/>
      <c r="J198" s="566"/>
      <c r="K198" s="566"/>
      <c r="L198" s="566"/>
      <c r="M198" s="566"/>
      <c r="N198" s="566"/>
      <c r="O198" s="566"/>
      <c r="P198" s="566"/>
      <c r="Q198" s="566"/>
      <c r="R198" s="566"/>
      <c r="S198" s="566"/>
      <c r="T198" s="566"/>
      <c r="U198" s="566"/>
      <c r="V198" s="566"/>
      <c r="W198" s="566"/>
      <c r="X198" s="566"/>
      <c r="Y198" s="566"/>
      <c r="Z198" s="566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4301051408</v>
      </c>
      <c r="D199" s="561">
        <v>4680115881594</v>
      </c>
      <c r="E199" s="561"/>
      <c r="F199" s="62">
        <v>1.35</v>
      </c>
      <c r="G199" s="37">
        <v>6</v>
      </c>
      <c r="H199" s="62">
        <v>8.1</v>
      </c>
      <c r="I199" s="62">
        <v>8.5939999999999994</v>
      </c>
      <c r="J199" s="37">
        <v>64</v>
      </c>
      <c r="K199" s="37" t="s">
        <v>113</v>
      </c>
      <c r="L199" s="37" t="s">
        <v>45</v>
      </c>
      <c r="M199" s="38" t="s">
        <v>90</v>
      </c>
      <c r="N199" s="38"/>
      <c r="O199" s="37">
        <v>40</v>
      </c>
      <c r="P199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99" s="563"/>
      <c r="R199" s="563"/>
      <c r="S199" s="563"/>
      <c r="T199" s="56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ref="Y199:Y207" si="20"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66" t="s">
        <v>347</v>
      </c>
      <c r="AG199" s="78"/>
      <c r="AJ199" s="84" t="s">
        <v>45</v>
      </c>
      <c r="AK199" s="84">
        <v>0</v>
      </c>
      <c r="BB199" s="267" t="s">
        <v>66</v>
      </c>
      <c r="BM199" s="78">
        <f t="shared" ref="BM199:BM207" si="21">IFERROR(X199*I199/H199,"0")</f>
        <v>0</v>
      </c>
      <c r="BN199" s="78">
        <f t="shared" ref="BN199:BN207" si="22">IFERROR(Y199*I199/H199,"0")</f>
        <v>0</v>
      </c>
      <c r="BO199" s="78">
        <f t="shared" ref="BO199:BO207" si="23">IFERROR(1/J199*(X199/H199),"0")</f>
        <v>0</v>
      </c>
      <c r="BP199" s="78">
        <f t="shared" ref="BP199:BP207" si="24">IFERROR(1/J199*(Y199/H199),"0")</f>
        <v>0</v>
      </c>
    </row>
    <row r="200" spans="1:68" ht="27" hidden="1" customHeight="1" x14ac:dyDescent="0.25">
      <c r="A200" s="63" t="s">
        <v>348</v>
      </c>
      <c r="B200" s="63" t="s">
        <v>349</v>
      </c>
      <c r="C200" s="36">
        <v>4301051411</v>
      </c>
      <c r="D200" s="561">
        <v>4680115881617</v>
      </c>
      <c r="E200" s="561"/>
      <c r="F200" s="62">
        <v>1.35</v>
      </c>
      <c r="G200" s="37">
        <v>6</v>
      </c>
      <c r="H200" s="62">
        <v>8.1</v>
      </c>
      <c r="I200" s="62">
        <v>8.5760000000000005</v>
      </c>
      <c r="J200" s="37">
        <v>64</v>
      </c>
      <c r="K200" s="37" t="s">
        <v>113</v>
      </c>
      <c r="L200" s="37" t="s">
        <v>45</v>
      </c>
      <c r="M200" s="38" t="s">
        <v>90</v>
      </c>
      <c r="N200" s="38"/>
      <c r="O200" s="37">
        <v>40</v>
      </c>
      <c r="P200" s="7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0" s="563"/>
      <c r="R200" s="563"/>
      <c r="S200" s="563"/>
      <c r="T200" s="56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20"/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8" t="s">
        <v>350</v>
      </c>
      <c r="AG200" s="78"/>
      <c r="AJ200" s="84" t="s">
        <v>45</v>
      </c>
      <c r="AK200" s="84">
        <v>0</v>
      </c>
      <c r="BB200" s="269" t="s">
        <v>66</v>
      </c>
      <c r="BM200" s="78">
        <f t="shared" si="21"/>
        <v>0</v>
      </c>
      <c r="BN200" s="78">
        <f t="shared" si="22"/>
        <v>0</v>
      </c>
      <c r="BO200" s="78">
        <f t="shared" si="23"/>
        <v>0</v>
      </c>
      <c r="BP200" s="78">
        <f t="shared" si="24"/>
        <v>0</v>
      </c>
    </row>
    <row r="201" spans="1:68" ht="27" hidden="1" customHeight="1" x14ac:dyDescent="0.25">
      <c r="A201" s="63" t="s">
        <v>351</v>
      </c>
      <c r="B201" s="63" t="s">
        <v>352</v>
      </c>
      <c r="C201" s="36">
        <v>4301051656</v>
      </c>
      <c r="D201" s="561">
        <v>4680115880573</v>
      </c>
      <c r="E201" s="561"/>
      <c r="F201" s="62">
        <v>1.45</v>
      </c>
      <c r="G201" s="37">
        <v>6</v>
      </c>
      <c r="H201" s="62">
        <v>8.6999999999999993</v>
      </c>
      <c r="I201" s="62">
        <v>9.1940000000000008</v>
      </c>
      <c r="J201" s="37">
        <v>64</v>
      </c>
      <c r="K201" s="37" t="s">
        <v>113</v>
      </c>
      <c r="L201" s="37" t="s">
        <v>45</v>
      </c>
      <c r="M201" s="38" t="s">
        <v>90</v>
      </c>
      <c r="N201" s="38"/>
      <c r="O201" s="37">
        <v>45</v>
      </c>
      <c r="P201" s="7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1" s="563"/>
      <c r="R201" s="563"/>
      <c r="S201" s="563"/>
      <c r="T201" s="56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20"/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70" t="s">
        <v>353</v>
      </c>
      <c r="AG201" s="78"/>
      <c r="AJ201" s="84" t="s">
        <v>45</v>
      </c>
      <c r="AK201" s="84">
        <v>0</v>
      </c>
      <c r="BB201" s="271" t="s">
        <v>66</v>
      </c>
      <c r="BM201" s="78">
        <f t="shared" si="21"/>
        <v>0</v>
      </c>
      <c r="BN201" s="78">
        <f t="shared" si="22"/>
        <v>0</v>
      </c>
      <c r="BO201" s="78">
        <f t="shared" si="23"/>
        <v>0</v>
      </c>
      <c r="BP201" s="78">
        <f t="shared" si="24"/>
        <v>0</v>
      </c>
    </row>
    <row r="202" spans="1:68" ht="37.5" customHeight="1" x14ac:dyDescent="0.25">
      <c r="A202" s="63" t="s">
        <v>354</v>
      </c>
      <c r="B202" s="63" t="s">
        <v>355</v>
      </c>
      <c r="C202" s="36">
        <v>4301051407</v>
      </c>
      <c r="D202" s="561">
        <v>4680115882195</v>
      </c>
      <c r="E202" s="561"/>
      <c r="F202" s="62">
        <v>0.4</v>
      </c>
      <c r="G202" s="37">
        <v>6</v>
      </c>
      <c r="H202" s="62">
        <v>2.4</v>
      </c>
      <c r="I202" s="62">
        <v>2.67</v>
      </c>
      <c r="J202" s="37">
        <v>182</v>
      </c>
      <c r="K202" s="37" t="s">
        <v>81</v>
      </c>
      <c r="L202" s="37" t="s">
        <v>45</v>
      </c>
      <c r="M202" s="38" t="s">
        <v>90</v>
      </c>
      <c r="N202" s="38"/>
      <c r="O202" s="37">
        <v>40</v>
      </c>
      <c r="P202" s="7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2" s="563"/>
      <c r="R202" s="563"/>
      <c r="S202" s="563"/>
      <c r="T202" s="564"/>
      <c r="U202" s="39" t="s">
        <v>45</v>
      </c>
      <c r="V202" s="39" t="s">
        <v>45</v>
      </c>
      <c r="W202" s="40" t="s">
        <v>0</v>
      </c>
      <c r="X202" s="58">
        <v>49</v>
      </c>
      <c r="Y202" s="55">
        <f t="shared" si="20"/>
        <v>50.4</v>
      </c>
      <c r="Z202" s="41">
        <f t="shared" ref="Z202:Z207" si="25">IFERROR(IF(Y202=0,"",ROUNDUP(Y202/H202,0)*0.00651),"")</f>
        <v>0.13671</v>
      </c>
      <c r="AA202" s="68" t="s">
        <v>45</v>
      </c>
      <c r="AB202" s="69" t="s">
        <v>45</v>
      </c>
      <c r="AC202" s="272" t="s">
        <v>356</v>
      </c>
      <c r="AG202" s="78"/>
      <c r="AJ202" s="84" t="s">
        <v>45</v>
      </c>
      <c r="AK202" s="84">
        <v>0</v>
      </c>
      <c r="BB202" s="273" t="s">
        <v>66</v>
      </c>
      <c r="BM202" s="78">
        <f t="shared" si="21"/>
        <v>54.512499999999996</v>
      </c>
      <c r="BN202" s="78">
        <f t="shared" si="22"/>
        <v>56.069999999999993</v>
      </c>
      <c r="BO202" s="78">
        <f t="shared" si="23"/>
        <v>0.1121794871794872</v>
      </c>
      <c r="BP202" s="78">
        <f t="shared" si="24"/>
        <v>0.11538461538461539</v>
      </c>
    </row>
    <row r="203" spans="1:68" ht="27" hidden="1" customHeight="1" x14ac:dyDescent="0.25">
      <c r="A203" s="63" t="s">
        <v>357</v>
      </c>
      <c r="B203" s="63" t="s">
        <v>358</v>
      </c>
      <c r="C203" s="36">
        <v>4301051752</v>
      </c>
      <c r="D203" s="561">
        <v>4680115882607</v>
      </c>
      <c r="E203" s="561"/>
      <c r="F203" s="62">
        <v>0.3</v>
      </c>
      <c r="G203" s="37">
        <v>6</v>
      </c>
      <c r="H203" s="62">
        <v>1.8</v>
      </c>
      <c r="I203" s="62">
        <v>2.052</v>
      </c>
      <c r="J203" s="37">
        <v>182</v>
      </c>
      <c r="K203" s="37" t="s">
        <v>81</v>
      </c>
      <c r="L203" s="37" t="s">
        <v>45</v>
      </c>
      <c r="M203" s="38" t="s">
        <v>96</v>
      </c>
      <c r="N203" s="38"/>
      <c r="O203" s="37">
        <v>45</v>
      </c>
      <c r="P203" s="69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03" s="563"/>
      <c r="R203" s="563"/>
      <c r="S203" s="563"/>
      <c r="T203" s="56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20"/>
        <v>0</v>
      </c>
      <c r="Z203" s="41" t="str">
        <f t="shared" si="25"/>
        <v/>
      </c>
      <c r="AA203" s="68" t="s">
        <v>45</v>
      </c>
      <c r="AB203" s="69" t="s">
        <v>45</v>
      </c>
      <c r="AC203" s="274" t="s">
        <v>353</v>
      </c>
      <c r="AG203" s="78"/>
      <c r="AJ203" s="84" t="s">
        <v>45</v>
      </c>
      <c r="AK203" s="84">
        <v>0</v>
      </c>
      <c r="BB203" s="275" t="s">
        <v>66</v>
      </c>
      <c r="BM203" s="78">
        <f t="shared" si="21"/>
        <v>0</v>
      </c>
      <c r="BN203" s="78">
        <f t="shared" si="22"/>
        <v>0</v>
      </c>
      <c r="BO203" s="78">
        <f t="shared" si="23"/>
        <v>0</v>
      </c>
      <c r="BP203" s="78">
        <f t="shared" si="24"/>
        <v>0</v>
      </c>
    </row>
    <row r="204" spans="1:68" ht="27" customHeight="1" x14ac:dyDescent="0.25">
      <c r="A204" s="63" t="s">
        <v>359</v>
      </c>
      <c r="B204" s="63" t="s">
        <v>360</v>
      </c>
      <c r="C204" s="36">
        <v>4301051666</v>
      </c>
      <c r="D204" s="561">
        <v>4680115880092</v>
      </c>
      <c r="E204" s="561"/>
      <c r="F204" s="62">
        <v>0.4</v>
      </c>
      <c r="G204" s="37">
        <v>6</v>
      </c>
      <c r="H204" s="62">
        <v>2.4</v>
      </c>
      <c r="I204" s="62">
        <v>2.6520000000000001</v>
      </c>
      <c r="J204" s="37">
        <v>182</v>
      </c>
      <c r="K204" s="37" t="s">
        <v>81</v>
      </c>
      <c r="L204" s="37" t="s">
        <v>45</v>
      </c>
      <c r="M204" s="38" t="s">
        <v>90</v>
      </c>
      <c r="N204" s="38"/>
      <c r="O204" s="37">
        <v>45</v>
      </c>
      <c r="P204" s="70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04" s="563"/>
      <c r="R204" s="563"/>
      <c r="S204" s="563"/>
      <c r="T204" s="564"/>
      <c r="U204" s="39" t="s">
        <v>45</v>
      </c>
      <c r="V204" s="39" t="s">
        <v>45</v>
      </c>
      <c r="W204" s="40" t="s">
        <v>0</v>
      </c>
      <c r="X204" s="58">
        <v>88</v>
      </c>
      <c r="Y204" s="55">
        <f t="shared" si="20"/>
        <v>88.8</v>
      </c>
      <c r="Z204" s="41">
        <f t="shared" si="25"/>
        <v>0.24087</v>
      </c>
      <c r="AA204" s="68" t="s">
        <v>45</v>
      </c>
      <c r="AB204" s="69" t="s">
        <v>45</v>
      </c>
      <c r="AC204" s="276" t="s">
        <v>353</v>
      </c>
      <c r="AG204" s="78"/>
      <c r="AJ204" s="84" t="s">
        <v>45</v>
      </c>
      <c r="AK204" s="84">
        <v>0</v>
      </c>
      <c r="BB204" s="277" t="s">
        <v>66</v>
      </c>
      <c r="BM204" s="78">
        <f t="shared" si="21"/>
        <v>97.240000000000009</v>
      </c>
      <c r="BN204" s="78">
        <f t="shared" si="22"/>
        <v>98.124000000000009</v>
      </c>
      <c r="BO204" s="78">
        <f t="shared" si="23"/>
        <v>0.2014652014652015</v>
      </c>
      <c r="BP204" s="78">
        <f t="shared" si="24"/>
        <v>0.20329670329670332</v>
      </c>
    </row>
    <row r="205" spans="1:68" ht="27" customHeight="1" x14ac:dyDescent="0.25">
      <c r="A205" s="63" t="s">
        <v>361</v>
      </c>
      <c r="B205" s="63" t="s">
        <v>362</v>
      </c>
      <c r="C205" s="36">
        <v>4301051668</v>
      </c>
      <c r="D205" s="561">
        <v>4680115880221</v>
      </c>
      <c r="E205" s="561"/>
      <c r="F205" s="62">
        <v>0.4</v>
      </c>
      <c r="G205" s="37">
        <v>6</v>
      </c>
      <c r="H205" s="62">
        <v>2.4</v>
      </c>
      <c r="I205" s="62">
        <v>2.6520000000000001</v>
      </c>
      <c r="J205" s="37">
        <v>182</v>
      </c>
      <c r="K205" s="37" t="s">
        <v>81</v>
      </c>
      <c r="L205" s="37" t="s">
        <v>45</v>
      </c>
      <c r="M205" s="38" t="s">
        <v>90</v>
      </c>
      <c r="N205" s="38"/>
      <c r="O205" s="37">
        <v>45</v>
      </c>
      <c r="P205" s="7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05" s="563"/>
      <c r="R205" s="563"/>
      <c r="S205" s="563"/>
      <c r="T205" s="564"/>
      <c r="U205" s="39" t="s">
        <v>45</v>
      </c>
      <c r="V205" s="39" t="s">
        <v>45</v>
      </c>
      <c r="W205" s="40" t="s">
        <v>0</v>
      </c>
      <c r="X205" s="58">
        <v>32</v>
      </c>
      <c r="Y205" s="55">
        <f t="shared" si="20"/>
        <v>33.6</v>
      </c>
      <c r="Z205" s="41">
        <f t="shared" si="25"/>
        <v>9.1139999999999999E-2</v>
      </c>
      <c r="AA205" s="68" t="s">
        <v>45</v>
      </c>
      <c r="AB205" s="69" t="s">
        <v>45</v>
      </c>
      <c r="AC205" s="278" t="s">
        <v>353</v>
      </c>
      <c r="AG205" s="78"/>
      <c r="AJ205" s="84" t="s">
        <v>45</v>
      </c>
      <c r="AK205" s="84">
        <v>0</v>
      </c>
      <c r="BB205" s="279" t="s">
        <v>66</v>
      </c>
      <c r="BM205" s="78">
        <f t="shared" si="21"/>
        <v>35.360000000000007</v>
      </c>
      <c r="BN205" s="78">
        <f t="shared" si="22"/>
        <v>37.128000000000007</v>
      </c>
      <c r="BO205" s="78">
        <f t="shared" si="23"/>
        <v>7.3260073260073263E-2</v>
      </c>
      <c r="BP205" s="78">
        <f t="shared" si="24"/>
        <v>7.6923076923076941E-2</v>
      </c>
    </row>
    <row r="206" spans="1:68" ht="27" customHeight="1" x14ac:dyDescent="0.25">
      <c r="A206" s="63" t="s">
        <v>363</v>
      </c>
      <c r="B206" s="63" t="s">
        <v>364</v>
      </c>
      <c r="C206" s="36">
        <v>4301051945</v>
      </c>
      <c r="D206" s="561">
        <v>4680115880504</v>
      </c>
      <c r="E206" s="561"/>
      <c r="F206" s="62">
        <v>0.4</v>
      </c>
      <c r="G206" s="37">
        <v>6</v>
      </c>
      <c r="H206" s="62">
        <v>2.4</v>
      </c>
      <c r="I206" s="62">
        <v>2.6520000000000001</v>
      </c>
      <c r="J206" s="37">
        <v>182</v>
      </c>
      <c r="K206" s="37" t="s">
        <v>81</v>
      </c>
      <c r="L206" s="37" t="s">
        <v>45</v>
      </c>
      <c r="M206" s="38" t="s">
        <v>96</v>
      </c>
      <c r="N206" s="38"/>
      <c r="O206" s="37">
        <v>40</v>
      </c>
      <c r="P206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06" s="563"/>
      <c r="R206" s="563"/>
      <c r="S206" s="563"/>
      <c r="T206" s="564"/>
      <c r="U206" s="39" t="s">
        <v>45</v>
      </c>
      <c r="V206" s="39" t="s">
        <v>45</v>
      </c>
      <c r="W206" s="40" t="s">
        <v>0</v>
      </c>
      <c r="X206" s="58">
        <v>120</v>
      </c>
      <c r="Y206" s="55">
        <f t="shared" si="20"/>
        <v>120</v>
      </c>
      <c r="Z206" s="41">
        <f t="shared" si="25"/>
        <v>0.32550000000000001</v>
      </c>
      <c r="AA206" s="68" t="s">
        <v>45</v>
      </c>
      <c r="AB206" s="69" t="s">
        <v>45</v>
      </c>
      <c r="AC206" s="280" t="s">
        <v>365</v>
      </c>
      <c r="AG206" s="78"/>
      <c r="AJ206" s="84" t="s">
        <v>45</v>
      </c>
      <c r="AK206" s="84">
        <v>0</v>
      </c>
      <c r="BB206" s="281" t="s">
        <v>66</v>
      </c>
      <c r="BM206" s="78">
        <f t="shared" si="21"/>
        <v>132.60000000000002</v>
      </c>
      <c r="BN206" s="78">
        <f t="shared" si="22"/>
        <v>132.60000000000002</v>
      </c>
      <c r="BO206" s="78">
        <f t="shared" si="23"/>
        <v>0.27472527472527475</v>
      </c>
      <c r="BP206" s="78">
        <f t="shared" si="24"/>
        <v>0.27472527472527475</v>
      </c>
    </row>
    <row r="207" spans="1:68" ht="27" hidden="1" customHeight="1" x14ac:dyDescent="0.25">
      <c r="A207" s="63" t="s">
        <v>366</v>
      </c>
      <c r="B207" s="63" t="s">
        <v>367</v>
      </c>
      <c r="C207" s="36">
        <v>4301051410</v>
      </c>
      <c r="D207" s="561">
        <v>4680115882164</v>
      </c>
      <c r="E207" s="561"/>
      <c r="F207" s="62">
        <v>0.4</v>
      </c>
      <c r="G207" s="37">
        <v>6</v>
      </c>
      <c r="H207" s="62">
        <v>2.4</v>
      </c>
      <c r="I207" s="62">
        <v>2.6579999999999999</v>
      </c>
      <c r="J207" s="37">
        <v>182</v>
      </c>
      <c r="K207" s="37" t="s">
        <v>81</v>
      </c>
      <c r="L207" s="37" t="s">
        <v>45</v>
      </c>
      <c r="M207" s="38" t="s">
        <v>90</v>
      </c>
      <c r="N207" s="38"/>
      <c r="O207" s="37">
        <v>40</v>
      </c>
      <c r="P207" s="70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07" s="563"/>
      <c r="R207" s="563"/>
      <c r="S207" s="563"/>
      <c r="T207" s="56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20"/>
        <v>0</v>
      </c>
      <c r="Z207" s="41" t="str">
        <f t="shared" si="25"/>
        <v/>
      </c>
      <c r="AA207" s="68" t="s">
        <v>45</v>
      </c>
      <c r="AB207" s="69" t="s">
        <v>45</v>
      </c>
      <c r="AC207" s="282" t="s">
        <v>350</v>
      </c>
      <c r="AG207" s="78"/>
      <c r="AJ207" s="84" t="s">
        <v>45</v>
      </c>
      <c r="AK207" s="84">
        <v>0</v>
      </c>
      <c r="BB207" s="283" t="s">
        <v>66</v>
      </c>
      <c r="BM207" s="78">
        <f t="shared" si="21"/>
        <v>0</v>
      </c>
      <c r="BN207" s="78">
        <f t="shared" si="22"/>
        <v>0</v>
      </c>
      <c r="BO207" s="78">
        <f t="shared" si="23"/>
        <v>0</v>
      </c>
      <c r="BP207" s="78">
        <f t="shared" si="24"/>
        <v>0</v>
      </c>
    </row>
    <row r="208" spans="1:68" x14ac:dyDescent="0.2">
      <c r="A208" s="555"/>
      <c r="B208" s="555"/>
      <c r="C208" s="555"/>
      <c r="D208" s="555"/>
      <c r="E208" s="555"/>
      <c r="F208" s="555"/>
      <c r="G208" s="555"/>
      <c r="H208" s="555"/>
      <c r="I208" s="555"/>
      <c r="J208" s="555"/>
      <c r="K208" s="555"/>
      <c r="L208" s="555"/>
      <c r="M208" s="555"/>
      <c r="N208" s="555"/>
      <c r="O208" s="556"/>
      <c r="P208" s="552" t="s">
        <v>40</v>
      </c>
      <c r="Q208" s="553"/>
      <c r="R208" s="553"/>
      <c r="S208" s="553"/>
      <c r="T208" s="553"/>
      <c r="U208" s="553"/>
      <c r="V208" s="554"/>
      <c r="W208" s="42" t="s">
        <v>39</v>
      </c>
      <c r="X208" s="43">
        <f>IFERROR(X199/H199,"0")+IFERROR(X200/H200,"0")+IFERROR(X201/H201,"0")+IFERROR(X202/H202,"0")+IFERROR(X203/H203,"0")+IFERROR(X204/H204,"0")+IFERROR(X205/H205,"0")+IFERROR(X206/H206,"0")+IFERROR(X207/H207,"0")</f>
        <v>120.41666666666667</v>
      </c>
      <c r="Y208" s="43">
        <f>IFERROR(Y199/H199,"0")+IFERROR(Y200/H200,"0")+IFERROR(Y201/H201,"0")+IFERROR(Y202/H202,"0")+IFERROR(Y203/H203,"0")+IFERROR(Y204/H204,"0")+IFERROR(Y205/H205,"0")+IFERROR(Y206/H206,"0")+IFERROR(Y207/H207,"0")</f>
        <v>122</v>
      </c>
      <c r="Z208" s="43">
        <f>IFERROR(IF(Z199="",0,Z199),"0")+IFERROR(IF(Z200="",0,Z200),"0")+IFERROR(IF(Z201="",0,Z201),"0")+IFERROR(IF(Z202="",0,Z202),"0")+IFERROR(IF(Z203="",0,Z203),"0")+IFERROR(IF(Z204="",0,Z204),"0")+IFERROR(IF(Z205="",0,Z205),"0")+IFERROR(IF(Z206="",0,Z206),"0")+IFERROR(IF(Z207="",0,Z207),"0")</f>
        <v>0.79422000000000004</v>
      </c>
      <c r="AA208" s="67"/>
      <c r="AB208" s="67"/>
      <c r="AC208" s="67"/>
    </row>
    <row r="209" spans="1:68" x14ac:dyDescent="0.2">
      <c r="A209" s="555"/>
      <c r="B209" s="555"/>
      <c r="C209" s="555"/>
      <c r="D209" s="555"/>
      <c r="E209" s="555"/>
      <c r="F209" s="555"/>
      <c r="G209" s="555"/>
      <c r="H209" s="555"/>
      <c r="I209" s="555"/>
      <c r="J209" s="555"/>
      <c r="K209" s="555"/>
      <c r="L209" s="555"/>
      <c r="M209" s="555"/>
      <c r="N209" s="555"/>
      <c r="O209" s="556"/>
      <c r="P209" s="552" t="s">
        <v>40</v>
      </c>
      <c r="Q209" s="553"/>
      <c r="R209" s="553"/>
      <c r="S209" s="553"/>
      <c r="T209" s="553"/>
      <c r="U209" s="553"/>
      <c r="V209" s="554"/>
      <c r="W209" s="42" t="s">
        <v>0</v>
      </c>
      <c r="X209" s="43">
        <f>IFERROR(SUM(X199:X207),"0")</f>
        <v>289</v>
      </c>
      <c r="Y209" s="43">
        <f>IFERROR(SUM(Y199:Y207),"0")</f>
        <v>292.79999999999995</v>
      </c>
      <c r="Z209" s="42"/>
      <c r="AA209" s="67"/>
      <c r="AB209" s="67"/>
      <c r="AC209" s="67"/>
    </row>
    <row r="210" spans="1:68" ht="14.25" hidden="1" customHeight="1" x14ac:dyDescent="0.25">
      <c r="A210" s="566" t="s">
        <v>166</v>
      </c>
      <c r="B210" s="566"/>
      <c r="C210" s="566"/>
      <c r="D210" s="566"/>
      <c r="E210" s="566"/>
      <c r="F210" s="566"/>
      <c r="G210" s="566"/>
      <c r="H210" s="566"/>
      <c r="I210" s="566"/>
      <c r="J210" s="566"/>
      <c r="K210" s="566"/>
      <c r="L210" s="566"/>
      <c r="M210" s="566"/>
      <c r="N210" s="566"/>
      <c r="O210" s="566"/>
      <c r="P210" s="566"/>
      <c r="Q210" s="566"/>
      <c r="R210" s="566"/>
      <c r="S210" s="566"/>
      <c r="T210" s="566"/>
      <c r="U210" s="566"/>
      <c r="V210" s="566"/>
      <c r="W210" s="566"/>
      <c r="X210" s="566"/>
      <c r="Y210" s="566"/>
      <c r="Z210" s="566"/>
      <c r="AA210" s="66"/>
      <c r="AB210" s="66"/>
      <c r="AC210" s="80"/>
    </row>
    <row r="211" spans="1:68" ht="27" hidden="1" customHeight="1" x14ac:dyDescent="0.25">
      <c r="A211" s="63" t="s">
        <v>368</v>
      </c>
      <c r="B211" s="63" t="s">
        <v>369</v>
      </c>
      <c r="C211" s="36">
        <v>4301060463</v>
      </c>
      <c r="D211" s="561">
        <v>4680115880818</v>
      </c>
      <c r="E211" s="56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81</v>
      </c>
      <c r="L211" s="37" t="s">
        <v>45</v>
      </c>
      <c r="M211" s="38" t="s">
        <v>96</v>
      </c>
      <c r="N211" s="38"/>
      <c r="O211" s="37">
        <v>40</v>
      </c>
      <c r="P211" s="6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1" s="563"/>
      <c r="R211" s="563"/>
      <c r="S211" s="563"/>
      <c r="T211" s="564"/>
      <c r="U211" s="39" t="s">
        <v>45</v>
      </c>
      <c r="V211" s="39" t="s">
        <v>45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IFERROR(IF(Y211=0,"",ROUNDUP(Y211/H211,0)*0.00651),"")</f>
        <v/>
      </c>
      <c r="AA211" s="68" t="s">
        <v>45</v>
      </c>
      <c r="AB211" s="69" t="s">
        <v>45</v>
      </c>
      <c r="AC211" s="284" t="s">
        <v>370</v>
      </c>
      <c r="AG211" s="78"/>
      <c r="AJ211" s="84" t="s">
        <v>45</v>
      </c>
      <c r="AK211" s="84">
        <v>0</v>
      </c>
      <c r="BB211" s="285" t="s">
        <v>66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4301060389</v>
      </c>
      <c r="D212" s="561">
        <v>4680115880801</v>
      </c>
      <c r="E212" s="56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81</v>
      </c>
      <c r="L212" s="37" t="s">
        <v>45</v>
      </c>
      <c r="M212" s="38" t="s">
        <v>90</v>
      </c>
      <c r="N212" s="38"/>
      <c r="O212" s="37">
        <v>40</v>
      </c>
      <c r="P212" s="6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2" s="563"/>
      <c r="R212" s="563"/>
      <c r="S212" s="563"/>
      <c r="T212" s="564"/>
      <c r="U212" s="39" t="s">
        <v>45</v>
      </c>
      <c r="V212" s="39" t="s">
        <v>45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45</v>
      </c>
      <c r="AB212" s="69" t="s">
        <v>45</v>
      </c>
      <c r="AC212" s="286" t="s">
        <v>373</v>
      </c>
      <c r="AG212" s="78"/>
      <c r="AJ212" s="84" t="s">
        <v>45</v>
      </c>
      <c r="AK212" s="84">
        <v>0</v>
      </c>
      <c r="BB212" s="287" t="s">
        <v>66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hidden="1" x14ac:dyDescent="0.2">
      <c r="A213" s="555"/>
      <c r="B213" s="555"/>
      <c r="C213" s="555"/>
      <c r="D213" s="555"/>
      <c r="E213" s="555"/>
      <c r="F213" s="555"/>
      <c r="G213" s="555"/>
      <c r="H213" s="555"/>
      <c r="I213" s="555"/>
      <c r="J213" s="555"/>
      <c r="K213" s="555"/>
      <c r="L213" s="555"/>
      <c r="M213" s="555"/>
      <c r="N213" s="555"/>
      <c r="O213" s="556"/>
      <c r="P213" s="552" t="s">
        <v>40</v>
      </c>
      <c r="Q213" s="553"/>
      <c r="R213" s="553"/>
      <c r="S213" s="553"/>
      <c r="T213" s="553"/>
      <c r="U213" s="553"/>
      <c r="V213" s="554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555"/>
      <c r="B214" s="555"/>
      <c r="C214" s="555"/>
      <c r="D214" s="555"/>
      <c r="E214" s="555"/>
      <c r="F214" s="555"/>
      <c r="G214" s="555"/>
      <c r="H214" s="555"/>
      <c r="I214" s="555"/>
      <c r="J214" s="555"/>
      <c r="K214" s="555"/>
      <c r="L214" s="555"/>
      <c r="M214" s="555"/>
      <c r="N214" s="555"/>
      <c r="O214" s="556"/>
      <c r="P214" s="552" t="s">
        <v>40</v>
      </c>
      <c r="Q214" s="553"/>
      <c r="R214" s="553"/>
      <c r="S214" s="553"/>
      <c r="T214" s="553"/>
      <c r="U214" s="553"/>
      <c r="V214" s="554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6.5" hidden="1" customHeight="1" x14ac:dyDescent="0.25">
      <c r="A215" s="565" t="s">
        <v>374</v>
      </c>
      <c r="B215" s="565"/>
      <c r="C215" s="565"/>
      <c r="D215" s="565"/>
      <c r="E215" s="565"/>
      <c r="F215" s="565"/>
      <c r="G215" s="565"/>
      <c r="H215" s="565"/>
      <c r="I215" s="565"/>
      <c r="J215" s="565"/>
      <c r="K215" s="565"/>
      <c r="L215" s="565"/>
      <c r="M215" s="565"/>
      <c r="N215" s="565"/>
      <c r="O215" s="565"/>
      <c r="P215" s="565"/>
      <c r="Q215" s="565"/>
      <c r="R215" s="565"/>
      <c r="S215" s="565"/>
      <c r="T215" s="565"/>
      <c r="U215" s="565"/>
      <c r="V215" s="565"/>
      <c r="W215" s="565"/>
      <c r="X215" s="565"/>
      <c r="Y215" s="565"/>
      <c r="Z215" s="565"/>
      <c r="AA215" s="65"/>
      <c r="AB215" s="65"/>
      <c r="AC215" s="79"/>
    </row>
    <row r="216" spans="1:68" ht="14.25" hidden="1" customHeight="1" x14ac:dyDescent="0.25">
      <c r="A216" s="566" t="s">
        <v>108</v>
      </c>
      <c r="B216" s="566"/>
      <c r="C216" s="566"/>
      <c r="D216" s="566"/>
      <c r="E216" s="566"/>
      <c r="F216" s="566"/>
      <c r="G216" s="566"/>
      <c r="H216" s="566"/>
      <c r="I216" s="566"/>
      <c r="J216" s="566"/>
      <c r="K216" s="566"/>
      <c r="L216" s="566"/>
      <c r="M216" s="566"/>
      <c r="N216" s="566"/>
      <c r="O216" s="566"/>
      <c r="P216" s="566"/>
      <c r="Q216" s="566"/>
      <c r="R216" s="566"/>
      <c r="S216" s="566"/>
      <c r="T216" s="566"/>
      <c r="U216" s="566"/>
      <c r="V216" s="566"/>
      <c r="W216" s="566"/>
      <c r="X216" s="566"/>
      <c r="Y216" s="566"/>
      <c r="Z216" s="566"/>
      <c r="AA216" s="66"/>
      <c r="AB216" s="66"/>
      <c r="AC216" s="80"/>
    </row>
    <row r="217" spans="1:68" ht="27" hidden="1" customHeight="1" x14ac:dyDescent="0.25">
      <c r="A217" s="63" t="s">
        <v>375</v>
      </c>
      <c r="B217" s="63" t="s">
        <v>376</v>
      </c>
      <c r="C217" s="36">
        <v>4301011826</v>
      </c>
      <c r="D217" s="561">
        <v>4680115884137</v>
      </c>
      <c r="E217" s="561"/>
      <c r="F217" s="62">
        <v>1.45</v>
      </c>
      <c r="G217" s="37">
        <v>8</v>
      </c>
      <c r="H217" s="62">
        <v>11.6</v>
      </c>
      <c r="I217" s="62">
        <v>12.01</v>
      </c>
      <c r="J217" s="37">
        <v>64</v>
      </c>
      <c r="K217" s="37" t="s">
        <v>113</v>
      </c>
      <c r="L217" s="37" t="s">
        <v>45</v>
      </c>
      <c r="M217" s="38" t="s">
        <v>112</v>
      </c>
      <c r="N217" s="38"/>
      <c r="O217" s="37">
        <v>55</v>
      </c>
      <c r="P217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17" s="563"/>
      <c r="R217" s="563"/>
      <c r="S217" s="563"/>
      <c r="T217" s="564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6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8" t="s">
        <v>377</v>
      </c>
      <c r="AG217" s="78"/>
      <c r="AJ217" s="84" t="s">
        <v>45</v>
      </c>
      <c r="AK217" s="84">
        <v>0</v>
      </c>
      <c r="BB217" s="289" t="s">
        <v>66</v>
      </c>
      <c r="BM217" s="78">
        <f t="shared" ref="BM217:BM225" si="27">IFERROR(X217*I217/H217,"0")</f>
        <v>0</v>
      </c>
      <c r="BN217" s="78">
        <f t="shared" ref="BN217:BN225" si="28">IFERROR(Y217*I217/H217,"0")</f>
        <v>0</v>
      </c>
      <c r="BO217" s="78">
        <f t="shared" ref="BO217:BO225" si="29">IFERROR(1/J217*(X217/H217),"0")</f>
        <v>0</v>
      </c>
      <c r="BP217" s="78">
        <f t="shared" ref="BP217:BP225" si="30">IFERROR(1/J217*(Y217/H217),"0")</f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4301011724</v>
      </c>
      <c r="D218" s="561">
        <v>4680115884236</v>
      </c>
      <c r="E218" s="561"/>
      <c r="F218" s="62">
        <v>1.45</v>
      </c>
      <c r="G218" s="37">
        <v>8</v>
      </c>
      <c r="H218" s="62">
        <v>11.6</v>
      </c>
      <c r="I218" s="62">
        <v>12.01</v>
      </c>
      <c r="J218" s="37">
        <v>64</v>
      </c>
      <c r="K218" s="37" t="s">
        <v>113</v>
      </c>
      <c r="L218" s="37" t="s">
        <v>45</v>
      </c>
      <c r="M218" s="38" t="s">
        <v>112</v>
      </c>
      <c r="N218" s="38"/>
      <c r="O218" s="37">
        <v>55</v>
      </c>
      <c r="P218" s="6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18" s="563"/>
      <c r="R218" s="563"/>
      <c r="S218" s="563"/>
      <c r="T218" s="564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90" t="s">
        <v>380</v>
      </c>
      <c r="AG218" s="78"/>
      <c r="AJ218" s="84" t="s">
        <v>45</v>
      </c>
      <c r="AK218" s="84">
        <v>0</v>
      </c>
      <c r="BB218" s="291" t="s">
        <v>66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4301011721</v>
      </c>
      <c r="D219" s="561">
        <v>4680115884175</v>
      </c>
      <c r="E219" s="561"/>
      <c r="F219" s="62">
        <v>1.45</v>
      </c>
      <c r="G219" s="37">
        <v>8</v>
      </c>
      <c r="H219" s="62">
        <v>11.6</v>
      </c>
      <c r="I219" s="62">
        <v>12.01</v>
      </c>
      <c r="J219" s="37">
        <v>64</v>
      </c>
      <c r="K219" s="37" t="s">
        <v>113</v>
      </c>
      <c r="L219" s="37" t="s">
        <v>45</v>
      </c>
      <c r="M219" s="38" t="s">
        <v>112</v>
      </c>
      <c r="N219" s="38"/>
      <c r="O219" s="37">
        <v>55</v>
      </c>
      <c r="P219" s="6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19" s="563"/>
      <c r="R219" s="563"/>
      <c r="S219" s="563"/>
      <c r="T219" s="564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92" t="s">
        <v>383</v>
      </c>
      <c r="AG219" s="78"/>
      <c r="AJ219" s="84" t="s">
        <v>45</v>
      </c>
      <c r="AK219" s="84">
        <v>0</v>
      </c>
      <c r="BB219" s="293" t="s">
        <v>66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4301011824</v>
      </c>
      <c r="D220" s="561">
        <v>4680115884144</v>
      </c>
      <c r="E220" s="561"/>
      <c r="F220" s="62">
        <v>0.4</v>
      </c>
      <c r="G220" s="37">
        <v>10</v>
      </c>
      <c r="H220" s="62">
        <v>4</v>
      </c>
      <c r="I220" s="62">
        <v>4.1900000000000004</v>
      </c>
      <c r="J220" s="37">
        <v>132</v>
      </c>
      <c r="K220" s="37" t="s">
        <v>116</v>
      </c>
      <c r="L220" s="37" t="s">
        <v>45</v>
      </c>
      <c r="M220" s="38" t="s">
        <v>112</v>
      </c>
      <c r="N220" s="38"/>
      <c r="O220" s="37">
        <v>55</v>
      </c>
      <c r="P220" s="69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0" s="563"/>
      <c r="R220" s="563"/>
      <c r="S220" s="563"/>
      <c r="T220" s="564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45</v>
      </c>
      <c r="AB220" s="69" t="s">
        <v>45</v>
      </c>
      <c r="AC220" s="294" t="s">
        <v>377</v>
      </c>
      <c r="AG220" s="78"/>
      <c r="AJ220" s="84" t="s">
        <v>45</v>
      </c>
      <c r="AK220" s="84">
        <v>0</v>
      </c>
      <c r="BB220" s="295" t="s">
        <v>66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386</v>
      </c>
      <c r="C221" s="36">
        <v>4301012196</v>
      </c>
      <c r="D221" s="561">
        <v>4680115884144</v>
      </c>
      <c r="E221" s="561"/>
      <c r="F221" s="62">
        <v>0.4</v>
      </c>
      <c r="G221" s="37">
        <v>10</v>
      </c>
      <c r="H221" s="62">
        <v>4</v>
      </c>
      <c r="I221" s="62">
        <v>4.1900000000000004</v>
      </c>
      <c r="J221" s="37">
        <v>132</v>
      </c>
      <c r="K221" s="37" t="s">
        <v>116</v>
      </c>
      <c r="L221" s="37" t="s">
        <v>45</v>
      </c>
      <c r="M221" s="38" t="s">
        <v>112</v>
      </c>
      <c r="N221" s="38"/>
      <c r="O221" s="37">
        <v>55</v>
      </c>
      <c r="P221" s="68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1" s="563"/>
      <c r="R221" s="563"/>
      <c r="S221" s="563"/>
      <c r="T221" s="564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45</v>
      </c>
      <c r="AB221" s="69" t="s">
        <v>45</v>
      </c>
      <c r="AC221" s="296" t="s">
        <v>377</v>
      </c>
      <c r="AG221" s="78"/>
      <c r="AJ221" s="84" t="s">
        <v>45</v>
      </c>
      <c r="AK221" s="84">
        <v>0</v>
      </c>
      <c r="BB221" s="297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4301012149</v>
      </c>
      <c r="D222" s="561">
        <v>4680115886551</v>
      </c>
      <c r="E222" s="561"/>
      <c r="F222" s="62">
        <v>0.4</v>
      </c>
      <c r="G222" s="37">
        <v>10</v>
      </c>
      <c r="H222" s="62">
        <v>4</v>
      </c>
      <c r="I222" s="62">
        <v>4.1900000000000004</v>
      </c>
      <c r="J222" s="37">
        <v>132</v>
      </c>
      <c r="K222" s="37" t="s">
        <v>116</v>
      </c>
      <c r="L222" s="37" t="s">
        <v>45</v>
      </c>
      <c r="M222" s="38" t="s">
        <v>112</v>
      </c>
      <c r="N222" s="38"/>
      <c r="O222" s="37">
        <v>55</v>
      </c>
      <c r="P222" s="6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2" s="563"/>
      <c r="R222" s="563"/>
      <c r="S222" s="563"/>
      <c r="T222" s="564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45</v>
      </c>
      <c r="AB222" s="69" t="s">
        <v>45</v>
      </c>
      <c r="AC222" s="298" t="s">
        <v>389</v>
      </c>
      <c r="AG222" s="78"/>
      <c r="AJ222" s="84" t="s">
        <v>45</v>
      </c>
      <c r="AK222" s="84">
        <v>0</v>
      </c>
      <c r="BB222" s="299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4301012228</v>
      </c>
      <c r="D223" s="561">
        <v>4680115887282</v>
      </c>
      <c r="E223" s="561"/>
      <c r="F223" s="62">
        <v>0.4</v>
      </c>
      <c r="G223" s="37">
        <v>6</v>
      </c>
      <c r="H223" s="62">
        <v>2.4</v>
      </c>
      <c r="I223" s="62">
        <v>2.58</v>
      </c>
      <c r="J223" s="37">
        <v>182</v>
      </c>
      <c r="K223" s="37" t="s">
        <v>81</v>
      </c>
      <c r="L223" s="37" t="s">
        <v>45</v>
      </c>
      <c r="M223" s="38" t="s">
        <v>112</v>
      </c>
      <c r="N223" s="38"/>
      <c r="O223" s="37">
        <v>55</v>
      </c>
      <c r="P223" s="6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23" s="563"/>
      <c r="R223" s="563"/>
      <c r="S223" s="563"/>
      <c r="T223" s="564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IFERROR(IF(Y223=0,"",ROUNDUP(Y223/H223,0)*0.00651),"")</f>
        <v/>
      </c>
      <c r="AA223" s="68" t="s">
        <v>45</v>
      </c>
      <c r="AB223" s="69" t="s">
        <v>45</v>
      </c>
      <c r="AC223" s="300" t="s">
        <v>392</v>
      </c>
      <c r="AG223" s="78"/>
      <c r="AJ223" s="84" t="s">
        <v>45</v>
      </c>
      <c r="AK223" s="84">
        <v>0</v>
      </c>
      <c r="BB223" s="301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393</v>
      </c>
      <c r="B224" s="63" t="s">
        <v>394</v>
      </c>
      <c r="C224" s="36">
        <v>4301011722</v>
      </c>
      <c r="D224" s="561">
        <v>4680115884205</v>
      </c>
      <c r="E224" s="561"/>
      <c r="F224" s="62">
        <v>0.4</v>
      </c>
      <c r="G224" s="37">
        <v>10</v>
      </c>
      <c r="H224" s="62">
        <v>4</v>
      </c>
      <c r="I224" s="62">
        <v>4.1900000000000004</v>
      </c>
      <c r="J224" s="37">
        <v>132</v>
      </c>
      <c r="K224" s="37" t="s">
        <v>116</v>
      </c>
      <c r="L224" s="37" t="s">
        <v>45</v>
      </c>
      <c r="M224" s="38" t="s">
        <v>112</v>
      </c>
      <c r="N224" s="38"/>
      <c r="O224" s="37">
        <v>55</v>
      </c>
      <c r="P224" s="6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24" s="563"/>
      <c r="R224" s="563"/>
      <c r="S224" s="563"/>
      <c r="T224" s="56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IFERROR(IF(Y224=0,"",ROUNDUP(Y224/H224,0)*0.00902),"")</f>
        <v/>
      </c>
      <c r="AA224" s="68" t="s">
        <v>45</v>
      </c>
      <c r="AB224" s="69" t="s">
        <v>45</v>
      </c>
      <c r="AC224" s="302" t="s">
        <v>383</v>
      </c>
      <c r="AG224" s="78"/>
      <c r="AJ224" s="84" t="s">
        <v>45</v>
      </c>
      <c r="AK224" s="84">
        <v>0</v>
      </c>
      <c r="BB224" s="303" t="s">
        <v>66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393</v>
      </c>
      <c r="B225" s="63" t="s">
        <v>395</v>
      </c>
      <c r="C225" s="36">
        <v>4301012195</v>
      </c>
      <c r="D225" s="561">
        <v>4680115884205</v>
      </c>
      <c r="E225" s="561"/>
      <c r="F225" s="62">
        <v>0.4</v>
      </c>
      <c r="G225" s="37">
        <v>10</v>
      </c>
      <c r="H225" s="62">
        <v>4</v>
      </c>
      <c r="I225" s="62">
        <v>4.1900000000000004</v>
      </c>
      <c r="J225" s="37">
        <v>132</v>
      </c>
      <c r="K225" s="37" t="s">
        <v>116</v>
      </c>
      <c r="L225" s="37" t="s">
        <v>45</v>
      </c>
      <c r="M225" s="38" t="s">
        <v>112</v>
      </c>
      <c r="N225" s="38"/>
      <c r="O225" s="37">
        <v>55</v>
      </c>
      <c r="P225" s="69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25" s="563"/>
      <c r="R225" s="563"/>
      <c r="S225" s="563"/>
      <c r="T225" s="56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IFERROR(IF(Y225=0,"",ROUNDUP(Y225/H225,0)*0.00902),"")</f>
        <v/>
      </c>
      <c r="AA225" s="68" t="s">
        <v>45</v>
      </c>
      <c r="AB225" s="69" t="s">
        <v>45</v>
      </c>
      <c r="AC225" s="304" t="s">
        <v>383</v>
      </c>
      <c r="AG225" s="78"/>
      <c r="AJ225" s="84" t="s">
        <v>45</v>
      </c>
      <c r="AK225" s="84">
        <v>0</v>
      </c>
      <c r="BB225" s="305" t="s">
        <v>66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idden="1" x14ac:dyDescent="0.2">
      <c r="A226" s="555"/>
      <c r="B226" s="555"/>
      <c r="C226" s="555"/>
      <c r="D226" s="555"/>
      <c r="E226" s="555"/>
      <c r="F226" s="555"/>
      <c r="G226" s="555"/>
      <c r="H226" s="555"/>
      <c r="I226" s="555"/>
      <c r="J226" s="555"/>
      <c r="K226" s="555"/>
      <c r="L226" s="555"/>
      <c r="M226" s="555"/>
      <c r="N226" s="555"/>
      <c r="O226" s="556"/>
      <c r="P226" s="552" t="s">
        <v>40</v>
      </c>
      <c r="Q226" s="553"/>
      <c r="R226" s="553"/>
      <c r="S226" s="553"/>
      <c r="T226" s="553"/>
      <c r="U226" s="553"/>
      <c r="V226" s="554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hidden="1" x14ac:dyDescent="0.2">
      <c r="A227" s="555"/>
      <c r="B227" s="555"/>
      <c r="C227" s="555"/>
      <c r="D227" s="555"/>
      <c r="E227" s="555"/>
      <c r="F227" s="555"/>
      <c r="G227" s="555"/>
      <c r="H227" s="555"/>
      <c r="I227" s="555"/>
      <c r="J227" s="555"/>
      <c r="K227" s="555"/>
      <c r="L227" s="555"/>
      <c r="M227" s="555"/>
      <c r="N227" s="555"/>
      <c r="O227" s="556"/>
      <c r="P227" s="552" t="s">
        <v>40</v>
      </c>
      <c r="Q227" s="553"/>
      <c r="R227" s="553"/>
      <c r="S227" s="553"/>
      <c r="T227" s="553"/>
      <c r="U227" s="553"/>
      <c r="V227" s="554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hidden="1" customHeight="1" x14ac:dyDescent="0.25">
      <c r="A228" s="566" t="s">
        <v>141</v>
      </c>
      <c r="B228" s="566"/>
      <c r="C228" s="566"/>
      <c r="D228" s="566"/>
      <c r="E228" s="566"/>
      <c r="F228" s="566"/>
      <c r="G228" s="566"/>
      <c r="H228" s="566"/>
      <c r="I228" s="566"/>
      <c r="J228" s="566"/>
      <c r="K228" s="566"/>
      <c r="L228" s="566"/>
      <c r="M228" s="566"/>
      <c r="N228" s="566"/>
      <c r="O228" s="566"/>
      <c r="P228" s="566"/>
      <c r="Q228" s="566"/>
      <c r="R228" s="566"/>
      <c r="S228" s="566"/>
      <c r="T228" s="566"/>
      <c r="U228" s="566"/>
      <c r="V228" s="566"/>
      <c r="W228" s="566"/>
      <c r="X228" s="566"/>
      <c r="Y228" s="566"/>
      <c r="Z228" s="566"/>
      <c r="AA228" s="66"/>
      <c r="AB228" s="66"/>
      <c r="AC228" s="80"/>
    </row>
    <row r="229" spans="1:68" ht="27" hidden="1" customHeight="1" x14ac:dyDescent="0.25">
      <c r="A229" s="63" t="s">
        <v>396</v>
      </c>
      <c r="B229" s="63" t="s">
        <v>397</v>
      </c>
      <c r="C229" s="36">
        <v>4301020377</v>
      </c>
      <c r="D229" s="561">
        <v>4680115885981</v>
      </c>
      <c r="E229" s="561"/>
      <c r="F229" s="62">
        <v>0.33</v>
      </c>
      <c r="G229" s="37">
        <v>6</v>
      </c>
      <c r="H229" s="62">
        <v>1.98</v>
      </c>
      <c r="I229" s="62">
        <v>2.08</v>
      </c>
      <c r="J229" s="37">
        <v>234</v>
      </c>
      <c r="K229" s="37" t="s">
        <v>85</v>
      </c>
      <c r="L229" s="37" t="s">
        <v>45</v>
      </c>
      <c r="M229" s="38" t="s">
        <v>90</v>
      </c>
      <c r="N229" s="38"/>
      <c r="O229" s="37">
        <v>50</v>
      </c>
      <c r="P229" s="6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29" s="563"/>
      <c r="R229" s="563"/>
      <c r="S229" s="563"/>
      <c r="T229" s="564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IFERROR(IF(Y229=0,"",ROUNDUP(Y229/H229,0)*0.00502),"")</f>
        <v/>
      </c>
      <c r="AA229" s="68" t="s">
        <v>45</v>
      </c>
      <c r="AB229" s="69" t="s">
        <v>45</v>
      </c>
      <c r="AC229" s="306" t="s">
        <v>398</v>
      </c>
      <c r="AG229" s="78"/>
      <c r="AJ229" s="84" t="s">
        <v>45</v>
      </c>
      <c r="AK229" s="84">
        <v>0</v>
      </c>
      <c r="BB229" s="307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idden="1" x14ac:dyDescent="0.2">
      <c r="A230" s="555"/>
      <c r="B230" s="555"/>
      <c r="C230" s="555"/>
      <c r="D230" s="555"/>
      <c r="E230" s="555"/>
      <c r="F230" s="555"/>
      <c r="G230" s="555"/>
      <c r="H230" s="555"/>
      <c r="I230" s="555"/>
      <c r="J230" s="555"/>
      <c r="K230" s="555"/>
      <c r="L230" s="555"/>
      <c r="M230" s="555"/>
      <c r="N230" s="555"/>
      <c r="O230" s="556"/>
      <c r="P230" s="552" t="s">
        <v>40</v>
      </c>
      <c r="Q230" s="553"/>
      <c r="R230" s="553"/>
      <c r="S230" s="553"/>
      <c r="T230" s="553"/>
      <c r="U230" s="553"/>
      <c r="V230" s="554"/>
      <c r="W230" s="42" t="s">
        <v>39</v>
      </c>
      <c r="X230" s="43">
        <f>IFERROR(X229/H229,"0")</f>
        <v>0</v>
      </c>
      <c r="Y230" s="43">
        <f>IFERROR(Y229/H229,"0")</f>
        <v>0</v>
      </c>
      <c r="Z230" s="43">
        <f>IFERROR(IF(Z229="",0,Z229),"0")</f>
        <v>0</v>
      </c>
      <c r="AA230" s="67"/>
      <c r="AB230" s="67"/>
      <c r="AC230" s="67"/>
    </row>
    <row r="231" spans="1:68" hidden="1" x14ac:dyDescent="0.2">
      <c r="A231" s="555"/>
      <c r="B231" s="555"/>
      <c r="C231" s="555"/>
      <c r="D231" s="555"/>
      <c r="E231" s="555"/>
      <c r="F231" s="555"/>
      <c r="G231" s="555"/>
      <c r="H231" s="555"/>
      <c r="I231" s="555"/>
      <c r="J231" s="555"/>
      <c r="K231" s="555"/>
      <c r="L231" s="555"/>
      <c r="M231" s="555"/>
      <c r="N231" s="555"/>
      <c r="O231" s="556"/>
      <c r="P231" s="552" t="s">
        <v>40</v>
      </c>
      <c r="Q231" s="553"/>
      <c r="R231" s="553"/>
      <c r="S231" s="553"/>
      <c r="T231" s="553"/>
      <c r="U231" s="553"/>
      <c r="V231" s="554"/>
      <c r="W231" s="42" t="s">
        <v>0</v>
      </c>
      <c r="X231" s="43">
        <f>IFERROR(SUM(X229:X229),"0")</f>
        <v>0</v>
      </c>
      <c r="Y231" s="43">
        <f>IFERROR(SUM(Y229:Y229),"0")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566" t="s">
        <v>399</v>
      </c>
      <c r="B232" s="566"/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66"/>
      <c r="AB232" s="66"/>
      <c r="AC232" s="80"/>
    </row>
    <row r="233" spans="1:68" ht="27" hidden="1" customHeight="1" x14ac:dyDescent="0.25">
      <c r="A233" s="63" t="s">
        <v>400</v>
      </c>
      <c r="B233" s="63" t="s">
        <v>401</v>
      </c>
      <c r="C233" s="36">
        <v>4301040362</v>
      </c>
      <c r="D233" s="561">
        <v>4680115886803</v>
      </c>
      <c r="E233" s="561"/>
      <c r="F233" s="62">
        <v>0.12</v>
      </c>
      <c r="G233" s="37">
        <v>15</v>
      </c>
      <c r="H233" s="62">
        <v>1.8</v>
      </c>
      <c r="I233" s="62">
        <v>1.9750000000000001</v>
      </c>
      <c r="J233" s="37">
        <v>216</v>
      </c>
      <c r="K233" s="37" t="s">
        <v>305</v>
      </c>
      <c r="L233" s="37" t="s">
        <v>45</v>
      </c>
      <c r="M233" s="38" t="s">
        <v>286</v>
      </c>
      <c r="N233" s="38"/>
      <c r="O233" s="37">
        <v>45</v>
      </c>
      <c r="P233" s="6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33" s="563"/>
      <c r="R233" s="563"/>
      <c r="S233" s="563"/>
      <c r="T233" s="564"/>
      <c r="U233" s="39" t="s">
        <v>45</v>
      </c>
      <c r="V233" s="39" t="s">
        <v>45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45</v>
      </c>
      <c r="AB233" s="69" t="s">
        <v>45</v>
      </c>
      <c r="AC233" s="308" t="s">
        <v>402</v>
      </c>
      <c r="AG233" s="78"/>
      <c r="AJ233" s="84" t="s">
        <v>45</v>
      </c>
      <c r="AK233" s="84">
        <v>0</v>
      </c>
      <c r="BB233" s="309" t="s">
        <v>66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idden="1" x14ac:dyDescent="0.2">
      <c r="A234" s="555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52" t="s">
        <v>40</v>
      </c>
      <c r="Q234" s="553"/>
      <c r="R234" s="553"/>
      <c r="S234" s="553"/>
      <c r="T234" s="553"/>
      <c r="U234" s="553"/>
      <c r="V234" s="554"/>
      <c r="W234" s="42" t="s">
        <v>39</v>
      </c>
      <c r="X234" s="43">
        <f>IFERROR(X233/H233,"0")</f>
        <v>0</v>
      </c>
      <c r="Y234" s="43">
        <f>IFERROR(Y233/H233,"0")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2" t="s">
        <v>40</v>
      </c>
      <c r="Q235" s="553"/>
      <c r="R235" s="553"/>
      <c r="S235" s="553"/>
      <c r="T235" s="553"/>
      <c r="U235" s="553"/>
      <c r="V235" s="554"/>
      <c r="W235" s="42" t="s">
        <v>0</v>
      </c>
      <c r="X235" s="43">
        <f>IFERROR(SUM(X233:X233),"0")</f>
        <v>0</v>
      </c>
      <c r="Y235" s="43">
        <f>IFERROR(SUM(Y233:Y233),"0")</f>
        <v>0</v>
      </c>
      <c r="Z235" s="42"/>
      <c r="AA235" s="67"/>
      <c r="AB235" s="67"/>
      <c r="AC235" s="67"/>
    </row>
    <row r="236" spans="1:68" ht="14.25" hidden="1" customHeight="1" x14ac:dyDescent="0.25">
      <c r="A236" s="566" t="s">
        <v>403</v>
      </c>
      <c r="B236" s="566"/>
      <c r="C236" s="566"/>
      <c r="D236" s="566"/>
      <c r="E236" s="566"/>
      <c r="F236" s="566"/>
      <c r="G236" s="566"/>
      <c r="H236" s="566"/>
      <c r="I236" s="566"/>
      <c r="J236" s="566"/>
      <c r="K236" s="566"/>
      <c r="L236" s="566"/>
      <c r="M236" s="566"/>
      <c r="N236" s="566"/>
      <c r="O236" s="566"/>
      <c r="P236" s="566"/>
      <c r="Q236" s="566"/>
      <c r="R236" s="566"/>
      <c r="S236" s="566"/>
      <c r="T236" s="566"/>
      <c r="U236" s="566"/>
      <c r="V236" s="566"/>
      <c r="W236" s="566"/>
      <c r="X236" s="566"/>
      <c r="Y236" s="566"/>
      <c r="Z236" s="566"/>
      <c r="AA236" s="66"/>
      <c r="AB236" s="66"/>
      <c r="AC236" s="80"/>
    </row>
    <row r="237" spans="1:68" ht="27" hidden="1" customHeight="1" x14ac:dyDescent="0.25">
      <c r="A237" s="63" t="s">
        <v>404</v>
      </c>
      <c r="B237" s="63" t="s">
        <v>405</v>
      </c>
      <c r="C237" s="36">
        <v>4301041004</v>
      </c>
      <c r="D237" s="561">
        <v>4680115886704</v>
      </c>
      <c r="E237" s="561"/>
      <c r="F237" s="62">
        <v>5.5E-2</v>
      </c>
      <c r="G237" s="37">
        <v>18</v>
      </c>
      <c r="H237" s="62">
        <v>0.99</v>
      </c>
      <c r="I237" s="62">
        <v>1.18</v>
      </c>
      <c r="J237" s="37">
        <v>216</v>
      </c>
      <c r="K237" s="37" t="s">
        <v>305</v>
      </c>
      <c r="L237" s="37" t="s">
        <v>45</v>
      </c>
      <c r="M237" s="38" t="s">
        <v>286</v>
      </c>
      <c r="N237" s="38"/>
      <c r="O237" s="37">
        <v>90</v>
      </c>
      <c r="P237" s="6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37" s="563"/>
      <c r="R237" s="563"/>
      <c r="S237" s="563"/>
      <c r="T237" s="56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IFERROR(IF(Y237=0,"",ROUNDUP(Y237/H237,0)*0.0059),"")</f>
        <v/>
      </c>
      <c r="AA237" s="68" t="s">
        <v>45</v>
      </c>
      <c r="AB237" s="69" t="s">
        <v>45</v>
      </c>
      <c r="AC237" s="310" t="s">
        <v>406</v>
      </c>
      <c r="AG237" s="78"/>
      <c r="AJ237" s="84" t="s">
        <v>45</v>
      </c>
      <c r="AK237" s="84">
        <v>0</v>
      </c>
      <c r="BB237" s="311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407</v>
      </c>
      <c r="B238" s="63" t="s">
        <v>408</v>
      </c>
      <c r="C238" s="36">
        <v>4301041008</v>
      </c>
      <c r="D238" s="561">
        <v>4680115886681</v>
      </c>
      <c r="E238" s="561"/>
      <c r="F238" s="62">
        <v>0.12</v>
      </c>
      <c r="G238" s="37">
        <v>15</v>
      </c>
      <c r="H238" s="62">
        <v>1.8</v>
      </c>
      <c r="I238" s="62">
        <v>1.9750000000000001</v>
      </c>
      <c r="J238" s="37">
        <v>216</v>
      </c>
      <c r="K238" s="37" t="s">
        <v>305</v>
      </c>
      <c r="L238" s="37" t="s">
        <v>45</v>
      </c>
      <c r="M238" s="38" t="s">
        <v>286</v>
      </c>
      <c r="N238" s="38"/>
      <c r="O238" s="37">
        <v>90</v>
      </c>
      <c r="P238" s="6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38" s="563"/>
      <c r="R238" s="563"/>
      <c r="S238" s="563"/>
      <c r="T238" s="564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45</v>
      </c>
      <c r="AB238" s="69" t="s">
        <v>45</v>
      </c>
      <c r="AC238" s="312" t="s">
        <v>406</v>
      </c>
      <c r="AG238" s="78"/>
      <c r="AJ238" s="84" t="s">
        <v>45</v>
      </c>
      <c r="AK238" s="84">
        <v>0</v>
      </c>
      <c r="BB238" s="313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409</v>
      </c>
      <c r="B239" s="63" t="s">
        <v>410</v>
      </c>
      <c r="C239" s="36">
        <v>4301041007</v>
      </c>
      <c r="D239" s="561">
        <v>4680115886735</v>
      </c>
      <c r="E239" s="561"/>
      <c r="F239" s="62">
        <v>0.05</v>
      </c>
      <c r="G239" s="37">
        <v>18</v>
      </c>
      <c r="H239" s="62">
        <v>0.9</v>
      </c>
      <c r="I239" s="62">
        <v>1.0900000000000001</v>
      </c>
      <c r="J239" s="37">
        <v>216</v>
      </c>
      <c r="K239" s="37" t="s">
        <v>305</v>
      </c>
      <c r="L239" s="37" t="s">
        <v>45</v>
      </c>
      <c r="M239" s="38" t="s">
        <v>286</v>
      </c>
      <c r="N239" s="38"/>
      <c r="O239" s="37">
        <v>90</v>
      </c>
      <c r="P239" s="6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39" s="563"/>
      <c r="R239" s="563"/>
      <c r="S239" s="563"/>
      <c r="T239" s="564"/>
      <c r="U239" s="39" t="s">
        <v>45</v>
      </c>
      <c r="V239" s="39" t="s">
        <v>45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45</v>
      </c>
      <c r="AB239" s="69" t="s">
        <v>45</v>
      </c>
      <c r="AC239" s="314" t="s">
        <v>406</v>
      </c>
      <c r="AG239" s="78"/>
      <c r="AJ239" s="84" t="s">
        <v>45</v>
      </c>
      <c r="AK239" s="84">
        <v>0</v>
      </c>
      <c r="BB239" s="315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411</v>
      </c>
      <c r="B240" s="63" t="s">
        <v>412</v>
      </c>
      <c r="C240" s="36">
        <v>4301041006</v>
      </c>
      <c r="D240" s="561">
        <v>4680115886728</v>
      </c>
      <c r="E240" s="561"/>
      <c r="F240" s="62">
        <v>5.5E-2</v>
      </c>
      <c r="G240" s="37">
        <v>18</v>
      </c>
      <c r="H240" s="62">
        <v>0.99</v>
      </c>
      <c r="I240" s="62">
        <v>1.18</v>
      </c>
      <c r="J240" s="37">
        <v>216</v>
      </c>
      <c r="K240" s="37" t="s">
        <v>305</v>
      </c>
      <c r="L240" s="37" t="s">
        <v>45</v>
      </c>
      <c r="M240" s="38" t="s">
        <v>286</v>
      </c>
      <c r="N240" s="38"/>
      <c r="O240" s="37">
        <v>90</v>
      </c>
      <c r="P240" s="6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0" s="563"/>
      <c r="R240" s="563"/>
      <c r="S240" s="563"/>
      <c r="T240" s="564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45</v>
      </c>
      <c r="AB240" s="69" t="s">
        <v>45</v>
      </c>
      <c r="AC240" s="316" t="s">
        <v>406</v>
      </c>
      <c r="AG240" s="78"/>
      <c r="AJ240" s="84" t="s">
        <v>45</v>
      </c>
      <c r="AK240" s="84">
        <v>0</v>
      </c>
      <c r="BB240" s="317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413</v>
      </c>
      <c r="B241" s="63" t="s">
        <v>414</v>
      </c>
      <c r="C241" s="36">
        <v>4301041005</v>
      </c>
      <c r="D241" s="561">
        <v>4680115886711</v>
      </c>
      <c r="E241" s="561"/>
      <c r="F241" s="62">
        <v>5.5E-2</v>
      </c>
      <c r="G241" s="37">
        <v>18</v>
      </c>
      <c r="H241" s="62">
        <v>0.99</v>
      </c>
      <c r="I241" s="62">
        <v>1.18</v>
      </c>
      <c r="J241" s="37">
        <v>216</v>
      </c>
      <c r="K241" s="37" t="s">
        <v>305</v>
      </c>
      <c r="L241" s="37" t="s">
        <v>45</v>
      </c>
      <c r="M241" s="38" t="s">
        <v>286</v>
      </c>
      <c r="N241" s="38"/>
      <c r="O241" s="37">
        <v>90</v>
      </c>
      <c r="P241" s="6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1" s="563"/>
      <c r="R241" s="563"/>
      <c r="S241" s="563"/>
      <c r="T241" s="56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18" t="s">
        <v>406</v>
      </c>
      <c r="AG241" s="78"/>
      <c r="AJ241" s="84" t="s">
        <v>45</v>
      </c>
      <c r="AK241" s="84">
        <v>0</v>
      </c>
      <c r="BB241" s="319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idden="1" x14ac:dyDescent="0.2">
      <c r="A242" s="555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52" t="s">
        <v>40</v>
      </c>
      <c r="Q242" s="553"/>
      <c r="R242" s="553"/>
      <c r="S242" s="553"/>
      <c r="T242" s="553"/>
      <c r="U242" s="553"/>
      <c r="V242" s="554"/>
      <c r="W242" s="42" t="s">
        <v>39</v>
      </c>
      <c r="X242" s="43">
        <f>IFERROR(X237/H237,"0")+IFERROR(X238/H238,"0")+IFERROR(X239/H239,"0")+IFERROR(X240/H240,"0")+IFERROR(X241/H241,"0")</f>
        <v>0</v>
      </c>
      <c r="Y242" s="43">
        <f>IFERROR(Y237/H237,"0")+IFERROR(Y238/H238,"0")+IFERROR(Y239/H239,"0")+IFERROR(Y240/H240,"0")+IFERROR(Y241/H241,"0")</f>
        <v>0</v>
      </c>
      <c r="Z242" s="43">
        <f>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2" t="s">
        <v>40</v>
      </c>
      <c r="Q243" s="553"/>
      <c r="R243" s="553"/>
      <c r="S243" s="553"/>
      <c r="T243" s="553"/>
      <c r="U243" s="553"/>
      <c r="V243" s="554"/>
      <c r="W243" s="42" t="s">
        <v>0</v>
      </c>
      <c r="X243" s="43">
        <f>IFERROR(SUM(X237:X241),"0")</f>
        <v>0</v>
      </c>
      <c r="Y243" s="43">
        <f>IFERROR(SUM(Y237:Y241),"0")</f>
        <v>0</v>
      </c>
      <c r="Z243" s="42"/>
      <c r="AA243" s="67"/>
      <c r="AB243" s="67"/>
      <c r="AC243" s="67"/>
    </row>
    <row r="244" spans="1:68" ht="16.5" hidden="1" customHeight="1" x14ac:dyDescent="0.25">
      <c r="A244" s="565" t="s">
        <v>415</v>
      </c>
      <c r="B244" s="565"/>
      <c r="C244" s="565"/>
      <c r="D244" s="565"/>
      <c r="E244" s="565"/>
      <c r="F244" s="565"/>
      <c r="G244" s="565"/>
      <c r="H244" s="565"/>
      <c r="I244" s="565"/>
      <c r="J244" s="565"/>
      <c r="K244" s="565"/>
      <c r="L244" s="565"/>
      <c r="M244" s="565"/>
      <c r="N244" s="565"/>
      <c r="O244" s="565"/>
      <c r="P244" s="565"/>
      <c r="Q244" s="565"/>
      <c r="R244" s="565"/>
      <c r="S244" s="565"/>
      <c r="T244" s="565"/>
      <c r="U244" s="565"/>
      <c r="V244" s="565"/>
      <c r="W244" s="565"/>
      <c r="X244" s="565"/>
      <c r="Y244" s="565"/>
      <c r="Z244" s="565"/>
      <c r="AA244" s="65"/>
      <c r="AB244" s="65"/>
      <c r="AC244" s="79"/>
    </row>
    <row r="245" spans="1:68" ht="14.25" hidden="1" customHeight="1" x14ac:dyDescent="0.25">
      <c r="A245" s="566" t="s">
        <v>108</v>
      </c>
      <c r="B245" s="566"/>
      <c r="C245" s="566"/>
      <c r="D245" s="566"/>
      <c r="E245" s="566"/>
      <c r="F245" s="566"/>
      <c r="G245" s="566"/>
      <c r="H245" s="566"/>
      <c r="I245" s="566"/>
      <c r="J245" s="566"/>
      <c r="K245" s="566"/>
      <c r="L245" s="566"/>
      <c r="M245" s="566"/>
      <c r="N245" s="566"/>
      <c r="O245" s="566"/>
      <c r="P245" s="566"/>
      <c r="Q245" s="566"/>
      <c r="R245" s="566"/>
      <c r="S245" s="566"/>
      <c r="T245" s="566"/>
      <c r="U245" s="566"/>
      <c r="V245" s="566"/>
      <c r="W245" s="566"/>
      <c r="X245" s="566"/>
      <c r="Y245" s="566"/>
      <c r="Z245" s="566"/>
      <c r="AA245" s="66"/>
      <c r="AB245" s="66"/>
      <c r="AC245" s="80"/>
    </row>
    <row r="246" spans="1:68" ht="27" hidden="1" customHeight="1" x14ac:dyDescent="0.25">
      <c r="A246" s="63" t="s">
        <v>416</v>
      </c>
      <c r="B246" s="63" t="s">
        <v>417</v>
      </c>
      <c r="C246" s="36">
        <v>4301011855</v>
      </c>
      <c r="D246" s="561">
        <v>4680115885837</v>
      </c>
      <c r="E246" s="561"/>
      <c r="F246" s="62">
        <v>1.35</v>
      </c>
      <c r="G246" s="37">
        <v>8</v>
      </c>
      <c r="H246" s="62">
        <v>10.8</v>
      </c>
      <c r="I246" s="62">
        <v>11.21</v>
      </c>
      <c r="J246" s="37">
        <v>64</v>
      </c>
      <c r="K246" s="37" t="s">
        <v>113</v>
      </c>
      <c r="L246" s="37" t="s">
        <v>45</v>
      </c>
      <c r="M246" s="38" t="s">
        <v>112</v>
      </c>
      <c r="N246" s="38"/>
      <c r="O246" s="37">
        <v>55</v>
      </c>
      <c r="P246" s="6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46" s="563"/>
      <c r="R246" s="563"/>
      <c r="S246" s="563"/>
      <c r="T246" s="56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IFERROR(IF(Y246=0,"",ROUNDUP(Y246/H246,0)*0.01898),"")</f>
        <v/>
      </c>
      <c r="AA246" s="68" t="s">
        <v>45</v>
      </c>
      <c r="AB246" s="69" t="s">
        <v>45</v>
      </c>
      <c r="AC246" s="320" t="s">
        <v>418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37.5" hidden="1" customHeight="1" x14ac:dyDescent="0.25">
      <c r="A247" s="63" t="s">
        <v>419</v>
      </c>
      <c r="B247" s="63" t="s">
        <v>420</v>
      </c>
      <c r="C247" s="36">
        <v>4301011853</v>
      </c>
      <c r="D247" s="561">
        <v>4680115885851</v>
      </c>
      <c r="E247" s="561"/>
      <c r="F247" s="62">
        <v>1.35</v>
      </c>
      <c r="G247" s="37">
        <v>8</v>
      </c>
      <c r="H247" s="62">
        <v>10.8</v>
      </c>
      <c r="I247" s="62">
        <v>11.21</v>
      </c>
      <c r="J247" s="37">
        <v>64</v>
      </c>
      <c r="K247" s="37" t="s">
        <v>113</v>
      </c>
      <c r="L247" s="37" t="s">
        <v>45</v>
      </c>
      <c r="M247" s="38" t="s">
        <v>112</v>
      </c>
      <c r="N247" s="38"/>
      <c r="O247" s="37">
        <v>55</v>
      </c>
      <c r="P247" s="67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47" s="563"/>
      <c r="R247" s="563"/>
      <c r="S247" s="563"/>
      <c r="T247" s="56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IFERROR(IF(Y247=0,"",ROUNDUP(Y247/H247,0)*0.01898),"")</f>
        <v/>
      </c>
      <c r="AA247" s="68" t="s">
        <v>45</v>
      </c>
      <c r="AB247" s="69" t="s">
        <v>45</v>
      </c>
      <c r="AC247" s="322" t="s">
        <v>421</v>
      </c>
      <c r="AG247" s="78"/>
      <c r="AJ247" s="84" t="s">
        <v>45</v>
      </c>
      <c r="AK247" s="84">
        <v>0</v>
      </c>
      <c r="BB247" s="32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422</v>
      </c>
      <c r="B248" s="63" t="s">
        <v>423</v>
      </c>
      <c r="C248" s="36">
        <v>4301011850</v>
      </c>
      <c r="D248" s="561">
        <v>4680115885806</v>
      </c>
      <c r="E248" s="561"/>
      <c r="F248" s="62">
        <v>1.35</v>
      </c>
      <c r="G248" s="37">
        <v>8</v>
      </c>
      <c r="H248" s="62">
        <v>10.8</v>
      </c>
      <c r="I248" s="62">
        <v>11.21</v>
      </c>
      <c r="J248" s="37">
        <v>64</v>
      </c>
      <c r="K248" s="37" t="s">
        <v>113</v>
      </c>
      <c r="L248" s="37" t="s">
        <v>45</v>
      </c>
      <c r="M248" s="38" t="s">
        <v>112</v>
      </c>
      <c r="N248" s="38"/>
      <c r="O248" s="37">
        <v>55</v>
      </c>
      <c r="P24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48" s="563"/>
      <c r="R248" s="563"/>
      <c r="S248" s="563"/>
      <c r="T248" s="564"/>
      <c r="U248" s="39" t="s">
        <v>45</v>
      </c>
      <c r="V248" s="39" t="s">
        <v>45</v>
      </c>
      <c r="W248" s="40" t="s">
        <v>0</v>
      </c>
      <c r="X248" s="58">
        <v>200</v>
      </c>
      <c r="Y248" s="55">
        <f>IFERROR(IF(X248="",0,CEILING((X248/$H248),1)*$H248),"")</f>
        <v>205.20000000000002</v>
      </c>
      <c r="Z248" s="41">
        <f>IFERROR(IF(Y248=0,"",ROUNDUP(Y248/H248,0)*0.01898),"")</f>
        <v>0.36062</v>
      </c>
      <c r="AA248" s="68" t="s">
        <v>45</v>
      </c>
      <c r="AB248" s="69" t="s">
        <v>45</v>
      </c>
      <c r="AC248" s="324" t="s">
        <v>424</v>
      </c>
      <c r="AG248" s="78"/>
      <c r="AJ248" s="84" t="s">
        <v>45</v>
      </c>
      <c r="AK248" s="84">
        <v>0</v>
      </c>
      <c r="BB248" s="325" t="s">
        <v>66</v>
      </c>
      <c r="BM248" s="78">
        <f>IFERROR(X248*I248/H248,"0")</f>
        <v>207.59259259259258</v>
      </c>
      <c r="BN248" s="78">
        <f>IFERROR(Y248*I248/H248,"0")</f>
        <v>212.99</v>
      </c>
      <c r="BO248" s="78">
        <f>IFERROR(1/J248*(X248/H248),"0")</f>
        <v>0.28935185185185186</v>
      </c>
      <c r="BP248" s="78">
        <f>IFERROR(1/J248*(Y248/H248),"0")</f>
        <v>0.296875</v>
      </c>
    </row>
    <row r="249" spans="1:68" ht="27" hidden="1" customHeight="1" x14ac:dyDescent="0.25">
      <c r="A249" s="63" t="s">
        <v>425</v>
      </c>
      <c r="B249" s="63" t="s">
        <v>426</v>
      </c>
      <c r="C249" s="36">
        <v>4301011852</v>
      </c>
      <c r="D249" s="561">
        <v>4680115885844</v>
      </c>
      <c r="E249" s="561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116</v>
      </c>
      <c r="L249" s="37" t="s">
        <v>45</v>
      </c>
      <c r="M249" s="38" t="s">
        <v>112</v>
      </c>
      <c r="N249" s="38"/>
      <c r="O249" s="37">
        <v>55</v>
      </c>
      <c r="P249" s="6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49" s="563"/>
      <c r="R249" s="563"/>
      <c r="S249" s="563"/>
      <c r="T249" s="56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45</v>
      </c>
      <c r="AB249" s="69" t="s">
        <v>45</v>
      </c>
      <c r="AC249" s="326" t="s">
        <v>427</v>
      </c>
      <c r="AG249" s="78"/>
      <c r="AJ249" s="84" t="s">
        <v>45</v>
      </c>
      <c r="AK249" s="84">
        <v>0</v>
      </c>
      <c r="BB249" s="32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37.5" customHeight="1" x14ac:dyDescent="0.25">
      <c r="A250" s="63" t="s">
        <v>428</v>
      </c>
      <c r="B250" s="63" t="s">
        <v>429</v>
      </c>
      <c r="C250" s="36">
        <v>4301011851</v>
      </c>
      <c r="D250" s="561">
        <v>4680115885820</v>
      </c>
      <c r="E250" s="561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116</v>
      </c>
      <c r="L250" s="37" t="s">
        <v>45</v>
      </c>
      <c r="M250" s="38" t="s">
        <v>112</v>
      </c>
      <c r="N250" s="38"/>
      <c r="O250" s="37">
        <v>55</v>
      </c>
      <c r="P250" s="6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0" s="563"/>
      <c r="R250" s="563"/>
      <c r="S250" s="563"/>
      <c r="T250" s="564"/>
      <c r="U250" s="39" t="s">
        <v>45</v>
      </c>
      <c r="V250" s="39" t="s">
        <v>45</v>
      </c>
      <c r="W250" s="40" t="s">
        <v>0</v>
      </c>
      <c r="X250" s="58">
        <v>90</v>
      </c>
      <c r="Y250" s="55">
        <f>IFERROR(IF(X250="",0,CEILING((X250/$H250),1)*$H250),"")</f>
        <v>92</v>
      </c>
      <c r="Z250" s="41">
        <f>IFERROR(IF(Y250=0,"",ROUNDUP(Y250/H250,0)*0.00902),"")</f>
        <v>0.20746000000000001</v>
      </c>
      <c r="AA250" s="68" t="s">
        <v>45</v>
      </c>
      <c r="AB250" s="69" t="s">
        <v>45</v>
      </c>
      <c r="AC250" s="328" t="s">
        <v>430</v>
      </c>
      <c r="AG250" s="78"/>
      <c r="AJ250" s="84" t="s">
        <v>45</v>
      </c>
      <c r="AK250" s="84">
        <v>0</v>
      </c>
      <c r="BB250" s="329" t="s">
        <v>66</v>
      </c>
      <c r="BM250" s="78">
        <f>IFERROR(X250*I250/H250,"0")</f>
        <v>94.275000000000006</v>
      </c>
      <c r="BN250" s="78">
        <f>IFERROR(Y250*I250/H250,"0")</f>
        <v>96.37</v>
      </c>
      <c r="BO250" s="78">
        <f>IFERROR(1/J250*(X250/H250),"0")</f>
        <v>0.17045454545454547</v>
      </c>
      <c r="BP250" s="78">
        <f>IFERROR(1/J250*(Y250/H250),"0")</f>
        <v>0.17424242424242425</v>
      </c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2" t="s">
        <v>40</v>
      </c>
      <c r="Q251" s="553"/>
      <c r="R251" s="553"/>
      <c r="S251" s="553"/>
      <c r="T251" s="553"/>
      <c r="U251" s="553"/>
      <c r="V251" s="554"/>
      <c r="W251" s="42" t="s">
        <v>39</v>
      </c>
      <c r="X251" s="43">
        <f>IFERROR(X246/H246,"0")+IFERROR(X247/H247,"0")+IFERROR(X248/H248,"0")+IFERROR(X249/H249,"0")+IFERROR(X250/H250,"0")</f>
        <v>41.018518518518519</v>
      </c>
      <c r="Y251" s="43">
        <f>IFERROR(Y246/H246,"0")+IFERROR(Y247/H247,"0")+IFERROR(Y248/H248,"0")+IFERROR(Y249/H249,"0")+IFERROR(Y250/H250,"0")</f>
        <v>42</v>
      </c>
      <c r="Z251" s="43">
        <f>IFERROR(IF(Z246="",0,Z246),"0")+IFERROR(IF(Z247="",0,Z247),"0")+IFERROR(IF(Z248="",0,Z248),"0")+IFERROR(IF(Z249="",0,Z249),"0")+IFERROR(IF(Z250="",0,Z250),"0")</f>
        <v>0.56808000000000003</v>
      </c>
      <c r="AA251" s="67"/>
      <c r="AB251" s="67"/>
      <c r="AC251" s="67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2" t="s">
        <v>40</v>
      </c>
      <c r="Q252" s="553"/>
      <c r="R252" s="553"/>
      <c r="S252" s="553"/>
      <c r="T252" s="553"/>
      <c r="U252" s="553"/>
      <c r="V252" s="554"/>
      <c r="W252" s="42" t="s">
        <v>0</v>
      </c>
      <c r="X252" s="43">
        <f>IFERROR(SUM(X246:X250),"0")</f>
        <v>290</v>
      </c>
      <c r="Y252" s="43">
        <f>IFERROR(SUM(Y246:Y250),"0")</f>
        <v>297.20000000000005</v>
      </c>
      <c r="Z252" s="42"/>
      <c r="AA252" s="67"/>
      <c r="AB252" s="67"/>
      <c r="AC252" s="67"/>
    </row>
    <row r="253" spans="1:68" ht="16.5" hidden="1" customHeight="1" x14ac:dyDescent="0.25">
      <c r="A253" s="565" t="s">
        <v>431</v>
      </c>
      <c r="B253" s="565"/>
      <c r="C253" s="565"/>
      <c r="D253" s="565"/>
      <c r="E253" s="565"/>
      <c r="F253" s="565"/>
      <c r="G253" s="565"/>
      <c r="H253" s="565"/>
      <c r="I253" s="565"/>
      <c r="J253" s="565"/>
      <c r="K253" s="565"/>
      <c r="L253" s="565"/>
      <c r="M253" s="565"/>
      <c r="N253" s="565"/>
      <c r="O253" s="565"/>
      <c r="P253" s="565"/>
      <c r="Q253" s="565"/>
      <c r="R253" s="565"/>
      <c r="S253" s="565"/>
      <c r="T253" s="565"/>
      <c r="U253" s="565"/>
      <c r="V253" s="565"/>
      <c r="W253" s="565"/>
      <c r="X253" s="565"/>
      <c r="Y253" s="565"/>
      <c r="Z253" s="565"/>
      <c r="AA253" s="65"/>
      <c r="AB253" s="65"/>
      <c r="AC253" s="79"/>
    </row>
    <row r="254" spans="1:68" ht="14.25" hidden="1" customHeight="1" x14ac:dyDescent="0.25">
      <c r="A254" s="566" t="s">
        <v>108</v>
      </c>
      <c r="B254" s="566"/>
      <c r="C254" s="566"/>
      <c r="D254" s="566"/>
      <c r="E254" s="566"/>
      <c r="F254" s="566"/>
      <c r="G254" s="566"/>
      <c r="H254" s="566"/>
      <c r="I254" s="566"/>
      <c r="J254" s="566"/>
      <c r="K254" s="566"/>
      <c r="L254" s="566"/>
      <c r="M254" s="566"/>
      <c r="N254" s="566"/>
      <c r="O254" s="566"/>
      <c r="P254" s="566"/>
      <c r="Q254" s="566"/>
      <c r="R254" s="566"/>
      <c r="S254" s="566"/>
      <c r="T254" s="566"/>
      <c r="U254" s="566"/>
      <c r="V254" s="566"/>
      <c r="W254" s="566"/>
      <c r="X254" s="566"/>
      <c r="Y254" s="566"/>
      <c r="Z254" s="566"/>
      <c r="AA254" s="66"/>
      <c r="AB254" s="66"/>
      <c r="AC254" s="80"/>
    </row>
    <row r="255" spans="1:68" ht="27" hidden="1" customHeight="1" x14ac:dyDescent="0.25">
      <c r="A255" s="63" t="s">
        <v>432</v>
      </c>
      <c r="B255" s="63" t="s">
        <v>433</v>
      </c>
      <c r="C255" s="36">
        <v>4301011223</v>
      </c>
      <c r="D255" s="561">
        <v>4607091383423</v>
      </c>
      <c r="E255" s="561"/>
      <c r="F255" s="62">
        <v>1.35</v>
      </c>
      <c r="G255" s="37">
        <v>8</v>
      </c>
      <c r="H255" s="62">
        <v>10.8</v>
      </c>
      <c r="I255" s="62">
        <v>11.305999999999999</v>
      </c>
      <c r="J255" s="37">
        <v>64</v>
      </c>
      <c r="K255" s="37" t="s">
        <v>113</v>
      </c>
      <c r="L255" s="37" t="s">
        <v>45</v>
      </c>
      <c r="M255" s="38" t="s">
        <v>90</v>
      </c>
      <c r="N255" s="38"/>
      <c r="O255" s="37">
        <v>35</v>
      </c>
      <c r="P255" s="6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55" s="563"/>
      <c r="R255" s="563"/>
      <c r="S255" s="563"/>
      <c r="T255" s="56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30" t="s">
        <v>111</v>
      </c>
      <c r="AG255" s="78"/>
      <c r="AJ255" s="84" t="s">
        <v>45</v>
      </c>
      <c r="AK255" s="84">
        <v>0</v>
      </c>
      <c r="BB255" s="331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hidden="1" customHeight="1" x14ac:dyDescent="0.25">
      <c r="A256" s="63" t="s">
        <v>434</v>
      </c>
      <c r="B256" s="63" t="s">
        <v>435</v>
      </c>
      <c r="C256" s="36">
        <v>4301012199</v>
      </c>
      <c r="D256" s="561">
        <v>4680115886957</v>
      </c>
      <c r="E256" s="56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113</v>
      </c>
      <c r="L256" s="37" t="s">
        <v>45</v>
      </c>
      <c r="M256" s="38" t="s">
        <v>90</v>
      </c>
      <c r="N256" s="38"/>
      <c r="O256" s="37">
        <v>30</v>
      </c>
      <c r="P256" s="67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56" s="563"/>
      <c r="R256" s="563"/>
      <c r="S256" s="563"/>
      <c r="T256" s="56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32" t="s">
        <v>436</v>
      </c>
      <c r="AG256" s="78"/>
      <c r="AJ256" s="84" t="s">
        <v>45</v>
      </c>
      <c r="AK256" s="84">
        <v>0</v>
      </c>
      <c r="BB256" s="333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437</v>
      </c>
      <c r="B257" s="63" t="s">
        <v>438</v>
      </c>
      <c r="C257" s="36">
        <v>4301012098</v>
      </c>
      <c r="D257" s="561">
        <v>4680115885660</v>
      </c>
      <c r="E257" s="561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113</v>
      </c>
      <c r="L257" s="37" t="s">
        <v>45</v>
      </c>
      <c r="M257" s="38" t="s">
        <v>90</v>
      </c>
      <c r="N257" s="38"/>
      <c r="O257" s="37">
        <v>35</v>
      </c>
      <c r="P257" s="67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57" s="563"/>
      <c r="R257" s="563"/>
      <c r="S257" s="563"/>
      <c r="T257" s="56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34" t="s">
        <v>383</v>
      </c>
      <c r="AG257" s="78"/>
      <c r="AJ257" s="84" t="s">
        <v>45</v>
      </c>
      <c r="AK257" s="84">
        <v>0</v>
      </c>
      <c r="BB257" s="335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hidden="1" customHeight="1" x14ac:dyDescent="0.25">
      <c r="A258" s="63" t="s">
        <v>439</v>
      </c>
      <c r="B258" s="63" t="s">
        <v>440</v>
      </c>
      <c r="C258" s="36">
        <v>4301012176</v>
      </c>
      <c r="D258" s="561">
        <v>4680115886773</v>
      </c>
      <c r="E258" s="561"/>
      <c r="F258" s="62">
        <v>0.9</v>
      </c>
      <c r="G258" s="37">
        <v>10</v>
      </c>
      <c r="H258" s="62">
        <v>9</v>
      </c>
      <c r="I258" s="62">
        <v>9.41</v>
      </c>
      <c r="J258" s="37">
        <v>64</v>
      </c>
      <c r="K258" s="37" t="s">
        <v>113</v>
      </c>
      <c r="L258" s="37" t="s">
        <v>45</v>
      </c>
      <c r="M258" s="38" t="s">
        <v>112</v>
      </c>
      <c r="N258" s="38"/>
      <c r="O258" s="37">
        <v>31</v>
      </c>
      <c r="P258" s="6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58" s="563"/>
      <c r="R258" s="563"/>
      <c r="S258" s="563"/>
      <c r="T258" s="56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IFERROR(IF(Y258=0,"",ROUNDUP(Y258/H258,0)*0.01898),"")</f>
        <v/>
      </c>
      <c r="AA258" s="68" t="s">
        <v>45</v>
      </c>
      <c r="AB258" s="69" t="s">
        <v>45</v>
      </c>
      <c r="AC258" s="336" t="s">
        <v>441</v>
      </c>
      <c r="AG258" s="78"/>
      <c r="AJ258" s="84" t="s">
        <v>45</v>
      </c>
      <c r="AK258" s="84">
        <v>0</v>
      </c>
      <c r="BB258" s="337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555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52" t="s">
        <v>40</v>
      </c>
      <c r="Q259" s="553"/>
      <c r="R259" s="553"/>
      <c r="S259" s="553"/>
      <c r="T259" s="553"/>
      <c r="U259" s="553"/>
      <c r="V259" s="554"/>
      <c r="W259" s="42" t="s">
        <v>39</v>
      </c>
      <c r="X259" s="43">
        <f>IFERROR(X255/H255,"0")+IFERROR(X256/H256,"0")+IFERROR(X257/H257,"0")+IFERROR(X258/H258,"0")</f>
        <v>0</v>
      </c>
      <c r="Y259" s="43">
        <f>IFERROR(Y255/H255,"0")+IFERROR(Y256/H256,"0")+IFERROR(Y257/H257,"0")+IFERROR(Y258/H258,"0")</f>
        <v>0</v>
      </c>
      <c r="Z259" s="43">
        <f>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hidden="1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2" t="s">
        <v>40</v>
      </c>
      <c r="Q260" s="553"/>
      <c r="R260" s="553"/>
      <c r="S260" s="553"/>
      <c r="T260" s="553"/>
      <c r="U260" s="553"/>
      <c r="V260" s="554"/>
      <c r="W260" s="42" t="s">
        <v>0</v>
      </c>
      <c r="X260" s="43">
        <f>IFERROR(SUM(X255:X258),"0")</f>
        <v>0</v>
      </c>
      <c r="Y260" s="43">
        <f>IFERROR(SUM(Y255:Y258),"0")</f>
        <v>0</v>
      </c>
      <c r="Z260" s="42"/>
      <c r="AA260" s="67"/>
      <c r="AB260" s="67"/>
      <c r="AC260" s="67"/>
    </row>
    <row r="261" spans="1:68" ht="16.5" hidden="1" customHeight="1" x14ac:dyDescent="0.25">
      <c r="A261" s="565" t="s">
        <v>442</v>
      </c>
      <c r="B261" s="565"/>
      <c r="C261" s="565"/>
      <c r="D261" s="565"/>
      <c r="E261" s="565"/>
      <c r="F261" s="565"/>
      <c r="G261" s="565"/>
      <c r="H261" s="565"/>
      <c r="I261" s="565"/>
      <c r="J261" s="565"/>
      <c r="K261" s="565"/>
      <c r="L261" s="565"/>
      <c r="M261" s="565"/>
      <c r="N261" s="565"/>
      <c r="O261" s="565"/>
      <c r="P261" s="565"/>
      <c r="Q261" s="565"/>
      <c r="R261" s="565"/>
      <c r="S261" s="565"/>
      <c r="T261" s="565"/>
      <c r="U261" s="565"/>
      <c r="V261" s="565"/>
      <c r="W261" s="565"/>
      <c r="X261" s="565"/>
      <c r="Y261" s="565"/>
      <c r="Z261" s="565"/>
      <c r="AA261" s="65"/>
      <c r="AB261" s="65"/>
      <c r="AC261" s="79"/>
    </row>
    <row r="262" spans="1:68" ht="14.25" hidden="1" customHeight="1" x14ac:dyDescent="0.25">
      <c r="A262" s="566" t="s">
        <v>86</v>
      </c>
      <c r="B262" s="566"/>
      <c r="C262" s="566"/>
      <c r="D262" s="566"/>
      <c r="E262" s="566"/>
      <c r="F262" s="566"/>
      <c r="G262" s="566"/>
      <c r="H262" s="566"/>
      <c r="I262" s="566"/>
      <c r="J262" s="566"/>
      <c r="K262" s="566"/>
      <c r="L262" s="566"/>
      <c r="M262" s="566"/>
      <c r="N262" s="566"/>
      <c r="O262" s="566"/>
      <c r="P262" s="566"/>
      <c r="Q262" s="566"/>
      <c r="R262" s="566"/>
      <c r="S262" s="566"/>
      <c r="T262" s="566"/>
      <c r="U262" s="566"/>
      <c r="V262" s="566"/>
      <c r="W262" s="566"/>
      <c r="X262" s="566"/>
      <c r="Y262" s="566"/>
      <c r="Z262" s="566"/>
      <c r="AA262" s="66"/>
      <c r="AB262" s="66"/>
      <c r="AC262" s="80"/>
    </row>
    <row r="263" spans="1:68" ht="27" hidden="1" customHeight="1" x14ac:dyDescent="0.25">
      <c r="A263" s="63" t="s">
        <v>443</v>
      </c>
      <c r="B263" s="63" t="s">
        <v>444</v>
      </c>
      <c r="C263" s="36">
        <v>4301051893</v>
      </c>
      <c r="D263" s="561">
        <v>4680115886186</v>
      </c>
      <c r="E263" s="561"/>
      <c r="F263" s="62">
        <v>0.3</v>
      </c>
      <c r="G263" s="37">
        <v>6</v>
      </c>
      <c r="H263" s="62">
        <v>1.8</v>
      </c>
      <c r="I263" s="62">
        <v>1.98</v>
      </c>
      <c r="J263" s="37">
        <v>182</v>
      </c>
      <c r="K263" s="37" t="s">
        <v>81</v>
      </c>
      <c r="L263" s="37" t="s">
        <v>45</v>
      </c>
      <c r="M263" s="38" t="s">
        <v>90</v>
      </c>
      <c r="N263" s="38"/>
      <c r="O263" s="37">
        <v>45</v>
      </c>
      <c r="P263" s="6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63" s="563"/>
      <c r="R263" s="563"/>
      <c r="S263" s="563"/>
      <c r="T263" s="56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45</v>
      </c>
      <c r="AB263" s="69" t="s">
        <v>45</v>
      </c>
      <c r="AC263" s="338" t="s">
        <v>445</v>
      </c>
      <c r="AG263" s="78"/>
      <c r="AJ263" s="84" t="s">
        <v>45</v>
      </c>
      <c r="AK263" s="84">
        <v>0</v>
      </c>
      <c r="BB263" s="339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446</v>
      </c>
      <c r="B264" s="63" t="s">
        <v>447</v>
      </c>
      <c r="C264" s="36">
        <v>4301051795</v>
      </c>
      <c r="D264" s="561">
        <v>4680115881228</v>
      </c>
      <c r="E264" s="561"/>
      <c r="F264" s="62">
        <v>0.4</v>
      </c>
      <c r="G264" s="37">
        <v>6</v>
      </c>
      <c r="H264" s="62">
        <v>2.4</v>
      </c>
      <c r="I264" s="62">
        <v>2.6520000000000001</v>
      </c>
      <c r="J264" s="37">
        <v>182</v>
      </c>
      <c r="K264" s="37" t="s">
        <v>81</v>
      </c>
      <c r="L264" s="37" t="s">
        <v>45</v>
      </c>
      <c r="M264" s="38" t="s">
        <v>96</v>
      </c>
      <c r="N264" s="38"/>
      <c r="O264" s="37">
        <v>40</v>
      </c>
      <c r="P264" s="67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64" s="563"/>
      <c r="R264" s="563"/>
      <c r="S264" s="563"/>
      <c r="T264" s="564"/>
      <c r="U264" s="39" t="s">
        <v>45</v>
      </c>
      <c r="V264" s="39" t="s">
        <v>45</v>
      </c>
      <c r="W264" s="40" t="s">
        <v>0</v>
      </c>
      <c r="X264" s="58">
        <v>20</v>
      </c>
      <c r="Y264" s="55">
        <f>IFERROR(IF(X264="",0,CEILING((X264/$H264),1)*$H264),"")</f>
        <v>21.599999999999998</v>
      </c>
      <c r="Z264" s="41">
        <f>IFERROR(IF(Y264=0,"",ROUNDUP(Y264/H264,0)*0.00651),"")</f>
        <v>5.8590000000000003E-2</v>
      </c>
      <c r="AA264" s="68" t="s">
        <v>45</v>
      </c>
      <c r="AB264" s="69" t="s">
        <v>45</v>
      </c>
      <c r="AC264" s="340" t="s">
        <v>448</v>
      </c>
      <c r="AG264" s="78"/>
      <c r="AJ264" s="84" t="s">
        <v>45</v>
      </c>
      <c r="AK264" s="84">
        <v>0</v>
      </c>
      <c r="BB264" s="341" t="s">
        <v>66</v>
      </c>
      <c r="BM264" s="78">
        <f>IFERROR(X264*I264/H264,"0")</f>
        <v>22.100000000000005</v>
      </c>
      <c r="BN264" s="78">
        <f>IFERROR(Y264*I264/H264,"0")</f>
        <v>23.868000000000002</v>
      </c>
      <c r="BO264" s="78">
        <f>IFERROR(1/J264*(X264/H264),"0")</f>
        <v>4.5787545787545791E-2</v>
      </c>
      <c r="BP264" s="78">
        <f>IFERROR(1/J264*(Y264/H264),"0")</f>
        <v>4.9450549450549455E-2</v>
      </c>
    </row>
    <row r="265" spans="1:68" ht="27" customHeight="1" x14ac:dyDescent="0.25">
      <c r="A265" s="63" t="s">
        <v>449</v>
      </c>
      <c r="B265" s="63" t="s">
        <v>450</v>
      </c>
      <c r="C265" s="36">
        <v>4301051388</v>
      </c>
      <c r="D265" s="561">
        <v>4680115881211</v>
      </c>
      <c r="E265" s="561"/>
      <c r="F265" s="62">
        <v>0.4</v>
      </c>
      <c r="G265" s="37">
        <v>6</v>
      </c>
      <c r="H265" s="62">
        <v>2.4</v>
      </c>
      <c r="I265" s="62">
        <v>2.58</v>
      </c>
      <c r="J265" s="37">
        <v>182</v>
      </c>
      <c r="K265" s="37" t="s">
        <v>81</v>
      </c>
      <c r="L265" s="37" t="s">
        <v>45</v>
      </c>
      <c r="M265" s="38" t="s">
        <v>90</v>
      </c>
      <c r="N265" s="38"/>
      <c r="O265" s="37">
        <v>45</v>
      </c>
      <c r="P265" s="67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65" s="563"/>
      <c r="R265" s="563"/>
      <c r="S265" s="563"/>
      <c r="T265" s="564"/>
      <c r="U265" s="39" t="s">
        <v>45</v>
      </c>
      <c r="V265" s="39" t="s">
        <v>45</v>
      </c>
      <c r="W265" s="40" t="s">
        <v>0</v>
      </c>
      <c r="X265" s="58">
        <v>20</v>
      </c>
      <c r="Y265" s="55">
        <f>IFERROR(IF(X265="",0,CEILING((X265/$H265),1)*$H265),"")</f>
        <v>21.599999999999998</v>
      </c>
      <c r="Z265" s="41">
        <f>IFERROR(IF(Y265=0,"",ROUNDUP(Y265/H265,0)*0.00651),"")</f>
        <v>5.8590000000000003E-2</v>
      </c>
      <c r="AA265" s="68" t="s">
        <v>45</v>
      </c>
      <c r="AB265" s="69" t="s">
        <v>45</v>
      </c>
      <c r="AC265" s="342" t="s">
        <v>445</v>
      </c>
      <c r="AG265" s="78"/>
      <c r="AJ265" s="84" t="s">
        <v>45</v>
      </c>
      <c r="AK265" s="84">
        <v>0</v>
      </c>
      <c r="BB265" s="343" t="s">
        <v>66</v>
      </c>
      <c r="BM265" s="78">
        <f>IFERROR(X265*I265/H265,"0")</f>
        <v>21.5</v>
      </c>
      <c r="BN265" s="78">
        <f>IFERROR(Y265*I265/H265,"0")</f>
        <v>23.22</v>
      </c>
      <c r="BO265" s="78">
        <f>IFERROR(1/J265*(X265/H265),"0")</f>
        <v>4.5787545787545791E-2</v>
      </c>
      <c r="BP265" s="78">
        <f>IFERROR(1/J265*(Y265/H265),"0")</f>
        <v>4.9450549450549455E-2</v>
      </c>
    </row>
    <row r="266" spans="1:68" x14ac:dyDescent="0.2">
      <c r="A266" s="555"/>
      <c r="B266" s="555"/>
      <c r="C266" s="555"/>
      <c r="D266" s="555"/>
      <c r="E266" s="555"/>
      <c r="F266" s="555"/>
      <c r="G266" s="555"/>
      <c r="H266" s="555"/>
      <c r="I266" s="555"/>
      <c r="J266" s="555"/>
      <c r="K266" s="555"/>
      <c r="L266" s="555"/>
      <c r="M266" s="555"/>
      <c r="N266" s="555"/>
      <c r="O266" s="556"/>
      <c r="P266" s="552" t="s">
        <v>40</v>
      </c>
      <c r="Q266" s="553"/>
      <c r="R266" s="553"/>
      <c r="S266" s="553"/>
      <c r="T266" s="553"/>
      <c r="U266" s="553"/>
      <c r="V266" s="554"/>
      <c r="W266" s="42" t="s">
        <v>39</v>
      </c>
      <c r="X266" s="43">
        <f>IFERROR(X263/H263,"0")+IFERROR(X264/H264,"0")+IFERROR(X265/H265,"0")</f>
        <v>16.666666666666668</v>
      </c>
      <c r="Y266" s="43">
        <f>IFERROR(Y263/H263,"0")+IFERROR(Y264/H264,"0")+IFERROR(Y265/H265,"0")</f>
        <v>18</v>
      </c>
      <c r="Z266" s="43">
        <f>IFERROR(IF(Z263="",0,Z263),"0")+IFERROR(IF(Z264="",0,Z264),"0")+IFERROR(IF(Z265="",0,Z265),"0")</f>
        <v>0.11718000000000001</v>
      </c>
      <c r="AA266" s="67"/>
      <c r="AB266" s="67"/>
      <c r="AC266" s="67"/>
    </row>
    <row r="267" spans="1:68" x14ac:dyDescent="0.2">
      <c r="A267" s="555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52" t="s">
        <v>40</v>
      </c>
      <c r="Q267" s="553"/>
      <c r="R267" s="553"/>
      <c r="S267" s="553"/>
      <c r="T267" s="553"/>
      <c r="U267" s="553"/>
      <c r="V267" s="554"/>
      <c r="W267" s="42" t="s">
        <v>0</v>
      </c>
      <c r="X267" s="43">
        <f>IFERROR(SUM(X263:X265),"0")</f>
        <v>40</v>
      </c>
      <c r="Y267" s="43">
        <f>IFERROR(SUM(Y263:Y265),"0")</f>
        <v>43.199999999999996</v>
      </c>
      <c r="Z267" s="42"/>
      <c r="AA267" s="67"/>
      <c r="AB267" s="67"/>
      <c r="AC267" s="67"/>
    </row>
    <row r="268" spans="1:68" ht="16.5" hidden="1" customHeight="1" x14ac:dyDescent="0.25">
      <c r="A268" s="565" t="s">
        <v>451</v>
      </c>
      <c r="B268" s="565"/>
      <c r="C268" s="565"/>
      <c r="D268" s="565"/>
      <c r="E268" s="565"/>
      <c r="F268" s="565"/>
      <c r="G268" s="565"/>
      <c r="H268" s="565"/>
      <c r="I268" s="565"/>
      <c r="J268" s="565"/>
      <c r="K268" s="565"/>
      <c r="L268" s="565"/>
      <c r="M268" s="565"/>
      <c r="N268" s="565"/>
      <c r="O268" s="565"/>
      <c r="P268" s="565"/>
      <c r="Q268" s="565"/>
      <c r="R268" s="565"/>
      <c r="S268" s="565"/>
      <c r="T268" s="565"/>
      <c r="U268" s="565"/>
      <c r="V268" s="565"/>
      <c r="W268" s="565"/>
      <c r="X268" s="565"/>
      <c r="Y268" s="565"/>
      <c r="Z268" s="565"/>
      <c r="AA268" s="65"/>
      <c r="AB268" s="65"/>
      <c r="AC268" s="79"/>
    </row>
    <row r="269" spans="1:68" ht="14.25" hidden="1" customHeight="1" x14ac:dyDescent="0.25">
      <c r="A269" s="566" t="s">
        <v>76</v>
      </c>
      <c r="B269" s="566"/>
      <c r="C269" s="566"/>
      <c r="D269" s="566"/>
      <c r="E269" s="566"/>
      <c r="F269" s="566"/>
      <c r="G269" s="566"/>
      <c r="H269" s="566"/>
      <c r="I269" s="566"/>
      <c r="J269" s="566"/>
      <c r="K269" s="566"/>
      <c r="L269" s="566"/>
      <c r="M269" s="566"/>
      <c r="N269" s="566"/>
      <c r="O269" s="566"/>
      <c r="P269" s="566"/>
      <c r="Q269" s="566"/>
      <c r="R269" s="566"/>
      <c r="S269" s="566"/>
      <c r="T269" s="566"/>
      <c r="U269" s="566"/>
      <c r="V269" s="566"/>
      <c r="W269" s="566"/>
      <c r="X269" s="566"/>
      <c r="Y269" s="566"/>
      <c r="Z269" s="566"/>
      <c r="AA269" s="66"/>
      <c r="AB269" s="66"/>
      <c r="AC269" s="80"/>
    </row>
    <row r="270" spans="1:68" ht="27" hidden="1" customHeight="1" x14ac:dyDescent="0.25">
      <c r="A270" s="63" t="s">
        <v>452</v>
      </c>
      <c r="B270" s="63" t="s">
        <v>453</v>
      </c>
      <c r="C270" s="36">
        <v>4301031307</v>
      </c>
      <c r="D270" s="561">
        <v>4680115880344</v>
      </c>
      <c r="E270" s="561"/>
      <c r="F270" s="62">
        <v>0.28000000000000003</v>
      </c>
      <c r="G270" s="37">
        <v>6</v>
      </c>
      <c r="H270" s="62">
        <v>1.68</v>
      </c>
      <c r="I270" s="62">
        <v>1.78</v>
      </c>
      <c r="J270" s="37">
        <v>234</v>
      </c>
      <c r="K270" s="37" t="s">
        <v>85</v>
      </c>
      <c r="L270" s="37" t="s">
        <v>45</v>
      </c>
      <c r="M270" s="38" t="s">
        <v>80</v>
      </c>
      <c r="N270" s="38"/>
      <c r="O270" s="37">
        <v>40</v>
      </c>
      <c r="P270" s="66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0" s="563"/>
      <c r="R270" s="563"/>
      <c r="S270" s="563"/>
      <c r="T270" s="564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IFERROR(IF(Y270=0,"",ROUNDUP(Y270/H270,0)*0.00502),"")</f>
        <v/>
      </c>
      <c r="AA270" s="68" t="s">
        <v>45</v>
      </c>
      <c r="AB270" s="69" t="s">
        <v>45</v>
      </c>
      <c r="AC270" s="344" t="s">
        <v>454</v>
      </c>
      <c r="AG270" s="78"/>
      <c r="AJ270" s="84" t="s">
        <v>45</v>
      </c>
      <c r="AK270" s="84">
        <v>0</v>
      </c>
      <c r="BB270" s="345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27" hidden="1" customHeight="1" x14ac:dyDescent="0.25">
      <c r="A271" s="63" t="s">
        <v>455</v>
      </c>
      <c r="B271" s="63" t="s">
        <v>456</v>
      </c>
      <c r="C271" s="36">
        <v>4301031429</v>
      </c>
      <c r="D271" s="561">
        <v>4680115886919</v>
      </c>
      <c r="E271" s="561"/>
      <c r="F271" s="62">
        <v>0.4</v>
      </c>
      <c r="G271" s="37">
        <v>6</v>
      </c>
      <c r="H271" s="62">
        <v>2.4</v>
      </c>
      <c r="I271" s="62">
        <v>2.58</v>
      </c>
      <c r="J271" s="37">
        <v>182</v>
      </c>
      <c r="K271" s="37" t="s">
        <v>81</v>
      </c>
      <c r="L271" s="37" t="s">
        <v>45</v>
      </c>
      <c r="M271" s="38" t="s">
        <v>80</v>
      </c>
      <c r="N271" s="38"/>
      <c r="O271" s="37">
        <v>40</v>
      </c>
      <c r="P271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1" s="563"/>
      <c r="R271" s="563"/>
      <c r="S271" s="563"/>
      <c r="T271" s="56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46" t="s">
        <v>457</v>
      </c>
      <c r="AG271" s="78"/>
      <c r="AJ271" s="84" t="s">
        <v>45</v>
      </c>
      <c r="AK271" s="84">
        <v>0</v>
      </c>
      <c r="BB271" s="347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idden="1" x14ac:dyDescent="0.2">
      <c r="A272" s="555"/>
      <c r="B272" s="555"/>
      <c r="C272" s="555"/>
      <c r="D272" s="555"/>
      <c r="E272" s="555"/>
      <c r="F272" s="555"/>
      <c r="G272" s="555"/>
      <c r="H272" s="555"/>
      <c r="I272" s="555"/>
      <c r="J272" s="555"/>
      <c r="K272" s="555"/>
      <c r="L272" s="555"/>
      <c r="M272" s="555"/>
      <c r="N272" s="555"/>
      <c r="O272" s="556"/>
      <c r="P272" s="552" t="s">
        <v>40</v>
      </c>
      <c r="Q272" s="553"/>
      <c r="R272" s="553"/>
      <c r="S272" s="553"/>
      <c r="T272" s="553"/>
      <c r="U272" s="553"/>
      <c r="V272" s="554"/>
      <c r="W272" s="42" t="s">
        <v>39</v>
      </c>
      <c r="X272" s="43">
        <f>IFERROR(X270/H270,"0")+IFERROR(X271/H271,"0")</f>
        <v>0</v>
      </c>
      <c r="Y272" s="43">
        <f>IFERROR(Y270/H270,"0")+IFERROR(Y271/H271,"0")</f>
        <v>0</v>
      </c>
      <c r="Z272" s="43">
        <f>IFERROR(IF(Z270="",0,Z270),"0")+IFERROR(IF(Z271="",0,Z271),"0")</f>
        <v>0</v>
      </c>
      <c r="AA272" s="67"/>
      <c r="AB272" s="67"/>
      <c r="AC272" s="67"/>
    </row>
    <row r="273" spans="1:68" hidden="1" x14ac:dyDescent="0.2">
      <c r="A273" s="555"/>
      <c r="B273" s="555"/>
      <c r="C273" s="555"/>
      <c r="D273" s="555"/>
      <c r="E273" s="555"/>
      <c r="F273" s="555"/>
      <c r="G273" s="555"/>
      <c r="H273" s="555"/>
      <c r="I273" s="555"/>
      <c r="J273" s="555"/>
      <c r="K273" s="555"/>
      <c r="L273" s="555"/>
      <c r="M273" s="555"/>
      <c r="N273" s="555"/>
      <c r="O273" s="556"/>
      <c r="P273" s="552" t="s">
        <v>40</v>
      </c>
      <c r="Q273" s="553"/>
      <c r="R273" s="553"/>
      <c r="S273" s="553"/>
      <c r="T273" s="553"/>
      <c r="U273" s="553"/>
      <c r="V273" s="554"/>
      <c r="W273" s="42" t="s">
        <v>0</v>
      </c>
      <c r="X273" s="43">
        <f>IFERROR(SUM(X270:X271),"0")</f>
        <v>0</v>
      </c>
      <c r="Y273" s="43">
        <f>IFERROR(SUM(Y270:Y271),"0")</f>
        <v>0</v>
      </c>
      <c r="Z273" s="42"/>
      <c r="AA273" s="67"/>
      <c r="AB273" s="67"/>
      <c r="AC273" s="67"/>
    </row>
    <row r="274" spans="1:68" ht="14.25" hidden="1" customHeight="1" x14ac:dyDescent="0.25">
      <c r="A274" s="566" t="s">
        <v>86</v>
      </c>
      <c r="B274" s="566"/>
      <c r="C274" s="566"/>
      <c r="D274" s="566"/>
      <c r="E274" s="566"/>
      <c r="F274" s="566"/>
      <c r="G274" s="566"/>
      <c r="H274" s="566"/>
      <c r="I274" s="566"/>
      <c r="J274" s="566"/>
      <c r="K274" s="566"/>
      <c r="L274" s="566"/>
      <c r="M274" s="566"/>
      <c r="N274" s="566"/>
      <c r="O274" s="566"/>
      <c r="P274" s="566"/>
      <c r="Q274" s="566"/>
      <c r="R274" s="566"/>
      <c r="S274" s="566"/>
      <c r="T274" s="566"/>
      <c r="U274" s="566"/>
      <c r="V274" s="566"/>
      <c r="W274" s="566"/>
      <c r="X274" s="566"/>
      <c r="Y274" s="566"/>
      <c r="Z274" s="566"/>
      <c r="AA274" s="66"/>
      <c r="AB274" s="66"/>
      <c r="AC274" s="80"/>
    </row>
    <row r="275" spans="1:68" ht="37.5" hidden="1" customHeight="1" x14ac:dyDescent="0.25">
      <c r="A275" s="63" t="s">
        <v>458</v>
      </c>
      <c r="B275" s="63" t="s">
        <v>459</v>
      </c>
      <c r="C275" s="36">
        <v>4301051782</v>
      </c>
      <c r="D275" s="561">
        <v>4680115884618</v>
      </c>
      <c r="E275" s="561"/>
      <c r="F275" s="62">
        <v>0.6</v>
      </c>
      <c r="G275" s="37">
        <v>6</v>
      </c>
      <c r="H275" s="62">
        <v>3.6</v>
      </c>
      <c r="I275" s="62">
        <v>3.79</v>
      </c>
      <c r="J275" s="37">
        <v>132</v>
      </c>
      <c r="K275" s="37" t="s">
        <v>116</v>
      </c>
      <c r="L275" s="37" t="s">
        <v>45</v>
      </c>
      <c r="M275" s="38" t="s">
        <v>90</v>
      </c>
      <c r="N275" s="38"/>
      <c r="O275" s="37">
        <v>45</v>
      </c>
      <c r="P275" s="6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75" s="563"/>
      <c r="R275" s="563"/>
      <c r="S275" s="563"/>
      <c r="T275" s="564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IFERROR(IF(Y275=0,"",ROUNDUP(Y275/H275,0)*0.00902),"")</f>
        <v/>
      </c>
      <c r="AA275" s="68" t="s">
        <v>45</v>
      </c>
      <c r="AB275" s="69" t="s">
        <v>45</v>
      </c>
      <c r="AC275" s="348" t="s">
        <v>460</v>
      </c>
      <c r="AG275" s="78"/>
      <c r="AJ275" s="84" t="s">
        <v>45</v>
      </c>
      <c r="AK275" s="84">
        <v>0</v>
      </c>
      <c r="BB275" s="349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ht="27" hidden="1" customHeight="1" x14ac:dyDescent="0.25">
      <c r="A276" s="63" t="s">
        <v>461</v>
      </c>
      <c r="B276" s="63" t="s">
        <v>462</v>
      </c>
      <c r="C276" s="36">
        <v>4301052057</v>
      </c>
      <c r="D276" s="561">
        <v>4680115887114</v>
      </c>
      <c r="E276" s="561"/>
      <c r="F276" s="62">
        <v>0.55000000000000004</v>
      </c>
      <c r="G276" s="37">
        <v>6</v>
      </c>
      <c r="H276" s="62">
        <v>3.3</v>
      </c>
      <c r="I276" s="62">
        <v>3.49</v>
      </c>
      <c r="J276" s="37">
        <v>132</v>
      </c>
      <c r="K276" s="37" t="s">
        <v>116</v>
      </c>
      <c r="L276" s="37" t="s">
        <v>45</v>
      </c>
      <c r="M276" s="38" t="s">
        <v>90</v>
      </c>
      <c r="N276" s="38"/>
      <c r="O276" s="37">
        <v>45</v>
      </c>
      <c r="P276" s="6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76" s="563"/>
      <c r="R276" s="563"/>
      <c r="S276" s="563"/>
      <c r="T276" s="564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45</v>
      </c>
      <c r="AB276" s="69" t="s">
        <v>45</v>
      </c>
      <c r="AC276" s="350" t="s">
        <v>463</v>
      </c>
      <c r="AG276" s="78"/>
      <c r="AJ276" s="84" t="s">
        <v>45</v>
      </c>
      <c r="AK276" s="84">
        <v>0</v>
      </c>
      <c r="BB276" s="351" t="s">
        <v>66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idden="1" x14ac:dyDescent="0.2">
      <c r="A277" s="555"/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6"/>
      <c r="P277" s="552" t="s">
        <v>40</v>
      </c>
      <c r="Q277" s="553"/>
      <c r="R277" s="553"/>
      <c r="S277" s="553"/>
      <c r="T277" s="553"/>
      <c r="U277" s="553"/>
      <c r="V277" s="554"/>
      <c r="W277" s="42" t="s">
        <v>39</v>
      </c>
      <c r="X277" s="43">
        <f>IFERROR(X275/H275,"0")+IFERROR(X276/H276,"0")</f>
        <v>0</v>
      </c>
      <c r="Y277" s="43">
        <f>IFERROR(Y275/H275,"0")+IFERROR(Y276/H276,"0")</f>
        <v>0</v>
      </c>
      <c r="Z277" s="43">
        <f>IFERROR(IF(Z275="",0,Z275),"0")+IFERROR(IF(Z276="",0,Z276),"0")</f>
        <v>0</v>
      </c>
      <c r="AA277" s="67"/>
      <c r="AB277" s="67"/>
      <c r="AC277" s="67"/>
    </row>
    <row r="278" spans="1:68" hidden="1" x14ac:dyDescent="0.2">
      <c r="A278" s="555"/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6"/>
      <c r="P278" s="552" t="s">
        <v>40</v>
      </c>
      <c r="Q278" s="553"/>
      <c r="R278" s="553"/>
      <c r="S278" s="553"/>
      <c r="T278" s="553"/>
      <c r="U278" s="553"/>
      <c r="V278" s="554"/>
      <c r="W278" s="42" t="s">
        <v>0</v>
      </c>
      <c r="X278" s="43">
        <f>IFERROR(SUM(X275:X276),"0")</f>
        <v>0</v>
      </c>
      <c r="Y278" s="43">
        <f>IFERROR(SUM(Y275:Y276),"0")</f>
        <v>0</v>
      </c>
      <c r="Z278" s="42"/>
      <c r="AA278" s="67"/>
      <c r="AB278" s="67"/>
      <c r="AC278" s="67"/>
    </row>
    <row r="279" spans="1:68" ht="16.5" hidden="1" customHeight="1" x14ac:dyDescent="0.25">
      <c r="A279" s="565" t="s">
        <v>464</v>
      </c>
      <c r="B279" s="565"/>
      <c r="C279" s="565"/>
      <c r="D279" s="565"/>
      <c r="E279" s="565"/>
      <c r="F279" s="565"/>
      <c r="G279" s="565"/>
      <c r="H279" s="565"/>
      <c r="I279" s="565"/>
      <c r="J279" s="565"/>
      <c r="K279" s="565"/>
      <c r="L279" s="565"/>
      <c r="M279" s="565"/>
      <c r="N279" s="565"/>
      <c r="O279" s="565"/>
      <c r="P279" s="565"/>
      <c r="Q279" s="565"/>
      <c r="R279" s="565"/>
      <c r="S279" s="565"/>
      <c r="T279" s="565"/>
      <c r="U279" s="565"/>
      <c r="V279" s="565"/>
      <c r="W279" s="565"/>
      <c r="X279" s="565"/>
      <c r="Y279" s="565"/>
      <c r="Z279" s="565"/>
      <c r="AA279" s="65"/>
      <c r="AB279" s="65"/>
      <c r="AC279" s="79"/>
    </row>
    <row r="280" spans="1:68" ht="14.25" hidden="1" customHeight="1" x14ac:dyDescent="0.25">
      <c r="A280" s="566" t="s">
        <v>108</v>
      </c>
      <c r="B280" s="566"/>
      <c r="C280" s="566"/>
      <c r="D280" s="566"/>
      <c r="E280" s="566"/>
      <c r="F280" s="566"/>
      <c r="G280" s="566"/>
      <c r="H280" s="566"/>
      <c r="I280" s="566"/>
      <c r="J280" s="566"/>
      <c r="K280" s="566"/>
      <c r="L280" s="566"/>
      <c r="M280" s="566"/>
      <c r="N280" s="566"/>
      <c r="O280" s="566"/>
      <c r="P280" s="566"/>
      <c r="Q280" s="566"/>
      <c r="R280" s="566"/>
      <c r="S280" s="566"/>
      <c r="T280" s="566"/>
      <c r="U280" s="566"/>
      <c r="V280" s="566"/>
      <c r="W280" s="566"/>
      <c r="X280" s="566"/>
      <c r="Y280" s="566"/>
      <c r="Z280" s="566"/>
      <c r="AA280" s="66"/>
      <c r="AB280" s="66"/>
      <c r="AC280" s="80"/>
    </row>
    <row r="281" spans="1:68" ht="27" hidden="1" customHeight="1" x14ac:dyDescent="0.25">
      <c r="A281" s="63" t="s">
        <v>465</v>
      </c>
      <c r="B281" s="63" t="s">
        <v>466</v>
      </c>
      <c r="C281" s="36">
        <v>4301012126</v>
      </c>
      <c r="D281" s="561">
        <v>4607091386004</v>
      </c>
      <c r="E281" s="561"/>
      <c r="F281" s="62">
        <v>1.35</v>
      </c>
      <c r="G281" s="37">
        <v>8</v>
      </c>
      <c r="H281" s="62">
        <v>10.8</v>
      </c>
      <c r="I281" s="62">
        <v>11.21</v>
      </c>
      <c r="J281" s="37">
        <v>64</v>
      </c>
      <c r="K281" s="37" t="s">
        <v>113</v>
      </c>
      <c r="L281" s="37" t="s">
        <v>45</v>
      </c>
      <c r="M281" s="38" t="s">
        <v>112</v>
      </c>
      <c r="N281" s="38"/>
      <c r="O281" s="37">
        <v>55</v>
      </c>
      <c r="P281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1" s="563"/>
      <c r="R281" s="563"/>
      <c r="S281" s="563"/>
      <c r="T281" s="564"/>
      <c r="U281" s="39" t="s">
        <v>45</v>
      </c>
      <c r="V281" s="39" t="s">
        <v>45</v>
      </c>
      <c r="W281" s="40" t="s">
        <v>0</v>
      </c>
      <c r="X281" s="58">
        <v>0</v>
      </c>
      <c r="Y281" s="55">
        <f t="shared" ref="Y281:Y286" si="31">IFERROR(IF(X281="",0,CEILING((X281/$H281),1)*$H281),"")</f>
        <v>0</v>
      </c>
      <c r="Z281" s="41" t="str">
        <f>IFERROR(IF(Y281=0,"",ROUNDUP(Y281/H281,0)*0.01898),"")</f>
        <v/>
      </c>
      <c r="AA281" s="68" t="s">
        <v>45</v>
      </c>
      <c r="AB281" s="69" t="s">
        <v>45</v>
      </c>
      <c r="AC281" s="352" t="s">
        <v>467</v>
      </c>
      <c r="AG281" s="78"/>
      <c r="AJ281" s="84" t="s">
        <v>45</v>
      </c>
      <c r="AK281" s="84">
        <v>0</v>
      </c>
      <c r="BB281" s="353" t="s">
        <v>66</v>
      </c>
      <c r="BM281" s="78">
        <f t="shared" ref="BM281:BM286" si="32">IFERROR(X281*I281/H281,"0")</f>
        <v>0</v>
      </c>
      <c r="BN281" s="78">
        <f t="shared" ref="BN281:BN286" si="33">IFERROR(Y281*I281/H281,"0")</f>
        <v>0</v>
      </c>
      <c r="BO281" s="78">
        <f t="shared" ref="BO281:BO286" si="34">IFERROR(1/J281*(X281/H281),"0")</f>
        <v>0</v>
      </c>
      <c r="BP281" s="78">
        <f t="shared" ref="BP281:BP286" si="35">IFERROR(1/J281*(Y281/H281),"0")</f>
        <v>0</v>
      </c>
    </row>
    <row r="282" spans="1:68" ht="27" hidden="1" customHeight="1" x14ac:dyDescent="0.25">
      <c r="A282" s="63" t="s">
        <v>468</v>
      </c>
      <c r="B282" s="63" t="s">
        <v>469</v>
      </c>
      <c r="C282" s="36">
        <v>4301012024</v>
      </c>
      <c r="D282" s="561">
        <v>4680115885615</v>
      </c>
      <c r="E282" s="561"/>
      <c r="F282" s="62">
        <v>1.35</v>
      </c>
      <c r="G282" s="37">
        <v>8</v>
      </c>
      <c r="H282" s="62">
        <v>10.8</v>
      </c>
      <c r="I282" s="62">
        <v>11.21</v>
      </c>
      <c r="J282" s="37">
        <v>64</v>
      </c>
      <c r="K282" s="37" t="s">
        <v>113</v>
      </c>
      <c r="L282" s="37" t="s">
        <v>45</v>
      </c>
      <c r="M282" s="38" t="s">
        <v>90</v>
      </c>
      <c r="N282" s="38"/>
      <c r="O282" s="37">
        <v>55</v>
      </c>
      <c r="P282" s="66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2" s="563"/>
      <c r="R282" s="563"/>
      <c r="S282" s="563"/>
      <c r="T282" s="564"/>
      <c r="U282" s="39" t="s">
        <v>45</v>
      </c>
      <c r="V282" s="39" t="s">
        <v>45</v>
      </c>
      <c r="W282" s="40" t="s">
        <v>0</v>
      </c>
      <c r="X282" s="58">
        <v>0</v>
      </c>
      <c r="Y282" s="55">
        <f t="shared" si="31"/>
        <v>0</v>
      </c>
      <c r="Z282" s="41" t="str">
        <f>IFERROR(IF(Y282=0,"",ROUNDUP(Y282/H282,0)*0.01898),"")</f>
        <v/>
      </c>
      <c r="AA282" s="68" t="s">
        <v>45</v>
      </c>
      <c r="AB282" s="69" t="s">
        <v>45</v>
      </c>
      <c r="AC282" s="354" t="s">
        <v>470</v>
      </c>
      <c r="AG282" s="78"/>
      <c r="AJ282" s="84" t="s">
        <v>45</v>
      </c>
      <c r="AK282" s="84">
        <v>0</v>
      </c>
      <c r="BB282" s="355" t="s">
        <v>66</v>
      </c>
      <c r="BM282" s="78">
        <f t="shared" si="32"/>
        <v>0</v>
      </c>
      <c r="BN282" s="78">
        <f t="shared" si="33"/>
        <v>0</v>
      </c>
      <c r="BO282" s="78">
        <f t="shared" si="34"/>
        <v>0</v>
      </c>
      <c r="BP282" s="78">
        <f t="shared" si="35"/>
        <v>0</v>
      </c>
    </row>
    <row r="283" spans="1:68" ht="37.5" hidden="1" customHeight="1" x14ac:dyDescent="0.25">
      <c r="A283" s="63" t="s">
        <v>471</v>
      </c>
      <c r="B283" s="63" t="s">
        <v>472</v>
      </c>
      <c r="C283" s="36">
        <v>4301011858</v>
      </c>
      <c r="D283" s="561">
        <v>4680115885646</v>
      </c>
      <c r="E283" s="561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113</v>
      </c>
      <c r="L283" s="37" t="s">
        <v>45</v>
      </c>
      <c r="M283" s="38" t="s">
        <v>112</v>
      </c>
      <c r="N283" s="38"/>
      <c r="O283" s="37">
        <v>55</v>
      </c>
      <c r="P283" s="66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3" s="563"/>
      <c r="R283" s="563"/>
      <c r="S283" s="563"/>
      <c r="T283" s="564"/>
      <c r="U283" s="39" t="s">
        <v>45</v>
      </c>
      <c r="V283" s="39" t="s">
        <v>45</v>
      </c>
      <c r="W283" s="40" t="s">
        <v>0</v>
      </c>
      <c r="X283" s="58">
        <v>0</v>
      </c>
      <c r="Y283" s="55">
        <f t="shared" si="31"/>
        <v>0</v>
      </c>
      <c r="Z283" s="41" t="str">
        <f>IFERROR(IF(Y283=0,"",ROUNDUP(Y283/H283,0)*0.01898),"")</f>
        <v/>
      </c>
      <c r="AA283" s="68" t="s">
        <v>45</v>
      </c>
      <c r="AB283" s="69" t="s">
        <v>45</v>
      </c>
      <c r="AC283" s="356" t="s">
        <v>473</v>
      </c>
      <c r="AG283" s="78"/>
      <c r="AJ283" s="84" t="s">
        <v>45</v>
      </c>
      <c r="AK283" s="84">
        <v>0</v>
      </c>
      <c r="BB283" s="357" t="s">
        <v>66</v>
      </c>
      <c r="BM283" s="78">
        <f t="shared" si="32"/>
        <v>0</v>
      </c>
      <c r="BN283" s="78">
        <f t="shared" si="33"/>
        <v>0</v>
      </c>
      <c r="BO283" s="78">
        <f t="shared" si="34"/>
        <v>0</v>
      </c>
      <c r="BP283" s="78">
        <f t="shared" si="35"/>
        <v>0</v>
      </c>
    </row>
    <row r="284" spans="1:68" ht="27" hidden="1" customHeight="1" x14ac:dyDescent="0.25">
      <c r="A284" s="63" t="s">
        <v>474</v>
      </c>
      <c r="B284" s="63" t="s">
        <v>475</v>
      </c>
      <c r="C284" s="36">
        <v>4301012016</v>
      </c>
      <c r="D284" s="561">
        <v>4680115885554</v>
      </c>
      <c r="E284" s="561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113</v>
      </c>
      <c r="L284" s="37" t="s">
        <v>45</v>
      </c>
      <c r="M284" s="38" t="s">
        <v>90</v>
      </c>
      <c r="N284" s="38"/>
      <c r="O284" s="37">
        <v>55</v>
      </c>
      <c r="P284" s="6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84" s="563"/>
      <c r="R284" s="563"/>
      <c r="S284" s="563"/>
      <c r="T284" s="564"/>
      <c r="U284" s="39" t="s">
        <v>45</v>
      </c>
      <c r="V284" s="39" t="s">
        <v>45</v>
      </c>
      <c r="W284" s="40" t="s">
        <v>0</v>
      </c>
      <c r="X284" s="58">
        <v>0</v>
      </c>
      <c r="Y284" s="55">
        <f t="shared" si="31"/>
        <v>0</v>
      </c>
      <c r="Z284" s="41" t="str">
        <f>IFERROR(IF(Y284=0,"",ROUNDUP(Y284/H284,0)*0.01898),"")</f>
        <v/>
      </c>
      <c r="AA284" s="68" t="s">
        <v>45</v>
      </c>
      <c r="AB284" s="69" t="s">
        <v>45</v>
      </c>
      <c r="AC284" s="358" t="s">
        <v>476</v>
      </c>
      <c r="AG284" s="78"/>
      <c r="AJ284" s="84" t="s">
        <v>45</v>
      </c>
      <c r="AK284" s="84">
        <v>0</v>
      </c>
      <c r="BB284" s="359" t="s">
        <v>66</v>
      </c>
      <c r="BM284" s="78">
        <f t="shared" si="32"/>
        <v>0</v>
      </c>
      <c r="BN284" s="78">
        <f t="shared" si="33"/>
        <v>0</v>
      </c>
      <c r="BO284" s="78">
        <f t="shared" si="34"/>
        <v>0</v>
      </c>
      <c r="BP284" s="78">
        <f t="shared" si="35"/>
        <v>0</v>
      </c>
    </row>
    <row r="285" spans="1:68" ht="27" hidden="1" customHeight="1" x14ac:dyDescent="0.25">
      <c r="A285" s="63" t="s">
        <v>477</v>
      </c>
      <c r="B285" s="63" t="s">
        <v>478</v>
      </c>
      <c r="C285" s="36">
        <v>4301011857</v>
      </c>
      <c r="D285" s="561">
        <v>4680115885622</v>
      </c>
      <c r="E285" s="561"/>
      <c r="F285" s="62">
        <v>0.4</v>
      </c>
      <c r="G285" s="37">
        <v>10</v>
      </c>
      <c r="H285" s="62">
        <v>4</v>
      </c>
      <c r="I285" s="62">
        <v>4.1900000000000004</v>
      </c>
      <c r="J285" s="37">
        <v>132</v>
      </c>
      <c r="K285" s="37" t="s">
        <v>116</v>
      </c>
      <c r="L285" s="37" t="s">
        <v>45</v>
      </c>
      <c r="M285" s="38" t="s">
        <v>112</v>
      </c>
      <c r="N285" s="38"/>
      <c r="O285" s="37">
        <v>55</v>
      </c>
      <c r="P285" s="6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85" s="563"/>
      <c r="R285" s="563"/>
      <c r="S285" s="563"/>
      <c r="T285" s="564"/>
      <c r="U285" s="39" t="s">
        <v>45</v>
      </c>
      <c r="V285" s="39" t="s">
        <v>45</v>
      </c>
      <c r="W285" s="40" t="s">
        <v>0</v>
      </c>
      <c r="X285" s="58">
        <v>0</v>
      </c>
      <c r="Y285" s="55">
        <f t="shared" si="31"/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60" t="s">
        <v>470</v>
      </c>
      <c r="AG285" s="78"/>
      <c r="AJ285" s="84" t="s">
        <v>45</v>
      </c>
      <c r="AK285" s="84">
        <v>0</v>
      </c>
      <c r="BB285" s="361" t="s">
        <v>66</v>
      </c>
      <c r="BM285" s="78">
        <f t="shared" si="32"/>
        <v>0</v>
      </c>
      <c r="BN285" s="78">
        <f t="shared" si="33"/>
        <v>0</v>
      </c>
      <c r="BO285" s="78">
        <f t="shared" si="34"/>
        <v>0</v>
      </c>
      <c r="BP285" s="78">
        <f t="shared" si="35"/>
        <v>0</v>
      </c>
    </row>
    <row r="286" spans="1:68" ht="27" hidden="1" customHeight="1" x14ac:dyDescent="0.25">
      <c r="A286" s="63" t="s">
        <v>479</v>
      </c>
      <c r="B286" s="63" t="s">
        <v>480</v>
      </c>
      <c r="C286" s="36">
        <v>4301011859</v>
      </c>
      <c r="D286" s="561">
        <v>4680115885608</v>
      </c>
      <c r="E286" s="561"/>
      <c r="F286" s="62">
        <v>0.4</v>
      </c>
      <c r="G286" s="37">
        <v>10</v>
      </c>
      <c r="H286" s="62">
        <v>4</v>
      </c>
      <c r="I286" s="62">
        <v>4.1900000000000004</v>
      </c>
      <c r="J286" s="37">
        <v>132</v>
      </c>
      <c r="K286" s="37" t="s">
        <v>116</v>
      </c>
      <c r="L286" s="37" t="s">
        <v>45</v>
      </c>
      <c r="M286" s="38" t="s">
        <v>112</v>
      </c>
      <c r="N286" s="38"/>
      <c r="O286" s="37">
        <v>55</v>
      </c>
      <c r="P286" s="6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86" s="563"/>
      <c r="R286" s="563"/>
      <c r="S286" s="563"/>
      <c r="T286" s="564"/>
      <c r="U286" s="39" t="s">
        <v>45</v>
      </c>
      <c r="V286" s="39" t="s">
        <v>45</v>
      </c>
      <c r="W286" s="40" t="s">
        <v>0</v>
      </c>
      <c r="X286" s="58">
        <v>0</v>
      </c>
      <c r="Y286" s="55">
        <f t="shared" si="31"/>
        <v>0</v>
      </c>
      <c r="Z286" s="41" t="str">
        <f>IFERROR(IF(Y286=0,"",ROUNDUP(Y286/H286,0)*0.00902),"")</f>
        <v/>
      </c>
      <c r="AA286" s="68" t="s">
        <v>45</v>
      </c>
      <c r="AB286" s="69" t="s">
        <v>45</v>
      </c>
      <c r="AC286" s="362" t="s">
        <v>481</v>
      </c>
      <c r="AG286" s="78"/>
      <c r="AJ286" s="84" t="s">
        <v>45</v>
      </c>
      <c r="AK286" s="84">
        <v>0</v>
      </c>
      <c r="BB286" s="363" t="s">
        <v>66</v>
      </c>
      <c r="BM286" s="78">
        <f t="shared" si="32"/>
        <v>0</v>
      </c>
      <c r="BN286" s="78">
        <f t="shared" si="33"/>
        <v>0</v>
      </c>
      <c r="BO286" s="78">
        <f t="shared" si="34"/>
        <v>0</v>
      </c>
      <c r="BP286" s="78">
        <f t="shared" si="35"/>
        <v>0</v>
      </c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2" t="s">
        <v>40</v>
      </c>
      <c r="Q287" s="553"/>
      <c r="R287" s="553"/>
      <c r="S287" s="553"/>
      <c r="T287" s="553"/>
      <c r="U287" s="553"/>
      <c r="V287" s="554"/>
      <c r="W287" s="42" t="s">
        <v>39</v>
      </c>
      <c r="X287" s="43">
        <f>IFERROR(X281/H281,"0")+IFERROR(X282/H282,"0")+IFERROR(X283/H283,"0")+IFERROR(X284/H284,"0")+IFERROR(X285/H285,"0")+IFERROR(X286/H286,"0")</f>
        <v>0</v>
      </c>
      <c r="Y287" s="43">
        <f>IFERROR(Y281/H281,"0")+IFERROR(Y282/H282,"0")+IFERROR(Y283/H283,"0")+IFERROR(Y284/H284,"0")+IFERROR(Y285/H285,"0")+IFERROR(Y286/H286,"0")</f>
        <v>0</v>
      </c>
      <c r="Z287" s="43">
        <f>IFERROR(IF(Z281="",0,Z281),"0")+IFERROR(IF(Z282="",0,Z282),"0")+IFERROR(IF(Z283="",0,Z283),"0")+IFERROR(IF(Z284="",0,Z284),"0")+IFERROR(IF(Z285="",0,Z285),"0")+IFERROR(IF(Z286="",0,Z286),"0")</f>
        <v>0</v>
      </c>
      <c r="AA287" s="67"/>
      <c r="AB287" s="67"/>
      <c r="AC287" s="67"/>
    </row>
    <row r="288" spans="1:68" hidden="1" x14ac:dyDescent="0.2">
      <c r="A288" s="555"/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6"/>
      <c r="P288" s="552" t="s">
        <v>40</v>
      </c>
      <c r="Q288" s="553"/>
      <c r="R288" s="553"/>
      <c r="S288" s="553"/>
      <c r="T288" s="553"/>
      <c r="U288" s="553"/>
      <c r="V288" s="554"/>
      <c r="W288" s="42" t="s">
        <v>0</v>
      </c>
      <c r="X288" s="43">
        <f>IFERROR(SUM(X281:X286),"0")</f>
        <v>0</v>
      </c>
      <c r="Y288" s="43">
        <f>IFERROR(SUM(Y281:Y286),"0")</f>
        <v>0</v>
      </c>
      <c r="Z288" s="42"/>
      <c r="AA288" s="67"/>
      <c r="AB288" s="67"/>
      <c r="AC288" s="67"/>
    </row>
    <row r="289" spans="1:68" ht="14.25" hidden="1" customHeight="1" x14ac:dyDescent="0.25">
      <c r="A289" s="566" t="s">
        <v>76</v>
      </c>
      <c r="B289" s="566"/>
      <c r="C289" s="566"/>
      <c r="D289" s="566"/>
      <c r="E289" s="566"/>
      <c r="F289" s="566"/>
      <c r="G289" s="566"/>
      <c r="H289" s="566"/>
      <c r="I289" s="566"/>
      <c r="J289" s="566"/>
      <c r="K289" s="566"/>
      <c r="L289" s="566"/>
      <c r="M289" s="566"/>
      <c r="N289" s="566"/>
      <c r="O289" s="566"/>
      <c r="P289" s="566"/>
      <c r="Q289" s="566"/>
      <c r="R289" s="566"/>
      <c r="S289" s="566"/>
      <c r="T289" s="566"/>
      <c r="U289" s="566"/>
      <c r="V289" s="566"/>
      <c r="W289" s="566"/>
      <c r="X289" s="566"/>
      <c r="Y289" s="566"/>
      <c r="Z289" s="566"/>
      <c r="AA289" s="66"/>
      <c r="AB289" s="66"/>
      <c r="AC289" s="80"/>
    </row>
    <row r="290" spans="1:68" ht="27" hidden="1" customHeight="1" x14ac:dyDescent="0.25">
      <c r="A290" s="63" t="s">
        <v>482</v>
      </c>
      <c r="B290" s="63" t="s">
        <v>483</v>
      </c>
      <c r="C290" s="36">
        <v>4301030878</v>
      </c>
      <c r="D290" s="561">
        <v>4607091387193</v>
      </c>
      <c r="E290" s="561"/>
      <c r="F290" s="62">
        <v>0.7</v>
      </c>
      <c r="G290" s="37">
        <v>6</v>
      </c>
      <c r="H290" s="62">
        <v>4.2</v>
      </c>
      <c r="I290" s="62">
        <v>4.45</v>
      </c>
      <c r="J290" s="37">
        <v>132</v>
      </c>
      <c r="K290" s="37" t="s">
        <v>116</v>
      </c>
      <c r="L290" s="37" t="s">
        <v>45</v>
      </c>
      <c r="M290" s="38" t="s">
        <v>80</v>
      </c>
      <c r="N290" s="38"/>
      <c r="O290" s="37">
        <v>35</v>
      </c>
      <c r="P290" s="6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0" s="563"/>
      <c r="R290" s="563"/>
      <c r="S290" s="563"/>
      <c r="T290" s="564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ref="Y290:Y295" si="36"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64" t="s">
        <v>484</v>
      </c>
      <c r="AG290" s="78"/>
      <c r="AJ290" s="84" t="s">
        <v>45</v>
      </c>
      <c r="AK290" s="84">
        <v>0</v>
      </c>
      <c r="BB290" s="365" t="s">
        <v>66</v>
      </c>
      <c r="BM290" s="78">
        <f t="shared" ref="BM290:BM295" si="37">IFERROR(X290*I290/H290,"0")</f>
        <v>0</v>
      </c>
      <c r="BN290" s="78">
        <f t="shared" ref="BN290:BN295" si="38">IFERROR(Y290*I290/H290,"0")</f>
        <v>0</v>
      </c>
      <c r="BO290" s="78">
        <f t="shared" ref="BO290:BO295" si="39">IFERROR(1/J290*(X290/H290),"0")</f>
        <v>0</v>
      </c>
      <c r="BP290" s="78">
        <f t="shared" ref="BP290:BP295" si="40">IFERROR(1/J290*(Y290/H290),"0")</f>
        <v>0</v>
      </c>
    </row>
    <row r="291" spans="1:68" ht="27" hidden="1" customHeight="1" x14ac:dyDescent="0.25">
      <c r="A291" s="63" t="s">
        <v>485</v>
      </c>
      <c r="B291" s="63" t="s">
        <v>486</v>
      </c>
      <c r="C291" s="36">
        <v>4301031153</v>
      </c>
      <c r="D291" s="561">
        <v>4607091387230</v>
      </c>
      <c r="E291" s="561"/>
      <c r="F291" s="62">
        <v>0.7</v>
      </c>
      <c r="G291" s="37">
        <v>6</v>
      </c>
      <c r="H291" s="62">
        <v>4.2</v>
      </c>
      <c r="I291" s="62">
        <v>4.45</v>
      </c>
      <c r="J291" s="37">
        <v>132</v>
      </c>
      <c r="K291" s="37" t="s">
        <v>116</v>
      </c>
      <c r="L291" s="37" t="s">
        <v>45</v>
      </c>
      <c r="M291" s="38" t="s">
        <v>80</v>
      </c>
      <c r="N291" s="38"/>
      <c r="O291" s="37">
        <v>40</v>
      </c>
      <c r="P291" s="6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1" s="563"/>
      <c r="R291" s="563"/>
      <c r="S291" s="563"/>
      <c r="T291" s="564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36"/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6" t="s">
        <v>487</v>
      </c>
      <c r="AG291" s="78"/>
      <c r="AJ291" s="84" t="s">
        <v>45</v>
      </c>
      <c r="AK291" s="84">
        <v>0</v>
      </c>
      <c r="BB291" s="367" t="s">
        <v>66</v>
      </c>
      <c r="BM291" s="78">
        <f t="shared" si="37"/>
        <v>0</v>
      </c>
      <c r="BN291" s="78">
        <f t="shared" si="38"/>
        <v>0</v>
      </c>
      <c r="BO291" s="78">
        <f t="shared" si="39"/>
        <v>0</v>
      </c>
      <c r="BP291" s="78">
        <f t="shared" si="40"/>
        <v>0</v>
      </c>
    </row>
    <row r="292" spans="1:68" ht="27" hidden="1" customHeight="1" x14ac:dyDescent="0.25">
      <c r="A292" s="63" t="s">
        <v>488</v>
      </c>
      <c r="B292" s="63" t="s">
        <v>489</v>
      </c>
      <c r="C292" s="36">
        <v>4301031154</v>
      </c>
      <c r="D292" s="561">
        <v>4607091387292</v>
      </c>
      <c r="E292" s="561"/>
      <c r="F292" s="62">
        <v>0.73</v>
      </c>
      <c r="G292" s="37">
        <v>6</v>
      </c>
      <c r="H292" s="62">
        <v>4.38</v>
      </c>
      <c r="I292" s="62">
        <v>4.63</v>
      </c>
      <c r="J292" s="37">
        <v>132</v>
      </c>
      <c r="K292" s="37" t="s">
        <v>116</v>
      </c>
      <c r="L292" s="37" t="s">
        <v>45</v>
      </c>
      <c r="M292" s="38" t="s">
        <v>80</v>
      </c>
      <c r="N292" s="38"/>
      <c r="O292" s="37">
        <v>45</v>
      </c>
      <c r="P292" s="6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2" s="563"/>
      <c r="R292" s="563"/>
      <c r="S292" s="563"/>
      <c r="T292" s="564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36"/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8" t="s">
        <v>490</v>
      </c>
      <c r="AG292" s="78"/>
      <c r="AJ292" s="84" t="s">
        <v>45</v>
      </c>
      <c r="AK292" s="84">
        <v>0</v>
      </c>
      <c r="BB292" s="369" t="s">
        <v>66</v>
      </c>
      <c r="BM292" s="78">
        <f t="shared" si="37"/>
        <v>0</v>
      </c>
      <c r="BN292" s="78">
        <f t="shared" si="38"/>
        <v>0</v>
      </c>
      <c r="BO292" s="78">
        <f t="shared" si="39"/>
        <v>0</v>
      </c>
      <c r="BP292" s="78">
        <f t="shared" si="40"/>
        <v>0</v>
      </c>
    </row>
    <row r="293" spans="1:68" ht="27" hidden="1" customHeight="1" x14ac:dyDescent="0.25">
      <c r="A293" s="63" t="s">
        <v>491</v>
      </c>
      <c r="B293" s="63" t="s">
        <v>492</v>
      </c>
      <c r="C293" s="36">
        <v>4301031152</v>
      </c>
      <c r="D293" s="561">
        <v>4607091387285</v>
      </c>
      <c r="E293" s="561"/>
      <c r="F293" s="62">
        <v>0.35</v>
      </c>
      <c r="G293" s="37">
        <v>6</v>
      </c>
      <c r="H293" s="62">
        <v>2.1</v>
      </c>
      <c r="I293" s="62">
        <v>2.23</v>
      </c>
      <c r="J293" s="37">
        <v>234</v>
      </c>
      <c r="K293" s="37" t="s">
        <v>85</v>
      </c>
      <c r="L293" s="37" t="s">
        <v>45</v>
      </c>
      <c r="M293" s="38" t="s">
        <v>80</v>
      </c>
      <c r="N293" s="38"/>
      <c r="O293" s="37">
        <v>40</v>
      </c>
      <c r="P293" s="6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3" s="563"/>
      <c r="R293" s="563"/>
      <c r="S293" s="563"/>
      <c r="T293" s="564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36"/>
        <v>0</v>
      </c>
      <c r="Z293" s="41" t="str">
        <f>IFERROR(IF(Y293=0,"",ROUNDUP(Y293/H293,0)*0.00502),"")</f>
        <v/>
      </c>
      <c r="AA293" s="68" t="s">
        <v>45</v>
      </c>
      <c r="AB293" s="69" t="s">
        <v>45</v>
      </c>
      <c r="AC293" s="370" t="s">
        <v>487</v>
      </c>
      <c r="AG293" s="78"/>
      <c r="AJ293" s="84" t="s">
        <v>45</v>
      </c>
      <c r="AK293" s="84">
        <v>0</v>
      </c>
      <c r="BB293" s="371" t="s">
        <v>66</v>
      </c>
      <c r="BM293" s="78">
        <f t="shared" si="37"/>
        <v>0</v>
      </c>
      <c r="BN293" s="78">
        <f t="shared" si="38"/>
        <v>0</v>
      </c>
      <c r="BO293" s="78">
        <f t="shared" si="39"/>
        <v>0</v>
      </c>
      <c r="BP293" s="78">
        <f t="shared" si="40"/>
        <v>0</v>
      </c>
    </row>
    <row r="294" spans="1:68" ht="27" customHeight="1" x14ac:dyDescent="0.25">
      <c r="A294" s="63" t="s">
        <v>493</v>
      </c>
      <c r="B294" s="63" t="s">
        <v>494</v>
      </c>
      <c r="C294" s="36">
        <v>4301031305</v>
      </c>
      <c r="D294" s="561">
        <v>4607091389845</v>
      </c>
      <c r="E294" s="561"/>
      <c r="F294" s="62">
        <v>0.35</v>
      </c>
      <c r="G294" s="37">
        <v>6</v>
      </c>
      <c r="H294" s="62">
        <v>2.1</v>
      </c>
      <c r="I294" s="62">
        <v>2.2000000000000002</v>
      </c>
      <c r="J294" s="37">
        <v>234</v>
      </c>
      <c r="K294" s="37" t="s">
        <v>85</v>
      </c>
      <c r="L294" s="37" t="s">
        <v>45</v>
      </c>
      <c r="M294" s="38" t="s">
        <v>80</v>
      </c>
      <c r="N294" s="38"/>
      <c r="O294" s="37">
        <v>40</v>
      </c>
      <c r="P294" s="6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94" s="563"/>
      <c r="R294" s="563"/>
      <c r="S294" s="563"/>
      <c r="T294" s="564"/>
      <c r="U294" s="39" t="s">
        <v>45</v>
      </c>
      <c r="V294" s="39" t="s">
        <v>45</v>
      </c>
      <c r="W294" s="40" t="s">
        <v>0</v>
      </c>
      <c r="X294" s="58">
        <v>300</v>
      </c>
      <c r="Y294" s="55">
        <f t="shared" si="36"/>
        <v>300.3</v>
      </c>
      <c r="Z294" s="41">
        <f>IFERROR(IF(Y294=0,"",ROUNDUP(Y294/H294,0)*0.00502),"")</f>
        <v>0.71786000000000005</v>
      </c>
      <c r="AA294" s="68" t="s">
        <v>45</v>
      </c>
      <c r="AB294" s="69" t="s">
        <v>45</v>
      </c>
      <c r="AC294" s="372" t="s">
        <v>495</v>
      </c>
      <c r="AG294" s="78"/>
      <c r="AJ294" s="84" t="s">
        <v>45</v>
      </c>
      <c r="AK294" s="84">
        <v>0</v>
      </c>
      <c r="BB294" s="373" t="s">
        <v>66</v>
      </c>
      <c r="BM294" s="78">
        <f t="shared" si="37"/>
        <v>314.28571428571428</v>
      </c>
      <c r="BN294" s="78">
        <f t="shared" si="38"/>
        <v>314.60000000000002</v>
      </c>
      <c r="BO294" s="78">
        <f t="shared" si="39"/>
        <v>0.61050061050061055</v>
      </c>
      <c r="BP294" s="78">
        <f t="shared" si="40"/>
        <v>0.61111111111111116</v>
      </c>
    </row>
    <row r="295" spans="1:68" ht="27" hidden="1" customHeight="1" x14ac:dyDescent="0.25">
      <c r="A295" s="63" t="s">
        <v>496</v>
      </c>
      <c r="B295" s="63" t="s">
        <v>497</v>
      </c>
      <c r="C295" s="36">
        <v>4301031066</v>
      </c>
      <c r="D295" s="561">
        <v>4607091383836</v>
      </c>
      <c r="E295" s="561"/>
      <c r="F295" s="62">
        <v>0.3</v>
      </c>
      <c r="G295" s="37">
        <v>6</v>
      </c>
      <c r="H295" s="62">
        <v>1.8</v>
      </c>
      <c r="I295" s="62">
        <v>2.028</v>
      </c>
      <c r="J295" s="37">
        <v>182</v>
      </c>
      <c r="K295" s="37" t="s">
        <v>81</v>
      </c>
      <c r="L295" s="37" t="s">
        <v>45</v>
      </c>
      <c r="M295" s="38" t="s">
        <v>80</v>
      </c>
      <c r="N295" s="38"/>
      <c r="O295" s="37">
        <v>40</v>
      </c>
      <c r="P295" s="6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95" s="563"/>
      <c r="R295" s="563"/>
      <c r="S295" s="563"/>
      <c r="T295" s="564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si="36"/>
        <v>0</v>
      </c>
      <c r="Z295" s="41" t="str">
        <f>IFERROR(IF(Y295=0,"",ROUNDUP(Y295/H295,0)*0.00651),"")</f>
        <v/>
      </c>
      <c r="AA295" s="68" t="s">
        <v>45</v>
      </c>
      <c r="AB295" s="69" t="s">
        <v>45</v>
      </c>
      <c r="AC295" s="374" t="s">
        <v>498</v>
      </c>
      <c r="AG295" s="78"/>
      <c r="AJ295" s="84" t="s">
        <v>45</v>
      </c>
      <c r="AK295" s="84">
        <v>0</v>
      </c>
      <c r="BB295" s="375" t="s">
        <v>66</v>
      </c>
      <c r="BM295" s="78">
        <f t="shared" si="37"/>
        <v>0</v>
      </c>
      <c r="BN295" s="78">
        <f t="shared" si="38"/>
        <v>0</v>
      </c>
      <c r="BO295" s="78">
        <f t="shared" si="39"/>
        <v>0</v>
      </c>
      <c r="BP295" s="78">
        <f t="shared" si="40"/>
        <v>0</v>
      </c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2" t="s">
        <v>40</v>
      </c>
      <c r="Q296" s="553"/>
      <c r="R296" s="553"/>
      <c r="S296" s="553"/>
      <c r="T296" s="553"/>
      <c r="U296" s="553"/>
      <c r="V296" s="554"/>
      <c r="W296" s="42" t="s">
        <v>39</v>
      </c>
      <c r="X296" s="43">
        <f>IFERROR(X290/H290,"0")+IFERROR(X291/H291,"0")+IFERROR(X292/H292,"0")+IFERROR(X293/H293,"0")+IFERROR(X294/H294,"0")+IFERROR(X295/H295,"0")</f>
        <v>142.85714285714286</v>
      </c>
      <c r="Y296" s="43">
        <f>IFERROR(Y290/H290,"0")+IFERROR(Y291/H291,"0")+IFERROR(Y292/H292,"0")+IFERROR(Y293/H293,"0")+IFERROR(Y294/H294,"0")+IFERROR(Y295/H295,"0")</f>
        <v>143</v>
      </c>
      <c r="Z296" s="43">
        <f>IFERROR(IF(Z290="",0,Z290),"0")+IFERROR(IF(Z291="",0,Z291),"0")+IFERROR(IF(Z292="",0,Z292),"0")+IFERROR(IF(Z293="",0,Z293),"0")+IFERROR(IF(Z294="",0,Z294),"0")+IFERROR(IF(Z295="",0,Z295),"0")</f>
        <v>0.71786000000000005</v>
      </c>
      <c r="AA296" s="67"/>
      <c r="AB296" s="67"/>
      <c r="AC296" s="67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52" t="s">
        <v>40</v>
      </c>
      <c r="Q297" s="553"/>
      <c r="R297" s="553"/>
      <c r="S297" s="553"/>
      <c r="T297" s="553"/>
      <c r="U297" s="553"/>
      <c r="V297" s="554"/>
      <c r="W297" s="42" t="s">
        <v>0</v>
      </c>
      <c r="X297" s="43">
        <f>IFERROR(SUM(X290:X295),"0")</f>
        <v>300</v>
      </c>
      <c r="Y297" s="43">
        <f>IFERROR(SUM(Y290:Y295),"0")</f>
        <v>300.3</v>
      </c>
      <c r="Z297" s="42"/>
      <c r="AA297" s="67"/>
      <c r="AB297" s="67"/>
      <c r="AC297" s="67"/>
    </row>
    <row r="298" spans="1:68" ht="14.25" hidden="1" customHeight="1" x14ac:dyDescent="0.25">
      <c r="A298" s="566" t="s">
        <v>86</v>
      </c>
      <c r="B298" s="566"/>
      <c r="C298" s="566"/>
      <c r="D298" s="566"/>
      <c r="E298" s="566"/>
      <c r="F298" s="566"/>
      <c r="G298" s="566"/>
      <c r="H298" s="566"/>
      <c r="I298" s="566"/>
      <c r="J298" s="566"/>
      <c r="K298" s="566"/>
      <c r="L298" s="566"/>
      <c r="M298" s="566"/>
      <c r="N298" s="566"/>
      <c r="O298" s="566"/>
      <c r="P298" s="566"/>
      <c r="Q298" s="566"/>
      <c r="R298" s="566"/>
      <c r="S298" s="566"/>
      <c r="T298" s="566"/>
      <c r="U298" s="566"/>
      <c r="V298" s="566"/>
      <c r="W298" s="566"/>
      <c r="X298" s="566"/>
      <c r="Y298" s="566"/>
      <c r="Z298" s="566"/>
      <c r="AA298" s="66"/>
      <c r="AB298" s="66"/>
      <c r="AC298" s="80"/>
    </row>
    <row r="299" spans="1:68" ht="27" hidden="1" customHeight="1" x14ac:dyDescent="0.25">
      <c r="A299" s="63" t="s">
        <v>499</v>
      </c>
      <c r="B299" s="63" t="s">
        <v>500</v>
      </c>
      <c r="C299" s="36">
        <v>4301051100</v>
      </c>
      <c r="D299" s="561">
        <v>4607091387766</v>
      </c>
      <c r="E299" s="561"/>
      <c r="F299" s="62">
        <v>1.3</v>
      </c>
      <c r="G299" s="37">
        <v>6</v>
      </c>
      <c r="H299" s="62">
        <v>7.8</v>
      </c>
      <c r="I299" s="62">
        <v>8.2880000000000003</v>
      </c>
      <c r="J299" s="37">
        <v>64</v>
      </c>
      <c r="K299" s="37" t="s">
        <v>113</v>
      </c>
      <c r="L299" s="37" t="s">
        <v>45</v>
      </c>
      <c r="M299" s="38" t="s">
        <v>90</v>
      </c>
      <c r="N299" s="38"/>
      <c r="O299" s="37">
        <v>40</v>
      </c>
      <c r="P299" s="65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99" s="563"/>
      <c r="R299" s="563"/>
      <c r="S299" s="563"/>
      <c r="T299" s="564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76" t="s">
        <v>501</v>
      </c>
      <c r="AG299" s="78"/>
      <c r="AJ299" s="84" t="s">
        <v>45</v>
      </c>
      <c r="AK299" s="84">
        <v>0</v>
      </c>
      <c r="BB299" s="377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502</v>
      </c>
      <c r="B300" s="63" t="s">
        <v>503</v>
      </c>
      <c r="C300" s="36">
        <v>4301051818</v>
      </c>
      <c r="D300" s="561">
        <v>4607091387957</v>
      </c>
      <c r="E300" s="561"/>
      <c r="F300" s="62">
        <v>1.3</v>
      </c>
      <c r="G300" s="37">
        <v>6</v>
      </c>
      <c r="H300" s="62">
        <v>7.8</v>
      </c>
      <c r="I300" s="62">
        <v>8.2940000000000005</v>
      </c>
      <c r="J300" s="37">
        <v>64</v>
      </c>
      <c r="K300" s="37" t="s">
        <v>113</v>
      </c>
      <c r="L300" s="37" t="s">
        <v>45</v>
      </c>
      <c r="M300" s="38" t="s">
        <v>90</v>
      </c>
      <c r="N300" s="38"/>
      <c r="O300" s="37">
        <v>40</v>
      </c>
      <c r="P300" s="65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0" s="563"/>
      <c r="R300" s="563"/>
      <c r="S300" s="563"/>
      <c r="T300" s="564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8" t="s">
        <v>504</v>
      </c>
      <c r="AG300" s="78"/>
      <c r="AJ300" s="84" t="s">
        <v>45</v>
      </c>
      <c r="AK300" s="84">
        <v>0</v>
      </c>
      <c r="BB300" s="379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505</v>
      </c>
      <c r="B301" s="63" t="s">
        <v>506</v>
      </c>
      <c r="C301" s="36">
        <v>4301051819</v>
      </c>
      <c r="D301" s="561">
        <v>4607091387964</v>
      </c>
      <c r="E301" s="561"/>
      <c r="F301" s="62">
        <v>1.35</v>
      </c>
      <c r="G301" s="37">
        <v>6</v>
      </c>
      <c r="H301" s="62">
        <v>8.1</v>
      </c>
      <c r="I301" s="62">
        <v>8.5760000000000005</v>
      </c>
      <c r="J301" s="37">
        <v>64</v>
      </c>
      <c r="K301" s="37" t="s">
        <v>113</v>
      </c>
      <c r="L301" s="37" t="s">
        <v>45</v>
      </c>
      <c r="M301" s="38" t="s">
        <v>90</v>
      </c>
      <c r="N301" s="38"/>
      <c r="O301" s="37">
        <v>40</v>
      </c>
      <c r="P301" s="65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1" s="563"/>
      <c r="R301" s="563"/>
      <c r="S301" s="563"/>
      <c r="T301" s="564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IFERROR(IF(Y301=0,"",ROUNDUP(Y301/H301,0)*0.01898),"")</f>
        <v/>
      </c>
      <c r="AA301" s="68" t="s">
        <v>45</v>
      </c>
      <c r="AB301" s="69" t="s">
        <v>45</v>
      </c>
      <c r="AC301" s="380" t="s">
        <v>507</v>
      </c>
      <c r="AG301" s="78"/>
      <c r="AJ301" s="84" t="s">
        <v>45</v>
      </c>
      <c r="AK301" s="84">
        <v>0</v>
      </c>
      <c r="BB301" s="381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hidden="1" customHeight="1" x14ac:dyDescent="0.25">
      <c r="A302" s="63" t="s">
        <v>508</v>
      </c>
      <c r="B302" s="63" t="s">
        <v>509</v>
      </c>
      <c r="C302" s="36">
        <v>4301051734</v>
      </c>
      <c r="D302" s="561">
        <v>4680115884588</v>
      </c>
      <c r="E302" s="561"/>
      <c r="F302" s="62">
        <v>0.5</v>
      </c>
      <c r="G302" s="37">
        <v>6</v>
      </c>
      <c r="H302" s="62">
        <v>3</v>
      </c>
      <c r="I302" s="62">
        <v>3.246</v>
      </c>
      <c r="J302" s="37">
        <v>182</v>
      </c>
      <c r="K302" s="37" t="s">
        <v>81</v>
      </c>
      <c r="L302" s="37" t="s">
        <v>45</v>
      </c>
      <c r="M302" s="38" t="s">
        <v>90</v>
      </c>
      <c r="N302" s="38"/>
      <c r="O302" s="37">
        <v>40</v>
      </c>
      <c r="P302" s="6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2" s="563"/>
      <c r="R302" s="563"/>
      <c r="S302" s="563"/>
      <c r="T302" s="564"/>
      <c r="U302" s="39" t="s">
        <v>45</v>
      </c>
      <c r="V302" s="39" t="s">
        <v>45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45</v>
      </c>
      <c r="AB302" s="69" t="s">
        <v>45</v>
      </c>
      <c r="AC302" s="382" t="s">
        <v>510</v>
      </c>
      <c r="AG302" s="78"/>
      <c r="AJ302" s="84" t="s">
        <v>45</v>
      </c>
      <c r="AK302" s="84">
        <v>0</v>
      </c>
      <c r="BB302" s="383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555"/>
      <c r="B303" s="555"/>
      <c r="C303" s="555"/>
      <c r="D303" s="555"/>
      <c r="E303" s="555"/>
      <c r="F303" s="555"/>
      <c r="G303" s="555"/>
      <c r="H303" s="555"/>
      <c r="I303" s="555"/>
      <c r="J303" s="555"/>
      <c r="K303" s="555"/>
      <c r="L303" s="555"/>
      <c r="M303" s="555"/>
      <c r="N303" s="555"/>
      <c r="O303" s="556"/>
      <c r="P303" s="552" t="s">
        <v>40</v>
      </c>
      <c r="Q303" s="553"/>
      <c r="R303" s="553"/>
      <c r="S303" s="553"/>
      <c r="T303" s="553"/>
      <c r="U303" s="553"/>
      <c r="V303" s="554"/>
      <c r="W303" s="42" t="s">
        <v>39</v>
      </c>
      <c r="X303" s="43">
        <f>IFERROR(X299/H299,"0")+IFERROR(X300/H300,"0")+IFERROR(X301/H301,"0")+IFERROR(X302/H302,"0")</f>
        <v>0</v>
      </c>
      <c r="Y303" s="43">
        <f>IFERROR(Y299/H299,"0")+IFERROR(Y300/H300,"0")+IFERROR(Y301/H301,"0")+IFERROR(Y302/H302,"0")</f>
        <v>0</v>
      </c>
      <c r="Z303" s="43">
        <f>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hidden="1" x14ac:dyDescent="0.2">
      <c r="A304" s="555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52" t="s">
        <v>40</v>
      </c>
      <c r="Q304" s="553"/>
      <c r="R304" s="553"/>
      <c r="S304" s="553"/>
      <c r="T304" s="553"/>
      <c r="U304" s="553"/>
      <c r="V304" s="554"/>
      <c r="W304" s="42" t="s">
        <v>0</v>
      </c>
      <c r="X304" s="43">
        <f>IFERROR(SUM(X299:X302),"0")</f>
        <v>0</v>
      </c>
      <c r="Y304" s="43">
        <f>IFERROR(SUM(Y299:Y302),"0")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566" t="s">
        <v>166</v>
      </c>
      <c r="B305" s="566"/>
      <c r="C305" s="566"/>
      <c r="D305" s="566"/>
      <c r="E305" s="566"/>
      <c r="F305" s="566"/>
      <c r="G305" s="566"/>
      <c r="H305" s="566"/>
      <c r="I305" s="566"/>
      <c r="J305" s="566"/>
      <c r="K305" s="566"/>
      <c r="L305" s="566"/>
      <c r="M305" s="566"/>
      <c r="N305" s="566"/>
      <c r="O305" s="566"/>
      <c r="P305" s="566"/>
      <c r="Q305" s="566"/>
      <c r="R305" s="566"/>
      <c r="S305" s="566"/>
      <c r="T305" s="566"/>
      <c r="U305" s="566"/>
      <c r="V305" s="566"/>
      <c r="W305" s="566"/>
      <c r="X305" s="566"/>
      <c r="Y305" s="566"/>
      <c r="Z305" s="566"/>
      <c r="AA305" s="66"/>
      <c r="AB305" s="66"/>
      <c r="AC305" s="80"/>
    </row>
    <row r="306" spans="1:68" ht="27" hidden="1" customHeight="1" x14ac:dyDescent="0.25">
      <c r="A306" s="63" t="s">
        <v>511</v>
      </c>
      <c r="B306" s="63" t="s">
        <v>512</v>
      </c>
      <c r="C306" s="36">
        <v>4301060387</v>
      </c>
      <c r="D306" s="561">
        <v>4607091380880</v>
      </c>
      <c r="E306" s="561"/>
      <c r="F306" s="62">
        <v>1.4</v>
      </c>
      <c r="G306" s="37">
        <v>6</v>
      </c>
      <c r="H306" s="62">
        <v>8.4</v>
      </c>
      <c r="I306" s="62">
        <v>8.8940000000000001</v>
      </c>
      <c r="J306" s="37">
        <v>64</v>
      </c>
      <c r="K306" s="37" t="s">
        <v>113</v>
      </c>
      <c r="L306" s="37" t="s">
        <v>45</v>
      </c>
      <c r="M306" s="38" t="s">
        <v>90</v>
      </c>
      <c r="N306" s="38"/>
      <c r="O306" s="37">
        <v>30</v>
      </c>
      <c r="P306" s="6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06" s="563"/>
      <c r="R306" s="563"/>
      <c r="S306" s="563"/>
      <c r="T306" s="564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IFERROR(IF(Y306=0,"",ROUNDUP(Y306/H306,0)*0.01898),"")</f>
        <v/>
      </c>
      <c r="AA306" s="68" t="s">
        <v>45</v>
      </c>
      <c r="AB306" s="69" t="s">
        <v>45</v>
      </c>
      <c r="AC306" s="384" t="s">
        <v>513</v>
      </c>
      <c r="AG306" s="78"/>
      <c r="AJ306" s="84" t="s">
        <v>45</v>
      </c>
      <c r="AK306" s="84">
        <v>0</v>
      </c>
      <c r="BB306" s="385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hidden="1" customHeight="1" x14ac:dyDescent="0.25">
      <c r="A307" s="63" t="s">
        <v>514</v>
      </c>
      <c r="B307" s="63" t="s">
        <v>515</v>
      </c>
      <c r="C307" s="36">
        <v>4301060406</v>
      </c>
      <c r="D307" s="561">
        <v>4607091384482</v>
      </c>
      <c r="E307" s="561"/>
      <c r="F307" s="62">
        <v>1.3</v>
      </c>
      <c r="G307" s="37">
        <v>6</v>
      </c>
      <c r="H307" s="62">
        <v>7.8</v>
      </c>
      <c r="I307" s="62">
        <v>8.2940000000000005</v>
      </c>
      <c r="J307" s="37">
        <v>64</v>
      </c>
      <c r="K307" s="37" t="s">
        <v>113</v>
      </c>
      <c r="L307" s="37" t="s">
        <v>45</v>
      </c>
      <c r="M307" s="38" t="s">
        <v>90</v>
      </c>
      <c r="N307" s="38"/>
      <c r="O307" s="37">
        <v>30</v>
      </c>
      <c r="P307" s="6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07" s="563"/>
      <c r="R307" s="563"/>
      <c r="S307" s="563"/>
      <c r="T307" s="56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86" t="s">
        <v>516</v>
      </c>
      <c r="AG307" s="78"/>
      <c r="AJ307" s="84" t="s">
        <v>45</v>
      </c>
      <c r="AK307" s="84">
        <v>0</v>
      </c>
      <c r="BB307" s="387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16.5" hidden="1" customHeight="1" x14ac:dyDescent="0.25">
      <c r="A308" s="63" t="s">
        <v>517</v>
      </c>
      <c r="B308" s="63" t="s">
        <v>518</v>
      </c>
      <c r="C308" s="36">
        <v>4301060484</v>
      </c>
      <c r="D308" s="561">
        <v>4607091380897</v>
      </c>
      <c r="E308" s="561"/>
      <c r="F308" s="62">
        <v>1.4</v>
      </c>
      <c r="G308" s="37">
        <v>6</v>
      </c>
      <c r="H308" s="62">
        <v>8.4</v>
      </c>
      <c r="I308" s="62">
        <v>8.8940000000000001</v>
      </c>
      <c r="J308" s="37">
        <v>64</v>
      </c>
      <c r="K308" s="37" t="s">
        <v>113</v>
      </c>
      <c r="L308" s="37" t="s">
        <v>45</v>
      </c>
      <c r="M308" s="38" t="s">
        <v>96</v>
      </c>
      <c r="N308" s="38"/>
      <c r="O308" s="37">
        <v>30</v>
      </c>
      <c r="P308" s="6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08" s="563"/>
      <c r="R308" s="563"/>
      <c r="S308" s="563"/>
      <c r="T308" s="56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88" t="s">
        <v>519</v>
      </c>
      <c r="AG308" s="78"/>
      <c r="AJ308" s="84" t="s">
        <v>45</v>
      </c>
      <c r="AK308" s="84">
        <v>0</v>
      </c>
      <c r="BB308" s="389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555"/>
      <c r="B309" s="555"/>
      <c r="C309" s="555"/>
      <c r="D309" s="555"/>
      <c r="E309" s="555"/>
      <c r="F309" s="555"/>
      <c r="G309" s="555"/>
      <c r="H309" s="555"/>
      <c r="I309" s="555"/>
      <c r="J309" s="555"/>
      <c r="K309" s="555"/>
      <c r="L309" s="555"/>
      <c r="M309" s="555"/>
      <c r="N309" s="555"/>
      <c r="O309" s="556"/>
      <c r="P309" s="552" t="s">
        <v>40</v>
      </c>
      <c r="Q309" s="553"/>
      <c r="R309" s="553"/>
      <c r="S309" s="553"/>
      <c r="T309" s="553"/>
      <c r="U309" s="553"/>
      <c r="V309" s="554"/>
      <c r="W309" s="42" t="s">
        <v>39</v>
      </c>
      <c r="X309" s="43">
        <f>IFERROR(X306/H306,"0")+IFERROR(X307/H307,"0")+IFERROR(X308/H308,"0")</f>
        <v>0</v>
      </c>
      <c r="Y309" s="43">
        <f>IFERROR(Y306/H306,"0")+IFERROR(Y307/H307,"0")+IFERROR(Y308/H308,"0")</f>
        <v>0</v>
      </c>
      <c r="Z309" s="43">
        <f>IFERROR(IF(Z306="",0,Z306),"0")+IFERROR(IF(Z307="",0,Z307),"0")+IFERROR(IF(Z308="",0,Z308),"0")</f>
        <v>0</v>
      </c>
      <c r="AA309" s="67"/>
      <c r="AB309" s="67"/>
      <c r="AC309" s="67"/>
    </row>
    <row r="310" spans="1:68" hidden="1" x14ac:dyDescent="0.2">
      <c r="A310" s="555"/>
      <c r="B310" s="555"/>
      <c r="C310" s="555"/>
      <c r="D310" s="555"/>
      <c r="E310" s="555"/>
      <c r="F310" s="555"/>
      <c r="G310" s="555"/>
      <c r="H310" s="555"/>
      <c r="I310" s="555"/>
      <c r="J310" s="555"/>
      <c r="K310" s="555"/>
      <c r="L310" s="555"/>
      <c r="M310" s="555"/>
      <c r="N310" s="555"/>
      <c r="O310" s="556"/>
      <c r="P310" s="552" t="s">
        <v>40</v>
      </c>
      <c r="Q310" s="553"/>
      <c r="R310" s="553"/>
      <c r="S310" s="553"/>
      <c r="T310" s="553"/>
      <c r="U310" s="553"/>
      <c r="V310" s="554"/>
      <c r="W310" s="42" t="s">
        <v>0</v>
      </c>
      <c r="X310" s="43">
        <f>IFERROR(SUM(X306:X308),"0")</f>
        <v>0</v>
      </c>
      <c r="Y310" s="43">
        <f>IFERROR(SUM(Y306:Y308),"0")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566" t="s">
        <v>100</v>
      </c>
      <c r="B311" s="566"/>
      <c r="C311" s="566"/>
      <c r="D311" s="566"/>
      <c r="E311" s="566"/>
      <c r="F311" s="566"/>
      <c r="G311" s="566"/>
      <c r="H311" s="566"/>
      <c r="I311" s="566"/>
      <c r="J311" s="566"/>
      <c r="K311" s="566"/>
      <c r="L311" s="566"/>
      <c r="M311" s="566"/>
      <c r="N311" s="566"/>
      <c r="O311" s="566"/>
      <c r="P311" s="566"/>
      <c r="Q311" s="566"/>
      <c r="R311" s="566"/>
      <c r="S311" s="566"/>
      <c r="T311" s="566"/>
      <c r="U311" s="566"/>
      <c r="V311" s="566"/>
      <c r="W311" s="566"/>
      <c r="X311" s="566"/>
      <c r="Y311" s="566"/>
      <c r="Z311" s="566"/>
      <c r="AA311" s="66"/>
      <c r="AB311" s="66"/>
      <c r="AC311" s="80"/>
    </row>
    <row r="312" spans="1:68" ht="27" customHeight="1" x14ac:dyDescent="0.25">
      <c r="A312" s="63" t="s">
        <v>520</v>
      </c>
      <c r="B312" s="63" t="s">
        <v>521</v>
      </c>
      <c r="C312" s="36">
        <v>4301030235</v>
      </c>
      <c r="D312" s="561">
        <v>4607091388381</v>
      </c>
      <c r="E312" s="561"/>
      <c r="F312" s="62">
        <v>0.38</v>
      </c>
      <c r="G312" s="37">
        <v>8</v>
      </c>
      <c r="H312" s="62">
        <v>3.04</v>
      </c>
      <c r="I312" s="62">
        <v>3.31</v>
      </c>
      <c r="J312" s="37">
        <v>132</v>
      </c>
      <c r="K312" s="37" t="s">
        <v>116</v>
      </c>
      <c r="L312" s="37" t="s">
        <v>45</v>
      </c>
      <c r="M312" s="38" t="s">
        <v>105</v>
      </c>
      <c r="N312" s="38"/>
      <c r="O312" s="37">
        <v>180</v>
      </c>
      <c r="P312" s="6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12" s="563"/>
      <c r="R312" s="563"/>
      <c r="S312" s="563"/>
      <c r="T312" s="564"/>
      <c r="U312" s="39" t="s">
        <v>45</v>
      </c>
      <c r="V312" s="39" t="s">
        <v>45</v>
      </c>
      <c r="W312" s="40" t="s">
        <v>0</v>
      </c>
      <c r="X312" s="58">
        <v>21.28</v>
      </c>
      <c r="Y312" s="55">
        <f>IFERROR(IF(X312="",0,CEILING((X312/$H312),1)*$H312),"")</f>
        <v>21.28</v>
      </c>
      <c r="Z312" s="41">
        <f>IFERROR(IF(Y312=0,"",ROUNDUP(Y312/H312,0)*0.00902),"")</f>
        <v>6.3140000000000002E-2</v>
      </c>
      <c r="AA312" s="68" t="s">
        <v>45</v>
      </c>
      <c r="AB312" s="69" t="s">
        <v>45</v>
      </c>
      <c r="AC312" s="390" t="s">
        <v>522</v>
      </c>
      <c r="AG312" s="78"/>
      <c r="AJ312" s="84" t="s">
        <v>45</v>
      </c>
      <c r="AK312" s="84">
        <v>0</v>
      </c>
      <c r="BB312" s="391" t="s">
        <v>66</v>
      </c>
      <c r="BM312" s="78">
        <f>IFERROR(X312*I312/H312,"0")</f>
        <v>23.17</v>
      </c>
      <c r="BN312" s="78">
        <f>IFERROR(Y312*I312/H312,"0")</f>
        <v>23.17</v>
      </c>
      <c r="BO312" s="78">
        <f>IFERROR(1/J312*(X312/H312),"0")</f>
        <v>5.3030303030303032E-2</v>
      </c>
      <c r="BP312" s="78">
        <f>IFERROR(1/J312*(Y312/H312),"0")</f>
        <v>5.3030303030303032E-2</v>
      </c>
    </row>
    <row r="313" spans="1:68" ht="27" hidden="1" customHeight="1" x14ac:dyDescent="0.25">
      <c r="A313" s="63" t="s">
        <v>523</v>
      </c>
      <c r="B313" s="63" t="s">
        <v>524</v>
      </c>
      <c r="C313" s="36">
        <v>4301030232</v>
      </c>
      <c r="D313" s="561">
        <v>4607091388374</v>
      </c>
      <c r="E313" s="561"/>
      <c r="F313" s="62">
        <v>0.38</v>
      </c>
      <c r="G313" s="37">
        <v>8</v>
      </c>
      <c r="H313" s="62">
        <v>3.04</v>
      </c>
      <c r="I313" s="62">
        <v>3.27</v>
      </c>
      <c r="J313" s="37">
        <v>132</v>
      </c>
      <c r="K313" s="37" t="s">
        <v>116</v>
      </c>
      <c r="L313" s="37" t="s">
        <v>45</v>
      </c>
      <c r="M313" s="38" t="s">
        <v>105</v>
      </c>
      <c r="N313" s="38"/>
      <c r="O313" s="37">
        <v>180</v>
      </c>
      <c r="P313" s="6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13" s="563"/>
      <c r="R313" s="563"/>
      <c r="S313" s="563"/>
      <c r="T313" s="564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IFERROR(IF(Y313=0,"",ROUNDUP(Y313/H313,0)*0.00902),"")</f>
        <v/>
      </c>
      <c r="AA313" s="68" t="s">
        <v>45</v>
      </c>
      <c r="AB313" s="69" t="s">
        <v>45</v>
      </c>
      <c r="AC313" s="392" t="s">
        <v>522</v>
      </c>
      <c r="AG313" s="78"/>
      <c r="AJ313" s="84" t="s">
        <v>45</v>
      </c>
      <c r="AK313" s="84">
        <v>0</v>
      </c>
      <c r="BB313" s="393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525</v>
      </c>
      <c r="B314" s="63" t="s">
        <v>526</v>
      </c>
      <c r="C314" s="36">
        <v>4301032015</v>
      </c>
      <c r="D314" s="561">
        <v>4607091383102</v>
      </c>
      <c r="E314" s="561"/>
      <c r="F314" s="62">
        <v>0.17</v>
      </c>
      <c r="G314" s="37">
        <v>15</v>
      </c>
      <c r="H314" s="62">
        <v>2.5499999999999998</v>
      </c>
      <c r="I314" s="62">
        <v>2.9550000000000001</v>
      </c>
      <c r="J314" s="37">
        <v>182</v>
      </c>
      <c r="K314" s="37" t="s">
        <v>81</v>
      </c>
      <c r="L314" s="37" t="s">
        <v>45</v>
      </c>
      <c r="M314" s="38" t="s">
        <v>105</v>
      </c>
      <c r="N314" s="38"/>
      <c r="O314" s="37">
        <v>180</v>
      </c>
      <c r="P314" s="6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14" s="563"/>
      <c r="R314" s="563"/>
      <c r="S314" s="563"/>
      <c r="T314" s="564"/>
      <c r="U314" s="39" t="s">
        <v>45</v>
      </c>
      <c r="V314" s="39" t="s">
        <v>45</v>
      </c>
      <c r="W314" s="40" t="s">
        <v>0</v>
      </c>
      <c r="X314" s="58">
        <v>30</v>
      </c>
      <c r="Y314" s="55">
        <f>IFERROR(IF(X314="",0,CEILING((X314/$H314),1)*$H314),"")</f>
        <v>30.599999999999998</v>
      </c>
      <c r="Z314" s="41">
        <f>IFERROR(IF(Y314=0,"",ROUNDUP(Y314/H314,0)*0.00651),"")</f>
        <v>7.8119999999999995E-2</v>
      </c>
      <c r="AA314" s="68" t="s">
        <v>45</v>
      </c>
      <c r="AB314" s="69" t="s">
        <v>45</v>
      </c>
      <c r="AC314" s="394" t="s">
        <v>522</v>
      </c>
      <c r="AG314" s="78"/>
      <c r="AJ314" s="84" t="s">
        <v>45</v>
      </c>
      <c r="AK314" s="84">
        <v>0</v>
      </c>
      <c r="BB314" s="395" t="s">
        <v>66</v>
      </c>
      <c r="BM314" s="78">
        <f>IFERROR(X314*I314/H314,"0")</f>
        <v>34.764705882352949</v>
      </c>
      <c r="BN314" s="78">
        <f>IFERROR(Y314*I314/H314,"0")</f>
        <v>35.46</v>
      </c>
      <c r="BO314" s="78">
        <f>IFERROR(1/J314*(X314/H314),"0")</f>
        <v>6.4641241111829353E-2</v>
      </c>
      <c r="BP314" s="78">
        <f>IFERROR(1/J314*(Y314/H314),"0")</f>
        <v>6.5934065934065936E-2</v>
      </c>
    </row>
    <row r="315" spans="1:68" ht="27" customHeight="1" x14ac:dyDescent="0.25">
      <c r="A315" s="63" t="s">
        <v>527</v>
      </c>
      <c r="B315" s="63" t="s">
        <v>528</v>
      </c>
      <c r="C315" s="36">
        <v>4301030233</v>
      </c>
      <c r="D315" s="561">
        <v>4607091388404</v>
      </c>
      <c r="E315" s="561"/>
      <c r="F315" s="62">
        <v>0.17</v>
      </c>
      <c r="G315" s="37">
        <v>15</v>
      </c>
      <c r="H315" s="62">
        <v>2.5499999999999998</v>
      </c>
      <c r="I315" s="62">
        <v>2.88</v>
      </c>
      <c r="J315" s="37">
        <v>182</v>
      </c>
      <c r="K315" s="37" t="s">
        <v>81</v>
      </c>
      <c r="L315" s="37" t="s">
        <v>45</v>
      </c>
      <c r="M315" s="38" t="s">
        <v>105</v>
      </c>
      <c r="N315" s="38"/>
      <c r="O315" s="37">
        <v>180</v>
      </c>
      <c r="P315" s="6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15" s="563"/>
      <c r="R315" s="563"/>
      <c r="S315" s="563"/>
      <c r="T315" s="564"/>
      <c r="U315" s="39" t="s">
        <v>45</v>
      </c>
      <c r="V315" s="39" t="s">
        <v>45</v>
      </c>
      <c r="W315" s="40" t="s">
        <v>0</v>
      </c>
      <c r="X315" s="58">
        <v>50.4</v>
      </c>
      <c r="Y315" s="55">
        <f>IFERROR(IF(X315="",0,CEILING((X315/$H315),1)*$H315),"")</f>
        <v>51</v>
      </c>
      <c r="Z315" s="41">
        <f>IFERROR(IF(Y315=0,"",ROUNDUP(Y315/H315,0)*0.00651),"")</f>
        <v>0.13020000000000001</v>
      </c>
      <c r="AA315" s="68" t="s">
        <v>45</v>
      </c>
      <c r="AB315" s="69" t="s">
        <v>45</v>
      </c>
      <c r="AC315" s="396" t="s">
        <v>522</v>
      </c>
      <c r="AG315" s="78"/>
      <c r="AJ315" s="84" t="s">
        <v>45</v>
      </c>
      <c r="AK315" s="84">
        <v>0</v>
      </c>
      <c r="BB315" s="397" t="s">
        <v>66</v>
      </c>
      <c r="BM315" s="78">
        <f>IFERROR(X315*I315/H315,"0")</f>
        <v>56.92235294117647</v>
      </c>
      <c r="BN315" s="78">
        <f>IFERROR(Y315*I315/H315,"0")</f>
        <v>57.6</v>
      </c>
      <c r="BO315" s="78">
        <f>IFERROR(1/J315*(X315/H315),"0")</f>
        <v>0.10859728506787332</v>
      </c>
      <c r="BP315" s="78">
        <f>IFERROR(1/J315*(Y315/H315),"0")</f>
        <v>0.1098901098901099</v>
      </c>
    </row>
    <row r="316" spans="1:68" x14ac:dyDescent="0.2">
      <c r="A316" s="555"/>
      <c r="B316" s="555"/>
      <c r="C316" s="555"/>
      <c r="D316" s="555"/>
      <c r="E316" s="555"/>
      <c r="F316" s="555"/>
      <c r="G316" s="555"/>
      <c r="H316" s="555"/>
      <c r="I316" s="555"/>
      <c r="J316" s="555"/>
      <c r="K316" s="555"/>
      <c r="L316" s="555"/>
      <c r="M316" s="555"/>
      <c r="N316" s="555"/>
      <c r="O316" s="556"/>
      <c r="P316" s="552" t="s">
        <v>40</v>
      </c>
      <c r="Q316" s="553"/>
      <c r="R316" s="553"/>
      <c r="S316" s="553"/>
      <c r="T316" s="553"/>
      <c r="U316" s="553"/>
      <c r="V316" s="554"/>
      <c r="W316" s="42" t="s">
        <v>39</v>
      </c>
      <c r="X316" s="43">
        <f>IFERROR(X312/H312,"0")+IFERROR(X313/H313,"0")+IFERROR(X314/H314,"0")+IFERROR(X315/H315,"0")</f>
        <v>38.529411764705884</v>
      </c>
      <c r="Y316" s="43">
        <f>IFERROR(Y312/H312,"0")+IFERROR(Y313/H313,"0")+IFERROR(Y314/H314,"0")+IFERROR(Y315/H315,"0")</f>
        <v>39</v>
      </c>
      <c r="Z316" s="43">
        <f>IFERROR(IF(Z312="",0,Z312),"0")+IFERROR(IF(Z313="",0,Z313),"0")+IFERROR(IF(Z314="",0,Z314),"0")+IFERROR(IF(Z315="",0,Z315),"0")</f>
        <v>0.27146000000000003</v>
      </c>
      <c r="AA316" s="67"/>
      <c r="AB316" s="67"/>
      <c r="AC316" s="67"/>
    </row>
    <row r="317" spans="1:68" x14ac:dyDescent="0.2">
      <c r="A317" s="555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52" t="s">
        <v>40</v>
      </c>
      <c r="Q317" s="553"/>
      <c r="R317" s="553"/>
      <c r="S317" s="553"/>
      <c r="T317" s="553"/>
      <c r="U317" s="553"/>
      <c r="V317" s="554"/>
      <c r="W317" s="42" t="s">
        <v>0</v>
      </c>
      <c r="X317" s="43">
        <f>IFERROR(SUM(X312:X315),"0")</f>
        <v>101.68</v>
      </c>
      <c r="Y317" s="43">
        <f>IFERROR(SUM(Y312:Y315),"0")</f>
        <v>102.88</v>
      </c>
      <c r="Z317" s="42"/>
      <c r="AA317" s="67"/>
      <c r="AB317" s="67"/>
      <c r="AC317" s="67"/>
    </row>
    <row r="318" spans="1:68" ht="14.25" hidden="1" customHeight="1" x14ac:dyDescent="0.25">
      <c r="A318" s="566" t="s">
        <v>529</v>
      </c>
      <c r="B318" s="566"/>
      <c r="C318" s="566"/>
      <c r="D318" s="566"/>
      <c r="E318" s="566"/>
      <c r="F318" s="566"/>
      <c r="G318" s="566"/>
      <c r="H318" s="566"/>
      <c r="I318" s="566"/>
      <c r="J318" s="566"/>
      <c r="K318" s="566"/>
      <c r="L318" s="566"/>
      <c r="M318" s="566"/>
      <c r="N318" s="566"/>
      <c r="O318" s="566"/>
      <c r="P318" s="566"/>
      <c r="Q318" s="566"/>
      <c r="R318" s="566"/>
      <c r="S318" s="566"/>
      <c r="T318" s="566"/>
      <c r="U318" s="566"/>
      <c r="V318" s="566"/>
      <c r="W318" s="566"/>
      <c r="X318" s="566"/>
      <c r="Y318" s="566"/>
      <c r="Z318" s="566"/>
      <c r="AA318" s="66"/>
      <c r="AB318" s="66"/>
      <c r="AC318" s="80"/>
    </row>
    <row r="319" spans="1:68" ht="16.5" hidden="1" customHeight="1" x14ac:dyDescent="0.25">
      <c r="A319" s="63" t="s">
        <v>530</v>
      </c>
      <c r="B319" s="63" t="s">
        <v>531</v>
      </c>
      <c r="C319" s="36">
        <v>4301180007</v>
      </c>
      <c r="D319" s="561">
        <v>4680115881808</v>
      </c>
      <c r="E319" s="561"/>
      <c r="F319" s="62">
        <v>0.1</v>
      </c>
      <c r="G319" s="37">
        <v>20</v>
      </c>
      <c r="H319" s="62">
        <v>2</v>
      </c>
      <c r="I319" s="62">
        <v>2.2400000000000002</v>
      </c>
      <c r="J319" s="37">
        <v>238</v>
      </c>
      <c r="K319" s="37" t="s">
        <v>81</v>
      </c>
      <c r="L319" s="37" t="s">
        <v>45</v>
      </c>
      <c r="M319" s="38" t="s">
        <v>533</v>
      </c>
      <c r="N319" s="38"/>
      <c r="O319" s="37">
        <v>730</v>
      </c>
      <c r="P319" s="6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19" s="563"/>
      <c r="R319" s="563"/>
      <c r="S319" s="563"/>
      <c r="T319" s="564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IFERROR(IF(Y319=0,"",ROUNDUP(Y319/H319,0)*0.00474),"")</f>
        <v/>
      </c>
      <c r="AA319" s="68" t="s">
        <v>45</v>
      </c>
      <c r="AB319" s="69" t="s">
        <v>45</v>
      </c>
      <c r="AC319" s="398" t="s">
        <v>532</v>
      </c>
      <c r="AG319" s="78"/>
      <c r="AJ319" s="84" t="s">
        <v>45</v>
      </c>
      <c r="AK319" s="84">
        <v>0</v>
      </c>
      <c r="BB319" s="399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534</v>
      </c>
      <c r="B320" s="63" t="s">
        <v>535</v>
      </c>
      <c r="C320" s="36">
        <v>4301180006</v>
      </c>
      <c r="D320" s="561">
        <v>4680115881822</v>
      </c>
      <c r="E320" s="561"/>
      <c r="F320" s="62">
        <v>0.1</v>
      </c>
      <c r="G320" s="37">
        <v>20</v>
      </c>
      <c r="H320" s="62">
        <v>2</v>
      </c>
      <c r="I320" s="62">
        <v>2.2400000000000002</v>
      </c>
      <c r="J320" s="37">
        <v>238</v>
      </c>
      <c r="K320" s="37" t="s">
        <v>81</v>
      </c>
      <c r="L320" s="37" t="s">
        <v>45</v>
      </c>
      <c r="M320" s="38" t="s">
        <v>533</v>
      </c>
      <c r="N320" s="38"/>
      <c r="O320" s="37">
        <v>730</v>
      </c>
      <c r="P320" s="6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0" s="563"/>
      <c r="R320" s="563"/>
      <c r="S320" s="563"/>
      <c r="T320" s="56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IFERROR(IF(Y320=0,"",ROUNDUP(Y320/H320,0)*0.00474),"")</f>
        <v/>
      </c>
      <c r="AA320" s="68" t="s">
        <v>45</v>
      </c>
      <c r="AB320" s="69" t="s">
        <v>45</v>
      </c>
      <c r="AC320" s="400" t="s">
        <v>532</v>
      </c>
      <c r="AG320" s="78"/>
      <c r="AJ320" s="84" t="s">
        <v>45</v>
      </c>
      <c r="AK320" s="84">
        <v>0</v>
      </c>
      <c r="BB320" s="401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536</v>
      </c>
      <c r="B321" s="63" t="s">
        <v>537</v>
      </c>
      <c r="C321" s="36">
        <v>4301180001</v>
      </c>
      <c r="D321" s="561">
        <v>4680115880016</v>
      </c>
      <c r="E321" s="561"/>
      <c r="F321" s="62">
        <v>0.1</v>
      </c>
      <c r="G321" s="37">
        <v>20</v>
      </c>
      <c r="H321" s="62">
        <v>2</v>
      </c>
      <c r="I321" s="62">
        <v>2.2400000000000002</v>
      </c>
      <c r="J321" s="37">
        <v>238</v>
      </c>
      <c r="K321" s="37" t="s">
        <v>81</v>
      </c>
      <c r="L321" s="37" t="s">
        <v>45</v>
      </c>
      <c r="M321" s="38" t="s">
        <v>533</v>
      </c>
      <c r="N321" s="38"/>
      <c r="O321" s="37">
        <v>730</v>
      </c>
      <c r="P321" s="6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1" s="563"/>
      <c r="R321" s="563"/>
      <c r="S321" s="563"/>
      <c r="T321" s="56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IFERROR(IF(Y321=0,"",ROUNDUP(Y321/H321,0)*0.00474),"")</f>
        <v/>
      </c>
      <c r="AA321" s="68" t="s">
        <v>45</v>
      </c>
      <c r="AB321" s="69" t="s">
        <v>45</v>
      </c>
      <c r="AC321" s="402" t="s">
        <v>532</v>
      </c>
      <c r="AG321" s="78"/>
      <c r="AJ321" s="84" t="s">
        <v>45</v>
      </c>
      <c r="AK321" s="84">
        <v>0</v>
      </c>
      <c r="BB321" s="403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555"/>
      <c r="B322" s="555"/>
      <c r="C322" s="555"/>
      <c r="D322" s="555"/>
      <c r="E322" s="555"/>
      <c r="F322" s="555"/>
      <c r="G322" s="555"/>
      <c r="H322" s="555"/>
      <c r="I322" s="555"/>
      <c r="J322" s="555"/>
      <c r="K322" s="555"/>
      <c r="L322" s="555"/>
      <c r="M322" s="555"/>
      <c r="N322" s="555"/>
      <c r="O322" s="556"/>
      <c r="P322" s="552" t="s">
        <v>40</v>
      </c>
      <c r="Q322" s="553"/>
      <c r="R322" s="553"/>
      <c r="S322" s="553"/>
      <c r="T322" s="553"/>
      <c r="U322" s="553"/>
      <c r="V322" s="55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555"/>
      <c r="B323" s="555"/>
      <c r="C323" s="555"/>
      <c r="D323" s="555"/>
      <c r="E323" s="555"/>
      <c r="F323" s="555"/>
      <c r="G323" s="555"/>
      <c r="H323" s="555"/>
      <c r="I323" s="555"/>
      <c r="J323" s="555"/>
      <c r="K323" s="555"/>
      <c r="L323" s="555"/>
      <c r="M323" s="555"/>
      <c r="N323" s="555"/>
      <c r="O323" s="556"/>
      <c r="P323" s="552" t="s">
        <v>40</v>
      </c>
      <c r="Q323" s="553"/>
      <c r="R323" s="553"/>
      <c r="S323" s="553"/>
      <c r="T323" s="553"/>
      <c r="U323" s="553"/>
      <c r="V323" s="55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565" t="s">
        <v>538</v>
      </c>
      <c r="B324" s="565"/>
      <c r="C324" s="565"/>
      <c r="D324" s="565"/>
      <c r="E324" s="565"/>
      <c r="F324" s="565"/>
      <c r="G324" s="565"/>
      <c r="H324" s="565"/>
      <c r="I324" s="565"/>
      <c r="J324" s="565"/>
      <c r="K324" s="565"/>
      <c r="L324" s="565"/>
      <c r="M324" s="565"/>
      <c r="N324" s="565"/>
      <c r="O324" s="565"/>
      <c r="P324" s="565"/>
      <c r="Q324" s="565"/>
      <c r="R324" s="565"/>
      <c r="S324" s="565"/>
      <c r="T324" s="565"/>
      <c r="U324" s="565"/>
      <c r="V324" s="565"/>
      <c r="W324" s="565"/>
      <c r="X324" s="565"/>
      <c r="Y324" s="565"/>
      <c r="Z324" s="565"/>
      <c r="AA324" s="65"/>
      <c r="AB324" s="65"/>
      <c r="AC324" s="79"/>
    </row>
    <row r="325" spans="1:68" ht="14.25" hidden="1" customHeight="1" x14ac:dyDescent="0.25">
      <c r="A325" s="566" t="s">
        <v>86</v>
      </c>
      <c r="B325" s="566"/>
      <c r="C325" s="566"/>
      <c r="D325" s="566"/>
      <c r="E325" s="566"/>
      <c r="F325" s="566"/>
      <c r="G325" s="566"/>
      <c r="H325" s="566"/>
      <c r="I325" s="566"/>
      <c r="J325" s="566"/>
      <c r="K325" s="566"/>
      <c r="L325" s="566"/>
      <c r="M325" s="566"/>
      <c r="N325" s="566"/>
      <c r="O325" s="566"/>
      <c r="P325" s="566"/>
      <c r="Q325" s="566"/>
      <c r="R325" s="566"/>
      <c r="S325" s="566"/>
      <c r="T325" s="566"/>
      <c r="U325" s="566"/>
      <c r="V325" s="566"/>
      <c r="W325" s="566"/>
      <c r="X325" s="566"/>
      <c r="Y325" s="566"/>
      <c r="Z325" s="566"/>
      <c r="AA325" s="66"/>
      <c r="AB325" s="66"/>
      <c r="AC325" s="80"/>
    </row>
    <row r="326" spans="1:68" ht="27" customHeight="1" x14ac:dyDescent="0.25">
      <c r="A326" s="63" t="s">
        <v>539</v>
      </c>
      <c r="B326" s="63" t="s">
        <v>540</v>
      </c>
      <c r="C326" s="36">
        <v>4301051489</v>
      </c>
      <c r="D326" s="561">
        <v>4607091387919</v>
      </c>
      <c r="E326" s="561"/>
      <c r="F326" s="62">
        <v>1.35</v>
      </c>
      <c r="G326" s="37">
        <v>6</v>
      </c>
      <c r="H326" s="62">
        <v>8.1</v>
      </c>
      <c r="I326" s="62">
        <v>8.5939999999999994</v>
      </c>
      <c r="J326" s="37">
        <v>64</v>
      </c>
      <c r="K326" s="37" t="s">
        <v>113</v>
      </c>
      <c r="L326" s="37" t="s">
        <v>45</v>
      </c>
      <c r="M326" s="38" t="s">
        <v>96</v>
      </c>
      <c r="N326" s="38"/>
      <c r="O326" s="37">
        <v>45</v>
      </c>
      <c r="P326" s="6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26" s="563"/>
      <c r="R326" s="563"/>
      <c r="S326" s="563"/>
      <c r="T326" s="564"/>
      <c r="U326" s="39" t="s">
        <v>45</v>
      </c>
      <c r="V326" s="39" t="s">
        <v>45</v>
      </c>
      <c r="W326" s="40" t="s">
        <v>0</v>
      </c>
      <c r="X326" s="58">
        <v>145</v>
      </c>
      <c r="Y326" s="55">
        <f>IFERROR(IF(X326="",0,CEILING((X326/$H326),1)*$H326),"")</f>
        <v>145.79999999999998</v>
      </c>
      <c r="Z326" s="41">
        <f>IFERROR(IF(Y326=0,"",ROUNDUP(Y326/H326,0)*0.01898),"")</f>
        <v>0.34164</v>
      </c>
      <c r="AA326" s="68" t="s">
        <v>45</v>
      </c>
      <c r="AB326" s="69" t="s">
        <v>45</v>
      </c>
      <c r="AC326" s="404" t="s">
        <v>541</v>
      </c>
      <c r="AG326" s="78"/>
      <c r="AJ326" s="84" t="s">
        <v>45</v>
      </c>
      <c r="AK326" s="84">
        <v>0</v>
      </c>
      <c r="BB326" s="405" t="s">
        <v>66</v>
      </c>
      <c r="BM326" s="78">
        <f>IFERROR(X326*I326/H326,"0")</f>
        <v>153.8432098765432</v>
      </c>
      <c r="BN326" s="78">
        <f>IFERROR(Y326*I326/H326,"0")</f>
        <v>154.69199999999998</v>
      </c>
      <c r="BO326" s="78">
        <f>IFERROR(1/J326*(X326/H326),"0")</f>
        <v>0.27970679012345678</v>
      </c>
      <c r="BP326" s="78">
        <f>IFERROR(1/J326*(Y326/H326),"0")</f>
        <v>0.28125</v>
      </c>
    </row>
    <row r="327" spans="1:68" ht="27" customHeight="1" x14ac:dyDescent="0.25">
      <c r="A327" s="63" t="s">
        <v>542</v>
      </c>
      <c r="B327" s="63" t="s">
        <v>543</v>
      </c>
      <c r="C327" s="36">
        <v>4301051461</v>
      </c>
      <c r="D327" s="561">
        <v>4680115883604</v>
      </c>
      <c r="E327" s="561"/>
      <c r="F327" s="62">
        <v>0.35</v>
      </c>
      <c r="G327" s="37">
        <v>6</v>
      </c>
      <c r="H327" s="62">
        <v>2.1</v>
      </c>
      <c r="I327" s="62">
        <v>2.3519999999999999</v>
      </c>
      <c r="J327" s="37">
        <v>182</v>
      </c>
      <c r="K327" s="37" t="s">
        <v>81</v>
      </c>
      <c r="L327" s="37" t="s">
        <v>45</v>
      </c>
      <c r="M327" s="38" t="s">
        <v>90</v>
      </c>
      <c r="N327" s="38"/>
      <c r="O327" s="37">
        <v>45</v>
      </c>
      <c r="P327" s="6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27" s="563"/>
      <c r="R327" s="563"/>
      <c r="S327" s="563"/>
      <c r="T327" s="564"/>
      <c r="U327" s="39" t="s">
        <v>45</v>
      </c>
      <c r="V327" s="39" t="s">
        <v>45</v>
      </c>
      <c r="W327" s="40" t="s">
        <v>0</v>
      </c>
      <c r="X327" s="58">
        <v>131</v>
      </c>
      <c r="Y327" s="55">
        <f>IFERROR(IF(X327="",0,CEILING((X327/$H327),1)*$H327),"")</f>
        <v>132.30000000000001</v>
      </c>
      <c r="Z327" s="41">
        <f>IFERROR(IF(Y327=0,"",ROUNDUP(Y327/H327,0)*0.00651),"")</f>
        <v>0.41012999999999999</v>
      </c>
      <c r="AA327" s="68" t="s">
        <v>45</v>
      </c>
      <c r="AB327" s="69" t="s">
        <v>45</v>
      </c>
      <c r="AC327" s="406" t="s">
        <v>544</v>
      </c>
      <c r="AG327" s="78"/>
      <c r="AJ327" s="84" t="s">
        <v>45</v>
      </c>
      <c r="AK327" s="84">
        <v>0</v>
      </c>
      <c r="BB327" s="407" t="s">
        <v>66</v>
      </c>
      <c r="BM327" s="78">
        <f>IFERROR(X327*I327/H327,"0")</f>
        <v>146.71999999999997</v>
      </c>
      <c r="BN327" s="78">
        <f>IFERROR(Y327*I327/H327,"0")</f>
        <v>148.17599999999999</v>
      </c>
      <c r="BO327" s="78">
        <f>IFERROR(1/J327*(X327/H327),"0")</f>
        <v>0.34275248560962851</v>
      </c>
      <c r="BP327" s="78">
        <f>IFERROR(1/J327*(Y327/H327),"0")</f>
        <v>0.3461538461538462</v>
      </c>
    </row>
    <row r="328" spans="1:68" ht="27" hidden="1" customHeight="1" x14ac:dyDescent="0.25">
      <c r="A328" s="63" t="s">
        <v>545</v>
      </c>
      <c r="B328" s="63" t="s">
        <v>546</v>
      </c>
      <c r="C328" s="36">
        <v>4301051864</v>
      </c>
      <c r="D328" s="561">
        <v>4680115883567</v>
      </c>
      <c r="E328" s="561"/>
      <c r="F328" s="62">
        <v>0.35</v>
      </c>
      <c r="G328" s="37">
        <v>6</v>
      </c>
      <c r="H328" s="62">
        <v>2.1</v>
      </c>
      <c r="I328" s="62">
        <v>2.34</v>
      </c>
      <c r="J328" s="37">
        <v>182</v>
      </c>
      <c r="K328" s="37" t="s">
        <v>81</v>
      </c>
      <c r="L328" s="37" t="s">
        <v>45</v>
      </c>
      <c r="M328" s="38" t="s">
        <v>96</v>
      </c>
      <c r="N328" s="38"/>
      <c r="O328" s="37">
        <v>40</v>
      </c>
      <c r="P328" s="63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28" s="563"/>
      <c r="R328" s="563"/>
      <c r="S328" s="563"/>
      <c r="T328" s="56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8" t="s">
        <v>547</v>
      </c>
      <c r="AG328" s="78"/>
      <c r="AJ328" s="84" t="s">
        <v>45</v>
      </c>
      <c r="AK328" s="84">
        <v>0</v>
      </c>
      <c r="BB328" s="409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555"/>
      <c r="B329" s="555"/>
      <c r="C329" s="555"/>
      <c r="D329" s="555"/>
      <c r="E329" s="555"/>
      <c r="F329" s="555"/>
      <c r="G329" s="555"/>
      <c r="H329" s="555"/>
      <c r="I329" s="555"/>
      <c r="J329" s="555"/>
      <c r="K329" s="555"/>
      <c r="L329" s="555"/>
      <c r="M329" s="555"/>
      <c r="N329" s="555"/>
      <c r="O329" s="556"/>
      <c r="P329" s="552" t="s">
        <v>40</v>
      </c>
      <c r="Q329" s="553"/>
      <c r="R329" s="553"/>
      <c r="S329" s="553"/>
      <c r="T329" s="553"/>
      <c r="U329" s="553"/>
      <c r="V329" s="554"/>
      <c r="W329" s="42" t="s">
        <v>39</v>
      </c>
      <c r="X329" s="43">
        <f>IFERROR(X326/H326,"0")+IFERROR(X327/H327,"0")+IFERROR(X328/H328,"0")</f>
        <v>80.282186948853621</v>
      </c>
      <c r="Y329" s="43">
        <f>IFERROR(Y326/H326,"0")+IFERROR(Y327/H327,"0")+IFERROR(Y328/H328,"0")</f>
        <v>81</v>
      </c>
      <c r="Z329" s="43">
        <f>IFERROR(IF(Z326="",0,Z326),"0")+IFERROR(IF(Z327="",0,Z327),"0")+IFERROR(IF(Z328="",0,Z328),"0")</f>
        <v>0.75177000000000005</v>
      </c>
      <c r="AA329" s="67"/>
      <c r="AB329" s="67"/>
      <c r="AC329" s="67"/>
    </row>
    <row r="330" spans="1:68" x14ac:dyDescent="0.2">
      <c r="A330" s="555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52" t="s">
        <v>40</v>
      </c>
      <c r="Q330" s="553"/>
      <c r="R330" s="553"/>
      <c r="S330" s="553"/>
      <c r="T330" s="553"/>
      <c r="U330" s="553"/>
      <c r="V330" s="554"/>
      <c r="W330" s="42" t="s">
        <v>0</v>
      </c>
      <c r="X330" s="43">
        <f>IFERROR(SUM(X326:X328),"0")</f>
        <v>276</v>
      </c>
      <c r="Y330" s="43">
        <f>IFERROR(SUM(Y326:Y328),"0")</f>
        <v>278.10000000000002</v>
      </c>
      <c r="Z330" s="42"/>
      <c r="AA330" s="67"/>
      <c r="AB330" s="67"/>
      <c r="AC330" s="67"/>
    </row>
    <row r="331" spans="1:68" ht="27.75" hidden="1" customHeight="1" x14ac:dyDescent="0.2">
      <c r="A331" s="575" t="s">
        <v>548</v>
      </c>
      <c r="B331" s="575"/>
      <c r="C331" s="575"/>
      <c r="D331" s="575"/>
      <c r="E331" s="575"/>
      <c r="F331" s="575"/>
      <c r="G331" s="575"/>
      <c r="H331" s="575"/>
      <c r="I331" s="575"/>
      <c r="J331" s="575"/>
      <c r="K331" s="575"/>
      <c r="L331" s="575"/>
      <c r="M331" s="575"/>
      <c r="N331" s="575"/>
      <c r="O331" s="575"/>
      <c r="P331" s="575"/>
      <c r="Q331" s="575"/>
      <c r="R331" s="575"/>
      <c r="S331" s="575"/>
      <c r="T331" s="575"/>
      <c r="U331" s="575"/>
      <c r="V331" s="575"/>
      <c r="W331" s="575"/>
      <c r="X331" s="575"/>
      <c r="Y331" s="575"/>
      <c r="Z331" s="575"/>
      <c r="AA331" s="54"/>
      <c r="AB331" s="54"/>
      <c r="AC331" s="54"/>
    </row>
    <row r="332" spans="1:68" ht="16.5" hidden="1" customHeight="1" x14ac:dyDescent="0.25">
      <c r="A332" s="565" t="s">
        <v>549</v>
      </c>
      <c r="B332" s="565"/>
      <c r="C332" s="565"/>
      <c r="D332" s="565"/>
      <c r="E332" s="565"/>
      <c r="F332" s="565"/>
      <c r="G332" s="565"/>
      <c r="H332" s="565"/>
      <c r="I332" s="565"/>
      <c r="J332" s="565"/>
      <c r="K332" s="565"/>
      <c r="L332" s="565"/>
      <c r="M332" s="565"/>
      <c r="N332" s="565"/>
      <c r="O332" s="565"/>
      <c r="P332" s="565"/>
      <c r="Q332" s="565"/>
      <c r="R332" s="565"/>
      <c r="S332" s="565"/>
      <c r="T332" s="565"/>
      <c r="U332" s="565"/>
      <c r="V332" s="565"/>
      <c r="W332" s="565"/>
      <c r="X332" s="565"/>
      <c r="Y332" s="565"/>
      <c r="Z332" s="565"/>
      <c r="AA332" s="65"/>
      <c r="AB332" s="65"/>
      <c r="AC332" s="79"/>
    </row>
    <row r="333" spans="1:68" ht="14.25" hidden="1" customHeight="1" x14ac:dyDescent="0.25">
      <c r="A333" s="566" t="s">
        <v>108</v>
      </c>
      <c r="B333" s="566"/>
      <c r="C333" s="566"/>
      <c r="D333" s="566"/>
      <c r="E333" s="566"/>
      <c r="F333" s="566"/>
      <c r="G333" s="566"/>
      <c r="H333" s="566"/>
      <c r="I333" s="566"/>
      <c r="J333" s="566"/>
      <c r="K333" s="566"/>
      <c r="L333" s="566"/>
      <c r="M333" s="566"/>
      <c r="N333" s="566"/>
      <c r="O333" s="566"/>
      <c r="P333" s="566"/>
      <c r="Q333" s="566"/>
      <c r="R333" s="566"/>
      <c r="S333" s="566"/>
      <c r="T333" s="566"/>
      <c r="U333" s="566"/>
      <c r="V333" s="566"/>
      <c r="W333" s="566"/>
      <c r="X333" s="566"/>
      <c r="Y333" s="566"/>
      <c r="Z333" s="566"/>
      <c r="AA333" s="66"/>
      <c r="AB333" s="66"/>
      <c r="AC333" s="80"/>
    </row>
    <row r="334" spans="1:68" ht="37.5" customHeight="1" x14ac:dyDescent="0.25">
      <c r="A334" s="63" t="s">
        <v>550</v>
      </c>
      <c r="B334" s="63" t="s">
        <v>551</v>
      </c>
      <c r="C334" s="36">
        <v>4301011869</v>
      </c>
      <c r="D334" s="561">
        <v>4680115884847</v>
      </c>
      <c r="E334" s="561"/>
      <c r="F334" s="62">
        <v>2.5</v>
      </c>
      <c r="G334" s="37">
        <v>6</v>
      </c>
      <c r="H334" s="62">
        <v>15</v>
      </c>
      <c r="I334" s="62">
        <v>15.47</v>
      </c>
      <c r="J334" s="37">
        <v>48</v>
      </c>
      <c r="K334" s="37" t="s">
        <v>113</v>
      </c>
      <c r="L334" s="37" t="s">
        <v>45</v>
      </c>
      <c r="M334" s="38" t="s">
        <v>80</v>
      </c>
      <c r="N334" s="38"/>
      <c r="O334" s="37">
        <v>60</v>
      </c>
      <c r="P334" s="6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34" s="563"/>
      <c r="R334" s="563"/>
      <c r="S334" s="563"/>
      <c r="T334" s="564"/>
      <c r="U334" s="39" t="s">
        <v>45</v>
      </c>
      <c r="V334" s="39" t="s">
        <v>45</v>
      </c>
      <c r="W334" s="40" t="s">
        <v>0</v>
      </c>
      <c r="X334" s="58">
        <v>1045</v>
      </c>
      <c r="Y334" s="55">
        <f t="shared" ref="Y334:Y340" si="41">IFERROR(IF(X334="",0,CEILING((X334/$H334),1)*$H334),"")</f>
        <v>1050</v>
      </c>
      <c r="Z334" s="41">
        <f>IFERROR(IF(Y334=0,"",ROUNDUP(Y334/H334,0)*0.02175),"")</f>
        <v>1.5225</v>
      </c>
      <c r="AA334" s="68" t="s">
        <v>45</v>
      </c>
      <c r="AB334" s="69" t="s">
        <v>45</v>
      </c>
      <c r="AC334" s="410" t="s">
        <v>552</v>
      </c>
      <c r="AG334" s="78"/>
      <c r="AJ334" s="84" t="s">
        <v>45</v>
      </c>
      <c r="AK334" s="84">
        <v>0</v>
      </c>
      <c r="BB334" s="411" t="s">
        <v>66</v>
      </c>
      <c r="BM334" s="78">
        <f t="shared" ref="BM334:BM340" si="42">IFERROR(X334*I334/H334,"0")</f>
        <v>1077.7433333333333</v>
      </c>
      <c r="BN334" s="78">
        <f t="shared" ref="BN334:BN340" si="43">IFERROR(Y334*I334/H334,"0")</f>
        <v>1082.9000000000001</v>
      </c>
      <c r="BO334" s="78">
        <f t="shared" ref="BO334:BO340" si="44">IFERROR(1/J334*(X334/H334),"0")</f>
        <v>1.4513888888888888</v>
      </c>
      <c r="BP334" s="78">
        <f t="shared" ref="BP334:BP340" si="45">IFERROR(1/J334*(Y334/H334),"0")</f>
        <v>1.4583333333333333</v>
      </c>
    </row>
    <row r="335" spans="1:68" ht="27" customHeight="1" x14ac:dyDescent="0.25">
      <c r="A335" s="63" t="s">
        <v>553</v>
      </c>
      <c r="B335" s="63" t="s">
        <v>554</v>
      </c>
      <c r="C335" s="36">
        <v>4301011870</v>
      </c>
      <c r="D335" s="561">
        <v>4680115884854</v>
      </c>
      <c r="E335" s="561"/>
      <c r="F335" s="62">
        <v>2.5</v>
      </c>
      <c r="G335" s="37">
        <v>6</v>
      </c>
      <c r="H335" s="62">
        <v>15</v>
      </c>
      <c r="I335" s="62">
        <v>15.47</v>
      </c>
      <c r="J335" s="37">
        <v>48</v>
      </c>
      <c r="K335" s="37" t="s">
        <v>113</v>
      </c>
      <c r="L335" s="37" t="s">
        <v>45</v>
      </c>
      <c r="M335" s="38" t="s">
        <v>80</v>
      </c>
      <c r="N335" s="38"/>
      <c r="O335" s="37">
        <v>60</v>
      </c>
      <c r="P335" s="63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35" s="563"/>
      <c r="R335" s="563"/>
      <c r="S335" s="563"/>
      <c r="T335" s="564"/>
      <c r="U335" s="39" t="s">
        <v>45</v>
      </c>
      <c r="V335" s="39" t="s">
        <v>45</v>
      </c>
      <c r="W335" s="40" t="s">
        <v>0</v>
      </c>
      <c r="X335" s="58">
        <v>1290</v>
      </c>
      <c r="Y335" s="55">
        <f t="shared" si="41"/>
        <v>1290</v>
      </c>
      <c r="Z335" s="41">
        <f>IFERROR(IF(Y335=0,"",ROUNDUP(Y335/H335,0)*0.02175),"")</f>
        <v>1.8704999999999998</v>
      </c>
      <c r="AA335" s="68" t="s">
        <v>45</v>
      </c>
      <c r="AB335" s="69" t="s">
        <v>45</v>
      </c>
      <c r="AC335" s="412" t="s">
        <v>555</v>
      </c>
      <c r="AG335" s="78"/>
      <c r="AJ335" s="84" t="s">
        <v>45</v>
      </c>
      <c r="AK335" s="84">
        <v>0</v>
      </c>
      <c r="BB335" s="413" t="s">
        <v>66</v>
      </c>
      <c r="BM335" s="78">
        <f t="shared" si="42"/>
        <v>1330.4199999999998</v>
      </c>
      <c r="BN335" s="78">
        <f t="shared" si="43"/>
        <v>1330.4199999999998</v>
      </c>
      <c r="BO335" s="78">
        <f t="shared" si="44"/>
        <v>1.7916666666666665</v>
      </c>
      <c r="BP335" s="78">
        <f t="shared" si="45"/>
        <v>1.7916666666666665</v>
      </c>
    </row>
    <row r="336" spans="1:68" ht="27" customHeight="1" x14ac:dyDescent="0.25">
      <c r="A336" s="63" t="s">
        <v>556</v>
      </c>
      <c r="B336" s="63" t="s">
        <v>557</v>
      </c>
      <c r="C336" s="36">
        <v>4301012215</v>
      </c>
      <c r="D336" s="561">
        <v>4680115887046</v>
      </c>
      <c r="E336" s="561"/>
      <c r="F336" s="62">
        <v>2.5</v>
      </c>
      <c r="G336" s="37">
        <v>6</v>
      </c>
      <c r="H336" s="62">
        <v>15</v>
      </c>
      <c r="I336" s="62">
        <v>15.47</v>
      </c>
      <c r="J336" s="37">
        <v>48</v>
      </c>
      <c r="K336" s="37" t="s">
        <v>113</v>
      </c>
      <c r="L336" s="37" t="s">
        <v>45</v>
      </c>
      <c r="M336" s="38" t="s">
        <v>96</v>
      </c>
      <c r="N336" s="38"/>
      <c r="O336" s="37">
        <v>60</v>
      </c>
      <c r="P336" s="6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36" s="563"/>
      <c r="R336" s="563"/>
      <c r="S336" s="563"/>
      <c r="T336" s="564"/>
      <c r="U336" s="39" t="s">
        <v>45</v>
      </c>
      <c r="V336" s="39" t="s">
        <v>45</v>
      </c>
      <c r="W336" s="40" t="s">
        <v>0</v>
      </c>
      <c r="X336" s="58">
        <v>945</v>
      </c>
      <c r="Y336" s="55">
        <f t="shared" si="41"/>
        <v>945</v>
      </c>
      <c r="Z336" s="41">
        <f>IFERROR(IF(Y336=0,"",ROUNDUP(Y336/H336,0)*0.02175),"")</f>
        <v>1.37025</v>
      </c>
      <c r="AA336" s="68" t="s">
        <v>45</v>
      </c>
      <c r="AB336" s="69" t="s">
        <v>45</v>
      </c>
      <c r="AC336" s="414" t="s">
        <v>558</v>
      </c>
      <c r="AG336" s="78"/>
      <c r="AJ336" s="84" t="s">
        <v>45</v>
      </c>
      <c r="AK336" s="84">
        <v>0</v>
      </c>
      <c r="BB336" s="415" t="s">
        <v>66</v>
      </c>
      <c r="BM336" s="78">
        <f t="shared" si="42"/>
        <v>974.61000000000013</v>
      </c>
      <c r="BN336" s="78">
        <f t="shared" si="43"/>
        <v>974.61000000000013</v>
      </c>
      <c r="BO336" s="78">
        <f t="shared" si="44"/>
        <v>1.3125</v>
      </c>
      <c r="BP336" s="78">
        <f t="shared" si="45"/>
        <v>1.3125</v>
      </c>
    </row>
    <row r="337" spans="1:68" ht="37.5" customHeight="1" x14ac:dyDescent="0.25">
      <c r="A337" s="63" t="s">
        <v>559</v>
      </c>
      <c r="B337" s="63" t="s">
        <v>560</v>
      </c>
      <c r="C337" s="36">
        <v>4301011867</v>
      </c>
      <c r="D337" s="561">
        <v>4680115884830</v>
      </c>
      <c r="E337" s="561"/>
      <c r="F337" s="62">
        <v>2.5</v>
      </c>
      <c r="G337" s="37">
        <v>6</v>
      </c>
      <c r="H337" s="62">
        <v>15</v>
      </c>
      <c r="I337" s="62">
        <v>15.47</v>
      </c>
      <c r="J337" s="37">
        <v>48</v>
      </c>
      <c r="K337" s="37" t="s">
        <v>113</v>
      </c>
      <c r="L337" s="37" t="s">
        <v>45</v>
      </c>
      <c r="M337" s="38" t="s">
        <v>80</v>
      </c>
      <c r="N337" s="38"/>
      <c r="O337" s="37">
        <v>60</v>
      </c>
      <c r="P337" s="6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37" s="563"/>
      <c r="R337" s="563"/>
      <c r="S337" s="563"/>
      <c r="T337" s="564"/>
      <c r="U337" s="39" t="s">
        <v>45</v>
      </c>
      <c r="V337" s="39" t="s">
        <v>45</v>
      </c>
      <c r="W337" s="40" t="s">
        <v>0</v>
      </c>
      <c r="X337" s="58">
        <v>1625</v>
      </c>
      <c r="Y337" s="55">
        <f t="shared" si="41"/>
        <v>1635</v>
      </c>
      <c r="Z337" s="41">
        <f>IFERROR(IF(Y337=0,"",ROUNDUP(Y337/H337,0)*0.02175),"")</f>
        <v>2.3707499999999997</v>
      </c>
      <c r="AA337" s="68" t="s">
        <v>45</v>
      </c>
      <c r="AB337" s="69" t="s">
        <v>45</v>
      </c>
      <c r="AC337" s="416" t="s">
        <v>561</v>
      </c>
      <c r="AG337" s="78"/>
      <c r="AJ337" s="84" t="s">
        <v>45</v>
      </c>
      <c r="AK337" s="84">
        <v>0</v>
      </c>
      <c r="BB337" s="417" t="s">
        <v>66</v>
      </c>
      <c r="BM337" s="78">
        <f t="shared" si="42"/>
        <v>1675.9166666666667</v>
      </c>
      <c r="BN337" s="78">
        <f t="shared" si="43"/>
        <v>1686.23</v>
      </c>
      <c r="BO337" s="78">
        <f t="shared" si="44"/>
        <v>2.2569444444444442</v>
      </c>
      <c r="BP337" s="78">
        <f t="shared" si="45"/>
        <v>2.270833333333333</v>
      </c>
    </row>
    <row r="338" spans="1:68" ht="27" customHeight="1" x14ac:dyDescent="0.25">
      <c r="A338" s="63" t="s">
        <v>562</v>
      </c>
      <c r="B338" s="63" t="s">
        <v>563</v>
      </c>
      <c r="C338" s="36">
        <v>4301011433</v>
      </c>
      <c r="D338" s="561">
        <v>4680115882638</v>
      </c>
      <c r="E338" s="561"/>
      <c r="F338" s="62">
        <v>0.4</v>
      </c>
      <c r="G338" s="37">
        <v>10</v>
      </c>
      <c r="H338" s="62">
        <v>4</v>
      </c>
      <c r="I338" s="62">
        <v>4.1900000000000004</v>
      </c>
      <c r="J338" s="37">
        <v>132</v>
      </c>
      <c r="K338" s="37" t="s">
        <v>116</v>
      </c>
      <c r="L338" s="37" t="s">
        <v>45</v>
      </c>
      <c r="M338" s="38" t="s">
        <v>112</v>
      </c>
      <c r="N338" s="38"/>
      <c r="O338" s="37">
        <v>90</v>
      </c>
      <c r="P338" s="63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38" s="563"/>
      <c r="R338" s="563"/>
      <c r="S338" s="563"/>
      <c r="T338" s="564"/>
      <c r="U338" s="39" t="s">
        <v>45</v>
      </c>
      <c r="V338" s="39" t="s">
        <v>45</v>
      </c>
      <c r="W338" s="40" t="s">
        <v>0</v>
      </c>
      <c r="X338" s="58">
        <v>8</v>
      </c>
      <c r="Y338" s="55">
        <f t="shared" si="41"/>
        <v>8</v>
      </c>
      <c r="Z338" s="41">
        <f>IFERROR(IF(Y338=0,"",ROUNDUP(Y338/H338,0)*0.00902),"")</f>
        <v>1.804E-2</v>
      </c>
      <c r="AA338" s="68" t="s">
        <v>45</v>
      </c>
      <c r="AB338" s="69" t="s">
        <v>45</v>
      </c>
      <c r="AC338" s="418" t="s">
        <v>564</v>
      </c>
      <c r="AG338" s="78"/>
      <c r="AJ338" s="84" t="s">
        <v>45</v>
      </c>
      <c r="AK338" s="84">
        <v>0</v>
      </c>
      <c r="BB338" s="419" t="s">
        <v>66</v>
      </c>
      <c r="BM338" s="78">
        <f t="shared" si="42"/>
        <v>8.3800000000000008</v>
      </c>
      <c r="BN338" s="78">
        <f t="shared" si="43"/>
        <v>8.3800000000000008</v>
      </c>
      <c r="BO338" s="78">
        <f t="shared" si="44"/>
        <v>1.5151515151515152E-2</v>
      </c>
      <c r="BP338" s="78">
        <f t="shared" si="45"/>
        <v>1.5151515151515152E-2</v>
      </c>
    </row>
    <row r="339" spans="1:68" ht="27" hidden="1" customHeight="1" x14ac:dyDescent="0.25">
      <c r="A339" s="63" t="s">
        <v>565</v>
      </c>
      <c r="B339" s="63" t="s">
        <v>566</v>
      </c>
      <c r="C339" s="36">
        <v>4301011952</v>
      </c>
      <c r="D339" s="561">
        <v>4680115884922</v>
      </c>
      <c r="E339" s="561"/>
      <c r="F339" s="62">
        <v>0.5</v>
      </c>
      <c r="G339" s="37">
        <v>10</v>
      </c>
      <c r="H339" s="62">
        <v>5</v>
      </c>
      <c r="I339" s="62">
        <v>5.19</v>
      </c>
      <c r="J339" s="37">
        <v>132</v>
      </c>
      <c r="K339" s="37" t="s">
        <v>116</v>
      </c>
      <c r="L339" s="37" t="s">
        <v>45</v>
      </c>
      <c r="M339" s="38" t="s">
        <v>80</v>
      </c>
      <c r="N339" s="38"/>
      <c r="O339" s="37">
        <v>60</v>
      </c>
      <c r="P339" s="6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39" s="563"/>
      <c r="R339" s="563"/>
      <c r="S339" s="563"/>
      <c r="T339" s="564"/>
      <c r="U339" s="39" t="s">
        <v>45</v>
      </c>
      <c r="V339" s="39" t="s">
        <v>45</v>
      </c>
      <c r="W339" s="40" t="s">
        <v>0</v>
      </c>
      <c r="X339" s="58">
        <v>0</v>
      </c>
      <c r="Y339" s="55">
        <f t="shared" si="41"/>
        <v>0</v>
      </c>
      <c r="Z339" s="41" t="str">
        <f>IFERROR(IF(Y339=0,"",ROUNDUP(Y339/H339,0)*0.00902),"")</f>
        <v/>
      </c>
      <c r="AA339" s="68" t="s">
        <v>45</v>
      </c>
      <c r="AB339" s="69" t="s">
        <v>45</v>
      </c>
      <c r="AC339" s="420" t="s">
        <v>555</v>
      </c>
      <c r="AG339" s="78"/>
      <c r="AJ339" s="84" t="s">
        <v>45</v>
      </c>
      <c r="AK339" s="84">
        <v>0</v>
      </c>
      <c r="BB339" s="421" t="s">
        <v>66</v>
      </c>
      <c r="BM339" s="78">
        <f t="shared" si="42"/>
        <v>0</v>
      </c>
      <c r="BN339" s="78">
        <f t="shared" si="43"/>
        <v>0</v>
      </c>
      <c r="BO339" s="78">
        <f t="shared" si="44"/>
        <v>0</v>
      </c>
      <c r="BP339" s="78">
        <f t="shared" si="45"/>
        <v>0</v>
      </c>
    </row>
    <row r="340" spans="1:68" ht="37.5" hidden="1" customHeight="1" x14ac:dyDescent="0.25">
      <c r="A340" s="63" t="s">
        <v>567</v>
      </c>
      <c r="B340" s="63" t="s">
        <v>568</v>
      </c>
      <c r="C340" s="36">
        <v>4301011868</v>
      </c>
      <c r="D340" s="561">
        <v>4680115884861</v>
      </c>
      <c r="E340" s="561"/>
      <c r="F340" s="62">
        <v>0.5</v>
      </c>
      <c r="G340" s="37">
        <v>10</v>
      </c>
      <c r="H340" s="62">
        <v>5</v>
      </c>
      <c r="I340" s="62">
        <v>5.19</v>
      </c>
      <c r="J340" s="37">
        <v>132</v>
      </c>
      <c r="K340" s="37" t="s">
        <v>116</v>
      </c>
      <c r="L340" s="37" t="s">
        <v>45</v>
      </c>
      <c r="M340" s="38" t="s">
        <v>80</v>
      </c>
      <c r="N340" s="38"/>
      <c r="O340" s="37">
        <v>60</v>
      </c>
      <c r="P340" s="6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0" s="563"/>
      <c r="R340" s="563"/>
      <c r="S340" s="563"/>
      <c r="T340" s="564"/>
      <c r="U340" s="39" t="s">
        <v>45</v>
      </c>
      <c r="V340" s="39" t="s">
        <v>45</v>
      </c>
      <c r="W340" s="40" t="s">
        <v>0</v>
      </c>
      <c r="X340" s="58">
        <v>0</v>
      </c>
      <c r="Y340" s="55">
        <f t="shared" si="41"/>
        <v>0</v>
      </c>
      <c r="Z340" s="41" t="str">
        <f>IFERROR(IF(Y340=0,"",ROUNDUP(Y340/H340,0)*0.00902),"")</f>
        <v/>
      </c>
      <c r="AA340" s="68" t="s">
        <v>45</v>
      </c>
      <c r="AB340" s="69" t="s">
        <v>45</v>
      </c>
      <c r="AC340" s="422" t="s">
        <v>561</v>
      </c>
      <c r="AG340" s="78"/>
      <c r="AJ340" s="84" t="s">
        <v>45</v>
      </c>
      <c r="AK340" s="84">
        <v>0</v>
      </c>
      <c r="BB340" s="423" t="s">
        <v>66</v>
      </c>
      <c r="BM340" s="78">
        <f t="shared" si="42"/>
        <v>0</v>
      </c>
      <c r="BN340" s="78">
        <f t="shared" si="43"/>
        <v>0</v>
      </c>
      <c r="BO340" s="78">
        <f t="shared" si="44"/>
        <v>0</v>
      </c>
      <c r="BP340" s="78">
        <f t="shared" si="45"/>
        <v>0</v>
      </c>
    </row>
    <row r="341" spans="1:68" x14ac:dyDescent="0.2">
      <c r="A341" s="555"/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6"/>
      <c r="P341" s="552" t="s">
        <v>40</v>
      </c>
      <c r="Q341" s="553"/>
      <c r="R341" s="553"/>
      <c r="S341" s="553"/>
      <c r="T341" s="553"/>
      <c r="U341" s="553"/>
      <c r="V341" s="554"/>
      <c r="W341" s="42" t="s">
        <v>39</v>
      </c>
      <c r="X341" s="43">
        <f>IFERROR(X334/H334,"0")+IFERROR(X335/H335,"0")+IFERROR(X336/H336,"0")+IFERROR(X337/H337,"0")+IFERROR(X338/H338,"0")+IFERROR(X339/H339,"0")+IFERROR(X340/H340,"0")</f>
        <v>329</v>
      </c>
      <c r="Y341" s="43">
        <f>IFERROR(Y334/H334,"0")+IFERROR(Y335/H335,"0")+IFERROR(Y336/H336,"0")+IFERROR(Y337/H337,"0")+IFERROR(Y338/H338,"0")+IFERROR(Y339/H339,"0")+IFERROR(Y340/H340,"0")</f>
        <v>330</v>
      </c>
      <c r="Z341" s="43">
        <f>IFERROR(IF(Z334="",0,Z334),"0")+IFERROR(IF(Z335="",0,Z335),"0")+IFERROR(IF(Z336="",0,Z336),"0")+IFERROR(IF(Z337="",0,Z337),"0")+IFERROR(IF(Z338="",0,Z338),"0")+IFERROR(IF(Z339="",0,Z339),"0")+IFERROR(IF(Z340="",0,Z340),"0")</f>
        <v>7.1520399999999986</v>
      </c>
      <c r="AA341" s="67"/>
      <c r="AB341" s="67"/>
      <c r="AC341" s="67"/>
    </row>
    <row r="342" spans="1:68" x14ac:dyDescent="0.2">
      <c r="A342" s="555"/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6"/>
      <c r="P342" s="552" t="s">
        <v>40</v>
      </c>
      <c r="Q342" s="553"/>
      <c r="R342" s="553"/>
      <c r="S342" s="553"/>
      <c r="T342" s="553"/>
      <c r="U342" s="553"/>
      <c r="V342" s="554"/>
      <c r="W342" s="42" t="s">
        <v>0</v>
      </c>
      <c r="X342" s="43">
        <f>IFERROR(SUM(X334:X340),"0")</f>
        <v>4913</v>
      </c>
      <c r="Y342" s="43">
        <f>IFERROR(SUM(Y334:Y340),"0")</f>
        <v>4928</v>
      </c>
      <c r="Z342" s="42"/>
      <c r="AA342" s="67"/>
      <c r="AB342" s="67"/>
      <c r="AC342" s="67"/>
    </row>
    <row r="343" spans="1:68" ht="14.25" hidden="1" customHeight="1" x14ac:dyDescent="0.25">
      <c r="A343" s="566" t="s">
        <v>141</v>
      </c>
      <c r="B343" s="566"/>
      <c r="C343" s="566"/>
      <c r="D343" s="566"/>
      <c r="E343" s="566"/>
      <c r="F343" s="566"/>
      <c r="G343" s="566"/>
      <c r="H343" s="566"/>
      <c r="I343" s="566"/>
      <c r="J343" s="566"/>
      <c r="K343" s="566"/>
      <c r="L343" s="566"/>
      <c r="M343" s="566"/>
      <c r="N343" s="566"/>
      <c r="O343" s="566"/>
      <c r="P343" s="566"/>
      <c r="Q343" s="566"/>
      <c r="R343" s="566"/>
      <c r="S343" s="566"/>
      <c r="T343" s="566"/>
      <c r="U343" s="566"/>
      <c r="V343" s="566"/>
      <c r="W343" s="566"/>
      <c r="X343" s="566"/>
      <c r="Y343" s="566"/>
      <c r="Z343" s="566"/>
      <c r="AA343" s="66"/>
      <c r="AB343" s="66"/>
      <c r="AC343" s="80"/>
    </row>
    <row r="344" spans="1:68" ht="27" customHeight="1" x14ac:dyDescent="0.25">
      <c r="A344" s="63" t="s">
        <v>569</v>
      </c>
      <c r="B344" s="63" t="s">
        <v>570</v>
      </c>
      <c r="C344" s="36">
        <v>4301020178</v>
      </c>
      <c r="D344" s="561">
        <v>4607091383980</v>
      </c>
      <c r="E344" s="56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113</v>
      </c>
      <c r="L344" s="37" t="s">
        <v>45</v>
      </c>
      <c r="M344" s="38" t="s">
        <v>112</v>
      </c>
      <c r="N344" s="38"/>
      <c r="O344" s="37">
        <v>50</v>
      </c>
      <c r="P344" s="62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44" s="563"/>
      <c r="R344" s="563"/>
      <c r="S344" s="563"/>
      <c r="T344" s="564"/>
      <c r="U344" s="39" t="s">
        <v>45</v>
      </c>
      <c r="V344" s="39" t="s">
        <v>45</v>
      </c>
      <c r="W344" s="40" t="s">
        <v>0</v>
      </c>
      <c r="X344" s="58">
        <v>740</v>
      </c>
      <c r="Y344" s="55">
        <f>IFERROR(IF(X344="",0,CEILING((X344/$H344),1)*$H344),"")</f>
        <v>750</v>
      </c>
      <c r="Z344" s="41">
        <f>IFERROR(IF(Y344=0,"",ROUNDUP(Y344/H344,0)*0.02175),"")</f>
        <v>1.0874999999999999</v>
      </c>
      <c r="AA344" s="68" t="s">
        <v>45</v>
      </c>
      <c r="AB344" s="69" t="s">
        <v>45</v>
      </c>
      <c r="AC344" s="424" t="s">
        <v>571</v>
      </c>
      <c r="AG344" s="78"/>
      <c r="AJ344" s="84" t="s">
        <v>45</v>
      </c>
      <c r="AK344" s="84">
        <v>0</v>
      </c>
      <c r="BB344" s="425" t="s">
        <v>66</v>
      </c>
      <c r="BM344" s="78">
        <f>IFERROR(X344*I344/H344,"0")</f>
        <v>763.18666666666672</v>
      </c>
      <c r="BN344" s="78">
        <f>IFERROR(Y344*I344/H344,"0")</f>
        <v>773.5</v>
      </c>
      <c r="BO344" s="78">
        <f>IFERROR(1/J344*(X344/H344),"0")</f>
        <v>1.0277777777777777</v>
      </c>
      <c r="BP344" s="78">
        <f>IFERROR(1/J344*(Y344/H344),"0")</f>
        <v>1.0416666666666665</v>
      </c>
    </row>
    <row r="345" spans="1:68" ht="27" hidden="1" customHeight="1" x14ac:dyDescent="0.25">
      <c r="A345" s="63" t="s">
        <v>572</v>
      </c>
      <c r="B345" s="63" t="s">
        <v>573</v>
      </c>
      <c r="C345" s="36">
        <v>4301020179</v>
      </c>
      <c r="D345" s="561">
        <v>4607091384178</v>
      </c>
      <c r="E345" s="561"/>
      <c r="F345" s="62">
        <v>0.4</v>
      </c>
      <c r="G345" s="37">
        <v>10</v>
      </c>
      <c r="H345" s="62">
        <v>4</v>
      </c>
      <c r="I345" s="62">
        <v>4.1900000000000004</v>
      </c>
      <c r="J345" s="37">
        <v>132</v>
      </c>
      <c r="K345" s="37" t="s">
        <v>116</v>
      </c>
      <c r="L345" s="37" t="s">
        <v>45</v>
      </c>
      <c r="M345" s="38" t="s">
        <v>112</v>
      </c>
      <c r="N345" s="38"/>
      <c r="O345" s="37">
        <v>50</v>
      </c>
      <c r="P345" s="6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45" s="563"/>
      <c r="R345" s="563"/>
      <c r="S345" s="563"/>
      <c r="T345" s="564"/>
      <c r="U345" s="39" t="s">
        <v>45</v>
      </c>
      <c r="V345" s="39" t="s">
        <v>45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45</v>
      </c>
      <c r="AB345" s="69" t="s">
        <v>45</v>
      </c>
      <c r="AC345" s="426" t="s">
        <v>574</v>
      </c>
      <c r="AG345" s="78"/>
      <c r="AJ345" s="84" t="s">
        <v>45</v>
      </c>
      <c r="AK345" s="84">
        <v>0</v>
      </c>
      <c r="BB345" s="427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555"/>
      <c r="B346" s="555"/>
      <c r="C346" s="555"/>
      <c r="D346" s="555"/>
      <c r="E346" s="555"/>
      <c r="F346" s="555"/>
      <c r="G346" s="555"/>
      <c r="H346" s="555"/>
      <c r="I346" s="555"/>
      <c r="J346" s="555"/>
      <c r="K346" s="555"/>
      <c r="L346" s="555"/>
      <c r="M346" s="555"/>
      <c r="N346" s="555"/>
      <c r="O346" s="556"/>
      <c r="P346" s="552" t="s">
        <v>40</v>
      </c>
      <c r="Q346" s="553"/>
      <c r="R346" s="553"/>
      <c r="S346" s="553"/>
      <c r="T346" s="553"/>
      <c r="U346" s="553"/>
      <c r="V346" s="554"/>
      <c r="W346" s="42" t="s">
        <v>39</v>
      </c>
      <c r="X346" s="43">
        <f>IFERROR(X344/H344,"0")+IFERROR(X345/H345,"0")</f>
        <v>49.333333333333336</v>
      </c>
      <c r="Y346" s="43">
        <f>IFERROR(Y344/H344,"0")+IFERROR(Y345/H345,"0")</f>
        <v>50</v>
      </c>
      <c r="Z346" s="43">
        <f>IFERROR(IF(Z344="",0,Z344),"0")+IFERROR(IF(Z345="",0,Z345),"0")</f>
        <v>1.0874999999999999</v>
      </c>
      <c r="AA346" s="67"/>
      <c r="AB346" s="67"/>
      <c r="AC346" s="67"/>
    </row>
    <row r="347" spans="1:68" x14ac:dyDescent="0.2">
      <c r="A347" s="555"/>
      <c r="B347" s="555"/>
      <c r="C347" s="555"/>
      <c r="D347" s="555"/>
      <c r="E347" s="555"/>
      <c r="F347" s="555"/>
      <c r="G347" s="555"/>
      <c r="H347" s="555"/>
      <c r="I347" s="555"/>
      <c r="J347" s="555"/>
      <c r="K347" s="555"/>
      <c r="L347" s="555"/>
      <c r="M347" s="555"/>
      <c r="N347" s="555"/>
      <c r="O347" s="556"/>
      <c r="P347" s="552" t="s">
        <v>40</v>
      </c>
      <c r="Q347" s="553"/>
      <c r="R347" s="553"/>
      <c r="S347" s="553"/>
      <c r="T347" s="553"/>
      <c r="U347" s="553"/>
      <c r="V347" s="554"/>
      <c r="W347" s="42" t="s">
        <v>0</v>
      </c>
      <c r="X347" s="43">
        <f>IFERROR(SUM(X344:X345),"0")</f>
        <v>740</v>
      </c>
      <c r="Y347" s="43">
        <f>IFERROR(SUM(Y344:Y345),"0")</f>
        <v>750</v>
      </c>
      <c r="Z347" s="42"/>
      <c r="AA347" s="67"/>
      <c r="AB347" s="67"/>
      <c r="AC347" s="67"/>
    </row>
    <row r="348" spans="1:68" ht="14.25" hidden="1" customHeight="1" x14ac:dyDescent="0.25">
      <c r="A348" s="566" t="s">
        <v>86</v>
      </c>
      <c r="B348" s="566"/>
      <c r="C348" s="566"/>
      <c r="D348" s="566"/>
      <c r="E348" s="566"/>
      <c r="F348" s="566"/>
      <c r="G348" s="566"/>
      <c r="H348" s="566"/>
      <c r="I348" s="566"/>
      <c r="J348" s="566"/>
      <c r="K348" s="566"/>
      <c r="L348" s="566"/>
      <c r="M348" s="566"/>
      <c r="N348" s="566"/>
      <c r="O348" s="566"/>
      <c r="P348" s="566"/>
      <c r="Q348" s="566"/>
      <c r="R348" s="566"/>
      <c r="S348" s="566"/>
      <c r="T348" s="566"/>
      <c r="U348" s="566"/>
      <c r="V348" s="566"/>
      <c r="W348" s="566"/>
      <c r="X348" s="566"/>
      <c r="Y348" s="566"/>
      <c r="Z348" s="566"/>
      <c r="AA348" s="66"/>
      <c r="AB348" s="66"/>
      <c r="AC348" s="80"/>
    </row>
    <row r="349" spans="1:68" ht="27" hidden="1" customHeight="1" x14ac:dyDescent="0.25">
      <c r="A349" s="63" t="s">
        <v>575</v>
      </c>
      <c r="B349" s="63" t="s">
        <v>576</v>
      </c>
      <c r="C349" s="36">
        <v>4301051903</v>
      </c>
      <c r="D349" s="561">
        <v>4607091383928</v>
      </c>
      <c r="E349" s="561"/>
      <c r="F349" s="62">
        <v>1.5</v>
      </c>
      <c r="G349" s="37">
        <v>6</v>
      </c>
      <c r="H349" s="62">
        <v>9</v>
      </c>
      <c r="I349" s="62">
        <v>9.5</v>
      </c>
      <c r="J349" s="37">
        <v>64</v>
      </c>
      <c r="K349" s="37" t="s">
        <v>113</v>
      </c>
      <c r="L349" s="37" t="s">
        <v>45</v>
      </c>
      <c r="M349" s="38" t="s">
        <v>90</v>
      </c>
      <c r="N349" s="38"/>
      <c r="O349" s="37">
        <v>40</v>
      </c>
      <c r="P349" s="6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49" s="563"/>
      <c r="R349" s="563"/>
      <c r="S349" s="563"/>
      <c r="T349" s="564"/>
      <c r="U349" s="39" t="s">
        <v>45</v>
      </c>
      <c r="V349" s="39" t="s">
        <v>45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IFERROR(IF(Y349=0,"",ROUNDUP(Y349/H349,0)*0.01898),"")</f>
        <v/>
      </c>
      <c r="AA349" s="68" t="s">
        <v>45</v>
      </c>
      <c r="AB349" s="69" t="s">
        <v>45</v>
      </c>
      <c r="AC349" s="428" t="s">
        <v>577</v>
      </c>
      <c r="AG349" s="78"/>
      <c r="AJ349" s="84" t="s">
        <v>45</v>
      </c>
      <c r="AK349" s="84">
        <v>0</v>
      </c>
      <c r="BB349" s="429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578</v>
      </c>
      <c r="B350" s="63" t="s">
        <v>579</v>
      </c>
      <c r="C350" s="36">
        <v>4301051897</v>
      </c>
      <c r="D350" s="561">
        <v>4607091384260</v>
      </c>
      <c r="E350" s="561"/>
      <c r="F350" s="62">
        <v>1.5</v>
      </c>
      <c r="G350" s="37">
        <v>6</v>
      </c>
      <c r="H350" s="62">
        <v>9</v>
      </c>
      <c r="I350" s="62">
        <v>9.4939999999999998</v>
      </c>
      <c r="J350" s="37">
        <v>64</v>
      </c>
      <c r="K350" s="37" t="s">
        <v>113</v>
      </c>
      <c r="L350" s="37" t="s">
        <v>45</v>
      </c>
      <c r="M350" s="38" t="s">
        <v>90</v>
      </c>
      <c r="N350" s="38"/>
      <c r="O350" s="37">
        <v>40</v>
      </c>
      <c r="P350" s="6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0" s="563"/>
      <c r="R350" s="563"/>
      <c r="S350" s="563"/>
      <c r="T350" s="564"/>
      <c r="U350" s="39" t="s">
        <v>45</v>
      </c>
      <c r="V350" s="39" t="s">
        <v>45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IFERROR(IF(Y350=0,"",ROUNDUP(Y350/H350,0)*0.01898),"")</f>
        <v/>
      </c>
      <c r="AA350" s="68" t="s">
        <v>45</v>
      </c>
      <c r="AB350" s="69" t="s">
        <v>45</v>
      </c>
      <c r="AC350" s="430" t="s">
        <v>580</v>
      </c>
      <c r="AG350" s="78"/>
      <c r="AJ350" s="84" t="s">
        <v>45</v>
      </c>
      <c r="AK350" s="84">
        <v>0</v>
      </c>
      <c r="BB350" s="431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2" t="s">
        <v>40</v>
      </c>
      <c r="Q351" s="553"/>
      <c r="R351" s="553"/>
      <c r="S351" s="553"/>
      <c r="T351" s="553"/>
      <c r="U351" s="553"/>
      <c r="V351" s="554"/>
      <c r="W351" s="42" t="s">
        <v>39</v>
      </c>
      <c r="X351" s="43">
        <f>IFERROR(X349/H349,"0")+IFERROR(X350/H350,"0")</f>
        <v>0</v>
      </c>
      <c r="Y351" s="43">
        <f>IFERROR(Y349/H349,"0")+IFERROR(Y350/H350,"0")</f>
        <v>0</v>
      </c>
      <c r="Z351" s="43">
        <f>IFERROR(IF(Z349="",0,Z349),"0")+IFERROR(IF(Z350="",0,Z350),"0")</f>
        <v>0</v>
      </c>
      <c r="AA351" s="67"/>
      <c r="AB351" s="67"/>
      <c r="AC351" s="67"/>
    </row>
    <row r="352" spans="1:68" hidden="1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52" t="s">
        <v>40</v>
      </c>
      <c r="Q352" s="553"/>
      <c r="R352" s="553"/>
      <c r="S352" s="553"/>
      <c r="T352" s="553"/>
      <c r="U352" s="553"/>
      <c r="V352" s="554"/>
      <c r="W352" s="42" t="s">
        <v>0</v>
      </c>
      <c r="X352" s="43">
        <f>IFERROR(SUM(X349:X350),"0")</f>
        <v>0</v>
      </c>
      <c r="Y352" s="43">
        <f>IFERROR(SUM(Y349:Y350),"0")</f>
        <v>0</v>
      </c>
      <c r="Z352" s="42"/>
      <c r="AA352" s="67"/>
      <c r="AB352" s="67"/>
      <c r="AC352" s="67"/>
    </row>
    <row r="353" spans="1:68" ht="14.25" hidden="1" customHeight="1" x14ac:dyDescent="0.25">
      <c r="A353" s="566" t="s">
        <v>166</v>
      </c>
      <c r="B353" s="566"/>
      <c r="C353" s="566"/>
      <c r="D353" s="566"/>
      <c r="E353" s="566"/>
      <c r="F353" s="566"/>
      <c r="G353" s="566"/>
      <c r="H353" s="566"/>
      <c r="I353" s="566"/>
      <c r="J353" s="566"/>
      <c r="K353" s="566"/>
      <c r="L353" s="566"/>
      <c r="M353" s="566"/>
      <c r="N353" s="566"/>
      <c r="O353" s="566"/>
      <c r="P353" s="566"/>
      <c r="Q353" s="566"/>
      <c r="R353" s="566"/>
      <c r="S353" s="566"/>
      <c r="T353" s="566"/>
      <c r="U353" s="566"/>
      <c r="V353" s="566"/>
      <c r="W353" s="566"/>
      <c r="X353" s="566"/>
      <c r="Y353" s="566"/>
      <c r="Z353" s="566"/>
      <c r="AA353" s="66"/>
      <c r="AB353" s="66"/>
      <c r="AC353" s="80"/>
    </row>
    <row r="354" spans="1:68" ht="16.5" customHeight="1" x14ac:dyDescent="0.25">
      <c r="A354" s="63" t="s">
        <v>581</v>
      </c>
      <c r="B354" s="63" t="s">
        <v>582</v>
      </c>
      <c r="C354" s="36">
        <v>4301060524</v>
      </c>
      <c r="D354" s="561">
        <v>4607091384673</v>
      </c>
      <c r="E354" s="561"/>
      <c r="F354" s="62">
        <v>1.5</v>
      </c>
      <c r="G354" s="37">
        <v>6</v>
      </c>
      <c r="H354" s="62">
        <v>9</v>
      </c>
      <c r="I354" s="62">
        <v>9.4939999999999998</v>
      </c>
      <c r="J354" s="37">
        <v>64</v>
      </c>
      <c r="K354" s="37" t="s">
        <v>113</v>
      </c>
      <c r="L354" s="37" t="s">
        <v>45</v>
      </c>
      <c r="M354" s="38" t="s">
        <v>90</v>
      </c>
      <c r="N354" s="38"/>
      <c r="O354" s="37">
        <v>40</v>
      </c>
      <c r="P354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54" s="563"/>
      <c r="R354" s="563"/>
      <c r="S354" s="563"/>
      <c r="T354" s="564"/>
      <c r="U354" s="39" t="s">
        <v>45</v>
      </c>
      <c r="V354" s="39" t="s">
        <v>45</v>
      </c>
      <c r="W354" s="40" t="s">
        <v>0</v>
      </c>
      <c r="X354" s="58">
        <v>90</v>
      </c>
      <c r="Y354" s="55">
        <f>IFERROR(IF(X354="",0,CEILING((X354/$H354),1)*$H354),"")</f>
        <v>90</v>
      </c>
      <c r="Z354" s="41">
        <f>IFERROR(IF(Y354=0,"",ROUNDUP(Y354/H354,0)*0.01898),"")</f>
        <v>0.1898</v>
      </c>
      <c r="AA354" s="68" t="s">
        <v>45</v>
      </c>
      <c r="AB354" s="69" t="s">
        <v>45</v>
      </c>
      <c r="AC354" s="432" t="s">
        <v>583</v>
      </c>
      <c r="AG354" s="78"/>
      <c r="AJ354" s="84" t="s">
        <v>45</v>
      </c>
      <c r="AK354" s="84">
        <v>0</v>
      </c>
      <c r="BB354" s="433" t="s">
        <v>66</v>
      </c>
      <c r="BM354" s="78">
        <f>IFERROR(X354*I354/H354,"0")</f>
        <v>94.94</v>
      </c>
      <c r="BN354" s="78">
        <f>IFERROR(Y354*I354/H354,"0")</f>
        <v>94.94</v>
      </c>
      <c r="BO354" s="78">
        <f>IFERROR(1/J354*(X354/H354),"0")</f>
        <v>0.15625</v>
      </c>
      <c r="BP354" s="78">
        <f>IFERROR(1/J354*(Y354/H354),"0")</f>
        <v>0.15625</v>
      </c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2" t="s">
        <v>40</v>
      </c>
      <c r="Q355" s="553"/>
      <c r="R355" s="553"/>
      <c r="S355" s="553"/>
      <c r="T355" s="553"/>
      <c r="U355" s="553"/>
      <c r="V355" s="554"/>
      <c r="W355" s="42" t="s">
        <v>39</v>
      </c>
      <c r="X355" s="43">
        <f>IFERROR(X354/H354,"0")</f>
        <v>10</v>
      </c>
      <c r="Y355" s="43">
        <f>IFERROR(Y354/H354,"0")</f>
        <v>10</v>
      </c>
      <c r="Z355" s="43">
        <f>IFERROR(IF(Z354="",0,Z354),"0")</f>
        <v>0.1898</v>
      </c>
      <c r="AA355" s="67"/>
      <c r="AB355" s="67"/>
      <c r="AC355" s="67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2" t="s">
        <v>40</v>
      </c>
      <c r="Q356" s="553"/>
      <c r="R356" s="553"/>
      <c r="S356" s="553"/>
      <c r="T356" s="553"/>
      <c r="U356" s="553"/>
      <c r="V356" s="554"/>
      <c r="W356" s="42" t="s">
        <v>0</v>
      </c>
      <c r="X356" s="43">
        <f>IFERROR(SUM(X354:X354),"0")</f>
        <v>90</v>
      </c>
      <c r="Y356" s="43">
        <f>IFERROR(SUM(Y354:Y354),"0")</f>
        <v>90</v>
      </c>
      <c r="Z356" s="42"/>
      <c r="AA356" s="67"/>
      <c r="AB356" s="67"/>
      <c r="AC356" s="67"/>
    </row>
    <row r="357" spans="1:68" ht="16.5" hidden="1" customHeight="1" x14ac:dyDescent="0.25">
      <c r="A357" s="565" t="s">
        <v>584</v>
      </c>
      <c r="B357" s="565"/>
      <c r="C357" s="565"/>
      <c r="D357" s="565"/>
      <c r="E357" s="565"/>
      <c r="F357" s="565"/>
      <c r="G357" s="565"/>
      <c r="H357" s="565"/>
      <c r="I357" s="565"/>
      <c r="J357" s="565"/>
      <c r="K357" s="565"/>
      <c r="L357" s="565"/>
      <c r="M357" s="565"/>
      <c r="N357" s="565"/>
      <c r="O357" s="565"/>
      <c r="P357" s="565"/>
      <c r="Q357" s="565"/>
      <c r="R357" s="565"/>
      <c r="S357" s="565"/>
      <c r="T357" s="565"/>
      <c r="U357" s="565"/>
      <c r="V357" s="565"/>
      <c r="W357" s="565"/>
      <c r="X357" s="565"/>
      <c r="Y357" s="565"/>
      <c r="Z357" s="565"/>
      <c r="AA357" s="65"/>
      <c r="AB357" s="65"/>
      <c r="AC357" s="79"/>
    </row>
    <row r="358" spans="1:68" ht="14.25" hidden="1" customHeight="1" x14ac:dyDescent="0.25">
      <c r="A358" s="566" t="s">
        <v>108</v>
      </c>
      <c r="B358" s="566"/>
      <c r="C358" s="566"/>
      <c r="D358" s="566"/>
      <c r="E358" s="566"/>
      <c r="F358" s="566"/>
      <c r="G358" s="566"/>
      <c r="H358" s="566"/>
      <c r="I358" s="566"/>
      <c r="J358" s="566"/>
      <c r="K358" s="566"/>
      <c r="L358" s="566"/>
      <c r="M358" s="566"/>
      <c r="N358" s="566"/>
      <c r="O358" s="566"/>
      <c r="P358" s="566"/>
      <c r="Q358" s="566"/>
      <c r="R358" s="566"/>
      <c r="S358" s="566"/>
      <c r="T358" s="566"/>
      <c r="U358" s="566"/>
      <c r="V358" s="566"/>
      <c r="W358" s="566"/>
      <c r="X358" s="566"/>
      <c r="Y358" s="566"/>
      <c r="Z358" s="566"/>
      <c r="AA358" s="66"/>
      <c r="AB358" s="66"/>
      <c r="AC358" s="80"/>
    </row>
    <row r="359" spans="1:68" ht="37.5" customHeight="1" x14ac:dyDescent="0.25">
      <c r="A359" s="63" t="s">
        <v>585</v>
      </c>
      <c r="B359" s="63" t="s">
        <v>586</v>
      </c>
      <c r="C359" s="36">
        <v>4301011875</v>
      </c>
      <c r="D359" s="561">
        <v>4680115884885</v>
      </c>
      <c r="E359" s="561"/>
      <c r="F359" s="62">
        <v>0.8</v>
      </c>
      <c r="G359" s="37">
        <v>15</v>
      </c>
      <c r="H359" s="62">
        <v>12</v>
      </c>
      <c r="I359" s="62">
        <v>12.41</v>
      </c>
      <c r="J359" s="37">
        <v>64</v>
      </c>
      <c r="K359" s="37" t="s">
        <v>113</v>
      </c>
      <c r="L359" s="37" t="s">
        <v>45</v>
      </c>
      <c r="M359" s="38" t="s">
        <v>80</v>
      </c>
      <c r="N359" s="38"/>
      <c r="O359" s="37">
        <v>60</v>
      </c>
      <c r="P359" s="62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59" s="563"/>
      <c r="R359" s="563"/>
      <c r="S359" s="563"/>
      <c r="T359" s="564"/>
      <c r="U359" s="39" t="s">
        <v>45</v>
      </c>
      <c r="V359" s="39" t="s">
        <v>45</v>
      </c>
      <c r="W359" s="40" t="s">
        <v>0</v>
      </c>
      <c r="X359" s="58">
        <v>1550</v>
      </c>
      <c r="Y359" s="55">
        <f>IFERROR(IF(X359="",0,CEILING((X359/$H359),1)*$H359),"")</f>
        <v>1560</v>
      </c>
      <c r="Z359" s="41">
        <f>IFERROR(IF(Y359=0,"",ROUNDUP(Y359/H359,0)*0.01898),"")</f>
        <v>2.4674</v>
      </c>
      <c r="AA359" s="68" t="s">
        <v>45</v>
      </c>
      <c r="AB359" s="69" t="s">
        <v>45</v>
      </c>
      <c r="AC359" s="434" t="s">
        <v>587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1602.9583333333333</v>
      </c>
      <c r="BN359" s="78">
        <f>IFERROR(Y359*I359/H359,"0")</f>
        <v>1613.3</v>
      </c>
      <c r="BO359" s="78">
        <f>IFERROR(1/J359*(X359/H359),"0")</f>
        <v>2.0182291666666665</v>
      </c>
      <c r="BP359" s="78">
        <f>IFERROR(1/J359*(Y359/H359),"0")</f>
        <v>2.03125</v>
      </c>
    </row>
    <row r="360" spans="1:68" ht="37.5" customHeight="1" x14ac:dyDescent="0.25">
      <c r="A360" s="63" t="s">
        <v>588</v>
      </c>
      <c r="B360" s="63" t="s">
        <v>589</v>
      </c>
      <c r="C360" s="36">
        <v>4301011871</v>
      </c>
      <c r="D360" s="561">
        <v>4680115884908</v>
      </c>
      <c r="E360" s="561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116</v>
      </c>
      <c r="L360" s="37" t="s">
        <v>45</v>
      </c>
      <c r="M360" s="38" t="s">
        <v>80</v>
      </c>
      <c r="N360" s="38"/>
      <c r="O360" s="37">
        <v>60</v>
      </c>
      <c r="P360" s="6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0" s="563"/>
      <c r="R360" s="563"/>
      <c r="S360" s="563"/>
      <c r="T360" s="564"/>
      <c r="U360" s="39" t="s">
        <v>45</v>
      </c>
      <c r="V360" s="39" t="s">
        <v>45</v>
      </c>
      <c r="W360" s="40" t="s">
        <v>0</v>
      </c>
      <c r="X360" s="58">
        <v>240</v>
      </c>
      <c r="Y360" s="55">
        <f>IFERROR(IF(X360="",0,CEILING((X360/$H360),1)*$H360),"")</f>
        <v>240</v>
      </c>
      <c r="Z360" s="41">
        <f>IFERROR(IF(Y360=0,"",ROUNDUP(Y360/H360,0)*0.00902),"")</f>
        <v>0.54120000000000001</v>
      </c>
      <c r="AA360" s="68" t="s">
        <v>45</v>
      </c>
      <c r="AB360" s="69" t="s">
        <v>45</v>
      </c>
      <c r="AC360" s="436" t="s">
        <v>587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251.40000000000003</v>
      </c>
      <c r="BN360" s="78">
        <f>IFERROR(Y360*I360/H360,"0")</f>
        <v>251.40000000000003</v>
      </c>
      <c r="BO360" s="78">
        <f>IFERROR(1/J360*(X360/H360),"0")</f>
        <v>0.45454545454545459</v>
      </c>
      <c r="BP360" s="78">
        <f>IFERROR(1/J360*(Y360/H360),"0")</f>
        <v>0.45454545454545459</v>
      </c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2" t="s">
        <v>40</v>
      </c>
      <c r="Q361" s="553"/>
      <c r="R361" s="553"/>
      <c r="S361" s="553"/>
      <c r="T361" s="553"/>
      <c r="U361" s="553"/>
      <c r="V361" s="554"/>
      <c r="W361" s="42" t="s">
        <v>39</v>
      </c>
      <c r="X361" s="43">
        <f>IFERROR(X359/H359,"0")+IFERROR(X360/H360,"0")</f>
        <v>189.16666666666666</v>
      </c>
      <c r="Y361" s="43">
        <f>IFERROR(Y359/H359,"0")+IFERROR(Y360/H360,"0")</f>
        <v>190</v>
      </c>
      <c r="Z361" s="43">
        <f>IFERROR(IF(Z359="",0,Z359),"0")+IFERROR(IF(Z360="",0,Z360),"0")</f>
        <v>3.0085999999999999</v>
      </c>
      <c r="AA361" s="67"/>
      <c r="AB361" s="67"/>
      <c r="AC361" s="67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52" t="s">
        <v>40</v>
      </c>
      <c r="Q362" s="553"/>
      <c r="R362" s="553"/>
      <c r="S362" s="553"/>
      <c r="T362" s="553"/>
      <c r="U362" s="553"/>
      <c r="V362" s="554"/>
      <c r="W362" s="42" t="s">
        <v>0</v>
      </c>
      <c r="X362" s="43">
        <f>IFERROR(SUM(X359:X360),"0")</f>
        <v>1790</v>
      </c>
      <c r="Y362" s="43">
        <f>IFERROR(SUM(Y359:Y360),"0")</f>
        <v>1800</v>
      </c>
      <c r="Z362" s="42"/>
      <c r="AA362" s="67"/>
      <c r="AB362" s="67"/>
      <c r="AC362" s="67"/>
    </row>
    <row r="363" spans="1:68" ht="14.25" hidden="1" customHeight="1" x14ac:dyDescent="0.25">
      <c r="A363" s="566" t="s">
        <v>76</v>
      </c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6"/>
      <c r="N363" s="566"/>
      <c r="O363" s="566"/>
      <c r="P363" s="566"/>
      <c r="Q363" s="566"/>
      <c r="R363" s="566"/>
      <c r="S363" s="566"/>
      <c r="T363" s="566"/>
      <c r="U363" s="566"/>
      <c r="V363" s="566"/>
      <c r="W363" s="566"/>
      <c r="X363" s="566"/>
      <c r="Y363" s="566"/>
      <c r="Z363" s="566"/>
      <c r="AA363" s="66"/>
      <c r="AB363" s="66"/>
      <c r="AC363" s="80"/>
    </row>
    <row r="364" spans="1:68" ht="27" hidden="1" customHeight="1" x14ac:dyDescent="0.25">
      <c r="A364" s="63" t="s">
        <v>590</v>
      </c>
      <c r="B364" s="63" t="s">
        <v>591</v>
      </c>
      <c r="C364" s="36">
        <v>4301031303</v>
      </c>
      <c r="D364" s="561">
        <v>4607091384802</v>
      </c>
      <c r="E364" s="56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116</v>
      </c>
      <c r="L364" s="37" t="s">
        <v>45</v>
      </c>
      <c r="M364" s="38" t="s">
        <v>80</v>
      </c>
      <c r="N364" s="38"/>
      <c r="O364" s="37">
        <v>35</v>
      </c>
      <c r="P364" s="62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64" s="563"/>
      <c r="R364" s="563"/>
      <c r="S364" s="563"/>
      <c r="T364" s="564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45</v>
      </c>
      <c r="AB364" s="69" t="s">
        <v>45</v>
      </c>
      <c r="AC364" s="438" t="s">
        <v>592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590</v>
      </c>
      <c r="B365" s="63" t="s">
        <v>593</v>
      </c>
      <c r="C365" s="36">
        <v>4301031457</v>
      </c>
      <c r="D365" s="561">
        <v>4607091384802</v>
      </c>
      <c r="E365" s="561"/>
      <c r="F365" s="62">
        <v>0.7</v>
      </c>
      <c r="G365" s="37">
        <v>6</v>
      </c>
      <c r="H365" s="62">
        <v>4.2</v>
      </c>
      <c r="I365" s="62">
        <v>4.45</v>
      </c>
      <c r="J365" s="37">
        <v>132</v>
      </c>
      <c r="K365" s="37" t="s">
        <v>116</v>
      </c>
      <c r="L365" s="37" t="s">
        <v>45</v>
      </c>
      <c r="M365" s="38" t="s">
        <v>80</v>
      </c>
      <c r="N365" s="38"/>
      <c r="O365" s="37">
        <v>50</v>
      </c>
      <c r="P365" s="62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65" s="563"/>
      <c r="R365" s="563"/>
      <c r="S365" s="563"/>
      <c r="T365" s="564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45</v>
      </c>
      <c r="AB365" s="69" t="s">
        <v>45</v>
      </c>
      <c r="AC365" s="440" t="s">
        <v>594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52" t="s">
        <v>40</v>
      </c>
      <c r="Q366" s="553"/>
      <c r="R366" s="553"/>
      <c r="S366" s="553"/>
      <c r="T366" s="553"/>
      <c r="U366" s="553"/>
      <c r="V366" s="554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hidden="1" x14ac:dyDescent="0.2">
      <c r="A367" s="555"/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6"/>
      <c r="P367" s="552" t="s">
        <v>40</v>
      </c>
      <c r="Q367" s="553"/>
      <c r="R367" s="553"/>
      <c r="S367" s="553"/>
      <c r="T367" s="553"/>
      <c r="U367" s="553"/>
      <c r="V367" s="554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566" t="s">
        <v>86</v>
      </c>
      <c r="B368" s="566"/>
      <c r="C368" s="566"/>
      <c r="D368" s="566"/>
      <c r="E368" s="566"/>
      <c r="F368" s="566"/>
      <c r="G368" s="566"/>
      <c r="H368" s="566"/>
      <c r="I368" s="566"/>
      <c r="J368" s="566"/>
      <c r="K368" s="566"/>
      <c r="L368" s="566"/>
      <c r="M368" s="566"/>
      <c r="N368" s="566"/>
      <c r="O368" s="566"/>
      <c r="P368" s="566"/>
      <c r="Q368" s="566"/>
      <c r="R368" s="566"/>
      <c r="S368" s="566"/>
      <c r="T368" s="566"/>
      <c r="U368" s="566"/>
      <c r="V368" s="566"/>
      <c r="W368" s="566"/>
      <c r="X368" s="566"/>
      <c r="Y368" s="566"/>
      <c r="Z368" s="566"/>
      <c r="AA368" s="66"/>
      <c r="AB368" s="66"/>
      <c r="AC368" s="80"/>
    </row>
    <row r="369" spans="1:68" ht="27" customHeight="1" x14ac:dyDescent="0.25">
      <c r="A369" s="63" t="s">
        <v>595</v>
      </c>
      <c r="B369" s="63" t="s">
        <v>596</v>
      </c>
      <c r="C369" s="36">
        <v>4301051899</v>
      </c>
      <c r="D369" s="561">
        <v>4607091384246</v>
      </c>
      <c r="E369" s="561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113</v>
      </c>
      <c r="L369" s="37" t="s">
        <v>45</v>
      </c>
      <c r="M369" s="38" t="s">
        <v>90</v>
      </c>
      <c r="N369" s="38"/>
      <c r="O369" s="37">
        <v>40</v>
      </c>
      <c r="P369" s="61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69" s="563"/>
      <c r="R369" s="563"/>
      <c r="S369" s="563"/>
      <c r="T369" s="564"/>
      <c r="U369" s="39" t="s">
        <v>45</v>
      </c>
      <c r="V369" s="39" t="s">
        <v>45</v>
      </c>
      <c r="W369" s="40" t="s">
        <v>0</v>
      </c>
      <c r="X369" s="58">
        <v>5916</v>
      </c>
      <c r="Y369" s="55">
        <f>IFERROR(IF(X369="",0,CEILING((X369/$H369),1)*$H369),"")</f>
        <v>5922</v>
      </c>
      <c r="Z369" s="41">
        <f>IFERROR(IF(Y369=0,"",ROUNDUP(Y369/H369,0)*0.01898),"")</f>
        <v>12.48884</v>
      </c>
      <c r="AA369" s="68" t="s">
        <v>45</v>
      </c>
      <c r="AB369" s="69" t="s">
        <v>45</v>
      </c>
      <c r="AC369" s="442" t="s">
        <v>597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6240.7226666666666</v>
      </c>
      <c r="BN369" s="78">
        <f>IFERROR(Y369*I369/H369,"0")</f>
        <v>6247.0519999999997</v>
      </c>
      <c r="BO369" s="78">
        <f>IFERROR(1/J369*(X369/H369),"0")</f>
        <v>10.270833333333334</v>
      </c>
      <c r="BP369" s="78">
        <f>IFERROR(1/J369*(Y369/H369),"0")</f>
        <v>10.28125</v>
      </c>
    </row>
    <row r="370" spans="1:68" ht="27" customHeight="1" x14ac:dyDescent="0.25">
      <c r="A370" s="63" t="s">
        <v>598</v>
      </c>
      <c r="B370" s="63" t="s">
        <v>599</v>
      </c>
      <c r="C370" s="36">
        <v>4301051660</v>
      </c>
      <c r="D370" s="561">
        <v>4607091384253</v>
      </c>
      <c r="E370" s="561"/>
      <c r="F370" s="62">
        <v>0.4</v>
      </c>
      <c r="G370" s="37">
        <v>6</v>
      </c>
      <c r="H370" s="62">
        <v>2.4</v>
      </c>
      <c r="I370" s="62">
        <v>2.6640000000000001</v>
      </c>
      <c r="J370" s="37">
        <v>182</v>
      </c>
      <c r="K370" s="37" t="s">
        <v>81</v>
      </c>
      <c r="L370" s="37" t="s">
        <v>45</v>
      </c>
      <c r="M370" s="38" t="s">
        <v>90</v>
      </c>
      <c r="N370" s="38"/>
      <c r="O370" s="37">
        <v>40</v>
      </c>
      <c r="P370" s="61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0" s="563"/>
      <c r="R370" s="563"/>
      <c r="S370" s="563"/>
      <c r="T370" s="564"/>
      <c r="U370" s="39" t="s">
        <v>45</v>
      </c>
      <c r="V370" s="39" t="s">
        <v>45</v>
      </c>
      <c r="W370" s="40" t="s">
        <v>0</v>
      </c>
      <c r="X370" s="58">
        <v>1883</v>
      </c>
      <c r="Y370" s="55">
        <f>IFERROR(IF(X370="",0,CEILING((X370/$H370),1)*$H370),"")</f>
        <v>1884</v>
      </c>
      <c r="Z370" s="41">
        <f>IFERROR(IF(Y370=0,"",ROUNDUP(Y370/H370,0)*0.00651),"")</f>
        <v>5.1103500000000004</v>
      </c>
      <c r="AA370" s="68" t="s">
        <v>45</v>
      </c>
      <c r="AB370" s="69" t="s">
        <v>45</v>
      </c>
      <c r="AC370" s="444" t="s">
        <v>597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2090.13</v>
      </c>
      <c r="BN370" s="78">
        <f>IFERROR(Y370*I370/H370,"0")</f>
        <v>2091.2400000000002</v>
      </c>
      <c r="BO370" s="78">
        <f>IFERROR(1/J370*(X370/H370),"0")</f>
        <v>4.3108974358974361</v>
      </c>
      <c r="BP370" s="78">
        <f>IFERROR(1/J370*(Y370/H370),"0")</f>
        <v>4.3131868131868139</v>
      </c>
    </row>
    <row r="371" spans="1:68" ht="27" hidden="1" customHeight="1" x14ac:dyDescent="0.25">
      <c r="A371" s="63" t="s">
        <v>598</v>
      </c>
      <c r="B371" s="63" t="s">
        <v>600</v>
      </c>
      <c r="C371" s="36">
        <v>4301052069</v>
      </c>
      <c r="D371" s="561">
        <v>4607091384253</v>
      </c>
      <c r="E371" s="561"/>
      <c r="F371" s="62">
        <v>0.4</v>
      </c>
      <c r="G371" s="37">
        <v>6</v>
      </c>
      <c r="H371" s="62">
        <v>2.4</v>
      </c>
      <c r="I371" s="62">
        <v>2.6640000000000001</v>
      </c>
      <c r="J371" s="37">
        <v>182</v>
      </c>
      <c r="K371" s="37" t="s">
        <v>81</v>
      </c>
      <c r="L371" s="37" t="s">
        <v>45</v>
      </c>
      <c r="M371" s="38" t="s">
        <v>90</v>
      </c>
      <c r="N371" s="38"/>
      <c r="O371" s="37">
        <v>40</v>
      </c>
      <c r="P371" s="6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1" s="563"/>
      <c r="R371" s="563"/>
      <c r="S371" s="563"/>
      <c r="T371" s="564"/>
      <c r="U371" s="39" t="s">
        <v>45</v>
      </c>
      <c r="V371" s="39" t="s">
        <v>45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45</v>
      </c>
      <c r="AB371" s="69" t="s">
        <v>45</v>
      </c>
      <c r="AC371" s="446" t="s">
        <v>601</v>
      </c>
      <c r="AG371" s="78"/>
      <c r="AJ371" s="84" t="s">
        <v>45</v>
      </c>
      <c r="AK371" s="84">
        <v>0</v>
      </c>
      <c r="BB371" s="447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52" t="s">
        <v>40</v>
      </c>
      <c r="Q372" s="553"/>
      <c r="R372" s="553"/>
      <c r="S372" s="553"/>
      <c r="T372" s="553"/>
      <c r="U372" s="553"/>
      <c r="V372" s="554"/>
      <c r="W372" s="42" t="s">
        <v>39</v>
      </c>
      <c r="X372" s="43">
        <f>IFERROR(X369/H369,"0")+IFERROR(X370/H370,"0")+IFERROR(X371/H371,"0")</f>
        <v>1441.9166666666667</v>
      </c>
      <c r="Y372" s="43">
        <f>IFERROR(Y369/H369,"0")+IFERROR(Y370/H370,"0")+IFERROR(Y371/H371,"0")</f>
        <v>1443</v>
      </c>
      <c r="Z372" s="43">
        <f>IFERROR(IF(Z369="",0,Z369),"0")+IFERROR(IF(Z370="",0,Z370),"0")+IFERROR(IF(Z371="",0,Z371),"0")</f>
        <v>17.59919</v>
      </c>
      <c r="AA372" s="67"/>
      <c r="AB372" s="67"/>
      <c r="AC372" s="67"/>
    </row>
    <row r="373" spans="1:68" x14ac:dyDescent="0.2">
      <c r="A373" s="555"/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6"/>
      <c r="P373" s="552" t="s">
        <v>40</v>
      </c>
      <c r="Q373" s="553"/>
      <c r="R373" s="553"/>
      <c r="S373" s="553"/>
      <c r="T373" s="553"/>
      <c r="U373" s="553"/>
      <c r="V373" s="554"/>
      <c r="W373" s="42" t="s">
        <v>0</v>
      </c>
      <c r="X373" s="43">
        <f>IFERROR(SUM(X369:X371),"0")</f>
        <v>7799</v>
      </c>
      <c r="Y373" s="43">
        <f>IFERROR(SUM(Y369:Y371),"0")</f>
        <v>7806</v>
      </c>
      <c r="Z373" s="42"/>
      <c r="AA373" s="67"/>
      <c r="AB373" s="67"/>
      <c r="AC373" s="67"/>
    </row>
    <row r="374" spans="1:68" ht="27.75" hidden="1" customHeight="1" x14ac:dyDescent="0.2">
      <c r="A374" s="575" t="s">
        <v>602</v>
      </c>
      <c r="B374" s="575"/>
      <c r="C374" s="575"/>
      <c r="D374" s="575"/>
      <c r="E374" s="575"/>
      <c r="F374" s="575"/>
      <c r="G374" s="575"/>
      <c r="H374" s="575"/>
      <c r="I374" s="575"/>
      <c r="J374" s="575"/>
      <c r="K374" s="575"/>
      <c r="L374" s="575"/>
      <c r="M374" s="575"/>
      <c r="N374" s="575"/>
      <c r="O374" s="575"/>
      <c r="P374" s="575"/>
      <c r="Q374" s="575"/>
      <c r="R374" s="575"/>
      <c r="S374" s="575"/>
      <c r="T374" s="575"/>
      <c r="U374" s="575"/>
      <c r="V374" s="575"/>
      <c r="W374" s="575"/>
      <c r="X374" s="575"/>
      <c r="Y374" s="575"/>
      <c r="Z374" s="575"/>
      <c r="AA374" s="54"/>
      <c r="AB374" s="54"/>
      <c r="AC374" s="54"/>
    </row>
    <row r="375" spans="1:68" ht="16.5" hidden="1" customHeight="1" x14ac:dyDescent="0.25">
      <c r="A375" s="565" t="s">
        <v>603</v>
      </c>
      <c r="B375" s="565"/>
      <c r="C375" s="565"/>
      <c r="D375" s="565"/>
      <c r="E375" s="565"/>
      <c r="F375" s="565"/>
      <c r="G375" s="565"/>
      <c r="H375" s="565"/>
      <c r="I375" s="565"/>
      <c r="J375" s="565"/>
      <c r="K375" s="565"/>
      <c r="L375" s="565"/>
      <c r="M375" s="565"/>
      <c r="N375" s="565"/>
      <c r="O375" s="565"/>
      <c r="P375" s="565"/>
      <c r="Q375" s="565"/>
      <c r="R375" s="565"/>
      <c r="S375" s="565"/>
      <c r="T375" s="565"/>
      <c r="U375" s="565"/>
      <c r="V375" s="565"/>
      <c r="W375" s="565"/>
      <c r="X375" s="565"/>
      <c r="Y375" s="565"/>
      <c r="Z375" s="565"/>
      <c r="AA375" s="65"/>
      <c r="AB375" s="65"/>
      <c r="AC375" s="79"/>
    </row>
    <row r="376" spans="1:68" ht="14.25" hidden="1" customHeight="1" x14ac:dyDescent="0.25">
      <c r="A376" s="566" t="s">
        <v>76</v>
      </c>
      <c r="B376" s="566"/>
      <c r="C376" s="566"/>
      <c r="D376" s="566"/>
      <c r="E376" s="566"/>
      <c r="F376" s="566"/>
      <c r="G376" s="566"/>
      <c r="H376" s="566"/>
      <c r="I376" s="566"/>
      <c r="J376" s="566"/>
      <c r="K376" s="566"/>
      <c r="L376" s="566"/>
      <c r="M376" s="566"/>
      <c r="N376" s="566"/>
      <c r="O376" s="566"/>
      <c r="P376" s="566"/>
      <c r="Q376" s="566"/>
      <c r="R376" s="566"/>
      <c r="S376" s="566"/>
      <c r="T376" s="566"/>
      <c r="U376" s="566"/>
      <c r="V376" s="566"/>
      <c r="W376" s="566"/>
      <c r="X376" s="566"/>
      <c r="Y376" s="566"/>
      <c r="Z376" s="566"/>
      <c r="AA376" s="66"/>
      <c r="AB376" s="66"/>
      <c r="AC376" s="80"/>
    </row>
    <row r="377" spans="1:68" ht="27" hidden="1" customHeight="1" x14ac:dyDescent="0.25">
      <c r="A377" s="63" t="s">
        <v>604</v>
      </c>
      <c r="B377" s="63" t="s">
        <v>605</v>
      </c>
      <c r="C377" s="36">
        <v>4301031405</v>
      </c>
      <c r="D377" s="561">
        <v>4680115886100</v>
      </c>
      <c r="E377" s="561"/>
      <c r="F377" s="62">
        <v>0.9</v>
      </c>
      <c r="G377" s="37">
        <v>6</v>
      </c>
      <c r="H377" s="62">
        <v>5.4</v>
      </c>
      <c r="I377" s="62">
        <v>5.59</v>
      </c>
      <c r="J377" s="37">
        <v>132</v>
      </c>
      <c r="K377" s="37" t="s">
        <v>116</v>
      </c>
      <c r="L377" s="37" t="s">
        <v>45</v>
      </c>
      <c r="M377" s="38" t="s">
        <v>80</v>
      </c>
      <c r="N377" s="38"/>
      <c r="O377" s="37">
        <v>50</v>
      </c>
      <c r="P377" s="6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77" s="563"/>
      <c r="R377" s="563"/>
      <c r="S377" s="563"/>
      <c r="T377" s="564"/>
      <c r="U377" s="39" t="s">
        <v>45</v>
      </c>
      <c r="V377" s="39" t="s">
        <v>45</v>
      </c>
      <c r="W377" s="40" t="s">
        <v>0</v>
      </c>
      <c r="X377" s="58">
        <v>0</v>
      </c>
      <c r="Y377" s="55">
        <f t="shared" ref="Y377:Y385" si="46"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8" t="s">
        <v>606</v>
      </c>
      <c r="AG377" s="78"/>
      <c r="AJ377" s="84" t="s">
        <v>45</v>
      </c>
      <c r="AK377" s="84">
        <v>0</v>
      </c>
      <c r="BB377" s="449" t="s">
        <v>66</v>
      </c>
      <c r="BM377" s="78">
        <f t="shared" ref="BM377:BM385" si="47">IFERROR(X377*I377/H377,"0")</f>
        <v>0</v>
      </c>
      <c r="BN377" s="78">
        <f t="shared" ref="BN377:BN385" si="48">IFERROR(Y377*I377/H377,"0")</f>
        <v>0</v>
      </c>
      <c r="BO377" s="78">
        <f t="shared" ref="BO377:BO385" si="49">IFERROR(1/J377*(X377/H377),"0")</f>
        <v>0</v>
      </c>
      <c r="BP377" s="78">
        <f t="shared" ref="BP377:BP385" si="50">IFERROR(1/J377*(Y377/H377),"0")</f>
        <v>0</v>
      </c>
    </row>
    <row r="378" spans="1:68" ht="27" hidden="1" customHeight="1" x14ac:dyDescent="0.25">
      <c r="A378" s="63" t="s">
        <v>607</v>
      </c>
      <c r="B378" s="63" t="s">
        <v>608</v>
      </c>
      <c r="C378" s="36">
        <v>4301031406</v>
      </c>
      <c r="D378" s="561">
        <v>4680115886117</v>
      </c>
      <c r="E378" s="561"/>
      <c r="F378" s="62">
        <v>0.9</v>
      </c>
      <c r="G378" s="37">
        <v>6</v>
      </c>
      <c r="H378" s="62">
        <v>5.4</v>
      </c>
      <c r="I378" s="62">
        <v>5.59</v>
      </c>
      <c r="J378" s="37">
        <v>132</v>
      </c>
      <c r="K378" s="37" t="s">
        <v>116</v>
      </c>
      <c r="L378" s="37" t="s">
        <v>45</v>
      </c>
      <c r="M378" s="38" t="s">
        <v>80</v>
      </c>
      <c r="N378" s="38"/>
      <c r="O378" s="37">
        <v>50</v>
      </c>
      <c r="P378" s="6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78" s="563"/>
      <c r="R378" s="563"/>
      <c r="S378" s="563"/>
      <c r="T378" s="564"/>
      <c r="U378" s="39" t="s">
        <v>45</v>
      </c>
      <c r="V378" s="39" t="s">
        <v>45</v>
      </c>
      <c r="W378" s="40" t="s">
        <v>0</v>
      </c>
      <c r="X378" s="58">
        <v>0</v>
      </c>
      <c r="Y378" s="55">
        <f t="shared" si="46"/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50" t="s">
        <v>609</v>
      </c>
      <c r="AG378" s="78"/>
      <c r="AJ378" s="84" t="s">
        <v>45</v>
      </c>
      <c r="AK378" s="84">
        <v>0</v>
      </c>
      <c r="BB378" s="451" t="s">
        <v>66</v>
      </c>
      <c r="BM378" s="78">
        <f t="shared" si="47"/>
        <v>0</v>
      </c>
      <c r="BN378" s="78">
        <f t="shared" si="48"/>
        <v>0</v>
      </c>
      <c r="BO378" s="78">
        <f t="shared" si="49"/>
        <v>0</v>
      </c>
      <c r="BP378" s="78">
        <f t="shared" si="50"/>
        <v>0</v>
      </c>
    </row>
    <row r="379" spans="1:68" ht="27" hidden="1" customHeight="1" x14ac:dyDescent="0.25">
      <c r="A379" s="63" t="s">
        <v>610</v>
      </c>
      <c r="B379" s="63" t="s">
        <v>611</v>
      </c>
      <c r="C379" s="36">
        <v>4301031402</v>
      </c>
      <c r="D379" s="561">
        <v>4680115886124</v>
      </c>
      <c r="E379" s="561"/>
      <c r="F379" s="62">
        <v>0.9</v>
      </c>
      <c r="G379" s="37">
        <v>6</v>
      </c>
      <c r="H379" s="62">
        <v>5.4</v>
      </c>
      <c r="I379" s="62">
        <v>5.59</v>
      </c>
      <c r="J379" s="37">
        <v>132</v>
      </c>
      <c r="K379" s="37" t="s">
        <v>116</v>
      </c>
      <c r="L379" s="37" t="s">
        <v>45</v>
      </c>
      <c r="M379" s="38" t="s">
        <v>80</v>
      </c>
      <c r="N379" s="38"/>
      <c r="O379" s="37">
        <v>50</v>
      </c>
      <c r="P379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79" s="563"/>
      <c r="R379" s="563"/>
      <c r="S379" s="563"/>
      <c r="T379" s="564"/>
      <c r="U379" s="39" t="s">
        <v>45</v>
      </c>
      <c r="V379" s="39" t="s">
        <v>45</v>
      </c>
      <c r="W379" s="40" t="s">
        <v>0</v>
      </c>
      <c r="X379" s="58">
        <v>0</v>
      </c>
      <c r="Y379" s="55">
        <f t="shared" si="46"/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52" t="s">
        <v>612</v>
      </c>
      <c r="AG379" s="78"/>
      <c r="AJ379" s="84" t="s">
        <v>45</v>
      </c>
      <c r="AK379" s="84">
        <v>0</v>
      </c>
      <c r="BB379" s="453" t="s">
        <v>66</v>
      </c>
      <c r="BM379" s="78">
        <f t="shared" si="47"/>
        <v>0</v>
      </c>
      <c r="BN379" s="78">
        <f t="shared" si="48"/>
        <v>0</v>
      </c>
      <c r="BO379" s="78">
        <f t="shared" si="49"/>
        <v>0</v>
      </c>
      <c r="BP379" s="78">
        <f t="shared" si="50"/>
        <v>0</v>
      </c>
    </row>
    <row r="380" spans="1:68" ht="27" hidden="1" customHeight="1" x14ac:dyDescent="0.25">
      <c r="A380" s="63" t="s">
        <v>613</v>
      </c>
      <c r="B380" s="63" t="s">
        <v>614</v>
      </c>
      <c r="C380" s="36">
        <v>4301031366</v>
      </c>
      <c r="D380" s="561">
        <v>4680115883147</v>
      </c>
      <c r="E380" s="561"/>
      <c r="F380" s="62">
        <v>0.28000000000000003</v>
      </c>
      <c r="G380" s="37">
        <v>6</v>
      </c>
      <c r="H380" s="62">
        <v>1.68</v>
      </c>
      <c r="I380" s="62">
        <v>1.81</v>
      </c>
      <c r="J380" s="37">
        <v>234</v>
      </c>
      <c r="K380" s="37" t="s">
        <v>85</v>
      </c>
      <c r="L380" s="37" t="s">
        <v>45</v>
      </c>
      <c r="M380" s="38" t="s">
        <v>80</v>
      </c>
      <c r="N380" s="38"/>
      <c r="O380" s="37">
        <v>50</v>
      </c>
      <c r="P380" s="60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0" s="563"/>
      <c r="R380" s="563"/>
      <c r="S380" s="563"/>
      <c r="T380" s="564"/>
      <c r="U380" s="39" t="s">
        <v>45</v>
      </c>
      <c r="V380" s="39" t="s">
        <v>45</v>
      </c>
      <c r="W380" s="40" t="s">
        <v>0</v>
      </c>
      <c r="X380" s="58">
        <v>0</v>
      </c>
      <c r="Y380" s="55">
        <f t="shared" si="46"/>
        <v>0</v>
      </c>
      <c r="Z380" s="41" t="str">
        <f t="shared" ref="Z380:Z385" si="51">IFERROR(IF(Y380=0,"",ROUNDUP(Y380/H380,0)*0.00502),"")</f>
        <v/>
      </c>
      <c r="AA380" s="68" t="s">
        <v>45</v>
      </c>
      <c r="AB380" s="69" t="s">
        <v>45</v>
      </c>
      <c r="AC380" s="454" t="s">
        <v>606</v>
      </c>
      <c r="AG380" s="78"/>
      <c r="AJ380" s="84" t="s">
        <v>45</v>
      </c>
      <c r="AK380" s="84">
        <v>0</v>
      </c>
      <c r="BB380" s="455" t="s">
        <v>66</v>
      </c>
      <c r="BM380" s="78">
        <f t="shared" si="47"/>
        <v>0</v>
      </c>
      <c r="BN380" s="78">
        <f t="shared" si="48"/>
        <v>0</v>
      </c>
      <c r="BO380" s="78">
        <f t="shared" si="49"/>
        <v>0</v>
      </c>
      <c r="BP380" s="78">
        <f t="shared" si="50"/>
        <v>0</v>
      </c>
    </row>
    <row r="381" spans="1:68" ht="27" hidden="1" customHeight="1" x14ac:dyDescent="0.25">
      <c r="A381" s="63" t="s">
        <v>615</v>
      </c>
      <c r="B381" s="63" t="s">
        <v>616</v>
      </c>
      <c r="C381" s="36">
        <v>4301031362</v>
      </c>
      <c r="D381" s="561">
        <v>4607091384338</v>
      </c>
      <c r="E381" s="561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85</v>
      </c>
      <c r="L381" s="37" t="s">
        <v>45</v>
      </c>
      <c r="M381" s="38" t="s">
        <v>80</v>
      </c>
      <c r="N381" s="38"/>
      <c r="O381" s="37">
        <v>50</v>
      </c>
      <c r="P381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1" s="563"/>
      <c r="R381" s="563"/>
      <c r="S381" s="563"/>
      <c r="T381" s="564"/>
      <c r="U381" s="39" t="s">
        <v>45</v>
      </c>
      <c r="V381" s="39" t="s">
        <v>45</v>
      </c>
      <c r="W381" s="40" t="s">
        <v>0</v>
      </c>
      <c r="X381" s="58">
        <v>0</v>
      </c>
      <c r="Y381" s="55">
        <f t="shared" si="46"/>
        <v>0</v>
      </c>
      <c r="Z381" s="41" t="str">
        <f t="shared" si="51"/>
        <v/>
      </c>
      <c r="AA381" s="68" t="s">
        <v>45</v>
      </c>
      <c r="AB381" s="69" t="s">
        <v>45</v>
      </c>
      <c r="AC381" s="456" t="s">
        <v>606</v>
      </c>
      <c r="AG381" s="78"/>
      <c r="AJ381" s="84" t="s">
        <v>45</v>
      </c>
      <c r="AK381" s="84">
        <v>0</v>
      </c>
      <c r="BB381" s="457" t="s">
        <v>66</v>
      </c>
      <c r="BM381" s="78">
        <f t="shared" si="47"/>
        <v>0</v>
      </c>
      <c r="BN381" s="78">
        <f t="shared" si="48"/>
        <v>0</v>
      </c>
      <c r="BO381" s="78">
        <f t="shared" si="49"/>
        <v>0</v>
      </c>
      <c r="BP381" s="78">
        <f t="shared" si="50"/>
        <v>0</v>
      </c>
    </row>
    <row r="382" spans="1:68" ht="37.5" hidden="1" customHeight="1" x14ac:dyDescent="0.25">
      <c r="A382" s="63" t="s">
        <v>617</v>
      </c>
      <c r="B382" s="63" t="s">
        <v>618</v>
      </c>
      <c r="C382" s="36">
        <v>4301031361</v>
      </c>
      <c r="D382" s="561">
        <v>4607091389524</v>
      </c>
      <c r="E382" s="561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85</v>
      </c>
      <c r="L382" s="37" t="s">
        <v>45</v>
      </c>
      <c r="M382" s="38" t="s">
        <v>80</v>
      </c>
      <c r="N382" s="38"/>
      <c r="O382" s="37">
        <v>50</v>
      </c>
      <c r="P382" s="61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2" s="563"/>
      <c r="R382" s="563"/>
      <c r="S382" s="563"/>
      <c r="T382" s="564"/>
      <c r="U382" s="39" t="s">
        <v>45</v>
      </c>
      <c r="V382" s="39" t="s">
        <v>45</v>
      </c>
      <c r="W382" s="40" t="s">
        <v>0</v>
      </c>
      <c r="X382" s="58">
        <v>0</v>
      </c>
      <c r="Y382" s="55">
        <f t="shared" si="46"/>
        <v>0</v>
      </c>
      <c r="Z382" s="41" t="str">
        <f t="shared" si="51"/>
        <v/>
      </c>
      <c r="AA382" s="68" t="s">
        <v>45</v>
      </c>
      <c r="AB382" s="69" t="s">
        <v>45</v>
      </c>
      <c r="AC382" s="458" t="s">
        <v>619</v>
      </c>
      <c r="AG382" s="78"/>
      <c r="AJ382" s="84" t="s">
        <v>45</v>
      </c>
      <c r="AK382" s="84">
        <v>0</v>
      </c>
      <c r="BB382" s="459" t="s">
        <v>66</v>
      </c>
      <c r="BM382" s="78">
        <f t="shared" si="47"/>
        <v>0</v>
      </c>
      <c r="BN382" s="78">
        <f t="shared" si="48"/>
        <v>0</v>
      </c>
      <c r="BO382" s="78">
        <f t="shared" si="49"/>
        <v>0</v>
      </c>
      <c r="BP382" s="78">
        <f t="shared" si="50"/>
        <v>0</v>
      </c>
    </row>
    <row r="383" spans="1:68" ht="27" hidden="1" customHeight="1" x14ac:dyDescent="0.25">
      <c r="A383" s="63" t="s">
        <v>620</v>
      </c>
      <c r="B383" s="63" t="s">
        <v>621</v>
      </c>
      <c r="C383" s="36">
        <v>4301031364</v>
      </c>
      <c r="D383" s="561">
        <v>4680115883161</v>
      </c>
      <c r="E383" s="561"/>
      <c r="F383" s="62">
        <v>0.28000000000000003</v>
      </c>
      <c r="G383" s="37">
        <v>6</v>
      </c>
      <c r="H383" s="62">
        <v>1.68</v>
      </c>
      <c r="I383" s="62">
        <v>1.81</v>
      </c>
      <c r="J383" s="37">
        <v>234</v>
      </c>
      <c r="K383" s="37" t="s">
        <v>85</v>
      </c>
      <c r="L383" s="37" t="s">
        <v>45</v>
      </c>
      <c r="M383" s="38" t="s">
        <v>80</v>
      </c>
      <c r="N383" s="38"/>
      <c r="O383" s="37">
        <v>50</v>
      </c>
      <c r="P383" s="61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83" s="563"/>
      <c r="R383" s="563"/>
      <c r="S383" s="563"/>
      <c r="T383" s="564"/>
      <c r="U383" s="39" t="s">
        <v>45</v>
      </c>
      <c r="V383" s="39" t="s">
        <v>45</v>
      </c>
      <c r="W383" s="40" t="s">
        <v>0</v>
      </c>
      <c r="X383" s="58">
        <v>0</v>
      </c>
      <c r="Y383" s="55">
        <f t="shared" si="46"/>
        <v>0</v>
      </c>
      <c r="Z383" s="41" t="str">
        <f t="shared" si="51"/>
        <v/>
      </c>
      <c r="AA383" s="68" t="s">
        <v>45</v>
      </c>
      <c r="AB383" s="69" t="s">
        <v>45</v>
      </c>
      <c r="AC383" s="460" t="s">
        <v>622</v>
      </c>
      <c r="AG383" s="78"/>
      <c r="AJ383" s="84" t="s">
        <v>45</v>
      </c>
      <c r="AK383" s="84">
        <v>0</v>
      </c>
      <c r="BB383" s="461" t="s">
        <v>66</v>
      </c>
      <c r="BM383" s="78">
        <f t="shared" si="47"/>
        <v>0</v>
      </c>
      <c r="BN383" s="78">
        <f t="shared" si="48"/>
        <v>0</v>
      </c>
      <c r="BO383" s="78">
        <f t="shared" si="49"/>
        <v>0</v>
      </c>
      <c r="BP383" s="78">
        <f t="shared" si="50"/>
        <v>0</v>
      </c>
    </row>
    <row r="384" spans="1:68" ht="27" hidden="1" customHeight="1" x14ac:dyDescent="0.25">
      <c r="A384" s="63" t="s">
        <v>623</v>
      </c>
      <c r="B384" s="63" t="s">
        <v>624</v>
      </c>
      <c r="C384" s="36">
        <v>4301031358</v>
      </c>
      <c r="D384" s="561">
        <v>4607091389531</v>
      </c>
      <c r="E384" s="561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85</v>
      </c>
      <c r="L384" s="37" t="s">
        <v>45</v>
      </c>
      <c r="M384" s="38" t="s">
        <v>80</v>
      </c>
      <c r="N384" s="38"/>
      <c r="O384" s="37">
        <v>50</v>
      </c>
      <c r="P384" s="61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84" s="563"/>
      <c r="R384" s="563"/>
      <c r="S384" s="563"/>
      <c r="T384" s="564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si="46"/>
        <v>0</v>
      </c>
      <c r="Z384" s="41" t="str">
        <f t="shared" si="51"/>
        <v/>
      </c>
      <c r="AA384" s="68" t="s">
        <v>45</v>
      </c>
      <c r="AB384" s="69" t="s">
        <v>45</v>
      </c>
      <c r="AC384" s="462" t="s">
        <v>625</v>
      </c>
      <c r="AG384" s="78"/>
      <c r="AJ384" s="84" t="s">
        <v>45</v>
      </c>
      <c r="AK384" s="84">
        <v>0</v>
      </c>
      <c r="BB384" s="463" t="s">
        <v>66</v>
      </c>
      <c r="BM384" s="78">
        <f t="shared" si="47"/>
        <v>0</v>
      </c>
      <c r="BN384" s="78">
        <f t="shared" si="48"/>
        <v>0</v>
      </c>
      <c r="BO384" s="78">
        <f t="shared" si="49"/>
        <v>0</v>
      </c>
      <c r="BP384" s="78">
        <f t="shared" si="50"/>
        <v>0</v>
      </c>
    </row>
    <row r="385" spans="1:68" ht="37.5" hidden="1" customHeight="1" x14ac:dyDescent="0.25">
      <c r="A385" s="63" t="s">
        <v>626</v>
      </c>
      <c r="B385" s="63" t="s">
        <v>627</v>
      </c>
      <c r="C385" s="36">
        <v>4301031360</v>
      </c>
      <c r="D385" s="561">
        <v>4607091384345</v>
      </c>
      <c r="E385" s="561"/>
      <c r="F385" s="62">
        <v>0.35</v>
      </c>
      <c r="G385" s="37">
        <v>6</v>
      </c>
      <c r="H385" s="62">
        <v>2.1</v>
      </c>
      <c r="I385" s="62">
        <v>2.23</v>
      </c>
      <c r="J385" s="37">
        <v>234</v>
      </c>
      <c r="K385" s="37" t="s">
        <v>85</v>
      </c>
      <c r="L385" s="37" t="s">
        <v>45</v>
      </c>
      <c r="M385" s="38" t="s">
        <v>80</v>
      </c>
      <c r="N385" s="38"/>
      <c r="O385" s="37">
        <v>50</v>
      </c>
      <c r="P385" s="6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85" s="563"/>
      <c r="R385" s="563"/>
      <c r="S385" s="563"/>
      <c r="T385" s="56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46"/>
        <v>0</v>
      </c>
      <c r="Z385" s="41" t="str">
        <f t="shared" si="51"/>
        <v/>
      </c>
      <c r="AA385" s="68" t="s">
        <v>45</v>
      </c>
      <c r="AB385" s="69" t="s">
        <v>45</v>
      </c>
      <c r="AC385" s="464" t="s">
        <v>622</v>
      </c>
      <c r="AG385" s="78"/>
      <c r="AJ385" s="84" t="s">
        <v>45</v>
      </c>
      <c r="AK385" s="84">
        <v>0</v>
      </c>
      <c r="BB385" s="465" t="s">
        <v>66</v>
      </c>
      <c r="BM385" s="78">
        <f t="shared" si="47"/>
        <v>0</v>
      </c>
      <c r="BN385" s="78">
        <f t="shared" si="48"/>
        <v>0</v>
      </c>
      <c r="BO385" s="78">
        <f t="shared" si="49"/>
        <v>0</v>
      </c>
      <c r="BP385" s="78">
        <f t="shared" si="50"/>
        <v>0</v>
      </c>
    </row>
    <row r="386" spans="1:68" hidden="1" x14ac:dyDescent="0.2">
      <c r="A386" s="555"/>
      <c r="B386" s="555"/>
      <c r="C386" s="555"/>
      <c r="D386" s="555"/>
      <c r="E386" s="555"/>
      <c r="F386" s="555"/>
      <c r="G386" s="555"/>
      <c r="H386" s="555"/>
      <c r="I386" s="555"/>
      <c r="J386" s="555"/>
      <c r="K386" s="555"/>
      <c r="L386" s="555"/>
      <c r="M386" s="555"/>
      <c r="N386" s="555"/>
      <c r="O386" s="556"/>
      <c r="P386" s="552" t="s">
        <v>40</v>
      </c>
      <c r="Q386" s="553"/>
      <c r="R386" s="553"/>
      <c r="S386" s="553"/>
      <c r="T386" s="553"/>
      <c r="U386" s="553"/>
      <c r="V386" s="554"/>
      <c r="W386" s="42" t="s">
        <v>39</v>
      </c>
      <c r="X386" s="43">
        <f>IFERROR(X377/H377,"0")+IFERROR(X378/H378,"0")+IFERROR(X379/H379,"0")+IFERROR(X380/H380,"0")+IFERROR(X381/H381,"0")+IFERROR(X382/H382,"0")+IFERROR(X383/H383,"0")+IFERROR(X384/H384,"0")+IFERROR(X385/H385,"0")</f>
        <v>0</v>
      </c>
      <c r="Y386" s="43">
        <f>IFERROR(Y377/H377,"0")+IFERROR(Y378/H378,"0")+IFERROR(Y379/H379,"0")+IFERROR(Y380/H380,"0")+IFERROR(Y381/H381,"0")+IFERROR(Y382/H382,"0")+IFERROR(Y383/H383,"0")+IFERROR(Y384/H384,"0")+IFERROR(Y385/H385,"0")</f>
        <v>0</v>
      </c>
      <c r="Z386" s="43">
        <f>IFERROR(IF(Z377="",0,Z377),"0")+IFERROR(IF(Z378="",0,Z378),"0")+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555"/>
      <c r="B387" s="555"/>
      <c r="C387" s="555"/>
      <c r="D387" s="555"/>
      <c r="E387" s="555"/>
      <c r="F387" s="555"/>
      <c r="G387" s="555"/>
      <c r="H387" s="555"/>
      <c r="I387" s="555"/>
      <c r="J387" s="555"/>
      <c r="K387" s="555"/>
      <c r="L387" s="555"/>
      <c r="M387" s="555"/>
      <c r="N387" s="555"/>
      <c r="O387" s="556"/>
      <c r="P387" s="552" t="s">
        <v>40</v>
      </c>
      <c r="Q387" s="553"/>
      <c r="R387" s="553"/>
      <c r="S387" s="553"/>
      <c r="T387" s="553"/>
      <c r="U387" s="553"/>
      <c r="V387" s="554"/>
      <c r="W387" s="42" t="s">
        <v>0</v>
      </c>
      <c r="X387" s="43">
        <f>IFERROR(SUM(X377:X385),"0")</f>
        <v>0</v>
      </c>
      <c r="Y387" s="43">
        <f>IFERROR(SUM(Y377:Y385),"0")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566" t="s">
        <v>86</v>
      </c>
      <c r="B388" s="566"/>
      <c r="C388" s="566"/>
      <c r="D388" s="566"/>
      <c r="E388" s="566"/>
      <c r="F388" s="566"/>
      <c r="G388" s="566"/>
      <c r="H388" s="566"/>
      <c r="I388" s="566"/>
      <c r="J388" s="566"/>
      <c r="K388" s="566"/>
      <c r="L388" s="566"/>
      <c r="M388" s="566"/>
      <c r="N388" s="566"/>
      <c r="O388" s="566"/>
      <c r="P388" s="566"/>
      <c r="Q388" s="566"/>
      <c r="R388" s="566"/>
      <c r="S388" s="566"/>
      <c r="T388" s="566"/>
      <c r="U388" s="566"/>
      <c r="V388" s="566"/>
      <c r="W388" s="566"/>
      <c r="X388" s="566"/>
      <c r="Y388" s="566"/>
      <c r="Z388" s="566"/>
      <c r="AA388" s="66"/>
      <c r="AB388" s="66"/>
      <c r="AC388" s="80"/>
    </row>
    <row r="389" spans="1:68" ht="27" hidden="1" customHeight="1" x14ac:dyDescent="0.25">
      <c r="A389" s="63" t="s">
        <v>628</v>
      </c>
      <c r="B389" s="63" t="s">
        <v>629</v>
      </c>
      <c r="C389" s="36">
        <v>4301051284</v>
      </c>
      <c r="D389" s="561">
        <v>4607091384352</v>
      </c>
      <c r="E389" s="561"/>
      <c r="F389" s="62">
        <v>0.6</v>
      </c>
      <c r="G389" s="37">
        <v>4</v>
      </c>
      <c r="H389" s="62">
        <v>2.4</v>
      </c>
      <c r="I389" s="62">
        <v>2.6259999999999999</v>
      </c>
      <c r="J389" s="37">
        <v>132</v>
      </c>
      <c r="K389" s="37" t="s">
        <v>116</v>
      </c>
      <c r="L389" s="37" t="s">
        <v>45</v>
      </c>
      <c r="M389" s="38" t="s">
        <v>90</v>
      </c>
      <c r="N389" s="38"/>
      <c r="O389" s="37">
        <v>45</v>
      </c>
      <c r="P389" s="6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89" s="563"/>
      <c r="R389" s="563"/>
      <c r="S389" s="563"/>
      <c r="T389" s="564"/>
      <c r="U389" s="39" t="s">
        <v>45</v>
      </c>
      <c r="V389" s="39" t="s">
        <v>45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66" t="s">
        <v>630</v>
      </c>
      <c r="AG389" s="78"/>
      <c r="AJ389" s="84" t="s">
        <v>45</v>
      </c>
      <c r="AK389" s="84">
        <v>0</v>
      </c>
      <c r="BB389" s="46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631</v>
      </c>
      <c r="B390" s="63" t="s">
        <v>632</v>
      </c>
      <c r="C390" s="36">
        <v>4301051431</v>
      </c>
      <c r="D390" s="561">
        <v>4607091389654</v>
      </c>
      <c r="E390" s="561"/>
      <c r="F390" s="62">
        <v>0.33</v>
      </c>
      <c r="G390" s="37">
        <v>6</v>
      </c>
      <c r="H390" s="62">
        <v>1.98</v>
      </c>
      <c r="I390" s="62">
        <v>2.238</v>
      </c>
      <c r="J390" s="37">
        <v>182</v>
      </c>
      <c r="K390" s="37" t="s">
        <v>81</v>
      </c>
      <c r="L390" s="37" t="s">
        <v>45</v>
      </c>
      <c r="M390" s="38" t="s">
        <v>90</v>
      </c>
      <c r="N390" s="38"/>
      <c r="O390" s="37">
        <v>45</v>
      </c>
      <c r="P390" s="6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0" s="563"/>
      <c r="R390" s="563"/>
      <c r="S390" s="563"/>
      <c r="T390" s="564"/>
      <c r="U390" s="39" t="s">
        <v>45</v>
      </c>
      <c r="V390" s="39" t="s">
        <v>45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45</v>
      </c>
      <c r="AB390" s="69" t="s">
        <v>45</v>
      </c>
      <c r="AC390" s="468" t="s">
        <v>633</v>
      </c>
      <c r="AG390" s="78"/>
      <c r="AJ390" s="84" t="s">
        <v>45</v>
      </c>
      <c r="AK390" s="84">
        <v>0</v>
      </c>
      <c r="BB390" s="46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555"/>
      <c r="B391" s="555"/>
      <c r="C391" s="555"/>
      <c r="D391" s="555"/>
      <c r="E391" s="555"/>
      <c r="F391" s="555"/>
      <c r="G391" s="555"/>
      <c r="H391" s="555"/>
      <c r="I391" s="555"/>
      <c r="J391" s="555"/>
      <c r="K391" s="555"/>
      <c r="L391" s="555"/>
      <c r="M391" s="555"/>
      <c r="N391" s="555"/>
      <c r="O391" s="556"/>
      <c r="P391" s="552" t="s">
        <v>40</v>
      </c>
      <c r="Q391" s="553"/>
      <c r="R391" s="553"/>
      <c r="S391" s="553"/>
      <c r="T391" s="553"/>
      <c r="U391" s="553"/>
      <c r="V391" s="554"/>
      <c r="W391" s="42" t="s">
        <v>39</v>
      </c>
      <c r="X391" s="43">
        <f>IFERROR(X389/H389,"0")+IFERROR(X390/H390,"0")</f>
        <v>0</v>
      </c>
      <c r="Y391" s="43">
        <f>IFERROR(Y389/H389,"0")+IFERROR(Y390/H390,"0")</f>
        <v>0</v>
      </c>
      <c r="Z391" s="43">
        <f>IFERROR(IF(Z389="",0,Z389),"0")+IFERROR(IF(Z390="",0,Z390),"0")</f>
        <v>0</v>
      </c>
      <c r="AA391" s="67"/>
      <c r="AB391" s="67"/>
      <c r="AC391" s="67"/>
    </row>
    <row r="392" spans="1:68" hidden="1" x14ac:dyDescent="0.2">
      <c r="A392" s="555"/>
      <c r="B392" s="555"/>
      <c r="C392" s="555"/>
      <c r="D392" s="555"/>
      <c r="E392" s="555"/>
      <c r="F392" s="555"/>
      <c r="G392" s="555"/>
      <c r="H392" s="555"/>
      <c r="I392" s="555"/>
      <c r="J392" s="555"/>
      <c r="K392" s="555"/>
      <c r="L392" s="555"/>
      <c r="M392" s="555"/>
      <c r="N392" s="555"/>
      <c r="O392" s="556"/>
      <c r="P392" s="552" t="s">
        <v>40</v>
      </c>
      <c r="Q392" s="553"/>
      <c r="R392" s="553"/>
      <c r="S392" s="553"/>
      <c r="T392" s="553"/>
      <c r="U392" s="553"/>
      <c r="V392" s="554"/>
      <c r="W392" s="42" t="s">
        <v>0</v>
      </c>
      <c r="X392" s="43">
        <f>IFERROR(SUM(X389:X390),"0")</f>
        <v>0</v>
      </c>
      <c r="Y392" s="43">
        <f>IFERROR(SUM(Y389:Y390),"0")</f>
        <v>0</v>
      </c>
      <c r="Z392" s="42"/>
      <c r="AA392" s="67"/>
      <c r="AB392" s="67"/>
      <c r="AC392" s="67"/>
    </row>
    <row r="393" spans="1:68" ht="16.5" hidden="1" customHeight="1" x14ac:dyDescent="0.25">
      <c r="A393" s="565" t="s">
        <v>634</v>
      </c>
      <c r="B393" s="565"/>
      <c r="C393" s="565"/>
      <c r="D393" s="565"/>
      <c r="E393" s="565"/>
      <c r="F393" s="565"/>
      <c r="G393" s="565"/>
      <c r="H393" s="565"/>
      <c r="I393" s="565"/>
      <c r="J393" s="565"/>
      <c r="K393" s="565"/>
      <c r="L393" s="565"/>
      <c r="M393" s="565"/>
      <c r="N393" s="565"/>
      <c r="O393" s="565"/>
      <c r="P393" s="565"/>
      <c r="Q393" s="565"/>
      <c r="R393" s="565"/>
      <c r="S393" s="565"/>
      <c r="T393" s="565"/>
      <c r="U393" s="565"/>
      <c r="V393" s="565"/>
      <c r="W393" s="565"/>
      <c r="X393" s="565"/>
      <c r="Y393" s="565"/>
      <c r="Z393" s="565"/>
      <c r="AA393" s="65"/>
      <c r="AB393" s="65"/>
      <c r="AC393" s="79"/>
    </row>
    <row r="394" spans="1:68" ht="14.25" hidden="1" customHeight="1" x14ac:dyDescent="0.25">
      <c r="A394" s="566" t="s">
        <v>141</v>
      </c>
      <c r="B394" s="566"/>
      <c r="C394" s="566"/>
      <c r="D394" s="566"/>
      <c r="E394" s="566"/>
      <c r="F394" s="566"/>
      <c r="G394" s="566"/>
      <c r="H394" s="566"/>
      <c r="I394" s="566"/>
      <c r="J394" s="566"/>
      <c r="K394" s="566"/>
      <c r="L394" s="566"/>
      <c r="M394" s="566"/>
      <c r="N394" s="566"/>
      <c r="O394" s="566"/>
      <c r="P394" s="566"/>
      <c r="Q394" s="566"/>
      <c r="R394" s="566"/>
      <c r="S394" s="566"/>
      <c r="T394" s="566"/>
      <c r="U394" s="566"/>
      <c r="V394" s="566"/>
      <c r="W394" s="566"/>
      <c r="X394" s="566"/>
      <c r="Y394" s="566"/>
      <c r="Z394" s="566"/>
      <c r="AA394" s="66"/>
      <c r="AB394" s="66"/>
      <c r="AC394" s="80"/>
    </row>
    <row r="395" spans="1:68" ht="27" hidden="1" customHeight="1" x14ac:dyDescent="0.25">
      <c r="A395" s="63" t="s">
        <v>635</v>
      </c>
      <c r="B395" s="63" t="s">
        <v>636</v>
      </c>
      <c r="C395" s="36">
        <v>4301020319</v>
      </c>
      <c r="D395" s="561">
        <v>4680115885240</v>
      </c>
      <c r="E395" s="561"/>
      <c r="F395" s="62">
        <v>0.35</v>
      </c>
      <c r="G395" s="37">
        <v>6</v>
      </c>
      <c r="H395" s="62">
        <v>2.1</v>
      </c>
      <c r="I395" s="62">
        <v>2.31</v>
      </c>
      <c r="J395" s="37">
        <v>182</v>
      </c>
      <c r="K395" s="37" t="s">
        <v>81</v>
      </c>
      <c r="L395" s="37" t="s">
        <v>45</v>
      </c>
      <c r="M395" s="38" t="s">
        <v>80</v>
      </c>
      <c r="N395" s="38"/>
      <c r="O395" s="37">
        <v>40</v>
      </c>
      <c r="P395" s="6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95" s="563"/>
      <c r="R395" s="563"/>
      <c r="S395" s="563"/>
      <c r="T395" s="564"/>
      <c r="U395" s="39" t="s">
        <v>45</v>
      </c>
      <c r="V395" s="39" t="s">
        <v>45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45</v>
      </c>
      <c r="AB395" s="69" t="s">
        <v>45</v>
      </c>
      <c r="AC395" s="470" t="s">
        <v>637</v>
      </c>
      <c r="AG395" s="78"/>
      <c r="AJ395" s="84" t="s">
        <v>45</v>
      </c>
      <c r="AK395" s="84">
        <v>0</v>
      </c>
      <c r="BB395" s="471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52" t="s">
        <v>40</v>
      </c>
      <c r="Q396" s="553"/>
      <c r="R396" s="553"/>
      <c r="S396" s="553"/>
      <c r="T396" s="553"/>
      <c r="U396" s="553"/>
      <c r="V396" s="554"/>
      <c r="W396" s="42" t="s">
        <v>39</v>
      </c>
      <c r="X396" s="43">
        <f>IFERROR(X395/H395,"0")</f>
        <v>0</v>
      </c>
      <c r="Y396" s="43">
        <f>IFERROR(Y395/H395,"0")</f>
        <v>0</v>
      </c>
      <c r="Z396" s="43">
        <f>IFERROR(IF(Z395="",0,Z395),"0")</f>
        <v>0</v>
      </c>
      <c r="AA396" s="67"/>
      <c r="AB396" s="67"/>
      <c r="AC396" s="67"/>
    </row>
    <row r="397" spans="1:68" hidden="1" x14ac:dyDescent="0.2">
      <c r="A397" s="555"/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6"/>
      <c r="P397" s="552" t="s">
        <v>40</v>
      </c>
      <c r="Q397" s="553"/>
      <c r="R397" s="553"/>
      <c r="S397" s="553"/>
      <c r="T397" s="553"/>
      <c r="U397" s="553"/>
      <c r="V397" s="554"/>
      <c r="W397" s="42" t="s">
        <v>0</v>
      </c>
      <c r="X397" s="43">
        <f>IFERROR(SUM(X395:X395),"0")</f>
        <v>0</v>
      </c>
      <c r="Y397" s="43">
        <f>IFERROR(SUM(Y395:Y395),"0")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566" t="s">
        <v>76</v>
      </c>
      <c r="B398" s="566"/>
      <c r="C398" s="566"/>
      <c r="D398" s="566"/>
      <c r="E398" s="566"/>
      <c r="F398" s="566"/>
      <c r="G398" s="566"/>
      <c r="H398" s="566"/>
      <c r="I398" s="566"/>
      <c r="J398" s="566"/>
      <c r="K398" s="566"/>
      <c r="L398" s="566"/>
      <c r="M398" s="566"/>
      <c r="N398" s="566"/>
      <c r="O398" s="566"/>
      <c r="P398" s="566"/>
      <c r="Q398" s="566"/>
      <c r="R398" s="566"/>
      <c r="S398" s="566"/>
      <c r="T398" s="566"/>
      <c r="U398" s="566"/>
      <c r="V398" s="566"/>
      <c r="W398" s="566"/>
      <c r="X398" s="566"/>
      <c r="Y398" s="566"/>
      <c r="Z398" s="566"/>
      <c r="AA398" s="66"/>
      <c r="AB398" s="66"/>
      <c r="AC398" s="80"/>
    </row>
    <row r="399" spans="1:68" ht="27" hidden="1" customHeight="1" x14ac:dyDescent="0.25">
      <c r="A399" s="63" t="s">
        <v>638</v>
      </c>
      <c r="B399" s="63" t="s">
        <v>639</v>
      </c>
      <c r="C399" s="36">
        <v>4301031403</v>
      </c>
      <c r="D399" s="561">
        <v>4680115886094</v>
      </c>
      <c r="E399" s="561"/>
      <c r="F399" s="62">
        <v>0.9</v>
      </c>
      <c r="G399" s="37">
        <v>6</v>
      </c>
      <c r="H399" s="62">
        <v>5.4</v>
      </c>
      <c r="I399" s="62">
        <v>5.59</v>
      </c>
      <c r="J399" s="37">
        <v>132</v>
      </c>
      <c r="K399" s="37" t="s">
        <v>116</v>
      </c>
      <c r="L399" s="37" t="s">
        <v>45</v>
      </c>
      <c r="M399" s="38" t="s">
        <v>112</v>
      </c>
      <c r="N399" s="38"/>
      <c r="O399" s="37">
        <v>50</v>
      </c>
      <c r="P399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99" s="563"/>
      <c r="R399" s="563"/>
      <c r="S399" s="563"/>
      <c r="T399" s="564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45</v>
      </c>
      <c r="AB399" s="69" t="s">
        <v>45</v>
      </c>
      <c r="AC399" s="472" t="s">
        <v>640</v>
      </c>
      <c r="AG399" s="78"/>
      <c r="AJ399" s="84" t="s">
        <v>45</v>
      </c>
      <c r="AK399" s="84">
        <v>0</v>
      </c>
      <c r="BB399" s="473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641</v>
      </c>
      <c r="B400" s="63" t="s">
        <v>642</v>
      </c>
      <c r="C400" s="36">
        <v>4301031363</v>
      </c>
      <c r="D400" s="561">
        <v>4607091389425</v>
      </c>
      <c r="E400" s="561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6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0" s="563"/>
      <c r="R400" s="563"/>
      <c r="S400" s="563"/>
      <c r="T400" s="564"/>
      <c r="U400" s="39" t="s">
        <v>45</v>
      </c>
      <c r="V400" s="39" t="s">
        <v>45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IFERROR(IF(Y400=0,"",ROUNDUP(Y400/H400,0)*0.00502),"")</f>
        <v/>
      </c>
      <c r="AA400" s="68" t="s">
        <v>45</v>
      </c>
      <c r="AB400" s="69" t="s">
        <v>45</v>
      </c>
      <c r="AC400" s="474" t="s">
        <v>643</v>
      </c>
      <c r="AG400" s="78"/>
      <c r="AJ400" s="84" t="s">
        <v>45</v>
      </c>
      <c r="AK400" s="84">
        <v>0</v>
      </c>
      <c r="BB400" s="475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644</v>
      </c>
      <c r="B401" s="63" t="s">
        <v>645</v>
      </c>
      <c r="C401" s="36">
        <v>4301031373</v>
      </c>
      <c r="D401" s="561">
        <v>4680115880771</v>
      </c>
      <c r="E401" s="561"/>
      <c r="F401" s="62">
        <v>0.28000000000000003</v>
      </c>
      <c r="G401" s="37">
        <v>6</v>
      </c>
      <c r="H401" s="62">
        <v>1.68</v>
      </c>
      <c r="I401" s="62">
        <v>1.81</v>
      </c>
      <c r="J401" s="37">
        <v>234</v>
      </c>
      <c r="K401" s="37" t="s">
        <v>85</v>
      </c>
      <c r="L401" s="37" t="s">
        <v>45</v>
      </c>
      <c r="M401" s="38" t="s">
        <v>80</v>
      </c>
      <c r="N401" s="38"/>
      <c r="O401" s="37">
        <v>50</v>
      </c>
      <c r="P401" s="6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1" s="563"/>
      <c r="R401" s="563"/>
      <c r="S401" s="563"/>
      <c r="T401" s="564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IFERROR(IF(Y401=0,"",ROUNDUP(Y401/H401,0)*0.00502),"")</f>
        <v/>
      </c>
      <c r="AA401" s="68" t="s">
        <v>45</v>
      </c>
      <c r="AB401" s="69" t="s">
        <v>45</v>
      </c>
      <c r="AC401" s="476" t="s">
        <v>646</v>
      </c>
      <c r="AG401" s="78"/>
      <c r="AJ401" s="84" t="s">
        <v>45</v>
      </c>
      <c r="AK401" s="84">
        <v>0</v>
      </c>
      <c r="BB401" s="477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647</v>
      </c>
      <c r="B402" s="63" t="s">
        <v>648</v>
      </c>
      <c r="C402" s="36">
        <v>4301031359</v>
      </c>
      <c r="D402" s="561">
        <v>4607091389500</v>
      </c>
      <c r="E402" s="561"/>
      <c r="F402" s="62">
        <v>0.35</v>
      </c>
      <c r="G402" s="37">
        <v>6</v>
      </c>
      <c r="H402" s="62">
        <v>2.1</v>
      </c>
      <c r="I402" s="62">
        <v>2.23</v>
      </c>
      <c r="J402" s="37">
        <v>234</v>
      </c>
      <c r="K402" s="37" t="s">
        <v>85</v>
      </c>
      <c r="L402" s="37" t="s">
        <v>45</v>
      </c>
      <c r="M402" s="38" t="s">
        <v>80</v>
      </c>
      <c r="N402" s="38"/>
      <c r="O402" s="37">
        <v>50</v>
      </c>
      <c r="P402" s="6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2" s="563"/>
      <c r="R402" s="563"/>
      <c r="S402" s="563"/>
      <c r="T402" s="564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IFERROR(IF(Y402=0,"",ROUNDUP(Y402/H402,0)*0.00502),"")</f>
        <v/>
      </c>
      <c r="AA402" s="68" t="s">
        <v>45</v>
      </c>
      <c r="AB402" s="69" t="s">
        <v>45</v>
      </c>
      <c r="AC402" s="478" t="s">
        <v>646</v>
      </c>
      <c r="AG402" s="78"/>
      <c r="AJ402" s="84" t="s">
        <v>45</v>
      </c>
      <c r="AK402" s="84">
        <v>0</v>
      </c>
      <c r="BB402" s="479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555"/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6"/>
      <c r="P403" s="552" t="s">
        <v>40</v>
      </c>
      <c r="Q403" s="553"/>
      <c r="R403" s="553"/>
      <c r="S403" s="553"/>
      <c r="T403" s="553"/>
      <c r="U403" s="553"/>
      <c r="V403" s="55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555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2" t="s">
        <v>40</v>
      </c>
      <c r="Q404" s="553"/>
      <c r="R404" s="553"/>
      <c r="S404" s="553"/>
      <c r="T404" s="553"/>
      <c r="U404" s="553"/>
      <c r="V404" s="55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6.5" hidden="1" customHeight="1" x14ac:dyDescent="0.25">
      <c r="A405" s="565" t="s">
        <v>649</v>
      </c>
      <c r="B405" s="565"/>
      <c r="C405" s="565"/>
      <c r="D405" s="565"/>
      <c r="E405" s="565"/>
      <c r="F405" s="565"/>
      <c r="G405" s="565"/>
      <c r="H405" s="565"/>
      <c r="I405" s="565"/>
      <c r="J405" s="565"/>
      <c r="K405" s="565"/>
      <c r="L405" s="565"/>
      <c r="M405" s="565"/>
      <c r="N405" s="565"/>
      <c r="O405" s="565"/>
      <c r="P405" s="565"/>
      <c r="Q405" s="565"/>
      <c r="R405" s="565"/>
      <c r="S405" s="565"/>
      <c r="T405" s="565"/>
      <c r="U405" s="565"/>
      <c r="V405" s="565"/>
      <c r="W405" s="565"/>
      <c r="X405" s="565"/>
      <c r="Y405" s="565"/>
      <c r="Z405" s="565"/>
      <c r="AA405" s="65"/>
      <c r="AB405" s="65"/>
      <c r="AC405" s="79"/>
    </row>
    <row r="406" spans="1:68" ht="14.25" hidden="1" customHeight="1" x14ac:dyDescent="0.25">
      <c r="A406" s="566" t="s">
        <v>76</v>
      </c>
      <c r="B406" s="566"/>
      <c r="C406" s="566"/>
      <c r="D406" s="566"/>
      <c r="E406" s="566"/>
      <c r="F406" s="566"/>
      <c r="G406" s="566"/>
      <c r="H406" s="566"/>
      <c r="I406" s="566"/>
      <c r="J406" s="566"/>
      <c r="K406" s="566"/>
      <c r="L406" s="566"/>
      <c r="M406" s="566"/>
      <c r="N406" s="566"/>
      <c r="O406" s="566"/>
      <c r="P406" s="566"/>
      <c r="Q406" s="566"/>
      <c r="R406" s="566"/>
      <c r="S406" s="566"/>
      <c r="T406" s="566"/>
      <c r="U406" s="566"/>
      <c r="V406" s="566"/>
      <c r="W406" s="566"/>
      <c r="X406" s="566"/>
      <c r="Y406" s="566"/>
      <c r="Z406" s="566"/>
      <c r="AA406" s="66"/>
      <c r="AB406" s="66"/>
      <c r="AC406" s="80"/>
    </row>
    <row r="407" spans="1:68" ht="27" hidden="1" customHeight="1" x14ac:dyDescent="0.25">
      <c r="A407" s="63" t="s">
        <v>650</v>
      </c>
      <c r="B407" s="63" t="s">
        <v>651</v>
      </c>
      <c r="C407" s="36">
        <v>4301031347</v>
      </c>
      <c r="D407" s="561">
        <v>4680115885110</v>
      </c>
      <c r="E407" s="561"/>
      <c r="F407" s="62">
        <v>0.2</v>
      </c>
      <c r="G407" s="37">
        <v>6</v>
      </c>
      <c r="H407" s="62">
        <v>1.2</v>
      </c>
      <c r="I407" s="62">
        <v>2.1</v>
      </c>
      <c r="J407" s="37">
        <v>182</v>
      </c>
      <c r="K407" s="37" t="s">
        <v>81</v>
      </c>
      <c r="L407" s="37" t="s">
        <v>45</v>
      </c>
      <c r="M407" s="38" t="s">
        <v>80</v>
      </c>
      <c r="N407" s="38"/>
      <c r="O407" s="37">
        <v>50</v>
      </c>
      <c r="P407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07" s="563"/>
      <c r="R407" s="563"/>
      <c r="S407" s="563"/>
      <c r="T407" s="56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80" t="s">
        <v>652</v>
      </c>
      <c r="AG407" s="78"/>
      <c r="AJ407" s="84" t="s">
        <v>45</v>
      </c>
      <c r="AK407" s="84">
        <v>0</v>
      </c>
      <c r="BB407" s="481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555"/>
      <c r="B408" s="555"/>
      <c r="C408" s="555"/>
      <c r="D408" s="555"/>
      <c r="E408" s="555"/>
      <c r="F408" s="555"/>
      <c r="G408" s="555"/>
      <c r="H408" s="555"/>
      <c r="I408" s="555"/>
      <c r="J408" s="555"/>
      <c r="K408" s="555"/>
      <c r="L408" s="555"/>
      <c r="M408" s="555"/>
      <c r="N408" s="555"/>
      <c r="O408" s="556"/>
      <c r="P408" s="552" t="s">
        <v>40</v>
      </c>
      <c r="Q408" s="553"/>
      <c r="R408" s="553"/>
      <c r="S408" s="553"/>
      <c r="T408" s="553"/>
      <c r="U408" s="553"/>
      <c r="V408" s="554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hidden="1" x14ac:dyDescent="0.2">
      <c r="A409" s="555"/>
      <c r="B409" s="555"/>
      <c r="C409" s="555"/>
      <c r="D409" s="555"/>
      <c r="E409" s="555"/>
      <c r="F409" s="555"/>
      <c r="G409" s="555"/>
      <c r="H409" s="555"/>
      <c r="I409" s="555"/>
      <c r="J409" s="555"/>
      <c r="K409" s="555"/>
      <c r="L409" s="555"/>
      <c r="M409" s="555"/>
      <c r="N409" s="555"/>
      <c r="O409" s="556"/>
      <c r="P409" s="552" t="s">
        <v>40</v>
      </c>
      <c r="Q409" s="553"/>
      <c r="R409" s="553"/>
      <c r="S409" s="553"/>
      <c r="T409" s="553"/>
      <c r="U409" s="553"/>
      <c r="V409" s="554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27.75" hidden="1" customHeight="1" x14ac:dyDescent="0.2">
      <c r="A410" s="575" t="s">
        <v>653</v>
      </c>
      <c r="B410" s="575"/>
      <c r="C410" s="575"/>
      <c r="D410" s="575"/>
      <c r="E410" s="575"/>
      <c r="F410" s="575"/>
      <c r="G410" s="575"/>
      <c r="H410" s="575"/>
      <c r="I410" s="575"/>
      <c r="J410" s="575"/>
      <c r="K410" s="575"/>
      <c r="L410" s="575"/>
      <c r="M410" s="575"/>
      <c r="N410" s="575"/>
      <c r="O410" s="575"/>
      <c r="P410" s="575"/>
      <c r="Q410" s="575"/>
      <c r="R410" s="575"/>
      <c r="S410" s="575"/>
      <c r="T410" s="575"/>
      <c r="U410" s="575"/>
      <c r="V410" s="575"/>
      <c r="W410" s="575"/>
      <c r="X410" s="575"/>
      <c r="Y410" s="575"/>
      <c r="Z410" s="575"/>
      <c r="AA410" s="54"/>
      <c r="AB410" s="54"/>
      <c r="AC410" s="54"/>
    </row>
    <row r="411" spans="1:68" ht="16.5" hidden="1" customHeight="1" x14ac:dyDescent="0.25">
      <c r="A411" s="565" t="s">
        <v>653</v>
      </c>
      <c r="B411" s="565"/>
      <c r="C411" s="565"/>
      <c r="D411" s="565"/>
      <c r="E411" s="565"/>
      <c r="F411" s="565"/>
      <c r="G411" s="565"/>
      <c r="H411" s="565"/>
      <c r="I411" s="565"/>
      <c r="J411" s="565"/>
      <c r="K411" s="565"/>
      <c r="L411" s="565"/>
      <c r="M411" s="565"/>
      <c r="N411" s="565"/>
      <c r="O411" s="565"/>
      <c r="P411" s="565"/>
      <c r="Q411" s="565"/>
      <c r="R411" s="565"/>
      <c r="S411" s="565"/>
      <c r="T411" s="565"/>
      <c r="U411" s="565"/>
      <c r="V411" s="565"/>
      <c r="W411" s="565"/>
      <c r="X411" s="565"/>
      <c r="Y411" s="565"/>
      <c r="Z411" s="565"/>
      <c r="AA411" s="65"/>
      <c r="AB411" s="65"/>
      <c r="AC411" s="79"/>
    </row>
    <row r="412" spans="1:68" ht="14.25" hidden="1" customHeight="1" x14ac:dyDescent="0.25">
      <c r="A412" s="566" t="s">
        <v>108</v>
      </c>
      <c r="B412" s="566"/>
      <c r="C412" s="566"/>
      <c r="D412" s="566"/>
      <c r="E412" s="566"/>
      <c r="F412" s="566"/>
      <c r="G412" s="566"/>
      <c r="H412" s="566"/>
      <c r="I412" s="566"/>
      <c r="J412" s="566"/>
      <c r="K412" s="566"/>
      <c r="L412" s="566"/>
      <c r="M412" s="566"/>
      <c r="N412" s="566"/>
      <c r="O412" s="566"/>
      <c r="P412" s="566"/>
      <c r="Q412" s="566"/>
      <c r="R412" s="566"/>
      <c r="S412" s="566"/>
      <c r="T412" s="566"/>
      <c r="U412" s="566"/>
      <c r="V412" s="566"/>
      <c r="W412" s="566"/>
      <c r="X412" s="566"/>
      <c r="Y412" s="566"/>
      <c r="Z412" s="566"/>
      <c r="AA412" s="66"/>
      <c r="AB412" s="66"/>
      <c r="AC412" s="80"/>
    </row>
    <row r="413" spans="1:68" ht="27" hidden="1" customHeight="1" x14ac:dyDescent="0.25">
      <c r="A413" s="63" t="s">
        <v>654</v>
      </c>
      <c r="B413" s="63" t="s">
        <v>655</v>
      </c>
      <c r="C413" s="36">
        <v>4301011795</v>
      </c>
      <c r="D413" s="561">
        <v>4607091389067</v>
      </c>
      <c r="E413" s="561"/>
      <c r="F413" s="62">
        <v>0.88</v>
      </c>
      <c r="G413" s="37">
        <v>6</v>
      </c>
      <c r="H413" s="62">
        <v>5.28</v>
      </c>
      <c r="I413" s="62">
        <v>5.63</v>
      </c>
      <c r="J413" s="37">
        <v>104</v>
      </c>
      <c r="K413" s="37" t="s">
        <v>113</v>
      </c>
      <c r="L413" s="37" t="s">
        <v>45</v>
      </c>
      <c r="M413" s="38" t="s">
        <v>112</v>
      </c>
      <c r="N413" s="38"/>
      <c r="O413" s="37">
        <v>60</v>
      </c>
      <c r="P413" s="5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13" s="563"/>
      <c r="R413" s="563"/>
      <c r="S413" s="563"/>
      <c r="T413" s="564"/>
      <c r="U413" s="39" t="s">
        <v>45</v>
      </c>
      <c r="V413" s="39" t="s">
        <v>45</v>
      </c>
      <c r="W413" s="40" t="s">
        <v>0</v>
      </c>
      <c r="X413" s="58">
        <v>0</v>
      </c>
      <c r="Y413" s="55">
        <f t="shared" ref="Y413:Y424" si="52">IFERROR(IF(X413="",0,CEILING((X413/$H413),1)*$H413),"")</f>
        <v>0</v>
      </c>
      <c r="Z413" s="41" t="str">
        <f t="shared" ref="Z413:Z419" si="53">IFERROR(IF(Y413=0,"",ROUNDUP(Y413/H413,0)*0.01196),"")</f>
        <v/>
      </c>
      <c r="AA413" s="68" t="s">
        <v>45</v>
      </c>
      <c r="AB413" s="69" t="s">
        <v>45</v>
      </c>
      <c r="AC413" s="482" t="s">
        <v>111</v>
      </c>
      <c r="AG413" s="78"/>
      <c r="AJ413" s="84" t="s">
        <v>45</v>
      </c>
      <c r="AK413" s="84">
        <v>0</v>
      </c>
      <c r="BB413" s="483" t="s">
        <v>66</v>
      </c>
      <c r="BM413" s="78">
        <f t="shared" ref="BM413:BM424" si="54">IFERROR(X413*I413/H413,"0")</f>
        <v>0</v>
      </c>
      <c r="BN413" s="78">
        <f t="shared" ref="BN413:BN424" si="55">IFERROR(Y413*I413/H413,"0")</f>
        <v>0</v>
      </c>
      <c r="BO413" s="78">
        <f t="shared" ref="BO413:BO424" si="56">IFERROR(1/J413*(X413/H413),"0")</f>
        <v>0</v>
      </c>
      <c r="BP413" s="78">
        <f t="shared" ref="BP413:BP424" si="57">IFERROR(1/J413*(Y413/H413),"0")</f>
        <v>0</v>
      </c>
    </row>
    <row r="414" spans="1:68" ht="27" hidden="1" customHeight="1" x14ac:dyDescent="0.25">
      <c r="A414" s="63" t="s">
        <v>656</v>
      </c>
      <c r="B414" s="63" t="s">
        <v>657</v>
      </c>
      <c r="C414" s="36">
        <v>4301012210</v>
      </c>
      <c r="D414" s="561">
        <v>4607091383522</v>
      </c>
      <c r="E414" s="561"/>
      <c r="F414" s="62">
        <v>0.88</v>
      </c>
      <c r="G414" s="37">
        <v>6</v>
      </c>
      <c r="H414" s="62">
        <v>5.28</v>
      </c>
      <c r="I414" s="62">
        <v>5.63</v>
      </c>
      <c r="J414" s="37">
        <v>104</v>
      </c>
      <c r="K414" s="37" t="s">
        <v>113</v>
      </c>
      <c r="L414" s="37" t="s">
        <v>45</v>
      </c>
      <c r="M414" s="38" t="s">
        <v>112</v>
      </c>
      <c r="N414" s="38"/>
      <c r="O414" s="37">
        <v>60</v>
      </c>
      <c r="P414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14" s="563"/>
      <c r="R414" s="563"/>
      <c r="S414" s="563"/>
      <c r="T414" s="564"/>
      <c r="U414" s="39" t="s">
        <v>45</v>
      </c>
      <c r="V414" s="39" t="s">
        <v>45</v>
      </c>
      <c r="W414" s="40" t="s">
        <v>0</v>
      </c>
      <c r="X414" s="58">
        <v>0</v>
      </c>
      <c r="Y414" s="55">
        <f t="shared" si="52"/>
        <v>0</v>
      </c>
      <c r="Z414" s="41" t="str">
        <f t="shared" si="53"/>
        <v/>
      </c>
      <c r="AA414" s="68" t="s">
        <v>45</v>
      </c>
      <c r="AB414" s="69" t="s">
        <v>45</v>
      </c>
      <c r="AC414" s="484" t="s">
        <v>658</v>
      </c>
      <c r="AG414" s="78"/>
      <c r="AJ414" s="84" t="s">
        <v>45</v>
      </c>
      <c r="AK414" s="84">
        <v>0</v>
      </c>
      <c r="BB414" s="485" t="s">
        <v>66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hidden="1" customHeight="1" x14ac:dyDescent="0.25">
      <c r="A415" s="63" t="s">
        <v>656</v>
      </c>
      <c r="B415" s="63" t="s">
        <v>659</v>
      </c>
      <c r="C415" s="36">
        <v>4301012145</v>
      </c>
      <c r="D415" s="561">
        <v>4607091383522</v>
      </c>
      <c r="E415" s="561"/>
      <c r="F415" s="62">
        <v>0.88</v>
      </c>
      <c r="G415" s="37">
        <v>6</v>
      </c>
      <c r="H415" s="62">
        <v>5.28</v>
      </c>
      <c r="I415" s="62">
        <v>5.63</v>
      </c>
      <c r="J415" s="37">
        <v>104</v>
      </c>
      <c r="K415" s="37" t="s">
        <v>113</v>
      </c>
      <c r="L415" s="37" t="s">
        <v>45</v>
      </c>
      <c r="M415" s="38" t="s">
        <v>112</v>
      </c>
      <c r="N415" s="38"/>
      <c r="O415" s="37">
        <v>60</v>
      </c>
      <c r="P415" s="5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15" s="563"/>
      <c r="R415" s="563"/>
      <c r="S415" s="563"/>
      <c r="T415" s="564"/>
      <c r="U415" s="39" t="s">
        <v>45</v>
      </c>
      <c r="V415" s="39" t="s">
        <v>45</v>
      </c>
      <c r="W415" s="40" t="s">
        <v>0</v>
      </c>
      <c r="X415" s="58">
        <v>0</v>
      </c>
      <c r="Y415" s="55">
        <f t="shared" si="52"/>
        <v>0</v>
      </c>
      <c r="Z415" s="41" t="str">
        <f t="shared" si="53"/>
        <v/>
      </c>
      <c r="AA415" s="68" t="s">
        <v>45</v>
      </c>
      <c r="AB415" s="69" t="s">
        <v>45</v>
      </c>
      <c r="AC415" s="486" t="s">
        <v>658</v>
      </c>
      <c r="AG415" s="78"/>
      <c r="AJ415" s="84" t="s">
        <v>45</v>
      </c>
      <c r="AK415" s="84">
        <v>0</v>
      </c>
      <c r="BB415" s="487" t="s">
        <v>66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4301011961</v>
      </c>
      <c r="D416" s="561">
        <v>4680115885271</v>
      </c>
      <c r="E416" s="561"/>
      <c r="F416" s="62">
        <v>0.88</v>
      </c>
      <c r="G416" s="37">
        <v>6</v>
      </c>
      <c r="H416" s="62">
        <v>5.28</v>
      </c>
      <c r="I416" s="62">
        <v>5.63</v>
      </c>
      <c r="J416" s="37">
        <v>104</v>
      </c>
      <c r="K416" s="37" t="s">
        <v>113</v>
      </c>
      <c r="L416" s="37" t="s">
        <v>45</v>
      </c>
      <c r="M416" s="38" t="s">
        <v>112</v>
      </c>
      <c r="N416" s="38"/>
      <c r="O416" s="37">
        <v>60</v>
      </c>
      <c r="P416" s="59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16" s="563"/>
      <c r="R416" s="563"/>
      <c r="S416" s="563"/>
      <c r="T416" s="564"/>
      <c r="U416" s="39" t="s">
        <v>45</v>
      </c>
      <c r="V416" s="39" t="s">
        <v>45</v>
      </c>
      <c r="W416" s="40" t="s">
        <v>0</v>
      </c>
      <c r="X416" s="58">
        <v>0</v>
      </c>
      <c r="Y416" s="55">
        <f t="shared" si="52"/>
        <v>0</v>
      </c>
      <c r="Z416" s="41" t="str">
        <f t="shared" si="53"/>
        <v/>
      </c>
      <c r="AA416" s="68" t="s">
        <v>45</v>
      </c>
      <c r="AB416" s="69" t="s">
        <v>45</v>
      </c>
      <c r="AC416" s="488" t="s">
        <v>662</v>
      </c>
      <c r="AG416" s="78"/>
      <c r="AJ416" s="84" t="s">
        <v>45</v>
      </c>
      <c r="AK416" s="84">
        <v>0</v>
      </c>
      <c r="BB416" s="489" t="s">
        <v>66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ht="27" hidden="1" customHeight="1" x14ac:dyDescent="0.25">
      <c r="A417" s="63" t="s">
        <v>663</v>
      </c>
      <c r="B417" s="63" t="s">
        <v>664</v>
      </c>
      <c r="C417" s="36">
        <v>4301011376</v>
      </c>
      <c r="D417" s="561">
        <v>4680115885226</v>
      </c>
      <c r="E417" s="561"/>
      <c r="F417" s="62">
        <v>0.88</v>
      </c>
      <c r="G417" s="37">
        <v>6</v>
      </c>
      <c r="H417" s="62">
        <v>5.28</v>
      </c>
      <c r="I417" s="62">
        <v>5.63</v>
      </c>
      <c r="J417" s="37">
        <v>104</v>
      </c>
      <c r="K417" s="37" t="s">
        <v>113</v>
      </c>
      <c r="L417" s="37" t="s">
        <v>45</v>
      </c>
      <c r="M417" s="38" t="s">
        <v>90</v>
      </c>
      <c r="N417" s="38"/>
      <c r="O417" s="37">
        <v>60</v>
      </c>
      <c r="P417" s="5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17" s="563"/>
      <c r="R417" s="563"/>
      <c r="S417" s="563"/>
      <c r="T417" s="564"/>
      <c r="U417" s="39" t="s">
        <v>45</v>
      </c>
      <c r="V417" s="39" t="s">
        <v>45</v>
      </c>
      <c r="W417" s="40" t="s">
        <v>0</v>
      </c>
      <c r="X417" s="58">
        <v>0</v>
      </c>
      <c r="Y417" s="55">
        <f t="shared" si="52"/>
        <v>0</v>
      </c>
      <c r="Z417" s="41" t="str">
        <f t="shared" si="53"/>
        <v/>
      </c>
      <c r="AA417" s="68" t="s">
        <v>45</v>
      </c>
      <c r="AB417" s="69" t="s">
        <v>45</v>
      </c>
      <c r="AC417" s="490" t="s">
        <v>665</v>
      </c>
      <c r="AG417" s="78"/>
      <c r="AJ417" s="84" t="s">
        <v>45</v>
      </c>
      <c r="AK417" s="84">
        <v>0</v>
      </c>
      <c r="BB417" s="491" t="s">
        <v>66</v>
      </c>
      <c r="BM417" s="78">
        <f t="shared" si="54"/>
        <v>0</v>
      </c>
      <c r="BN417" s="78">
        <f t="shared" si="55"/>
        <v>0</v>
      </c>
      <c r="BO417" s="78">
        <f t="shared" si="56"/>
        <v>0</v>
      </c>
      <c r="BP417" s="78">
        <f t="shared" si="57"/>
        <v>0</v>
      </c>
    </row>
    <row r="418" spans="1:68" ht="16.5" hidden="1" customHeight="1" x14ac:dyDescent="0.25">
      <c r="A418" s="63" t="s">
        <v>666</v>
      </c>
      <c r="B418" s="63" t="s">
        <v>667</v>
      </c>
      <c r="C418" s="36">
        <v>4301011774</v>
      </c>
      <c r="D418" s="561">
        <v>4680115884502</v>
      </c>
      <c r="E418" s="561"/>
      <c r="F418" s="62">
        <v>0.88</v>
      </c>
      <c r="G418" s="37">
        <v>6</v>
      </c>
      <c r="H418" s="62">
        <v>5.28</v>
      </c>
      <c r="I418" s="62">
        <v>5.63</v>
      </c>
      <c r="J418" s="37">
        <v>104</v>
      </c>
      <c r="K418" s="37" t="s">
        <v>113</v>
      </c>
      <c r="L418" s="37" t="s">
        <v>45</v>
      </c>
      <c r="M418" s="38" t="s">
        <v>112</v>
      </c>
      <c r="N418" s="38"/>
      <c r="O418" s="37">
        <v>60</v>
      </c>
      <c r="P418" s="5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18" s="563"/>
      <c r="R418" s="563"/>
      <c r="S418" s="563"/>
      <c r="T418" s="564"/>
      <c r="U418" s="39" t="s">
        <v>45</v>
      </c>
      <c r="V418" s="39" t="s">
        <v>45</v>
      </c>
      <c r="W418" s="40" t="s">
        <v>0</v>
      </c>
      <c r="X418" s="58">
        <v>0</v>
      </c>
      <c r="Y418" s="55">
        <f t="shared" si="52"/>
        <v>0</v>
      </c>
      <c r="Z418" s="41" t="str">
        <f t="shared" si="53"/>
        <v/>
      </c>
      <c r="AA418" s="68" t="s">
        <v>45</v>
      </c>
      <c r="AB418" s="69" t="s">
        <v>45</v>
      </c>
      <c r="AC418" s="492" t="s">
        <v>668</v>
      </c>
      <c r="AG418" s="78"/>
      <c r="AJ418" s="84" t="s">
        <v>45</v>
      </c>
      <c r="AK418" s="84">
        <v>0</v>
      </c>
      <c r="BB418" s="493" t="s">
        <v>66</v>
      </c>
      <c r="BM418" s="78">
        <f t="shared" si="54"/>
        <v>0</v>
      </c>
      <c r="BN418" s="78">
        <f t="shared" si="55"/>
        <v>0</v>
      </c>
      <c r="BO418" s="78">
        <f t="shared" si="56"/>
        <v>0</v>
      </c>
      <c r="BP418" s="78">
        <f t="shared" si="57"/>
        <v>0</v>
      </c>
    </row>
    <row r="419" spans="1:68" ht="27" hidden="1" customHeight="1" x14ac:dyDescent="0.25">
      <c r="A419" s="63" t="s">
        <v>669</v>
      </c>
      <c r="B419" s="63" t="s">
        <v>670</v>
      </c>
      <c r="C419" s="36">
        <v>4301011771</v>
      </c>
      <c r="D419" s="561">
        <v>4607091389104</v>
      </c>
      <c r="E419" s="561"/>
      <c r="F419" s="62">
        <v>0.88</v>
      </c>
      <c r="G419" s="37">
        <v>6</v>
      </c>
      <c r="H419" s="62">
        <v>5.28</v>
      </c>
      <c r="I419" s="62">
        <v>5.63</v>
      </c>
      <c r="J419" s="37">
        <v>104</v>
      </c>
      <c r="K419" s="37" t="s">
        <v>113</v>
      </c>
      <c r="L419" s="37" t="s">
        <v>45</v>
      </c>
      <c r="M419" s="38" t="s">
        <v>112</v>
      </c>
      <c r="N419" s="38"/>
      <c r="O419" s="37">
        <v>60</v>
      </c>
      <c r="P419" s="5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19" s="563"/>
      <c r="R419" s="563"/>
      <c r="S419" s="563"/>
      <c r="T419" s="564"/>
      <c r="U419" s="39" t="s">
        <v>45</v>
      </c>
      <c r="V419" s="39" t="s">
        <v>45</v>
      </c>
      <c r="W419" s="40" t="s">
        <v>0</v>
      </c>
      <c r="X419" s="58">
        <v>0</v>
      </c>
      <c r="Y419" s="55">
        <f t="shared" si="52"/>
        <v>0</v>
      </c>
      <c r="Z419" s="41" t="str">
        <f t="shared" si="53"/>
        <v/>
      </c>
      <c r="AA419" s="68" t="s">
        <v>45</v>
      </c>
      <c r="AB419" s="69" t="s">
        <v>45</v>
      </c>
      <c r="AC419" s="494" t="s">
        <v>671</v>
      </c>
      <c r="AG419" s="78"/>
      <c r="AJ419" s="84" t="s">
        <v>45</v>
      </c>
      <c r="AK419" s="84">
        <v>0</v>
      </c>
      <c r="BB419" s="495" t="s">
        <v>66</v>
      </c>
      <c r="BM419" s="78">
        <f t="shared" si="54"/>
        <v>0</v>
      </c>
      <c r="BN419" s="78">
        <f t="shared" si="55"/>
        <v>0</v>
      </c>
      <c r="BO419" s="78">
        <f t="shared" si="56"/>
        <v>0</v>
      </c>
      <c r="BP419" s="78">
        <f t="shared" si="57"/>
        <v>0</v>
      </c>
    </row>
    <row r="420" spans="1:68" ht="27" hidden="1" customHeight="1" x14ac:dyDescent="0.25">
      <c r="A420" s="63" t="s">
        <v>672</v>
      </c>
      <c r="B420" s="63" t="s">
        <v>673</v>
      </c>
      <c r="C420" s="36">
        <v>4301012125</v>
      </c>
      <c r="D420" s="561">
        <v>4680115886391</v>
      </c>
      <c r="E420" s="561"/>
      <c r="F420" s="62">
        <v>0.4</v>
      </c>
      <c r="G420" s="37">
        <v>6</v>
      </c>
      <c r="H420" s="62">
        <v>2.4</v>
      </c>
      <c r="I420" s="62">
        <v>2.58</v>
      </c>
      <c r="J420" s="37">
        <v>182</v>
      </c>
      <c r="K420" s="37" t="s">
        <v>81</v>
      </c>
      <c r="L420" s="37" t="s">
        <v>45</v>
      </c>
      <c r="M420" s="38" t="s">
        <v>90</v>
      </c>
      <c r="N420" s="38"/>
      <c r="O420" s="37">
        <v>60</v>
      </c>
      <c r="P420" s="5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0" s="563"/>
      <c r="R420" s="563"/>
      <c r="S420" s="563"/>
      <c r="T420" s="564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96" t="s">
        <v>111</v>
      </c>
      <c r="AG420" s="78"/>
      <c r="AJ420" s="84" t="s">
        <v>45</v>
      </c>
      <c r="AK420" s="84">
        <v>0</v>
      </c>
      <c r="BB420" s="497" t="s">
        <v>66</v>
      </c>
      <c r="BM420" s="78">
        <f t="shared" si="54"/>
        <v>0</v>
      </c>
      <c r="BN420" s="78">
        <f t="shared" si="55"/>
        <v>0</v>
      </c>
      <c r="BO420" s="78">
        <f t="shared" si="56"/>
        <v>0</v>
      </c>
      <c r="BP420" s="78">
        <f t="shared" si="57"/>
        <v>0</v>
      </c>
    </row>
    <row r="421" spans="1:68" ht="27" customHeight="1" x14ac:dyDescent="0.25">
      <c r="A421" s="63" t="s">
        <v>674</v>
      </c>
      <c r="B421" s="63" t="s">
        <v>675</v>
      </c>
      <c r="C421" s="36">
        <v>4301012035</v>
      </c>
      <c r="D421" s="561">
        <v>4680115880603</v>
      </c>
      <c r="E421" s="561"/>
      <c r="F421" s="62">
        <v>0.6</v>
      </c>
      <c r="G421" s="37">
        <v>8</v>
      </c>
      <c r="H421" s="62">
        <v>4.8</v>
      </c>
      <c r="I421" s="62">
        <v>6.91</v>
      </c>
      <c r="J421" s="37">
        <v>132</v>
      </c>
      <c r="K421" s="37" t="s">
        <v>116</v>
      </c>
      <c r="L421" s="37" t="s">
        <v>45</v>
      </c>
      <c r="M421" s="38" t="s">
        <v>112</v>
      </c>
      <c r="N421" s="38"/>
      <c r="O421" s="37">
        <v>60</v>
      </c>
      <c r="P421" s="5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1" s="563"/>
      <c r="R421" s="563"/>
      <c r="S421" s="563"/>
      <c r="T421" s="564"/>
      <c r="U421" s="39" t="s">
        <v>45</v>
      </c>
      <c r="V421" s="39" t="s">
        <v>45</v>
      </c>
      <c r="W421" s="40" t="s">
        <v>0</v>
      </c>
      <c r="X421" s="58">
        <v>9</v>
      </c>
      <c r="Y421" s="55">
        <f t="shared" si="52"/>
        <v>9.6</v>
      </c>
      <c r="Z421" s="41">
        <f>IFERROR(IF(Y421=0,"",ROUNDUP(Y421/H421,0)*0.00902),"")</f>
        <v>1.804E-2</v>
      </c>
      <c r="AA421" s="68" t="s">
        <v>45</v>
      </c>
      <c r="AB421" s="69" t="s">
        <v>45</v>
      </c>
      <c r="AC421" s="498" t="s">
        <v>111</v>
      </c>
      <c r="AG421" s="78"/>
      <c r="AJ421" s="84" t="s">
        <v>45</v>
      </c>
      <c r="AK421" s="84">
        <v>0</v>
      </c>
      <c r="BB421" s="499" t="s">
        <v>66</v>
      </c>
      <c r="BM421" s="78">
        <f t="shared" si="54"/>
        <v>12.956250000000001</v>
      </c>
      <c r="BN421" s="78">
        <f t="shared" si="55"/>
        <v>13.82</v>
      </c>
      <c r="BO421" s="78">
        <f t="shared" si="56"/>
        <v>1.4204545454545456E-2</v>
      </c>
      <c r="BP421" s="78">
        <f t="shared" si="57"/>
        <v>1.5151515151515152E-2</v>
      </c>
    </row>
    <row r="422" spans="1:68" ht="27" customHeight="1" x14ac:dyDescent="0.25">
      <c r="A422" s="63" t="s">
        <v>676</v>
      </c>
      <c r="B422" s="63" t="s">
        <v>677</v>
      </c>
      <c r="C422" s="36">
        <v>4301012036</v>
      </c>
      <c r="D422" s="561">
        <v>4680115882782</v>
      </c>
      <c r="E422" s="561"/>
      <c r="F422" s="62">
        <v>0.6</v>
      </c>
      <c r="G422" s="37">
        <v>8</v>
      </c>
      <c r="H422" s="62">
        <v>4.8</v>
      </c>
      <c r="I422" s="62">
        <v>6.96</v>
      </c>
      <c r="J422" s="37">
        <v>120</v>
      </c>
      <c r="K422" s="37" t="s">
        <v>116</v>
      </c>
      <c r="L422" s="37" t="s">
        <v>45</v>
      </c>
      <c r="M422" s="38" t="s">
        <v>112</v>
      </c>
      <c r="N422" s="38"/>
      <c r="O422" s="37">
        <v>60</v>
      </c>
      <c r="P422" s="5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2" s="563"/>
      <c r="R422" s="563"/>
      <c r="S422" s="563"/>
      <c r="T422" s="564"/>
      <c r="U422" s="39" t="s">
        <v>45</v>
      </c>
      <c r="V422" s="39" t="s">
        <v>45</v>
      </c>
      <c r="W422" s="40" t="s">
        <v>0</v>
      </c>
      <c r="X422" s="58">
        <v>4.8</v>
      </c>
      <c r="Y422" s="55">
        <f t="shared" si="52"/>
        <v>4.8</v>
      </c>
      <c r="Z422" s="41">
        <f>IFERROR(IF(Y422=0,"",ROUNDUP(Y422/H422,0)*0.00937),"")</f>
        <v>9.3699999999999999E-3</v>
      </c>
      <c r="AA422" s="68" t="s">
        <v>45</v>
      </c>
      <c r="AB422" s="69" t="s">
        <v>45</v>
      </c>
      <c r="AC422" s="500" t="s">
        <v>662</v>
      </c>
      <c r="AG422" s="78"/>
      <c r="AJ422" s="84" t="s">
        <v>45</v>
      </c>
      <c r="AK422" s="84">
        <v>0</v>
      </c>
      <c r="BB422" s="501" t="s">
        <v>66</v>
      </c>
      <c r="BM422" s="78">
        <f t="shared" si="54"/>
        <v>6.9600000000000009</v>
      </c>
      <c r="BN422" s="78">
        <f t="shared" si="55"/>
        <v>6.9600000000000009</v>
      </c>
      <c r="BO422" s="78">
        <f t="shared" si="56"/>
        <v>8.3333333333333332E-3</v>
      </c>
      <c r="BP422" s="78">
        <f t="shared" si="57"/>
        <v>8.3333333333333332E-3</v>
      </c>
    </row>
    <row r="423" spans="1:68" ht="27" hidden="1" customHeight="1" x14ac:dyDescent="0.25">
      <c r="A423" s="63" t="s">
        <v>678</v>
      </c>
      <c r="B423" s="63" t="s">
        <v>679</v>
      </c>
      <c r="C423" s="36">
        <v>4301012050</v>
      </c>
      <c r="D423" s="561">
        <v>4680115885479</v>
      </c>
      <c r="E423" s="561"/>
      <c r="F423" s="62">
        <v>0.4</v>
      </c>
      <c r="G423" s="37">
        <v>6</v>
      </c>
      <c r="H423" s="62">
        <v>2.4</v>
      </c>
      <c r="I423" s="62">
        <v>2.58</v>
      </c>
      <c r="J423" s="37">
        <v>182</v>
      </c>
      <c r="K423" s="37" t="s">
        <v>81</v>
      </c>
      <c r="L423" s="37" t="s">
        <v>45</v>
      </c>
      <c r="M423" s="38" t="s">
        <v>112</v>
      </c>
      <c r="N423" s="38"/>
      <c r="O423" s="37">
        <v>60</v>
      </c>
      <c r="P423" s="59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3" s="563"/>
      <c r="R423" s="563"/>
      <c r="S423" s="563"/>
      <c r="T423" s="56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52"/>
        <v>0</v>
      </c>
      <c r="Z423" s="41" t="str">
        <f>IFERROR(IF(Y423=0,"",ROUNDUP(Y423/H423,0)*0.00651),"")</f>
        <v/>
      </c>
      <c r="AA423" s="68" t="s">
        <v>45</v>
      </c>
      <c r="AB423" s="69" t="s">
        <v>45</v>
      </c>
      <c r="AC423" s="502" t="s">
        <v>680</v>
      </c>
      <c r="AG423" s="78"/>
      <c r="AJ423" s="84" t="s">
        <v>45</v>
      </c>
      <c r="AK423" s="84">
        <v>0</v>
      </c>
      <c r="BB423" s="503" t="s">
        <v>66</v>
      </c>
      <c r="BM423" s="78">
        <f t="shared" si="54"/>
        <v>0</v>
      </c>
      <c r="BN423" s="78">
        <f t="shared" si="55"/>
        <v>0</v>
      </c>
      <c r="BO423" s="78">
        <f t="shared" si="56"/>
        <v>0</v>
      </c>
      <c r="BP423" s="78">
        <f t="shared" si="57"/>
        <v>0</v>
      </c>
    </row>
    <row r="424" spans="1:68" ht="27" customHeight="1" x14ac:dyDescent="0.25">
      <c r="A424" s="63" t="s">
        <v>681</v>
      </c>
      <c r="B424" s="63" t="s">
        <v>682</v>
      </c>
      <c r="C424" s="36">
        <v>4301012034</v>
      </c>
      <c r="D424" s="561">
        <v>4607091389982</v>
      </c>
      <c r="E424" s="561"/>
      <c r="F424" s="62">
        <v>0.6</v>
      </c>
      <c r="G424" s="37">
        <v>8</v>
      </c>
      <c r="H424" s="62">
        <v>4.8</v>
      </c>
      <c r="I424" s="62">
        <v>6.91</v>
      </c>
      <c r="J424" s="37">
        <v>132</v>
      </c>
      <c r="K424" s="37" t="s">
        <v>116</v>
      </c>
      <c r="L424" s="37" t="s">
        <v>45</v>
      </c>
      <c r="M424" s="38" t="s">
        <v>112</v>
      </c>
      <c r="N424" s="38"/>
      <c r="O424" s="37">
        <v>60</v>
      </c>
      <c r="P424" s="59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24" s="563"/>
      <c r="R424" s="563"/>
      <c r="S424" s="563"/>
      <c r="T424" s="564"/>
      <c r="U424" s="39" t="s">
        <v>45</v>
      </c>
      <c r="V424" s="39" t="s">
        <v>45</v>
      </c>
      <c r="W424" s="40" t="s">
        <v>0</v>
      </c>
      <c r="X424" s="58">
        <v>4.8</v>
      </c>
      <c r="Y424" s="55">
        <f t="shared" si="52"/>
        <v>4.8</v>
      </c>
      <c r="Z424" s="41">
        <f>IFERROR(IF(Y424=0,"",ROUNDUP(Y424/H424,0)*0.00902),"")</f>
        <v>9.0200000000000002E-3</v>
      </c>
      <c r="AA424" s="68" t="s">
        <v>45</v>
      </c>
      <c r="AB424" s="69" t="s">
        <v>45</v>
      </c>
      <c r="AC424" s="504" t="s">
        <v>671</v>
      </c>
      <c r="AG424" s="78"/>
      <c r="AJ424" s="84" t="s">
        <v>45</v>
      </c>
      <c r="AK424" s="84">
        <v>0</v>
      </c>
      <c r="BB424" s="505" t="s">
        <v>66</v>
      </c>
      <c r="BM424" s="78">
        <f t="shared" si="54"/>
        <v>6.91</v>
      </c>
      <c r="BN424" s="78">
        <f t="shared" si="55"/>
        <v>6.91</v>
      </c>
      <c r="BO424" s="78">
        <f t="shared" si="56"/>
        <v>7.575757575757576E-3</v>
      </c>
      <c r="BP424" s="78">
        <f t="shared" si="57"/>
        <v>7.575757575757576E-3</v>
      </c>
    </row>
    <row r="425" spans="1:68" x14ac:dyDescent="0.2">
      <c r="A425" s="555"/>
      <c r="B425" s="555"/>
      <c r="C425" s="555"/>
      <c r="D425" s="555"/>
      <c r="E425" s="555"/>
      <c r="F425" s="555"/>
      <c r="G425" s="555"/>
      <c r="H425" s="555"/>
      <c r="I425" s="555"/>
      <c r="J425" s="555"/>
      <c r="K425" s="555"/>
      <c r="L425" s="555"/>
      <c r="M425" s="555"/>
      <c r="N425" s="555"/>
      <c r="O425" s="556"/>
      <c r="P425" s="552" t="s">
        <v>40</v>
      </c>
      <c r="Q425" s="553"/>
      <c r="R425" s="553"/>
      <c r="S425" s="553"/>
      <c r="T425" s="553"/>
      <c r="U425" s="553"/>
      <c r="V425" s="554"/>
      <c r="W425" s="42" t="s">
        <v>39</v>
      </c>
      <c r="X425" s="43">
        <f>IFERROR(X413/H413,"0")+IFERROR(X414/H414,"0")+IFERROR(X415/H415,"0")+IFERROR(X416/H416,"0")+IFERROR(X417/H417,"0")+IFERROR(X418/H418,"0")+IFERROR(X419/H419,"0")+IFERROR(X420/H420,"0")+IFERROR(X421/H421,"0")+IFERROR(X422/H422,"0")+IFERROR(X423/H423,"0")+IFERROR(X424/H424,"0")</f>
        <v>3.875</v>
      </c>
      <c r="Y425" s="43">
        <f>IFERROR(Y413/H413,"0")+IFERROR(Y414/H414,"0")+IFERROR(Y415/H415,"0")+IFERROR(Y416/H416,"0")+IFERROR(Y417/H417,"0")+IFERROR(Y418/H418,"0")+IFERROR(Y419/H419,"0")+IFERROR(Y420/H420,"0")+IFERROR(Y421/H421,"0")+IFERROR(Y422/H422,"0")+IFERROR(Y423/H423,"0")+IFERROR(Y424/H424,"0")</f>
        <v>4</v>
      </c>
      <c r="Z425" s="43">
        <f>IFERROR(IF(Z413="",0,Z413),"0")+IFERROR(IF(Z414="",0,Z414),"0")+IFERROR(IF(Z415="",0,Z415),"0")+IFERROR(IF(Z416="",0,Z416),"0")+IFERROR(IF(Z417="",0,Z417),"0")+IFERROR(IF(Z418="",0,Z418),"0")+IFERROR(IF(Z419="",0,Z419),"0")+IFERROR(IF(Z420="",0,Z420),"0")+IFERROR(IF(Z421="",0,Z421),"0")+IFERROR(IF(Z422="",0,Z422),"0")+IFERROR(IF(Z423="",0,Z423),"0")+IFERROR(IF(Z424="",0,Z424),"0")</f>
        <v>3.6430000000000004E-2</v>
      </c>
      <c r="AA425" s="67"/>
      <c r="AB425" s="67"/>
      <c r="AC425" s="67"/>
    </row>
    <row r="426" spans="1:68" x14ac:dyDescent="0.2">
      <c r="A426" s="555"/>
      <c r="B426" s="555"/>
      <c r="C426" s="555"/>
      <c r="D426" s="555"/>
      <c r="E426" s="555"/>
      <c r="F426" s="555"/>
      <c r="G426" s="555"/>
      <c r="H426" s="555"/>
      <c r="I426" s="555"/>
      <c r="J426" s="555"/>
      <c r="K426" s="555"/>
      <c r="L426" s="555"/>
      <c r="M426" s="555"/>
      <c r="N426" s="555"/>
      <c r="O426" s="556"/>
      <c r="P426" s="552" t="s">
        <v>40</v>
      </c>
      <c r="Q426" s="553"/>
      <c r="R426" s="553"/>
      <c r="S426" s="553"/>
      <c r="T426" s="553"/>
      <c r="U426" s="553"/>
      <c r="V426" s="554"/>
      <c r="W426" s="42" t="s">
        <v>0</v>
      </c>
      <c r="X426" s="43">
        <f>IFERROR(SUM(X413:X424),"0")</f>
        <v>18.600000000000001</v>
      </c>
      <c r="Y426" s="43">
        <f>IFERROR(SUM(Y413:Y424),"0")</f>
        <v>19.2</v>
      </c>
      <c r="Z426" s="42"/>
      <c r="AA426" s="67"/>
      <c r="AB426" s="67"/>
      <c r="AC426" s="67"/>
    </row>
    <row r="427" spans="1:68" ht="14.25" hidden="1" customHeight="1" x14ac:dyDescent="0.25">
      <c r="A427" s="566" t="s">
        <v>141</v>
      </c>
      <c r="B427" s="566"/>
      <c r="C427" s="566"/>
      <c r="D427" s="566"/>
      <c r="E427" s="566"/>
      <c r="F427" s="566"/>
      <c r="G427" s="566"/>
      <c r="H427" s="566"/>
      <c r="I427" s="566"/>
      <c r="J427" s="566"/>
      <c r="K427" s="566"/>
      <c r="L427" s="566"/>
      <c r="M427" s="566"/>
      <c r="N427" s="566"/>
      <c r="O427" s="566"/>
      <c r="P427" s="566"/>
      <c r="Q427" s="566"/>
      <c r="R427" s="566"/>
      <c r="S427" s="566"/>
      <c r="T427" s="566"/>
      <c r="U427" s="566"/>
      <c r="V427" s="566"/>
      <c r="W427" s="566"/>
      <c r="X427" s="566"/>
      <c r="Y427" s="566"/>
      <c r="Z427" s="566"/>
      <c r="AA427" s="66"/>
      <c r="AB427" s="66"/>
      <c r="AC427" s="80"/>
    </row>
    <row r="428" spans="1:68" ht="16.5" hidden="1" customHeight="1" x14ac:dyDescent="0.25">
      <c r="A428" s="63" t="s">
        <v>683</v>
      </c>
      <c r="B428" s="63" t="s">
        <v>684</v>
      </c>
      <c r="C428" s="36">
        <v>4301020334</v>
      </c>
      <c r="D428" s="561">
        <v>4607091388930</v>
      </c>
      <c r="E428" s="561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113</v>
      </c>
      <c r="L428" s="37" t="s">
        <v>45</v>
      </c>
      <c r="M428" s="38" t="s">
        <v>90</v>
      </c>
      <c r="N428" s="38"/>
      <c r="O428" s="37">
        <v>70</v>
      </c>
      <c r="P428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28" s="563"/>
      <c r="R428" s="563"/>
      <c r="S428" s="563"/>
      <c r="T428" s="564"/>
      <c r="U428" s="39" t="s">
        <v>45</v>
      </c>
      <c r="V428" s="39" t="s">
        <v>45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IFERROR(IF(Y428=0,"",ROUNDUP(Y428/H428,0)*0.01196),"")</f>
        <v/>
      </c>
      <c r="AA428" s="68" t="s">
        <v>45</v>
      </c>
      <c r="AB428" s="69" t="s">
        <v>45</v>
      </c>
      <c r="AC428" s="506" t="s">
        <v>685</v>
      </c>
      <c r="AG428" s="78"/>
      <c r="AJ428" s="84" t="s">
        <v>45</v>
      </c>
      <c r="AK428" s="84">
        <v>0</v>
      </c>
      <c r="BB428" s="507" t="s">
        <v>66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16.5" hidden="1" customHeight="1" x14ac:dyDescent="0.25">
      <c r="A429" s="63" t="s">
        <v>686</v>
      </c>
      <c r="B429" s="63" t="s">
        <v>687</v>
      </c>
      <c r="C429" s="36">
        <v>4301020384</v>
      </c>
      <c r="D429" s="561">
        <v>4680115886407</v>
      </c>
      <c r="E429" s="561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81</v>
      </c>
      <c r="L429" s="37" t="s">
        <v>45</v>
      </c>
      <c r="M429" s="38" t="s">
        <v>90</v>
      </c>
      <c r="N429" s="38"/>
      <c r="O429" s="37">
        <v>70</v>
      </c>
      <c r="P429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29" s="563"/>
      <c r="R429" s="563"/>
      <c r="S429" s="563"/>
      <c r="T429" s="564"/>
      <c r="U429" s="39" t="s">
        <v>45</v>
      </c>
      <c r="V429" s="39" t="s">
        <v>45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508" t="s">
        <v>685</v>
      </c>
      <c r="AG429" s="78"/>
      <c r="AJ429" s="84" t="s">
        <v>45</v>
      </c>
      <c r="AK429" s="84">
        <v>0</v>
      </c>
      <c r="BB429" s="509" t="s">
        <v>66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16.5" customHeight="1" x14ac:dyDescent="0.25">
      <c r="A430" s="63" t="s">
        <v>688</v>
      </c>
      <c r="B430" s="63" t="s">
        <v>689</v>
      </c>
      <c r="C430" s="36">
        <v>4301020385</v>
      </c>
      <c r="D430" s="561">
        <v>4680115880054</v>
      </c>
      <c r="E430" s="561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116</v>
      </c>
      <c r="L430" s="37" t="s">
        <v>45</v>
      </c>
      <c r="M430" s="38" t="s">
        <v>112</v>
      </c>
      <c r="N430" s="38"/>
      <c r="O430" s="37">
        <v>70</v>
      </c>
      <c r="P430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0" s="563"/>
      <c r="R430" s="563"/>
      <c r="S430" s="563"/>
      <c r="T430" s="564"/>
      <c r="U430" s="39" t="s">
        <v>45</v>
      </c>
      <c r="V430" s="39" t="s">
        <v>45</v>
      </c>
      <c r="W430" s="40" t="s">
        <v>0</v>
      </c>
      <c r="X430" s="58">
        <v>9</v>
      </c>
      <c r="Y430" s="55">
        <f>IFERROR(IF(X430="",0,CEILING((X430/$H430),1)*$H430),"")</f>
        <v>9.6</v>
      </c>
      <c r="Z430" s="41">
        <f>IFERROR(IF(Y430=0,"",ROUNDUP(Y430/H430,0)*0.00902),"")</f>
        <v>1.804E-2</v>
      </c>
      <c r="AA430" s="68" t="s">
        <v>45</v>
      </c>
      <c r="AB430" s="69" t="s">
        <v>45</v>
      </c>
      <c r="AC430" s="510" t="s">
        <v>685</v>
      </c>
      <c r="AG430" s="78"/>
      <c r="AJ430" s="84" t="s">
        <v>45</v>
      </c>
      <c r="AK430" s="84">
        <v>0</v>
      </c>
      <c r="BB430" s="511" t="s">
        <v>66</v>
      </c>
      <c r="BM430" s="78">
        <f>IFERROR(X430*I430/H430,"0")</f>
        <v>12.956250000000001</v>
      </c>
      <c r="BN430" s="78">
        <f>IFERROR(Y430*I430/H430,"0")</f>
        <v>13.82</v>
      </c>
      <c r="BO430" s="78">
        <f>IFERROR(1/J430*(X430/H430),"0")</f>
        <v>1.4204545454545456E-2</v>
      </c>
      <c r="BP430" s="78">
        <f>IFERROR(1/J430*(Y430/H430),"0")</f>
        <v>1.5151515151515152E-2</v>
      </c>
    </row>
    <row r="431" spans="1:68" x14ac:dyDescent="0.2">
      <c r="A431" s="555"/>
      <c r="B431" s="555"/>
      <c r="C431" s="555"/>
      <c r="D431" s="555"/>
      <c r="E431" s="555"/>
      <c r="F431" s="555"/>
      <c r="G431" s="555"/>
      <c r="H431" s="555"/>
      <c r="I431" s="555"/>
      <c r="J431" s="555"/>
      <c r="K431" s="555"/>
      <c r="L431" s="555"/>
      <c r="M431" s="555"/>
      <c r="N431" s="555"/>
      <c r="O431" s="556"/>
      <c r="P431" s="552" t="s">
        <v>40</v>
      </c>
      <c r="Q431" s="553"/>
      <c r="R431" s="553"/>
      <c r="S431" s="553"/>
      <c r="T431" s="553"/>
      <c r="U431" s="553"/>
      <c r="V431" s="554"/>
      <c r="W431" s="42" t="s">
        <v>39</v>
      </c>
      <c r="X431" s="43">
        <f>IFERROR(X428/H428,"0")+IFERROR(X429/H429,"0")+IFERROR(X430/H430,"0")</f>
        <v>1.875</v>
      </c>
      <c r="Y431" s="43">
        <f>IFERROR(Y428/H428,"0")+IFERROR(Y429/H429,"0")+IFERROR(Y430/H430,"0")</f>
        <v>2</v>
      </c>
      <c r="Z431" s="43">
        <f>IFERROR(IF(Z428="",0,Z428),"0")+IFERROR(IF(Z429="",0,Z429),"0")+IFERROR(IF(Z430="",0,Z430),"0")</f>
        <v>1.804E-2</v>
      </c>
      <c r="AA431" s="67"/>
      <c r="AB431" s="67"/>
      <c r="AC431" s="67"/>
    </row>
    <row r="432" spans="1:68" x14ac:dyDescent="0.2">
      <c r="A432" s="555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2" t="s">
        <v>40</v>
      </c>
      <c r="Q432" s="553"/>
      <c r="R432" s="553"/>
      <c r="S432" s="553"/>
      <c r="T432" s="553"/>
      <c r="U432" s="553"/>
      <c r="V432" s="554"/>
      <c r="W432" s="42" t="s">
        <v>0</v>
      </c>
      <c r="X432" s="43">
        <f>IFERROR(SUM(X428:X430),"0")</f>
        <v>9</v>
      </c>
      <c r="Y432" s="43">
        <f>IFERROR(SUM(Y428:Y430),"0")</f>
        <v>9.6</v>
      </c>
      <c r="Z432" s="42"/>
      <c r="AA432" s="67"/>
      <c r="AB432" s="67"/>
      <c r="AC432" s="67"/>
    </row>
    <row r="433" spans="1:68" ht="14.25" hidden="1" customHeight="1" x14ac:dyDescent="0.25">
      <c r="A433" s="566" t="s">
        <v>76</v>
      </c>
      <c r="B433" s="566"/>
      <c r="C433" s="566"/>
      <c r="D433" s="566"/>
      <c r="E433" s="566"/>
      <c r="F433" s="566"/>
      <c r="G433" s="566"/>
      <c r="H433" s="566"/>
      <c r="I433" s="566"/>
      <c r="J433" s="566"/>
      <c r="K433" s="566"/>
      <c r="L433" s="566"/>
      <c r="M433" s="566"/>
      <c r="N433" s="566"/>
      <c r="O433" s="566"/>
      <c r="P433" s="566"/>
      <c r="Q433" s="566"/>
      <c r="R433" s="566"/>
      <c r="S433" s="566"/>
      <c r="T433" s="566"/>
      <c r="U433" s="566"/>
      <c r="V433" s="566"/>
      <c r="W433" s="566"/>
      <c r="X433" s="566"/>
      <c r="Y433" s="566"/>
      <c r="Z433" s="566"/>
      <c r="AA433" s="66"/>
      <c r="AB433" s="66"/>
      <c r="AC433" s="80"/>
    </row>
    <row r="434" spans="1:68" ht="27" hidden="1" customHeight="1" x14ac:dyDescent="0.25">
      <c r="A434" s="63" t="s">
        <v>690</v>
      </c>
      <c r="B434" s="63" t="s">
        <v>691</v>
      </c>
      <c r="C434" s="36">
        <v>4301031349</v>
      </c>
      <c r="D434" s="561">
        <v>4680115883116</v>
      </c>
      <c r="E434" s="561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113</v>
      </c>
      <c r="L434" s="37" t="s">
        <v>45</v>
      </c>
      <c r="M434" s="38" t="s">
        <v>112</v>
      </c>
      <c r="N434" s="38"/>
      <c r="O434" s="37">
        <v>70</v>
      </c>
      <c r="P434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34" s="563"/>
      <c r="R434" s="563"/>
      <c r="S434" s="563"/>
      <c r="T434" s="564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ref="Y434:Y439" si="58"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512" t="s">
        <v>692</v>
      </c>
      <c r="AG434" s="78"/>
      <c r="AJ434" s="84" t="s">
        <v>45</v>
      </c>
      <c r="AK434" s="84">
        <v>0</v>
      </c>
      <c r="BB434" s="513" t="s">
        <v>66</v>
      </c>
      <c r="BM434" s="78">
        <f t="shared" ref="BM434:BM439" si="59">IFERROR(X434*I434/H434,"0")</f>
        <v>0</v>
      </c>
      <c r="BN434" s="78">
        <f t="shared" ref="BN434:BN439" si="60">IFERROR(Y434*I434/H434,"0")</f>
        <v>0</v>
      </c>
      <c r="BO434" s="78">
        <f t="shared" ref="BO434:BO439" si="61">IFERROR(1/J434*(X434/H434),"0")</f>
        <v>0</v>
      </c>
      <c r="BP434" s="78">
        <f t="shared" ref="BP434:BP439" si="62">IFERROR(1/J434*(Y434/H434),"0")</f>
        <v>0</v>
      </c>
    </row>
    <row r="435" spans="1:68" ht="27" customHeight="1" x14ac:dyDescent="0.25">
      <c r="A435" s="63" t="s">
        <v>693</v>
      </c>
      <c r="B435" s="63" t="s">
        <v>694</v>
      </c>
      <c r="C435" s="36">
        <v>4301031350</v>
      </c>
      <c r="D435" s="561">
        <v>4680115883093</v>
      </c>
      <c r="E435" s="56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113</v>
      </c>
      <c r="L435" s="37" t="s">
        <v>45</v>
      </c>
      <c r="M435" s="38" t="s">
        <v>80</v>
      </c>
      <c r="N435" s="38"/>
      <c r="O435" s="37">
        <v>70</v>
      </c>
      <c r="P435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35" s="563"/>
      <c r="R435" s="563"/>
      <c r="S435" s="563"/>
      <c r="T435" s="564"/>
      <c r="U435" s="39" t="s">
        <v>45</v>
      </c>
      <c r="V435" s="39" t="s">
        <v>45</v>
      </c>
      <c r="W435" s="40" t="s">
        <v>0</v>
      </c>
      <c r="X435" s="58">
        <v>21.12</v>
      </c>
      <c r="Y435" s="55">
        <f t="shared" si="58"/>
        <v>21.12</v>
      </c>
      <c r="Z435" s="41">
        <f>IFERROR(IF(Y435=0,"",ROUNDUP(Y435/H435,0)*0.01196),"")</f>
        <v>4.7840000000000001E-2</v>
      </c>
      <c r="AA435" s="68" t="s">
        <v>45</v>
      </c>
      <c r="AB435" s="69" t="s">
        <v>45</v>
      </c>
      <c r="AC435" s="514" t="s">
        <v>695</v>
      </c>
      <c r="AG435" s="78"/>
      <c r="AJ435" s="84" t="s">
        <v>45</v>
      </c>
      <c r="AK435" s="84">
        <v>0</v>
      </c>
      <c r="BB435" s="515" t="s">
        <v>66</v>
      </c>
      <c r="BM435" s="78">
        <f t="shared" si="59"/>
        <v>22.52</v>
      </c>
      <c r="BN435" s="78">
        <f t="shared" si="60"/>
        <v>22.52</v>
      </c>
      <c r="BO435" s="78">
        <f t="shared" si="61"/>
        <v>3.8461538461538464E-2</v>
      </c>
      <c r="BP435" s="78">
        <f t="shared" si="62"/>
        <v>3.8461538461538464E-2</v>
      </c>
    </row>
    <row r="436" spans="1:68" ht="27" hidden="1" customHeight="1" x14ac:dyDescent="0.25">
      <c r="A436" s="63" t="s">
        <v>696</v>
      </c>
      <c r="B436" s="63" t="s">
        <v>697</v>
      </c>
      <c r="C436" s="36">
        <v>4301031353</v>
      </c>
      <c r="D436" s="561">
        <v>4680115883109</v>
      </c>
      <c r="E436" s="561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113</v>
      </c>
      <c r="L436" s="37" t="s">
        <v>45</v>
      </c>
      <c r="M436" s="38" t="s">
        <v>80</v>
      </c>
      <c r="N436" s="38"/>
      <c r="O436" s="37">
        <v>70</v>
      </c>
      <c r="P436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36" s="563"/>
      <c r="R436" s="563"/>
      <c r="S436" s="563"/>
      <c r="T436" s="564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8"/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16" t="s">
        <v>698</v>
      </c>
      <c r="AG436" s="78"/>
      <c r="AJ436" s="84" t="s">
        <v>45</v>
      </c>
      <c r="AK436" s="84">
        <v>0</v>
      </c>
      <c r="BB436" s="517" t="s">
        <v>66</v>
      </c>
      <c r="BM436" s="78">
        <f t="shared" si="59"/>
        <v>0</v>
      </c>
      <c r="BN436" s="78">
        <f t="shared" si="60"/>
        <v>0</v>
      </c>
      <c r="BO436" s="78">
        <f t="shared" si="61"/>
        <v>0</v>
      </c>
      <c r="BP436" s="78">
        <f t="shared" si="62"/>
        <v>0</v>
      </c>
    </row>
    <row r="437" spans="1:68" ht="27" customHeight="1" x14ac:dyDescent="0.25">
      <c r="A437" s="63" t="s">
        <v>699</v>
      </c>
      <c r="B437" s="63" t="s">
        <v>700</v>
      </c>
      <c r="C437" s="36">
        <v>4301031419</v>
      </c>
      <c r="D437" s="561">
        <v>4680115882072</v>
      </c>
      <c r="E437" s="56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116</v>
      </c>
      <c r="L437" s="37" t="s">
        <v>45</v>
      </c>
      <c r="M437" s="38" t="s">
        <v>112</v>
      </c>
      <c r="N437" s="38"/>
      <c r="O437" s="37">
        <v>70</v>
      </c>
      <c r="P437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37" s="563"/>
      <c r="R437" s="563"/>
      <c r="S437" s="563"/>
      <c r="T437" s="564"/>
      <c r="U437" s="39" t="s">
        <v>45</v>
      </c>
      <c r="V437" s="39" t="s">
        <v>45</v>
      </c>
      <c r="W437" s="40" t="s">
        <v>0</v>
      </c>
      <c r="X437" s="58">
        <v>25.92</v>
      </c>
      <c r="Y437" s="55">
        <f t="shared" si="58"/>
        <v>28.799999999999997</v>
      </c>
      <c r="Z437" s="41">
        <f>IFERROR(IF(Y437=0,"",ROUNDUP(Y437/H437,0)*0.00902),"")</f>
        <v>5.4120000000000001E-2</v>
      </c>
      <c r="AA437" s="68" t="s">
        <v>45</v>
      </c>
      <c r="AB437" s="69" t="s">
        <v>45</v>
      </c>
      <c r="AC437" s="518" t="s">
        <v>692</v>
      </c>
      <c r="AG437" s="78"/>
      <c r="AJ437" s="84" t="s">
        <v>45</v>
      </c>
      <c r="AK437" s="84">
        <v>0</v>
      </c>
      <c r="BB437" s="519" t="s">
        <v>66</v>
      </c>
      <c r="BM437" s="78">
        <f t="shared" si="59"/>
        <v>37.314</v>
      </c>
      <c r="BN437" s="78">
        <f t="shared" si="60"/>
        <v>41.46</v>
      </c>
      <c r="BO437" s="78">
        <f t="shared" si="61"/>
        <v>4.0909090909090916E-2</v>
      </c>
      <c r="BP437" s="78">
        <f t="shared" si="62"/>
        <v>4.5454545454545456E-2</v>
      </c>
    </row>
    <row r="438" spans="1:68" ht="27" customHeight="1" x14ac:dyDescent="0.25">
      <c r="A438" s="63" t="s">
        <v>701</v>
      </c>
      <c r="B438" s="63" t="s">
        <v>702</v>
      </c>
      <c r="C438" s="36">
        <v>4301031418</v>
      </c>
      <c r="D438" s="561">
        <v>4680115882102</v>
      </c>
      <c r="E438" s="561"/>
      <c r="F438" s="62">
        <v>0.6</v>
      </c>
      <c r="G438" s="37">
        <v>8</v>
      </c>
      <c r="H438" s="62">
        <v>4.8</v>
      </c>
      <c r="I438" s="62">
        <v>6.67</v>
      </c>
      <c r="J438" s="37">
        <v>132</v>
      </c>
      <c r="K438" s="37" t="s">
        <v>116</v>
      </c>
      <c r="L438" s="37" t="s">
        <v>45</v>
      </c>
      <c r="M438" s="38" t="s">
        <v>80</v>
      </c>
      <c r="N438" s="38"/>
      <c r="O438" s="37">
        <v>70</v>
      </c>
      <c r="P438" s="57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38" s="563"/>
      <c r="R438" s="563"/>
      <c r="S438" s="563"/>
      <c r="T438" s="564"/>
      <c r="U438" s="39" t="s">
        <v>45</v>
      </c>
      <c r="V438" s="39" t="s">
        <v>45</v>
      </c>
      <c r="W438" s="40" t="s">
        <v>0</v>
      </c>
      <c r="X438" s="58">
        <v>18.600000000000001</v>
      </c>
      <c r="Y438" s="55">
        <f t="shared" si="58"/>
        <v>19.2</v>
      </c>
      <c r="Z438" s="41">
        <f>IFERROR(IF(Y438=0,"",ROUNDUP(Y438/H438,0)*0.00902),"")</f>
        <v>3.6080000000000001E-2</v>
      </c>
      <c r="AA438" s="68" t="s">
        <v>45</v>
      </c>
      <c r="AB438" s="69" t="s">
        <v>45</v>
      </c>
      <c r="AC438" s="520" t="s">
        <v>695</v>
      </c>
      <c r="AG438" s="78"/>
      <c r="AJ438" s="84" t="s">
        <v>45</v>
      </c>
      <c r="AK438" s="84">
        <v>0</v>
      </c>
      <c r="BB438" s="521" t="s">
        <v>66</v>
      </c>
      <c r="BM438" s="78">
        <f t="shared" si="59"/>
        <v>25.846250000000005</v>
      </c>
      <c r="BN438" s="78">
        <f t="shared" si="60"/>
        <v>26.68</v>
      </c>
      <c r="BO438" s="78">
        <f t="shared" si="61"/>
        <v>2.9356060606060611E-2</v>
      </c>
      <c r="BP438" s="78">
        <f t="shared" si="62"/>
        <v>3.0303030303030304E-2</v>
      </c>
    </row>
    <row r="439" spans="1:68" ht="27" customHeight="1" x14ac:dyDescent="0.25">
      <c r="A439" s="63" t="s">
        <v>703</v>
      </c>
      <c r="B439" s="63" t="s">
        <v>704</v>
      </c>
      <c r="C439" s="36">
        <v>4301031417</v>
      </c>
      <c r="D439" s="561">
        <v>4680115882096</v>
      </c>
      <c r="E439" s="561"/>
      <c r="F439" s="62">
        <v>0.6</v>
      </c>
      <c r="G439" s="37">
        <v>8</v>
      </c>
      <c r="H439" s="62">
        <v>4.8</v>
      </c>
      <c r="I439" s="62">
        <v>6.67</v>
      </c>
      <c r="J439" s="37">
        <v>132</v>
      </c>
      <c r="K439" s="37" t="s">
        <v>116</v>
      </c>
      <c r="L439" s="37" t="s">
        <v>45</v>
      </c>
      <c r="M439" s="38" t="s">
        <v>80</v>
      </c>
      <c r="N439" s="38"/>
      <c r="O439" s="37">
        <v>70</v>
      </c>
      <c r="P439" s="5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39" s="563"/>
      <c r="R439" s="563"/>
      <c r="S439" s="563"/>
      <c r="T439" s="564"/>
      <c r="U439" s="39" t="s">
        <v>45</v>
      </c>
      <c r="V439" s="39" t="s">
        <v>45</v>
      </c>
      <c r="W439" s="40" t="s">
        <v>0</v>
      </c>
      <c r="X439" s="58">
        <v>9</v>
      </c>
      <c r="Y439" s="55">
        <f t="shared" si="58"/>
        <v>9.6</v>
      </c>
      <c r="Z439" s="41">
        <f>IFERROR(IF(Y439=0,"",ROUNDUP(Y439/H439,0)*0.00902),"")</f>
        <v>1.804E-2</v>
      </c>
      <c r="AA439" s="68" t="s">
        <v>45</v>
      </c>
      <c r="AB439" s="69" t="s">
        <v>45</v>
      </c>
      <c r="AC439" s="522" t="s">
        <v>698</v>
      </c>
      <c r="AG439" s="78"/>
      <c r="AJ439" s="84" t="s">
        <v>45</v>
      </c>
      <c r="AK439" s="84">
        <v>0</v>
      </c>
      <c r="BB439" s="523" t="s">
        <v>66</v>
      </c>
      <c r="BM439" s="78">
        <f t="shared" si="59"/>
        <v>12.506250000000001</v>
      </c>
      <c r="BN439" s="78">
        <f t="shared" si="60"/>
        <v>13.34</v>
      </c>
      <c r="BO439" s="78">
        <f t="shared" si="61"/>
        <v>1.4204545454545456E-2</v>
      </c>
      <c r="BP439" s="78">
        <f t="shared" si="62"/>
        <v>1.5151515151515152E-2</v>
      </c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52" t="s">
        <v>40</v>
      </c>
      <c r="Q440" s="553"/>
      <c r="R440" s="553"/>
      <c r="S440" s="553"/>
      <c r="T440" s="553"/>
      <c r="U440" s="553"/>
      <c r="V440" s="554"/>
      <c r="W440" s="42" t="s">
        <v>39</v>
      </c>
      <c r="X440" s="43">
        <f>IFERROR(X434/H434,"0")+IFERROR(X435/H435,"0")+IFERROR(X436/H436,"0")+IFERROR(X437/H437,"0")+IFERROR(X438/H438,"0")+IFERROR(X439/H439,"0")</f>
        <v>15.15</v>
      </c>
      <c r="Y440" s="43">
        <f>IFERROR(Y434/H434,"0")+IFERROR(Y435/H435,"0")+IFERROR(Y436/H436,"0")+IFERROR(Y437/H437,"0")+IFERROR(Y438/H438,"0")+IFERROR(Y439/H439,"0")</f>
        <v>16</v>
      </c>
      <c r="Z440" s="43">
        <f>IFERROR(IF(Z434="",0,Z434),"0")+IFERROR(IF(Z435="",0,Z435),"0")+IFERROR(IF(Z436="",0,Z436),"0")+IFERROR(IF(Z437="",0,Z437),"0")+IFERROR(IF(Z438="",0,Z438),"0")+IFERROR(IF(Z439="",0,Z439),"0")</f>
        <v>0.15608</v>
      </c>
      <c r="AA440" s="67"/>
      <c r="AB440" s="67"/>
      <c r="AC440" s="67"/>
    </row>
    <row r="441" spans="1:68" x14ac:dyDescent="0.2">
      <c r="A441" s="555"/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6"/>
      <c r="P441" s="552" t="s">
        <v>40</v>
      </c>
      <c r="Q441" s="553"/>
      <c r="R441" s="553"/>
      <c r="S441" s="553"/>
      <c r="T441" s="553"/>
      <c r="U441" s="553"/>
      <c r="V441" s="554"/>
      <c r="W441" s="42" t="s">
        <v>0</v>
      </c>
      <c r="X441" s="43">
        <f>IFERROR(SUM(X434:X439),"0")</f>
        <v>74.640000000000015</v>
      </c>
      <c r="Y441" s="43">
        <f>IFERROR(SUM(Y434:Y439),"0")</f>
        <v>78.72</v>
      </c>
      <c r="Z441" s="42"/>
      <c r="AA441" s="67"/>
      <c r="AB441" s="67"/>
      <c r="AC441" s="67"/>
    </row>
    <row r="442" spans="1:68" ht="14.25" hidden="1" customHeight="1" x14ac:dyDescent="0.25">
      <c r="A442" s="566" t="s">
        <v>86</v>
      </c>
      <c r="B442" s="566"/>
      <c r="C442" s="566"/>
      <c r="D442" s="566"/>
      <c r="E442" s="566"/>
      <c r="F442" s="566"/>
      <c r="G442" s="566"/>
      <c r="H442" s="566"/>
      <c r="I442" s="566"/>
      <c r="J442" s="566"/>
      <c r="K442" s="566"/>
      <c r="L442" s="566"/>
      <c r="M442" s="566"/>
      <c r="N442" s="566"/>
      <c r="O442" s="566"/>
      <c r="P442" s="566"/>
      <c r="Q442" s="566"/>
      <c r="R442" s="566"/>
      <c r="S442" s="566"/>
      <c r="T442" s="566"/>
      <c r="U442" s="566"/>
      <c r="V442" s="566"/>
      <c r="W442" s="566"/>
      <c r="X442" s="566"/>
      <c r="Y442" s="566"/>
      <c r="Z442" s="566"/>
      <c r="AA442" s="66"/>
      <c r="AB442" s="66"/>
      <c r="AC442" s="80"/>
    </row>
    <row r="443" spans="1:68" ht="27" hidden="1" customHeight="1" x14ac:dyDescent="0.25">
      <c r="A443" s="63" t="s">
        <v>705</v>
      </c>
      <c r="B443" s="63" t="s">
        <v>706</v>
      </c>
      <c r="C443" s="36">
        <v>4301051064</v>
      </c>
      <c r="D443" s="561">
        <v>4680115883536</v>
      </c>
      <c r="E443" s="561"/>
      <c r="F443" s="62">
        <v>0.3</v>
      </c>
      <c r="G443" s="37">
        <v>6</v>
      </c>
      <c r="H443" s="62">
        <v>1.8</v>
      </c>
      <c r="I443" s="62">
        <v>2.0459999999999998</v>
      </c>
      <c r="J443" s="37">
        <v>182</v>
      </c>
      <c r="K443" s="37" t="s">
        <v>81</v>
      </c>
      <c r="L443" s="37" t="s">
        <v>45</v>
      </c>
      <c r="M443" s="38" t="s">
        <v>90</v>
      </c>
      <c r="N443" s="38"/>
      <c r="O443" s="37">
        <v>45</v>
      </c>
      <c r="P443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43" s="563"/>
      <c r="R443" s="563"/>
      <c r="S443" s="563"/>
      <c r="T443" s="564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24" t="s">
        <v>707</v>
      </c>
      <c r="AG443" s="78"/>
      <c r="AJ443" s="84" t="s">
        <v>45</v>
      </c>
      <c r="AK443" s="84">
        <v>0</v>
      </c>
      <c r="BB443" s="52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555"/>
      <c r="B444" s="555"/>
      <c r="C444" s="555"/>
      <c r="D444" s="555"/>
      <c r="E444" s="555"/>
      <c r="F444" s="555"/>
      <c r="G444" s="555"/>
      <c r="H444" s="555"/>
      <c r="I444" s="555"/>
      <c r="J444" s="555"/>
      <c r="K444" s="555"/>
      <c r="L444" s="555"/>
      <c r="M444" s="555"/>
      <c r="N444" s="555"/>
      <c r="O444" s="556"/>
      <c r="P444" s="552" t="s">
        <v>40</v>
      </c>
      <c r="Q444" s="553"/>
      <c r="R444" s="553"/>
      <c r="S444" s="553"/>
      <c r="T444" s="553"/>
      <c r="U444" s="553"/>
      <c r="V444" s="554"/>
      <c r="W444" s="42" t="s">
        <v>39</v>
      </c>
      <c r="X444" s="43">
        <f>IFERROR(X443/H443,"0")</f>
        <v>0</v>
      </c>
      <c r="Y444" s="43">
        <f>IFERROR(Y443/H443,"0")</f>
        <v>0</v>
      </c>
      <c r="Z444" s="43">
        <f>IFERROR(IF(Z443="",0,Z443),"0")</f>
        <v>0</v>
      </c>
      <c r="AA444" s="67"/>
      <c r="AB444" s="67"/>
      <c r="AC444" s="67"/>
    </row>
    <row r="445" spans="1:68" hidden="1" x14ac:dyDescent="0.2">
      <c r="A445" s="555"/>
      <c r="B445" s="555"/>
      <c r="C445" s="555"/>
      <c r="D445" s="555"/>
      <c r="E445" s="555"/>
      <c r="F445" s="555"/>
      <c r="G445" s="555"/>
      <c r="H445" s="555"/>
      <c r="I445" s="555"/>
      <c r="J445" s="555"/>
      <c r="K445" s="555"/>
      <c r="L445" s="555"/>
      <c r="M445" s="555"/>
      <c r="N445" s="555"/>
      <c r="O445" s="556"/>
      <c r="P445" s="552" t="s">
        <v>40</v>
      </c>
      <c r="Q445" s="553"/>
      <c r="R445" s="553"/>
      <c r="S445" s="553"/>
      <c r="T445" s="553"/>
      <c r="U445" s="553"/>
      <c r="V445" s="554"/>
      <c r="W445" s="42" t="s">
        <v>0</v>
      </c>
      <c r="X445" s="43">
        <f>IFERROR(SUM(X443:X443),"0")</f>
        <v>0</v>
      </c>
      <c r="Y445" s="43">
        <f>IFERROR(SUM(Y443:Y443),"0")</f>
        <v>0</v>
      </c>
      <c r="Z445" s="42"/>
      <c r="AA445" s="67"/>
      <c r="AB445" s="67"/>
      <c r="AC445" s="67"/>
    </row>
    <row r="446" spans="1:68" ht="27.75" hidden="1" customHeight="1" x14ac:dyDescent="0.2">
      <c r="A446" s="575" t="s">
        <v>708</v>
      </c>
      <c r="B446" s="575"/>
      <c r="C446" s="575"/>
      <c r="D446" s="575"/>
      <c r="E446" s="575"/>
      <c r="F446" s="575"/>
      <c r="G446" s="575"/>
      <c r="H446" s="575"/>
      <c r="I446" s="575"/>
      <c r="J446" s="575"/>
      <c r="K446" s="575"/>
      <c r="L446" s="575"/>
      <c r="M446" s="575"/>
      <c r="N446" s="575"/>
      <c r="O446" s="575"/>
      <c r="P446" s="575"/>
      <c r="Q446" s="575"/>
      <c r="R446" s="575"/>
      <c r="S446" s="575"/>
      <c r="T446" s="575"/>
      <c r="U446" s="575"/>
      <c r="V446" s="575"/>
      <c r="W446" s="575"/>
      <c r="X446" s="575"/>
      <c r="Y446" s="575"/>
      <c r="Z446" s="575"/>
      <c r="AA446" s="54"/>
      <c r="AB446" s="54"/>
      <c r="AC446" s="54"/>
    </row>
    <row r="447" spans="1:68" ht="16.5" hidden="1" customHeight="1" x14ac:dyDescent="0.25">
      <c r="A447" s="565" t="s">
        <v>708</v>
      </c>
      <c r="B447" s="565"/>
      <c r="C447" s="565"/>
      <c r="D447" s="565"/>
      <c r="E447" s="565"/>
      <c r="F447" s="565"/>
      <c r="G447" s="565"/>
      <c r="H447" s="565"/>
      <c r="I447" s="565"/>
      <c r="J447" s="565"/>
      <c r="K447" s="565"/>
      <c r="L447" s="565"/>
      <c r="M447" s="565"/>
      <c r="N447" s="565"/>
      <c r="O447" s="565"/>
      <c r="P447" s="565"/>
      <c r="Q447" s="565"/>
      <c r="R447" s="565"/>
      <c r="S447" s="565"/>
      <c r="T447" s="565"/>
      <c r="U447" s="565"/>
      <c r="V447" s="565"/>
      <c r="W447" s="565"/>
      <c r="X447" s="565"/>
      <c r="Y447" s="565"/>
      <c r="Z447" s="565"/>
      <c r="AA447" s="65"/>
      <c r="AB447" s="65"/>
      <c r="AC447" s="79"/>
    </row>
    <row r="448" spans="1:68" ht="14.25" hidden="1" customHeight="1" x14ac:dyDescent="0.25">
      <c r="A448" s="566" t="s">
        <v>108</v>
      </c>
      <c r="B448" s="566"/>
      <c r="C448" s="566"/>
      <c r="D448" s="566"/>
      <c r="E448" s="566"/>
      <c r="F448" s="566"/>
      <c r="G448" s="566"/>
      <c r="H448" s="566"/>
      <c r="I448" s="566"/>
      <c r="J448" s="566"/>
      <c r="K448" s="566"/>
      <c r="L448" s="566"/>
      <c r="M448" s="566"/>
      <c r="N448" s="566"/>
      <c r="O448" s="566"/>
      <c r="P448" s="566"/>
      <c r="Q448" s="566"/>
      <c r="R448" s="566"/>
      <c r="S448" s="566"/>
      <c r="T448" s="566"/>
      <c r="U448" s="566"/>
      <c r="V448" s="566"/>
      <c r="W448" s="566"/>
      <c r="X448" s="566"/>
      <c r="Y448" s="566"/>
      <c r="Z448" s="566"/>
      <c r="AA448" s="66"/>
      <c r="AB448" s="66"/>
      <c r="AC448" s="80"/>
    </row>
    <row r="449" spans="1:68" ht="27" hidden="1" customHeight="1" x14ac:dyDescent="0.25">
      <c r="A449" s="63" t="s">
        <v>709</v>
      </c>
      <c r="B449" s="63" t="s">
        <v>710</v>
      </c>
      <c r="C449" s="36">
        <v>4301011763</v>
      </c>
      <c r="D449" s="561">
        <v>4640242181011</v>
      </c>
      <c r="E449" s="561"/>
      <c r="F449" s="62">
        <v>1.35</v>
      </c>
      <c r="G449" s="37">
        <v>8</v>
      </c>
      <c r="H449" s="62">
        <v>10.8</v>
      </c>
      <c r="I449" s="62">
        <v>11.21</v>
      </c>
      <c r="J449" s="37">
        <v>64</v>
      </c>
      <c r="K449" s="37" t="s">
        <v>113</v>
      </c>
      <c r="L449" s="37" t="s">
        <v>45</v>
      </c>
      <c r="M449" s="38" t="s">
        <v>90</v>
      </c>
      <c r="N449" s="38"/>
      <c r="O449" s="37">
        <v>55</v>
      </c>
      <c r="P449" s="57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49" s="563"/>
      <c r="R449" s="563"/>
      <c r="S449" s="563"/>
      <c r="T449" s="564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26" t="s">
        <v>711</v>
      </c>
      <c r="AG449" s="78"/>
      <c r="AJ449" s="84" t="s">
        <v>45</v>
      </c>
      <c r="AK449" s="84">
        <v>0</v>
      </c>
      <c r="BB449" s="52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712</v>
      </c>
      <c r="B450" s="63" t="s">
        <v>713</v>
      </c>
      <c r="C450" s="36">
        <v>4301011585</v>
      </c>
      <c r="D450" s="561">
        <v>4640242180441</v>
      </c>
      <c r="E450" s="561"/>
      <c r="F450" s="62">
        <v>1.5</v>
      </c>
      <c r="G450" s="37">
        <v>8</v>
      </c>
      <c r="H450" s="62">
        <v>12</v>
      </c>
      <c r="I450" s="62">
        <v>12.41</v>
      </c>
      <c r="J450" s="37">
        <v>64</v>
      </c>
      <c r="K450" s="37" t="s">
        <v>113</v>
      </c>
      <c r="L450" s="37" t="s">
        <v>45</v>
      </c>
      <c r="M450" s="38" t="s">
        <v>112</v>
      </c>
      <c r="N450" s="38"/>
      <c r="O450" s="37">
        <v>50</v>
      </c>
      <c r="P450" s="57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0" s="563"/>
      <c r="R450" s="563"/>
      <c r="S450" s="563"/>
      <c r="T450" s="56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28" t="s">
        <v>714</v>
      </c>
      <c r="AG450" s="78"/>
      <c r="AJ450" s="84" t="s">
        <v>45</v>
      </c>
      <c r="AK450" s="84">
        <v>0</v>
      </c>
      <c r="BB450" s="52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715</v>
      </c>
      <c r="B451" s="63" t="s">
        <v>716</v>
      </c>
      <c r="C451" s="36">
        <v>4301011584</v>
      </c>
      <c r="D451" s="561">
        <v>4640242180564</v>
      </c>
      <c r="E451" s="561"/>
      <c r="F451" s="62">
        <v>1.5</v>
      </c>
      <c r="G451" s="37">
        <v>8</v>
      </c>
      <c r="H451" s="62">
        <v>12</v>
      </c>
      <c r="I451" s="62">
        <v>12.41</v>
      </c>
      <c r="J451" s="37">
        <v>64</v>
      </c>
      <c r="K451" s="37" t="s">
        <v>113</v>
      </c>
      <c r="L451" s="37" t="s">
        <v>45</v>
      </c>
      <c r="M451" s="38" t="s">
        <v>112</v>
      </c>
      <c r="N451" s="38"/>
      <c r="O451" s="37">
        <v>50</v>
      </c>
      <c r="P451" s="5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1" s="563"/>
      <c r="R451" s="563"/>
      <c r="S451" s="563"/>
      <c r="T451" s="56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30" t="s">
        <v>717</v>
      </c>
      <c r="AG451" s="78"/>
      <c r="AJ451" s="84" t="s">
        <v>45</v>
      </c>
      <c r="AK451" s="84">
        <v>0</v>
      </c>
      <c r="BB451" s="53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718</v>
      </c>
      <c r="B452" s="63" t="s">
        <v>719</v>
      </c>
      <c r="C452" s="36">
        <v>4301011764</v>
      </c>
      <c r="D452" s="561">
        <v>4640242181189</v>
      </c>
      <c r="E452" s="561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116</v>
      </c>
      <c r="L452" s="37" t="s">
        <v>45</v>
      </c>
      <c r="M452" s="38" t="s">
        <v>90</v>
      </c>
      <c r="N452" s="38"/>
      <c r="O452" s="37">
        <v>55</v>
      </c>
      <c r="P452" s="57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52" s="563"/>
      <c r="R452" s="563"/>
      <c r="S452" s="563"/>
      <c r="T452" s="56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32" t="s">
        <v>711</v>
      </c>
      <c r="AG452" s="78"/>
      <c r="AJ452" s="84" t="s">
        <v>45</v>
      </c>
      <c r="AK452" s="84">
        <v>0</v>
      </c>
      <c r="BB452" s="53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555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2" t="s">
        <v>40</v>
      </c>
      <c r="Q453" s="553"/>
      <c r="R453" s="553"/>
      <c r="S453" s="553"/>
      <c r="T453" s="553"/>
      <c r="U453" s="553"/>
      <c r="V453" s="554"/>
      <c r="W453" s="42" t="s">
        <v>39</v>
      </c>
      <c r="X453" s="43">
        <f>IFERROR(X449/H449,"0")+IFERROR(X450/H450,"0")+IFERROR(X451/H451,"0")+IFERROR(X452/H452,"0")</f>
        <v>0</v>
      </c>
      <c r="Y453" s="43">
        <f>IFERROR(Y449/H449,"0")+IFERROR(Y450/H450,"0")+IFERROR(Y451/H451,"0")+IFERROR(Y452/H452,"0")</f>
        <v>0</v>
      </c>
      <c r="Z453" s="43">
        <f>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2" t="s">
        <v>40</v>
      </c>
      <c r="Q454" s="553"/>
      <c r="R454" s="553"/>
      <c r="S454" s="553"/>
      <c r="T454" s="553"/>
      <c r="U454" s="553"/>
      <c r="V454" s="554"/>
      <c r="W454" s="42" t="s">
        <v>0</v>
      </c>
      <c r="X454" s="43">
        <f>IFERROR(SUM(X449:X452),"0")</f>
        <v>0</v>
      </c>
      <c r="Y454" s="43">
        <f>IFERROR(SUM(Y449:Y452),"0")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566" t="s">
        <v>141</v>
      </c>
      <c r="B455" s="566"/>
      <c r="C455" s="566"/>
      <c r="D455" s="566"/>
      <c r="E455" s="566"/>
      <c r="F455" s="566"/>
      <c r="G455" s="566"/>
      <c r="H455" s="566"/>
      <c r="I455" s="566"/>
      <c r="J455" s="566"/>
      <c r="K455" s="566"/>
      <c r="L455" s="566"/>
      <c r="M455" s="566"/>
      <c r="N455" s="566"/>
      <c r="O455" s="566"/>
      <c r="P455" s="566"/>
      <c r="Q455" s="566"/>
      <c r="R455" s="566"/>
      <c r="S455" s="566"/>
      <c r="T455" s="566"/>
      <c r="U455" s="566"/>
      <c r="V455" s="566"/>
      <c r="W455" s="566"/>
      <c r="X455" s="566"/>
      <c r="Y455" s="566"/>
      <c r="Z455" s="566"/>
      <c r="AA455" s="66"/>
      <c r="AB455" s="66"/>
      <c r="AC455" s="80"/>
    </row>
    <row r="456" spans="1:68" ht="27" hidden="1" customHeight="1" x14ac:dyDescent="0.25">
      <c r="A456" s="63" t="s">
        <v>720</v>
      </c>
      <c r="B456" s="63" t="s">
        <v>721</v>
      </c>
      <c r="C456" s="36">
        <v>4301020400</v>
      </c>
      <c r="D456" s="561">
        <v>4640242180519</v>
      </c>
      <c r="E456" s="561"/>
      <c r="F456" s="62">
        <v>1.5</v>
      </c>
      <c r="G456" s="37">
        <v>8</v>
      </c>
      <c r="H456" s="62">
        <v>12</v>
      </c>
      <c r="I456" s="62">
        <v>12.41</v>
      </c>
      <c r="J456" s="37">
        <v>64</v>
      </c>
      <c r="K456" s="37" t="s">
        <v>113</v>
      </c>
      <c r="L456" s="37" t="s">
        <v>45</v>
      </c>
      <c r="M456" s="38" t="s">
        <v>112</v>
      </c>
      <c r="N456" s="38"/>
      <c r="O456" s="37">
        <v>50</v>
      </c>
      <c r="P456" s="5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56" s="563"/>
      <c r="R456" s="563"/>
      <c r="S456" s="563"/>
      <c r="T456" s="564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45</v>
      </c>
      <c r="AB456" s="69" t="s">
        <v>45</v>
      </c>
      <c r="AC456" s="534" t="s">
        <v>722</v>
      </c>
      <c r="AG456" s="78"/>
      <c r="AJ456" s="84" t="s">
        <v>45</v>
      </c>
      <c r="AK456" s="84">
        <v>0</v>
      </c>
      <c r="BB456" s="53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723</v>
      </c>
      <c r="B457" s="63" t="s">
        <v>724</v>
      </c>
      <c r="C457" s="36">
        <v>4301020260</v>
      </c>
      <c r="D457" s="561">
        <v>4640242180526</v>
      </c>
      <c r="E457" s="561"/>
      <c r="F457" s="62">
        <v>1.8</v>
      </c>
      <c r="G457" s="37">
        <v>6</v>
      </c>
      <c r="H457" s="62">
        <v>10.8</v>
      </c>
      <c r="I457" s="62">
        <v>11.21</v>
      </c>
      <c r="J457" s="37">
        <v>64</v>
      </c>
      <c r="K457" s="37" t="s">
        <v>113</v>
      </c>
      <c r="L457" s="37" t="s">
        <v>45</v>
      </c>
      <c r="M457" s="38" t="s">
        <v>112</v>
      </c>
      <c r="N457" s="38"/>
      <c r="O457" s="37">
        <v>50</v>
      </c>
      <c r="P457" s="5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57" s="563"/>
      <c r="R457" s="563"/>
      <c r="S457" s="563"/>
      <c r="T457" s="564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36" t="s">
        <v>725</v>
      </c>
      <c r="AG457" s="78"/>
      <c r="AJ457" s="84" t="s">
        <v>45</v>
      </c>
      <c r="AK457" s="84">
        <v>0</v>
      </c>
      <c r="BB457" s="53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555"/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6"/>
      <c r="P458" s="552" t="s">
        <v>40</v>
      </c>
      <c r="Q458" s="553"/>
      <c r="R458" s="553"/>
      <c r="S458" s="553"/>
      <c r="T458" s="553"/>
      <c r="U458" s="553"/>
      <c r="V458" s="55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555"/>
      <c r="B459" s="555"/>
      <c r="C459" s="555"/>
      <c r="D459" s="555"/>
      <c r="E459" s="555"/>
      <c r="F459" s="555"/>
      <c r="G459" s="555"/>
      <c r="H459" s="555"/>
      <c r="I459" s="555"/>
      <c r="J459" s="555"/>
      <c r="K459" s="555"/>
      <c r="L459" s="555"/>
      <c r="M459" s="555"/>
      <c r="N459" s="555"/>
      <c r="O459" s="556"/>
      <c r="P459" s="552" t="s">
        <v>40</v>
      </c>
      <c r="Q459" s="553"/>
      <c r="R459" s="553"/>
      <c r="S459" s="553"/>
      <c r="T459" s="553"/>
      <c r="U459" s="553"/>
      <c r="V459" s="55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566" t="s">
        <v>76</v>
      </c>
      <c r="B460" s="566"/>
      <c r="C460" s="566"/>
      <c r="D460" s="566"/>
      <c r="E460" s="566"/>
      <c r="F460" s="566"/>
      <c r="G460" s="566"/>
      <c r="H460" s="566"/>
      <c r="I460" s="566"/>
      <c r="J460" s="566"/>
      <c r="K460" s="566"/>
      <c r="L460" s="566"/>
      <c r="M460" s="566"/>
      <c r="N460" s="566"/>
      <c r="O460" s="566"/>
      <c r="P460" s="566"/>
      <c r="Q460" s="566"/>
      <c r="R460" s="566"/>
      <c r="S460" s="566"/>
      <c r="T460" s="566"/>
      <c r="U460" s="566"/>
      <c r="V460" s="566"/>
      <c r="W460" s="566"/>
      <c r="X460" s="566"/>
      <c r="Y460" s="566"/>
      <c r="Z460" s="566"/>
      <c r="AA460" s="66"/>
      <c r="AB460" s="66"/>
      <c r="AC460" s="80"/>
    </row>
    <row r="461" spans="1:68" ht="27" hidden="1" customHeight="1" x14ac:dyDescent="0.25">
      <c r="A461" s="63" t="s">
        <v>726</v>
      </c>
      <c r="B461" s="63" t="s">
        <v>727</v>
      </c>
      <c r="C461" s="36">
        <v>4301031467</v>
      </c>
      <c r="D461" s="561">
        <v>4640242180595</v>
      </c>
      <c r="E461" s="561"/>
      <c r="F461" s="62">
        <v>0.8</v>
      </c>
      <c r="G461" s="37">
        <v>6</v>
      </c>
      <c r="H461" s="62">
        <v>4.8</v>
      </c>
      <c r="I461" s="62">
        <v>5.05</v>
      </c>
      <c r="J461" s="37">
        <v>132</v>
      </c>
      <c r="K461" s="37" t="s">
        <v>116</v>
      </c>
      <c r="L461" s="37" t="s">
        <v>45</v>
      </c>
      <c r="M461" s="38" t="s">
        <v>80</v>
      </c>
      <c r="N461" s="38"/>
      <c r="O461" s="37">
        <v>40</v>
      </c>
      <c r="P461" s="57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61" s="563"/>
      <c r="R461" s="563"/>
      <c r="S461" s="563"/>
      <c r="T461" s="56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8" t="s">
        <v>728</v>
      </c>
      <c r="AG461" s="78"/>
      <c r="AJ461" s="84" t="s">
        <v>45</v>
      </c>
      <c r="AK461" s="84">
        <v>0</v>
      </c>
      <c r="BB461" s="539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555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2" t="s">
        <v>40</v>
      </c>
      <c r="Q462" s="553"/>
      <c r="R462" s="553"/>
      <c r="S462" s="553"/>
      <c r="T462" s="553"/>
      <c r="U462" s="553"/>
      <c r="V462" s="554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2" t="s">
        <v>40</v>
      </c>
      <c r="Q463" s="553"/>
      <c r="R463" s="553"/>
      <c r="S463" s="553"/>
      <c r="T463" s="553"/>
      <c r="U463" s="553"/>
      <c r="V463" s="554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566" t="s">
        <v>86</v>
      </c>
      <c r="B464" s="566"/>
      <c r="C464" s="566"/>
      <c r="D464" s="566"/>
      <c r="E464" s="566"/>
      <c r="F464" s="566"/>
      <c r="G464" s="566"/>
      <c r="H464" s="566"/>
      <c r="I464" s="566"/>
      <c r="J464" s="566"/>
      <c r="K464" s="566"/>
      <c r="L464" s="566"/>
      <c r="M464" s="566"/>
      <c r="N464" s="566"/>
      <c r="O464" s="566"/>
      <c r="P464" s="566"/>
      <c r="Q464" s="566"/>
      <c r="R464" s="566"/>
      <c r="S464" s="566"/>
      <c r="T464" s="566"/>
      <c r="U464" s="566"/>
      <c r="V464" s="566"/>
      <c r="W464" s="566"/>
      <c r="X464" s="566"/>
      <c r="Y464" s="566"/>
      <c r="Z464" s="566"/>
      <c r="AA464" s="66"/>
      <c r="AB464" s="66"/>
      <c r="AC464" s="80"/>
    </row>
    <row r="465" spans="1:68" ht="27" hidden="1" customHeight="1" x14ac:dyDescent="0.25">
      <c r="A465" s="63" t="s">
        <v>729</v>
      </c>
      <c r="B465" s="63" t="s">
        <v>730</v>
      </c>
      <c r="C465" s="36">
        <v>4301052046</v>
      </c>
      <c r="D465" s="561">
        <v>4640242180533</v>
      </c>
      <c r="E465" s="561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113</v>
      </c>
      <c r="L465" s="37" t="s">
        <v>45</v>
      </c>
      <c r="M465" s="38" t="s">
        <v>96</v>
      </c>
      <c r="N465" s="38"/>
      <c r="O465" s="37">
        <v>45</v>
      </c>
      <c r="P465" s="5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65" s="563"/>
      <c r="R465" s="563"/>
      <c r="S465" s="563"/>
      <c r="T465" s="56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40" t="s">
        <v>731</v>
      </c>
      <c r="AG465" s="78"/>
      <c r="AJ465" s="84" t="s">
        <v>45</v>
      </c>
      <c r="AK465" s="84">
        <v>0</v>
      </c>
      <c r="BB465" s="541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555"/>
      <c r="B466" s="555"/>
      <c r="C466" s="555"/>
      <c r="D466" s="555"/>
      <c r="E466" s="555"/>
      <c r="F466" s="555"/>
      <c r="G466" s="555"/>
      <c r="H466" s="555"/>
      <c r="I466" s="555"/>
      <c r="J466" s="555"/>
      <c r="K466" s="555"/>
      <c r="L466" s="555"/>
      <c r="M466" s="555"/>
      <c r="N466" s="555"/>
      <c r="O466" s="556"/>
      <c r="P466" s="552" t="s">
        <v>40</v>
      </c>
      <c r="Q466" s="553"/>
      <c r="R466" s="553"/>
      <c r="S466" s="553"/>
      <c r="T466" s="553"/>
      <c r="U466" s="553"/>
      <c r="V466" s="554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555"/>
      <c r="B467" s="555"/>
      <c r="C467" s="555"/>
      <c r="D467" s="555"/>
      <c r="E467" s="555"/>
      <c r="F467" s="555"/>
      <c r="G467" s="555"/>
      <c r="H467" s="555"/>
      <c r="I467" s="555"/>
      <c r="J467" s="555"/>
      <c r="K467" s="555"/>
      <c r="L467" s="555"/>
      <c r="M467" s="555"/>
      <c r="N467" s="555"/>
      <c r="O467" s="556"/>
      <c r="P467" s="552" t="s">
        <v>40</v>
      </c>
      <c r="Q467" s="553"/>
      <c r="R467" s="553"/>
      <c r="S467" s="553"/>
      <c r="T467" s="553"/>
      <c r="U467" s="553"/>
      <c r="V467" s="554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566" t="s">
        <v>166</v>
      </c>
      <c r="B468" s="566"/>
      <c r="C468" s="566"/>
      <c r="D468" s="566"/>
      <c r="E468" s="566"/>
      <c r="F468" s="566"/>
      <c r="G468" s="566"/>
      <c r="H468" s="566"/>
      <c r="I468" s="566"/>
      <c r="J468" s="566"/>
      <c r="K468" s="566"/>
      <c r="L468" s="566"/>
      <c r="M468" s="566"/>
      <c r="N468" s="566"/>
      <c r="O468" s="566"/>
      <c r="P468" s="566"/>
      <c r="Q468" s="566"/>
      <c r="R468" s="566"/>
      <c r="S468" s="566"/>
      <c r="T468" s="566"/>
      <c r="U468" s="566"/>
      <c r="V468" s="566"/>
      <c r="W468" s="566"/>
      <c r="X468" s="566"/>
      <c r="Y468" s="566"/>
      <c r="Z468" s="566"/>
      <c r="AA468" s="66"/>
      <c r="AB468" s="66"/>
      <c r="AC468" s="80"/>
    </row>
    <row r="469" spans="1:68" ht="27" hidden="1" customHeight="1" x14ac:dyDescent="0.25">
      <c r="A469" s="63" t="s">
        <v>732</v>
      </c>
      <c r="B469" s="63" t="s">
        <v>733</v>
      </c>
      <c r="C469" s="36">
        <v>4301060491</v>
      </c>
      <c r="D469" s="561">
        <v>4640242180120</v>
      </c>
      <c r="E469" s="561"/>
      <c r="F469" s="62">
        <v>1.5</v>
      </c>
      <c r="G469" s="37">
        <v>6</v>
      </c>
      <c r="H469" s="62">
        <v>9</v>
      </c>
      <c r="I469" s="62">
        <v>9.41</v>
      </c>
      <c r="J469" s="37">
        <v>64</v>
      </c>
      <c r="K469" s="37" t="s">
        <v>113</v>
      </c>
      <c r="L469" s="37" t="s">
        <v>45</v>
      </c>
      <c r="M469" s="38" t="s">
        <v>90</v>
      </c>
      <c r="N469" s="38"/>
      <c r="O469" s="37">
        <v>40</v>
      </c>
      <c r="P469" s="5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69" s="563"/>
      <c r="R469" s="563"/>
      <c r="S469" s="563"/>
      <c r="T469" s="564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45</v>
      </c>
      <c r="AB469" s="69" t="s">
        <v>45</v>
      </c>
      <c r="AC469" s="542" t="s">
        <v>734</v>
      </c>
      <c r="AG469" s="78"/>
      <c r="AJ469" s="84" t="s">
        <v>45</v>
      </c>
      <c r="AK469" s="84">
        <v>0</v>
      </c>
      <c r="BB469" s="54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735</v>
      </c>
      <c r="B470" s="63" t="s">
        <v>736</v>
      </c>
      <c r="C470" s="36">
        <v>4301060493</v>
      </c>
      <c r="D470" s="561">
        <v>4640242180137</v>
      </c>
      <c r="E470" s="561"/>
      <c r="F470" s="62">
        <v>1.5</v>
      </c>
      <c r="G470" s="37">
        <v>6</v>
      </c>
      <c r="H470" s="62">
        <v>9</v>
      </c>
      <c r="I470" s="62">
        <v>9.41</v>
      </c>
      <c r="J470" s="37">
        <v>64</v>
      </c>
      <c r="K470" s="37" t="s">
        <v>113</v>
      </c>
      <c r="L470" s="37" t="s">
        <v>45</v>
      </c>
      <c r="M470" s="38" t="s">
        <v>90</v>
      </c>
      <c r="N470" s="38"/>
      <c r="O470" s="37">
        <v>40</v>
      </c>
      <c r="P470" s="5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0" s="563"/>
      <c r="R470" s="563"/>
      <c r="S470" s="563"/>
      <c r="T470" s="564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4" t="s">
        <v>737</v>
      </c>
      <c r="AG470" s="78"/>
      <c r="AJ470" s="84" t="s">
        <v>45</v>
      </c>
      <c r="AK470" s="84">
        <v>0</v>
      </c>
      <c r="BB470" s="545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555"/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6"/>
      <c r="P471" s="552" t="s">
        <v>40</v>
      </c>
      <c r="Q471" s="553"/>
      <c r="R471" s="553"/>
      <c r="S471" s="553"/>
      <c r="T471" s="553"/>
      <c r="U471" s="553"/>
      <c r="V471" s="554"/>
      <c r="W471" s="42" t="s">
        <v>39</v>
      </c>
      <c r="X471" s="43">
        <f>IFERROR(X469/H469,"0")+IFERROR(X470/H470,"0")</f>
        <v>0</v>
      </c>
      <c r="Y471" s="43">
        <f>IFERROR(Y469/H469,"0")+IFERROR(Y470/H470,"0")</f>
        <v>0</v>
      </c>
      <c r="Z471" s="43">
        <f>IFERROR(IF(Z469="",0,Z469),"0")+IFERROR(IF(Z470="",0,Z470),"0")</f>
        <v>0</v>
      </c>
      <c r="AA471" s="67"/>
      <c r="AB471" s="67"/>
      <c r="AC471" s="67"/>
    </row>
    <row r="472" spans="1:68" hidden="1" x14ac:dyDescent="0.2">
      <c r="A472" s="555"/>
      <c r="B472" s="555"/>
      <c r="C472" s="555"/>
      <c r="D472" s="555"/>
      <c r="E472" s="555"/>
      <c r="F472" s="555"/>
      <c r="G472" s="555"/>
      <c r="H472" s="555"/>
      <c r="I472" s="555"/>
      <c r="J472" s="555"/>
      <c r="K472" s="555"/>
      <c r="L472" s="555"/>
      <c r="M472" s="555"/>
      <c r="N472" s="555"/>
      <c r="O472" s="556"/>
      <c r="P472" s="552" t="s">
        <v>40</v>
      </c>
      <c r="Q472" s="553"/>
      <c r="R472" s="553"/>
      <c r="S472" s="553"/>
      <c r="T472" s="553"/>
      <c r="U472" s="553"/>
      <c r="V472" s="554"/>
      <c r="W472" s="42" t="s">
        <v>0</v>
      </c>
      <c r="X472" s="43">
        <f>IFERROR(SUM(X469:X470),"0")</f>
        <v>0</v>
      </c>
      <c r="Y472" s="43">
        <f>IFERROR(SUM(Y469:Y470),"0")</f>
        <v>0</v>
      </c>
      <c r="Z472" s="42"/>
      <c r="AA472" s="67"/>
      <c r="AB472" s="67"/>
      <c r="AC472" s="67"/>
    </row>
    <row r="473" spans="1:68" ht="16.5" hidden="1" customHeight="1" x14ac:dyDescent="0.25">
      <c r="A473" s="565" t="s">
        <v>738</v>
      </c>
      <c r="B473" s="565"/>
      <c r="C473" s="565"/>
      <c r="D473" s="565"/>
      <c r="E473" s="565"/>
      <c r="F473" s="565"/>
      <c r="G473" s="565"/>
      <c r="H473" s="565"/>
      <c r="I473" s="565"/>
      <c r="J473" s="565"/>
      <c r="K473" s="565"/>
      <c r="L473" s="565"/>
      <c r="M473" s="565"/>
      <c r="N473" s="565"/>
      <c r="O473" s="565"/>
      <c r="P473" s="565"/>
      <c r="Q473" s="565"/>
      <c r="R473" s="565"/>
      <c r="S473" s="565"/>
      <c r="T473" s="565"/>
      <c r="U473" s="565"/>
      <c r="V473" s="565"/>
      <c r="W473" s="565"/>
      <c r="X473" s="565"/>
      <c r="Y473" s="565"/>
      <c r="Z473" s="565"/>
      <c r="AA473" s="65"/>
      <c r="AB473" s="65"/>
      <c r="AC473" s="79"/>
    </row>
    <row r="474" spans="1:68" ht="14.25" hidden="1" customHeight="1" x14ac:dyDescent="0.25">
      <c r="A474" s="566" t="s">
        <v>141</v>
      </c>
      <c r="B474" s="566"/>
      <c r="C474" s="566"/>
      <c r="D474" s="566"/>
      <c r="E474" s="566"/>
      <c r="F474" s="566"/>
      <c r="G474" s="566"/>
      <c r="H474" s="566"/>
      <c r="I474" s="566"/>
      <c r="J474" s="566"/>
      <c r="K474" s="566"/>
      <c r="L474" s="566"/>
      <c r="M474" s="566"/>
      <c r="N474" s="566"/>
      <c r="O474" s="566"/>
      <c r="P474" s="566"/>
      <c r="Q474" s="566"/>
      <c r="R474" s="566"/>
      <c r="S474" s="566"/>
      <c r="T474" s="566"/>
      <c r="U474" s="566"/>
      <c r="V474" s="566"/>
      <c r="W474" s="566"/>
      <c r="X474" s="566"/>
      <c r="Y474" s="566"/>
      <c r="Z474" s="566"/>
      <c r="AA474" s="66"/>
      <c r="AB474" s="66"/>
      <c r="AC474" s="80"/>
    </row>
    <row r="475" spans="1:68" ht="27" hidden="1" customHeight="1" x14ac:dyDescent="0.25">
      <c r="A475" s="63" t="s">
        <v>739</v>
      </c>
      <c r="B475" s="63" t="s">
        <v>740</v>
      </c>
      <c r="C475" s="36">
        <v>4301020314</v>
      </c>
      <c r="D475" s="561">
        <v>4640242180090</v>
      </c>
      <c r="E475" s="561"/>
      <c r="F475" s="62">
        <v>1.5</v>
      </c>
      <c r="G475" s="37">
        <v>8</v>
      </c>
      <c r="H475" s="62">
        <v>12</v>
      </c>
      <c r="I475" s="62">
        <v>12.41</v>
      </c>
      <c r="J475" s="37">
        <v>64</v>
      </c>
      <c r="K475" s="37" t="s">
        <v>113</v>
      </c>
      <c r="L475" s="37" t="s">
        <v>45</v>
      </c>
      <c r="M475" s="38" t="s">
        <v>112</v>
      </c>
      <c r="N475" s="38"/>
      <c r="O475" s="37">
        <v>50</v>
      </c>
      <c r="P475" s="5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75" s="563"/>
      <c r="R475" s="563"/>
      <c r="S475" s="563"/>
      <c r="T475" s="564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741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555"/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6"/>
      <c r="P476" s="552" t="s">
        <v>40</v>
      </c>
      <c r="Q476" s="553"/>
      <c r="R476" s="553"/>
      <c r="S476" s="553"/>
      <c r="T476" s="553"/>
      <c r="U476" s="553"/>
      <c r="V476" s="554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555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2" t="s">
        <v>40</v>
      </c>
      <c r="Q477" s="553"/>
      <c r="R477" s="553"/>
      <c r="S477" s="553"/>
      <c r="T477" s="553"/>
      <c r="U477" s="553"/>
      <c r="V477" s="554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5" customHeight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60"/>
      <c r="P478" s="557" t="s">
        <v>33</v>
      </c>
      <c r="Q478" s="558"/>
      <c r="R478" s="558"/>
      <c r="S478" s="558"/>
      <c r="T478" s="558"/>
      <c r="U478" s="558"/>
      <c r="V478" s="559"/>
      <c r="W478" s="42" t="s">
        <v>0</v>
      </c>
      <c r="X478" s="43">
        <f>IFERROR(X25+X32+X36+X44+X48+X58+X64+X69+X76+X81+X89+X96+X105+X112+X119+X123+X129+X138+X142+X148+X165+X171+X175+X181+X186+X197+X209+X214+X227+X231+X235+X243+X252+X260+X267+X273+X278+X288+X297+X304+X310+X317+X323+X330+X342+X347+X352+X356+X362+X367+X373+X387+X392+X397+X404+X409+X426+X432+X441+X445+X454+X459+X463+X467+X472+X477,"0")</f>
        <v>16964.32</v>
      </c>
      <c r="Y478" s="43">
        <f>IFERROR(Y25+Y32+Y36+Y44+Y48+Y58+Y64+Y69+Y76+Y81+Y89+Y96+Y105+Y112+Y119+Y123+Y129+Y138+Y142+Y148+Y165+Y171+Y175+Y181+Y186+Y197+Y209+Y214+Y227+Y231+Y235+Y243+Y252+Y260+Y267+Y273+Y278+Y288+Y297+Y304+Y310+Y317+Y323+Y330+Y342+Y347+Y352+Y356+Y362+Y367+Y373+Y387+Y392+Y397+Y404+Y409+Y426+Y432+Y441+Y445+Y454+Y459+Y463+Y467+Y472+Y477,"0")</f>
        <v>17037.8</v>
      </c>
      <c r="Z478" s="42"/>
      <c r="AA478" s="67"/>
      <c r="AB478" s="67"/>
      <c r="AC478" s="67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60"/>
      <c r="P479" s="557" t="s">
        <v>34</v>
      </c>
      <c r="Q479" s="558"/>
      <c r="R479" s="558"/>
      <c r="S479" s="558"/>
      <c r="T479" s="558"/>
      <c r="U479" s="558"/>
      <c r="V479" s="559"/>
      <c r="W479" s="42" t="s">
        <v>0</v>
      </c>
      <c r="X479" s="43">
        <f>IFERROR(SUM(BM22:BM475),"0")</f>
        <v>17887.893165525464</v>
      </c>
      <c r="Y479" s="43">
        <f>IFERROR(SUM(BN22:BN475),"0")</f>
        <v>17966.979999999996</v>
      </c>
      <c r="Z479" s="42"/>
      <c r="AA479" s="67"/>
      <c r="AB479" s="67"/>
      <c r="AC479" s="67"/>
    </row>
    <row r="480" spans="1:68" x14ac:dyDescent="0.2">
      <c r="A480" s="555"/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60"/>
      <c r="P480" s="557" t="s">
        <v>35</v>
      </c>
      <c r="Q480" s="558"/>
      <c r="R480" s="558"/>
      <c r="S480" s="558"/>
      <c r="T480" s="558"/>
      <c r="U480" s="558"/>
      <c r="V480" s="559"/>
      <c r="W480" s="42" t="s">
        <v>20</v>
      </c>
      <c r="X480" s="44">
        <f>ROUNDUP(SUM(BO22:BO475),0)</f>
        <v>29</v>
      </c>
      <c r="Y480" s="44">
        <f>ROUNDUP(SUM(BP22:BP475),0)</f>
        <v>29</v>
      </c>
      <c r="Z480" s="42"/>
      <c r="AA480" s="67"/>
      <c r="AB480" s="67"/>
      <c r="AC480" s="67"/>
    </row>
    <row r="481" spans="1:32" x14ac:dyDescent="0.2">
      <c r="A481" s="555"/>
      <c r="B481" s="555"/>
      <c r="C481" s="555"/>
      <c r="D481" s="555"/>
      <c r="E481" s="555"/>
      <c r="F481" s="555"/>
      <c r="G481" s="555"/>
      <c r="H481" s="555"/>
      <c r="I481" s="555"/>
      <c r="J481" s="555"/>
      <c r="K481" s="555"/>
      <c r="L481" s="555"/>
      <c r="M481" s="555"/>
      <c r="N481" s="555"/>
      <c r="O481" s="560"/>
      <c r="P481" s="557" t="s">
        <v>36</v>
      </c>
      <c r="Q481" s="558"/>
      <c r="R481" s="558"/>
      <c r="S481" s="558"/>
      <c r="T481" s="558"/>
      <c r="U481" s="558"/>
      <c r="V481" s="559"/>
      <c r="W481" s="42" t="s">
        <v>0</v>
      </c>
      <c r="X481" s="43">
        <f>GrossWeightTotal+PalletQtyTotal*25</f>
        <v>18612.893165525464</v>
      </c>
      <c r="Y481" s="43">
        <f>GrossWeightTotalR+PalletQtyTotalR*25</f>
        <v>18691.979999999996</v>
      </c>
      <c r="Z481" s="42"/>
      <c r="AA481" s="67"/>
      <c r="AB481" s="67"/>
      <c r="AC481" s="67"/>
    </row>
    <row r="482" spans="1:32" x14ac:dyDescent="0.2">
      <c r="A482" s="555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60"/>
      <c r="P482" s="557" t="s">
        <v>37</v>
      </c>
      <c r="Q482" s="558"/>
      <c r="R482" s="558"/>
      <c r="S482" s="558"/>
      <c r="T482" s="558"/>
      <c r="U482" s="558"/>
      <c r="V482" s="559"/>
      <c r="W482" s="42" t="s">
        <v>20</v>
      </c>
      <c r="X482" s="43">
        <f>IFERROR(X24+X31+X35+X43+X47+X57+X63+X68+X75+X80+X88+X95+X104+X111+X118+X122+X128+X137+X141+X147+X164+X170+X174+X180+X185+X196+X208+X213+X226+X230+X234+X242+X251+X259+X266+X272+X277+X287+X296+X303+X309+X316+X322+X329+X341+X346+X351+X355+X361+X366+X372+X386+X391+X396+X403+X408+X425+X431+X440+X444+X453+X458+X462+X466+X471+X476,"0")</f>
        <v>2560.939111941073</v>
      </c>
      <c r="Y482" s="43">
        <f>IFERROR(Y24+Y31+Y35+Y43+Y47+Y57+Y63+Y68+Y75+Y80+Y88+Y95+Y104+Y111+Y118+Y122+Y128+Y137+Y141+Y147+Y164+Y170+Y174+Y180+Y185+Y196+Y208+Y213+Y226+Y230+Y234+Y242+Y251+Y259+Y266+Y272+Y277+Y287+Y296+Y303+Y309+Y316+Y322+Y329+Y341+Y346+Y351+Y355+Y361+Y366+Y372+Y386+Y391+Y396+Y403+Y408+Y425+Y431+Y440+Y444+Y453+Y458+Y462+Y466+Y471+Y476,"0")</f>
        <v>2574</v>
      </c>
      <c r="Z482" s="42"/>
      <c r="AA482" s="67"/>
      <c r="AB482" s="67"/>
      <c r="AC482" s="67"/>
    </row>
    <row r="483" spans="1:32" ht="14.25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60"/>
      <c r="P483" s="557" t="s">
        <v>38</v>
      </c>
      <c r="Q483" s="558"/>
      <c r="R483" s="558"/>
      <c r="S483" s="558"/>
      <c r="T483" s="558"/>
      <c r="U483" s="558"/>
      <c r="V483" s="559"/>
      <c r="W483" s="45" t="s">
        <v>51</v>
      </c>
      <c r="X483" s="42"/>
      <c r="Y483" s="42"/>
      <c r="Z483" s="42">
        <f>IFERROR(Z24+Z31+Z35+Z43+Z47+Z57+Z63+Z68+Z75+Z80+Z88+Z95+Z104+Z111+Z118+Z122+Z128+Z137+Z141+Z147+Z164+Z170+Z174+Z180+Z185+Z196+Z208+Z213+Z226+Z230+Z234+Z242+Z251+Z259+Z266+Z272+Z277+Z287+Z296+Z303+Z309+Z316+Z322+Z329+Z341+Z346+Z351+Z355+Z361+Z366+Z372+Z386+Z391+Z396+Z403+Z408+Z425+Z431+Z440+Z444+Z453+Z458+Z462+Z466+Z471+Z476,"0")</f>
        <v>32.977850000000004</v>
      </c>
      <c r="AA483" s="67"/>
      <c r="AB483" s="67"/>
      <c r="AC483" s="67"/>
    </row>
    <row r="484" spans="1:32" ht="13.5" thickBot="1" x14ac:dyDescent="0.25"/>
    <row r="485" spans="1:32" ht="27" thickTop="1" thickBot="1" x14ac:dyDescent="0.25">
      <c r="A485" s="46" t="s">
        <v>9</v>
      </c>
      <c r="B485" s="85" t="s">
        <v>75</v>
      </c>
      <c r="C485" s="548" t="s">
        <v>106</v>
      </c>
      <c r="D485" s="548" t="s">
        <v>106</v>
      </c>
      <c r="E485" s="548" t="s">
        <v>106</v>
      </c>
      <c r="F485" s="548" t="s">
        <v>106</v>
      </c>
      <c r="G485" s="548" t="s">
        <v>106</v>
      </c>
      <c r="H485" s="548" t="s">
        <v>259</v>
      </c>
      <c r="I485" s="548" t="s">
        <v>259</v>
      </c>
      <c r="J485" s="548" t="s">
        <v>259</v>
      </c>
      <c r="K485" s="548" t="s">
        <v>259</v>
      </c>
      <c r="L485" s="548" t="s">
        <v>259</v>
      </c>
      <c r="M485" s="548" t="s">
        <v>259</v>
      </c>
      <c r="N485" s="549"/>
      <c r="O485" s="548" t="s">
        <v>259</v>
      </c>
      <c r="P485" s="548" t="s">
        <v>259</v>
      </c>
      <c r="Q485" s="548" t="s">
        <v>259</v>
      </c>
      <c r="R485" s="548" t="s">
        <v>548</v>
      </c>
      <c r="S485" s="548" t="s">
        <v>548</v>
      </c>
      <c r="T485" s="548" t="s">
        <v>602</v>
      </c>
      <c r="U485" s="548" t="s">
        <v>602</v>
      </c>
      <c r="V485" s="548" t="s">
        <v>602</v>
      </c>
      <c r="W485" s="85" t="s">
        <v>653</v>
      </c>
      <c r="X485" s="548" t="s">
        <v>708</v>
      </c>
      <c r="Y485" s="548" t="s">
        <v>708</v>
      </c>
      <c r="AB485" s="60"/>
      <c r="AC485" s="60"/>
      <c r="AF485" s="1"/>
    </row>
    <row r="486" spans="1:32" ht="14.25" customHeight="1" thickTop="1" x14ac:dyDescent="0.2">
      <c r="A486" s="550" t="s">
        <v>10</v>
      </c>
      <c r="B486" s="548" t="s">
        <v>75</v>
      </c>
      <c r="C486" s="548" t="s">
        <v>107</v>
      </c>
      <c r="D486" s="548" t="s">
        <v>122</v>
      </c>
      <c r="E486" s="548" t="s">
        <v>173</v>
      </c>
      <c r="F486" s="548" t="s">
        <v>195</v>
      </c>
      <c r="G486" s="548" t="s">
        <v>106</v>
      </c>
      <c r="H486" s="548" t="s">
        <v>260</v>
      </c>
      <c r="I486" s="548" t="s">
        <v>314</v>
      </c>
      <c r="J486" s="548" t="s">
        <v>374</v>
      </c>
      <c r="K486" s="548" t="s">
        <v>415</v>
      </c>
      <c r="L486" s="548" t="s">
        <v>431</v>
      </c>
      <c r="M486" s="548" t="s">
        <v>442</v>
      </c>
      <c r="N486" s="1"/>
      <c r="O486" s="548" t="s">
        <v>451</v>
      </c>
      <c r="P486" s="548" t="s">
        <v>464</v>
      </c>
      <c r="Q486" s="548" t="s">
        <v>538</v>
      </c>
      <c r="R486" s="548" t="s">
        <v>549</v>
      </c>
      <c r="S486" s="548" t="s">
        <v>584</v>
      </c>
      <c r="T486" s="548" t="s">
        <v>603</v>
      </c>
      <c r="U486" s="548" t="s">
        <v>634</v>
      </c>
      <c r="V486" s="548" t="s">
        <v>649</v>
      </c>
      <c r="W486" s="548" t="s">
        <v>653</v>
      </c>
      <c r="X486" s="548" t="s">
        <v>708</v>
      </c>
      <c r="Y486" s="548" t="s">
        <v>738</v>
      </c>
      <c r="AB486" s="60"/>
      <c r="AC486" s="60"/>
      <c r="AF486" s="1"/>
    </row>
    <row r="487" spans="1:32" ht="13.5" thickBot="1" x14ac:dyDescent="0.25">
      <c r="A487" s="551"/>
      <c r="B487" s="548"/>
      <c r="C487" s="548"/>
      <c r="D487" s="548"/>
      <c r="E487" s="548"/>
      <c r="F487" s="548"/>
      <c r="G487" s="548"/>
      <c r="H487" s="548"/>
      <c r="I487" s="548"/>
      <c r="J487" s="548"/>
      <c r="K487" s="548"/>
      <c r="L487" s="548"/>
      <c r="M487" s="548"/>
      <c r="N487" s="1"/>
      <c r="O487" s="548"/>
      <c r="P487" s="548"/>
      <c r="Q487" s="548"/>
      <c r="R487" s="548"/>
      <c r="S487" s="548"/>
      <c r="T487" s="548"/>
      <c r="U487" s="548"/>
      <c r="V487" s="548"/>
      <c r="W487" s="548"/>
      <c r="X487" s="548"/>
      <c r="Y487" s="548"/>
      <c r="AB487" s="60"/>
      <c r="AC487" s="60"/>
      <c r="AF487" s="1"/>
    </row>
    <row r="488" spans="1:32" ht="18" thickTop="1" thickBot="1" x14ac:dyDescent="0.25">
      <c r="A488" s="46" t="s">
        <v>13</v>
      </c>
      <c r="B488" s="52">
        <f>IFERROR(Y22*1,"0")+IFERROR(Y23*1,"0")+IFERROR(Y27*1,"0")+IFERROR(Y28*1,"0")+IFERROR(Y29*1,"0")+IFERROR(Y30*1,"0")+IFERROR(Y34*1,"0")</f>
        <v>0</v>
      </c>
      <c r="C488" s="52">
        <f>IFERROR(Y40*1,"0")+IFERROR(Y41*1,"0")+IFERROR(Y42*1,"0")+IFERROR(Y46*1,"0")</f>
        <v>0</v>
      </c>
      <c r="D488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21.6</v>
      </c>
      <c r="E488" s="52">
        <f>IFERROR(Y84*1,"0")+IFERROR(Y85*1,"0")+IFERROR(Y86*1,"0")+IFERROR(Y87*1,"0")+IFERROR(Y91*1,"0")+IFERROR(Y92*1,"0")+IFERROR(Y93*1,"0")+IFERROR(Y94*1,"0")</f>
        <v>0</v>
      </c>
      <c r="F488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88" s="52">
        <f>IFERROR(Y126*1,"0")+IFERROR(Y127*1,"0")+IFERROR(Y131*1,"0")+IFERROR(Y132*1,"0")+IFERROR(Y133*1,"0")+IFERROR(Y134*1,"0")+IFERROR(Y135*1,"0")+IFERROR(Y136*1,"0")+IFERROR(Y140*1,"0")</f>
        <v>0</v>
      </c>
      <c r="H488" s="52">
        <f>IFERROR(Y146*1,"0")+IFERROR(Y150*1,"0")+IFERROR(Y151*1,"0")+IFERROR(Y152*1,"0")+IFERROR(Y153*1,"0")+IFERROR(Y154*1,"0")+IFERROR(Y155*1,"0")+IFERROR(Y156*1,"0")+IFERROR(Y157*1,"0")+IFERROR(Y158*1,"0")+IFERROR(Y159*1,"0")+IFERROR(Y160*1,"0")+IFERROR(Y161*1,"0")+IFERROR(Y162*1,"0")+IFERROR(Y163*1,"0")+IFERROR(Y167*1,"0")+IFERROR(Y168*1,"0")+IFERROR(Y169*1,"0")+IFERROR(Y173*1,"0")</f>
        <v>130.20000000000002</v>
      </c>
      <c r="I488" s="52">
        <f>IFERROR(Y178*1,"0")+IFERROR(Y179*1,"0")+IFERROR(Y183*1,"0")+IFERROR(Y184*1,"0")+IFERROR(Y188*1,"0")+IFERROR(Y189*1,"0")+IFERROR(Y190*1,"0")+IFERROR(Y191*1,"0")+IFERROR(Y192*1,"0")+IFERROR(Y193*1,"0")+IFERROR(Y194*1,"0")+IFERROR(Y195*1,"0")+IFERROR(Y199*1,"0")+IFERROR(Y200*1,"0")+IFERROR(Y201*1,"0")+IFERROR(Y202*1,"0")+IFERROR(Y203*1,"0")+IFERROR(Y204*1,"0")+IFERROR(Y205*1,"0")+IFERROR(Y206*1,"0")+IFERROR(Y207*1,"0")+IFERROR(Y211*1,"0")+IFERROR(Y212*1,"0")</f>
        <v>382.8</v>
      </c>
      <c r="J488" s="52">
        <f>IFERROR(Y217*1,"0")+IFERROR(Y218*1,"0")+IFERROR(Y219*1,"0")+IFERROR(Y220*1,"0")+IFERROR(Y221*1,"0")+IFERROR(Y222*1,"0")+IFERROR(Y223*1,"0")+IFERROR(Y224*1,"0")+IFERROR(Y225*1,"0")+IFERROR(Y229*1,"0")+IFERROR(Y233*1,"0")+IFERROR(Y237*1,"0")+IFERROR(Y238*1,"0")+IFERROR(Y239*1,"0")+IFERROR(Y240*1,"0")+IFERROR(Y241*1,"0")</f>
        <v>0</v>
      </c>
      <c r="K488" s="52">
        <f>IFERROR(Y246*1,"0")+IFERROR(Y247*1,"0")+IFERROR(Y248*1,"0")+IFERROR(Y249*1,"0")+IFERROR(Y250*1,"0")</f>
        <v>297.20000000000005</v>
      </c>
      <c r="L488" s="52">
        <f>IFERROR(Y255*1,"0")+IFERROR(Y256*1,"0")+IFERROR(Y257*1,"0")+IFERROR(Y258*1,"0")</f>
        <v>0</v>
      </c>
      <c r="M488" s="52">
        <f>IFERROR(Y263*1,"0")+IFERROR(Y264*1,"0")+IFERROR(Y265*1,"0")</f>
        <v>43.199999999999996</v>
      </c>
      <c r="N488" s="1"/>
      <c r="O488" s="52">
        <f>IFERROR(Y270*1,"0")+IFERROR(Y271*1,"0")+IFERROR(Y275*1,"0")+IFERROR(Y276*1,"0")</f>
        <v>0</v>
      </c>
      <c r="P488" s="52">
        <f>IFERROR(Y281*1,"0")+IFERROR(Y282*1,"0")+IFERROR(Y283*1,"0")+IFERROR(Y284*1,"0")+IFERROR(Y285*1,"0")+IFERROR(Y286*1,"0")+IFERROR(Y290*1,"0")+IFERROR(Y291*1,"0")+IFERROR(Y292*1,"0")+IFERROR(Y293*1,"0")+IFERROR(Y294*1,"0")+IFERROR(Y295*1,"0")+IFERROR(Y299*1,"0")+IFERROR(Y300*1,"0")+IFERROR(Y301*1,"0")+IFERROR(Y302*1,"0")+IFERROR(Y306*1,"0")+IFERROR(Y307*1,"0")+IFERROR(Y308*1,"0")+IFERROR(Y312*1,"0")+IFERROR(Y313*1,"0")+IFERROR(Y314*1,"0")+IFERROR(Y315*1,"0")+IFERROR(Y319*1,"0")+IFERROR(Y320*1,"0")+IFERROR(Y321*1,"0")</f>
        <v>403.18000000000006</v>
      </c>
      <c r="Q488" s="52">
        <f>IFERROR(Y326*1,"0")+IFERROR(Y327*1,"0")+IFERROR(Y328*1,"0")</f>
        <v>278.10000000000002</v>
      </c>
      <c r="R488" s="52">
        <f>IFERROR(Y334*1,"0")+IFERROR(Y335*1,"0")+IFERROR(Y336*1,"0")+IFERROR(Y337*1,"0")+IFERROR(Y338*1,"0")+IFERROR(Y339*1,"0")+IFERROR(Y340*1,"0")+IFERROR(Y344*1,"0")+IFERROR(Y345*1,"0")+IFERROR(Y349*1,"0")+IFERROR(Y350*1,"0")+IFERROR(Y354*1,"0")</f>
        <v>5768</v>
      </c>
      <c r="S488" s="52">
        <f>IFERROR(Y359*1,"0")+IFERROR(Y360*1,"0")+IFERROR(Y364*1,"0")+IFERROR(Y365*1,"0")+IFERROR(Y369*1,"0")+IFERROR(Y370*1,"0")+IFERROR(Y371*1,"0")</f>
        <v>9606</v>
      </c>
      <c r="T488" s="52">
        <f>IFERROR(Y377*1,"0")+IFERROR(Y378*1,"0")+IFERROR(Y379*1,"0")+IFERROR(Y380*1,"0")+IFERROR(Y381*1,"0")+IFERROR(Y382*1,"0")+IFERROR(Y383*1,"0")+IFERROR(Y384*1,"0")+IFERROR(Y385*1,"0")+IFERROR(Y389*1,"0")+IFERROR(Y390*1,"0")</f>
        <v>0</v>
      </c>
      <c r="U488" s="52">
        <f>IFERROR(Y395*1,"0")+IFERROR(Y399*1,"0")+IFERROR(Y400*1,"0")+IFERROR(Y401*1,"0")+IFERROR(Y402*1,"0")</f>
        <v>0</v>
      </c>
      <c r="V488" s="52">
        <f>IFERROR(Y407*1,"0")</f>
        <v>0</v>
      </c>
      <c r="W488" s="52">
        <f>IFERROR(Y413*1,"0")+IFERROR(Y414*1,"0")+IFERROR(Y415*1,"0")+IFERROR(Y416*1,"0")+IFERROR(Y417*1,"0")+IFERROR(Y418*1,"0")+IFERROR(Y419*1,"0")+IFERROR(Y420*1,"0")+IFERROR(Y421*1,"0")+IFERROR(Y422*1,"0")+IFERROR(Y423*1,"0")+IFERROR(Y424*1,"0")+IFERROR(Y428*1,"0")+IFERROR(Y429*1,"0")+IFERROR(Y430*1,"0")+IFERROR(Y434*1,"0")+IFERROR(Y435*1,"0")+IFERROR(Y436*1,"0")+IFERROR(Y437*1,"0")+IFERROR(Y438*1,"0")+IFERROR(Y439*1,"0")+IFERROR(Y443*1,"0")</f>
        <v>107.52</v>
      </c>
      <c r="X488" s="52">
        <f>IFERROR(Y449*1,"0")+IFERROR(Y450*1,"0")+IFERROR(Y451*1,"0")+IFERROR(Y452*1,"0")+IFERROR(Y456*1,"0")+IFERROR(Y457*1,"0")+IFERROR(Y461*1,"0")+IFERROR(Y465*1,"0")+IFERROR(Y469*1,"0")+IFERROR(Y470*1,"0")</f>
        <v>0</v>
      </c>
      <c r="Y488" s="52">
        <f>IFERROR(Y475*1,"0")</f>
        <v>0</v>
      </c>
      <c r="AB488" s="60"/>
      <c r="AC488" s="60"/>
      <c r="AF488" s="1"/>
    </row>
  </sheetData>
  <sheetProtection algorithmName="SHA-512" hashValue="q5yPx1wjatAczMosi5YUHVb0NosWGKLbRSyIvylUOSpmimr3ynRiE4ctFJ9PDlYR/mkToUyjW78JH2fZXvltWA==" saltValue="YT15ihgkTBQLgl3oZ9nGZg==" spinCount="100000" sheet="1" objects="1" scenarios="1" sort="0" autoFilter="0" pivotTables="0"/>
  <autoFilter ref="A18:AF48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5,00"/>
        <filter val="1 290,00"/>
        <filter val="1 441,92"/>
        <filter val="1 550,00"/>
        <filter val="1 625,00"/>
        <filter val="1 790,00"/>
        <filter val="1 883,00"/>
        <filter val="1,88"/>
        <filter val="10,00"/>
        <filter val="101,68"/>
        <filter val="11,00"/>
        <filter val="120,00"/>
        <filter val="120,42"/>
        <filter val="126,00"/>
        <filter val="131,00"/>
        <filter val="142,86"/>
        <filter val="145,00"/>
        <filter val="15,15"/>
        <filter val="16 964,32"/>
        <filter val="16,67"/>
        <filter val="17 887,89"/>
        <filter val="18 612,89"/>
        <filter val="18,60"/>
        <filter val="18,85"/>
        <filter val="189,17"/>
        <filter val="2 560,94"/>
        <filter val="2,00"/>
        <filter val="20,00"/>
        <filter val="200,00"/>
        <filter val="21,12"/>
        <filter val="21,28"/>
        <filter val="21,60"/>
        <filter val="240,00"/>
        <filter val="25,92"/>
        <filter val="276,00"/>
        <filter val="289,00"/>
        <filter val="29"/>
        <filter val="290,00"/>
        <filter val="3,88"/>
        <filter val="30,00"/>
        <filter val="300,00"/>
        <filter val="32,00"/>
        <filter val="329,00"/>
        <filter val="37,80"/>
        <filter val="38,53"/>
        <filter val="4 913,00"/>
        <filter val="4,80"/>
        <filter val="40,00"/>
        <filter val="41,02"/>
        <filter val="49,00"/>
        <filter val="49,33"/>
        <filter val="5 916,00"/>
        <filter val="50,40"/>
        <filter val="60,00"/>
        <filter val="7 799,00"/>
        <filter val="74,64"/>
        <filter val="740,00"/>
        <filter val="75,00"/>
        <filter val="8,00"/>
        <filter val="80,28"/>
        <filter val="85,80"/>
        <filter val="88,00"/>
        <filter val="9,00"/>
        <filter val="90,00"/>
        <filter val="945,00"/>
      </filters>
    </filterColumn>
    <filterColumn colId="29" showButton="0"/>
    <filterColumn colId="30" showButton="0"/>
  </autoFilter>
  <dataConsolidate/>
  <mergeCells count="85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P141:V141"/>
    <mergeCell ref="A141:O142"/>
    <mergeCell ref="P142:V142"/>
    <mergeCell ref="A143:Z143"/>
    <mergeCell ref="A144:Z144"/>
    <mergeCell ref="A145:Z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A375:Z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A406:Z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P425:V425"/>
    <mergeCell ref="A425:O426"/>
    <mergeCell ref="P426:V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P444:V444"/>
    <mergeCell ref="A444:O445"/>
    <mergeCell ref="P445:V445"/>
    <mergeCell ref="A446:Z446"/>
    <mergeCell ref="A447:Z447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P471:V471"/>
    <mergeCell ref="A471:O472"/>
    <mergeCell ref="P472:V472"/>
    <mergeCell ref="A473:Z473"/>
    <mergeCell ref="A474:Z474"/>
    <mergeCell ref="D475:E475"/>
    <mergeCell ref="P475:T475"/>
    <mergeCell ref="P476:V476"/>
    <mergeCell ref="A476:O477"/>
    <mergeCell ref="P477:V477"/>
    <mergeCell ref="P478:V478"/>
    <mergeCell ref="A478:O483"/>
    <mergeCell ref="P479:V479"/>
    <mergeCell ref="P480:V480"/>
    <mergeCell ref="P481:V481"/>
    <mergeCell ref="P482:V482"/>
    <mergeCell ref="P483:V483"/>
    <mergeCell ref="A486:A487"/>
    <mergeCell ref="B486:B487"/>
    <mergeCell ref="C486:C487"/>
    <mergeCell ref="D486:D487"/>
    <mergeCell ref="E486:E487"/>
    <mergeCell ref="F486:F487"/>
    <mergeCell ref="G486:G487"/>
    <mergeCell ref="H486:H487"/>
    <mergeCell ref="I486:I487"/>
    <mergeCell ref="U486:U487"/>
    <mergeCell ref="V486:V487"/>
    <mergeCell ref="W486:W487"/>
    <mergeCell ref="X486:X487"/>
    <mergeCell ref="Y486:Y487"/>
    <mergeCell ref="C485:G485"/>
    <mergeCell ref="H485:Q485"/>
    <mergeCell ref="R485:S485"/>
    <mergeCell ref="T485:V485"/>
    <mergeCell ref="X485:Y485"/>
    <mergeCell ref="J486:J487"/>
    <mergeCell ref="K486:K487"/>
    <mergeCell ref="L486:L487"/>
    <mergeCell ref="M486:M487"/>
    <mergeCell ref="O486:O487"/>
    <mergeCell ref="P486:P487"/>
    <mergeCell ref="Q486:Q487"/>
    <mergeCell ref="R486:R487"/>
    <mergeCell ref="S486:S487"/>
    <mergeCell ref="T486:T487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742</v>
      </c>
      <c r="H1" s="9"/>
    </row>
    <row r="3" spans="2:8" x14ac:dyDescent="0.2">
      <c r="B3" s="53" t="s">
        <v>743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745</v>
      </c>
      <c r="C6" s="53" t="s">
        <v>746</v>
      </c>
      <c r="D6" s="53" t="s">
        <v>747</v>
      </c>
      <c r="E6" s="53" t="s">
        <v>45</v>
      </c>
    </row>
    <row r="7" spans="2:8" x14ac:dyDescent="0.2">
      <c r="B7" s="53" t="s">
        <v>748</v>
      </c>
      <c r="C7" s="53" t="s">
        <v>749</v>
      </c>
      <c r="D7" s="53" t="s">
        <v>750</v>
      </c>
      <c r="E7" s="53" t="s">
        <v>45</v>
      </c>
    </row>
    <row r="9" spans="2:8" x14ac:dyDescent="0.2">
      <c r="B9" s="53" t="s">
        <v>751</v>
      </c>
      <c r="C9" s="53" t="s">
        <v>746</v>
      </c>
      <c r="D9" s="53" t="s">
        <v>45</v>
      </c>
      <c r="E9" s="53" t="s">
        <v>45</v>
      </c>
    </row>
    <row r="11" spans="2:8" x14ac:dyDescent="0.2">
      <c r="B11" s="53" t="s">
        <v>752</v>
      </c>
      <c r="C11" s="53" t="s">
        <v>749</v>
      </c>
      <c r="D11" s="53" t="s">
        <v>45</v>
      </c>
      <c r="E11" s="53" t="s">
        <v>45</v>
      </c>
    </row>
    <row r="13" spans="2:8" x14ac:dyDescent="0.2">
      <c r="B13" s="53" t="s">
        <v>753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754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755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756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757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758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759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760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761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762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763</v>
      </c>
      <c r="C23" s="53" t="s">
        <v>45</v>
      </c>
      <c r="D23" s="53" t="s">
        <v>45</v>
      </c>
      <c r="E23" s="53" t="s">
        <v>45</v>
      </c>
    </row>
  </sheetData>
  <sheetProtection algorithmName="SHA-512" hashValue="ayQX/4J8cEolANR1ZMwiHf5mCtWcql4dXwxWtKBZcnki36CISxm8O8ZkLTQ80VskvVVik3wUvlXdfn/7kG/isQ==" saltValue="qbd7kl+GrBRqkDzD0LSDl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967</vt:i4>
      </vt:variant>
    </vt:vector>
  </HeadingPairs>
  <TitlesOfParts>
    <vt:vector size="9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2026-01-19T09:00:36Z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