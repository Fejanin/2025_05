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4ACFD9-8233-44FF-972C-20B81C5444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Z302" i="1" s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186" i="1"/>
  <c r="Z68" i="1"/>
  <c r="Z75" i="1"/>
  <c r="Z282" i="1"/>
  <c r="Z401" i="1"/>
  <c r="Z311" i="1"/>
  <c r="Y495" i="1"/>
  <c r="Z473" i="1"/>
  <c r="Z356" i="1"/>
  <c r="Z331" i="1"/>
  <c r="Z288" i="1"/>
  <c r="Z212" i="1"/>
  <c r="Z440" i="1"/>
  <c r="Z275" i="1"/>
  <c r="Z258" i="1"/>
  <c r="Z224" i="1"/>
  <c r="Z57" i="1"/>
  <c r="Y494" i="1"/>
  <c r="Z201" i="1"/>
  <c r="Z88" i="1"/>
  <c r="Z318" i="1"/>
  <c r="Z180" i="1"/>
  <c r="Z468" i="1"/>
  <c r="Z446" i="1"/>
  <c r="Z455" i="1"/>
  <c r="Z418" i="1"/>
  <c r="Z337" i="1"/>
  <c r="Z267" i="1"/>
  <c r="Z242" i="1"/>
  <c r="Z95" i="1"/>
  <c r="Z31" i="1"/>
  <c r="Y497" i="1"/>
  <c r="X496" i="1"/>
  <c r="Z118" i="1"/>
  <c r="Z63" i="1"/>
  <c r="Y493" i="1"/>
  <c r="Z498" i="1" l="1"/>
  <c r="Y496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<sst xmlns="http://schemas.openxmlformats.org/spreadsheetml/2006/main" count="2339" uniqueCount="774">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</sst>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46041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0.5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5</v>
      </c>
      <c r="Y34" s="550">
        <f>IFERROR(IF(X34="",0,CEILING((X34/$H34),1)*$H34),"")</f>
        <v>5.3999999999999995</v>
      </c>
      <c r="Z34" s="36">
        <f>IFERROR(IF(Y34=0,"",ROUNDUP(Y34/H34,0)*0.00651),"")</f>
        <v>5.8590000000000003E-2</v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6.85</v>
      </c>
      <c r="BN34" s="64">
        <f>IFERROR(Y34*I34/H34,"0")</f>
        <v>7.3979999999999997</v>
      </c>
      <c r="BO34" s="64">
        <f>IFERROR(1/J34*(X34/H34),"0")</f>
        <v>4.5787545787545791E-2</v>
      </c>
      <c r="BP34" s="64">
        <f>IFERROR(1/J34*(Y34/H34),"0")</f>
        <v>4.9450549450549455E-2</v>
      </c>
    </row>
    <row r="35" spans="1:68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8.3333333333333339</v>
      </c>
      <c r="Y35" s="551">
        <f>IFERROR(Y34/H34,"0")</f>
        <v>9</v>
      </c>
      <c r="Z35" s="551">
        <f>IFERROR(IF(Z34="",0,Z34),"0")</f>
        <v>5.8590000000000003E-2</v>
      </c>
      <c r="AA35" s="552"/>
      <c r="AB35" s="552"/>
      <c r="AC35" s="552"/>
    </row>
    <row r="36" spans="1:68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5</v>
      </c>
      <c r="Y36" s="551">
        <f>IFERROR(SUM(Y34:Y34),"0")</f>
        <v>5.3999999999999995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100</v>
      </c>
      <c r="Y40" s="55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9.2592592592592595</v>
      </c>
      <c r="Y43" s="551">
        <f>IFERROR(Y40/H40,"0")+IFERROR(Y41/H41,"0")+IFERROR(Y42/H42,"0")</f>
        <v>10</v>
      </c>
      <c r="Z43" s="551">
        <f>IFERROR(IF(Z40="",0,Z40),"0")+IFERROR(IF(Z41="",0,Z41),"0")+IFERROR(IF(Z42="",0,Z42),"0")</f>
        <v>0.1898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100</v>
      </c>
      <c r="Y44" s="551">
        <f>IFERROR(SUM(Y40:Y42),"0")</f>
        <v>108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100</v>
      </c>
      <c r="Y52" s="55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9.2592592592592595</v>
      </c>
      <c r="Y57" s="551">
        <f>IFERROR(Y51/H51,"0")+IFERROR(Y52/H52,"0")+IFERROR(Y53/H53,"0")+IFERROR(Y54/H54,"0")+IFERROR(Y55/H55,"0")+IFERROR(Y56/H56,"0")</f>
        <v>10</v>
      </c>
      <c r="Z57" s="551">
        <f>IFERROR(IF(Z51="",0,Z51),"0")+IFERROR(IF(Z52="",0,Z52),"0")+IFERROR(IF(Z53="",0,Z53),"0")+IFERROR(IF(Z54="",0,Z54),"0")+IFERROR(IF(Z55="",0,Z55),"0")+IFERROR(IF(Z56="",0,Z56),"0")</f>
        <v>0.1898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100</v>
      </c>
      <c r="Y58" s="551">
        <f>IFERROR(SUM(Y51:Y56),"0")</f>
        <v>108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100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9.2592592592592595</v>
      </c>
      <c r="Y88" s="551">
        <f>IFERROR(Y84/H84,"0")+IFERROR(Y85/H85,"0")+IFERROR(Y86/H86,"0")+IFERROR(Y87/H87,"0")</f>
        <v>10</v>
      </c>
      <c r="Z88" s="551">
        <f>IFERROR(IF(Z84="",0,Z84),"0")+IFERROR(IF(Z85="",0,Z85),"0")+IFERROR(IF(Z86="",0,Z86),"0")+IFERROR(IF(Z87="",0,Z87),"0")</f>
        <v>0.1898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100</v>
      </c>
      <c r="Y89" s="551">
        <f>IFERROR(SUM(Y84:Y87),"0")</f>
        <v>108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0</v>
      </c>
      <c r="Y95" s="551">
        <f>IFERROR(Y91/H91,"0")+IFERROR(Y92/H92,"0")+IFERROR(Y93/H93,"0")+IFERROR(Y94/H94,"0")</f>
        <v>0</v>
      </c>
      <c r="Z95" s="551">
        <f>IFERROR(IF(Z91="",0,Z91),"0")+IFERROR(IF(Z92="",0,Z92),"0")+IFERROR(IF(Z93="",0,Z93),"0")+IFERROR(IF(Z94="",0,Z94),"0")</f>
        <v>0</v>
      </c>
      <c r="AA95" s="552"/>
      <c r="AB95" s="552"/>
      <c r="AC95" s="552"/>
    </row>
    <row r="96" spans="1:68" hidden="1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0</v>
      </c>
      <c r="Y96" s="551">
        <f>IFERROR(SUM(Y91:Y94),"0")</f>
        <v>0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100</v>
      </c>
      <c r="Y99" s="55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9.2592592592592595</v>
      </c>
      <c r="Y104" s="551">
        <f>IFERROR(Y99/H99,"0")+IFERROR(Y100/H100,"0")+IFERROR(Y101/H101,"0")+IFERROR(Y102/H102,"0")+IFERROR(Y103/H103,"0")</f>
        <v>10</v>
      </c>
      <c r="Z104" s="551">
        <f>IFERROR(IF(Z99="",0,Z99),"0")+IFERROR(IF(Z100="",0,Z100),"0")+IFERROR(IF(Z101="",0,Z101),"0")+IFERROR(IF(Z102="",0,Z102),"0")+IFERROR(IF(Z103="",0,Z103),"0")</f>
        <v>0.1898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100</v>
      </c>
      <c r="Y105" s="551">
        <f>IFERROR(SUM(Y99:Y103),"0")</f>
        <v>108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hidden="1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idden="1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hidden="1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idden="1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0</v>
      </c>
      <c r="Y224" s="551">
        <f>IFERROR(Y215/H215,"0")+IFERROR(Y216/H216,"0")+IFERROR(Y217/H217,"0")+IFERROR(Y218/H218,"0")+IFERROR(Y219/H219,"0")+IFERROR(Y220/H220,"0")+IFERROR(Y221/H221,"0")+IFERROR(Y222/H222,"0")+IFERROR(Y223/H223,"0")</f>
        <v>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552"/>
      <c r="AB224" s="552"/>
      <c r="AC224" s="552"/>
    </row>
    <row r="225" spans="1:68" hidden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0</v>
      </c>
      <c r="Y225" s="551">
        <f>IFERROR(SUM(Y215:Y223),"0")</f>
        <v>0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300</v>
      </c>
      <c r="Y349" s="550">
        <f t="shared" ref="Y349:Y355" si="36">IFERROR(IF(X349="",0,CEILING((X349/$H349),1)*$H349),"")</f>
        <v>300</v>
      </c>
      <c r="Z349" s="36">
        <f>IFERROR(IF(Y349=0,"",ROUNDUP(Y349/H349,0)*0.02175),"")</f>
        <v>0.43499999999999994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309.39999999999998</v>
      </c>
      <c r="BN349" s="64">
        <f t="shared" ref="BN349:BN355" si="38">IFERROR(Y349*I349/H349,"0")</f>
        <v>309.39999999999998</v>
      </c>
      <c r="BO349" s="64">
        <f t="shared" ref="BO349:BO355" si="39">IFERROR(1/J349*(X349/H349),"0")</f>
        <v>0.41666666666666663</v>
      </c>
      <c r="BP349" s="64">
        <f t="shared" ref="BP349:BP355" si="40">IFERROR(1/J349*(Y349/H349),"0")</f>
        <v>0.41666666666666663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300</v>
      </c>
      <c r="Y350" s="550">
        <f t="shared" si="36"/>
        <v>300</v>
      </c>
      <c r="Z350" s="36">
        <f>IFERROR(IF(Y350=0,"",ROUNDUP(Y350/H350,0)*0.02175),"")</f>
        <v>0.43499999999999994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309.39999999999998</v>
      </c>
      <c r="BN350" s="64">
        <f t="shared" si="38"/>
        <v>309.39999999999998</v>
      </c>
      <c r="BO350" s="64">
        <f t="shared" si="39"/>
        <v>0.41666666666666663</v>
      </c>
      <c r="BP350" s="64">
        <f t="shared" si="40"/>
        <v>0.41666666666666663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60</v>
      </c>
      <c r="Y356" s="551">
        <f>IFERROR(Y349/H349,"0")+IFERROR(Y350/H350,"0")+IFERROR(Y351/H351,"0")+IFERROR(Y352/H352,"0")+IFERROR(Y353/H353,"0")+IFERROR(Y354/H354,"0")+IFERROR(Y355/H355,"0")</f>
        <v>60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1.3049999999999997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900</v>
      </c>
      <c r="Y357" s="551">
        <f>IFERROR(SUM(Y349:Y355),"0")</f>
        <v>900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100</v>
      </c>
      <c r="Y432" s="550">
        <f t="shared" si="47"/>
        <v>100.32000000000001</v>
      </c>
      <c r="Z432" s="36">
        <f t="shared" si="48"/>
        <v>0.22724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106.62878787878788</v>
      </c>
      <c r="BN432" s="64">
        <f t="shared" si="50"/>
        <v>106.97</v>
      </c>
      <c r="BO432" s="64">
        <f t="shared" si="51"/>
        <v>0.18210955710955709</v>
      </c>
      <c r="BP432" s="64">
        <f t="shared" si="52"/>
        <v>0.18269230769230771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100</v>
      </c>
      <c r="Y434" s="550">
        <f t="shared" si="47"/>
        <v>100.32000000000001</v>
      </c>
      <c r="Z434" s="36">
        <f t="shared" si="48"/>
        <v>0.22724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106.62878787878788</v>
      </c>
      <c r="BN434" s="64">
        <f t="shared" si="50"/>
        <v>106.97</v>
      </c>
      <c r="BO434" s="64">
        <f t="shared" si="51"/>
        <v>0.18210955710955709</v>
      </c>
      <c r="BP434" s="64">
        <f t="shared" si="52"/>
        <v>0.18269230769230771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37.878787878787875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0.45448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200</v>
      </c>
      <c r="Y441" s="551">
        <f>IFERROR(SUM(Y428:Y439),"0")</f>
        <v>200.64000000000001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100</v>
      </c>
      <c r="Y443" s="550">
        <f>IFERROR(IF(X443="",0,CEILING((X443/$H443),1)*$H443),"")</f>
        <v>100.32000000000001</v>
      </c>
      <c r="Z443" s="36">
        <f>IFERROR(IF(Y443=0,"",ROUNDUP(Y443/H443,0)*0.01196),"")</f>
        <v>0.22724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106.62878787878788</v>
      </c>
      <c r="BN443" s="64">
        <f>IFERROR(Y443*I443/H443,"0")</f>
        <v>106.97</v>
      </c>
      <c r="BO443" s="64">
        <f>IFERROR(1/J443*(X443/H443),"0")</f>
        <v>0.18210955710955709</v>
      </c>
      <c r="BP443" s="64">
        <f>IFERROR(1/J443*(Y443/H443),"0")</f>
        <v>0.18269230769230771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18.939393939393938</v>
      </c>
      <c r="Y446" s="551">
        <f>IFERROR(Y443/H443,"0")+IFERROR(Y444/H444,"0")+IFERROR(Y445/H445,"0")</f>
        <v>19</v>
      </c>
      <c r="Z446" s="551">
        <f>IFERROR(IF(Z443="",0,Z443),"0")+IFERROR(IF(Z444="",0,Z444),"0")+IFERROR(IF(Z445="",0,Z445),"0")</f>
        <v>0.22724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100</v>
      </c>
      <c r="Y447" s="551">
        <f>IFERROR(SUM(Y443:Y445),"0")</f>
        <v>100.32000000000001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1905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1938.3600000000001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1979.5215488215495</v>
      </c>
      <c r="Y494" s="551">
        <f>IFERROR(SUM(BN22:BN490),"0")</f>
        <v>2014.3080000000002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3</v>
      </c>
      <c r="Y495" s="38">
        <f>ROUNDUP(SUM(BP22:BP490),0)</f>
        <v>3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2054.5215488215495</v>
      </c>
      <c r="Y496" s="551">
        <f>GrossWeightTotalR+PalletQtyTotalR*25</f>
        <v>2089.308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182.18855218855219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186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3.2395100000000001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5.3999999999999995</v>
      </c>
      <c r="C503" s="46">
        <f>IFERROR(Y40*1,"0")+IFERROR(Y41*1,"0")+IFERROR(Y42*1,"0")+IFERROR(Y46*1,"0")</f>
        <v>108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108</v>
      </c>
      <c r="E503" s="46">
        <f>IFERROR(Y84*1,"0")+IFERROR(Y85*1,"0")+IFERROR(Y86*1,"0")+IFERROR(Y87*1,"0")+IFERROR(Y91*1,"0")+IFERROR(Y92*1,"0")+IFERROR(Y93*1,"0")+IFERROR(Y94*1,"0")</f>
        <v>108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108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1200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300.96000000000004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905,00"/>
        <filter val="1 979,52"/>
        <filter val="100,00"/>
        <filter val="18,94"/>
        <filter val="182,19"/>
        <filter val="2 054,52"/>
        <filter val="20,00"/>
        <filter val="200,00"/>
        <filter val="3"/>
        <filter val="300,00"/>
        <filter val="37,88"/>
        <filter val="5,00"/>
        <filter val="60,00"/>
        <filter val="8,33"/>
        <filter val="9,26"/>
        <filter val="900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