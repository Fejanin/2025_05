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3ACF462-5408-4051-8848-F1BEF54836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Z291" i="1" s="1"/>
  <c r="P291" i="1"/>
  <c r="X289" i="1"/>
  <c r="X288" i="1"/>
  <c r="BO287" i="1"/>
  <c r="BM287" i="1"/>
  <c r="Y287" i="1"/>
  <c r="P287" i="1"/>
  <c r="BO286" i="1"/>
  <c r="BM286" i="1"/>
  <c r="Y286" i="1"/>
  <c r="Y288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BP195" i="1" s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Y183" i="1"/>
  <c r="P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X123" i="1"/>
  <c r="X122" i="1"/>
  <c r="BP121" i="1"/>
  <c r="BO121" i="1"/>
  <c r="BN121" i="1"/>
  <c r="BM121" i="1"/>
  <c r="Z121" i="1"/>
  <c r="Z122" i="1" s="1"/>
  <c r="Y121" i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N115" i="1"/>
  <c r="BM115" i="1"/>
  <c r="Z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32" i="1" l="1"/>
  <c r="BN132" i="1"/>
  <c r="Z132" i="1"/>
  <c r="BP171" i="1"/>
  <c r="BN171" i="1"/>
  <c r="Z171" i="1"/>
  <c r="BP200" i="1"/>
  <c r="BN200" i="1"/>
  <c r="Z200" i="1"/>
  <c r="BP222" i="1"/>
  <c r="BN222" i="1"/>
  <c r="Z222" i="1"/>
  <c r="BP255" i="1"/>
  <c r="BN255" i="1"/>
  <c r="Z255" i="1"/>
  <c r="BP287" i="1"/>
  <c r="BN287" i="1"/>
  <c r="Z287" i="1"/>
  <c r="BP316" i="1"/>
  <c r="BN316" i="1"/>
  <c r="Z316" i="1"/>
  <c r="BP352" i="1"/>
  <c r="BN352" i="1"/>
  <c r="Z352" i="1"/>
  <c r="BP395" i="1"/>
  <c r="BN395" i="1"/>
  <c r="Z395" i="1"/>
  <c r="BP431" i="1"/>
  <c r="BN431" i="1"/>
  <c r="Z431" i="1"/>
  <c r="BP455" i="1"/>
  <c r="BN455" i="1"/>
  <c r="Z455" i="1"/>
  <c r="Z22" i="1"/>
  <c r="BN22" i="1"/>
  <c r="Z42" i="1"/>
  <c r="BN42" i="1"/>
  <c r="Z61" i="1"/>
  <c r="BN61" i="1"/>
  <c r="Z79" i="1"/>
  <c r="BN79" i="1"/>
  <c r="Z94" i="1"/>
  <c r="BN94" i="1"/>
  <c r="Z107" i="1"/>
  <c r="BN107" i="1"/>
  <c r="BP149" i="1"/>
  <c r="BN149" i="1"/>
  <c r="Z149" i="1"/>
  <c r="BP179" i="1"/>
  <c r="BN179" i="1"/>
  <c r="Z179" i="1"/>
  <c r="BP210" i="1"/>
  <c r="BN210" i="1"/>
  <c r="Z210" i="1"/>
  <c r="BP237" i="1"/>
  <c r="BN237" i="1"/>
  <c r="Z237" i="1"/>
  <c r="BP266" i="1"/>
  <c r="BN266" i="1"/>
  <c r="Z266" i="1"/>
  <c r="BP302" i="1"/>
  <c r="BN302" i="1"/>
  <c r="Z302" i="1"/>
  <c r="BP330" i="1"/>
  <c r="BN330" i="1"/>
  <c r="Z330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39" i="1"/>
  <c r="BN439" i="1"/>
  <c r="Z439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BP485" i="1"/>
  <c r="BN485" i="1"/>
  <c r="Z485" i="1"/>
  <c r="BP126" i="1"/>
  <c r="BN126" i="1"/>
  <c r="Z126" i="1"/>
  <c r="Y153" i="1"/>
  <c r="BP147" i="1"/>
  <c r="BN147" i="1"/>
  <c r="Z147" i="1"/>
  <c r="BP169" i="1"/>
  <c r="BN169" i="1"/>
  <c r="Z169" i="1"/>
  <c r="BP177" i="1"/>
  <c r="BN177" i="1"/>
  <c r="Z177" i="1"/>
  <c r="Y191" i="1"/>
  <c r="Y190" i="1"/>
  <c r="BP189" i="1"/>
  <c r="BN189" i="1"/>
  <c r="Z189" i="1"/>
  <c r="Z190" i="1" s="1"/>
  <c r="BP194" i="1"/>
  <c r="BN194" i="1"/>
  <c r="Z194" i="1"/>
  <c r="BP208" i="1"/>
  <c r="BN208" i="1"/>
  <c r="Z208" i="1"/>
  <c r="BP220" i="1"/>
  <c r="BN220" i="1"/>
  <c r="Z220" i="1"/>
  <c r="BP235" i="1"/>
  <c r="BN235" i="1"/>
  <c r="Z235" i="1"/>
  <c r="Y247" i="1"/>
  <c r="Y246" i="1"/>
  <c r="BP245" i="1"/>
  <c r="BN245" i="1"/>
  <c r="Z245" i="1"/>
  <c r="Z246" i="1" s="1"/>
  <c r="Y251" i="1"/>
  <c r="Y250" i="1"/>
  <c r="BP249" i="1"/>
  <c r="BN249" i="1"/>
  <c r="Z249" i="1"/>
  <c r="Z250" i="1" s="1"/>
  <c r="Y259" i="1"/>
  <c r="BP253" i="1"/>
  <c r="BN253" i="1"/>
  <c r="Z253" i="1"/>
  <c r="BP264" i="1"/>
  <c r="BN264" i="1"/>
  <c r="Z264" i="1"/>
  <c r="BP280" i="1"/>
  <c r="BN280" i="1"/>
  <c r="Z280" i="1"/>
  <c r="J9" i="1"/>
  <c r="X498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Y63" i="1"/>
  <c r="Z67" i="1"/>
  <c r="BN67" i="1"/>
  <c r="Y75" i="1"/>
  <c r="Z73" i="1"/>
  <c r="BN73" i="1"/>
  <c r="Z84" i="1"/>
  <c r="BN84" i="1"/>
  <c r="Z92" i="1"/>
  <c r="BN92" i="1"/>
  <c r="Z99" i="1"/>
  <c r="BN99" i="1"/>
  <c r="Z103" i="1"/>
  <c r="BN103" i="1"/>
  <c r="Y111" i="1"/>
  <c r="Z109" i="1"/>
  <c r="BN109" i="1"/>
  <c r="Y119" i="1"/>
  <c r="Z117" i="1"/>
  <c r="BN117" i="1"/>
  <c r="Y123" i="1"/>
  <c r="Y122" i="1"/>
  <c r="Y138" i="1"/>
  <c r="BP136" i="1"/>
  <c r="BN136" i="1"/>
  <c r="Z136" i="1"/>
  <c r="BP151" i="1"/>
  <c r="BN151" i="1"/>
  <c r="Z151" i="1"/>
  <c r="BP173" i="1"/>
  <c r="BN173" i="1"/>
  <c r="Z173" i="1"/>
  <c r="Y187" i="1"/>
  <c r="BP183" i="1"/>
  <c r="BN183" i="1"/>
  <c r="Z183" i="1"/>
  <c r="Y212" i="1"/>
  <c r="BP204" i="1"/>
  <c r="BN204" i="1"/>
  <c r="Z204" i="1"/>
  <c r="BP216" i="1"/>
  <c r="BN216" i="1"/>
  <c r="Z216" i="1"/>
  <c r="BP228" i="1"/>
  <c r="BN228" i="1"/>
  <c r="Z228" i="1"/>
  <c r="BP239" i="1"/>
  <c r="BN239" i="1"/>
  <c r="Z239" i="1"/>
  <c r="BP257" i="1"/>
  <c r="BN257" i="1"/>
  <c r="Z257" i="1"/>
  <c r="BP271" i="1"/>
  <c r="BN271" i="1"/>
  <c r="Z271" i="1"/>
  <c r="Y312" i="1"/>
  <c r="BP306" i="1"/>
  <c r="BN306" i="1"/>
  <c r="Z306" i="1"/>
  <c r="BP318" i="1"/>
  <c r="BN318" i="1"/>
  <c r="Z318" i="1"/>
  <c r="BP336" i="1"/>
  <c r="BN336" i="1"/>
  <c r="Z336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Y469" i="1"/>
  <c r="BP465" i="1"/>
  <c r="BN465" i="1"/>
  <c r="Z465" i="1"/>
  <c r="H504" i="1"/>
  <c r="I504" i="1"/>
  <c r="Y181" i="1"/>
  <c r="L504" i="1"/>
  <c r="BP291" i="1"/>
  <c r="BN291" i="1"/>
  <c r="BP300" i="1"/>
  <c r="BN300" i="1"/>
  <c r="Z300" i="1"/>
  <c r="BP310" i="1"/>
  <c r="BN310" i="1"/>
  <c r="Z310" i="1"/>
  <c r="BP324" i="1"/>
  <c r="BN324" i="1"/>
  <c r="Z324" i="1"/>
  <c r="BP328" i="1"/>
  <c r="BN328" i="1"/>
  <c r="Z328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5" i="1"/>
  <c r="W504" i="1"/>
  <c r="Y424" i="1"/>
  <c r="BP423" i="1"/>
  <c r="BN423" i="1"/>
  <c r="Z423" i="1"/>
  <c r="Z424" i="1" s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Y326" i="1"/>
  <c r="Y325" i="1"/>
  <c r="Y389" i="1"/>
  <c r="Y388" i="1"/>
  <c r="Y487" i="1"/>
  <c r="Y68" i="1"/>
  <c r="Y80" i="1"/>
  <c r="Y118" i="1"/>
  <c r="Y139" i="1"/>
  <c r="Y144" i="1"/>
  <c r="Y164" i="1"/>
  <c r="Y197" i="1"/>
  <c r="Y202" i="1"/>
  <c r="BP199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Y276" i="1"/>
  <c r="O504" i="1"/>
  <c r="Y282" i="1"/>
  <c r="BP279" i="1"/>
  <c r="BN279" i="1"/>
  <c r="Z279" i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BP329" i="1"/>
  <c r="BN329" i="1"/>
  <c r="Z329" i="1"/>
  <c r="BP337" i="1"/>
  <c r="BN337" i="1"/>
  <c r="Z337" i="1"/>
  <c r="Y339" i="1"/>
  <c r="R504" i="1"/>
  <c r="Y346" i="1"/>
  <c r="Y345" i="1"/>
  <c r="BP342" i="1"/>
  <c r="BN342" i="1"/>
  <c r="Z342" i="1"/>
  <c r="BP376" i="1"/>
  <c r="BN376" i="1"/>
  <c r="Z376" i="1"/>
  <c r="Z377" i="1" s="1"/>
  <c r="Y378" i="1"/>
  <c r="Y383" i="1"/>
  <c r="BP380" i="1"/>
  <c r="BN380" i="1"/>
  <c r="Z380" i="1"/>
  <c r="Z382" i="1" s="1"/>
  <c r="Y382" i="1"/>
  <c r="Q504" i="1"/>
  <c r="Y25" i="1"/>
  <c r="Y31" i="1"/>
  <c r="Y43" i="1"/>
  <c r="Y58" i="1"/>
  <c r="Y64" i="1"/>
  <c r="Y76" i="1"/>
  <c r="Y89" i="1"/>
  <c r="Y95" i="1"/>
  <c r="Y104" i="1"/>
  <c r="Y112" i="1"/>
  <c r="Y129" i="1"/>
  <c r="Y133" i="1"/>
  <c r="Y154" i="1"/>
  <c r="Y158" i="1"/>
  <c r="Y180" i="1"/>
  <c r="Y186" i="1"/>
  <c r="H9" i="1"/>
  <c r="B504" i="1"/>
  <c r="X495" i="1"/>
  <c r="X496" i="1"/>
  <c r="Z23" i="1"/>
  <c r="Z24" i="1" s="1"/>
  <c r="BN23" i="1"/>
  <c r="Y24" i="1"/>
  <c r="X494" i="1"/>
  <c r="Z27" i="1"/>
  <c r="BN27" i="1"/>
  <c r="BP27" i="1"/>
  <c r="Z29" i="1"/>
  <c r="BN29" i="1"/>
  <c r="C504" i="1"/>
  <c r="Z41" i="1"/>
  <c r="Z43" i="1" s="1"/>
  <c r="BN41" i="1"/>
  <c r="Y44" i="1"/>
  <c r="D504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Z68" i="1" s="1"/>
  <c r="BN66" i="1"/>
  <c r="BP66" i="1"/>
  <c r="Z72" i="1"/>
  <c r="BN72" i="1"/>
  <c r="Z74" i="1"/>
  <c r="BN74" i="1"/>
  <c r="Z78" i="1"/>
  <c r="BN78" i="1"/>
  <c r="BP78" i="1"/>
  <c r="E504" i="1"/>
  <c r="Z85" i="1"/>
  <c r="BN85" i="1"/>
  <c r="Z87" i="1"/>
  <c r="BN87" i="1"/>
  <c r="Y88" i="1"/>
  <c r="Z91" i="1"/>
  <c r="BN91" i="1"/>
  <c r="BP91" i="1"/>
  <c r="Z93" i="1"/>
  <c r="BN93" i="1"/>
  <c r="F504" i="1"/>
  <c r="Z100" i="1"/>
  <c r="BN100" i="1"/>
  <c r="Z102" i="1"/>
  <c r="BN102" i="1"/>
  <c r="Y105" i="1"/>
  <c r="Z108" i="1"/>
  <c r="BN108" i="1"/>
  <c r="Z110" i="1"/>
  <c r="BN110" i="1"/>
  <c r="Z114" i="1"/>
  <c r="BN114" i="1"/>
  <c r="BP114" i="1"/>
  <c r="Z116" i="1"/>
  <c r="BN116" i="1"/>
  <c r="G504" i="1"/>
  <c r="Z127" i="1"/>
  <c r="Z128" i="1" s="1"/>
  <c r="BN127" i="1"/>
  <c r="Y128" i="1"/>
  <c r="Z131" i="1"/>
  <c r="Z133" i="1" s="1"/>
  <c r="BN131" i="1"/>
  <c r="BP131" i="1"/>
  <c r="Z137" i="1"/>
  <c r="BN137" i="1"/>
  <c r="Z142" i="1"/>
  <c r="Z144" i="1" s="1"/>
  <c r="BN142" i="1"/>
  <c r="BP142" i="1"/>
  <c r="Y145" i="1"/>
  <c r="Z148" i="1"/>
  <c r="BN148" i="1"/>
  <c r="Z150" i="1"/>
  <c r="BN150" i="1"/>
  <c r="Z152" i="1"/>
  <c r="BN152" i="1"/>
  <c r="Z156" i="1"/>
  <c r="Z157" i="1" s="1"/>
  <c r="BN156" i="1"/>
  <c r="BP156" i="1"/>
  <c r="Z162" i="1"/>
  <c r="Z163" i="1" s="1"/>
  <c r="BN162" i="1"/>
  <c r="BP162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4" i="1"/>
  <c r="BN184" i="1"/>
  <c r="J504" i="1"/>
  <c r="Z195" i="1"/>
  <c r="Z196" i="1" s="1"/>
  <c r="BN195" i="1"/>
  <c r="Y196" i="1"/>
  <c r="Z199" i="1"/>
  <c r="Z201" i="1" s="1"/>
  <c r="BN199" i="1"/>
  <c r="Y201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Y229" i="1"/>
  <c r="BP234" i="1"/>
  <c r="BN234" i="1"/>
  <c r="Z234" i="1"/>
  <c r="BP238" i="1"/>
  <c r="BN238" i="1"/>
  <c r="Z238" i="1"/>
  <c r="Z242" i="1" s="1"/>
  <c r="Y242" i="1"/>
  <c r="Z258" i="1"/>
  <c r="BP254" i="1"/>
  <c r="BN254" i="1"/>
  <c r="Z254" i="1"/>
  <c r="Y258" i="1"/>
  <c r="BP263" i="1"/>
  <c r="BN263" i="1"/>
  <c r="Z263" i="1"/>
  <c r="Y267" i="1"/>
  <c r="BP272" i="1"/>
  <c r="BN272" i="1"/>
  <c r="Z272" i="1"/>
  <c r="Z275" i="1" s="1"/>
  <c r="BP281" i="1"/>
  <c r="BN281" i="1"/>
  <c r="Z281" i="1"/>
  <c r="Y283" i="1"/>
  <c r="P504" i="1"/>
  <c r="Y289" i="1"/>
  <c r="BP286" i="1"/>
  <c r="BN286" i="1"/>
  <c r="Z286" i="1"/>
  <c r="Z288" i="1" s="1"/>
  <c r="Y293" i="1"/>
  <c r="BP299" i="1"/>
  <c r="BN299" i="1"/>
  <c r="Z299" i="1"/>
  <c r="Y303" i="1"/>
  <c r="BP307" i="1"/>
  <c r="BN307" i="1"/>
  <c r="Z307" i="1"/>
  <c r="Z312" i="1" s="1"/>
  <c r="BP311" i="1"/>
  <c r="BN311" i="1"/>
  <c r="Z311" i="1"/>
  <c r="Y313" i="1"/>
  <c r="Y320" i="1"/>
  <c r="BP315" i="1"/>
  <c r="BN315" i="1"/>
  <c r="Z315" i="1"/>
  <c r="Z319" i="1" s="1"/>
  <c r="Y319" i="1"/>
  <c r="BP323" i="1"/>
  <c r="BN323" i="1"/>
  <c r="Z323" i="1"/>
  <c r="Z325" i="1" s="1"/>
  <c r="Y332" i="1"/>
  <c r="BP331" i="1"/>
  <c r="BN331" i="1"/>
  <c r="Z331" i="1"/>
  <c r="Y333" i="1"/>
  <c r="Y338" i="1"/>
  <c r="BP335" i="1"/>
  <c r="BN335" i="1"/>
  <c r="Z335" i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Z487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Z447" i="1" s="1"/>
  <c r="BP452" i="1"/>
  <c r="BN452" i="1"/>
  <c r="Z452" i="1"/>
  <c r="BP466" i="1"/>
  <c r="BN466" i="1"/>
  <c r="Z466" i="1"/>
  <c r="Z469" i="1" s="1"/>
  <c r="BP486" i="1"/>
  <c r="BN486" i="1"/>
  <c r="Z486" i="1"/>
  <c r="Y488" i="1"/>
  <c r="Z504" i="1"/>
  <c r="Y492" i="1"/>
  <c r="BP491" i="1"/>
  <c r="BN491" i="1"/>
  <c r="Z491" i="1"/>
  <c r="Z492" i="1" s="1"/>
  <c r="Y493" i="1"/>
  <c r="Y441" i="1"/>
  <c r="Z80" i="1" l="1"/>
  <c r="Z441" i="1"/>
  <c r="Z104" i="1"/>
  <c r="Z57" i="1"/>
  <c r="Y496" i="1"/>
  <c r="Z402" i="1"/>
  <c r="Z357" i="1"/>
  <c r="Z338" i="1"/>
  <c r="Z267" i="1"/>
  <c r="Z186" i="1"/>
  <c r="Z153" i="1"/>
  <c r="Z138" i="1"/>
  <c r="Z118" i="1"/>
  <c r="Z111" i="1"/>
  <c r="Z88" i="1"/>
  <c r="Z75" i="1"/>
  <c r="Z63" i="1"/>
  <c r="Y495" i="1"/>
  <c r="Z332" i="1"/>
  <c r="Y497" i="1"/>
  <c r="Z212" i="1"/>
  <c r="Z180" i="1"/>
  <c r="Z95" i="1"/>
  <c r="Z31" i="1"/>
  <c r="Y498" i="1"/>
  <c r="X497" i="1"/>
  <c r="Y494" i="1"/>
  <c r="Z456" i="1"/>
  <c r="Z419" i="1"/>
  <c r="Z345" i="1"/>
  <c r="Z303" i="1"/>
  <c r="Z282" i="1"/>
  <c r="Z224" i="1"/>
  <c r="Z499" i="1" l="1"/>
</calcChain>
</file>

<file path=xl/sharedStrings.xml><?xml version="1.0" encoding="utf-8"?>
<sst xmlns="http://schemas.openxmlformats.org/spreadsheetml/2006/main" count="2364" uniqueCount="777">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</sst>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5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4" t="s">
        <v>0</v>
      </c>
      <c r="E1" s="594"/>
      <c r="F1" s="594"/>
      <c r="G1" s="12" t="s">
        <v>1</v>
      </c>
      <c r="H1" s="634" t="s">
        <v>2</v>
      </c>
      <c r="I1" s="594"/>
      <c r="J1" s="594"/>
      <c r="K1" s="594"/>
      <c r="L1" s="594"/>
      <c r="M1" s="594"/>
      <c r="N1" s="594"/>
      <c r="O1" s="594"/>
      <c r="P1" s="594"/>
      <c r="Q1" s="594"/>
      <c r="R1" s="593" t="s">
        <v>3</v>
      </c>
      <c r="S1" s="594"/>
      <c r="T1" s="5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95" t="s">
        <v>8</v>
      </c>
      <c r="B5" s="669"/>
      <c r="C5" s="670"/>
      <c r="D5" s="638"/>
      <c r="E5" s="639"/>
      <c r="F5" s="832" t="s">
        <v>9</v>
      </c>
      <c r="G5" s="670"/>
      <c r="H5" s="638" t="s">
        <v>776</v>
      </c>
      <c r="I5" s="790"/>
      <c r="J5" s="790"/>
      <c r="K5" s="790"/>
      <c r="L5" s="790"/>
      <c r="M5" s="639"/>
      <c r="N5" s="58"/>
      <c r="P5" s="24" t="s">
        <v>10</v>
      </c>
      <c r="Q5" s="849">
        <v>46041</v>
      </c>
      <c r="R5" s="688"/>
      <c r="T5" s="735" t="s">
        <v>11</v>
      </c>
      <c r="U5" s="666"/>
      <c r="V5" s="736" t="s">
        <v>12</v>
      </c>
      <c r="W5" s="688"/>
      <c r="AB5" s="51"/>
      <c r="AC5" s="51"/>
      <c r="AD5" s="51"/>
      <c r="AE5" s="51"/>
    </row>
    <row r="6" spans="1:32" s="545" customFormat="1" ht="24" customHeight="1" x14ac:dyDescent="0.2">
      <c r="A6" s="695" t="s">
        <v>13</v>
      </c>
      <c r="B6" s="669"/>
      <c r="C6" s="670"/>
      <c r="D6" s="792" t="s">
        <v>14</v>
      </c>
      <c r="E6" s="793"/>
      <c r="F6" s="793"/>
      <c r="G6" s="793"/>
      <c r="H6" s="793"/>
      <c r="I6" s="793"/>
      <c r="J6" s="793"/>
      <c r="K6" s="793"/>
      <c r="L6" s="793"/>
      <c r="M6" s="688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Понедельник</v>
      </c>
      <c r="R6" s="559"/>
      <c r="T6" s="740" t="s">
        <v>16</v>
      </c>
      <c r="U6" s="666"/>
      <c r="V6" s="775" t="s">
        <v>17</v>
      </c>
      <c r="W6" s="604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15" t="str">
        <f>IFERROR(VLOOKUP(DeliveryAddress,Table,3,0),1)</f>
        <v>1</v>
      </c>
      <c r="E7" s="616"/>
      <c r="F7" s="616"/>
      <c r="G7" s="616"/>
      <c r="H7" s="616"/>
      <c r="I7" s="616"/>
      <c r="J7" s="616"/>
      <c r="K7" s="616"/>
      <c r="L7" s="616"/>
      <c r="M7" s="617"/>
      <c r="N7" s="60"/>
      <c r="P7" s="24"/>
      <c r="Q7" s="42"/>
      <c r="R7" s="42"/>
      <c r="T7" s="564"/>
      <c r="U7" s="666"/>
      <c r="V7" s="776"/>
      <c r="W7" s="777"/>
      <c r="AB7" s="51"/>
      <c r="AC7" s="51"/>
      <c r="AD7" s="51"/>
      <c r="AE7" s="51"/>
    </row>
    <row r="8" spans="1:32" s="545" customFormat="1" ht="25.5" customHeight="1" x14ac:dyDescent="0.2">
      <c r="A8" s="879" t="s">
        <v>18</v>
      </c>
      <c r="B8" s="569"/>
      <c r="C8" s="570"/>
      <c r="D8" s="627" t="s">
        <v>19</v>
      </c>
      <c r="E8" s="628"/>
      <c r="F8" s="628"/>
      <c r="G8" s="628"/>
      <c r="H8" s="628"/>
      <c r="I8" s="628"/>
      <c r="J8" s="628"/>
      <c r="K8" s="628"/>
      <c r="L8" s="628"/>
      <c r="M8" s="629"/>
      <c r="N8" s="61"/>
      <c r="P8" s="24" t="s">
        <v>20</v>
      </c>
      <c r="Q8" s="702">
        <v>0.5</v>
      </c>
      <c r="R8" s="617"/>
      <c r="T8" s="564"/>
      <c r="U8" s="666"/>
      <c r="V8" s="776"/>
      <c r="W8" s="777"/>
      <c r="AB8" s="51"/>
      <c r="AC8" s="51"/>
      <c r="AD8" s="51"/>
      <c r="AE8" s="51"/>
    </row>
    <row r="9" spans="1:32" s="545" customFormat="1" ht="39.950000000000003" customHeight="1" x14ac:dyDescent="0.2">
      <c r="A9" s="7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6"/>
      <c r="E9" s="575"/>
      <c r="F9" s="7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74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543"/>
      <c r="P9" s="26" t="s">
        <v>21</v>
      </c>
      <c r="Q9" s="684"/>
      <c r="R9" s="685"/>
      <c r="T9" s="564"/>
      <c r="U9" s="666"/>
      <c r="V9" s="778"/>
      <c r="W9" s="779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6"/>
      <c r="E10" s="575"/>
      <c r="F10" s="7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6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7"/>
      <c r="R10" s="728"/>
      <c r="U10" s="24" t="s">
        <v>23</v>
      </c>
      <c r="V10" s="603" t="s">
        <v>24</v>
      </c>
      <c r="W10" s="604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7"/>
      <c r="R11" s="688"/>
      <c r="U11" s="24" t="s">
        <v>27</v>
      </c>
      <c r="V11" s="807" t="s">
        <v>28</v>
      </c>
      <c r="W11" s="685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29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702"/>
      <c r="R12" s="617"/>
      <c r="S12" s="23"/>
      <c r="U12" s="24"/>
      <c r="V12" s="594"/>
      <c r="W12" s="564"/>
      <c r="AB12" s="51"/>
      <c r="AC12" s="51"/>
      <c r="AD12" s="51"/>
      <c r="AE12" s="51"/>
    </row>
    <row r="13" spans="1:32" s="545" customFormat="1" ht="23.25" customHeight="1" x14ac:dyDescent="0.2">
      <c r="A13" s="729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807"/>
      <c r="R13" s="68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29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18" t="s">
        <v>35</v>
      </c>
      <c r="Q15" s="594"/>
      <c r="R15" s="594"/>
      <c r="S15" s="594"/>
      <c r="T15" s="5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9"/>
      <c r="Q16" s="719"/>
      <c r="R16" s="719"/>
      <c r="S16" s="719"/>
      <c r="T16" s="71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712" t="s">
        <v>38</v>
      </c>
      <c r="D17" s="581" t="s">
        <v>39</v>
      </c>
      <c r="E17" s="65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55"/>
      <c r="R17" s="655"/>
      <c r="S17" s="655"/>
      <c r="T17" s="656"/>
      <c r="U17" s="871" t="s">
        <v>51</v>
      </c>
      <c r="V17" s="670"/>
      <c r="W17" s="581" t="s">
        <v>52</v>
      </c>
      <c r="X17" s="581" t="s">
        <v>53</v>
      </c>
      <c r="Y17" s="872" t="s">
        <v>54</v>
      </c>
      <c r="Z17" s="787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57"/>
      <c r="E18" s="65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2"/>
      <c r="X18" s="582"/>
      <c r="Y18" s="873"/>
      <c r="Z18" s="788"/>
      <c r="AA18" s="765"/>
      <c r="AB18" s="765"/>
      <c r="AC18" s="765"/>
      <c r="AD18" s="829"/>
      <c r="AE18" s="830"/>
      <c r="AF18" s="831"/>
      <c r="AG18" s="66"/>
      <c r="BD18" s="65"/>
    </row>
    <row r="19" spans="1:68" ht="27.75" hidden="1" customHeight="1" x14ac:dyDescent="0.2">
      <c r="A19" s="613" t="s">
        <v>63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48"/>
      <c r="AB19" s="48"/>
      <c r="AC19" s="48"/>
    </row>
    <row r="20" spans="1:68" ht="16.5" hidden="1" customHeight="1" x14ac:dyDescent="0.25">
      <c r="A20" s="576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hidden="1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hidden="1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hidden="1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202.5</v>
      </c>
      <c r="Y30" s="552">
        <f>IFERROR(IF(X30="",0,CEILING((X30/$H30),1)*$H30),"")</f>
        <v>203.4</v>
      </c>
      <c r="Z30" s="36">
        <f>IFERROR(IF(Y30=0,"",ROUNDUP(Y30/H30,0)*0.00651),"")</f>
        <v>0.73563000000000001</v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357.75</v>
      </c>
      <c r="BN30" s="64">
        <f>IFERROR(Y30*I30/H30,"0")</f>
        <v>359.34</v>
      </c>
      <c r="BO30" s="64">
        <f>IFERROR(1/J30*(X30/H30),"0")</f>
        <v>0.61813186813186816</v>
      </c>
      <c r="BP30" s="64">
        <f>IFERROR(1/J30*(Y30/H30),"0")</f>
        <v>0.62087912087912089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68" t="s">
        <v>75</v>
      </c>
      <c r="Q31" s="569"/>
      <c r="R31" s="569"/>
      <c r="S31" s="569"/>
      <c r="T31" s="569"/>
      <c r="U31" s="569"/>
      <c r="V31" s="570"/>
      <c r="W31" s="37" t="s">
        <v>76</v>
      </c>
      <c r="X31" s="553">
        <f>IFERROR(X27/H27,"0")+IFERROR(X28/H28,"0")+IFERROR(X29/H29,"0")+IFERROR(X30/H30,"0")</f>
        <v>112.5</v>
      </c>
      <c r="Y31" s="553">
        <f>IFERROR(Y27/H27,"0")+IFERROR(Y28/H28,"0")+IFERROR(Y29/H29,"0")+IFERROR(Y30/H30,"0")</f>
        <v>113</v>
      </c>
      <c r="Z31" s="553">
        <f>IFERROR(IF(Z27="",0,Z27),"0")+IFERROR(IF(Z28="",0,Z28),"0")+IFERROR(IF(Z29="",0,Z29),"0")+IFERROR(IF(Z30="",0,Z30),"0")</f>
        <v>0.73563000000000001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68" t="s">
        <v>75</v>
      </c>
      <c r="Q32" s="569"/>
      <c r="R32" s="569"/>
      <c r="S32" s="569"/>
      <c r="T32" s="569"/>
      <c r="U32" s="569"/>
      <c r="V32" s="570"/>
      <c r="W32" s="37" t="s">
        <v>69</v>
      </c>
      <c r="X32" s="553">
        <f>IFERROR(SUM(X27:X30),"0")</f>
        <v>202.5</v>
      </c>
      <c r="Y32" s="553">
        <f>IFERROR(SUM(Y27:Y30),"0")</f>
        <v>203.4</v>
      </c>
      <c r="Z32" s="37"/>
      <c r="AA32" s="554"/>
      <c r="AB32" s="554"/>
      <c r="AC32" s="554"/>
    </row>
    <row r="33" spans="1:68" ht="14.25" hidden="1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68" t="s">
        <v>75</v>
      </c>
      <c r="Q35" s="569"/>
      <c r="R35" s="569"/>
      <c r="S35" s="569"/>
      <c r="T35" s="569"/>
      <c r="U35" s="569"/>
      <c r="V35" s="570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hidden="1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68" t="s">
        <v>75</v>
      </c>
      <c r="Q36" s="569"/>
      <c r="R36" s="569"/>
      <c r="S36" s="569"/>
      <c r="T36" s="569"/>
      <c r="U36" s="569"/>
      <c r="V36" s="570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hidden="1" customHeight="1" x14ac:dyDescent="0.2">
      <c r="A37" s="613" t="s">
        <v>99</v>
      </c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48"/>
      <c r="AB37" s="48"/>
      <c r="AC37" s="48"/>
    </row>
    <row r="38" spans="1:68" ht="16.5" hidden="1" customHeight="1" x14ac:dyDescent="0.25">
      <c r="A38" s="576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hidden="1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0</v>
      </c>
      <c r="Y40" s="55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240</v>
      </c>
      <c r="Y41" s="55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68" t="s">
        <v>75</v>
      </c>
      <c r="Q43" s="569"/>
      <c r="R43" s="569"/>
      <c r="S43" s="569"/>
      <c r="T43" s="569"/>
      <c r="U43" s="569"/>
      <c r="V43" s="570"/>
      <c r="W43" s="37" t="s">
        <v>76</v>
      </c>
      <c r="X43" s="553">
        <f>IFERROR(X40/H40,"0")+IFERROR(X41/H41,"0")+IFERROR(X42/H42,"0")</f>
        <v>60</v>
      </c>
      <c r="Y43" s="553">
        <f>IFERROR(Y40/H40,"0")+IFERROR(Y41/H41,"0")+IFERROR(Y42/H42,"0")</f>
        <v>60</v>
      </c>
      <c r="Z43" s="553">
        <f>IFERROR(IF(Z40="",0,Z40),"0")+IFERROR(IF(Z41="",0,Z41),"0")+IFERROR(IF(Z42="",0,Z42),"0")</f>
        <v>0.54120000000000001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68" t="s">
        <v>75</v>
      </c>
      <c r="Q44" s="569"/>
      <c r="R44" s="569"/>
      <c r="S44" s="569"/>
      <c r="T44" s="569"/>
      <c r="U44" s="569"/>
      <c r="V44" s="570"/>
      <c r="W44" s="37" t="s">
        <v>69</v>
      </c>
      <c r="X44" s="553">
        <f>IFERROR(SUM(X40:X42),"0")</f>
        <v>240</v>
      </c>
      <c r="Y44" s="553">
        <f>IFERROR(SUM(Y40:Y42),"0")</f>
        <v>240</v>
      </c>
      <c r="Z44" s="37"/>
      <c r="AA44" s="554"/>
      <c r="AB44" s="554"/>
      <c r="AC44" s="554"/>
    </row>
    <row r="45" spans="1:68" ht="14.25" hidden="1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236.25</v>
      </c>
      <c r="Y46" s="552">
        <f>IFERROR(IF(X46="",0,CEILING((X46/$H46),1)*$H46),"")</f>
        <v>237.6</v>
      </c>
      <c r="Z46" s="36">
        <f>IFERROR(IF(Y46=0,"",ROUNDUP(Y46/H46,0)*0.00651),"")</f>
        <v>0.85931999999999997</v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259.875</v>
      </c>
      <c r="BN46" s="64">
        <f>IFERROR(Y46*I46/H46,"0")</f>
        <v>261.35999999999996</v>
      </c>
      <c r="BO46" s="64">
        <f>IFERROR(1/J46*(X46/H46),"0")</f>
        <v>0.72115384615384626</v>
      </c>
      <c r="BP46" s="64">
        <f>IFERROR(1/J46*(Y46/H46),"0")</f>
        <v>0.72527472527472536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68" t="s">
        <v>75</v>
      </c>
      <c r="Q47" s="569"/>
      <c r="R47" s="569"/>
      <c r="S47" s="569"/>
      <c r="T47" s="569"/>
      <c r="U47" s="569"/>
      <c r="V47" s="570"/>
      <c r="W47" s="37" t="s">
        <v>76</v>
      </c>
      <c r="X47" s="553">
        <f>IFERROR(X46/H46,"0")</f>
        <v>131.25</v>
      </c>
      <c r="Y47" s="553">
        <f>IFERROR(Y46/H46,"0")</f>
        <v>132</v>
      </c>
      <c r="Z47" s="553">
        <f>IFERROR(IF(Z46="",0,Z46),"0")</f>
        <v>0.85931999999999997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68" t="s">
        <v>75</v>
      </c>
      <c r="Q48" s="569"/>
      <c r="R48" s="569"/>
      <c r="S48" s="569"/>
      <c r="T48" s="569"/>
      <c r="U48" s="569"/>
      <c r="V48" s="570"/>
      <c r="W48" s="37" t="s">
        <v>69</v>
      </c>
      <c r="X48" s="553">
        <f>IFERROR(SUM(X46:X46),"0")</f>
        <v>236.25</v>
      </c>
      <c r="Y48" s="553">
        <f>IFERROR(SUM(Y46:Y46),"0")</f>
        <v>237.6</v>
      </c>
      <c r="Z48" s="37"/>
      <c r="AA48" s="554"/>
      <c r="AB48" s="554"/>
      <c r="AC48" s="554"/>
    </row>
    <row r="49" spans="1:68" ht="16.5" hidden="1" customHeight="1" x14ac:dyDescent="0.25">
      <c r="A49" s="576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hidden="1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0</v>
      </c>
      <c r="Y52" s="55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68" t="s">
        <v>75</v>
      </c>
      <c r="Q57" s="569"/>
      <c r="R57" s="569"/>
      <c r="S57" s="569"/>
      <c r="T57" s="569"/>
      <c r="U57" s="569"/>
      <c r="V57" s="570"/>
      <c r="W57" s="37" t="s">
        <v>76</v>
      </c>
      <c r="X57" s="553">
        <f>IFERROR(X51/H51,"0")+IFERROR(X52/H52,"0")+IFERROR(X53/H53,"0")+IFERROR(X54/H54,"0")+IFERROR(X55/H55,"0")+IFERROR(X56/H56,"0")</f>
        <v>0</v>
      </c>
      <c r="Y57" s="553">
        <f>IFERROR(Y51/H51,"0")+IFERROR(Y52/H52,"0")+IFERROR(Y53/H53,"0")+IFERROR(Y54/H54,"0")+IFERROR(Y55/H55,"0")+IFERROR(Y56/H56,"0")</f>
        <v>0</v>
      </c>
      <c r="Z57" s="553">
        <f>IFERROR(IF(Z51="",0,Z51),"0")+IFERROR(IF(Z52="",0,Z52),"0")+IFERROR(IF(Z53="",0,Z53),"0")+IFERROR(IF(Z54="",0,Z54),"0")+IFERROR(IF(Z55="",0,Z55),"0")+IFERROR(IF(Z56="",0,Z56),"0")</f>
        <v>0</v>
      </c>
      <c r="AA57" s="554"/>
      <c r="AB57" s="554"/>
      <c r="AC57" s="554"/>
    </row>
    <row r="58" spans="1:68" hidden="1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68" t="s">
        <v>75</v>
      </c>
      <c r="Q58" s="569"/>
      <c r="R58" s="569"/>
      <c r="S58" s="569"/>
      <c r="T58" s="569"/>
      <c r="U58" s="569"/>
      <c r="V58" s="570"/>
      <c r="W58" s="37" t="s">
        <v>69</v>
      </c>
      <c r="X58" s="553">
        <f>IFERROR(SUM(X51:X56),"0")</f>
        <v>0</v>
      </c>
      <c r="Y58" s="553">
        <f>IFERROR(SUM(Y51:Y56),"0")</f>
        <v>0</v>
      </c>
      <c r="Z58" s="37"/>
      <c r="AA58" s="554"/>
      <c r="AB58" s="554"/>
      <c r="AC58" s="554"/>
    </row>
    <row r="59" spans="1:68" ht="14.25" hidden="1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270</v>
      </c>
      <c r="Y62" s="552">
        <f>IFERROR(IF(X62="",0,CEILING((X62/$H62),1)*$H62),"")</f>
        <v>270</v>
      </c>
      <c r="Z62" s="36">
        <f>IFERROR(IF(Y62=0,"",ROUNDUP(Y62/H62,0)*0.00651),"")</f>
        <v>0.65100000000000002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288</v>
      </c>
      <c r="BN62" s="64">
        <f>IFERROR(Y62*I62/H62,"0")</f>
        <v>288</v>
      </c>
      <c r="BO62" s="64">
        <f>IFERROR(1/J62*(X62/H62),"0")</f>
        <v>0.5494505494505495</v>
      </c>
      <c r="BP62" s="64">
        <f>IFERROR(1/J62*(Y62/H62),"0")</f>
        <v>0.5494505494505495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68" t="s">
        <v>75</v>
      </c>
      <c r="Q63" s="569"/>
      <c r="R63" s="569"/>
      <c r="S63" s="569"/>
      <c r="T63" s="569"/>
      <c r="U63" s="569"/>
      <c r="V63" s="570"/>
      <c r="W63" s="37" t="s">
        <v>76</v>
      </c>
      <c r="X63" s="553">
        <f>IFERROR(X60/H60,"0")+IFERROR(X61/H61,"0")+IFERROR(X62/H62,"0")</f>
        <v>100</v>
      </c>
      <c r="Y63" s="553">
        <f>IFERROR(Y60/H60,"0")+IFERROR(Y61/H61,"0")+IFERROR(Y62/H62,"0")</f>
        <v>100</v>
      </c>
      <c r="Z63" s="553">
        <f>IFERROR(IF(Z60="",0,Z60),"0")+IFERROR(IF(Z61="",0,Z61),"0")+IFERROR(IF(Z62="",0,Z62),"0")</f>
        <v>0.65100000000000002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68" t="s">
        <v>75</v>
      </c>
      <c r="Q64" s="569"/>
      <c r="R64" s="569"/>
      <c r="S64" s="569"/>
      <c r="T64" s="569"/>
      <c r="U64" s="569"/>
      <c r="V64" s="570"/>
      <c r="W64" s="37" t="s">
        <v>69</v>
      </c>
      <c r="X64" s="553">
        <f>IFERROR(SUM(X60:X62),"0")</f>
        <v>270</v>
      </c>
      <c r="Y64" s="553">
        <f>IFERROR(SUM(Y60:Y62),"0")</f>
        <v>270</v>
      </c>
      <c r="Z64" s="37"/>
      <c r="AA64" s="554"/>
      <c r="AB64" s="554"/>
      <c r="AC64" s="554"/>
    </row>
    <row r="65" spans="1:68" ht="14.25" hidden="1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68" t="s">
        <v>75</v>
      </c>
      <c r="Q68" s="569"/>
      <c r="R68" s="569"/>
      <c r="S68" s="569"/>
      <c r="T68" s="569"/>
      <c r="U68" s="569"/>
      <c r="V68" s="570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hidden="1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68" t="s">
        <v>75</v>
      </c>
      <c r="Q69" s="569"/>
      <c r="R69" s="569"/>
      <c r="S69" s="569"/>
      <c r="T69" s="569"/>
      <c r="U69" s="569"/>
      <c r="V69" s="570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hidden="1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202.5</v>
      </c>
      <c r="Y72" s="552">
        <f>IFERROR(IF(X72="",0,CEILING((X72/$H72),1)*$H72),"")</f>
        <v>203.4</v>
      </c>
      <c r="Z72" s="36">
        <f>IFERROR(IF(Y72=0,"",ROUNDUP(Y72/H72,0)*0.00651),"")</f>
        <v>0.73563000000000001</v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230.17499999999995</v>
      </c>
      <c r="BN72" s="64">
        <f>IFERROR(Y72*I72/H72,"0")</f>
        <v>231.19799999999998</v>
      </c>
      <c r="BO72" s="64">
        <f>IFERROR(1/J72*(X72/H72),"0")</f>
        <v>0.61813186813186816</v>
      </c>
      <c r="BP72" s="64">
        <f>IFERROR(1/J72*(Y72/H72),"0")</f>
        <v>0.62087912087912089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202.5</v>
      </c>
      <c r="Y74" s="552">
        <f>IFERROR(IF(X74="",0,CEILING((X74/$H74),1)*$H74),"")</f>
        <v>203.4</v>
      </c>
      <c r="Z74" s="36">
        <f>IFERROR(IF(Y74=0,"",ROUNDUP(Y74/H74,0)*0.00651),"")</f>
        <v>0.73563000000000001</v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222.75</v>
      </c>
      <c r="BN74" s="64">
        <f>IFERROR(Y74*I74/H74,"0")</f>
        <v>223.74</v>
      </c>
      <c r="BO74" s="64">
        <f>IFERROR(1/J74*(X74/H74),"0")</f>
        <v>0.61813186813186816</v>
      </c>
      <c r="BP74" s="64">
        <f>IFERROR(1/J74*(Y74/H74),"0")</f>
        <v>0.62087912087912089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68" t="s">
        <v>75</v>
      </c>
      <c r="Q75" s="569"/>
      <c r="R75" s="569"/>
      <c r="S75" s="569"/>
      <c r="T75" s="569"/>
      <c r="U75" s="569"/>
      <c r="V75" s="570"/>
      <c r="W75" s="37" t="s">
        <v>76</v>
      </c>
      <c r="X75" s="553">
        <f>IFERROR(X71/H71,"0")+IFERROR(X72/H72,"0")+IFERROR(X73/H73,"0")+IFERROR(X74/H74,"0")</f>
        <v>225</v>
      </c>
      <c r="Y75" s="553">
        <f>IFERROR(Y71/H71,"0")+IFERROR(Y72/H72,"0")+IFERROR(Y73/H73,"0")+IFERROR(Y74/H74,"0")</f>
        <v>226</v>
      </c>
      <c r="Z75" s="553">
        <f>IFERROR(IF(Z71="",0,Z71),"0")+IFERROR(IF(Z72="",0,Z72),"0")+IFERROR(IF(Z73="",0,Z73),"0")+IFERROR(IF(Z74="",0,Z74),"0")</f>
        <v>1.47126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68" t="s">
        <v>75</v>
      </c>
      <c r="Q76" s="569"/>
      <c r="R76" s="569"/>
      <c r="S76" s="569"/>
      <c r="T76" s="569"/>
      <c r="U76" s="569"/>
      <c r="V76" s="570"/>
      <c r="W76" s="37" t="s">
        <v>69</v>
      </c>
      <c r="X76" s="553">
        <f>IFERROR(SUM(X71:X74),"0")</f>
        <v>405</v>
      </c>
      <c r="Y76" s="553">
        <f>IFERROR(SUM(Y71:Y74),"0")</f>
        <v>406.8</v>
      </c>
      <c r="Z76" s="37"/>
      <c r="AA76" s="554"/>
      <c r="AB76" s="554"/>
      <c r="AC76" s="554"/>
    </row>
    <row r="77" spans="1:68" ht="14.25" hidden="1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270</v>
      </c>
      <c r="Y79" s="552">
        <f>IFERROR(IF(X79="",0,CEILING((X79/$H79),1)*$H79),"")</f>
        <v>271.2</v>
      </c>
      <c r="Z79" s="36">
        <f>IFERROR(IF(Y79=0,"",ROUNDUP(Y79/H79,0)*0.00902),"")</f>
        <v>1.0192600000000001</v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291.375</v>
      </c>
      <c r="BN79" s="64">
        <f>IFERROR(Y79*I79/H79,"0")</f>
        <v>292.66999999999996</v>
      </c>
      <c r="BO79" s="64">
        <f>IFERROR(1/J79*(X79/H79),"0")</f>
        <v>0.85227272727272729</v>
      </c>
      <c r="BP79" s="64">
        <f>IFERROR(1/J79*(Y79/H79),"0")</f>
        <v>0.85606060606060608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68" t="s">
        <v>75</v>
      </c>
      <c r="Q80" s="569"/>
      <c r="R80" s="569"/>
      <c r="S80" s="569"/>
      <c r="T80" s="569"/>
      <c r="U80" s="569"/>
      <c r="V80" s="570"/>
      <c r="W80" s="37" t="s">
        <v>76</v>
      </c>
      <c r="X80" s="553">
        <f>IFERROR(X78/H78,"0")+IFERROR(X79/H79,"0")</f>
        <v>112.5</v>
      </c>
      <c r="Y80" s="553">
        <f>IFERROR(Y78/H78,"0")+IFERROR(Y79/H79,"0")</f>
        <v>113</v>
      </c>
      <c r="Z80" s="553">
        <f>IFERROR(IF(Z78="",0,Z78),"0")+IFERROR(IF(Z79="",0,Z79),"0")</f>
        <v>1.0192600000000001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68" t="s">
        <v>75</v>
      </c>
      <c r="Q81" s="569"/>
      <c r="R81" s="569"/>
      <c r="S81" s="569"/>
      <c r="T81" s="569"/>
      <c r="U81" s="569"/>
      <c r="V81" s="570"/>
      <c r="W81" s="37" t="s">
        <v>69</v>
      </c>
      <c r="X81" s="553">
        <f>IFERROR(SUM(X78:X79),"0")</f>
        <v>270</v>
      </c>
      <c r="Y81" s="553">
        <f>IFERROR(SUM(Y78:Y79),"0")</f>
        <v>271.2</v>
      </c>
      <c r="Z81" s="37"/>
      <c r="AA81" s="554"/>
      <c r="AB81" s="554"/>
      <c r="AC81" s="554"/>
    </row>
    <row r="82" spans="1:68" ht="16.5" hidden="1" customHeight="1" x14ac:dyDescent="0.25">
      <c r="A82" s="576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hidden="1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hidden="1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0</v>
      </c>
      <c r="Y84" s="552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5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68" t="s">
        <v>75</v>
      </c>
      <c r="Q88" s="569"/>
      <c r="R88" s="569"/>
      <c r="S88" s="569"/>
      <c r="T88" s="569"/>
      <c r="U88" s="569"/>
      <c r="V88" s="570"/>
      <c r="W88" s="37" t="s">
        <v>76</v>
      </c>
      <c r="X88" s="553">
        <f>IFERROR(X84/H84,"0")+IFERROR(X85/H85,"0")+IFERROR(X86/H86,"0")+IFERROR(X87/H87,"0")</f>
        <v>0</v>
      </c>
      <c r="Y88" s="553">
        <f>IFERROR(Y84/H84,"0")+IFERROR(Y85/H85,"0")+IFERROR(Y86/H86,"0")+IFERROR(Y87/H87,"0")</f>
        <v>0</v>
      </c>
      <c r="Z88" s="553">
        <f>IFERROR(IF(Z84="",0,Z84),"0")+IFERROR(IF(Z85="",0,Z85),"0")+IFERROR(IF(Z86="",0,Z86),"0")+IFERROR(IF(Z87="",0,Z87),"0")</f>
        <v>0</v>
      </c>
      <c r="AA88" s="554"/>
      <c r="AB88" s="554"/>
      <c r="AC88" s="554"/>
    </row>
    <row r="89" spans="1:68" hidden="1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68" t="s">
        <v>75</v>
      </c>
      <c r="Q89" s="569"/>
      <c r="R89" s="569"/>
      <c r="S89" s="569"/>
      <c r="T89" s="569"/>
      <c r="U89" s="569"/>
      <c r="V89" s="570"/>
      <c r="W89" s="37" t="s">
        <v>69</v>
      </c>
      <c r="X89" s="553">
        <f>IFERROR(SUM(X84:X87),"0")</f>
        <v>0</v>
      </c>
      <c r="Y89" s="553">
        <f>IFERROR(SUM(Y84:Y87),"0")</f>
        <v>0</v>
      </c>
      <c r="Z89" s="37"/>
      <c r="AA89" s="554"/>
      <c r="AB89" s="554"/>
      <c r="AC89" s="554"/>
    </row>
    <row r="90" spans="1:68" ht="14.25" hidden="1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hidden="1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0</v>
      </c>
      <c r="Y91" s="55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68" t="s">
        <v>75</v>
      </c>
      <c r="Q95" s="569"/>
      <c r="R95" s="569"/>
      <c r="S95" s="569"/>
      <c r="T95" s="569"/>
      <c r="U95" s="569"/>
      <c r="V95" s="570"/>
      <c r="W95" s="37" t="s">
        <v>76</v>
      </c>
      <c r="X95" s="553">
        <f>IFERROR(X91/H91,"0")+IFERROR(X92/H92,"0")+IFERROR(X93/H93,"0")+IFERROR(X94/H94,"0")</f>
        <v>0</v>
      </c>
      <c r="Y95" s="553">
        <f>IFERROR(Y91/H91,"0")+IFERROR(Y92/H92,"0")+IFERROR(Y93/H93,"0")+IFERROR(Y94/H94,"0")</f>
        <v>0</v>
      </c>
      <c r="Z95" s="553">
        <f>IFERROR(IF(Z91="",0,Z91),"0")+IFERROR(IF(Z92="",0,Z92),"0")+IFERROR(IF(Z93="",0,Z93),"0")+IFERROR(IF(Z94="",0,Z94),"0")</f>
        <v>0</v>
      </c>
      <c r="AA95" s="554"/>
      <c r="AB95" s="554"/>
      <c r="AC95" s="554"/>
    </row>
    <row r="96" spans="1:68" hidden="1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68" t="s">
        <v>75</v>
      </c>
      <c r="Q96" s="569"/>
      <c r="R96" s="569"/>
      <c r="S96" s="569"/>
      <c r="T96" s="569"/>
      <c r="U96" s="569"/>
      <c r="V96" s="570"/>
      <c r="W96" s="37" t="s">
        <v>69</v>
      </c>
      <c r="X96" s="553">
        <f>IFERROR(SUM(X91:X94),"0")</f>
        <v>0</v>
      </c>
      <c r="Y96" s="553">
        <f>IFERROR(SUM(Y91:Y94),"0")</f>
        <v>0</v>
      </c>
      <c r="Z96" s="37"/>
      <c r="AA96" s="554"/>
      <c r="AB96" s="554"/>
      <c r="AC96" s="554"/>
    </row>
    <row r="97" spans="1:68" ht="16.5" hidden="1" customHeight="1" x14ac:dyDescent="0.25">
      <c r="A97" s="576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hidden="1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68" t="s">
        <v>75</v>
      </c>
      <c r="Q104" s="569"/>
      <c r="R104" s="569"/>
      <c r="S104" s="569"/>
      <c r="T104" s="569"/>
      <c r="U104" s="569"/>
      <c r="V104" s="570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hidden="1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68" t="s">
        <v>75</v>
      </c>
      <c r="Q105" s="569"/>
      <c r="R105" s="569"/>
      <c r="S105" s="569"/>
      <c r="T105" s="569"/>
      <c r="U105" s="569"/>
      <c r="V105" s="570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hidden="1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68" t="s">
        <v>75</v>
      </c>
      <c r="Q111" s="569"/>
      <c r="R111" s="569"/>
      <c r="S111" s="569"/>
      <c r="T111" s="569"/>
      <c r="U111" s="569"/>
      <c r="V111" s="570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hidden="1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68" t="s">
        <v>75</v>
      </c>
      <c r="Q112" s="569"/>
      <c r="R112" s="569"/>
      <c r="S112" s="569"/>
      <c r="T112" s="569"/>
      <c r="U112" s="569"/>
      <c r="V112" s="570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hidden="1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0</v>
      </c>
      <c r="Y114" s="552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180</v>
      </c>
      <c r="Y117" s="552">
        <f>IFERROR(IF(X117="",0,CEILING((X117/$H117),1)*$H117),"")</f>
        <v>180</v>
      </c>
      <c r="Z117" s="36">
        <f>IFERROR(IF(Y117=0,"",ROUNDUP(Y117/H117,0)*0.00651),"")</f>
        <v>0.65100000000000002</v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197.99999999999997</v>
      </c>
      <c r="BN117" s="64">
        <f>IFERROR(Y117*I117/H117,"0")</f>
        <v>197.99999999999997</v>
      </c>
      <c r="BO117" s="64">
        <f>IFERROR(1/J117*(X117/H117),"0")</f>
        <v>0.5494505494505495</v>
      </c>
      <c r="BP117" s="64">
        <f>IFERROR(1/J117*(Y117/H117),"0")</f>
        <v>0.5494505494505495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68" t="s">
        <v>75</v>
      </c>
      <c r="Q118" s="569"/>
      <c r="R118" s="569"/>
      <c r="S118" s="569"/>
      <c r="T118" s="569"/>
      <c r="U118" s="569"/>
      <c r="V118" s="570"/>
      <c r="W118" s="37" t="s">
        <v>76</v>
      </c>
      <c r="X118" s="553">
        <f>IFERROR(X114/H114,"0")+IFERROR(X115/H115,"0")+IFERROR(X116/H116,"0")+IFERROR(X117/H117,"0")</f>
        <v>100</v>
      </c>
      <c r="Y118" s="553">
        <f>IFERROR(Y114/H114,"0")+IFERROR(Y115/H115,"0")+IFERROR(Y116/H116,"0")+IFERROR(Y117/H117,"0")</f>
        <v>100</v>
      </c>
      <c r="Z118" s="553">
        <f>IFERROR(IF(Z114="",0,Z114),"0")+IFERROR(IF(Z115="",0,Z115),"0")+IFERROR(IF(Z116="",0,Z116),"0")+IFERROR(IF(Z117="",0,Z117),"0")</f>
        <v>0.65100000000000002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68" t="s">
        <v>75</v>
      </c>
      <c r="Q119" s="569"/>
      <c r="R119" s="569"/>
      <c r="S119" s="569"/>
      <c r="T119" s="569"/>
      <c r="U119" s="569"/>
      <c r="V119" s="570"/>
      <c r="W119" s="37" t="s">
        <v>69</v>
      </c>
      <c r="X119" s="553">
        <f>IFERROR(SUM(X114:X117),"0")</f>
        <v>180</v>
      </c>
      <c r="Y119" s="553">
        <f>IFERROR(SUM(Y114:Y117),"0")</f>
        <v>180</v>
      </c>
      <c r="Z119" s="37"/>
      <c r="AA119" s="554"/>
      <c r="AB119" s="554"/>
      <c r="AC119" s="554"/>
    </row>
    <row r="120" spans="1:68" ht="14.25" hidden="1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148.5</v>
      </c>
      <c r="Y121" s="552">
        <f>IFERROR(IF(X121="",0,CEILING((X121/$H121),1)*$H121),"")</f>
        <v>148.5</v>
      </c>
      <c r="Z121" s="36">
        <f>IFERROR(IF(Y121=0,"",ROUNDUP(Y121/H121,0)*0.00651),"")</f>
        <v>0.48825000000000002</v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167.85000000000002</v>
      </c>
      <c r="BN121" s="64">
        <f>IFERROR(Y121*I121/H121,"0")</f>
        <v>167.85000000000002</v>
      </c>
      <c r="BO121" s="64">
        <f>IFERROR(1/J121*(X121/H121),"0")</f>
        <v>0.41208791208791212</v>
      </c>
      <c r="BP121" s="64">
        <f>IFERROR(1/J121*(Y121/H121),"0")</f>
        <v>0.41208791208791212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68" t="s">
        <v>75</v>
      </c>
      <c r="Q122" s="569"/>
      <c r="R122" s="569"/>
      <c r="S122" s="569"/>
      <c r="T122" s="569"/>
      <c r="U122" s="569"/>
      <c r="V122" s="570"/>
      <c r="W122" s="37" t="s">
        <v>76</v>
      </c>
      <c r="X122" s="553">
        <f>IFERROR(X121/H121,"0")</f>
        <v>75</v>
      </c>
      <c r="Y122" s="553">
        <f>IFERROR(Y121/H121,"0")</f>
        <v>75</v>
      </c>
      <c r="Z122" s="553">
        <f>IFERROR(IF(Z121="",0,Z121),"0")</f>
        <v>0.48825000000000002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68" t="s">
        <v>75</v>
      </c>
      <c r="Q123" s="569"/>
      <c r="R123" s="569"/>
      <c r="S123" s="569"/>
      <c r="T123" s="569"/>
      <c r="U123" s="569"/>
      <c r="V123" s="570"/>
      <c r="W123" s="37" t="s">
        <v>69</v>
      </c>
      <c r="X123" s="553">
        <f>IFERROR(SUM(X121:X121),"0")</f>
        <v>148.5</v>
      </c>
      <c r="Y123" s="553">
        <f>IFERROR(SUM(Y121:Y121),"0")</f>
        <v>148.5</v>
      </c>
      <c r="Z123" s="37"/>
      <c r="AA123" s="554"/>
      <c r="AB123" s="554"/>
      <c r="AC123" s="554"/>
    </row>
    <row r="124" spans="1:68" ht="16.5" hidden="1" customHeight="1" x14ac:dyDescent="0.25">
      <c r="A124" s="576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hidden="1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68" t="s">
        <v>75</v>
      </c>
      <c r="Q128" s="569"/>
      <c r="R128" s="569"/>
      <c r="S128" s="569"/>
      <c r="T128" s="569"/>
      <c r="U128" s="569"/>
      <c r="V128" s="570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hidden="1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68" t="s">
        <v>75</v>
      </c>
      <c r="Q129" s="569"/>
      <c r="R129" s="569"/>
      <c r="S129" s="569"/>
      <c r="T129" s="569"/>
      <c r="U129" s="569"/>
      <c r="V129" s="570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hidden="1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68" t="s">
        <v>75</v>
      </c>
      <c r="Q133" s="569"/>
      <c r="R133" s="569"/>
      <c r="S133" s="569"/>
      <c r="T133" s="569"/>
      <c r="U133" s="569"/>
      <c r="V133" s="570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hidden="1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68" t="s">
        <v>75</v>
      </c>
      <c r="Q134" s="569"/>
      <c r="R134" s="569"/>
      <c r="S134" s="569"/>
      <c r="T134" s="569"/>
      <c r="U134" s="569"/>
      <c r="V134" s="570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hidden="1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0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68" t="s">
        <v>75</v>
      </c>
      <c r="Q138" s="569"/>
      <c r="R138" s="569"/>
      <c r="S138" s="569"/>
      <c r="T138" s="569"/>
      <c r="U138" s="569"/>
      <c r="V138" s="570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hidden="1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68" t="s">
        <v>75</v>
      </c>
      <c r="Q139" s="569"/>
      <c r="R139" s="569"/>
      <c r="S139" s="569"/>
      <c r="T139" s="569"/>
      <c r="U139" s="569"/>
      <c r="V139" s="570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hidden="1" customHeight="1" x14ac:dyDescent="0.25">
      <c r="A140" s="576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hidden="1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68" t="s">
        <v>75</v>
      </c>
      <c r="Q144" s="569"/>
      <c r="R144" s="569"/>
      <c r="S144" s="569"/>
      <c r="T144" s="569"/>
      <c r="U144" s="569"/>
      <c r="V144" s="570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hidden="1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68" t="s">
        <v>75</v>
      </c>
      <c r="Q145" s="569"/>
      <c r="R145" s="569"/>
      <c r="S145" s="569"/>
      <c r="T145" s="569"/>
      <c r="U145" s="569"/>
      <c r="V145" s="570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hidden="1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4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60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68" t="s">
        <v>75</v>
      </c>
      <c r="Q153" s="569"/>
      <c r="R153" s="569"/>
      <c r="S153" s="569"/>
      <c r="T153" s="569"/>
      <c r="U153" s="569"/>
      <c r="V153" s="570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hidden="1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68" t="s">
        <v>75</v>
      </c>
      <c r="Q154" s="569"/>
      <c r="R154" s="569"/>
      <c r="S154" s="569"/>
      <c r="T154" s="569"/>
      <c r="U154" s="569"/>
      <c r="V154" s="570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hidden="1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68" t="s">
        <v>75</v>
      </c>
      <c r="Q157" s="569"/>
      <c r="R157" s="569"/>
      <c r="S157" s="569"/>
      <c r="T157" s="569"/>
      <c r="U157" s="569"/>
      <c r="V157" s="570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hidden="1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68" t="s">
        <v>75</v>
      </c>
      <c r="Q158" s="569"/>
      <c r="R158" s="569"/>
      <c r="S158" s="569"/>
      <c r="T158" s="569"/>
      <c r="U158" s="569"/>
      <c r="V158" s="570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hidden="1" customHeight="1" x14ac:dyDescent="0.2">
      <c r="A159" s="613" t="s">
        <v>266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48"/>
      <c r="AB159" s="48"/>
      <c r="AC159" s="48"/>
    </row>
    <row r="160" spans="1:68" ht="16.5" hidden="1" customHeight="1" x14ac:dyDescent="0.25">
      <c r="A160" s="576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hidden="1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68" t="s">
        <v>75</v>
      </c>
      <c r="Q163" s="569"/>
      <c r="R163" s="569"/>
      <c r="S163" s="569"/>
      <c r="T163" s="569"/>
      <c r="U163" s="569"/>
      <c r="V163" s="570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hidden="1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68" t="s">
        <v>75</v>
      </c>
      <c r="Q164" s="569"/>
      <c r="R164" s="569"/>
      <c r="S164" s="569"/>
      <c r="T164" s="569"/>
      <c r="U164" s="569"/>
      <c r="V164" s="570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hidden="1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2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idden="1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68" t="s">
        <v>75</v>
      </c>
      <c r="Q180" s="569"/>
      <c r="R180" s="569"/>
      <c r="S180" s="569"/>
      <c r="T180" s="569"/>
      <c r="U180" s="569"/>
      <c r="V180" s="570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4"/>
      <c r="AB180" s="554"/>
      <c r="AC180" s="554"/>
    </row>
    <row r="181" spans="1:68" hidden="1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68" t="s">
        <v>75</v>
      </c>
      <c r="Q181" s="569"/>
      <c r="R181" s="569"/>
      <c r="S181" s="569"/>
      <c r="T181" s="569"/>
      <c r="U181" s="569"/>
      <c r="V181" s="570"/>
      <c r="W181" s="37" t="s">
        <v>69</v>
      </c>
      <c r="X181" s="553">
        <f>IFERROR(SUM(X166:X179),"0")</f>
        <v>0</v>
      </c>
      <c r="Y181" s="553">
        <f>IFERROR(SUM(Y166:Y179),"0")</f>
        <v>0</v>
      </c>
      <c r="Z181" s="37"/>
      <c r="AA181" s="554"/>
      <c r="AB181" s="554"/>
      <c r="AC181" s="554"/>
    </row>
    <row r="182" spans="1:68" ht="14.25" hidden="1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68" t="s">
        <v>75</v>
      </c>
      <c r="Q186" s="569"/>
      <c r="R186" s="569"/>
      <c r="S186" s="569"/>
      <c r="T186" s="569"/>
      <c r="U186" s="569"/>
      <c r="V186" s="570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hidden="1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68" t="s">
        <v>75</v>
      </c>
      <c r="Q187" s="569"/>
      <c r="R187" s="569"/>
      <c r="S187" s="569"/>
      <c r="T187" s="569"/>
      <c r="U187" s="569"/>
      <c r="V187" s="570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hidden="1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68" t="s">
        <v>75</v>
      </c>
      <c r="Q190" s="569"/>
      <c r="R190" s="569"/>
      <c r="S190" s="569"/>
      <c r="T190" s="569"/>
      <c r="U190" s="569"/>
      <c r="V190" s="570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hidden="1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68" t="s">
        <v>75</v>
      </c>
      <c r="Q191" s="569"/>
      <c r="R191" s="569"/>
      <c r="S191" s="569"/>
      <c r="T191" s="569"/>
      <c r="U191" s="569"/>
      <c r="V191" s="570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hidden="1" customHeight="1" x14ac:dyDescent="0.25">
      <c r="A192" s="576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hidden="1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68" t="s">
        <v>75</v>
      </c>
      <c r="Q196" s="569"/>
      <c r="R196" s="569"/>
      <c r="S196" s="569"/>
      <c r="T196" s="569"/>
      <c r="U196" s="569"/>
      <c r="V196" s="570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hidden="1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68" t="s">
        <v>75</v>
      </c>
      <c r="Q197" s="569"/>
      <c r="R197" s="569"/>
      <c r="S197" s="569"/>
      <c r="T197" s="569"/>
      <c r="U197" s="569"/>
      <c r="V197" s="570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hidden="1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68" t="s">
        <v>75</v>
      </c>
      <c r="Q201" s="569"/>
      <c r="R201" s="569"/>
      <c r="S201" s="569"/>
      <c r="T201" s="569"/>
      <c r="U201" s="569"/>
      <c r="V201" s="570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hidden="1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68" t="s">
        <v>75</v>
      </c>
      <c r="Q202" s="569"/>
      <c r="R202" s="569"/>
      <c r="S202" s="569"/>
      <c r="T202" s="569"/>
      <c r="U202" s="569"/>
      <c r="V202" s="570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hidden="1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0</v>
      </c>
      <c r="Y204" s="552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0</v>
      </c>
      <c r="Y205" s="552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0</v>
      </c>
      <c r="Y206" s="552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68" t="s">
        <v>75</v>
      </c>
      <c r="Q212" s="569"/>
      <c r="R212" s="569"/>
      <c r="S212" s="569"/>
      <c r="T212" s="569"/>
      <c r="U212" s="569"/>
      <c r="V212" s="570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0</v>
      </c>
      <c r="Y212" s="553">
        <f>IFERROR(Y204/H204,"0")+IFERROR(Y205/H205,"0")+IFERROR(Y206/H206,"0")+IFERROR(Y207/H207,"0")+IFERROR(Y208/H208,"0")+IFERROR(Y209/H209,"0")+IFERROR(Y210/H210,"0")+IFERROR(Y211/H211,"0")</f>
        <v>0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4"/>
      <c r="AB212" s="554"/>
      <c r="AC212" s="554"/>
    </row>
    <row r="213" spans="1:68" hidden="1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68" t="s">
        <v>75</v>
      </c>
      <c r="Q213" s="569"/>
      <c r="R213" s="569"/>
      <c r="S213" s="569"/>
      <c r="T213" s="569"/>
      <c r="U213" s="569"/>
      <c r="V213" s="570"/>
      <c r="W213" s="37" t="s">
        <v>69</v>
      </c>
      <c r="X213" s="553">
        <f>IFERROR(SUM(X204:X211),"0")</f>
        <v>0</v>
      </c>
      <c r="Y213" s="553">
        <f>IFERROR(SUM(Y204:Y211),"0")</f>
        <v>0</v>
      </c>
      <c r="Z213" s="37"/>
      <c r="AA213" s="554"/>
      <c r="AB213" s="554"/>
      <c r="AC213" s="554"/>
    </row>
    <row r="214" spans="1:68" ht="14.25" hidden="1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180</v>
      </c>
      <c r="Y220" s="552">
        <f t="shared" si="20"/>
        <v>180</v>
      </c>
      <c r="Z220" s="36">
        <f t="shared" si="25"/>
        <v>0.48825000000000002</v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198.9</v>
      </c>
      <c r="BN220" s="64">
        <f t="shared" si="22"/>
        <v>198.9</v>
      </c>
      <c r="BO220" s="64">
        <f t="shared" si="23"/>
        <v>0.41208791208791212</v>
      </c>
      <c r="BP220" s="64">
        <f t="shared" si="24"/>
        <v>0.41208791208791212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240</v>
      </c>
      <c r="Y221" s="552">
        <f t="shared" si="20"/>
        <v>240</v>
      </c>
      <c r="Z221" s="36">
        <f t="shared" si="25"/>
        <v>0.65100000000000002</v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265.20000000000005</v>
      </c>
      <c r="BN221" s="64">
        <f t="shared" si="22"/>
        <v>265.20000000000005</v>
      </c>
      <c r="BO221" s="64">
        <f t="shared" si="23"/>
        <v>0.5494505494505495</v>
      </c>
      <c r="BP221" s="64">
        <f t="shared" si="24"/>
        <v>0.5494505494505495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68" t="s">
        <v>75</v>
      </c>
      <c r="Q224" s="569"/>
      <c r="R224" s="569"/>
      <c r="S224" s="569"/>
      <c r="T224" s="569"/>
      <c r="U224" s="569"/>
      <c r="V224" s="570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175</v>
      </c>
      <c r="Y224" s="553">
        <f>IFERROR(Y215/H215,"0")+IFERROR(Y216/H216,"0")+IFERROR(Y217/H217,"0")+IFERROR(Y218/H218,"0")+IFERROR(Y219/H219,"0")+IFERROR(Y220/H220,"0")+IFERROR(Y221/H221,"0")+IFERROR(Y222/H222,"0")+IFERROR(Y223/H223,"0")</f>
        <v>175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1.1392500000000001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68" t="s">
        <v>75</v>
      </c>
      <c r="Q225" s="569"/>
      <c r="R225" s="569"/>
      <c r="S225" s="569"/>
      <c r="T225" s="569"/>
      <c r="U225" s="569"/>
      <c r="V225" s="570"/>
      <c r="W225" s="37" t="s">
        <v>69</v>
      </c>
      <c r="X225" s="553">
        <f>IFERROR(SUM(X215:X223),"0")</f>
        <v>420</v>
      </c>
      <c r="Y225" s="553">
        <f>IFERROR(SUM(Y215:Y223),"0")</f>
        <v>420</v>
      </c>
      <c r="Z225" s="37"/>
      <c r="AA225" s="554"/>
      <c r="AB225" s="554"/>
      <c r="AC225" s="554"/>
    </row>
    <row r="226" spans="1:68" ht="14.25" hidden="1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68" t="s">
        <v>75</v>
      </c>
      <c r="Q229" s="569"/>
      <c r="R229" s="569"/>
      <c r="S229" s="569"/>
      <c r="T229" s="569"/>
      <c r="U229" s="569"/>
      <c r="V229" s="570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hidden="1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68" t="s">
        <v>75</v>
      </c>
      <c r="Q230" s="569"/>
      <c r="R230" s="569"/>
      <c r="S230" s="569"/>
      <c r="T230" s="569"/>
      <c r="U230" s="569"/>
      <c r="V230" s="570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hidden="1" customHeight="1" x14ac:dyDescent="0.25">
      <c r="A231" s="576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hidden="1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270</v>
      </c>
      <c r="Y236" s="552">
        <f t="shared" si="26"/>
        <v>272</v>
      </c>
      <c r="Z236" s="36">
        <f>IFERROR(IF(Y236=0,"",ROUNDUP(Y236/H236,0)*0.00902),"")</f>
        <v>0.61336000000000002</v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282.82500000000005</v>
      </c>
      <c r="BN236" s="64">
        <f t="shared" si="28"/>
        <v>284.92</v>
      </c>
      <c r="BO236" s="64">
        <f t="shared" si="29"/>
        <v>0.51136363636363635</v>
      </c>
      <c r="BP236" s="64">
        <f t="shared" si="30"/>
        <v>0.51515151515151514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3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270</v>
      </c>
      <c r="Y240" s="552">
        <f t="shared" si="26"/>
        <v>272</v>
      </c>
      <c r="Z240" s="36">
        <f>IFERROR(IF(Y240=0,"",ROUNDUP(Y240/H240,0)*0.00902),"")</f>
        <v>0.61336000000000002</v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282.82500000000005</v>
      </c>
      <c r="BN240" s="64">
        <f t="shared" si="28"/>
        <v>284.92</v>
      </c>
      <c r="BO240" s="64">
        <f t="shared" si="29"/>
        <v>0.51136363636363635</v>
      </c>
      <c r="BP240" s="64">
        <f t="shared" si="30"/>
        <v>0.51515151515151514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68" t="s">
        <v>75</v>
      </c>
      <c r="Q242" s="569"/>
      <c r="R242" s="569"/>
      <c r="S242" s="569"/>
      <c r="T242" s="569"/>
      <c r="U242" s="569"/>
      <c r="V242" s="570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135</v>
      </c>
      <c r="Y242" s="553">
        <f>IFERROR(Y233/H233,"0")+IFERROR(Y234/H234,"0")+IFERROR(Y235/H235,"0")+IFERROR(Y236/H236,"0")+IFERROR(Y237/H237,"0")+IFERROR(Y238/H238,"0")+IFERROR(Y239/H239,"0")+IFERROR(Y240/H240,"0")+IFERROR(Y241/H241,"0")</f>
        <v>136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1.22672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68" t="s">
        <v>75</v>
      </c>
      <c r="Q243" s="569"/>
      <c r="R243" s="569"/>
      <c r="S243" s="569"/>
      <c r="T243" s="569"/>
      <c r="U243" s="569"/>
      <c r="V243" s="570"/>
      <c r="W243" s="37" t="s">
        <v>69</v>
      </c>
      <c r="X243" s="553">
        <f>IFERROR(SUM(X233:X241),"0")</f>
        <v>540</v>
      </c>
      <c r="Y243" s="553">
        <f>IFERROR(SUM(Y233:Y241),"0")</f>
        <v>544</v>
      </c>
      <c r="Z243" s="37"/>
      <c r="AA243" s="554"/>
      <c r="AB243" s="554"/>
      <c r="AC243" s="554"/>
    </row>
    <row r="244" spans="1:68" ht="14.25" hidden="1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68" t="s">
        <v>75</v>
      </c>
      <c r="Q246" s="569"/>
      <c r="R246" s="569"/>
      <c r="S246" s="569"/>
      <c r="T246" s="569"/>
      <c r="U246" s="569"/>
      <c r="V246" s="570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hidden="1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68" t="s">
        <v>75</v>
      </c>
      <c r="Q247" s="569"/>
      <c r="R247" s="569"/>
      <c r="S247" s="569"/>
      <c r="T247" s="569"/>
      <c r="U247" s="569"/>
      <c r="V247" s="570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hidden="1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68" t="s">
        <v>75</v>
      </c>
      <c r="Q250" s="569"/>
      <c r="R250" s="569"/>
      <c r="S250" s="569"/>
      <c r="T250" s="569"/>
      <c r="U250" s="569"/>
      <c r="V250" s="570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hidden="1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68" t="s">
        <v>75</v>
      </c>
      <c r="Q251" s="569"/>
      <c r="R251" s="569"/>
      <c r="S251" s="569"/>
      <c r="T251" s="569"/>
      <c r="U251" s="569"/>
      <c r="V251" s="570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hidden="1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68" t="s">
        <v>75</v>
      </c>
      <c r="Q258" s="569"/>
      <c r="R258" s="569"/>
      <c r="S258" s="569"/>
      <c r="T258" s="569"/>
      <c r="U258" s="569"/>
      <c r="V258" s="570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hidden="1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68" t="s">
        <v>75</v>
      </c>
      <c r="Q259" s="569"/>
      <c r="R259" s="569"/>
      <c r="S259" s="569"/>
      <c r="T259" s="569"/>
      <c r="U259" s="569"/>
      <c r="V259" s="570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hidden="1" customHeight="1" x14ac:dyDescent="0.25">
      <c r="A260" s="576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hidden="1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270</v>
      </c>
      <c r="Y266" s="552">
        <f>IFERROR(IF(X266="",0,CEILING((X266/$H266),1)*$H266),"")</f>
        <v>272</v>
      </c>
      <c r="Z266" s="36">
        <f>IFERROR(IF(Y266=0,"",ROUNDUP(Y266/H266,0)*0.00902),"")</f>
        <v>0.61336000000000002</v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282.82500000000005</v>
      </c>
      <c r="BN266" s="64">
        <f>IFERROR(Y266*I266/H266,"0")</f>
        <v>284.92</v>
      </c>
      <c r="BO266" s="64">
        <f>IFERROR(1/J266*(X266/H266),"0")</f>
        <v>0.51136363636363635</v>
      </c>
      <c r="BP266" s="64">
        <f>IFERROR(1/J266*(Y266/H266),"0")</f>
        <v>0.51515151515151514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68" t="s">
        <v>75</v>
      </c>
      <c r="Q267" s="569"/>
      <c r="R267" s="569"/>
      <c r="S267" s="569"/>
      <c r="T267" s="569"/>
      <c r="U267" s="569"/>
      <c r="V267" s="570"/>
      <c r="W267" s="37" t="s">
        <v>76</v>
      </c>
      <c r="X267" s="553">
        <f>IFERROR(X262/H262,"0")+IFERROR(X263/H263,"0")+IFERROR(X264/H264,"0")+IFERROR(X265/H265,"0")+IFERROR(X266/H266,"0")</f>
        <v>67.5</v>
      </c>
      <c r="Y267" s="553">
        <f>IFERROR(Y262/H262,"0")+IFERROR(Y263/H263,"0")+IFERROR(Y264/H264,"0")+IFERROR(Y265/H265,"0")+IFERROR(Y266/H266,"0")</f>
        <v>68</v>
      </c>
      <c r="Z267" s="553">
        <f>IFERROR(IF(Z262="",0,Z262),"0")+IFERROR(IF(Z263="",0,Z263),"0")+IFERROR(IF(Z264="",0,Z264),"0")+IFERROR(IF(Z265="",0,Z265),"0")+IFERROR(IF(Z266="",0,Z266),"0")</f>
        <v>0.61336000000000002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68" t="s">
        <v>75</v>
      </c>
      <c r="Q268" s="569"/>
      <c r="R268" s="569"/>
      <c r="S268" s="569"/>
      <c r="T268" s="569"/>
      <c r="U268" s="569"/>
      <c r="V268" s="570"/>
      <c r="W268" s="37" t="s">
        <v>69</v>
      </c>
      <c r="X268" s="553">
        <f>IFERROR(SUM(X262:X266),"0")</f>
        <v>270</v>
      </c>
      <c r="Y268" s="553">
        <f>IFERROR(SUM(Y262:Y266),"0")</f>
        <v>272</v>
      </c>
      <c r="Z268" s="37"/>
      <c r="AA268" s="554"/>
      <c r="AB268" s="554"/>
      <c r="AC268" s="554"/>
    </row>
    <row r="269" spans="1:68" ht="16.5" hidden="1" customHeight="1" x14ac:dyDescent="0.25">
      <c r="A269" s="576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hidden="1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68" t="s">
        <v>75</v>
      </c>
      <c r="Q275" s="569"/>
      <c r="R275" s="569"/>
      <c r="S275" s="569"/>
      <c r="T275" s="569"/>
      <c r="U275" s="569"/>
      <c r="V275" s="570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hidden="1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68" t="s">
        <v>75</v>
      </c>
      <c r="Q276" s="569"/>
      <c r="R276" s="569"/>
      <c r="S276" s="569"/>
      <c r="T276" s="569"/>
      <c r="U276" s="569"/>
      <c r="V276" s="570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hidden="1" customHeight="1" x14ac:dyDescent="0.25">
      <c r="A277" s="576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hidden="1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7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270</v>
      </c>
      <c r="Y280" s="552">
        <f>IFERROR(IF(X280="",0,CEILING((X280/$H280),1)*$H280),"")</f>
        <v>271.2</v>
      </c>
      <c r="Z280" s="36">
        <f>IFERROR(IF(Y280=0,"",ROUNDUP(Y280/H280,0)*0.00651),"")</f>
        <v>0.73563000000000001</v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298.35000000000002</v>
      </c>
      <c r="BN280" s="64">
        <f>IFERROR(Y280*I280/H280,"0")</f>
        <v>299.67599999999999</v>
      </c>
      <c r="BO280" s="64">
        <f>IFERROR(1/J280*(X280/H280),"0")</f>
        <v>0.61813186813186816</v>
      </c>
      <c r="BP280" s="64">
        <f>IFERROR(1/J280*(Y280/H280),"0")</f>
        <v>0.62087912087912089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240</v>
      </c>
      <c r="Y281" s="552">
        <f>IFERROR(IF(X281="",0,CEILING((X281/$H281),1)*$H281),"")</f>
        <v>240</v>
      </c>
      <c r="Z281" s="36">
        <f>IFERROR(IF(Y281=0,"",ROUNDUP(Y281/H281,0)*0.00651),"")</f>
        <v>0.65100000000000002</v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258.00000000000006</v>
      </c>
      <c r="BN281" s="64">
        <f>IFERROR(Y281*I281/H281,"0")</f>
        <v>258.00000000000006</v>
      </c>
      <c r="BO281" s="64">
        <f>IFERROR(1/J281*(X281/H281),"0")</f>
        <v>0.5494505494505495</v>
      </c>
      <c r="BP281" s="64">
        <f>IFERROR(1/J281*(Y281/H281),"0")</f>
        <v>0.5494505494505495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68" t="s">
        <v>75</v>
      </c>
      <c r="Q282" s="569"/>
      <c r="R282" s="569"/>
      <c r="S282" s="569"/>
      <c r="T282" s="569"/>
      <c r="U282" s="569"/>
      <c r="V282" s="570"/>
      <c r="W282" s="37" t="s">
        <v>76</v>
      </c>
      <c r="X282" s="553">
        <f>IFERROR(X279/H279,"0")+IFERROR(X280/H280,"0")+IFERROR(X281/H281,"0")</f>
        <v>212.5</v>
      </c>
      <c r="Y282" s="553">
        <f>IFERROR(Y279/H279,"0")+IFERROR(Y280/H280,"0")+IFERROR(Y281/H281,"0")</f>
        <v>213</v>
      </c>
      <c r="Z282" s="553">
        <f>IFERROR(IF(Z279="",0,Z279),"0")+IFERROR(IF(Z280="",0,Z280),"0")+IFERROR(IF(Z281="",0,Z281),"0")</f>
        <v>1.38663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68" t="s">
        <v>75</v>
      </c>
      <c r="Q283" s="569"/>
      <c r="R283" s="569"/>
      <c r="S283" s="569"/>
      <c r="T283" s="569"/>
      <c r="U283" s="569"/>
      <c r="V283" s="570"/>
      <c r="W283" s="37" t="s">
        <v>69</v>
      </c>
      <c r="X283" s="553">
        <f>IFERROR(SUM(X279:X281),"0")</f>
        <v>510</v>
      </c>
      <c r="Y283" s="553">
        <f>IFERROR(SUM(Y279:Y281),"0")</f>
        <v>511.2</v>
      </c>
      <c r="Z283" s="37"/>
      <c r="AA283" s="554"/>
      <c r="AB283" s="554"/>
      <c r="AC283" s="554"/>
    </row>
    <row r="284" spans="1:68" ht="16.5" hidden="1" customHeight="1" x14ac:dyDescent="0.25">
      <c r="A284" s="576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hidden="1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68" t="s">
        <v>75</v>
      </c>
      <c r="Q288" s="569"/>
      <c r="R288" s="569"/>
      <c r="S288" s="569"/>
      <c r="T288" s="569"/>
      <c r="U288" s="569"/>
      <c r="V288" s="570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hidden="1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68" t="s">
        <v>75</v>
      </c>
      <c r="Q289" s="569"/>
      <c r="R289" s="569"/>
      <c r="S289" s="569"/>
      <c r="T289" s="569"/>
      <c r="U289" s="569"/>
      <c r="V289" s="570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hidden="1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360</v>
      </c>
      <c r="Y291" s="552">
        <f>IFERROR(IF(X291="",0,CEILING((X291/$H291),1)*$H291),"")</f>
        <v>360</v>
      </c>
      <c r="Z291" s="36">
        <f>IFERROR(IF(Y291=0,"",ROUNDUP(Y291/H291,0)*0.00902),"")</f>
        <v>0.90200000000000002</v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379</v>
      </c>
      <c r="BN291" s="64">
        <f>IFERROR(Y291*I291/H291,"0")</f>
        <v>379</v>
      </c>
      <c r="BO291" s="64">
        <f>IFERROR(1/J291*(X291/H291),"0")</f>
        <v>0.75757575757575757</v>
      </c>
      <c r="BP291" s="64">
        <f>IFERROR(1/J291*(Y291/H291),"0")</f>
        <v>0.75757575757575757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68" t="s">
        <v>75</v>
      </c>
      <c r="Q293" s="569"/>
      <c r="R293" s="569"/>
      <c r="S293" s="569"/>
      <c r="T293" s="569"/>
      <c r="U293" s="569"/>
      <c r="V293" s="570"/>
      <c r="W293" s="37" t="s">
        <v>76</v>
      </c>
      <c r="X293" s="553">
        <f>IFERROR(X291/H291,"0")+IFERROR(X292/H292,"0")</f>
        <v>100</v>
      </c>
      <c r="Y293" s="553">
        <f>IFERROR(Y291/H291,"0")+IFERROR(Y292/H292,"0")</f>
        <v>100</v>
      </c>
      <c r="Z293" s="553">
        <f>IFERROR(IF(Z291="",0,Z291),"0")+IFERROR(IF(Z292="",0,Z292),"0")</f>
        <v>0.90200000000000002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68" t="s">
        <v>75</v>
      </c>
      <c r="Q294" s="569"/>
      <c r="R294" s="569"/>
      <c r="S294" s="569"/>
      <c r="T294" s="569"/>
      <c r="U294" s="569"/>
      <c r="V294" s="570"/>
      <c r="W294" s="37" t="s">
        <v>69</v>
      </c>
      <c r="X294" s="553">
        <f>IFERROR(SUM(X291:X292),"0")</f>
        <v>360</v>
      </c>
      <c r="Y294" s="553">
        <f>IFERROR(SUM(Y291:Y292),"0")</f>
        <v>360</v>
      </c>
      <c r="Z294" s="37"/>
      <c r="AA294" s="554"/>
      <c r="AB294" s="554"/>
      <c r="AC294" s="554"/>
    </row>
    <row r="295" spans="1:68" ht="16.5" hidden="1" customHeight="1" x14ac:dyDescent="0.25">
      <c r="A295" s="576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hidden="1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hidden="1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hidden="1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270</v>
      </c>
      <c r="Y302" s="552">
        <f t="shared" si="31"/>
        <v>272</v>
      </c>
      <c r="Z302" s="36">
        <f>IFERROR(IF(Y302=0,"",ROUNDUP(Y302/H302,0)*0.00902),"")</f>
        <v>0.61336000000000002</v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282.82500000000005</v>
      </c>
      <c r="BN302" s="64">
        <f t="shared" si="33"/>
        <v>284.92</v>
      </c>
      <c r="BO302" s="64">
        <f t="shared" si="34"/>
        <v>0.51136363636363635</v>
      </c>
      <c r="BP302" s="64">
        <f t="shared" si="35"/>
        <v>0.51515151515151514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68" t="s">
        <v>75</v>
      </c>
      <c r="Q303" s="569"/>
      <c r="R303" s="569"/>
      <c r="S303" s="569"/>
      <c r="T303" s="569"/>
      <c r="U303" s="569"/>
      <c r="V303" s="570"/>
      <c r="W303" s="37" t="s">
        <v>76</v>
      </c>
      <c r="X303" s="553">
        <f>IFERROR(X297/H297,"0")+IFERROR(X298/H298,"0")+IFERROR(X299/H299,"0")+IFERROR(X300/H300,"0")+IFERROR(X301/H301,"0")+IFERROR(X302/H302,"0")</f>
        <v>67.5</v>
      </c>
      <c r="Y303" s="553">
        <f>IFERROR(Y297/H297,"0")+IFERROR(Y298/H298,"0")+IFERROR(Y299/H299,"0")+IFERROR(Y300/H300,"0")+IFERROR(Y301/H301,"0")+IFERROR(Y302/H302,"0")</f>
        <v>68</v>
      </c>
      <c r="Z303" s="553">
        <f>IFERROR(IF(Z297="",0,Z297),"0")+IFERROR(IF(Z298="",0,Z298),"0")+IFERROR(IF(Z299="",0,Z299),"0")+IFERROR(IF(Z300="",0,Z300),"0")+IFERROR(IF(Z301="",0,Z301),"0")+IFERROR(IF(Z302="",0,Z302),"0")</f>
        <v>0.61336000000000002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68" t="s">
        <v>75</v>
      </c>
      <c r="Q304" s="569"/>
      <c r="R304" s="569"/>
      <c r="S304" s="569"/>
      <c r="T304" s="569"/>
      <c r="U304" s="569"/>
      <c r="V304" s="570"/>
      <c r="W304" s="37" t="s">
        <v>69</v>
      </c>
      <c r="X304" s="553">
        <f>IFERROR(SUM(X297:X302),"0")</f>
        <v>270</v>
      </c>
      <c r="Y304" s="553">
        <f>IFERROR(SUM(Y297:Y302),"0")</f>
        <v>272</v>
      </c>
      <c r="Z304" s="37"/>
      <c r="AA304" s="554"/>
      <c r="AB304" s="554"/>
      <c r="AC304" s="554"/>
    </row>
    <row r="305" spans="1:68" ht="14.25" hidden="1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hidden="1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0</v>
      </c>
      <c r="Y306" s="552">
        <f t="shared" ref="Y306:Y311" si="36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0</v>
      </c>
      <c r="BN306" s="64">
        <f t="shared" ref="BN306:BN311" si="38">IFERROR(Y306*I306/H306,"0")</f>
        <v>0</v>
      </c>
      <c r="BO306" s="64">
        <f t="shared" ref="BO306:BO311" si="39">IFERROR(1/J306*(X306/H306),"0")</f>
        <v>0</v>
      </c>
      <c r="BP306" s="64">
        <f t="shared" ref="BP306:BP311" si="40">IFERROR(1/J306*(Y306/H306),"0")</f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5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236.25</v>
      </c>
      <c r="Y310" s="552">
        <f t="shared" si="36"/>
        <v>237.3</v>
      </c>
      <c r="Z310" s="36">
        <f>IFERROR(IF(Y310=0,"",ROUNDUP(Y310/H310,0)*0.00502),"")</f>
        <v>0.56725999999999999</v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247.5</v>
      </c>
      <c r="BN310" s="64">
        <f t="shared" si="38"/>
        <v>248.60000000000002</v>
      </c>
      <c r="BO310" s="64">
        <f t="shared" si="39"/>
        <v>0.48076923076923084</v>
      </c>
      <c r="BP310" s="64">
        <f t="shared" si="40"/>
        <v>0.48290598290598297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202.5</v>
      </c>
      <c r="Y311" s="552">
        <f t="shared" si="36"/>
        <v>203.4</v>
      </c>
      <c r="Z311" s="36">
        <f>IFERROR(IF(Y311=0,"",ROUNDUP(Y311/H311,0)*0.00651),"")</f>
        <v>0.73563000000000001</v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228.15</v>
      </c>
      <c r="BN311" s="64">
        <f t="shared" si="38"/>
        <v>229.16399999999999</v>
      </c>
      <c r="BO311" s="64">
        <f t="shared" si="39"/>
        <v>0.61813186813186816</v>
      </c>
      <c r="BP311" s="64">
        <f t="shared" si="40"/>
        <v>0.62087912087912089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68" t="s">
        <v>75</v>
      </c>
      <c r="Q312" s="569"/>
      <c r="R312" s="569"/>
      <c r="S312" s="569"/>
      <c r="T312" s="569"/>
      <c r="U312" s="569"/>
      <c r="V312" s="570"/>
      <c r="W312" s="37" t="s">
        <v>76</v>
      </c>
      <c r="X312" s="553">
        <f>IFERROR(X306/H306,"0")+IFERROR(X307/H307,"0")+IFERROR(X308/H308,"0")+IFERROR(X309/H309,"0")+IFERROR(X310/H310,"0")+IFERROR(X311/H311,"0")</f>
        <v>225</v>
      </c>
      <c r="Y312" s="553">
        <f>IFERROR(Y306/H306,"0")+IFERROR(Y307/H307,"0")+IFERROR(Y308/H308,"0")+IFERROR(Y309/H309,"0")+IFERROR(Y310/H310,"0")+IFERROR(Y311/H311,"0")</f>
        <v>226</v>
      </c>
      <c r="Z312" s="553">
        <f>IFERROR(IF(Z306="",0,Z306),"0")+IFERROR(IF(Z307="",0,Z307),"0")+IFERROR(IF(Z308="",0,Z308),"0")+IFERROR(IF(Z309="",0,Z309),"0")+IFERROR(IF(Z310="",0,Z310),"0")+IFERROR(IF(Z311="",0,Z311),"0")</f>
        <v>1.3028900000000001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68" t="s">
        <v>75</v>
      </c>
      <c r="Q313" s="569"/>
      <c r="R313" s="569"/>
      <c r="S313" s="569"/>
      <c r="T313" s="569"/>
      <c r="U313" s="569"/>
      <c r="V313" s="570"/>
      <c r="W313" s="37" t="s">
        <v>69</v>
      </c>
      <c r="X313" s="553">
        <f>IFERROR(SUM(X306:X311),"0")</f>
        <v>438.75</v>
      </c>
      <c r="Y313" s="553">
        <f>IFERROR(SUM(Y306:Y311),"0")</f>
        <v>440.70000000000005</v>
      </c>
      <c r="Z313" s="37"/>
      <c r="AA313" s="554"/>
      <c r="AB313" s="554"/>
      <c r="AC313" s="554"/>
    </row>
    <row r="314" spans="1:68" ht="14.25" hidden="1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hidden="1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68" t="s">
        <v>75</v>
      </c>
      <c r="Q319" s="569"/>
      <c r="R319" s="569"/>
      <c r="S319" s="569"/>
      <c r="T319" s="569"/>
      <c r="U319" s="569"/>
      <c r="V319" s="570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hidden="1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68" t="s">
        <v>75</v>
      </c>
      <c r="Q320" s="569"/>
      <c r="R320" s="569"/>
      <c r="S320" s="569"/>
      <c r="T320" s="569"/>
      <c r="U320" s="569"/>
      <c r="V320" s="570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hidden="1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hidden="1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0</v>
      </c>
      <c r="Y323" s="552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68" t="s">
        <v>75</v>
      </c>
      <c r="Q325" s="569"/>
      <c r="R325" s="569"/>
      <c r="S325" s="569"/>
      <c r="T325" s="569"/>
      <c r="U325" s="569"/>
      <c r="V325" s="570"/>
      <c r="W325" s="37" t="s">
        <v>76</v>
      </c>
      <c r="X325" s="553">
        <f>IFERROR(X322/H322,"0")+IFERROR(X323/H323,"0")+IFERROR(X324/H324,"0")</f>
        <v>0</v>
      </c>
      <c r="Y325" s="553">
        <f>IFERROR(Y322/H322,"0")+IFERROR(Y323/H323,"0")+IFERROR(Y324/H324,"0")</f>
        <v>0</v>
      </c>
      <c r="Z325" s="553">
        <f>IFERROR(IF(Z322="",0,Z322),"0")+IFERROR(IF(Z323="",0,Z323),"0")+IFERROR(IF(Z324="",0,Z324),"0")</f>
        <v>0</v>
      </c>
      <c r="AA325" s="554"/>
      <c r="AB325" s="554"/>
      <c r="AC325" s="554"/>
    </row>
    <row r="326" spans="1:68" hidden="1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68" t="s">
        <v>75</v>
      </c>
      <c r="Q326" s="569"/>
      <c r="R326" s="569"/>
      <c r="S326" s="569"/>
      <c r="T326" s="569"/>
      <c r="U326" s="569"/>
      <c r="V326" s="570"/>
      <c r="W326" s="37" t="s">
        <v>69</v>
      </c>
      <c r="X326" s="553">
        <f>IFERROR(SUM(X322:X324),"0")</f>
        <v>0</v>
      </c>
      <c r="Y326" s="553">
        <f>IFERROR(SUM(Y322:Y324),"0")</f>
        <v>0</v>
      </c>
      <c r="Z326" s="37"/>
      <c r="AA326" s="554"/>
      <c r="AB326" s="554"/>
      <c r="AC326" s="554"/>
    </row>
    <row r="327" spans="1:68" ht="14.25" hidden="1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hidden="1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8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68" t="s">
        <v>75</v>
      </c>
      <c r="Q332" s="569"/>
      <c r="R332" s="569"/>
      <c r="S332" s="569"/>
      <c r="T332" s="569"/>
      <c r="U332" s="569"/>
      <c r="V332" s="570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hidden="1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68" t="s">
        <v>75</v>
      </c>
      <c r="Q333" s="569"/>
      <c r="R333" s="569"/>
      <c r="S333" s="569"/>
      <c r="T333" s="569"/>
      <c r="U333" s="569"/>
      <c r="V333" s="570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hidden="1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hidden="1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67.5</v>
      </c>
      <c r="Y337" s="552">
        <f>IFERROR(IF(X337="",0,CEILING((X337/$H337),1)*$H337),"")</f>
        <v>68</v>
      </c>
      <c r="Z337" s="36">
        <f>IFERROR(IF(Y337=0,"",ROUNDUP(Y337/H337,0)*0.00474),"")</f>
        <v>0.16116</v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75.600000000000009</v>
      </c>
      <c r="BN337" s="64">
        <f>IFERROR(Y337*I337/H337,"0")</f>
        <v>76.160000000000011</v>
      </c>
      <c r="BO337" s="64">
        <f>IFERROR(1/J337*(X337/H337),"0")</f>
        <v>0.14180672268907563</v>
      </c>
      <c r="BP337" s="64">
        <f>IFERROR(1/J337*(Y337/H337),"0")</f>
        <v>0.14285714285714285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68" t="s">
        <v>75</v>
      </c>
      <c r="Q338" s="569"/>
      <c r="R338" s="569"/>
      <c r="S338" s="569"/>
      <c r="T338" s="569"/>
      <c r="U338" s="569"/>
      <c r="V338" s="570"/>
      <c r="W338" s="37" t="s">
        <v>76</v>
      </c>
      <c r="X338" s="553">
        <f>IFERROR(X335/H335,"0")+IFERROR(X336/H336,"0")+IFERROR(X337/H337,"0")</f>
        <v>33.75</v>
      </c>
      <c r="Y338" s="553">
        <f>IFERROR(Y335/H335,"0")+IFERROR(Y336/H336,"0")+IFERROR(Y337/H337,"0")</f>
        <v>34</v>
      </c>
      <c r="Z338" s="553">
        <f>IFERROR(IF(Z335="",0,Z335),"0")+IFERROR(IF(Z336="",0,Z336),"0")+IFERROR(IF(Z337="",0,Z337),"0")</f>
        <v>0.16116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68" t="s">
        <v>75</v>
      </c>
      <c r="Q339" s="569"/>
      <c r="R339" s="569"/>
      <c r="S339" s="569"/>
      <c r="T339" s="569"/>
      <c r="U339" s="569"/>
      <c r="V339" s="570"/>
      <c r="W339" s="37" t="s">
        <v>69</v>
      </c>
      <c r="X339" s="553">
        <f>IFERROR(SUM(X335:X337),"0")</f>
        <v>67.5</v>
      </c>
      <c r="Y339" s="553">
        <f>IFERROR(SUM(Y335:Y337),"0")</f>
        <v>68</v>
      </c>
      <c r="Z339" s="37"/>
      <c r="AA339" s="554"/>
      <c r="AB339" s="554"/>
      <c r="AC339" s="554"/>
    </row>
    <row r="340" spans="1:68" ht="16.5" hidden="1" customHeight="1" x14ac:dyDescent="0.25">
      <c r="A340" s="576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hidden="1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hidden="1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236.25</v>
      </c>
      <c r="Y343" s="552">
        <f>IFERROR(IF(X343="",0,CEILING((X343/$H343),1)*$H343),"")</f>
        <v>237.3</v>
      </c>
      <c r="Z343" s="36">
        <f>IFERROR(IF(Y343=0,"",ROUNDUP(Y343/H343,0)*0.00651),"")</f>
        <v>0.73563000000000001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264.59999999999997</v>
      </c>
      <c r="BN343" s="64">
        <f>IFERROR(Y343*I343/H343,"0")</f>
        <v>265.77599999999995</v>
      </c>
      <c r="BO343" s="64">
        <f>IFERROR(1/J343*(X343/H343),"0")</f>
        <v>0.61813186813186816</v>
      </c>
      <c r="BP343" s="64">
        <f>IFERROR(1/J343*(Y343/H343),"0")</f>
        <v>0.62087912087912089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210</v>
      </c>
      <c r="Y344" s="552">
        <f>IFERROR(IF(X344="",0,CEILING((X344/$H344),1)*$H344),"")</f>
        <v>210</v>
      </c>
      <c r="Z344" s="36">
        <f>IFERROR(IF(Y344=0,"",ROUNDUP(Y344/H344,0)*0.00651),"")</f>
        <v>0.65100000000000002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233.99999999999997</v>
      </c>
      <c r="BN344" s="64">
        <f>IFERROR(Y344*I344/H344,"0")</f>
        <v>233.99999999999997</v>
      </c>
      <c r="BO344" s="64">
        <f>IFERROR(1/J344*(X344/H344),"0")</f>
        <v>0.5494505494505495</v>
      </c>
      <c r="BP344" s="64">
        <f>IFERROR(1/J344*(Y344/H344),"0")</f>
        <v>0.5494505494505495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68" t="s">
        <v>75</v>
      </c>
      <c r="Q345" s="569"/>
      <c r="R345" s="569"/>
      <c r="S345" s="569"/>
      <c r="T345" s="569"/>
      <c r="U345" s="569"/>
      <c r="V345" s="570"/>
      <c r="W345" s="37" t="s">
        <v>76</v>
      </c>
      <c r="X345" s="553">
        <f>IFERROR(X342/H342,"0")+IFERROR(X343/H343,"0")+IFERROR(X344/H344,"0")</f>
        <v>212.5</v>
      </c>
      <c r="Y345" s="553">
        <f>IFERROR(Y342/H342,"0")+IFERROR(Y343/H343,"0")+IFERROR(Y344/H344,"0")</f>
        <v>213</v>
      </c>
      <c r="Z345" s="553">
        <f>IFERROR(IF(Z342="",0,Z342),"0")+IFERROR(IF(Z343="",0,Z343),"0")+IFERROR(IF(Z344="",0,Z344),"0")</f>
        <v>1.38663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68" t="s">
        <v>75</v>
      </c>
      <c r="Q346" s="569"/>
      <c r="R346" s="569"/>
      <c r="S346" s="569"/>
      <c r="T346" s="569"/>
      <c r="U346" s="569"/>
      <c r="V346" s="570"/>
      <c r="W346" s="37" t="s">
        <v>69</v>
      </c>
      <c r="X346" s="553">
        <f>IFERROR(SUM(X342:X344),"0")</f>
        <v>446.25</v>
      </c>
      <c r="Y346" s="553">
        <f>IFERROR(SUM(Y342:Y344),"0")</f>
        <v>447.3</v>
      </c>
      <c r="Z346" s="37"/>
      <c r="AA346" s="554"/>
      <c r="AB346" s="554"/>
      <c r="AC346" s="554"/>
    </row>
    <row r="347" spans="1:68" ht="27.75" hidden="1" customHeight="1" x14ac:dyDescent="0.2">
      <c r="A347" s="613" t="s">
        <v>556</v>
      </c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48"/>
      <c r="AB347" s="48"/>
      <c r="AC347" s="48"/>
    </row>
    <row r="348" spans="1:68" ht="16.5" hidden="1" customHeight="1" x14ac:dyDescent="0.25">
      <c r="A348" s="576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hidden="1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hidden="1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0</v>
      </c>
      <c r="Y350" s="552">
        <f t="shared" ref="Y350:Y356" si="41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0</v>
      </c>
      <c r="BN350" s="64">
        <f t="shared" ref="BN350:BN356" si="43">IFERROR(Y350*I350/H350,"0")</f>
        <v>0</v>
      </c>
      <c r="BO350" s="64">
        <f t="shared" ref="BO350:BO356" si="44">IFERROR(1/J350*(X350/H350),"0")</f>
        <v>0</v>
      </c>
      <c r="BP350" s="64">
        <f t="shared" ref="BP350:BP356" si="45">IFERROR(1/J350*(Y350/H350),"0")</f>
        <v>0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0</v>
      </c>
      <c r="Y351" s="552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hidden="1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68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300</v>
      </c>
      <c r="Y356" s="552">
        <f t="shared" si="41"/>
        <v>300</v>
      </c>
      <c r="Z356" s="36">
        <f>IFERROR(IF(Y356=0,"",ROUNDUP(Y356/H356,0)*0.00902),"")</f>
        <v>0.54120000000000001</v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311.40000000000003</v>
      </c>
      <c r="BN356" s="64">
        <f t="shared" si="43"/>
        <v>311.40000000000003</v>
      </c>
      <c r="BO356" s="64">
        <f t="shared" si="44"/>
        <v>0.45454545454545459</v>
      </c>
      <c r="BP356" s="64">
        <f t="shared" si="45"/>
        <v>0.45454545454545459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68" t="s">
        <v>75</v>
      </c>
      <c r="Q357" s="569"/>
      <c r="R357" s="569"/>
      <c r="S357" s="569"/>
      <c r="T357" s="569"/>
      <c r="U357" s="569"/>
      <c r="V357" s="570"/>
      <c r="W357" s="37" t="s">
        <v>76</v>
      </c>
      <c r="X357" s="553">
        <f>IFERROR(X350/H350,"0")+IFERROR(X351/H351,"0")+IFERROR(X352/H352,"0")+IFERROR(X353/H353,"0")+IFERROR(X354/H354,"0")+IFERROR(X355/H355,"0")+IFERROR(X356/H356,"0")</f>
        <v>60</v>
      </c>
      <c r="Y357" s="553">
        <f>IFERROR(Y350/H350,"0")+IFERROR(Y351/H351,"0")+IFERROR(Y352/H352,"0")+IFERROR(Y353/H353,"0")+IFERROR(Y354/H354,"0")+IFERROR(Y355/H355,"0")+IFERROR(Y356/H356,"0")</f>
        <v>60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0.54120000000000001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68" t="s">
        <v>75</v>
      </c>
      <c r="Q358" s="569"/>
      <c r="R358" s="569"/>
      <c r="S358" s="569"/>
      <c r="T358" s="569"/>
      <c r="U358" s="569"/>
      <c r="V358" s="570"/>
      <c r="W358" s="37" t="s">
        <v>69</v>
      </c>
      <c r="X358" s="553">
        <f>IFERROR(SUM(X350:X356),"0")</f>
        <v>300</v>
      </c>
      <c r="Y358" s="553">
        <f>IFERROR(SUM(Y350:Y356),"0")</f>
        <v>300</v>
      </c>
      <c r="Z358" s="37"/>
      <c r="AA358" s="554"/>
      <c r="AB358" s="554"/>
      <c r="AC358" s="554"/>
    </row>
    <row r="359" spans="1:68" ht="14.25" hidden="1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hidden="1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0</v>
      </c>
      <c r="Y360" s="552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270</v>
      </c>
      <c r="Y361" s="552">
        <f>IFERROR(IF(X361="",0,CEILING((X361/$H361),1)*$H361),"")</f>
        <v>272</v>
      </c>
      <c r="Z361" s="36">
        <f>IFERROR(IF(Y361=0,"",ROUNDUP(Y361/H361,0)*0.00902),"")</f>
        <v>0.61336000000000002</v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282.82500000000005</v>
      </c>
      <c r="BN361" s="64">
        <f>IFERROR(Y361*I361/H361,"0")</f>
        <v>284.92</v>
      </c>
      <c r="BO361" s="64">
        <f>IFERROR(1/J361*(X361/H361),"0")</f>
        <v>0.51136363636363635</v>
      </c>
      <c r="BP361" s="64">
        <f>IFERROR(1/J361*(Y361/H361),"0")</f>
        <v>0.51515151515151514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68" t="s">
        <v>75</v>
      </c>
      <c r="Q362" s="569"/>
      <c r="R362" s="569"/>
      <c r="S362" s="569"/>
      <c r="T362" s="569"/>
      <c r="U362" s="569"/>
      <c r="V362" s="570"/>
      <c r="W362" s="37" t="s">
        <v>76</v>
      </c>
      <c r="X362" s="553">
        <f>IFERROR(X360/H360,"0")+IFERROR(X361/H361,"0")</f>
        <v>67.5</v>
      </c>
      <c r="Y362" s="553">
        <f>IFERROR(Y360/H360,"0")+IFERROR(Y361/H361,"0")</f>
        <v>68</v>
      </c>
      <c r="Z362" s="553">
        <f>IFERROR(IF(Z360="",0,Z360),"0")+IFERROR(IF(Z361="",0,Z361),"0")</f>
        <v>0.61336000000000002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68" t="s">
        <v>75</v>
      </c>
      <c r="Q363" s="569"/>
      <c r="R363" s="569"/>
      <c r="S363" s="569"/>
      <c r="T363" s="569"/>
      <c r="U363" s="569"/>
      <c r="V363" s="570"/>
      <c r="W363" s="37" t="s">
        <v>69</v>
      </c>
      <c r="X363" s="553">
        <f>IFERROR(SUM(X360:X361),"0")</f>
        <v>270</v>
      </c>
      <c r="Y363" s="553">
        <f>IFERROR(SUM(Y360:Y361),"0")</f>
        <v>272</v>
      </c>
      <c r="Z363" s="37"/>
      <c r="AA363" s="554"/>
      <c r="AB363" s="554"/>
      <c r="AC363" s="554"/>
    </row>
    <row r="364" spans="1:68" ht="14.25" hidden="1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hidden="1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68" t="s">
        <v>75</v>
      </c>
      <c r="Q367" s="569"/>
      <c r="R367" s="569"/>
      <c r="S367" s="569"/>
      <c r="T367" s="569"/>
      <c r="U367" s="569"/>
      <c r="V367" s="570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hidden="1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68" t="s">
        <v>75</v>
      </c>
      <c r="Q368" s="569"/>
      <c r="R368" s="569"/>
      <c r="S368" s="569"/>
      <c r="T368" s="569"/>
      <c r="U368" s="569"/>
      <c r="V368" s="570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hidden="1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hidden="1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68" t="s">
        <v>75</v>
      </c>
      <c r="Q371" s="569"/>
      <c r="R371" s="569"/>
      <c r="S371" s="569"/>
      <c r="T371" s="569"/>
      <c r="U371" s="569"/>
      <c r="V371" s="570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hidden="1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68" t="s">
        <v>75</v>
      </c>
      <c r="Q372" s="569"/>
      <c r="R372" s="569"/>
      <c r="S372" s="569"/>
      <c r="T372" s="569"/>
      <c r="U372" s="569"/>
      <c r="V372" s="570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hidden="1" customHeight="1" x14ac:dyDescent="0.25">
      <c r="A373" s="576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hidden="1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hidden="1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68" t="s">
        <v>75</v>
      </c>
      <c r="Q377" s="569"/>
      <c r="R377" s="569"/>
      <c r="S377" s="569"/>
      <c r="T377" s="569"/>
      <c r="U377" s="569"/>
      <c r="V377" s="570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hidden="1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68" t="s">
        <v>75</v>
      </c>
      <c r="Q378" s="569"/>
      <c r="R378" s="569"/>
      <c r="S378" s="569"/>
      <c r="T378" s="569"/>
      <c r="U378" s="569"/>
      <c r="V378" s="570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hidden="1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hidden="1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68" t="s">
        <v>75</v>
      </c>
      <c r="Q382" s="569"/>
      <c r="R382" s="569"/>
      <c r="S382" s="569"/>
      <c r="T382" s="569"/>
      <c r="U382" s="569"/>
      <c r="V382" s="570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hidden="1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68" t="s">
        <v>75</v>
      </c>
      <c r="Q383" s="569"/>
      <c r="R383" s="569"/>
      <c r="S383" s="569"/>
      <c r="T383" s="569"/>
      <c r="U383" s="569"/>
      <c r="V383" s="570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hidden="1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hidden="1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0</v>
      </c>
      <c r="Y385" s="55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68" t="s">
        <v>75</v>
      </c>
      <c r="Q388" s="569"/>
      <c r="R388" s="569"/>
      <c r="S388" s="569"/>
      <c r="T388" s="569"/>
      <c r="U388" s="569"/>
      <c r="V388" s="570"/>
      <c r="W388" s="37" t="s">
        <v>76</v>
      </c>
      <c r="X388" s="553">
        <f>IFERROR(X385/H385,"0")+IFERROR(X386/H386,"0")+IFERROR(X387/H387,"0")</f>
        <v>0</v>
      </c>
      <c r="Y388" s="553">
        <f>IFERROR(Y385/H385,"0")+IFERROR(Y386/H386,"0")+IFERROR(Y387/H387,"0")</f>
        <v>0</v>
      </c>
      <c r="Z388" s="553">
        <f>IFERROR(IF(Z385="",0,Z385),"0")+IFERROR(IF(Z386="",0,Z386),"0")+IFERROR(IF(Z387="",0,Z387),"0")</f>
        <v>0</v>
      </c>
      <c r="AA388" s="554"/>
      <c r="AB388" s="554"/>
      <c r="AC388" s="554"/>
    </row>
    <row r="389" spans="1:68" hidden="1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68" t="s">
        <v>75</v>
      </c>
      <c r="Q389" s="569"/>
      <c r="R389" s="569"/>
      <c r="S389" s="569"/>
      <c r="T389" s="569"/>
      <c r="U389" s="569"/>
      <c r="V389" s="570"/>
      <c r="W389" s="37" t="s">
        <v>69</v>
      </c>
      <c r="X389" s="553">
        <f>IFERROR(SUM(X385:X387),"0")</f>
        <v>0</v>
      </c>
      <c r="Y389" s="553">
        <f>IFERROR(SUM(Y385:Y387),"0")</f>
        <v>0</v>
      </c>
      <c r="Z389" s="37"/>
      <c r="AA389" s="554"/>
      <c r="AB389" s="554"/>
      <c r="AC389" s="554"/>
    </row>
    <row r="390" spans="1:68" ht="27.75" hidden="1" customHeight="1" x14ac:dyDescent="0.2">
      <c r="A390" s="613" t="s">
        <v>610</v>
      </c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  <c r="Z390" s="614"/>
      <c r="AA390" s="48"/>
      <c r="AB390" s="48"/>
      <c r="AC390" s="48"/>
    </row>
    <row r="391" spans="1:68" ht="16.5" hidden="1" customHeight="1" x14ac:dyDescent="0.25">
      <c r="A391" s="576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hidden="1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hidden="1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84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236.25</v>
      </c>
      <c r="Y397" s="552">
        <f t="shared" si="46"/>
        <v>237.3</v>
      </c>
      <c r="Z397" s="36">
        <f t="shared" si="51"/>
        <v>0.56725999999999999</v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250.87499999999997</v>
      </c>
      <c r="BN397" s="64">
        <f t="shared" si="48"/>
        <v>251.98999999999998</v>
      </c>
      <c r="BO397" s="64">
        <f t="shared" si="49"/>
        <v>0.48076923076923084</v>
      </c>
      <c r="BP397" s="64">
        <f t="shared" si="50"/>
        <v>0.48290598290598297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236.25</v>
      </c>
      <c r="Y398" s="552">
        <f t="shared" si="46"/>
        <v>237.3</v>
      </c>
      <c r="Z398" s="36">
        <f t="shared" si="51"/>
        <v>0.56725999999999999</v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250.87499999999997</v>
      </c>
      <c r="BN398" s="64">
        <f t="shared" si="48"/>
        <v>251.98999999999998</v>
      </c>
      <c r="BO398" s="64">
        <f t="shared" si="49"/>
        <v>0.48076923076923084</v>
      </c>
      <c r="BP398" s="64">
        <f t="shared" si="50"/>
        <v>0.48290598290598297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70</v>
      </c>
      <c r="Y400" s="552">
        <f t="shared" si="46"/>
        <v>71.400000000000006</v>
      </c>
      <c r="Z400" s="36">
        <f t="shared" si="51"/>
        <v>0.17068</v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74.333333333333329</v>
      </c>
      <c r="BN400" s="64">
        <f t="shared" si="48"/>
        <v>75.820000000000007</v>
      </c>
      <c r="BO400" s="64">
        <f t="shared" si="49"/>
        <v>0.14245014245014245</v>
      </c>
      <c r="BP400" s="64">
        <f t="shared" si="50"/>
        <v>0.14529914529914531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157.5</v>
      </c>
      <c r="Y401" s="552">
        <f t="shared" si="46"/>
        <v>157.5</v>
      </c>
      <c r="Z401" s="36">
        <f t="shared" si="51"/>
        <v>0.3765</v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167.25</v>
      </c>
      <c r="BN401" s="64">
        <f t="shared" si="48"/>
        <v>167.25</v>
      </c>
      <c r="BO401" s="64">
        <f t="shared" si="49"/>
        <v>0.32051282051282054</v>
      </c>
      <c r="BP401" s="64">
        <f t="shared" si="50"/>
        <v>0.32051282051282054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68" t="s">
        <v>75</v>
      </c>
      <c r="Q402" s="569"/>
      <c r="R402" s="569"/>
      <c r="S402" s="569"/>
      <c r="T402" s="569"/>
      <c r="U402" s="569"/>
      <c r="V402" s="570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333.33333333333331</v>
      </c>
      <c r="Y402" s="553">
        <f>IFERROR(Y393/H393,"0")+IFERROR(Y394/H394,"0")+IFERROR(Y395/H395,"0")+IFERROR(Y396/H396,"0")+IFERROR(Y397/H397,"0")+IFERROR(Y398/H398,"0")+IFERROR(Y399/H399,"0")+IFERROR(Y400/H400,"0")+IFERROR(Y401/H401,"0")</f>
        <v>335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1.6817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68" t="s">
        <v>75</v>
      </c>
      <c r="Q403" s="569"/>
      <c r="R403" s="569"/>
      <c r="S403" s="569"/>
      <c r="T403" s="569"/>
      <c r="U403" s="569"/>
      <c r="V403" s="570"/>
      <c r="W403" s="37" t="s">
        <v>69</v>
      </c>
      <c r="X403" s="553">
        <f>IFERROR(SUM(X393:X401),"0")</f>
        <v>700</v>
      </c>
      <c r="Y403" s="553">
        <f>IFERROR(SUM(Y393:Y401),"0")</f>
        <v>703.5</v>
      </c>
      <c r="Z403" s="37"/>
      <c r="AA403" s="554"/>
      <c r="AB403" s="554"/>
      <c r="AC403" s="554"/>
    </row>
    <row r="404" spans="1:68" ht="14.25" hidden="1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270</v>
      </c>
      <c r="Y405" s="552">
        <f>IFERROR(IF(X405="",0,CEILING((X405/$H405),1)*$H405),"")</f>
        <v>271.2</v>
      </c>
      <c r="Z405" s="36">
        <f>IFERROR(IF(Y405=0,"",ROUNDUP(Y405/H405,0)*0.00902),"")</f>
        <v>1.0192600000000001</v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295.42500000000001</v>
      </c>
      <c r="BN405" s="64">
        <f>IFERROR(Y405*I405/H405,"0")</f>
        <v>296.73799999999994</v>
      </c>
      <c r="BO405" s="64">
        <f>IFERROR(1/J405*(X405/H405),"0")</f>
        <v>0.85227272727272729</v>
      </c>
      <c r="BP405" s="64">
        <f>IFERROR(1/J405*(Y405/H405),"0")</f>
        <v>0.85606060606060608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7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148.5</v>
      </c>
      <c r="Y406" s="552">
        <f>IFERROR(IF(X406="",0,CEILING((X406/$H406),1)*$H406),"")</f>
        <v>148.5</v>
      </c>
      <c r="Z406" s="36">
        <f>IFERROR(IF(Y406=0,"",ROUNDUP(Y406/H406,0)*0.00651),"")</f>
        <v>0.48825000000000002</v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167.85000000000002</v>
      </c>
      <c r="BN406" s="64">
        <f>IFERROR(Y406*I406/H406,"0")</f>
        <v>167.85000000000002</v>
      </c>
      <c r="BO406" s="64">
        <f>IFERROR(1/J406*(X406/H406),"0")</f>
        <v>0.41208791208791212</v>
      </c>
      <c r="BP406" s="64">
        <f>IFERROR(1/J406*(Y406/H406),"0")</f>
        <v>0.41208791208791212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68" t="s">
        <v>75</v>
      </c>
      <c r="Q407" s="569"/>
      <c r="R407" s="569"/>
      <c r="S407" s="569"/>
      <c r="T407" s="569"/>
      <c r="U407" s="569"/>
      <c r="V407" s="570"/>
      <c r="W407" s="37" t="s">
        <v>76</v>
      </c>
      <c r="X407" s="553">
        <f>IFERROR(X405/H405,"0")+IFERROR(X406/H406,"0")</f>
        <v>187.5</v>
      </c>
      <c r="Y407" s="553">
        <f>IFERROR(Y405/H405,"0")+IFERROR(Y406/H406,"0")</f>
        <v>188</v>
      </c>
      <c r="Z407" s="553">
        <f>IFERROR(IF(Z405="",0,Z405),"0")+IFERROR(IF(Z406="",0,Z406),"0")</f>
        <v>1.5075100000000001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68" t="s">
        <v>75</v>
      </c>
      <c r="Q408" s="569"/>
      <c r="R408" s="569"/>
      <c r="S408" s="569"/>
      <c r="T408" s="569"/>
      <c r="U408" s="569"/>
      <c r="V408" s="570"/>
      <c r="W408" s="37" t="s">
        <v>69</v>
      </c>
      <c r="X408" s="553">
        <f>IFERROR(SUM(X405:X406),"0")</f>
        <v>418.5</v>
      </c>
      <c r="Y408" s="553">
        <f>IFERROR(SUM(Y405:Y406),"0")</f>
        <v>419.7</v>
      </c>
      <c r="Z408" s="37"/>
      <c r="AA408" s="554"/>
      <c r="AB408" s="554"/>
      <c r="AC408" s="554"/>
    </row>
    <row r="409" spans="1:68" ht="16.5" hidden="1" customHeight="1" x14ac:dyDescent="0.25">
      <c r="A409" s="576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hidden="1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hidden="1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68" t="s">
        <v>75</v>
      </c>
      <c r="Q412" s="569"/>
      <c r="R412" s="569"/>
      <c r="S412" s="569"/>
      <c r="T412" s="569"/>
      <c r="U412" s="569"/>
      <c r="V412" s="570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hidden="1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68" t="s">
        <v>75</v>
      </c>
      <c r="Q413" s="569"/>
      <c r="R413" s="569"/>
      <c r="S413" s="569"/>
      <c r="T413" s="569"/>
      <c r="U413" s="569"/>
      <c r="V413" s="570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hidden="1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hidden="1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68" t="s">
        <v>75</v>
      </c>
      <c r="Q419" s="569"/>
      <c r="R419" s="569"/>
      <c r="S419" s="569"/>
      <c r="T419" s="569"/>
      <c r="U419" s="569"/>
      <c r="V419" s="570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hidden="1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68" t="s">
        <v>75</v>
      </c>
      <c r="Q420" s="569"/>
      <c r="R420" s="569"/>
      <c r="S420" s="569"/>
      <c r="T420" s="569"/>
      <c r="U420" s="569"/>
      <c r="V420" s="570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hidden="1" customHeight="1" x14ac:dyDescent="0.25">
      <c r="A421" s="576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hidden="1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hidden="1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68" t="s">
        <v>75</v>
      </c>
      <c r="Q424" s="569"/>
      <c r="R424" s="569"/>
      <c r="S424" s="569"/>
      <c r="T424" s="569"/>
      <c r="U424" s="569"/>
      <c r="V424" s="570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hidden="1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68" t="s">
        <v>75</v>
      </c>
      <c r="Q425" s="569"/>
      <c r="R425" s="569"/>
      <c r="S425" s="569"/>
      <c r="T425" s="569"/>
      <c r="U425" s="569"/>
      <c r="V425" s="570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hidden="1" customHeight="1" x14ac:dyDescent="0.2">
      <c r="A426" s="613" t="s">
        <v>661</v>
      </c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48"/>
      <c r="AB426" s="48"/>
      <c r="AC426" s="48"/>
    </row>
    <row r="427" spans="1:68" ht="16.5" hidden="1" customHeight="1" x14ac:dyDescent="0.25">
      <c r="A427" s="576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hidden="1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hidden="1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1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hidden="1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0</v>
      </c>
      <c r="Y435" s="552">
        <f t="shared" si="52"/>
        <v>0</v>
      </c>
      <c r="Z435" s="36" t="str">
        <f t="shared" si="53"/>
        <v/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360</v>
      </c>
      <c r="Y440" s="552">
        <f t="shared" si="52"/>
        <v>360</v>
      </c>
      <c r="Z440" s="36">
        <f>IFERROR(IF(Y440=0,"",ROUNDUP(Y440/H440,0)*0.00902),"")</f>
        <v>0.67649999999999999</v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518.25</v>
      </c>
      <c r="BN440" s="64">
        <f t="shared" si="55"/>
        <v>518.25</v>
      </c>
      <c r="BO440" s="64">
        <f t="shared" si="56"/>
        <v>0.56818181818181823</v>
      </c>
      <c r="BP440" s="64">
        <f t="shared" si="57"/>
        <v>0.56818181818181823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68" t="s">
        <v>75</v>
      </c>
      <c r="Q441" s="569"/>
      <c r="R441" s="569"/>
      <c r="S441" s="569"/>
      <c r="T441" s="569"/>
      <c r="U441" s="569"/>
      <c r="V441" s="570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75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0.67649999999999999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68" t="s">
        <v>75</v>
      </c>
      <c r="Q442" s="569"/>
      <c r="R442" s="569"/>
      <c r="S442" s="569"/>
      <c r="T442" s="569"/>
      <c r="U442" s="569"/>
      <c r="V442" s="570"/>
      <c r="W442" s="37" t="s">
        <v>69</v>
      </c>
      <c r="X442" s="553">
        <f>IFERROR(SUM(X429:X440),"0")</f>
        <v>360</v>
      </c>
      <c r="Y442" s="553">
        <f>IFERROR(SUM(Y429:Y440),"0")</f>
        <v>360</v>
      </c>
      <c r="Z442" s="37"/>
      <c r="AA442" s="554"/>
      <c r="AB442" s="554"/>
      <c r="AC442" s="554"/>
    </row>
    <row r="443" spans="1:68" ht="14.25" hidden="1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hidden="1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0</v>
      </c>
      <c r="Y444" s="552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68" t="s">
        <v>75</v>
      </c>
      <c r="Q447" s="569"/>
      <c r="R447" s="569"/>
      <c r="S447" s="569"/>
      <c r="T447" s="569"/>
      <c r="U447" s="569"/>
      <c r="V447" s="570"/>
      <c r="W447" s="37" t="s">
        <v>76</v>
      </c>
      <c r="X447" s="553">
        <f>IFERROR(X444/H444,"0")+IFERROR(X445/H445,"0")+IFERROR(X446/H446,"0")</f>
        <v>0</v>
      </c>
      <c r="Y447" s="553">
        <f>IFERROR(Y444/H444,"0")+IFERROR(Y445/H445,"0")+IFERROR(Y446/H446,"0")</f>
        <v>0</v>
      </c>
      <c r="Z447" s="553">
        <f>IFERROR(IF(Z444="",0,Z444),"0")+IFERROR(IF(Z445="",0,Z445),"0")+IFERROR(IF(Z446="",0,Z446),"0")</f>
        <v>0</v>
      </c>
      <c r="AA447" s="554"/>
      <c r="AB447" s="554"/>
      <c r="AC447" s="554"/>
    </row>
    <row r="448" spans="1:68" hidden="1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68" t="s">
        <v>75</v>
      </c>
      <c r="Q448" s="569"/>
      <c r="R448" s="569"/>
      <c r="S448" s="569"/>
      <c r="T448" s="569"/>
      <c r="U448" s="569"/>
      <c r="V448" s="570"/>
      <c r="W448" s="37" t="s">
        <v>69</v>
      </c>
      <c r="X448" s="553">
        <f>IFERROR(SUM(X444:X446),"0")</f>
        <v>0</v>
      </c>
      <c r="Y448" s="553">
        <f>IFERROR(SUM(Y444:Y446),"0")</f>
        <v>0</v>
      </c>
      <c r="Z448" s="37"/>
      <c r="AA448" s="554"/>
      <c r="AB448" s="554"/>
      <c r="AC448" s="554"/>
    </row>
    <row r="449" spans="1:68" ht="14.25" hidden="1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hidden="1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0</v>
      </c>
      <c r="Y450" s="552">
        <f t="shared" ref="Y450:Y455" si="58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0</v>
      </c>
      <c r="BN450" s="64">
        <f t="shared" ref="BN450:BN455" si="60">IFERROR(Y450*I450/H450,"0")</f>
        <v>0</v>
      </c>
      <c r="BO450" s="64">
        <f t="shared" ref="BO450:BO455" si="61">IFERROR(1/J450*(X450/H450),"0")</f>
        <v>0</v>
      </c>
      <c r="BP450" s="64">
        <f t="shared" ref="BP450:BP455" si="62">IFERROR(1/J450*(Y450/H450),"0")</f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0</v>
      </c>
      <c r="Y451" s="552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0</v>
      </c>
      <c r="Y452" s="552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5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idden="1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68" t="s">
        <v>75</v>
      </c>
      <c r="Q456" s="569"/>
      <c r="R456" s="569"/>
      <c r="S456" s="569"/>
      <c r="T456" s="569"/>
      <c r="U456" s="569"/>
      <c r="V456" s="570"/>
      <c r="W456" s="37" t="s">
        <v>76</v>
      </c>
      <c r="X456" s="553">
        <f>IFERROR(X450/H450,"0")+IFERROR(X451/H451,"0")+IFERROR(X452/H452,"0")+IFERROR(X453/H453,"0")+IFERROR(X454/H454,"0")+IFERROR(X455/H455,"0")</f>
        <v>0</v>
      </c>
      <c r="Y456" s="553">
        <f>IFERROR(Y450/H450,"0")+IFERROR(Y451/H451,"0")+IFERROR(Y452/H452,"0")+IFERROR(Y453/H453,"0")+IFERROR(Y454/H454,"0")+IFERROR(Y455/H455,"0")</f>
        <v>0</v>
      </c>
      <c r="Z456" s="553">
        <f>IFERROR(IF(Z450="",0,Z450),"0")+IFERROR(IF(Z451="",0,Z451),"0")+IFERROR(IF(Z452="",0,Z452),"0")+IFERROR(IF(Z453="",0,Z453),"0")+IFERROR(IF(Z454="",0,Z454),"0")+IFERROR(IF(Z455="",0,Z455),"0")</f>
        <v>0</v>
      </c>
      <c r="AA456" s="554"/>
      <c r="AB456" s="554"/>
      <c r="AC456" s="554"/>
    </row>
    <row r="457" spans="1:68" hidden="1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68" t="s">
        <v>75</v>
      </c>
      <c r="Q457" s="569"/>
      <c r="R457" s="569"/>
      <c r="S457" s="569"/>
      <c r="T457" s="569"/>
      <c r="U457" s="569"/>
      <c r="V457" s="570"/>
      <c r="W457" s="37" t="s">
        <v>69</v>
      </c>
      <c r="X457" s="553">
        <f>IFERROR(SUM(X450:X455),"0")</f>
        <v>0</v>
      </c>
      <c r="Y457" s="553">
        <f>IFERROR(SUM(Y450:Y455),"0")</f>
        <v>0</v>
      </c>
      <c r="Z457" s="37"/>
      <c r="AA457" s="554"/>
      <c r="AB457" s="554"/>
      <c r="AC457" s="554"/>
    </row>
    <row r="458" spans="1:68" ht="14.25" hidden="1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hidden="1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68" t="s">
        <v>75</v>
      </c>
      <c r="Q460" s="569"/>
      <c r="R460" s="569"/>
      <c r="S460" s="569"/>
      <c r="T460" s="569"/>
      <c r="U460" s="569"/>
      <c r="V460" s="570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hidden="1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68" t="s">
        <v>75</v>
      </c>
      <c r="Q461" s="569"/>
      <c r="R461" s="569"/>
      <c r="S461" s="569"/>
      <c r="T461" s="569"/>
      <c r="U461" s="569"/>
      <c r="V461" s="570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hidden="1" customHeight="1" x14ac:dyDescent="0.2">
      <c r="A462" s="613" t="s">
        <v>716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48"/>
      <c r="AB462" s="48"/>
      <c r="AC462" s="48"/>
    </row>
    <row r="463" spans="1:68" ht="16.5" hidden="1" customHeight="1" x14ac:dyDescent="0.25">
      <c r="A463" s="576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hidden="1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hidden="1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0</v>
      </c>
      <c r="Y467" s="55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68" t="s">
        <v>75</v>
      </c>
      <c r="Q469" s="569"/>
      <c r="R469" s="569"/>
      <c r="S469" s="569"/>
      <c r="T469" s="569"/>
      <c r="U469" s="569"/>
      <c r="V469" s="570"/>
      <c r="W469" s="37" t="s">
        <v>76</v>
      </c>
      <c r="X469" s="553">
        <f>IFERROR(X465/H465,"0")+IFERROR(X466/H466,"0")+IFERROR(X467/H467,"0")+IFERROR(X468/H468,"0")</f>
        <v>0</v>
      </c>
      <c r="Y469" s="553">
        <f>IFERROR(Y465/H465,"0")+IFERROR(Y466/H466,"0")+IFERROR(Y467/H467,"0")+IFERROR(Y468/H468,"0")</f>
        <v>0</v>
      </c>
      <c r="Z469" s="553">
        <f>IFERROR(IF(Z465="",0,Z465),"0")+IFERROR(IF(Z466="",0,Z466),"0")+IFERROR(IF(Z467="",0,Z467),"0")+IFERROR(IF(Z468="",0,Z468),"0")</f>
        <v>0</v>
      </c>
      <c r="AA469" s="554"/>
      <c r="AB469" s="554"/>
      <c r="AC469" s="554"/>
    </row>
    <row r="470" spans="1:68" hidden="1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68" t="s">
        <v>75</v>
      </c>
      <c r="Q470" s="569"/>
      <c r="R470" s="569"/>
      <c r="S470" s="569"/>
      <c r="T470" s="569"/>
      <c r="U470" s="569"/>
      <c r="V470" s="570"/>
      <c r="W470" s="37" t="s">
        <v>69</v>
      </c>
      <c r="X470" s="553">
        <f>IFERROR(SUM(X465:X468),"0")</f>
        <v>0</v>
      </c>
      <c r="Y470" s="553">
        <f>IFERROR(SUM(Y465:Y468),"0")</f>
        <v>0</v>
      </c>
      <c r="Z470" s="37"/>
      <c r="AA470" s="554"/>
      <c r="AB470" s="554"/>
      <c r="AC470" s="554"/>
    </row>
    <row r="471" spans="1:68" ht="14.25" hidden="1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hidden="1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1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68" t="s">
        <v>75</v>
      </c>
      <c r="Q474" s="569"/>
      <c r="R474" s="569"/>
      <c r="S474" s="569"/>
      <c r="T474" s="569"/>
      <c r="U474" s="569"/>
      <c r="V474" s="570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hidden="1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68" t="s">
        <v>75</v>
      </c>
      <c r="Q475" s="569"/>
      <c r="R475" s="569"/>
      <c r="S475" s="569"/>
      <c r="T475" s="569"/>
      <c r="U475" s="569"/>
      <c r="V475" s="570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hidden="1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hidden="1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68" t="s">
        <v>75</v>
      </c>
      <c r="Q478" s="569"/>
      <c r="R478" s="569"/>
      <c r="S478" s="569"/>
      <c r="T478" s="569"/>
      <c r="U478" s="569"/>
      <c r="V478" s="570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hidden="1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68" t="s">
        <v>75</v>
      </c>
      <c r="Q479" s="569"/>
      <c r="R479" s="569"/>
      <c r="S479" s="569"/>
      <c r="T479" s="569"/>
      <c r="U479" s="569"/>
      <c r="V479" s="570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hidden="1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hidden="1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68" t="s">
        <v>75</v>
      </c>
      <c r="Q482" s="569"/>
      <c r="R482" s="569"/>
      <c r="S482" s="569"/>
      <c r="T482" s="569"/>
      <c r="U482" s="569"/>
      <c r="V482" s="570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hidden="1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68" t="s">
        <v>75</v>
      </c>
      <c r="Q483" s="569"/>
      <c r="R483" s="569"/>
      <c r="S483" s="569"/>
      <c r="T483" s="569"/>
      <c r="U483" s="569"/>
      <c r="V483" s="570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hidden="1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hidden="1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68" t="s">
        <v>75</v>
      </c>
      <c r="Q487" s="569"/>
      <c r="R487" s="569"/>
      <c r="S487" s="569"/>
      <c r="T487" s="569"/>
      <c r="U487" s="569"/>
      <c r="V487" s="570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hidden="1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68" t="s">
        <v>75</v>
      </c>
      <c r="Q488" s="569"/>
      <c r="R488" s="569"/>
      <c r="S488" s="569"/>
      <c r="T488" s="569"/>
      <c r="U488" s="569"/>
      <c r="V488" s="570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hidden="1" customHeight="1" x14ac:dyDescent="0.25">
      <c r="A489" s="576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hidden="1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hidden="1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6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68" t="s">
        <v>75</v>
      </c>
      <c r="Q492" s="569"/>
      <c r="R492" s="569"/>
      <c r="S492" s="569"/>
      <c r="T492" s="569"/>
      <c r="U492" s="569"/>
      <c r="V492" s="570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hidden="1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68" t="s">
        <v>75</v>
      </c>
      <c r="Q493" s="569"/>
      <c r="R493" s="569"/>
      <c r="S493" s="569"/>
      <c r="T493" s="569"/>
      <c r="U493" s="569"/>
      <c r="V493" s="570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65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66"/>
      <c r="P494" s="668" t="s">
        <v>750</v>
      </c>
      <c r="Q494" s="669"/>
      <c r="R494" s="669"/>
      <c r="S494" s="669"/>
      <c r="T494" s="669"/>
      <c r="U494" s="669"/>
      <c r="V494" s="670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7323.25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7347.9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66"/>
      <c r="P495" s="668" t="s">
        <v>751</v>
      </c>
      <c r="Q495" s="669"/>
      <c r="R495" s="669"/>
      <c r="S495" s="669"/>
      <c r="T495" s="669"/>
      <c r="U495" s="669"/>
      <c r="V495" s="670"/>
      <c r="W495" s="37" t="s">
        <v>69</v>
      </c>
      <c r="X495" s="553">
        <f>IFERROR(SUM(BM22:BM491),"0")</f>
        <v>8166.8583333333327</v>
      </c>
      <c r="Y495" s="553">
        <f>IFERROR(SUM(BN22:BN491),"0")</f>
        <v>8193.9219999999987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66"/>
      <c r="P496" s="668" t="s">
        <v>752</v>
      </c>
      <c r="Q496" s="669"/>
      <c r="R496" s="669"/>
      <c r="S496" s="669"/>
      <c r="T496" s="669"/>
      <c r="U496" s="669"/>
      <c r="V496" s="670"/>
      <c r="W496" s="37" t="s">
        <v>753</v>
      </c>
      <c r="X496" s="38">
        <f>ROUNDUP(SUM(BO22:BO491),0)</f>
        <v>17</v>
      </c>
      <c r="Y496" s="38">
        <f>ROUNDUP(SUM(BP22:BP491),0)</f>
        <v>18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66"/>
      <c r="P497" s="668" t="s">
        <v>754</v>
      </c>
      <c r="Q497" s="669"/>
      <c r="R497" s="669"/>
      <c r="S497" s="669"/>
      <c r="T497" s="669"/>
      <c r="U497" s="669"/>
      <c r="V497" s="670"/>
      <c r="W497" s="37" t="s">
        <v>69</v>
      </c>
      <c r="X497" s="553">
        <f>GrossWeightTotal+PalletQtyTotal*25</f>
        <v>8591.8583333333336</v>
      </c>
      <c r="Y497" s="553">
        <f>GrossWeightTotalR+PalletQtyTotalR*25</f>
        <v>8643.9219999999987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66"/>
      <c r="P498" s="668" t="s">
        <v>755</v>
      </c>
      <c r="Q498" s="669"/>
      <c r="R498" s="669"/>
      <c r="S498" s="669"/>
      <c r="T498" s="669"/>
      <c r="U498" s="669"/>
      <c r="V498" s="670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2868.3333333333335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2878</v>
      </c>
      <c r="Z498" s="37"/>
      <c r="AA498" s="554"/>
      <c r="AB498" s="554"/>
      <c r="AC498" s="554"/>
    </row>
    <row r="499" spans="1:32" ht="14.25" hidden="1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66"/>
      <c r="P499" s="668" t="s">
        <v>756</v>
      </c>
      <c r="Q499" s="669"/>
      <c r="R499" s="669"/>
      <c r="S499" s="669"/>
      <c r="T499" s="669"/>
      <c r="U499" s="669"/>
      <c r="V499" s="670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20.16919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5" t="s">
        <v>99</v>
      </c>
      <c r="D501" s="667"/>
      <c r="E501" s="667"/>
      <c r="F501" s="667"/>
      <c r="G501" s="667"/>
      <c r="H501" s="646"/>
      <c r="I501" s="605" t="s">
        <v>266</v>
      </c>
      <c r="J501" s="667"/>
      <c r="K501" s="667"/>
      <c r="L501" s="667"/>
      <c r="M501" s="667"/>
      <c r="N501" s="667"/>
      <c r="O501" s="667"/>
      <c r="P501" s="667"/>
      <c r="Q501" s="667"/>
      <c r="R501" s="646"/>
      <c r="S501" s="605" t="s">
        <v>556</v>
      </c>
      <c r="T501" s="646"/>
      <c r="U501" s="605" t="s">
        <v>610</v>
      </c>
      <c r="V501" s="667"/>
      <c r="W501" s="646"/>
      <c r="X501" s="548" t="s">
        <v>661</v>
      </c>
      <c r="Y501" s="605" t="s">
        <v>716</v>
      </c>
      <c r="Z501" s="646"/>
      <c r="AB501" s="52"/>
      <c r="AC501" s="52"/>
      <c r="AF501" s="549"/>
    </row>
    <row r="502" spans="1:32" ht="14.25" customHeight="1" thickTop="1" x14ac:dyDescent="0.2">
      <c r="A502" s="877" t="s">
        <v>759</v>
      </c>
      <c r="B502" s="605" t="s">
        <v>63</v>
      </c>
      <c r="C502" s="605" t="s">
        <v>100</v>
      </c>
      <c r="D502" s="605" t="s">
        <v>117</v>
      </c>
      <c r="E502" s="605" t="s">
        <v>168</v>
      </c>
      <c r="F502" s="605" t="s">
        <v>190</v>
      </c>
      <c r="G502" s="605" t="s">
        <v>227</v>
      </c>
      <c r="H502" s="605" t="s">
        <v>99</v>
      </c>
      <c r="I502" s="605" t="s">
        <v>267</v>
      </c>
      <c r="J502" s="605" t="s">
        <v>322</v>
      </c>
      <c r="K502" s="605" t="s">
        <v>382</v>
      </c>
      <c r="L502" s="605" t="s">
        <v>423</v>
      </c>
      <c r="M502" s="605" t="s">
        <v>439</v>
      </c>
      <c r="N502" s="549"/>
      <c r="O502" s="605" t="s">
        <v>450</v>
      </c>
      <c r="P502" s="605" t="s">
        <v>459</v>
      </c>
      <c r="Q502" s="605" t="s">
        <v>472</v>
      </c>
      <c r="R502" s="605" t="s">
        <v>546</v>
      </c>
      <c r="S502" s="605" t="s">
        <v>557</v>
      </c>
      <c r="T502" s="605" t="s">
        <v>592</v>
      </c>
      <c r="U502" s="605" t="s">
        <v>611</v>
      </c>
      <c r="V502" s="605" t="s">
        <v>642</v>
      </c>
      <c r="W502" s="605" t="s">
        <v>657</v>
      </c>
      <c r="X502" s="605" t="s">
        <v>661</v>
      </c>
      <c r="Y502" s="605" t="s">
        <v>716</v>
      </c>
      <c r="Z502" s="605" t="s">
        <v>746</v>
      </c>
      <c r="AB502" s="52"/>
      <c r="AC502" s="52"/>
      <c r="AF502" s="549"/>
    </row>
    <row r="503" spans="1:32" ht="13.5" customHeight="1" thickBot="1" x14ac:dyDescent="0.25">
      <c r="A503" s="878"/>
      <c r="B503" s="606"/>
      <c r="C503" s="606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549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203.4</v>
      </c>
      <c r="C504" s="46">
        <f>IFERROR(Y40*1,"0")+IFERROR(Y41*1,"0")+IFERROR(Y42*1,"0")+IFERROR(Y46*1,"0")</f>
        <v>477.6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948</v>
      </c>
      <c r="E504" s="46">
        <f>IFERROR(Y84*1,"0")+IFERROR(Y85*1,"0")+IFERROR(Y86*1,"0")+IFERROR(Y87*1,"0")+IFERROR(Y91*1,"0")+IFERROR(Y92*1,"0")+IFERROR(Y93*1,"0")+IFERROR(Y94*1,"0")</f>
        <v>0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328.5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420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544</v>
      </c>
      <c r="L504" s="46">
        <f>IFERROR(Y262*1,"0")+IFERROR(Y263*1,"0")+IFERROR(Y264*1,"0")+IFERROR(Y265*1,"0")+IFERROR(Y266*1,"0")</f>
        <v>272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511.2</v>
      </c>
      <c r="P504" s="46">
        <f>IFERROR(Y286*1,"0")+IFERROR(Y287*1,"0")+IFERROR(Y291*1,"0")+IFERROR(Y292*1,"0")</f>
        <v>360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780.7</v>
      </c>
      <c r="R504" s="46">
        <f>IFERROR(Y342*1,"0")+IFERROR(Y343*1,"0")+IFERROR(Y344*1,"0")</f>
        <v>447.3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572</v>
      </c>
      <c r="T504" s="46">
        <f>IFERROR(Y375*1,"0")+IFERROR(Y376*1,"0")+IFERROR(Y380*1,"0")+IFERROR(Y381*1,"0")+IFERROR(Y385*1,"0")+IFERROR(Y386*1,"0")+IFERROR(Y387*1,"0")</f>
        <v>0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1123.2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360</v>
      </c>
      <c r="Y504" s="46">
        <f>IFERROR(Y465*1,"0")+IFERROR(Y466*1,"0")+IFERROR(Y467*1,"0")+IFERROR(Y468*1,"0")+IFERROR(Y472*1,"0")+IFERROR(Y473*1,"0")+IFERROR(Y477*1,"0")+IFERROR(Y481*1,"0")+IFERROR(Y485*1,"0")+IFERROR(Y486*1,"0")</f>
        <v>0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2,50"/>
        <filter val="131,25"/>
        <filter val="135,00"/>
        <filter val="148,50"/>
        <filter val="157,50"/>
        <filter val="17"/>
        <filter val="175,00"/>
        <filter val="180,00"/>
        <filter val="187,50"/>
        <filter val="2 868,33"/>
        <filter val="202,50"/>
        <filter val="210,00"/>
        <filter val="212,50"/>
        <filter val="225,00"/>
        <filter val="236,25"/>
        <filter val="240,00"/>
        <filter val="270,00"/>
        <filter val="300,00"/>
        <filter val="33,75"/>
        <filter val="333,33"/>
        <filter val="360,00"/>
        <filter val="405,00"/>
        <filter val="418,50"/>
        <filter val="420,00"/>
        <filter val="438,75"/>
        <filter val="446,25"/>
        <filter val="510,00"/>
        <filter val="540,00"/>
        <filter val="60,00"/>
        <filter val="67,50"/>
        <filter val="7 323,25"/>
        <filter val="70,00"/>
        <filter val="700,00"/>
        <filter val="75,00"/>
        <filter val="8 166,86"/>
        <filter val="8 591,86"/>
      </filters>
    </filterColumn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U17:V17"/>
    <mergeCell ref="Y17:Y18"/>
    <mergeCell ref="D17:E18"/>
    <mergeCell ref="X17:X18"/>
    <mergeCell ref="N17:N18"/>
    <mergeCell ref="F17:F18"/>
    <mergeCell ref="A20:Z20"/>
    <mergeCell ref="A31:O32"/>
    <mergeCell ref="A33:Z33"/>
    <mergeCell ref="P91:T91"/>
    <mergeCell ref="A80:O81"/>
    <mergeCell ref="P105:V105"/>
    <mergeCell ref="A13:M13"/>
    <mergeCell ref="D87:E87"/>
    <mergeCell ref="D61:E61"/>
    <mergeCell ref="D331:E331"/>
    <mergeCell ref="D173:E173"/>
    <mergeCell ref="P71:T71"/>
    <mergeCell ref="P370:T370"/>
    <mergeCell ref="P199:T199"/>
    <mergeCell ref="A125:Z125"/>
    <mergeCell ref="D54:E54"/>
    <mergeCell ref="P101:T101"/>
    <mergeCell ref="P63:V63"/>
    <mergeCell ref="A192:Z19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D23:E23"/>
    <mergeCell ref="P344:T344"/>
    <mergeCell ref="D265:E265"/>
    <mergeCell ref="D216:E216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P145:V145"/>
    <mergeCell ref="A231:Z231"/>
    <mergeCell ref="P283:V283"/>
    <mergeCell ref="D271:E271"/>
    <mergeCell ref="P483:V483"/>
    <mergeCell ref="D298:E298"/>
    <mergeCell ref="D273:E273"/>
    <mergeCell ref="P156:T156"/>
    <mergeCell ref="P123:V123"/>
    <mergeCell ref="P440:T440"/>
    <mergeCell ref="P179:T179"/>
    <mergeCell ref="P326:V326"/>
    <mergeCell ref="P457:V457"/>
    <mergeCell ref="P393:T393"/>
    <mergeCell ref="P330:T330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492:V492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P461:V461"/>
    <mergeCell ref="P324:T324"/>
    <mergeCell ref="A441:O442"/>
    <mergeCell ref="A261:Z261"/>
    <mergeCell ref="P338:V338"/>
    <mergeCell ref="P313:V313"/>
    <mergeCell ref="P320:V320"/>
    <mergeCell ref="P447:V447"/>
    <mergeCell ref="A443:Z443"/>
    <mergeCell ref="P387:T387"/>
    <mergeCell ref="D433:E433"/>
    <mergeCell ref="D262:E262"/>
    <mergeCell ref="P372:V372"/>
    <mergeCell ref="P385:T385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