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E83C33-ED0A-4B2D-B123-3B0D1B4C164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Z268" i="1" s="1"/>
  <c r="BP307" i="1"/>
  <c r="BN307" i="1"/>
  <c r="Z307" i="1"/>
  <c r="BP335" i="1"/>
  <c r="BN335" i="1"/>
  <c r="Z335" i="1"/>
  <c r="Z338" i="1" s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F9" i="1"/>
  <c r="J9" i="1"/>
  <c r="F10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07" i="1" l="1"/>
  <c r="Z332" i="1"/>
  <c r="Z259" i="1"/>
  <c r="Z479" i="1"/>
  <c r="Z367" i="1"/>
  <c r="Z145" i="1"/>
  <c r="Z96" i="1"/>
  <c r="Z89" i="1"/>
  <c r="Z76" i="1"/>
  <c r="Z69" i="1"/>
  <c r="Z58" i="1"/>
  <c r="Z345" i="1"/>
  <c r="Z230" i="1"/>
  <c r="Z134" i="1"/>
  <c r="Z357" i="1"/>
  <c r="Z243" i="1"/>
  <c r="Z456" i="1"/>
  <c r="Z303" i="1"/>
  <c r="Z119" i="1"/>
  <c r="Z105" i="1"/>
  <c r="Y497" i="1"/>
  <c r="Y496" i="1"/>
  <c r="Y498" i="1" s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<sst xmlns="http://schemas.openxmlformats.org/spreadsheetml/2006/main" count="2245" uniqueCount="782">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</sst>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topLeftCell="A351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46039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77</v>
      </c>
      <c r="Y41" s="554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79.923148148148144</v>
      </c>
      <c r="BN41" s="64">
        <f>IFERROR(Y41*I41/H41,"0")</f>
        <v>89.68</v>
      </c>
      <c r="BO41" s="64">
        <f>IFERROR(1/J41*(X41/H41),"0")</f>
        <v>0.11140046296296295</v>
      </c>
      <c r="BP41" s="64">
        <f>IFERROR(1/J41*(Y41/H41),"0")</f>
        <v>0.125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7.1296296296296289</v>
      </c>
      <c r="Y44" s="555">
        <f>IFERROR(Y41/H41,"0")+IFERROR(Y42/H42,"0")+IFERROR(Y43/H43,"0")</f>
        <v>8</v>
      </c>
      <c r="Z44" s="555">
        <f>IFERROR(IF(Z41="",0,Z41),"0")+IFERROR(IF(Z42="",0,Z42),"0")+IFERROR(IF(Z43="",0,Z43),"0")</f>
        <v>0.15184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77</v>
      </c>
      <c r="Y45" s="555">
        <f>IFERROR(SUM(Y41:Y43),"0")</f>
        <v>86.4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114</v>
      </c>
      <c r="B47" s="54" t="s">
        <v>115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118</v>
      </c>
      <c r="B52" s="54" t="s">
        <v>119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124</v>
      </c>
      <c r="B54" s="54" t="s">
        <v>125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127</v>
      </c>
      <c r="B55" s="54" t="s">
        <v>128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137</v>
      </c>
      <c r="B61" s="54" t="s">
        <v>138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140</v>
      </c>
      <c r="B62" s="54" t="s">
        <v>141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142</v>
      </c>
      <c r="B63" s="54" t="s">
        <v>143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144</v>
      </c>
      <c r="B67" s="54" t="s">
        <v>145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169</v>
      </c>
      <c r="B85" s="54" t="s">
        <v>170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62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65.781234567901237</v>
      </c>
      <c r="BN92" s="64">
        <f>IFERROR(Y92*I92/H92,"0")</f>
        <v>68.751999999999995</v>
      </c>
      <c r="BO92" s="64">
        <f>IFERROR(1/J92*(X92/H92),"0")</f>
        <v>0.11959876543209877</v>
      </c>
      <c r="BP92" s="64">
        <f>IFERROR(1/J92*(Y92/H92),"0")</f>
        <v>0.125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185</v>
      </c>
      <c r="B94" s="54" t="s">
        <v>186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25</v>
      </c>
      <c r="Y94" s="554">
        <f>IFERROR(IF(X94="",0,CEILING((X94/$H94),1)*$H94),"")</f>
        <v>27</v>
      </c>
      <c r="Z94" s="36">
        <f>IFERROR(IF(Y94=0,"",ROUNDUP(Y94/H94,0)*0.00651),"")</f>
        <v>6.5100000000000005E-2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27.333333333333332</v>
      </c>
      <c r="BN94" s="64">
        <f>IFERROR(Y94*I94/H94,"0")</f>
        <v>29.519999999999996</v>
      </c>
      <c r="BO94" s="64">
        <f>IFERROR(1/J94*(X94/H94),"0")</f>
        <v>5.0875050875050877E-2</v>
      </c>
      <c r="BP94" s="64">
        <f>IFERROR(1/J94*(Y94/H94),"0")</f>
        <v>5.4945054945054951E-2</v>
      </c>
    </row>
    <row r="95" spans="1:68" ht="16.5" hidden="1" customHeight="1" x14ac:dyDescent="0.25">
      <c r="A95" s="54" t="s">
        <v>187</v>
      </c>
      <c r="B95" s="54" t="s">
        <v>188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16.913580246913583</v>
      </c>
      <c r="Y96" s="555">
        <f>IFERROR(Y92/H92,"0")+IFERROR(Y93/H93,"0")+IFERROR(Y94/H94,"0")+IFERROR(Y95/H95,"0")</f>
        <v>18</v>
      </c>
      <c r="Z96" s="555">
        <f>IFERROR(IF(Z92="",0,Z92),"0")+IFERROR(IF(Z93="",0,Z93),"0")+IFERROR(IF(Z94="",0,Z94),"0")+IFERROR(IF(Z95="",0,Z95),"0")</f>
        <v>0.21694000000000002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87</v>
      </c>
      <c r="Y97" s="555">
        <f>IFERROR(SUM(Y92:Y95),"0")</f>
        <v>91.8</v>
      </c>
      <c r="Z97" s="37"/>
      <c r="AA97" s="556"/>
      <c r="AB97" s="556"/>
      <c r="AC97" s="556"/>
    </row>
    <row r="98" spans="1:68" ht="16.5" hidden="1" customHeight="1" x14ac:dyDescent="0.25">
      <c r="A98" s="578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191</v>
      </c>
      <c r="B100" s="54" t="s">
        <v>192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194</v>
      </c>
      <c r="B101" s="54" t="s">
        <v>195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199</v>
      </c>
      <c r="B103" s="54" t="s">
        <v>200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6</v>
      </c>
      <c r="Y108" s="554">
        <f>IFERROR(IF(X108="",0,CEILING((X108/$H108),1)*$H108),"")</f>
        <v>10.8</v>
      </c>
      <c r="Z108" s="36">
        <f>IFERROR(IF(Y108=0,"",ROUNDUP(Y108/H108,0)*0.01898),"")</f>
        <v>1.898E-2</v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6.2277777777777779</v>
      </c>
      <c r="BN108" s="64">
        <f>IFERROR(Y108*I108/H108,"0")</f>
        <v>11.21</v>
      </c>
      <c r="BO108" s="64">
        <f>IFERROR(1/J108*(X108/H108),"0")</f>
        <v>8.6805555555555542E-3</v>
      </c>
      <c r="BP108" s="64">
        <f>IFERROR(1/J108*(Y108/H108),"0")</f>
        <v>1.5625E-2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0.55555555555555547</v>
      </c>
      <c r="Y112" s="555">
        <f>IFERROR(Y108/H108,"0")+IFERROR(Y109/H109,"0")+IFERROR(Y110/H110,"0")+IFERROR(Y111/H111,"0")</f>
        <v>1</v>
      </c>
      <c r="Z112" s="555">
        <f>IFERROR(IF(Z108="",0,Z108),"0")+IFERROR(IF(Z109="",0,Z109),"0")+IFERROR(IF(Z110="",0,Z110),"0")+IFERROR(IF(Z111="",0,Z111),"0")</f>
        <v>1.898E-2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6</v>
      </c>
      <c r="Y113" s="555">
        <f>IFERROR(SUM(Y108:Y111),"0")</f>
        <v>10.8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81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85.88</v>
      </c>
      <c r="BN115" s="64">
        <f>IFERROR(Y115*I115/H115,"0")</f>
        <v>85.88</v>
      </c>
      <c r="BO115" s="64">
        <f>IFERROR(1/J115*(X115/H115),"0")</f>
        <v>0.15625</v>
      </c>
      <c r="BP115" s="64">
        <f>IFERROR(1/J115*(Y115/H115),"0")</f>
        <v>0.15625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19</v>
      </c>
      <c r="Y117" s="554">
        <f>IFERROR(IF(X117="",0,CEILING((X117/$H117),1)*$H117),"")</f>
        <v>21.6</v>
      </c>
      <c r="Z117" s="36">
        <f>IFERROR(IF(Y117=0,"",ROUNDUP(Y117/H117,0)*0.00651),"")</f>
        <v>5.2080000000000001E-2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20.773333333333333</v>
      </c>
      <c r="BN117" s="64">
        <f>IFERROR(Y117*I117/H117,"0")</f>
        <v>23.616</v>
      </c>
      <c r="BO117" s="64">
        <f>IFERROR(1/J117*(X117/H117),"0")</f>
        <v>3.8665038665038662E-2</v>
      </c>
      <c r="BP117" s="64">
        <f>IFERROR(1/J117*(Y117/H117),"0")</f>
        <v>4.3956043956043959E-2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17.037037037037038</v>
      </c>
      <c r="Y119" s="555">
        <f>IFERROR(Y115/H115,"0")+IFERROR(Y116/H116,"0")+IFERROR(Y117/H117,"0")+IFERROR(Y118/H118,"0")</f>
        <v>18</v>
      </c>
      <c r="Z119" s="555">
        <f>IFERROR(IF(Z115="",0,Z115),"0")+IFERROR(IF(Z116="",0,Z116),"0")+IFERROR(IF(Z117="",0,Z117),"0")+IFERROR(IF(Z118="",0,Z118),"0")</f>
        <v>0.24187999999999998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100</v>
      </c>
      <c r="Y120" s="555">
        <f>IFERROR(SUM(Y115:Y118),"0")</f>
        <v>102.6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92</v>
      </c>
      <c r="Y171" s="554">
        <f t="shared" si="10"/>
        <v>92.4</v>
      </c>
      <c r="Z171" s="36">
        <f>IFERROR(IF(Y171=0,"",ROUNDUP(Y171/H171,0)*0.00902),"")</f>
        <v>0.19844000000000001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96.161904761904751</v>
      </c>
      <c r="BN171" s="64">
        <f t="shared" si="12"/>
        <v>96.579999999999984</v>
      </c>
      <c r="BO171" s="64">
        <f t="shared" si="13"/>
        <v>0.16594516594516595</v>
      </c>
      <c r="BP171" s="64">
        <f t="shared" si="14"/>
        <v>0.16666666666666669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18</v>
      </c>
      <c r="Y173" s="554">
        <f t="shared" si="10"/>
        <v>18.900000000000002</v>
      </c>
      <c r="Z173" s="36">
        <f>IFERROR(IF(Y173=0,"",ROUNDUP(Y173/H173,0)*0.00502),"")</f>
        <v>4.5179999999999998E-2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19.114285714285714</v>
      </c>
      <c r="BN173" s="64">
        <f t="shared" si="12"/>
        <v>20.07</v>
      </c>
      <c r="BO173" s="64">
        <f t="shared" si="13"/>
        <v>3.6630036630036632E-2</v>
      </c>
      <c r="BP173" s="64">
        <f t="shared" si="14"/>
        <v>3.8461538461538464E-2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14</v>
      </c>
      <c r="Y176" s="554">
        <f t="shared" si="10"/>
        <v>14.4</v>
      </c>
      <c r="Z176" s="36">
        <f>IFERROR(IF(Y176=0,"",ROUNDUP(Y176/H176,0)*0.00502),"")</f>
        <v>4.0160000000000001E-2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15.011111111111111</v>
      </c>
      <c r="BN176" s="64">
        <f t="shared" si="12"/>
        <v>15.439999999999998</v>
      </c>
      <c r="BO176" s="64">
        <f t="shared" si="13"/>
        <v>3.3238366571699908E-2</v>
      </c>
      <c r="BP176" s="64">
        <f t="shared" si="14"/>
        <v>3.4188034188034191E-2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38.253968253968253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0.28378000000000003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124</v>
      </c>
      <c r="Y182" s="555">
        <f>IFERROR(SUM(Y167:Y180),"0")</f>
        <v>125.70000000000002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30</v>
      </c>
      <c r="Y209" s="554">
        <f t="shared" si="15"/>
        <v>30.6</v>
      </c>
      <c r="Z209" s="36">
        <f>IFERROR(IF(Y209=0,"",ROUNDUP(Y209/H209,0)*0.00502),"")</f>
        <v>8.5339999999999999E-2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32.166666666666664</v>
      </c>
      <c r="BN209" s="64">
        <f t="shared" si="17"/>
        <v>32.81</v>
      </c>
      <c r="BO209" s="64">
        <f t="shared" si="18"/>
        <v>7.122507122507124E-2</v>
      </c>
      <c r="BP209" s="64">
        <f t="shared" si="19"/>
        <v>7.2649572649572655E-2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16.666666666666668</v>
      </c>
      <c r="Y213" s="555">
        <f>IFERROR(Y205/H205,"0")+IFERROR(Y206/H206,"0")+IFERROR(Y207/H207,"0")+IFERROR(Y208/H208,"0")+IFERROR(Y209/H209,"0")+IFERROR(Y210/H210,"0")+IFERROR(Y211/H211,"0")+IFERROR(Y212/H212,"0")</f>
        <v>17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8.5339999999999999E-2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30</v>
      </c>
      <c r="Y214" s="555">
        <f>IFERROR(SUM(Y205:Y212),"0")</f>
        <v>30.6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69</v>
      </c>
      <c r="Y219" s="554">
        <f t="shared" si="20"/>
        <v>69.599999999999994</v>
      </c>
      <c r="Z219" s="36">
        <f t="shared" ref="Z219:Z224" si="25">IFERROR(IF(Y219=0,"",ROUNDUP(Y219/H219,0)*0.00651),"")</f>
        <v>0.18879000000000001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76.762500000000003</v>
      </c>
      <c r="BN219" s="64">
        <f t="shared" si="22"/>
        <v>77.430000000000007</v>
      </c>
      <c r="BO219" s="64">
        <f t="shared" si="23"/>
        <v>0.15796703296703299</v>
      </c>
      <c r="BP219" s="64">
        <f t="shared" si="24"/>
        <v>0.15934065934065936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54</v>
      </c>
      <c r="Y221" s="554">
        <f t="shared" si="20"/>
        <v>55.199999999999996</v>
      </c>
      <c r="Z221" s="36">
        <f t="shared" si="25"/>
        <v>0.14973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59.67</v>
      </c>
      <c r="BN221" s="64">
        <f t="shared" si="22"/>
        <v>60.996000000000002</v>
      </c>
      <c r="BO221" s="64">
        <f t="shared" si="23"/>
        <v>0.12362637362637363</v>
      </c>
      <c r="BP221" s="64">
        <f t="shared" si="24"/>
        <v>0.1263736263736264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30</v>
      </c>
      <c r="Y222" s="554">
        <f t="shared" si="20"/>
        <v>31.2</v>
      </c>
      <c r="Z222" s="36">
        <f t="shared" si="25"/>
        <v>8.4629999999999997E-2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33.150000000000006</v>
      </c>
      <c r="BN222" s="64">
        <f t="shared" si="22"/>
        <v>34.476000000000006</v>
      </c>
      <c r="BO222" s="64">
        <f t="shared" si="23"/>
        <v>6.8681318681318687E-2</v>
      </c>
      <c r="BP222" s="64">
        <f t="shared" si="24"/>
        <v>7.1428571428571438E-2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10</v>
      </c>
      <c r="Y224" s="554">
        <f t="shared" si="20"/>
        <v>12</v>
      </c>
      <c r="Z224" s="36">
        <f t="shared" si="25"/>
        <v>3.2550000000000003E-2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11.074999999999999</v>
      </c>
      <c r="BN224" s="64">
        <f t="shared" si="22"/>
        <v>13.290000000000001</v>
      </c>
      <c r="BO224" s="64">
        <f t="shared" si="23"/>
        <v>2.2893772893772896E-2</v>
      </c>
      <c r="BP224" s="64">
        <f t="shared" si="24"/>
        <v>2.7472527472527476E-2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67.916666666666671</v>
      </c>
      <c r="Y225" s="555">
        <f>IFERROR(Y216/H216,"0")+IFERROR(Y217/H217,"0")+IFERROR(Y218/H218,"0")+IFERROR(Y219/H219,"0")+IFERROR(Y220/H220,"0")+IFERROR(Y221/H221,"0")+IFERROR(Y222/H222,"0")+IFERROR(Y223/H223,"0")+IFERROR(Y224/H224,"0")</f>
        <v>70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0.45570000000000005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163</v>
      </c>
      <c r="Y226" s="555">
        <f>IFERROR(SUM(Y216:Y224),"0")</f>
        <v>167.99999999999997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24</v>
      </c>
      <c r="Y228" s="554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10</v>
      </c>
      <c r="Y230" s="555">
        <f>IFERROR(Y228/H228,"0")+IFERROR(Y229/H229,"0")</f>
        <v>10</v>
      </c>
      <c r="Z230" s="555">
        <f>IFERROR(IF(Z228="",0,Z228),"0")+IFERROR(IF(Z229="",0,Z229),"0")</f>
        <v>6.5100000000000005E-2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24</v>
      </c>
      <c r="Y231" s="555">
        <f>IFERROR(SUM(Y228:Y229),"0")</f>
        <v>24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18</v>
      </c>
      <c r="Y311" s="554">
        <f t="shared" si="31"/>
        <v>18</v>
      </c>
      <c r="Z311" s="36">
        <f>IFERROR(IF(Y311=0,"",ROUNDUP(Y311/H311,0)*0.00651),"")</f>
        <v>6.5100000000000005E-2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20.279999999999998</v>
      </c>
      <c r="BN311" s="64">
        <f t="shared" si="33"/>
        <v>20.279999999999998</v>
      </c>
      <c r="BO311" s="64">
        <f t="shared" si="34"/>
        <v>5.4945054945054951E-2</v>
      </c>
      <c r="BP311" s="64">
        <f t="shared" si="35"/>
        <v>5.4945054945054951E-2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10</v>
      </c>
      <c r="Y312" s="555">
        <f>IFERROR(Y306/H306,"0")+IFERROR(Y307/H307,"0")+IFERROR(Y308/H308,"0")+IFERROR(Y309/H309,"0")+IFERROR(Y310/H310,"0")+IFERROR(Y311/H311,"0")</f>
        <v>10</v>
      </c>
      <c r="Z312" s="555">
        <f>IFERROR(IF(Z306="",0,Z306),"0")+IFERROR(IF(Z307="",0,Z307),"0")+IFERROR(IF(Z308="",0,Z308),"0")+IFERROR(IF(Z309="",0,Z309),"0")+IFERROR(IF(Z310="",0,Z310),"0")+IFERROR(IF(Z311="",0,Z311),"0")</f>
        <v>6.5100000000000005E-2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18</v>
      </c>
      <c r="Y313" s="555">
        <f>IFERROR(SUM(Y306:Y311),"0")</f>
        <v>18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133</v>
      </c>
      <c r="Y323" s="554">
        <f>IFERROR(IF(X323="",0,CEILING((X323/$H323),1)*$H323),"")</f>
        <v>140.4</v>
      </c>
      <c r="Z323" s="36">
        <f>IFERROR(IF(Y323=0,"",ROUNDUP(Y323/H323,0)*0.01898),"")</f>
        <v>0.34164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141.42333333333335</v>
      </c>
      <c r="BN323" s="64">
        <f>IFERROR(Y323*I323/H323,"0")</f>
        <v>149.29200000000003</v>
      </c>
      <c r="BO323" s="64">
        <f>IFERROR(1/J323*(X323/H323),"0")</f>
        <v>0.26642628205128205</v>
      </c>
      <c r="BP323" s="64">
        <f>IFERROR(1/J323*(Y323/H323),"0")</f>
        <v>0.28125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17.051282051282051</v>
      </c>
      <c r="Y325" s="555">
        <f>IFERROR(Y322/H322,"0")+IFERROR(Y323/H323,"0")+IFERROR(Y324/H324,"0")</f>
        <v>18</v>
      </c>
      <c r="Z325" s="555">
        <f>IFERROR(IF(Z322="",0,Z322),"0")+IFERROR(IF(Z323="",0,Z323),"0")+IFERROR(IF(Z324="",0,Z324),"0")</f>
        <v>0.34164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133</v>
      </c>
      <c r="Y326" s="555">
        <f>IFERROR(SUM(Y322:Y324),"0")</f>
        <v>140.4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hidden="1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22</v>
      </c>
      <c r="Y351" s="554">
        <f t="shared" si="36"/>
        <v>30</v>
      </c>
      <c r="Z351" s="36">
        <f>IFERROR(IF(Y351=0,"",ROUNDUP(Y351/H351,0)*0.02175),"")</f>
        <v>4.3499999999999997E-2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22.689333333333334</v>
      </c>
      <c r="BN351" s="64">
        <f t="shared" si="38"/>
        <v>30.94</v>
      </c>
      <c r="BO351" s="64">
        <f t="shared" si="39"/>
        <v>3.0555555555555551E-2</v>
      </c>
      <c r="BP351" s="64">
        <f t="shared" si="40"/>
        <v>4.1666666666666664E-2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350</v>
      </c>
      <c r="Y353" s="554">
        <f t="shared" si="36"/>
        <v>360</v>
      </c>
      <c r="Z353" s="36">
        <f>IFERROR(IF(Y353=0,"",ROUNDUP(Y353/H353,0)*0.02175),"")</f>
        <v>0.52200000000000002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360.96666666666664</v>
      </c>
      <c r="BN353" s="64">
        <f t="shared" si="38"/>
        <v>371.28</v>
      </c>
      <c r="BO353" s="64">
        <f t="shared" si="39"/>
        <v>0.48611111111111105</v>
      </c>
      <c r="BP353" s="64">
        <f t="shared" si="40"/>
        <v>0.5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24.799999999999997</v>
      </c>
      <c r="Y357" s="555">
        <f>IFERROR(Y350/H350,"0")+IFERROR(Y351/H351,"0")+IFERROR(Y352/H352,"0")+IFERROR(Y353/H353,"0")+IFERROR(Y354/H354,"0")+IFERROR(Y355/H355,"0")+IFERROR(Y356/H356,"0")</f>
        <v>26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0.5655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372</v>
      </c>
      <c r="Y358" s="555">
        <f>IFERROR(SUM(Y350:Y356),"0")</f>
        <v>390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20</v>
      </c>
      <c r="Y370" s="554">
        <f>IFERROR(IF(X370="",0,CEILING((X370/$H370),1)*$H370),"")</f>
        <v>27</v>
      </c>
      <c r="Z370" s="36">
        <f>IFERROR(IF(Y370=0,"",ROUNDUP(Y370/H370,0)*0.01898),"")</f>
        <v>5.6940000000000004E-2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21.097777777777779</v>
      </c>
      <c r="BN370" s="64">
        <f>IFERROR(Y370*I370/H370,"0")</f>
        <v>28.481999999999996</v>
      </c>
      <c r="BO370" s="64">
        <f>IFERROR(1/J370*(X370/H370),"0")</f>
        <v>3.4722222222222224E-2</v>
      </c>
      <c r="BP370" s="64">
        <f>IFERROR(1/J370*(Y370/H370),"0")</f>
        <v>4.6875E-2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2.2222222222222223</v>
      </c>
      <c r="Y371" s="555">
        <f>IFERROR(Y370/H370,"0")</f>
        <v>3</v>
      </c>
      <c r="Z371" s="555">
        <f>IFERROR(IF(Z370="",0,Z370),"0")</f>
        <v>5.6940000000000004E-2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20</v>
      </c>
      <c r="Y372" s="555">
        <f>IFERROR(SUM(Y370:Y370),"0")</f>
        <v>27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118</v>
      </c>
      <c r="Y385" s="554">
        <f>IFERROR(IF(X385="",0,CEILING((X385/$H385),1)*$H385),"")</f>
        <v>126</v>
      </c>
      <c r="Z385" s="36">
        <f>IFERROR(IF(Y385=0,"",ROUNDUP(Y385/H385,0)*0.01898),"")</f>
        <v>0.26572000000000001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124.47688888888888</v>
      </c>
      <c r="BN385" s="64">
        <f>IFERROR(Y385*I385/H385,"0")</f>
        <v>132.916</v>
      </c>
      <c r="BO385" s="64">
        <f>IFERROR(1/J385*(X385/H385),"0")</f>
        <v>0.2048611111111111</v>
      </c>
      <c r="BP385" s="64">
        <f>IFERROR(1/J385*(Y385/H385),"0")</f>
        <v>0.21875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13.111111111111111</v>
      </c>
      <c r="Y388" s="555">
        <f>IFERROR(Y385/H385,"0")+IFERROR(Y386/H386,"0")+IFERROR(Y387/H387,"0")</f>
        <v>14</v>
      </c>
      <c r="Z388" s="555">
        <f>IFERROR(IF(Z385="",0,Z385),"0")+IFERROR(IF(Z386="",0,Z386),"0")+IFERROR(IF(Z387="",0,Z387),"0")</f>
        <v>0.26572000000000001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118</v>
      </c>
      <c r="Y389" s="555">
        <f>IFERROR(SUM(Y385:Y387),"0")</f>
        <v>126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15</v>
      </c>
      <c r="Y429" s="554">
        <f t="shared" ref="Y429:Y440" si="47">IFERROR(IF(X429="",0,CEILING((X429/$H429),1)*$H429),"")</f>
        <v>15.84</v>
      </c>
      <c r="Z429" s="36">
        <f t="shared" ref="Z429:Z435" si="48">IFERROR(IF(Y429=0,"",ROUNDUP(Y429/H429,0)*0.01196),"")</f>
        <v>3.5880000000000002E-2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15.994318181818182</v>
      </c>
      <c r="BN429" s="64">
        <f t="shared" ref="BN429:BN440" si="50">IFERROR(Y429*I429/H429,"0")</f>
        <v>16.889999999999997</v>
      </c>
      <c r="BO429" s="64">
        <f t="shared" ref="BO429:BO440" si="51">IFERROR(1/J429*(X429/H429),"0")</f>
        <v>2.7316433566433568E-2</v>
      </c>
      <c r="BP429" s="64">
        <f t="shared" ref="BP429:BP440" si="52">IFERROR(1/J429*(Y429/H429),"0")</f>
        <v>2.8846153846153848E-2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6</v>
      </c>
      <c r="Y432" s="554">
        <f t="shared" si="47"/>
        <v>10.56</v>
      </c>
      <c r="Z432" s="36">
        <f t="shared" si="48"/>
        <v>2.392E-2</v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6.3977272727272725</v>
      </c>
      <c r="BN432" s="64">
        <f t="shared" si="50"/>
        <v>11.26</v>
      </c>
      <c r="BO432" s="64">
        <f t="shared" si="51"/>
        <v>1.0926573426573426E-2</v>
      </c>
      <c r="BP432" s="64">
        <f t="shared" si="52"/>
        <v>1.9230769230769232E-2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3.9772727272727271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5.9800000000000006E-2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21</v>
      </c>
      <c r="Y442" s="555">
        <f>IFERROR(SUM(Y429:Y440),"0")</f>
        <v>26.4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120</v>
      </c>
      <c r="Y482" s="554">
        <f>IFERROR(IF(X482="",0,CEILING((X482/$H482),1)*$H482),"")</f>
        <v>126</v>
      </c>
      <c r="Z482" s="36">
        <f>IFERROR(IF(Y482=0,"",ROUNDUP(Y482/H482,0)*0.01898),"")</f>
        <v>0.26572000000000001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126.58666666666666</v>
      </c>
      <c r="BN482" s="64">
        <f>IFERROR(Y482*I482/H482,"0")</f>
        <v>132.916</v>
      </c>
      <c r="BO482" s="64">
        <f>IFERROR(1/J482*(X482/H482),"0")</f>
        <v>0.20833333333333334</v>
      </c>
      <c r="BP482" s="64">
        <f>IFERROR(1/J482*(Y482/H482),"0")</f>
        <v>0.21875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13.333333333333334</v>
      </c>
      <c r="Y483" s="555">
        <f>IFERROR(Y482/H482,"0")</f>
        <v>14</v>
      </c>
      <c r="Z483" s="555">
        <f>IFERROR(IF(Z482="",0,Z482),"0")</f>
        <v>0.26572000000000001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120</v>
      </c>
      <c r="Y484" s="555">
        <f>IFERROR(SUM(Y482:Y482),"0")</f>
        <v>126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1413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1493.7000000000003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1495.463007535674</v>
      </c>
      <c r="Y496" s="555">
        <f>IFERROR(SUM(BN22:BN492),"0")</f>
        <v>1580.5259999999998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1570.463007535674</v>
      </c>
      <c r="Y498" s="555">
        <f>GrossWeightTotalR+PalletQtyTotalR*25</f>
        <v>1655.5259999999998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258.96832550165885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271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3.13998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117</v>
      </c>
      <c r="E503" s="595" t="s">
        <v>168</v>
      </c>
      <c r="F503" s="595" t="s">
        <v>190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86.4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91.8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113.4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125.70000000000002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222.59999999999997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158.4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417</v>
      </c>
      <c r="T505" s="46">
        <f>IFERROR(Y375*1,"0")+IFERROR(Y376*1,"0")+IFERROR(Y380*1,"0")+IFERROR(Y381*1,"0")+IFERROR(Y385*1,"0")+IFERROR(Y386*1,"0")+IFERROR(Y387*1,"0")</f>
        <v>126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26.4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126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413,00"/>
        <filter val="1 495,46"/>
        <filter val="1 570,46"/>
        <filter val="10,00"/>
        <filter val="100,00"/>
        <filter val="118,00"/>
        <filter val="120,00"/>
        <filter val="124,00"/>
        <filter val="13,11"/>
        <filter val="13,33"/>
        <filter val="133,00"/>
        <filter val="14,00"/>
        <filter val="15,00"/>
        <filter val="16,67"/>
        <filter val="16,91"/>
        <filter val="163,00"/>
        <filter val="17,04"/>
        <filter val="17,05"/>
        <filter val="18,00"/>
        <filter val="19,00"/>
        <filter val="2,22"/>
        <filter val="20,00"/>
        <filter val="21,00"/>
        <filter val="22,00"/>
        <filter val="24,00"/>
        <filter val="24,80"/>
        <filter val="25,00"/>
        <filter val="258,97"/>
        <filter val="3"/>
        <filter val="3,98"/>
        <filter val="30,00"/>
        <filter val="350,00"/>
        <filter val="372,00"/>
        <filter val="38,25"/>
        <filter val="54,00"/>
        <filter val="6,00"/>
        <filter val="62,00"/>
        <filter val="67,92"/>
        <filter val="69,00"/>
        <filter val="7,13"/>
        <filter val="77,00"/>
        <filter val="81,00"/>
        <filter val="87,00"/>
        <filter val="92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2026-01-14T12:08:59Z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