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15E8465-FEC8-4DD2-9838-BC36EC9166E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Z63" i="1"/>
  <c r="BN63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19" i="1" l="1"/>
  <c r="Z289" i="1"/>
  <c r="Z276" i="1"/>
  <c r="Z377" i="1"/>
  <c r="Z187" i="1"/>
  <c r="Z129" i="1"/>
  <c r="Z64" i="1"/>
  <c r="Y496" i="1"/>
  <c r="Z388" i="1"/>
  <c r="Z357" i="1"/>
  <c r="Z243" i="1"/>
  <c r="Z456" i="1"/>
  <c r="Y497" i="1"/>
  <c r="Z119" i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Y499" i="1"/>
  <c r="X498" i="1"/>
  <c r="Y495" i="1"/>
  <c r="Z500" i="1" l="1"/>
  <c r="Y498" i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<sst xmlns="http://schemas.openxmlformats.org/spreadsheetml/2006/main" count="2319" uniqueCount="782">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</sst>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100</v>
      </c>
      <c r="Y41" s="554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200</v>
      </c>
      <c r="Y43" s="554">
        <f>IFERROR(IF(X43="",0,CEILING((X43/$H43),1)*$H43),"")</f>
        <v>200</v>
      </c>
      <c r="Z43" s="36">
        <f>IFERROR(IF(Y43=0,"",ROUNDUP(Y43/H43,0)*0.00902),"")</f>
        <v>0.45100000000000001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209.50000000000003</v>
      </c>
      <c r="BN43" s="64">
        <f>IFERROR(Y43*I43/H43,"0")</f>
        <v>209.50000000000003</v>
      </c>
      <c r="BO43" s="64">
        <f>IFERROR(1/J43*(X43/H43),"0")</f>
        <v>0.37878787878787878</v>
      </c>
      <c r="BP43" s="64">
        <f>IFERROR(1/J43*(Y43/H43),"0")</f>
        <v>0.37878787878787878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59.25925925925926</v>
      </c>
      <c r="Y44" s="555">
        <f>IFERROR(Y41/H41,"0")+IFERROR(Y42/H42,"0")+IFERROR(Y43/H43,"0")</f>
        <v>60</v>
      </c>
      <c r="Z44" s="555">
        <f>IFERROR(IF(Z41="",0,Z41),"0")+IFERROR(IF(Z42="",0,Z42),"0")+IFERROR(IF(Z43="",0,Z43),"0")</f>
        <v>0.64080000000000004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300</v>
      </c>
      <c r="Y45" s="555">
        <f>IFERROR(SUM(Y41:Y43),"0")</f>
        <v>308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300</v>
      </c>
      <c r="Y53" s="554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405</v>
      </c>
      <c r="Y57" s="554">
        <f t="shared" si="0"/>
        <v>405</v>
      </c>
      <c r="Z57" s="36">
        <f>IFERROR(IF(Y57=0,"",ROUNDUP(Y57/H57,0)*0.00902),"")</f>
        <v>0.81180000000000008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422.1</v>
      </c>
      <c r="BN57" s="64">
        <f t="shared" si="2"/>
        <v>422.1</v>
      </c>
      <c r="BO57" s="64">
        <f t="shared" si="3"/>
        <v>0.68181818181818188</v>
      </c>
      <c r="BP57" s="64">
        <f t="shared" si="4"/>
        <v>0.68181818181818188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117.77777777777777</v>
      </c>
      <c r="Y58" s="555">
        <f>IFERROR(Y52/H52,"0")+IFERROR(Y53/H53,"0")+IFERROR(Y54/H54,"0")+IFERROR(Y55/H55,"0")+IFERROR(Y56/H56,"0")+IFERROR(Y57/H57,"0")</f>
        <v>118</v>
      </c>
      <c r="Z58" s="555">
        <f>IFERROR(IF(Z52="",0,Z52),"0")+IFERROR(IF(Z53="",0,Z53),"0")+IFERROR(IF(Z54="",0,Z54),"0")+IFERROR(IF(Z55="",0,Z55),"0")+IFERROR(IF(Z56="",0,Z56),"0")+IFERROR(IF(Z57="",0,Z57),"0")</f>
        <v>1.3432400000000002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705</v>
      </c>
      <c r="Y59" s="555">
        <f>IFERROR(SUM(Y52:Y57),"0")</f>
        <v>707.40000000000009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100</v>
      </c>
      <c r="Y61" s="554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180</v>
      </c>
      <c r="Y63" s="554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75.925925925925924</v>
      </c>
      <c r="Y64" s="555">
        <f>IFERROR(Y61/H61,"0")+IFERROR(Y62/H62,"0")+IFERROR(Y63/H63,"0")</f>
        <v>77</v>
      </c>
      <c r="Z64" s="555">
        <f>IFERROR(IF(Z61="",0,Z61),"0")+IFERROR(IF(Z62="",0,Z62),"0")+IFERROR(IF(Z63="",0,Z63),"0")</f>
        <v>0.62597000000000003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280</v>
      </c>
      <c r="Y65" s="555">
        <f>IFERROR(SUM(Y61:Y63),"0")</f>
        <v>288.89999999999998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40</v>
      </c>
      <c r="Y79" s="554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42.102564102564109</v>
      </c>
      <c r="BN79" s="64">
        <f>IFERROR(Y79*I79/H79,"0")</f>
        <v>49.260000000000005</v>
      </c>
      <c r="BO79" s="64">
        <f>IFERROR(1/J79*(X79/H79),"0")</f>
        <v>8.0128205128205135E-2</v>
      </c>
      <c r="BP79" s="64">
        <f>IFERROR(1/J79*(Y79/H79),"0")</f>
        <v>9.375E-2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5.1282051282051286</v>
      </c>
      <c r="Y81" s="555">
        <f>IFERROR(Y79/H79,"0")+IFERROR(Y80/H80,"0")</f>
        <v>6</v>
      </c>
      <c r="Z81" s="555">
        <f>IFERROR(IF(Z79="",0,Z79),"0")+IFERROR(IF(Z80="",0,Z80),"0")</f>
        <v>0.11388000000000001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40</v>
      </c>
      <c r="Y82" s="555">
        <f>IFERROR(SUM(Y79:Y80),"0")</f>
        <v>46.8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100</v>
      </c>
      <c r="Y85" s="554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495</v>
      </c>
      <c r="Y88" s="554">
        <f>IFERROR(IF(X88="",0,CEILING((X88/$H88),1)*$H88),"")</f>
        <v>495</v>
      </c>
      <c r="Z88" s="36">
        <f>IFERROR(IF(Y88=0,"",ROUNDUP(Y88/H88,0)*0.00902),"")</f>
        <v>0.99219999999999997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515.90000000000009</v>
      </c>
      <c r="BN88" s="64">
        <f>IFERROR(Y88*I88/H88,"0")</f>
        <v>515.90000000000009</v>
      </c>
      <c r="BO88" s="64">
        <f>IFERROR(1/J88*(X88/H88),"0")</f>
        <v>0.83333333333333337</v>
      </c>
      <c r="BP88" s="64">
        <f>IFERROR(1/J88*(Y88/H88),"0")</f>
        <v>0.83333333333333337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119.25925925925927</v>
      </c>
      <c r="Y89" s="555">
        <f>IFERROR(Y85/H85,"0")+IFERROR(Y86/H86,"0")+IFERROR(Y87/H87,"0")+IFERROR(Y88/H88,"0")</f>
        <v>120</v>
      </c>
      <c r="Z89" s="555">
        <f>IFERROR(IF(Z85="",0,Z85),"0")+IFERROR(IF(Z86="",0,Z86),"0")+IFERROR(IF(Z87="",0,Z87),"0")+IFERROR(IF(Z88="",0,Z88),"0")</f>
        <v>1.1819999999999999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595</v>
      </c>
      <c r="Y90" s="555">
        <f>IFERROR(SUM(Y85:Y88),"0")</f>
        <v>603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500</v>
      </c>
      <c r="Y92" s="554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530.49382716049388</v>
      </c>
      <c r="BN92" s="64">
        <f>IFERROR(Y92*I92/H92,"0")</f>
        <v>532.82799999999997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585</v>
      </c>
      <c r="Y94" s="554">
        <f>IFERROR(IF(X94="",0,CEILING((X94/$H94),1)*$H94),"")</f>
        <v>585.90000000000009</v>
      </c>
      <c r="Z94" s="36">
        <f>IFERROR(IF(Y94=0,"",ROUNDUP(Y94/H94,0)*0.00651),"")</f>
        <v>1.4126700000000001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639.6</v>
      </c>
      <c r="BN94" s="64">
        <f>IFERROR(Y94*I94/H94,"0")</f>
        <v>640.58400000000006</v>
      </c>
      <c r="BO94" s="64">
        <f>IFERROR(1/J94*(X94/H94),"0")</f>
        <v>1.1904761904761905</v>
      </c>
      <c r="BP94" s="64">
        <f>IFERROR(1/J94*(Y94/H94),"0")</f>
        <v>1.1923076923076925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278.39506172839504</v>
      </c>
      <c r="Y96" s="555">
        <f>IFERROR(Y92/H92,"0")+IFERROR(Y93/H93,"0")+IFERROR(Y94/H94,"0")+IFERROR(Y95/H95,"0")</f>
        <v>279</v>
      </c>
      <c r="Z96" s="555">
        <f>IFERROR(IF(Z92="",0,Z92),"0")+IFERROR(IF(Z93="",0,Z93),"0")+IFERROR(IF(Z94="",0,Z94),"0")+IFERROR(IF(Z95="",0,Z95),"0")</f>
        <v>2.5894300000000001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1085</v>
      </c>
      <c r="Y97" s="555">
        <f>IFERROR(SUM(Y92:Y95),"0")</f>
        <v>1088.1000000000001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5.5</v>
      </c>
      <c r="Y101" s="554">
        <f>IFERROR(IF(X101="",0,CEILING((X101/$H101),1)*$H101),"")</f>
        <v>5.5</v>
      </c>
      <c r="Z101" s="36">
        <f>IFERROR(IF(Y101=0,"",ROUNDUP(Y101/H101,0)*0.00726),"")</f>
        <v>3.6299999999999999E-2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6.55</v>
      </c>
      <c r="BN101" s="64">
        <f>IFERROR(Y101*I101/H101,"0")</f>
        <v>6.55</v>
      </c>
      <c r="BO101" s="64">
        <f>IFERROR(1/J101*(X101/H101),"0")</f>
        <v>2.6041666666666664E-2</v>
      </c>
      <c r="BP101" s="64">
        <f>IFERROR(1/J101*(Y101/H101),"0")</f>
        <v>2.6041666666666664E-2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315</v>
      </c>
      <c r="Y103" s="554">
        <f>IFERROR(IF(X103="",0,CEILING((X103/$H103),1)*$H103),"")</f>
        <v>315</v>
      </c>
      <c r="Z103" s="36">
        <f>IFERROR(IF(Y103=0,"",ROUNDUP(Y103/H103,0)*0.00902),"")</f>
        <v>0.63139999999999996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328.3</v>
      </c>
      <c r="BN103" s="64">
        <f>IFERROR(Y103*I103/H103,"0")</f>
        <v>328.3</v>
      </c>
      <c r="BO103" s="64">
        <f>IFERROR(1/J103*(X103/H103),"0")</f>
        <v>0.53030303030303028</v>
      </c>
      <c r="BP103" s="64">
        <f>IFERROR(1/J103*(Y103/H103),"0")</f>
        <v>0.53030303030303028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79.629629629629633</v>
      </c>
      <c r="Y105" s="555">
        <f>IFERROR(Y100/H100,"0")+IFERROR(Y101/H101,"0")+IFERROR(Y102/H102,"0")+IFERROR(Y103/H103,"0")+IFERROR(Y104/H104,"0")</f>
        <v>80</v>
      </c>
      <c r="Z105" s="555">
        <f>IFERROR(IF(Z100="",0,Z100),"0")+IFERROR(IF(Z101="",0,Z101),"0")+IFERROR(IF(Z102="",0,Z102),"0")+IFERROR(IF(Z103="",0,Z103),"0")+IFERROR(IF(Z104="",0,Z104),"0")</f>
        <v>0.76259999999999994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370.5</v>
      </c>
      <c r="Y106" s="555">
        <f>IFERROR(SUM(Y100:Y104),"0")</f>
        <v>374.5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5</v>
      </c>
      <c r="Y109" s="554">
        <f>IFERROR(IF(X109="",0,CEILING((X109/$H109),1)*$H109),"")</f>
        <v>5</v>
      </c>
      <c r="Z109" s="36">
        <f>IFERROR(IF(Y109=0,"",ROUNDUP(Y109/H109,0)*0.00358),"")</f>
        <v>1.7899999999999999E-2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6.05</v>
      </c>
      <c r="BN109" s="64">
        <f>IFERROR(Y109*I109/H109,"0")</f>
        <v>6.05</v>
      </c>
      <c r="BO109" s="64">
        <f>IFERROR(1/J109*(X109/H109),"0")</f>
        <v>1.2755102040816325E-2</v>
      </c>
      <c r="BP109" s="64">
        <f>IFERROR(1/J109*(Y109/H109),"0")</f>
        <v>1.2755102040816325E-2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5</v>
      </c>
      <c r="Y112" s="555">
        <f>IFERROR(Y108/H108,"0")+IFERROR(Y109/H109,"0")+IFERROR(Y110/H110,"0")+IFERROR(Y111/H111,"0")</f>
        <v>5</v>
      </c>
      <c r="Z112" s="555">
        <f>IFERROR(IF(Z108="",0,Z108),"0")+IFERROR(IF(Z109="",0,Z109),"0")+IFERROR(IF(Z110="",0,Z110),"0")+IFERROR(IF(Z111="",0,Z111),"0")</f>
        <v>1.7899999999999999E-2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5</v>
      </c>
      <c r="Y113" s="555">
        <f>IFERROR(SUM(Y108:Y111),"0")</f>
        <v>5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650</v>
      </c>
      <c r="Y115" s="554">
        <f>IFERROR(IF(X115="",0,CEILING((X115/$H115),1)*$H115),"")</f>
        <v>656.1</v>
      </c>
      <c r="Z115" s="36">
        <f>IFERROR(IF(Y115=0,"",ROUNDUP(Y115/H115,0)*0.01898),"")</f>
        <v>1.53738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689.16049382716051</v>
      </c>
      <c r="BN115" s="64">
        <f>IFERROR(Y115*I115/H115,"0")</f>
        <v>695.62800000000004</v>
      </c>
      <c r="BO115" s="64">
        <f>IFERROR(1/J115*(X115/H115),"0")</f>
        <v>1.253858024691358</v>
      </c>
      <c r="BP115" s="64">
        <f>IFERROR(1/J115*(Y115/H115),"0")</f>
        <v>1.265625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720</v>
      </c>
      <c r="Y117" s="554">
        <f>IFERROR(IF(X117="",0,CEILING((X117/$H117),1)*$H117),"")</f>
        <v>720.90000000000009</v>
      </c>
      <c r="Z117" s="36">
        <f>IFERROR(IF(Y117=0,"",ROUNDUP(Y117/H117,0)*0.00651),"")</f>
        <v>1.73817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787.19999999999993</v>
      </c>
      <c r="BN117" s="64">
        <f>IFERROR(Y117*I117/H117,"0")</f>
        <v>788.18400000000008</v>
      </c>
      <c r="BO117" s="64">
        <f>IFERROR(1/J117*(X117/H117),"0")</f>
        <v>1.4652014652014651</v>
      </c>
      <c r="BP117" s="64">
        <f>IFERROR(1/J117*(Y117/H117),"0")</f>
        <v>1.4670329670329672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45</v>
      </c>
      <c r="Y118" s="554">
        <f>IFERROR(IF(X118="",0,CEILING((X118/$H118),1)*$H118),"")</f>
        <v>45</v>
      </c>
      <c r="Z118" s="36">
        <f>IFERROR(IF(Y118=0,"",ROUNDUP(Y118/H118,0)*0.00651),"")</f>
        <v>0.16275000000000001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49.499999999999993</v>
      </c>
      <c r="BN118" s="64">
        <f>IFERROR(Y118*I118/H118,"0")</f>
        <v>49.499999999999993</v>
      </c>
      <c r="BO118" s="64">
        <f>IFERROR(1/J118*(X118/H118),"0")</f>
        <v>0.13736263736263737</v>
      </c>
      <c r="BP118" s="64">
        <f>IFERROR(1/J118*(Y118/H118),"0")</f>
        <v>0.13736263736263737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371.91358024691351</v>
      </c>
      <c r="Y119" s="555">
        <f>IFERROR(Y115/H115,"0")+IFERROR(Y116/H116,"0")+IFERROR(Y117/H117,"0")+IFERROR(Y118/H118,"0")</f>
        <v>373</v>
      </c>
      <c r="Z119" s="555">
        <f>IFERROR(IF(Z115="",0,Z115),"0")+IFERROR(IF(Z116="",0,Z116),"0")+IFERROR(IF(Z117="",0,Z117),"0")+IFERROR(IF(Z118="",0,Z118),"0")</f>
        <v>3.4382999999999999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1415</v>
      </c>
      <c r="Y120" s="555">
        <f>IFERROR(SUM(Y115:Y118),"0")</f>
        <v>1422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39.6</v>
      </c>
      <c r="Y122" s="554">
        <f>IFERROR(IF(X122="",0,CEILING((X122/$H122),1)*$H122),"")</f>
        <v>39.6</v>
      </c>
      <c r="Z122" s="36">
        <f>IFERROR(IF(Y122=0,"",ROUNDUP(Y122/H122,0)*0.00651),"")</f>
        <v>0.13020000000000001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44.760000000000005</v>
      </c>
      <c r="BN122" s="64">
        <f>IFERROR(Y122*I122/H122,"0")</f>
        <v>44.760000000000005</v>
      </c>
      <c r="BO122" s="64">
        <f>IFERROR(1/J122*(X122/H122),"0")</f>
        <v>0.1098901098901099</v>
      </c>
      <c r="BP122" s="64">
        <f>IFERROR(1/J122*(Y122/H122),"0")</f>
        <v>0.1098901098901099</v>
      </c>
    </row>
    <row r="123" spans="1:68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20</v>
      </c>
      <c r="Y123" s="555">
        <f>IFERROR(Y122/H122,"0")</f>
        <v>20</v>
      </c>
      <c r="Z123" s="555">
        <f>IFERROR(IF(Z122="",0,Z122),"0")</f>
        <v>0.13020000000000001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39.6</v>
      </c>
      <c r="Y124" s="555">
        <f>IFERROR(SUM(Y122:Y122),"0")</f>
        <v>39.6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72</v>
      </c>
      <c r="Y127" s="554">
        <f>IFERROR(IF(X127="",0,CEILING((X127/$H127),1)*$H127),"")</f>
        <v>73.600000000000009</v>
      </c>
      <c r="Z127" s="36">
        <f>IFERROR(IF(Y127=0,"",ROUNDUP(Y127/H127,0)*0.00651),"")</f>
        <v>0.14973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76.05</v>
      </c>
      <c r="BN127" s="64">
        <f>IFERROR(Y127*I127/H127,"0")</f>
        <v>77.740000000000009</v>
      </c>
      <c r="BO127" s="64">
        <f>IFERROR(1/J127*(X127/H127),"0")</f>
        <v>0.12362637362637363</v>
      </c>
      <c r="BP127" s="64">
        <f>IFERROR(1/J127*(Y127/H127),"0")</f>
        <v>0.1263736263736264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22.5</v>
      </c>
      <c r="Y129" s="555">
        <f>IFERROR(Y127/H127,"0")+IFERROR(Y128/H128,"0")</f>
        <v>23</v>
      </c>
      <c r="Z129" s="555">
        <f>IFERROR(IF(Z127="",0,Z127),"0")+IFERROR(IF(Z128="",0,Z128),"0")</f>
        <v>0.14973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72</v>
      </c>
      <c r="Y130" s="555">
        <f>IFERROR(SUM(Y127:Y128),"0")</f>
        <v>73.600000000000009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49.5</v>
      </c>
      <c r="Y138" s="554">
        <f>IFERROR(IF(X138="",0,CEILING((X138/$H138),1)*$H138),"")</f>
        <v>50.160000000000004</v>
      </c>
      <c r="Z138" s="36">
        <f>IFERROR(IF(Y138=0,"",ROUNDUP(Y138/H138,0)*0.00651),"")</f>
        <v>0.12369000000000001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54.524999999999999</v>
      </c>
      <c r="BN138" s="64">
        <f>IFERROR(Y138*I138/H138,"0")</f>
        <v>55.252000000000002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18.75</v>
      </c>
      <c r="Y139" s="555">
        <f>IFERROR(Y137/H137,"0")+IFERROR(Y138/H138,"0")</f>
        <v>19</v>
      </c>
      <c r="Z139" s="555">
        <f>IFERROR(IF(Z137="",0,Z137),"0")+IFERROR(IF(Z138="",0,Z138),"0")</f>
        <v>0.12369000000000001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49.5</v>
      </c>
      <c r="Y140" s="555">
        <f>IFERROR(SUM(Y137:Y138),"0")</f>
        <v>50.160000000000004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20</v>
      </c>
      <c r="Y149" s="554">
        <f t="shared" si="5"/>
        <v>21</v>
      </c>
      <c r="Z149" s="36">
        <f>IFERROR(IF(Y149=0,"",ROUNDUP(Y149/H149,0)*0.00902),"")</f>
        <v>4.5100000000000001E-2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20.904761904761902</v>
      </c>
      <c r="BN149" s="64">
        <f t="shared" si="7"/>
        <v>21.95</v>
      </c>
      <c r="BO149" s="64">
        <f t="shared" si="8"/>
        <v>3.6075036075036072E-2</v>
      </c>
      <c r="BP149" s="64">
        <f t="shared" si="9"/>
        <v>3.787878787878788E-2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40</v>
      </c>
      <c r="Y151" s="554">
        <f t="shared" si="5"/>
        <v>42</v>
      </c>
      <c r="Z151" s="36">
        <f>IFERROR(IF(Y151=0,"",ROUNDUP(Y151/H151,0)*0.00902),"")</f>
        <v>9.0200000000000002E-2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41.809523809523803</v>
      </c>
      <c r="BN151" s="64">
        <f t="shared" si="7"/>
        <v>43.9</v>
      </c>
      <c r="BO151" s="64">
        <f t="shared" si="8"/>
        <v>7.2150072150072145E-2</v>
      </c>
      <c r="BP151" s="64">
        <f t="shared" si="9"/>
        <v>7.575757575757576E-2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50</v>
      </c>
      <c r="Y153" s="554">
        <f t="shared" si="5"/>
        <v>50.400000000000006</v>
      </c>
      <c r="Z153" s="36">
        <f>IFERROR(IF(Y153=0,"",ROUNDUP(Y153/H153,0)*0.00902),"")</f>
        <v>0.10824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52.261904761904752</v>
      </c>
      <c r="BN153" s="64">
        <f t="shared" si="7"/>
        <v>52.68</v>
      </c>
      <c r="BO153" s="64">
        <f t="shared" si="8"/>
        <v>9.0187590187590191E-2</v>
      </c>
      <c r="BP153" s="64">
        <f t="shared" si="9"/>
        <v>9.0909090909090912E-2</v>
      </c>
    </row>
    <row r="154" spans="1:68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26.19047619047619</v>
      </c>
      <c r="Y154" s="555">
        <f>IFERROR(Y148/H148,"0")+IFERROR(Y149/H149,"0")+IFERROR(Y150/H150,"0")+IFERROR(Y151/H151,"0")+IFERROR(Y152/H152,"0")+IFERROR(Y153/H153,"0")</f>
        <v>27</v>
      </c>
      <c r="Z154" s="555">
        <f>IFERROR(IF(Z148="",0,Z148),"0")+IFERROR(IF(Z149="",0,Z149),"0")+IFERROR(IF(Z150="",0,Z150),"0")+IFERROR(IF(Z151="",0,Z151),"0")+IFERROR(IF(Z152="",0,Z152),"0")+IFERROR(IF(Z153="",0,Z153),"0")</f>
        <v>0.24354000000000001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110</v>
      </c>
      <c r="Y155" s="555">
        <f>IFERROR(SUM(Y148:Y153),"0")</f>
        <v>113.4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20</v>
      </c>
      <c r="Y170" s="554">
        <f t="shared" si="10"/>
        <v>21</v>
      </c>
      <c r="Z170" s="36">
        <f>IFERROR(IF(Y170=0,"",ROUNDUP(Y170/H170,0)*0.00902),"")</f>
        <v>4.5100000000000001E-2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21.19047619047619</v>
      </c>
      <c r="BN170" s="64">
        <f t="shared" si="12"/>
        <v>22.25</v>
      </c>
      <c r="BO170" s="64">
        <f t="shared" si="13"/>
        <v>3.6075036075036072E-2</v>
      </c>
      <c r="BP170" s="64">
        <f t="shared" si="14"/>
        <v>3.787878787878788E-2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150</v>
      </c>
      <c r="Y171" s="554">
        <f t="shared" si="10"/>
        <v>151.20000000000002</v>
      </c>
      <c r="Z171" s="36">
        <f>IFERROR(IF(Y171=0,"",ROUNDUP(Y171/H171,0)*0.00902),"")</f>
        <v>0.32472000000000001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156.78571428571428</v>
      </c>
      <c r="BN171" s="64">
        <f t="shared" si="12"/>
        <v>158.04</v>
      </c>
      <c r="BO171" s="64">
        <f t="shared" si="13"/>
        <v>0.27056277056277056</v>
      </c>
      <c r="BP171" s="64">
        <f t="shared" si="14"/>
        <v>0.27272727272727271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5.6000000000000014</v>
      </c>
      <c r="Y172" s="554">
        <f t="shared" si="10"/>
        <v>5.6000000000000005</v>
      </c>
      <c r="Z172" s="36">
        <f>IFERROR(IF(Y172=0,"",ROUNDUP(Y172/H172,0)*0.00556),"")</f>
        <v>3.8919999999999996E-2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6.5100000000000025</v>
      </c>
      <c r="BN172" s="64">
        <f t="shared" si="12"/>
        <v>6.5100000000000007</v>
      </c>
      <c r="BO172" s="64">
        <f t="shared" si="13"/>
        <v>3.2407407407407413E-2</v>
      </c>
      <c r="BP172" s="64">
        <f t="shared" si="14"/>
        <v>3.2407407407407406E-2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105</v>
      </c>
      <c r="Y173" s="554">
        <f t="shared" si="10"/>
        <v>105</v>
      </c>
      <c r="Z173" s="36">
        <f>IFERROR(IF(Y173=0,"",ROUNDUP(Y173/H173,0)*0.00502),"")</f>
        <v>0.251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111.5</v>
      </c>
      <c r="BN173" s="64">
        <f t="shared" si="12"/>
        <v>111.5</v>
      </c>
      <c r="BO173" s="64">
        <f t="shared" si="13"/>
        <v>0.21367521367521369</v>
      </c>
      <c r="BP173" s="64">
        <f t="shared" si="14"/>
        <v>0.21367521367521369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105</v>
      </c>
      <c r="Y175" s="554">
        <f t="shared" si="10"/>
        <v>105</v>
      </c>
      <c r="Z175" s="36">
        <f>IFERROR(IF(Y175=0,"",ROUNDUP(Y175/H175,0)*0.00502),"")</f>
        <v>0.251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111.5</v>
      </c>
      <c r="BN175" s="64">
        <f t="shared" si="12"/>
        <v>111.5</v>
      </c>
      <c r="BO175" s="64">
        <f t="shared" si="13"/>
        <v>0.21367521367521369</v>
      </c>
      <c r="BP175" s="64">
        <f t="shared" si="14"/>
        <v>0.21367521367521369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5.6000000000000014</v>
      </c>
      <c r="Y177" s="554">
        <f t="shared" si="10"/>
        <v>5.6000000000000005</v>
      </c>
      <c r="Z177" s="36">
        <f>IFERROR(IF(Y177=0,"",ROUNDUP(Y177/H177,0)*0.00417),"")</f>
        <v>2.9190000000000001E-2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7.0700000000000012</v>
      </c>
      <c r="BN177" s="64">
        <f t="shared" si="12"/>
        <v>7.07</v>
      </c>
      <c r="BO177" s="64">
        <f t="shared" si="13"/>
        <v>2.0833333333333339E-2</v>
      </c>
      <c r="BP177" s="64">
        <f t="shared" si="14"/>
        <v>2.0833333333333332E-2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157.5</v>
      </c>
      <c r="Y178" s="554">
        <f t="shared" si="10"/>
        <v>157.5</v>
      </c>
      <c r="Z178" s="36">
        <f>IFERROR(IF(Y178=0,"",ROUNDUP(Y178/H178,0)*0.00502),"")</f>
        <v>0.3765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165</v>
      </c>
      <c r="BN178" s="64">
        <f t="shared" si="12"/>
        <v>165</v>
      </c>
      <c r="BO178" s="64">
        <f t="shared" si="13"/>
        <v>0.32051282051282054</v>
      </c>
      <c r="BP178" s="64">
        <f t="shared" si="14"/>
        <v>0.32051282051282054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229.47619047619048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230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1.31643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548.70000000000005</v>
      </c>
      <c r="Y182" s="555">
        <f>IFERROR(SUM(Y167:Y180),"0")</f>
        <v>550.90000000000009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14</v>
      </c>
      <c r="Y184" s="554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10.5</v>
      </c>
      <c r="Y185" s="554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10.5</v>
      </c>
      <c r="Y186" s="554">
        <f>IFERROR(IF(X186="",0,CEILING((X186/$H186),1)*$H186),"")</f>
        <v>11.34</v>
      </c>
      <c r="Z186" s="36">
        <f>IFERROR(IF(Y186=0,"",ROUNDUP(Y186/H186,0)*0.0059),"")</f>
        <v>5.3100000000000001E-2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12.083333333333332</v>
      </c>
      <c r="BN186" s="64">
        <f>IFERROR(Y186*I186/H186,"0")</f>
        <v>13.049999999999999</v>
      </c>
      <c r="BO186" s="64">
        <f>IFERROR(1/J186*(X186/H186),"0")</f>
        <v>3.8580246913580245E-2</v>
      </c>
      <c r="BP186" s="64">
        <f>IFERROR(1/J186*(Y186/H186),"0")</f>
        <v>4.1666666666666664E-2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27.777777777777779</v>
      </c>
      <c r="Y187" s="555">
        <f>IFERROR(Y184/H184,"0")+IFERROR(Y185/H185,"0")+IFERROR(Y186/H186,"0")</f>
        <v>30</v>
      </c>
      <c r="Z187" s="555">
        <f>IFERROR(IF(Z184="",0,Z184),"0")+IFERROR(IF(Z185="",0,Z185),"0")+IFERROR(IF(Z186="",0,Z186),"0")</f>
        <v>0.17700000000000002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35</v>
      </c>
      <c r="Y188" s="555">
        <f>IFERROR(SUM(Y184:Y186),"0")</f>
        <v>37.799999999999997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3.5</v>
      </c>
      <c r="Y190" s="554">
        <f>IFERROR(IF(X190="",0,CEILING((X190/$H190),1)*$H190),"")</f>
        <v>3.7800000000000002</v>
      </c>
      <c r="Z190" s="36">
        <f>IFERROR(IF(Y190=0,"",ROUNDUP(Y190/H190,0)*0.0059),"")</f>
        <v>1.77E-2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4.0277777777777777</v>
      </c>
      <c r="BN190" s="64">
        <f>IFERROR(Y190*I190/H190,"0")</f>
        <v>4.3499999999999996</v>
      </c>
      <c r="BO190" s="64">
        <f>IFERROR(1/J190*(X190/H190),"0")</f>
        <v>1.2860082304526748E-2</v>
      </c>
      <c r="BP190" s="64">
        <f>IFERROR(1/J190*(Y190/H190),"0")</f>
        <v>1.3888888888888888E-2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2.7777777777777777</v>
      </c>
      <c r="Y191" s="555">
        <f>IFERROR(Y190/H190,"0")</f>
        <v>3</v>
      </c>
      <c r="Z191" s="555">
        <f>IFERROR(IF(Z190="",0,Z190),"0")</f>
        <v>1.77E-2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3.5</v>
      </c>
      <c r="Y192" s="555">
        <f>IFERROR(SUM(Y190:Y190),"0")</f>
        <v>3.7800000000000002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50</v>
      </c>
      <c r="Y205" s="554">
        <f t="shared" ref="Y205:Y212" si="15">IFERROR(IF(X205="",0,CEILING((X205/$H205),1)*$H205),"")</f>
        <v>54</v>
      </c>
      <c r="Z205" s="36">
        <f>IFERROR(IF(Y205=0,"",ROUNDUP(Y205/H205,0)*0.00902),"")</f>
        <v>9.0200000000000002E-2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51.759259259259252</v>
      </c>
      <c r="BN205" s="64">
        <f t="shared" ref="BN205:BN212" si="17">IFERROR(Y205*I205/H205,"0")</f>
        <v>55.9</v>
      </c>
      <c r="BO205" s="64">
        <f t="shared" ref="BO205:BO212" si="18">IFERROR(1/J205*(X205/H205),"0")</f>
        <v>7.0145903479236812E-2</v>
      </c>
      <c r="BP205" s="64">
        <f t="shared" ref="BP205:BP212" si="19">IFERROR(1/J205*(Y205/H205),"0")</f>
        <v>7.575757575757576E-2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40</v>
      </c>
      <c r="Y206" s="554">
        <f t="shared" si="15"/>
        <v>43.2</v>
      </c>
      <c r="Z206" s="36">
        <f>IFERROR(IF(Y206=0,"",ROUNDUP(Y206/H206,0)*0.00902),"")</f>
        <v>7.2160000000000002E-2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41.407407407407405</v>
      </c>
      <c r="BN206" s="64">
        <f t="shared" si="17"/>
        <v>44.72</v>
      </c>
      <c r="BO206" s="64">
        <f t="shared" si="18"/>
        <v>5.6116722783389444E-2</v>
      </c>
      <c r="BP206" s="64">
        <f t="shared" si="19"/>
        <v>6.0606060606060608E-2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350</v>
      </c>
      <c r="Y207" s="554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105</v>
      </c>
      <c r="Y209" s="554">
        <f t="shared" si="15"/>
        <v>106.2</v>
      </c>
      <c r="Z209" s="36">
        <f>IFERROR(IF(Y209=0,"",ROUNDUP(Y209/H209,0)*0.00502),"")</f>
        <v>0.29618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112.58333333333333</v>
      </c>
      <c r="BN209" s="64">
        <f t="shared" si="17"/>
        <v>113.87</v>
      </c>
      <c r="BO209" s="64">
        <f t="shared" si="18"/>
        <v>0.2492877492877493</v>
      </c>
      <c r="BP209" s="64">
        <f t="shared" si="19"/>
        <v>0.25213675213675218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30</v>
      </c>
      <c r="Y210" s="554">
        <f t="shared" si="15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31.666666666666664</v>
      </c>
      <c r="BN210" s="64">
        <f t="shared" si="17"/>
        <v>32.299999999999997</v>
      </c>
      <c r="BO210" s="64">
        <f t="shared" si="18"/>
        <v>7.122507122507124E-2</v>
      </c>
      <c r="BP210" s="64">
        <f t="shared" si="19"/>
        <v>7.2649572649572655E-2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75</v>
      </c>
      <c r="Y211" s="554">
        <f t="shared" si="15"/>
        <v>75.600000000000009</v>
      </c>
      <c r="Z211" s="36">
        <f>IFERROR(IF(Y211=0,"",ROUNDUP(Y211/H211,0)*0.00502),"")</f>
        <v>0.21084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79.166666666666671</v>
      </c>
      <c r="BN211" s="64">
        <f t="shared" si="17"/>
        <v>79.800000000000011</v>
      </c>
      <c r="BO211" s="64">
        <f t="shared" si="18"/>
        <v>0.17806267806267806</v>
      </c>
      <c r="BP211" s="64">
        <f t="shared" si="19"/>
        <v>0.17948717948717954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198.1481481481481</v>
      </c>
      <c r="Y213" s="555">
        <f>IFERROR(Y205/H205,"0")+IFERROR(Y206/H206,"0")+IFERROR(Y207/H207,"0")+IFERROR(Y208/H208,"0")+IFERROR(Y209/H209,"0")+IFERROR(Y210/H210,"0")+IFERROR(Y211/H211,"0")+IFERROR(Y212/H212,"0")</f>
        <v>201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1.3410200000000001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650</v>
      </c>
      <c r="Y214" s="555">
        <f>IFERROR(SUM(Y205:Y212),"0")</f>
        <v>660.6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100</v>
      </c>
      <c r="Y218" s="554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105.67816091954025</v>
      </c>
      <c r="BN218" s="64">
        <f t="shared" si="22"/>
        <v>110.32800000000002</v>
      </c>
      <c r="BO218" s="64">
        <f t="shared" si="23"/>
        <v>0.1795977011494253</v>
      </c>
      <c r="BP218" s="64">
        <f t="shared" si="24"/>
        <v>0.1875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400</v>
      </c>
      <c r="Y219" s="554">
        <f t="shared" si="20"/>
        <v>400.8</v>
      </c>
      <c r="Z219" s="36">
        <f t="shared" ref="Z219:Z224" si="25">IFERROR(IF(Y219=0,"",ROUNDUP(Y219/H219,0)*0.00651),"")</f>
        <v>1.08717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445</v>
      </c>
      <c r="BN219" s="64">
        <f t="shared" si="22"/>
        <v>445.89</v>
      </c>
      <c r="BO219" s="64">
        <f t="shared" si="23"/>
        <v>0.91575091575091594</v>
      </c>
      <c r="BP219" s="64">
        <f t="shared" si="24"/>
        <v>0.91758241758241765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320</v>
      </c>
      <c r="Y221" s="554">
        <f t="shared" si="20"/>
        <v>321.59999999999997</v>
      </c>
      <c r="Z221" s="36">
        <f t="shared" si="25"/>
        <v>0.87234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353.60000000000008</v>
      </c>
      <c r="BN221" s="64">
        <f t="shared" si="22"/>
        <v>355.36799999999999</v>
      </c>
      <c r="BO221" s="64">
        <f t="shared" si="23"/>
        <v>0.73260073260073266</v>
      </c>
      <c r="BP221" s="64">
        <f t="shared" si="24"/>
        <v>0.73626373626373631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140</v>
      </c>
      <c r="Y223" s="554">
        <f t="shared" si="20"/>
        <v>141.6</v>
      </c>
      <c r="Z223" s="36">
        <f t="shared" si="25"/>
        <v>0.38408999999999999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154.70000000000002</v>
      </c>
      <c r="BN223" s="64">
        <f t="shared" si="22"/>
        <v>156.46800000000002</v>
      </c>
      <c r="BO223" s="64">
        <f t="shared" si="23"/>
        <v>0.32051282051282054</v>
      </c>
      <c r="BP223" s="64">
        <f t="shared" si="24"/>
        <v>0.32417582417582419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280</v>
      </c>
      <c r="Y224" s="554">
        <f t="shared" si="20"/>
        <v>280.8</v>
      </c>
      <c r="Z224" s="36">
        <f t="shared" si="25"/>
        <v>0.76167000000000007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310.10000000000002</v>
      </c>
      <c r="BN224" s="64">
        <f t="shared" si="22"/>
        <v>310.98599999999999</v>
      </c>
      <c r="BO224" s="64">
        <f t="shared" si="23"/>
        <v>0.64102564102564108</v>
      </c>
      <c r="BP224" s="64">
        <f t="shared" si="24"/>
        <v>0.64285714285714302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486.49425287356325</v>
      </c>
      <c r="Y225" s="555">
        <f>IFERROR(Y216/H216,"0")+IFERROR(Y217/H217,"0")+IFERROR(Y218/H218,"0")+IFERROR(Y219/H219,"0")+IFERROR(Y220/H220,"0")+IFERROR(Y221/H221,"0")+IFERROR(Y222/H222,"0")+IFERROR(Y223/H223,"0")+IFERROR(Y224/H224,"0")</f>
        <v>489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3.3330299999999999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1240</v>
      </c>
      <c r="Y226" s="555">
        <f>IFERROR(SUM(Y216:Y224),"0")</f>
        <v>1249.2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32</v>
      </c>
      <c r="Y228" s="554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32</v>
      </c>
      <c r="Y229" s="554">
        <f>IFERROR(IF(X229="",0,CEILING((X229/$H229),1)*$H229),"")</f>
        <v>33.6</v>
      </c>
      <c r="Z229" s="36">
        <f>IFERROR(IF(Y229=0,"",ROUNDUP(Y229/H229,0)*0.00651),"")</f>
        <v>9.1139999999999999E-2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35.360000000000007</v>
      </c>
      <c r="BN229" s="64">
        <f>IFERROR(Y229*I229/H229,"0")</f>
        <v>37.128000000000007</v>
      </c>
      <c r="BO229" s="64">
        <f>IFERROR(1/J229*(X229/H229),"0")</f>
        <v>7.3260073260073263E-2</v>
      </c>
      <c r="BP229" s="64">
        <f>IFERROR(1/J229*(Y229/H229),"0")</f>
        <v>7.6923076923076941E-2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26.666666666666668</v>
      </c>
      <c r="Y230" s="555">
        <f>IFERROR(Y228/H228,"0")+IFERROR(Y229/H229,"0")</f>
        <v>28.000000000000004</v>
      </c>
      <c r="Z230" s="555">
        <f>IFERROR(IF(Z228="",0,Z228),"0")+IFERROR(IF(Z229="",0,Z229),"0")</f>
        <v>0.18228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64</v>
      </c>
      <c r="Y231" s="555">
        <f>IFERROR(SUM(Y228:Y229),"0")</f>
        <v>67.2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20</v>
      </c>
      <c r="Y234" s="554">
        <f t="shared" ref="Y234:Y242" si="26">IFERROR(IF(X234="",0,CEILING((X234/$H234),1)*$H234),"")</f>
        <v>23.2</v>
      </c>
      <c r="Z234" s="36">
        <f>IFERROR(IF(Y234=0,"",ROUNDUP(Y234/H234,0)*0.01898),"")</f>
        <v>3.7960000000000001E-2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20.706896551724139</v>
      </c>
      <c r="BN234" s="64">
        <f t="shared" ref="BN234:BN242" si="28">IFERROR(Y234*I234/H234,"0")</f>
        <v>24.02</v>
      </c>
      <c r="BO234" s="64">
        <f t="shared" ref="BO234:BO242" si="29">IFERROR(1/J234*(X234/H234),"0")</f>
        <v>2.6939655172413795E-2</v>
      </c>
      <c r="BP234" s="64">
        <f t="shared" ref="BP234:BP242" si="30">IFERROR(1/J234*(Y234/H234),"0")</f>
        <v>3.125E-2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16</v>
      </c>
      <c r="Y237" s="554">
        <f t="shared" si="26"/>
        <v>16</v>
      </c>
      <c r="Z237" s="36">
        <f>IFERROR(IF(Y237=0,"",ROUNDUP(Y237/H237,0)*0.00902),"")</f>
        <v>3.6080000000000001E-2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16.760000000000002</v>
      </c>
      <c r="BN237" s="64">
        <f t="shared" si="28"/>
        <v>16.760000000000002</v>
      </c>
      <c r="BO237" s="64">
        <f t="shared" si="29"/>
        <v>3.0303030303030304E-2</v>
      </c>
      <c r="BP237" s="64">
        <f t="shared" si="30"/>
        <v>3.0303030303030304E-2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48</v>
      </c>
      <c r="Y241" s="554">
        <f t="shared" si="26"/>
        <v>48</v>
      </c>
      <c r="Z241" s="36">
        <f>IFERROR(IF(Y241=0,"",ROUNDUP(Y241/H241,0)*0.00902),"")</f>
        <v>0.10824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50.28</v>
      </c>
      <c r="BN241" s="64">
        <f t="shared" si="28"/>
        <v>50.28</v>
      </c>
      <c r="BO241" s="64">
        <f t="shared" si="29"/>
        <v>9.0909090909090912E-2</v>
      </c>
      <c r="BP241" s="64">
        <f t="shared" si="30"/>
        <v>9.0909090909090912E-2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17.724137931034484</v>
      </c>
      <c r="Y243" s="555">
        <f>IFERROR(Y234/H234,"0")+IFERROR(Y235/H235,"0")+IFERROR(Y236/H236,"0")+IFERROR(Y237/H237,"0")+IFERROR(Y238/H238,"0")+IFERROR(Y239/H239,"0")+IFERROR(Y240/H240,"0")+IFERROR(Y241/H241,"0")+IFERROR(Y242/H242,"0")</f>
        <v>18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0.18228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84</v>
      </c>
      <c r="Y244" s="555">
        <f>IFERROR(SUM(Y234:Y242),"0")</f>
        <v>87.2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6.6666666666666661</v>
      </c>
      <c r="Y259" s="555">
        <f>IFERROR(Y254/H254,"0")+IFERROR(Y255/H255,"0")+IFERROR(Y256/H256,"0")+IFERROR(Y257/H257,"0")+IFERROR(Y258/H258,"0")</f>
        <v>7</v>
      </c>
      <c r="Z259" s="555">
        <f>IFERROR(IF(Z254="",0,Z254),"0")+IFERROR(IF(Z255="",0,Z255),"0")+IFERROR(IF(Z256="",0,Z256),"0")+IFERROR(IF(Z257="",0,Z257),"0")+IFERROR(IF(Z258="",0,Z258),"0")</f>
        <v>4.1299999999999996E-2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12</v>
      </c>
      <c r="Y260" s="555">
        <f>IFERROR(SUM(Y254:Y258),"0")</f>
        <v>12.6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140</v>
      </c>
      <c r="Y281" s="554">
        <f>IFERROR(IF(X281="",0,CEILING((X281/$H281),1)*$H281),"")</f>
        <v>141.6</v>
      </c>
      <c r="Z281" s="36">
        <f>IFERROR(IF(Y281=0,"",ROUNDUP(Y281/H281,0)*0.00651),"")</f>
        <v>0.38408999999999999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154.70000000000002</v>
      </c>
      <c r="BN281" s="64">
        <f>IFERROR(Y281*I281/H281,"0")</f>
        <v>156.46800000000002</v>
      </c>
      <c r="BO281" s="64">
        <f>IFERROR(1/J281*(X281/H281),"0")</f>
        <v>0.32051282051282054</v>
      </c>
      <c r="BP281" s="64">
        <f>IFERROR(1/J281*(Y281/H281),"0")</f>
        <v>0.32417582417582419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180</v>
      </c>
      <c r="Y282" s="554">
        <f>IFERROR(IF(X282="",0,CEILING((X282/$H282),1)*$H282),"")</f>
        <v>180</v>
      </c>
      <c r="Z282" s="36">
        <f>IFERROR(IF(Y282=0,"",ROUNDUP(Y282/H282,0)*0.00651),"")</f>
        <v>0.48825000000000002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193.50000000000003</v>
      </c>
      <c r="BN282" s="64">
        <f>IFERROR(Y282*I282/H282,"0")</f>
        <v>193.50000000000003</v>
      </c>
      <c r="BO282" s="64">
        <f>IFERROR(1/J282*(X282/H282),"0")</f>
        <v>0.41208791208791212</v>
      </c>
      <c r="BP282" s="64">
        <f>IFERROR(1/J282*(Y282/H282),"0")</f>
        <v>0.41208791208791212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133.33333333333334</v>
      </c>
      <c r="Y283" s="555">
        <f>IFERROR(Y280/H280,"0")+IFERROR(Y281/H281,"0")+IFERROR(Y282/H282,"0")</f>
        <v>134</v>
      </c>
      <c r="Z283" s="555">
        <f>IFERROR(IF(Z280="",0,Z280),"0")+IFERROR(IF(Z281="",0,Z281),"0")+IFERROR(IF(Z282="",0,Z282),"0")</f>
        <v>0.87234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320</v>
      </c>
      <c r="Y284" s="555">
        <f>IFERROR(SUM(Y280:Y282),"0")</f>
        <v>321.60000000000002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70</v>
      </c>
      <c r="Y310" s="554">
        <f t="shared" si="31"/>
        <v>71.400000000000006</v>
      </c>
      <c r="Z310" s="36">
        <f>IFERROR(IF(Y310=0,"",ROUNDUP(Y310/H310,0)*0.00502),"")</f>
        <v>0.17068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73.333333333333329</v>
      </c>
      <c r="BN310" s="64">
        <f t="shared" si="33"/>
        <v>74.8</v>
      </c>
      <c r="BO310" s="64">
        <f t="shared" si="34"/>
        <v>0.14245014245014245</v>
      </c>
      <c r="BP310" s="64">
        <f t="shared" si="35"/>
        <v>0.14529914529914531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15</v>
      </c>
      <c r="Y311" s="554">
        <f t="shared" si="31"/>
        <v>16.2</v>
      </c>
      <c r="Z311" s="36">
        <f>IFERROR(IF(Y311=0,"",ROUNDUP(Y311/H311,0)*0.00651),"")</f>
        <v>5.8590000000000003E-2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16.900000000000002</v>
      </c>
      <c r="BN311" s="64">
        <f t="shared" si="33"/>
        <v>18.251999999999999</v>
      </c>
      <c r="BO311" s="64">
        <f t="shared" si="34"/>
        <v>4.5787545787545791E-2</v>
      </c>
      <c r="BP311" s="64">
        <f t="shared" si="35"/>
        <v>4.9450549450549455E-2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41.666666666666664</v>
      </c>
      <c r="Y312" s="555">
        <f>IFERROR(Y306/H306,"0")+IFERROR(Y307/H307,"0")+IFERROR(Y308/H308,"0")+IFERROR(Y309/H309,"0")+IFERROR(Y310/H310,"0")+IFERROR(Y311/H311,"0")</f>
        <v>43</v>
      </c>
      <c r="Z312" s="555">
        <f>IFERROR(IF(Z306="",0,Z306),"0")+IFERROR(IF(Z307="",0,Z307),"0")+IFERROR(IF(Z308="",0,Z308),"0")+IFERROR(IF(Z309="",0,Z309),"0")+IFERROR(IF(Z310="",0,Z310),"0")+IFERROR(IF(Z311="",0,Z311),"0")</f>
        <v>0.22927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85</v>
      </c>
      <c r="Y313" s="555">
        <f>IFERROR(SUM(Y306:Y311),"0")</f>
        <v>87.600000000000009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400</v>
      </c>
      <c r="Y323" s="554">
        <f>IFERROR(IF(X323="",0,CEILING((X323/$H323),1)*$H323),"")</f>
        <v>405.59999999999997</v>
      </c>
      <c r="Z323" s="36">
        <f>IFERROR(IF(Y323=0,"",ROUNDUP(Y323/H323,0)*0.01898),"")</f>
        <v>0.98696000000000006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425.33333333333337</v>
      </c>
      <c r="BN323" s="64">
        <f>IFERROR(Y323*I323/H323,"0")</f>
        <v>431.28799999999995</v>
      </c>
      <c r="BO323" s="64">
        <f>IFERROR(1/J323*(X323/H323),"0")</f>
        <v>0.80128205128205132</v>
      </c>
      <c r="BP323" s="64">
        <f>IFERROR(1/J323*(Y323/H323),"0")</f>
        <v>0.8125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220</v>
      </c>
      <c r="Y324" s="554">
        <f>IFERROR(IF(X324="",0,CEILING((X324/$H324),1)*$H324),"")</f>
        <v>226.8</v>
      </c>
      <c r="Z324" s="36">
        <f>IFERROR(IF(Y324=0,"",ROUNDUP(Y324/H324,0)*0.01898),"")</f>
        <v>0.51246000000000003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232.93809523809523</v>
      </c>
      <c r="BN324" s="64">
        <f>IFERROR(Y324*I324/H324,"0")</f>
        <v>240.13800000000001</v>
      </c>
      <c r="BO324" s="64">
        <f>IFERROR(1/J324*(X324/H324),"0")</f>
        <v>0.40922619047619047</v>
      </c>
      <c r="BP324" s="64">
        <f>IFERROR(1/J324*(Y324/H324),"0")</f>
        <v>0.421875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79.853479853479854</v>
      </c>
      <c r="Y325" s="555">
        <f>IFERROR(Y322/H322,"0")+IFERROR(Y323/H323,"0")+IFERROR(Y324/H324,"0")</f>
        <v>82</v>
      </c>
      <c r="Z325" s="555">
        <f>IFERROR(IF(Z322="",0,Z322),"0")+IFERROR(IF(Z323="",0,Z323),"0")+IFERROR(IF(Z324="",0,Z324),"0")</f>
        <v>1.5563600000000002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640</v>
      </c>
      <c r="Y326" s="555">
        <f>IFERROR(SUM(Y322:Y324),"0")</f>
        <v>657.59999999999991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51.000000000000007</v>
      </c>
      <c r="Y330" s="554">
        <f>IFERROR(IF(X330="",0,CEILING((X330/$H330),1)*$H330),"")</f>
        <v>51</v>
      </c>
      <c r="Z330" s="36">
        <f>IFERROR(IF(Y330=0,"",ROUNDUP(Y330/H330,0)*0.00651),"")</f>
        <v>0.13020000000000001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59.100000000000009</v>
      </c>
      <c r="BN330" s="64">
        <f>IFERROR(Y330*I330/H330,"0")</f>
        <v>59.100000000000009</v>
      </c>
      <c r="BO330" s="64">
        <f>IFERROR(1/J330*(X330/H330),"0")</f>
        <v>0.10989010989010992</v>
      </c>
      <c r="BP330" s="64">
        <f>IFERROR(1/J330*(Y330/H330),"0")</f>
        <v>0.1098901098901099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20.000000000000004</v>
      </c>
      <c r="Y332" s="555">
        <f>IFERROR(Y328/H328,"0")+IFERROR(Y329/H329,"0")+IFERROR(Y330/H330,"0")+IFERROR(Y331/H331,"0")</f>
        <v>20</v>
      </c>
      <c r="Z332" s="555">
        <f>IFERROR(IF(Z328="",0,Z328),"0")+IFERROR(IF(Z329="",0,Z329),"0")+IFERROR(IF(Z330="",0,Z330),"0")+IFERROR(IF(Z331="",0,Z331),"0")</f>
        <v>0.13020000000000001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51.000000000000007</v>
      </c>
      <c r="Y333" s="555">
        <f>IFERROR(SUM(Y328:Y331),"0")</f>
        <v>51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735</v>
      </c>
      <c r="Y343" s="554">
        <f>IFERROR(IF(X343="",0,CEILING((X343/$H343),1)*$H343),"")</f>
        <v>735</v>
      </c>
      <c r="Z343" s="36">
        <f>IFERROR(IF(Y343=0,"",ROUNDUP(Y343/H343,0)*0.00651),"")</f>
        <v>2.2785000000000002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823.19999999999982</v>
      </c>
      <c r="BN343" s="64">
        <f>IFERROR(Y343*I343/H343,"0")</f>
        <v>823.19999999999982</v>
      </c>
      <c r="BO343" s="64">
        <f>IFERROR(1/J343*(X343/H343),"0")</f>
        <v>1.9230769230769231</v>
      </c>
      <c r="BP343" s="64">
        <f>IFERROR(1/J343*(Y343/H343),"0")</f>
        <v>1.9230769230769231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770</v>
      </c>
      <c r="Y344" s="554">
        <f>IFERROR(IF(X344="",0,CEILING((X344/$H344),1)*$H344),"")</f>
        <v>770.7</v>
      </c>
      <c r="Z344" s="36">
        <f>IFERROR(IF(Y344=0,"",ROUNDUP(Y344/H344,0)*0.00651),"")</f>
        <v>2.38917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857.99999999999989</v>
      </c>
      <c r="BN344" s="64">
        <f>IFERROR(Y344*I344/H344,"0")</f>
        <v>858.78</v>
      </c>
      <c r="BO344" s="64">
        <f>IFERROR(1/J344*(X344/H344),"0")</f>
        <v>2.0146520146520146</v>
      </c>
      <c r="BP344" s="64">
        <f>IFERROR(1/J344*(Y344/H344),"0")</f>
        <v>2.0164835164835164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716.66666666666663</v>
      </c>
      <c r="Y345" s="555">
        <f>IFERROR(Y342/H342,"0")+IFERROR(Y343/H343,"0")+IFERROR(Y344/H344,"0")</f>
        <v>717</v>
      </c>
      <c r="Z345" s="555">
        <f>IFERROR(IF(Z342="",0,Z342),"0")+IFERROR(IF(Z343="",0,Z343),"0")+IFERROR(IF(Z344="",0,Z344),"0")</f>
        <v>4.6676700000000002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1505</v>
      </c>
      <c r="Y346" s="555">
        <f>IFERROR(SUM(Y342:Y344),"0")</f>
        <v>1505.7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1000</v>
      </c>
      <c r="Y350" s="554">
        <f t="shared" ref="Y350:Y356" si="36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1031.3333333333333</v>
      </c>
      <c r="BN350" s="64">
        <f t="shared" ref="BN350:BN356" si="38">IFERROR(Y350*I350/H350,"0")</f>
        <v>1036.49</v>
      </c>
      <c r="BO350" s="64">
        <f t="shared" ref="BO350:BO356" si="39">IFERROR(1/J350*(X350/H350),"0")</f>
        <v>1.3888888888888888</v>
      </c>
      <c r="BP350" s="64">
        <f t="shared" ref="BP350:BP356" si="40">IFERROR(1/J350*(Y350/H350),"0")</f>
        <v>1.3958333333333333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900</v>
      </c>
      <c r="Y351" s="554">
        <f t="shared" si="36"/>
        <v>900</v>
      </c>
      <c r="Z351" s="36">
        <f>IFERROR(IF(Y351=0,"",ROUNDUP(Y351/H351,0)*0.02175),"")</f>
        <v>1.3049999999999999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928.2</v>
      </c>
      <c r="BN351" s="64">
        <f t="shared" si="38"/>
        <v>928.2</v>
      </c>
      <c r="BO351" s="64">
        <f t="shared" si="39"/>
        <v>1.25</v>
      </c>
      <c r="BP351" s="64">
        <f t="shared" si="40"/>
        <v>1.25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800</v>
      </c>
      <c r="Y353" s="554">
        <f t="shared" si="36"/>
        <v>810</v>
      </c>
      <c r="Z353" s="36">
        <f>IFERROR(IF(Y353=0,"",ROUNDUP(Y353/H353,0)*0.02175),"")</f>
        <v>1.1744999999999999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825.06666666666672</v>
      </c>
      <c r="BN353" s="64">
        <f t="shared" si="38"/>
        <v>835.38</v>
      </c>
      <c r="BO353" s="64">
        <f t="shared" si="39"/>
        <v>1.1111111111111112</v>
      </c>
      <c r="BP353" s="64">
        <f t="shared" si="40"/>
        <v>1.125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50</v>
      </c>
      <c r="Y356" s="554">
        <f t="shared" si="36"/>
        <v>50</v>
      </c>
      <c r="Z356" s="36">
        <f>IFERROR(IF(Y356=0,"",ROUNDUP(Y356/H356,0)*0.00902),"")</f>
        <v>9.0200000000000002E-2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51.9</v>
      </c>
      <c r="BN356" s="64">
        <f t="shared" si="38"/>
        <v>51.9</v>
      </c>
      <c r="BO356" s="64">
        <f t="shared" si="39"/>
        <v>7.575757575757576E-2</v>
      </c>
      <c r="BP356" s="64">
        <f t="shared" si="40"/>
        <v>7.575757575757576E-2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256.66666666666669</v>
      </c>
      <c r="Y357" s="555">
        <f>IFERROR(Y350/H350,"0")+IFERROR(Y351/H351,"0")+IFERROR(Y352/H352,"0")+IFERROR(Y353/H353,"0")+IFERROR(Y354/H354,"0")+IFERROR(Y355/H355,"0")+IFERROR(Y356/H356,"0")</f>
        <v>258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5.4842000000000004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3750</v>
      </c>
      <c r="Y358" s="555">
        <f>IFERROR(SUM(Y350:Y356),"0")</f>
        <v>3770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1200</v>
      </c>
      <c r="Y360" s="554">
        <f>IFERROR(IF(X360="",0,CEILING((X360/$H360),1)*$H360),"")</f>
        <v>1200</v>
      </c>
      <c r="Z360" s="36">
        <f>IFERROR(IF(Y360=0,"",ROUNDUP(Y360/H360,0)*0.02175),"")</f>
        <v>1.7399999999999998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1237.5999999999999</v>
      </c>
      <c r="BN360" s="64">
        <f>IFERROR(Y360*I360/H360,"0")</f>
        <v>1237.5999999999999</v>
      </c>
      <c r="BO360" s="64">
        <f>IFERROR(1/J360*(X360/H360),"0")</f>
        <v>1.6666666666666665</v>
      </c>
      <c r="BP360" s="64">
        <f>IFERROR(1/J360*(Y360/H360),"0")</f>
        <v>1.6666666666666665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12</v>
      </c>
      <c r="Y361" s="554">
        <f>IFERROR(IF(X361="",0,CEILING((X361/$H361),1)*$H361),"")</f>
        <v>12</v>
      </c>
      <c r="Z361" s="36">
        <f>IFERROR(IF(Y361=0,"",ROUNDUP(Y361/H361,0)*0.00902),"")</f>
        <v>2.7060000000000001E-2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12.57</v>
      </c>
      <c r="BN361" s="64">
        <f>IFERROR(Y361*I361/H361,"0")</f>
        <v>12.57</v>
      </c>
      <c r="BO361" s="64">
        <f>IFERROR(1/J361*(X361/H361),"0")</f>
        <v>2.2727272727272728E-2</v>
      </c>
      <c r="BP361" s="64">
        <f>IFERROR(1/J361*(Y361/H361),"0")</f>
        <v>2.2727272727272728E-2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83</v>
      </c>
      <c r="Y362" s="555">
        <f>IFERROR(Y360/H360,"0")+IFERROR(Y361/H361,"0")</f>
        <v>83</v>
      </c>
      <c r="Z362" s="555">
        <f>IFERROR(IF(Z360="",0,Z360),"0")+IFERROR(IF(Z361="",0,Z361),"0")</f>
        <v>1.7670599999999999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1212</v>
      </c>
      <c r="Y363" s="555">
        <f>IFERROR(SUM(Y360:Y361),"0")</f>
        <v>1212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10</v>
      </c>
      <c r="Y366" s="554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10.548888888888889</v>
      </c>
      <c r="BN366" s="64">
        <f>IFERROR(Y366*I366/H366,"0")</f>
        <v>18.988</v>
      </c>
      <c r="BO366" s="64">
        <f>IFERROR(1/J366*(X366/H366),"0")</f>
        <v>1.7361111111111112E-2</v>
      </c>
      <c r="BP366" s="64">
        <f>IFERROR(1/J366*(Y366/H366),"0")</f>
        <v>3.125E-2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1.1111111111111112</v>
      </c>
      <c r="Y367" s="555">
        <f>IFERROR(Y365/H365,"0")+IFERROR(Y366/H366,"0")</f>
        <v>2</v>
      </c>
      <c r="Z367" s="555">
        <f>IFERROR(IF(Z365="",0,Z365),"0")+IFERROR(IF(Z366="",0,Z366),"0")</f>
        <v>3.7960000000000001E-2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10</v>
      </c>
      <c r="Y368" s="555">
        <f>IFERROR(SUM(Y365:Y366),"0")</f>
        <v>18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40</v>
      </c>
      <c r="Y370" s="554">
        <f>IFERROR(IF(X370="",0,CEILING((X370/$H370),1)*$H370),"")</f>
        <v>45</v>
      </c>
      <c r="Z370" s="36">
        <f>IFERROR(IF(Y370=0,"",ROUNDUP(Y370/H370,0)*0.01898),"")</f>
        <v>9.4899999999999998E-2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42.195555555555558</v>
      </c>
      <c r="BN370" s="64">
        <f>IFERROR(Y370*I370/H370,"0")</f>
        <v>47.47</v>
      </c>
      <c r="BO370" s="64">
        <f>IFERROR(1/J370*(X370/H370),"0")</f>
        <v>6.9444444444444448E-2</v>
      </c>
      <c r="BP370" s="64">
        <f>IFERROR(1/J370*(Y370/H370),"0")</f>
        <v>7.8125E-2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4.4444444444444446</v>
      </c>
      <c r="Y371" s="555">
        <f>IFERROR(Y370/H370,"0")</f>
        <v>5</v>
      </c>
      <c r="Z371" s="555">
        <f>IFERROR(IF(Z370="",0,Z370),"0")</f>
        <v>9.4899999999999998E-2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40</v>
      </c>
      <c r="Y372" s="555">
        <f>IFERROR(SUM(Y370:Y370),"0")</f>
        <v>45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50</v>
      </c>
      <c r="Y375" s="554">
        <f>IFERROR(IF(X375="",0,CEILING((X375/$H375),1)*$H375),"")</f>
        <v>60</v>
      </c>
      <c r="Z375" s="36">
        <f>IFERROR(IF(Y375=0,"",ROUNDUP(Y375/H375,0)*0.01898),"")</f>
        <v>9.4899999999999998E-2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51.708333333333336</v>
      </c>
      <c r="BN375" s="64">
        <f>IFERROR(Y375*I375/H375,"0")</f>
        <v>62.050000000000004</v>
      </c>
      <c r="BO375" s="64">
        <f>IFERROR(1/J375*(X375/H375),"0")</f>
        <v>6.5104166666666671E-2</v>
      </c>
      <c r="BP375" s="64">
        <f>IFERROR(1/J375*(Y375/H375),"0")</f>
        <v>7.8125E-2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4.166666666666667</v>
      </c>
      <c r="Y377" s="555">
        <f>IFERROR(Y375/H375,"0")+IFERROR(Y376/H376,"0")</f>
        <v>5</v>
      </c>
      <c r="Z377" s="555">
        <f>IFERROR(IF(Z375="",0,Z375),"0")+IFERROR(IF(Z376="",0,Z376),"0")</f>
        <v>9.4899999999999998E-2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50</v>
      </c>
      <c r="Y378" s="555">
        <f>IFERROR(SUM(Y375:Y376),"0")</f>
        <v>60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30</v>
      </c>
      <c r="Y385" s="554">
        <f>IFERROR(IF(X385="",0,CEILING((X385/$H385),1)*$H385),"")</f>
        <v>36</v>
      </c>
      <c r="Z385" s="36">
        <f>IFERROR(IF(Y385=0,"",ROUNDUP(Y385/H385,0)*0.01898),"")</f>
        <v>7.5920000000000001E-2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31.646666666666665</v>
      </c>
      <c r="BN385" s="64">
        <f>IFERROR(Y385*I385/H385,"0")</f>
        <v>37.975999999999999</v>
      </c>
      <c r="BO385" s="64">
        <f>IFERROR(1/J385*(X385/H385),"0")</f>
        <v>5.2083333333333336E-2</v>
      </c>
      <c r="BP385" s="64">
        <f>IFERROR(1/J385*(Y385/H385),"0")</f>
        <v>6.25E-2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3.3333333333333335</v>
      </c>
      <c r="Y388" s="555">
        <f>IFERROR(Y385/H385,"0")+IFERROR(Y386/H386,"0")+IFERROR(Y387/H387,"0")</f>
        <v>4</v>
      </c>
      <c r="Z388" s="555">
        <f>IFERROR(IF(Z385="",0,Z385),"0")+IFERROR(IF(Z386="",0,Z386),"0")+IFERROR(IF(Z387="",0,Z387),"0")</f>
        <v>7.5920000000000001E-2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30</v>
      </c>
      <c r="Y389" s="555">
        <f>IFERROR(SUM(Y385:Y387),"0")</f>
        <v>36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17.5</v>
      </c>
      <c r="Y397" s="554">
        <f t="shared" si="41"/>
        <v>18.900000000000002</v>
      </c>
      <c r="Z397" s="36">
        <f t="shared" si="46"/>
        <v>4.5179999999999998E-2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18.583333333333332</v>
      </c>
      <c r="BN397" s="64">
        <f t="shared" si="43"/>
        <v>20.07</v>
      </c>
      <c r="BO397" s="64">
        <f t="shared" si="44"/>
        <v>3.5612535612535613E-2</v>
      </c>
      <c r="BP397" s="64">
        <f t="shared" si="45"/>
        <v>3.8461538461538464E-2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21</v>
      </c>
      <c r="Y398" s="554">
        <f t="shared" si="41"/>
        <v>21</v>
      </c>
      <c r="Z398" s="36">
        <f t="shared" si="46"/>
        <v>5.0200000000000002E-2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22.299999999999997</v>
      </c>
      <c r="BN398" s="64">
        <f t="shared" si="43"/>
        <v>22.299999999999997</v>
      </c>
      <c r="BO398" s="64">
        <f t="shared" si="44"/>
        <v>4.2735042735042736E-2</v>
      </c>
      <c r="BP398" s="64">
        <f t="shared" si="45"/>
        <v>4.2735042735042736E-2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42</v>
      </c>
      <c r="Y400" s="554">
        <f t="shared" si="41"/>
        <v>42</v>
      </c>
      <c r="Z400" s="36">
        <f t="shared" si="46"/>
        <v>0.1004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44.599999999999994</v>
      </c>
      <c r="BN400" s="64">
        <f t="shared" si="43"/>
        <v>44.599999999999994</v>
      </c>
      <c r="BO400" s="64">
        <f t="shared" si="44"/>
        <v>8.5470085470085472E-2</v>
      </c>
      <c r="BP400" s="64">
        <f t="shared" si="45"/>
        <v>8.5470085470085472E-2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38.333333333333329</v>
      </c>
      <c r="Y402" s="555">
        <f>IFERROR(Y393/H393,"0")+IFERROR(Y394/H394,"0")+IFERROR(Y395/H395,"0")+IFERROR(Y396/H396,"0")+IFERROR(Y397/H397,"0")+IFERROR(Y398/H398,"0")+IFERROR(Y399/H399,"0")+IFERROR(Y400/H400,"0")+IFERROR(Y401/H401,"0")</f>
        <v>39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0.19578000000000001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80.5</v>
      </c>
      <c r="Y403" s="555">
        <f>IFERROR(SUM(Y393:Y401),"0")</f>
        <v>81.900000000000006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7</v>
      </c>
      <c r="Y418" s="554">
        <f>IFERROR(IF(X418="",0,CEILING((X418/$H418),1)*$H418),"")</f>
        <v>8.4</v>
      </c>
      <c r="Z418" s="36">
        <f>IFERROR(IF(Y418=0,"",ROUNDUP(Y418/H418,0)*0.00502),"")</f>
        <v>2.0080000000000001E-2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7.4333333333333327</v>
      </c>
      <c r="BN418" s="64">
        <f>IFERROR(Y418*I418/H418,"0")</f>
        <v>8.92</v>
      </c>
      <c r="BO418" s="64">
        <f>IFERROR(1/J418*(X418/H418),"0")</f>
        <v>1.4245014245014245E-2</v>
      </c>
      <c r="BP418" s="64">
        <f>IFERROR(1/J418*(Y418/H418),"0")</f>
        <v>1.7094017094017096E-2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3.333333333333333</v>
      </c>
      <c r="Y419" s="555">
        <f>IFERROR(Y415/H415,"0")+IFERROR(Y416/H416,"0")+IFERROR(Y417/H417,"0")+IFERROR(Y418/H418,"0")</f>
        <v>4</v>
      </c>
      <c r="Z419" s="555">
        <f>IFERROR(IF(Z415="",0,Z415),"0")+IFERROR(IF(Z416="",0,Z416),"0")+IFERROR(IF(Z417="",0,Z417),"0")+IFERROR(IF(Z418="",0,Z418),"0")</f>
        <v>2.0080000000000001E-2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7</v>
      </c>
      <c r="Y420" s="555">
        <f>IFERROR(SUM(Y415:Y418),"0")</f>
        <v>8.4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10</v>
      </c>
      <c r="Y423" s="554">
        <f>IFERROR(IF(X423="",0,CEILING((X423/$H423),1)*$H423),"")</f>
        <v>10.799999999999999</v>
      </c>
      <c r="Z423" s="36">
        <f>IFERROR(IF(Y423=0,"",ROUNDUP(Y423/H423,0)*0.00651),"")</f>
        <v>5.8590000000000003E-2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17.5</v>
      </c>
      <c r="BN423" s="64">
        <f>IFERROR(Y423*I423/H423,"0")</f>
        <v>18.900000000000002</v>
      </c>
      <c r="BO423" s="64">
        <f>IFERROR(1/J423*(X423/H423),"0")</f>
        <v>4.5787545787545791E-2</v>
      </c>
      <c r="BP423" s="64">
        <f>IFERROR(1/J423*(Y423/H423),"0")</f>
        <v>4.9450549450549455E-2</v>
      </c>
    </row>
    <row r="424" spans="1:68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8.3333333333333339</v>
      </c>
      <c r="Y424" s="555">
        <f>IFERROR(Y423/H423,"0")</f>
        <v>9</v>
      </c>
      <c r="Z424" s="555">
        <f>IFERROR(IF(Z423="",0,Z423),"0")</f>
        <v>5.8590000000000003E-2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10</v>
      </c>
      <c r="Y425" s="555">
        <f>IFERROR(SUM(Y423:Y423),"0")</f>
        <v>10.799999999999999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80</v>
      </c>
      <c r="Y429" s="554">
        <f t="shared" ref="Y429:Y440" si="47">IFERROR(IF(X429="",0,CEILING((X429/$H429),1)*$H429),"")</f>
        <v>84.48</v>
      </c>
      <c r="Z429" s="36">
        <f t="shared" ref="Z429:Z435" si="48">IFERROR(IF(Y429=0,"",ROUNDUP(Y429/H429,0)*0.01196),"")</f>
        <v>0.19136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85.303030303030297</v>
      </c>
      <c r="BN429" s="64">
        <f t="shared" ref="BN429:BN440" si="50">IFERROR(Y429*I429/H429,"0")</f>
        <v>90.08</v>
      </c>
      <c r="BO429" s="64">
        <f t="shared" ref="BO429:BO440" si="51">IFERROR(1/J429*(X429/H429),"0")</f>
        <v>0.14568764568764569</v>
      </c>
      <c r="BP429" s="64">
        <f t="shared" ref="BP429:BP440" si="52">IFERROR(1/J429*(Y429/H429),"0")</f>
        <v>0.15384615384615385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160</v>
      </c>
      <c r="Y435" s="554">
        <f t="shared" si="47"/>
        <v>163.68</v>
      </c>
      <c r="Z435" s="36">
        <f t="shared" si="48"/>
        <v>0.37075999999999998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170.60606060606059</v>
      </c>
      <c r="BN435" s="64">
        <f t="shared" si="50"/>
        <v>174.53</v>
      </c>
      <c r="BO435" s="64">
        <f t="shared" si="51"/>
        <v>0.29137529137529139</v>
      </c>
      <c r="BP435" s="64">
        <f t="shared" si="52"/>
        <v>0.29807692307692307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120</v>
      </c>
      <c r="Y437" s="554">
        <f t="shared" si="47"/>
        <v>120</v>
      </c>
      <c r="Z437" s="36">
        <f>IFERROR(IF(Y437=0,"",ROUNDUP(Y437/H437,0)*0.00902),"")</f>
        <v>0.22550000000000001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172.75000000000003</v>
      </c>
      <c r="BN437" s="64">
        <f t="shared" si="50"/>
        <v>172.75000000000003</v>
      </c>
      <c r="BO437" s="64">
        <f t="shared" si="51"/>
        <v>0.18939393939393939</v>
      </c>
      <c r="BP437" s="64">
        <f t="shared" si="52"/>
        <v>0.18939393939393939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132</v>
      </c>
      <c r="Y440" s="554">
        <f t="shared" si="47"/>
        <v>134.4</v>
      </c>
      <c r="Z440" s="36">
        <f>IFERROR(IF(Y440=0,"",ROUNDUP(Y440/H440,0)*0.00902),"")</f>
        <v>0.25256000000000001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190.02500000000001</v>
      </c>
      <c r="BN440" s="64">
        <f t="shared" si="50"/>
        <v>193.48000000000002</v>
      </c>
      <c r="BO440" s="64">
        <f t="shared" si="51"/>
        <v>0.20833333333333334</v>
      </c>
      <c r="BP440" s="64">
        <f t="shared" si="52"/>
        <v>0.21212121212121215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116.89393939393939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119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1.26742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592</v>
      </c>
      <c r="Y442" s="555">
        <f>IFERROR(SUM(Y429:Y440),"0")</f>
        <v>602.88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50</v>
      </c>
      <c r="Y444" s="554">
        <f>IFERROR(IF(X444="",0,CEILING((X444/$H444),1)*$H444),"")</f>
        <v>52.800000000000004</v>
      </c>
      <c r="Z444" s="36">
        <f>IFERROR(IF(Y444=0,"",ROUNDUP(Y444/H444,0)*0.01196),"")</f>
        <v>0.1196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53.314393939393938</v>
      </c>
      <c r="BN444" s="64">
        <f>IFERROR(Y444*I444/H444,"0")</f>
        <v>56.3</v>
      </c>
      <c r="BO444" s="64">
        <f>IFERROR(1/J444*(X444/H444),"0")</f>
        <v>9.1054778554778545E-2</v>
      </c>
      <c r="BP444" s="64">
        <f>IFERROR(1/J444*(Y444/H444),"0")</f>
        <v>9.6153846153846159E-2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9.4696969696969688</v>
      </c>
      <c r="Y447" s="555">
        <f>IFERROR(Y444/H444,"0")+IFERROR(Y445/H445,"0")+IFERROR(Y446/H446,"0")</f>
        <v>10</v>
      </c>
      <c r="Z447" s="555">
        <f>IFERROR(IF(Z444="",0,Z444),"0")+IFERROR(IF(Z445="",0,Z445),"0")+IFERROR(IF(Z446="",0,Z446),"0")</f>
        <v>0.1196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50</v>
      </c>
      <c r="Y448" s="555">
        <f>IFERROR(SUM(Y444:Y446),"0")</f>
        <v>52.800000000000004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70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50</v>
      </c>
      <c r="Y452" s="554">
        <f t="shared" si="53"/>
        <v>52.800000000000004</v>
      </c>
      <c r="Z452" s="36">
        <f>IFERROR(IF(Y452=0,"",ROUNDUP(Y452/H452,0)*0.01196),"")</f>
        <v>0.1196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53.314393939393938</v>
      </c>
      <c r="BN452" s="64">
        <f t="shared" si="55"/>
        <v>56.3</v>
      </c>
      <c r="BO452" s="64">
        <f t="shared" si="56"/>
        <v>9.1054778554778545E-2</v>
      </c>
      <c r="BP452" s="64">
        <f t="shared" si="57"/>
        <v>9.6153846153846159E-2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30</v>
      </c>
      <c r="Y453" s="554">
        <f t="shared" si="53"/>
        <v>33.6</v>
      </c>
      <c r="Z453" s="36">
        <f>IFERROR(IF(Y453=0,"",ROUNDUP(Y453/H453,0)*0.00902),"")</f>
        <v>6.3140000000000002E-2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43.187500000000007</v>
      </c>
      <c r="BN453" s="64">
        <f t="shared" si="55"/>
        <v>48.370000000000005</v>
      </c>
      <c r="BO453" s="64">
        <f t="shared" si="56"/>
        <v>4.7348484848484848E-2</v>
      </c>
      <c r="BP453" s="64">
        <f t="shared" si="57"/>
        <v>5.3030303030303039E-2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72</v>
      </c>
      <c r="Y455" s="554">
        <f t="shared" si="53"/>
        <v>72</v>
      </c>
      <c r="Z455" s="36">
        <f>IFERROR(IF(Y455=0,"",ROUNDUP(Y455/H455,0)*0.00902),"")</f>
        <v>0.1353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100.05000000000001</v>
      </c>
      <c r="BN455" s="64">
        <f t="shared" si="55"/>
        <v>100.05000000000001</v>
      </c>
      <c r="BO455" s="64">
        <f t="shared" si="56"/>
        <v>0.11363636363636365</v>
      </c>
      <c r="BP455" s="64">
        <f t="shared" si="57"/>
        <v>0.11363636363636365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47.727272727272727</v>
      </c>
      <c r="Y456" s="555">
        <f>IFERROR(Y450/H450,"0")+IFERROR(Y451/H451,"0")+IFERROR(Y452/H452,"0")+IFERROR(Y453/H453,"0")+IFERROR(Y454/H454,"0")+IFERROR(Y455/H455,"0")</f>
        <v>50</v>
      </c>
      <c r="Z456" s="555">
        <f>IFERROR(IF(Z450="",0,Z450),"0")+IFERROR(IF(Z451="",0,Z451),"0")+IFERROR(IF(Z452="",0,Z452),"0")+IFERROR(IF(Z453="",0,Z453),"0")+IFERROR(IF(Z454="",0,Z454),"0")+IFERROR(IF(Z455="",0,Z455),"0")</f>
        <v>0.52156000000000002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240</v>
      </c>
      <c r="Y457" s="555">
        <f>IFERROR(SUM(Y450:Y455),"0")</f>
        <v>251.51999999999998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30</v>
      </c>
      <c r="Y467" s="554">
        <f>IFERROR(IF(X467="",0,CEILING((X467/$H467),1)*$H467),"")</f>
        <v>36</v>
      </c>
      <c r="Z467" s="36">
        <f>IFERROR(IF(Y467=0,"",ROUNDUP(Y467/H467,0)*0.01898),"")</f>
        <v>5.6940000000000004E-2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31.025000000000002</v>
      </c>
      <c r="BN467" s="64">
        <f>IFERROR(Y467*I467/H467,"0")</f>
        <v>37.229999999999997</v>
      </c>
      <c r="BO467" s="64">
        <f>IFERROR(1/J467*(X467/H467),"0")</f>
        <v>3.90625E-2</v>
      </c>
      <c r="BP467" s="64">
        <f>IFERROR(1/J467*(Y467/H467),"0")</f>
        <v>4.6875E-2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2.5</v>
      </c>
      <c r="Y469" s="555">
        <f>IFERROR(Y465/H465,"0")+IFERROR(Y466/H466,"0")+IFERROR(Y467/H467,"0")+IFERROR(Y468/H468,"0")</f>
        <v>3</v>
      </c>
      <c r="Z469" s="555">
        <f>IFERROR(IF(Z465="",0,Z465),"0")+IFERROR(IF(Z466="",0,Z466),"0")+IFERROR(IF(Z467="",0,Z467),"0")+IFERROR(IF(Z468="",0,Z468),"0")</f>
        <v>5.6940000000000004E-2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30</v>
      </c>
      <c r="Y470" s="555">
        <f>IFERROR(SUM(Y465:Y468),"0")</f>
        <v>36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1100</v>
      </c>
      <c r="Y482" s="554">
        <f>IFERROR(IF(X482="",0,CEILING((X482/$H482),1)*$H482),"")</f>
        <v>1107</v>
      </c>
      <c r="Z482" s="36">
        <f>IFERROR(IF(Y482=0,"",ROUNDUP(Y482/H482,0)*0.01898),"")</f>
        <v>2.3345400000000001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1160.3777777777777</v>
      </c>
      <c r="BN482" s="64">
        <f>IFERROR(Y482*I482/H482,"0")</f>
        <v>1167.7619999999999</v>
      </c>
      <c r="BO482" s="64">
        <f>IFERROR(1/J482*(X482/H482),"0")</f>
        <v>1.9097222222222223</v>
      </c>
      <c r="BP482" s="64">
        <f>IFERROR(1/J482*(Y482/H482),"0")</f>
        <v>1.921875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122.22222222222223</v>
      </c>
      <c r="Y483" s="555">
        <f>IFERROR(Y482/H482,"0")</f>
        <v>123</v>
      </c>
      <c r="Z483" s="555">
        <f>IFERROR(IF(Z482="",0,Z482),"0")</f>
        <v>2.3345400000000001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1100</v>
      </c>
      <c r="Y484" s="555">
        <f>IFERROR(SUM(Y482:Y482),"0")</f>
        <v>1107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17506.3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17705.539999999997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18715.850612595161</v>
      </c>
      <c r="Y496" s="555">
        <f>IFERROR(SUM(BN22:BN492),"0")</f>
        <v>18929.130999999998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32</v>
      </c>
      <c r="Y497" s="38">
        <f>ROUNDUP(SUM(BP22:BP492),0)</f>
        <v>33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19515.850612595161</v>
      </c>
      <c r="Y498" s="555">
        <f>GrossWeightTotalR+PalletQtyTotalR*25</f>
        <v>19754.130999999998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3888.516293519167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3923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37.537610000000001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308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1043.1000000000001</v>
      </c>
      <c r="E505" s="46">
        <f>IFERROR(Y85*1,"0")+IFERROR(Y86*1,"0")+IFERROR(Y87*1,"0")+IFERROR(Y88*1,"0")+IFERROR(Y92*1,"0")+IFERROR(Y93*1,"0")+IFERROR(Y94*1,"0")+IFERROR(Y95*1,"0")</f>
        <v>1691.1000000000001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1841.1</v>
      </c>
      <c r="G505" s="46">
        <f>IFERROR(Y127*1,"0")+IFERROR(Y128*1,"0")+IFERROR(Y132*1,"0")+IFERROR(Y133*1,"0")+IFERROR(Y137*1,"0")+IFERROR(Y138*1,"0")</f>
        <v>123.76000000000002</v>
      </c>
      <c r="H505" s="46">
        <f>IFERROR(Y143*1,"0")+IFERROR(Y144*1,"0")+IFERROR(Y148*1,"0")+IFERROR(Y149*1,"0")+IFERROR(Y150*1,"0")+IFERROR(Y151*1,"0")+IFERROR(Y152*1,"0")+IFERROR(Y153*1,"0")+IFERROR(Y157*1,"0")</f>
        <v>113.4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592.48000000000013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1976.9999999999995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99.8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321.60000000000002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796.2</v>
      </c>
      <c r="R505" s="46">
        <f>IFERROR(Y342*1,"0")+IFERROR(Y343*1,"0")+IFERROR(Y344*1,"0")</f>
        <v>1505.7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5045</v>
      </c>
      <c r="T505" s="46">
        <f>IFERROR(Y375*1,"0")+IFERROR(Y376*1,"0")+IFERROR(Y380*1,"0")+IFERROR(Y381*1,"0")+IFERROR(Y385*1,"0")+IFERROR(Y386*1,"0")+IFERROR(Y387*1,"0")</f>
        <v>96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81.900000000000006</v>
      </c>
      <c r="V505" s="46">
        <f>IFERROR(Y411*1,"0")+IFERROR(Y415*1,"0")+IFERROR(Y416*1,"0")+IFERROR(Y417*1,"0")+IFERROR(Y418*1,"0")</f>
        <v>8.4</v>
      </c>
      <c r="W505" s="46">
        <f>IFERROR(Y423*1,"0")</f>
        <v>10.799999999999999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907.19999999999993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1143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5,00"/>
        <filter val="1 100,00"/>
        <filter val="1 200,00"/>
        <filter val="1 212,00"/>
        <filter val="1 240,00"/>
        <filter val="1 415,00"/>
        <filter val="1 505,00"/>
        <filter val="1,11"/>
        <filter val="10,00"/>
        <filter val="10,50"/>
        <filter val="100,00"/>
        <filter val="105,00"/>
        <filter val="110,00"/>
        <filter val="116,89"/>
        <filter val="117,78"/>
        <filter val="119,26"/>
        <filter val="12,00"/>
        <filter val="120,00"/>
        <filter val="122,22"/>
        <filter val="132,00"/>
        <filter val="133,33"/>
        <filter val="14,00"/>
        <filter val="140,00"/>
        <filter val="15,00"/>
        <filter val="150,00"/>
        <filter val="157,50"/>
        <filter val="16,00"/>
        <filter val="160,00"/>
        <filter val="17 506,30"/>
        <filter val="17,50"/>
        <filter val="17,72"/>
        <filter val="18 715,85"/>
        <filter val="18,00"/>
        <filter val="18,75"/>
        <filter val="180,00"/>
        <filter val="19 515,85"/>
        <filter val="198,15"/>
        <filter val="2,50"/>
        <filter val="2,78"/>
        <filter val="20,00"/>
        <filter val="200,00"/>
        <filter val="21,00"/>
        <filter val="22,50"/>
        <filter val="220,00"/>
        <filter val="229,48"/>
        <filter val="240,00"/>
        <filter val="256,67"/>
        <filter val="26,19"/>
        <filter val="26,67"/>
        <filter val="27,78"/>
        <filter val="278,40"/>
        <filter val="280,00"/>
        <filter val="3 750,00"/>
        <filter val="3 888,52"/>
        <filter val="3,33"/>
        <filter val="3,50"/>
        <filter val="30,00"/>
        <filter val="300,00"/>
        <filter val="315,00"/>
        <filter val="32"/>
        <filter val="32,00"/>
        <filter val="320,00"/>
        <filter val="35,00"/>
        <filter val="350,00"/>
        <filter val="370,50"/>
        <filter val="371,91"/>
        <filter val="38,33"/>
        <filter val="39,60"/>
        <filter val="4,17"/>
        <filter val="4,44"/>
        <filter val="40,00"/>
        <filter val="400,00"/>
        <filter val="405,00"/>
        <filter val="41,67"/>
        <filter val="42,00"/>
        <filter val="45,00"/>
        <filter val="47,73"/>
        <filter val="48,00"/>
        <filter val="486,49"/>
        <filter val="49,50"/>
        <filter val="495,00"/>
        <filter val="5,00"/>
        <filter val="5,13"/>
        <filter val="5,50"/>
        <filter val="5,60"/>
        <filter val="50,00"/>
        <filter val="500,00"/>
        <filter val="51,00"/>
        <filter val="548,70"/>
        <filter val="585,00"/>
        <filter val="59,26"/>
        <filter val="592,00"/>
        <filter val="595,00"/>
        <filter val="6,67"/>
        <filter val="64,00"/>
        <filter val="640,00"/>
        <filter val="650,00"/>
        <filter val="7,00"/>
        <filter val="70,00"/>
        <filter val="705,00"/>
        <filter val="716,67"/>
        <filter val="72,00"/>
        <filter val="720,00"/>
        <filter val="735,00"/>
        <filter val="75,00"/>
        <filter val="75,93"/>
        <filter val="770,00"/>
        <filter val="79,63"/>
        <filter val="79,85"/>
        <filter val="8,33"/>
        <filter val="80,00"/>
        <filter val="80,50"/>
        <filter val="800,00"/>
        <filter val="83,00"/>
        <filter val="84,00"/>
        <filter val="85,00"/>
        <filter val="9,47"/>
        <filter val="900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2026-01-14T11:55:46Z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