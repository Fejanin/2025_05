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BB8CAC4-421C-4A35-92C6-728C3EECE56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X499" i="1"/>
  <c r="Z28" i="1"/>
  <c r="BN28" i="1"/>
  <c r="Z55" i="1"/>
  <c r="BN55" i="1"/>
  <c r="Z67" i="1"/>
  <c r="BN67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9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F9" i="1"/>
  <c r="F10" i="1"/>
  <c r="Z22" i="1"/>
  <c r="BN22" i="1"/>
  <c r="Y32" i="1"/>
  <c r="Z30" i="1"/>
  <c r="BN30" i="1"/>
  <c r="C505" i="1"/>
  <c r="Z53" i="1"/>
  <c r="BN53" i="1"/>
  <c r="Z57" i="1"/>
  <c r="BN57" i="1"/>
  <c r="Y65" i="1"/>
  <c r="Z63" i="1"/>
  <c r="BN63" i="1"/>
  <c r="Z73" i="1"/>
  <c r="BN73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202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Y76" i="1"/>
  <c r="BP80" i="1"/>
  <c r="BN80" i="1"/>
  <c r="Z80" i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Y489" i="1"/>
  <c r="Z505" i="1"/>
  <c r="Y493" i="1"/>
  <c r="BP492" i="1"/>
  <c r="BN492" i="1"/>
  <c r="Z492" i="1"/>
  <c r="Z493" i="1" s="1"/>
  <c r="Y494" i="1"/>
  <c r="Z268" i="1" l="1"/>
  <c r="Z488" i="1"/>
  <c r="Z388" i="1"/>
  <c r="Z357" i="1"/>
  <c r="Z338" i="1"/>
  <c r="Z243" i="1"/>
  <c r="Z456" i="1"/>
  <c r="Z377" i="1"/>
  <c r="Z129" i="1"/>
  <c r="Z24" i="1"/>
  <c r="Z119" i="1"/>
  <c r="Z303" i="1"/>
  <c r="Z105" i="1"/>
  <c r="Z447" i="1"/>
  <c r="Z382" i="1"/>
  <c r="Z332" i="1"/>
  <c r="Z259" i="1"/>
  <c r="Z367" i="1"/>
  <c r="Z96" i="1"/>
  <c r="Z89" i="1"/>
  <c r="Z81" i="1"/>
  <c r="Z76" i="1"/>
  <c r="Z58" i="1"/>
  <c r="Y497" i="1"/>
  <c r="Y498" i="1" s="1"/>
  <c r="Y496" i="1"/>
  <c r="Z197" i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Y499" i="1"/>
  <c r="X498" i="1"/>
  <c r="Y495" i="1"/>
  <c r="Z500" i="1" l="1"/>
</calcChain>
</file>

<file path=xl/sharedStrings.xml><?xml version="1.0" encoding="utf-8"?>
<sst xmlns="http://schemas.openxmlformats.org/spreadsheetml/2006/main" count="2359" uniqueCount="782">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</sst>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46039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0.45833333333333331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hidden="1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80</v>
      </c>
      <c r="Y53" s="554">
        <f t="shared" si="0"/>
        <v>86.4</v>
      </c>
      <c r="Z53" s="36">
        <f>IFERROR(IF(Y53=0,"",ROUNDUP(Y53/H53,0)*0.01898),"")</f>
        <v>0.15184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83.037037037037038</v>
      </c>
      <c r="BN53" s="64">
        <f t="shared" si="2"/>
        <v>89.68</v>
      </c>
      <c r="BO53" s="64">
        <f t="shared" si="3"/>
        <v>0.11574074074074073</v>
      </c>
      <c r="BP53" s="64">
        <f t="shared" si="4"/>
        <v>0.125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7.4074074074074066</v>
      </c>
      <c r="Y58" s="555">
        <f>IFERROR(Y52/H52,"0")+IFERROR(Y53/H53,"0")+IFERROR(Y54/H54,"0")+IFERROR(Y55/H55,"0")+IFERROR(Y56/H56,"0")+IFERROR(Y57/H57,"0")</f>
        <v>8</v>
      </c>
      <c r="Z58" s="555">
        <f>IFERROR(IF(Z52="",0,Z52),"0")+IFERROR(IF(Z53="",0,Z53),"0")+IFERROR(IF(Z54="",0,Z54),"0")+IFERROR(IF(Z55="",0,Z55),"0")+IFERROR(IF(Z56="",0,Z56),"0")+IFERROR(IF(Z57="",0,Z57),"0")</f>
        <v>0.15184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80</v>
      </c>
      <c r="Y59" s="555">
        <f>IFERROR(SUM(Y52:Y57),"0")</f>
        <v>86.4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hidden="1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150</v>
      </c>
      <c r="Y92" s="554">
        <f>IFERROR(IF(X92="",0,CEILING((X92/$H92),1)*$H92),"")</f>
        <v>153.9</v>
      </c>
      <c r="Z92" s="36">
        <f>IFERROR(IF(Y92=0,"",ROUNDUP(Y92/H92,0)*0.01898),"")</f>
        <v>0.36062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159.14814814814815</v>
      </c>
      <c r="BN92" s="64">
        <f>IFERROR(Y92*I92/H92,"0")</f>
        <v>163.286</v>
      </c>
      <c r="BO92" s="64">
        <f>IFERROR(1/J92*(X92/H92),"0")</f>
        <v>0.28935185185185186</v>
      </c>
      <c r="BP92" s="64">
        <f>IFERROR(1/J92*(Y92/H92),"0")</f>
        <v>0.296875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67.5</v>
      </c>
      <c r="Y94" s="554">
        <f>IFERROR(IF(X94="",0,CEILING((X94/$H94),1)*$H94),"")</f>
        <v>67.5</v>
      </c>
      <c r="Z94" s="36">
        <f>IFERROR(IF(Y94=0,"",ROUNDUP(Y94/H94,0)*0.00651),"")</f>
        <v>0.16275000000000001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73.8</v>
      </c>
      <c r="BN94" s="64">
        <f>IFERROR(Y94*I94/H94,"0")</f>
        <v>73.8</v>
      </c>
      <c r="BO94" s="64">
        <f>IFERROR(1/J94*(X94/H94),"0")</f>
        <v>0.13736263736263737</v>
      </c>
      <c r="BP94" s="64">
        <f>IFERROR(1/J94*(Y94/H94),"0")</f>
        <v>0.13736263736263737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43.518518518518519</v>
      </c>
      <c r="Y96" s="555">
        <f>IFERROR(Y92/H92,"0")+IFERROR(Y93/H93,"0")+IFERROR(Y94/H94,"0")+IFERROR(Y95/H95,"0")</f>
        <v>44</v>
      </c>
      <c r="Z96" s="555">
        <f>IFERROR(IF(Z92="",0,Z92),"0")+IFERROR(IF(Z93="",0,Z93),"0")+IFERROR(IF(Z94="",0,Z94),"0")+IFERROR(IF(Z95="",0,Z95),"0")</f>
        <v>0.52337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217.5</v>
      </c>
      <c r="Y97" s="555">
        <f>IFERROR(SUM(Y92:Y95),"0")</f>
        <v>221.4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hidden="1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200</v>
      </c>
      <c r="Y115" s="554">
        <f>IFERROR(IF(X115="",0,CEILING((X115/$H115),1)*$H115),"")</f>
        <v>202.5</v>
      </c>
      <c r="Z115" s="36">
        <f>IFERROR(IF(Y115=0,"",ROUNDUP(Y115/H115,0)*0.01898),"")</f>
        <v>0.47450000000000003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212.04938271604939</v>
      </c>
      <c r="BN115" s="64">
        <f>IFERROR(Y115*I115/H115,"0")</f>
        <v>214.7</v>
      </c>
      <c r="BO115" s="64">
        <f>IFERROR(1/J115*(X115/H115),"0")</f>
        <v>0.38580246913580246</v>
      </c>
      <c r="BP115" s="64">
        <f>IFERROR(1/J115*(Y115/H115),"0")</f>
        <v>0.390625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67.5</v>
      </c>
      <c r="Y117" s="554">
        <f>IFERROR(IF(X117="",0,CEILING((X117/$H117),1)*$H117),"")</f>
        <v>67.5</v>
      </c>
      <c r="Z117" s="36">
        <f>IFERROR(IF(Y117=0,"",ROUNDUP(Y117/H117,0)*0.00651),"")</f>
        <v>0.16275000000000001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73.8</v>
      </c>
      <c r="BN117" s="64">
        <f>IFERROR(Y117*I117/H117,"0")</f>
        <v>73.8</v>
      </c>
      <c r="BO117" s="64">
        <f>IFERROR(1/J117*(X117/H117),"0")</f>
        <v>0.13736263736263737</v>
      </c>
      <c r="BP117" s="64">
        <f>IFERROR(1/J117*(Y117/H117),"0")</f>
        <v>0.13736263736263737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49.691358024691354</v>
      </c>
      <c r="Y119" s="555">
        <f>IFERROR(Y115/H115,"0")+IFERROR(Y116/H116,"0")+IFERROR(Y117/H117,"0")+IFERROR(Y118/H118,"0")</f>
        <v>50</v>
      </c>
      <c r="Z119" s="555">
        <f>IFERROR(IF(Z115="",0,Z115),"0")+IFERROR(IF(Z116="",0,Z116),"0")+IFERROR(IF(Z117="",0,Z117),"0")+IFERROR(IF(Z118="",0,Z118),"0")</f>
        <v>0.63725000000000009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267.5</v>
      </c>
      <c r="Y120" s="555">
        <f>IFERROR(SUM(Y115:Y118),"0")</f>
        <v>270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15</v>
      </c>
      <c r="Y170" s="554">
        <f t="shared" si="10"/>
        <v>16.8</v>
      </c>
      <c r="Z170" s="36">
        <f>IFERROR(IF(Y170=0,"",ROUNDUP(Y170/H170,0)*0.00902),"")</f>
        <v>3.6080000000000001E-2</v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15.892857142857142</v>
      </c>
      <c r="BN170" s="64">
        <f t="shared" si="12"/>
        <v>17.8</v>
      </c>
      <c r="BO170" s="64">
        <f t="shared" si="13"/>
        <v>2.7056277056277056E-2</v>
      </c>
      <c r="BP170" s="64">
        <f t="shared" si="14"/>
        <v>3.0303030303030304E-2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15</v>
      </c>
      <c r="Y171" s="554">
        <f t="shared" si="10"/>
        <v>16.8</v>
      </c>
      <c r="Z171" s="36">
        <f>IFERROR(IF(Y171=0,"",ROUNDUP(Y171/H171,0)*0.00902),"")</f>
        <v>3.6080000000000001E-2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15.678571428571427</v>
      </c>
      <c r="BN171" s="64">
        <f t="shared" si="12"/>
        <v>17.559999999999999</v>
      </c>
      <c r="BO171" s="64">
        <f t="shared" si="13"/>
        <v>2.7056277056277056E-2</v>
      </c>
      <c r="BP171" s="64">
        <f t="shared" si="14"/>
        <v>3.0303030303030304E-2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7.1428571428571423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8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7.2160000000000002E-2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30</v>
      </c>
      <c r="Y182" s="555">
        <f>IFERROR(SUM(Y167:Y180),"0")</f>
        <v>33.6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150</v>
      </c>
      <c r="Y205" s="554">
        <f t="shared" ref="Y205:Y212" si="15">IFERROR(IF(X205="",0,CEILING((X205/$H205),1)*$H205),"")</f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155.27777777777777</v>
      </c>
      <c r="BN205" s="64">
        <f t="shared" ref="BN205:BN212" si="17">IFERROR(Y205*I205/H205,"0")</f>
        <v>156.52000000000001</v>
      </c>
      <c r="BO205" s="64">
        <f t="shared" ref="BO205:BO212" si="18">IFERROR(1/J205*(X205/H205),"0")</f>
        <v>0.21043771043771042</v>
      </c>
      <c r="BP205" s="64">
        <f t="shared" ref="BP205:BP212" si="19">IFERROR(1/J205*(Y205/H205),"0")</f>
        <v>0.21212121212121213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80</v>
      </c>
      <c r="Y207" s="554">
        <f t="shared" si="15"/>
        <v>81</v>
      </c>
      <c r="Z207" s="36">
        <f>IFERROR(IF(Y207=0,"",ROUNDUP(Y207/H207,0)*0.00902),"")</f>
        <v>0.1353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82.81481481481481</v>
      </c>
      <c r="BN207" s="64">
        <f t="shared" si="17"/>
        <v>83.85</v>
      </c>
      <c r="BO207" s="64">
        <f t="shared" si="18"/>
        <v>0.11223344556677889</v>
      </c>
      <c r="BP207" s="64">
        <f t="shared" si="19"/>
        <v>0.11363636363636363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42.592592592592588</v>
      </c>
      <c r="Y213" s="555">
        <f>IFERROR(Y205/H205,"0")+IFERROR(Y206/H206,"0")+IFERROR(Y207/H207,"0")+IFERROR(Y208/H208,"0")+IFERROR(Y209/H209,"0")+IFERROR(Y210/H210,"0")+IFERROR(Y211/H211,"0")+IFERROR(Y212/H212,"0")</f>
        <v>43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0.38785999999999998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230</v>
      </c>
      <c r="Y214" s="555">
        <f>IFERROR(SUM(Y205:Y212),"0")</f>
        <v>232.20000000000002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40</v>
      </c>
      <c r="Y216" s="554">
        <f t="shared" ref="Y216:Y224" si="20">IFERROR(IF(X216="",0,CEILING((X216/$H216),1)*$H216),"")</f>
        <v>40.5</v>
      </c>
      <c r="Z216" s="36">
        <f>IFERROR(IF(Y216=0,"",ROUNDUP(Y216/H216,0)*0.01898),"")</f>
        <v>9.4899999999999998E-2</v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42.439506172839508</v>
      </c>
      <c r="BN216" s="64">
        <f t="shared" ref="BN216:BN224" si="22">IFERROR(Y216*I216/H216,"0")</f>
        <v>42.97</v>
      </c>
      <c r="BO216" s="64">
        <f t="shared" ref="BO216:BO224" si="23">IFERROR(1/J216*(X216/H216),"0")</f>
        <v>7.7160493827160503E-2</v>
      </c>
      <c r="BP216" s="64">
        <f t="shared" ref="BP216:BP224" si="24">IFERROR(1/J216*(Y216/H216),"0")</f>
        <v>7.8125E-2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40</v>
      </c>
      <c r="Y218" s="554">
        <f t="shared" si="20"/>
        <v>43.5</v>
      </c>
      <c r="Z218" s="36">
        <f>IFERROR(IF(Y218=0,"",ROUNDUP(Y218/H218,0)*0.01898),"")</f>
        <v>9.4899999999999998E-2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42.271264367816102</v>
      </c>
      <c r="BN218" s="64">
        <f t="shared" si="22"/>
        <v>45.970000000000006</v>
      </c>
      <c r="BO218" s="64">
        <f t="shared" si="23"/>
        <v>7.1839080459770124E-2</v>
      </c>
      <c r="BP218" s="64">
        <f t="shared" si="24"/>
        <v>7.8125E-2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240</v>
      </c>
      <c r="Y219" s="554">
        <f t="shared" si="20"/>
        <v>240</v>
      </c>
      <c r="Z219" s="36">
        <f t="shared" ref="Z219:Z224" si="25">IFERROR(IF(Y219=0,"",ROUNDUP(Y219/H219,0)*0.00651),"")</f>
        <v>0.65100000000000002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267</v>
      </c>
      <c r="BN219" s="64">
        <f t="shared" si="22"/>
        <v>267</v>
      </c>
      <c r="BO219" s="64">
        <f t="shared" si="23"/>
        <v>0.5494505494505495</v>
      </c>
      <c r="BP219" s="64">
        <f t="shared" si="24"/>
        <v>0.5494505494505495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192</v>
      </c>
      <c r="Y221" s="554">
        <f t="shared" si="20"/>
        <v>192</v>
      </c>
      <c r="Z221" s="36">
        <f t="shared" si="25"/>
        <v>0.52080000000000004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212.16000000000003</v>
      </c>
      <c r="BN221" s="64">
        <f t="shared" si="22"/>
        <v>212.16000000000003</v>
      </c>
      <c r="BO221" s="64">
        <f t="shared" si="23"/>
        <v>0.43956043956043961</v>
      </c>
      <c r="BP221" s="64">
        <f t="shared" si="24"/>
        <v>0.43956043956043961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192</v>
      </c>
      <c r="Y222" s="554">
        <f t="shared" si="20"/>
        <v>192</v>
      </c>
      <c r="Z222" s="36">
        <f t="shared" si="25"/>
        <v>0.52080000000000004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212.16000000000003</v>
      </c>
      <c r="BN222" s="64">
        <f t="shared" si="22"/>
        <v>212.16000000000003</v>
      </c>
      <c r="BO222" s="64">
        <f t="shared" si="23"/>
        <v>0.43956043956043961</v>
      </c>
      <c r="BP222" s="64">
        <f t="shared" si="24"/>
        <v>0.43956043956043961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192</v>
      </c>
      <c r="Y223" s="554">
        <f t="shared" si="20"/>
        <v>192</v>
      </c>
      <c r="Z223" s="36">
        <f t="shared" si="25"/>
        <v>0.52080000000000004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212.16000000000003</v>
      </c>
      <c r="BN223" s="64">
        <f t="shared" si="22"/>
        <v>212.16000000000003</v>
      </c>
      <c r="BO223" s="64">
        <f t="shared" si="23"/>
        <v>0.43956043956043961</v>
      </c>
      <c r="BP223" s="64">
        <f t="shared" si="24"/>
        <v>0.43956043956043961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192</v>
      </c>
      <c r="Y224" s="554">
        <f t="shared" si="20"/>
        <v>192</v>
      </c>
      <c r="Z224" s="36">
        <f t="shared" si="25"/>
        <v>0.52080000000000004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212.64000000000001</v>
      </c>
      <c r="BN224" s="64">
        <f t="shared" si="22"/>
        <v>212.64000000000001</v>
      </c>
      <c r="BO224" s="64">
        <f t="shared" si="23"/>
        <v>0.43956043956043961</v>
      </c>
      <c r="BP224" s="64">
        <f t="shared" si="24"/>
        <v>0.43956043956043961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429.53597275436357</v>
      </c>
      <c r="Y225" s="555">
        <f>IFERROR(Y216/H216,"0")+IFERROR(Y217/H217,"0")+IFERROR(Y218/H218,"0")+IFERROR(Y219/H219,"0")+IFERROR(Y220/H220,"0")+IFERROR(Y221/H221,"0")+IFERROR(Y222/H222,"0")+IFERROR(Y223/H223,"0")+IFERROR(Y224/H224,"0")</f>
        <v>430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2.9239999999999999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1088</v>
      </c>
      <c r="Y226" s="555">
        <f>IFERROR(SUM(Y216:Y224),"0")</f>
        <v>1092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7.2</v>
      </c>
      <c r="Y228" s="554">
        <f>IFERROR(IF(X228="",0,CEILING((X228/$H228),1)*$H228),"")</f>
        <v>7.1999999999999993</v>
      </c>
      <c r="Z228" s="36">
        <f>IFERROR(IF(Y228=0,"",ROUNDUP(Y228/H228,0)*0.00651),"")</f>
        <v>1.9529999999999999E-2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7.9560000000000004</v>
      </c>
      <c r="BN228" s="64">
        <f>IFERROR(Y228*I228/H228,"0")</f>
        <v>7.9560000000000004</v>
      </c>
      <c r="BO228" s="64">
        <f>IFERROR(1/J228*(X228/H228),"0")</f>
        <v>1.6483516483516484E-2</v>
      </c>
      <c r="BP228" s="64">
        <f>IFERROR(1/J228*(Y228/H228),"0")</f>
        <v>1.6483516483516484E-2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7.2</v>
      </c>
      <c r="Y229" s="554">
        <f>IFERROR(IF(X229="",0,CEILING((X229/$H229),1)*$H229),"")</f>
        <v>7.1999999999999993</v>
      </c>
      <c r="Z229" s="36">
        <f>IFERROR(IF(Y229=0,"",ROUNDUP(Y229/H229,0)*0.00651),"")</f>
        <v>1.9529999999999999E-2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7.9560000000000004</v>
      </c>
      <c r="BN229" s="64">
        <f>IFERROR(Y229*I229/H229,"0")</f>
        <v>7.9560000000000004</v>
      </c>
      <c r="BO229" s="64">
        <f>IFERROR(1/J229*(X229/H229),"0")</f>
        <v>1.6483516483516484E-2</v>
      </c>
      <c r="BP229" s="64">
        <f>IFERROR(1/J229*(Y229/H229),"0")</f>
        <v>1.6483516483516484E-2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6</v>
      </c>
      <c r="Y230" s="555">
        <f>IFERROR(Y228/H228,"0")+IFERROR(Y229/H229,"0")</f>
        <v>6</v>
      </c>
      <c r="Z230" s="555">
        <f>IFERROR(IF(Z228="",0,Z228),"0")+IFERROR(IF(Z229="",0,Z229),"0")</f>
        <v>3.9059999999999997E-2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14.4</v>
      </c>
      <c r="Y231" s="555">
        <f>IFERROR(SUM(Y228:Y229),"0")</f>
        <v>14.399999999999999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80</v>
      </c>
      <c r="Y306" s="554">
        <f t="shared" ref="Y306:Y311" si="31">IFERROR(IF(X306="",0,CEILING((X306/$H306),1)*$H306),"")</f>
        <v>84</v>
      </c>
      <c r="Z306" s="36">
        <f>IFERROR(IF(Y306=0,"",ROUNDUP(Y306/H306,0)*0.00902),"")</f>
        <v>0.1804</v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84.761904761904759</v>
      </c>
      <c r="BN306" s="64">
        <f t="shared" ref="BN306:BN311" si="33">IFERROR(Y306*I306/H306,"0")</f>
        <v>89</v>
      </c>
      <c r="BO306" s="64">
        <f t="shared" ref="BO306:BO311" si="34">IFERROR(1/J306*(X306/H306),"0")</f>
        <v>0.14430014430014429</v>
      </c>
      <c r="BP306" s="64">
        <f t="shared" ref="BP306:BP311" si="35">IFERROR(1/J306*(Y306/H306),"0")</f>
        <v>0.15151515151515152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19.047619047619047</v>
      </c>
      <c r="Y312" s="555">
        <f>IFERROR(Y306/H306,"0")+IFERROR(Y307/H307,"0")+IFERROR(Y308/H308,"0")+IFERROR(Y309/H309,"0")+IFERROR(Y310/H310,"0")+IFERROR(Y311/H311,"0")</f>
        <v>20</v>
      </c>
      <c r="Z312" s="555">
        <f>IFERROR(IF(Z306="",0,Z306),"0")+IFERROR(IF(Z307="",0,Z307),"0")+IFERROR(IF(Z308="",0,Z308),"0")+IFERROR(IF(Z309="",0,Z309),"0")+IFERROR(IF(Z310="",0,Z310),"0")+IFERROR(IF(Z311="",0,Z311),"0")</f>
        <v>0.1804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80</v>
      </c>
      <c r="Y313" s="555">
        <f>IFERROR(SUM(Y306:Y311),"0")</f>
        <v>84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50</v>
      </c>
      <c r="Y322" s="554">
        <f>IFERROR(IF(X322="",0,CEILING((X322/$H322),1)*$H322),"")</f>
        <v>50.400000000000006</v>
      </c>
      <c r="Z322" s="36">
        <f>IFERROR(IF(Y322=0,"",ROUNDUP(Y322/H322,0)*0.01898),"")</f>
        <v>0.11388000000000001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52.94047619047619</v>
      </c>
      <c r="BN322" s="64">
        <f>IFERROR(Y322*I322/H322,"0")</f>
        <v>53.364000000000004</v>
      </c>
      <c r="BO322" s="64">
        <f>IFERROR(1/J322*(X322/H322),"0")</f>
        <v>9.3005952380952384E-2</v>
      </c>
      <c r="BP322" s="64">
        <f>IFERROR(1/J322*(Y322/H322),"0")</f>
        <v>9.375E-2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180</v>
      </c>
      <c r="Y323" s="554">
        <f>IFERROR(IF(X323="",0,CEILING((X323/$H323),1)*$H323),"")</f>
        <v>187.2</v>
      </c>
      <c r="Z323" s="36">
        <f>IFERROR(IF(Y323=0,"",ROUNDUP(Y323/H323,0)*0.01898),"")</f>
        <v>0.45552000000000004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191.4</v>
      </c>
      <c r="BN323" s="64">
        <f>IFERROR(Y323*I323/H323,"0")</f>
        <v>199.05600000000001</v>
      </c>
      <c r="BO323" s="64">
        <f>IFERROR(1/J323*(X323/H323),"0")</f>
        <v>0.36057692307692307</v>
      </c>
      <c r="BP323" s="64">
        <f>IFERROR(1/J323*(Y323/H323),"0")</f>
        <v>0.375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15</v>
      </c>
      <c r="Y324" s="554">
        <f>IFERROR(IF(X324="",0,CEILING((X324/$H324),1)*$H324),"")</f>
        <v>16.8</v>
      </c>
      <c r="Z324" s="36">
        <f>IFERROR(IF(Y324=0,"",ROUNDUP(Y324/H324,0)*0.01898),"")</f>
        <v>3.7960000000000001E-2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15.882142857142856</v>
      </c>
      <c r="BN324" s="64">
        <f>IFERROR(Y324*I324/H324,"0")</f>
        <v>17.788</v>
      </c>
      <c r="BO324" s="64">
        <f>IFERROR(1/J324*(X324/H324),"0")</f>
        <v>2.7901785714285712E-2</v>
      </c>
      <c r="BP324" s="64">
        <f>IFERROR(1/J324*(Y324/H324),"0")</f>
        <v>3.125E-2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30.815018315018314</v>
      </c>
      <c r="Y325" s="555">
        <f>IFERROR(Y322/H322,"0")+IFERROR(Y323/H323,"0")+IFERROR(Y324/H324,"0")</f>
        <v>32</v>
      </c>
      <c r="Z325" s="555">
        <f>IFERROR(IF(Z322="",0,Z322),"0")+IFERROR(IF(Z323="",0,Z323),"0")+IFERROR(IF(Z324="",0,Z324),"0")</f>
        <v>0.60736000000000001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245</v>
      </c>
      <c r="Y326" s="555">
        <f>IFERROR(SUM(Y322:Y324),"0")</f>
        <v>254.4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2000</v>
      </c>
      <c r="Y350" s="554">
        <f t="shared" ref="Y350:Y356" si="36">IFERROR(IF(X350="",0,CEILING((X350/$H350),1)*$H350),"")</f>
        <v>2010</v>
      </c>
      <c r="Z350" s="36">
        <f>IFERROR(IF(Y350=0,"",ROUNDUP(Y350/H350,0)*0.02175),"")</f>
        <v>2.9144999999999999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2062.6666666666665</v>
      </c>
      <c r="BN350" s="64">
        <f t="shared" ref="BN350:BN356" si="38">IFERROR(Y350*I350/H350,"0")</f>
        <v>2072.98</v>
      </c>
      <c r="BO350" s="64">
        <f t="shared" ref="BO350:BO356" si="39">IFERROR(1/J350*(X350/H350),"0")</f>
        <v>2.7777777777777777</v>
      </c>
      <c r="BP350" s="64">
        <f t="shared" ref="BP350:BP356" si="40">IFERROR(1/J350*(Y350/H350),"0")</f>
        <v>2.7916666666666665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800</v>
      </c>
      <c r="Y351" s="554">
        <f t="shared" si="36"/>
        <v>810</v>
      </c>
      <c r="Z351" s="36">
        <f>IFERROR(IF(Y351=0,"",ROUNDUP(Y351/H351,0)*0.02175),"")</f>
        <v>1.1744999999999999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825.06666666666672</v>
      </c>
      <c r="BN351" s="64">
        <f t="shared" si="38"/>
        <v>835.38</v>
      </c>
      <c r="BO351" s="64">
        <f t="shared" si="39"/>
        <v>1.1111111111111112</v>
      </c>
      <c r="BP351" s="64">
        <f t="shared" si="40"/>
        <v>1.125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2000</v>
      </c>
      <c r="Y352" s="554">
        <f t="shared" si="36"/>
        <v>2010</v>
      </c>
      <c r="Z352" s="36">
        <f>IFERROR(IF(Y352=0,"",ROUNDUP(Y352/H352,0)*0.02175),"")</f>
        <v>2.9144999999999999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2062.6666666666665</v>
      </c>
      <c r="BN352" s="64">
        <f t="shared" si="38"/>
        <v>2072.98</v>
      </c>
      <c r="BO352" s="64">
        <f t="shared" si="39"/>
        <v>2.7777777777777777</v>
      </c>
      <c r="BP352" s="64">
        <f t="shared" si="40"/>
        <v>2.7916666666666665</v>
      </c>
    </row>
    <row r="353" spans="1:68" ht="27" hidden="1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320</v>
      </c>
      <c r="Y357" s="555">
        <f>IFERROR(Y350/H350,"0")+IFERROR(Y351/H351,"0")+IFERROR(Y352/H352,"0")+IFERROR(Y353/H353,"0")+IFERROR(Y354/H354,"0")+IFERROR(Y355/H355,"0")+IFERROR(Y356/H356,"0")</f>
        <v>322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7.0034999999999989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4800</v>
      </c>
      <c r="Y358" s="555">
        <f>IFERROR(SUM(Y350:Y356),"0")</f>
        <v>4830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1000</v>
      </c>
      <c r="Y360" s="554">
        <f>IFERROR(IF(X360="",0,CEILING((X360/$H360),1)*$H360),"")</f>
        <v>1005</v>
      </c>
      <c r="Z360" s="36">
        <f>IFERROR(IF(Y360=0,"",ROUNDUP(Y360/H360,0)*0.02175),"")</f>
        <v>1.4572499999999999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1031.3333333333333</v>
      </c>
      <c r="BN360" s="64">
        <f>IFERROR(Y360*I360/H360,"0")</f>
        <v>1036.49</v>
      </c>
      <c r="BO360" s="64">
        <f>IFERROR(1/J360*(X360/H360),"0")</f>
        <v>1.3888888888888888</v>
      </c>
      <c r="BP360" s="64">
        <f>IFERROR(1/J360*(Y360/H360),"0")</f>
        <v>1.3958333333333333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66.666666666666671</v>
      </c>
      <c r="Y362" s="555">
        <f>IFERROR(Y360/H360,"0")+IFERROR(Y361/H361,"0")</f>
        <v>67</v>
      </c>
      <c r="Z362" s="555">
        <f>IFERROR(IF(Z360="",0,Z360),"0")+IFERROR(IF(Z361="",0,Z361),"0")</f>
        <v>1.4572499999999999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1000</v>
      </c>
      <c r="Y363" s="555">
        <f>IFERROR(SUM(Y360:Y361),"0")</f>
        <v>1005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120</v>
      </c>
      <c r="Y366" s="554">
        <f>IFERROR(IF(X366="",0,CEILING((X366/$H366),1)*$H366),"")</f>
        <v>126</v>
      </c>
      <c r="Z366" s="36">
        <f>IFERROR(IF(Y366=0,"",ROUNDUP(Y366/H366,0)*0.01898),"")</f>
        <v>0.26572000000000001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126.58666666666666</v>
      </c>
      <c r="BN366" s="64">
        <f>IFERROR(Y366*I366/H366,"0")</f>
        <v>132.916</v>
      </c>
      <c r="BO366" s="64">
        <f>IFERROR(1/J366*(X366/H366),"0")</f>
        <v>0.20833333333333334</v>
      </c>
      <c r="BP366" s="64">
        <f>IFERROR(1/J366*(Y366/H366),"0")</f>
        <v>0.21875</v>
      </c>
    </row>
    <row r="367" spans="1:68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13.333333333333334</v>
      </c>
      <c r="Y367" s="555">
        <f>IFERROR(Y365/H365,"0")+IFERROR(Y366/H366,"0")</f>
        <v>14</v>
      </c>
      <c r="Z367" s="555">
        <f>IFERROR(IF(Z365="",0,Z365),"0")+IFERROR(IF(Z366="",0,Z366),"0")</f>
        <v>0.26572000000000001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120</v>
      </c>
      <c r="Y368" s="555">
        <f>IFERROR(SUM(Y365:Y366),"0")</f>
        <v>126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250</v>
      </c>
      <c r="Y370" s="554">
        <f>IFERROR(IF(X370="",0,CEILING((X370/$H370),1)*$H370),"")</f>
        <v>252</v>
      </c>
      <c r="Z370" s="36">
        <f>IFERROR(IF(Y370=0,"",ROUNDUP(Y370/H370,0)*0.01898),"")</f>
        <v>0.53144000000000002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263.72222222222223</v>
      </c>
      <c r="BN370" s="64">
        <f>IFERROR(Y370*I370/H370,"0")</f>
        <v>265.83199999999999</v>
      </c>
      <c r="BO370" s="64">
        <f>IFERROR(1/J370*(X370/H370),"0")</f>
        <v>0.43402777777777779</v>
      </c>
      <c r="BP370" s="64">
        <f>IFERROR(1/J370*(Y370/H370),"0")</f>
        <v>0.4375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27.777777777777779</v>
      </c>
      <c r="Y371" s="555">
        <f>IFERROR(Y370/H370,"0")</f>
        <v>28</v>
      </c>
      <c r="Z371" s="555">
        <f>IFERROR(IF(Z370="",0,Z370),"0")</f>
        <v>0.53144000000000002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250</v>
      </c>
      <c r="Y372" s="555">
        <f>IFERROR(SUM(Y370:Y370),"0")</f>
        <v>252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130</v>
      </c>
      <c r="Y385" s="554">
        <f>IFERROR(IF(X385="",0,CEILING((X385/$H385),1)*$H385),"")</f>
        <v>135</v>
      </c>
      <c r="Z385" s="36">
        <f>IFERROR(IF(Y385=0,"",ROUNDUP(Y385/H385,0)*0.01898),"")</f>
        <v>0.28470000000000001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137.13555555555556</v>
      </c>
      <c r="BN385" s="64">
        <f>IFERROR(Y385*I385/H385,"0")</f>
        <v>142.41</v>
      </c>
      <c r="BO385" s="64">
        <f>IFERROR(1/J385*(X385/H385),"0")</f>
        <v>0.22569444444444445</v>
      </c>
      <c r="BP385" s="64">
        <f>IFERROR(1/J385*(Y385/H385),"0")</f>
        <v>0.234375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14.444444444444445</v>
      </c>
      <c r="Y388" s="555">
        <f>IFERROR(Y385/H385,"0")+IFERROR(Y386/H386,"0")+IFERROR(Y387/H387,"0")</f>
        <v>15</v>
      </c>
      <c r="Z388" s="555">
        <f>IFERROR(IF(Z385="",0,Z385),"0")+IFERROR(IF(Z386="",0,Z386),"0")+IFERROR(IF(Z387="",0,Z387),"0")</f>
        <v>0.28470000000000001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130</v>
      </c>
      <c r="Y389" s="555">
        <f>IFERROR(SUM(Y385:Y387),"0")</f>
        <v>135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20</v>
      </c>
      <c r="Y393" s="554">
        <f t="shared" ref="Y393:Y401" si="41">IFERROR(IF(X393="",0,CEILING((X393/$H393),1)*$H393),"")</f>
        <v>21.6</v>
      </c>
      <c r="Z393" s="36">
        <f>IFERROR(IF(Y393=0,"",ROUNDUP(Y393/H393,0)*0.00902),"")</f>
        <v>3.6080000000000001E-2</v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20.703703703703702</v>
      </c>
      <c r="BN393" s="64">
        <f t="shared" ref="BN393:BN401" si="43">IFERROR(Y393*I393/H393,"0")</f>
        <v>22.36</v>
      </c>
      <c r="BO393" s="64">
        <f t="shared" ref="BO393:BO401" si="44">IFERROR(1/J393*(X393/H393),"0")</f>
        <v>2.8058361391694722E-2</v>
      </c>
      <c r="BP393" s="64">
        <f t="shared" ref="BP393:BP401" si="45">IFERROR(1/J393*(Y393/H393),"0")</f>
        <v>3.0303030303030304E-2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20</v>
      </c>
      <c r="Y394" s="554">
        <f t="shared" si="41"/>
        <v>21.6</v>
      </c>
      <c r="Z394" s="36">
        <f>IFERROR(IF(Y394=0,"",ROUNDUP(Y394/H394,0)*0.00902),"")</f>
        <v>3.6080000000000001E-2</v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20.703703703703702</v>
      </c>
      <c r="BN394" s="64">
        <f t="shared" si="43"/>
        <v>22.36</v>
      </c>
      <c r="BO394" s="64">
        <f t="shared" si="44"/>
        <v>2.8058361391694722E-2</v>
      </c>
      <c r="BP394" s="64">
        <f t="shared" si="45"/>
        <v>3.0303030303030304E-2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100</v>
      </c>
      <c r="Y395" s="554">
        <f t="shared" si="41"/>
        <v>102.60000000000001</v>
      </c>
      <c r="Z395" s="36">
        <f>IFERROR(IF(Y395=0,"",ROUNDUP(Y395/H395,0)*0.00902),"")</f>
        <v>0.17138</v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103.5185185185185</v>
      </c>
      <c r="BN395" s="64">
        <f t="shared" si="43"/>
        <v>106.21</v>
      </c>
      <c r="BO395" s="64">
        <f t="shared" si="44"/>
        <v>0.14029180695847362</v>
      </c>
      <c r="BP395" s="64">
        <f t="shared" si="45"/>
        <v>0.14393939393939395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25.925925925925924</v>
      </c>
      <c r="Y402" s="555">
        <f>IFERROR(Y393/H393,"0")+IFERROR(Y394/H394,"0")+IFERROR(Y395/H395,"0")+IFERROR(Y396/H396,"0")+IFERROR(Y397/H397,"0")+IFERROR(Y398/H398,"0")+IFERROR(Y399/H399,"0")+IFERROR(Y400/H400,"0")+IFERROR(Y401/H401,"0")</f>
        <v>27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0.24354000000000001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140</v>
      </c>
      <c r="Y403" s="555">
        <f>IFERROR(SUM(Y393:Y401),"0")</f>
        <v>145.80000000000001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50</v>
      </c>
      <c r="Y415" s="554">
        <f>IFERROR(IF(X415="",0,CEILING((X415/$H415),1)*$H415),"")</f>
        <v>54</v>
      </c>
      <c r="Z415" s="36">
        <f>IFERROR(IF(Y415=0,"",ROUNDUP(Y415/H415,0)*0.00902),"")</f>
        <v>9.0200000000000002E-2</v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51.759259259259252</v>
      </c>
      <c r="BN415" s="64">
        <f>IFERROR(Y415*I415/H415,"0")</f>
        <v>55.9</v>
      </c>
      <c r="BO415" s="64">
        <f>IFERROR(1/J415*(X415/H415),"0")</f>
        <v>7.0145903479236812E-2</v>
      </c>
      <c r="BP415" s="64">
        <f>IFERROR(1/J415*(Y415/H415),"0")</f>
        <v>7.575757575757576E-2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9.2592592592592595</v>
      </c>
      <c r="Y419" s="555">
        <f>IFERROR(Y415/H415,"0")+IFERROR(Y416/H416,"0")+IFERROR(Y417/H417,"0")+IFERROR(Y418/H418,"0")</f>
        <v>10</v>
      </c>
      <c r="Z419" s="555">
        <f>IFERROR(IF(Z415="",0,Z415),"0")+IFERROR(IF(Z416="",0,Z416),"0")+IFERROR(IF(Z417="",0,Z417),"0")+IFERROR(IF(Z418="",0,Z418),"0")</f>
        <v>9.0200000000000002E-2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50</v>
      </c>
      <c r="Y420" s="555">
        <f>IFERROR(SUM(Y415:Y418),"0")</f>
        <v>54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50</v>
      </c>
      <c r="Y432" s="554">
        <f t="shared" si="47"/>
        <v>52.800000000000004</v>
      </c>
      <c r="Z432" s="36">
        <f t="shared" si="48"/>
        <v>0.1196</v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53.314393939393938</v>
      </c>
      <c r="BN432" s="64">
        <f t="shared" si="50"/>
        <v>56.3</v>
      </c>
      <c r="BO432" s="64">
        <f t="shared" si="51"/>
        <v>9.1054778554778545E-2</v>
      </c>
      <c r="BP432" s="64">
        <f t="shared" si="52"/>
        <v>9.6153846153846159E-2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120</v>
      </c>
      <c r="Y433" s="554">
        <f t="shared" si="47"/>
        <v>121.44000000000001</v>
      </c>
      <c r="Z433" s="36">
        <f t="shared" si="48"/>
        <v>0.27507999999999999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127.95454545454545</v>
      </c>
      <c r="BN433" s="64">
        <f t="shared" si="50"/>
        <v>129.49</v>
      </c>
      <c r="BO433" s="64">
        <f t="shared" si="51"/>
        <v>0.21853146853146854</v>
      </c>
      <c r="BP433" s="64">
        <f t="shared" si="52"/>
        <v>0.22115384615384617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250</v>
      </c>
      <c r="Y435" s="554">
        <f t="shared" si="47"/>
        <v>253.44</v>
      </c>
      <c r="Z435" s="36">
        <f t="shared" si="48"/>
        <v>0.57408000000000003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266.57196969696969</v>
      </c>
      <c r="BN435" s="64">
        <f t="shared" si="50"/>
        <v>270.23999999999995</v>
      </c>
      <c r="BO435" s="64">
        <f t="shared" si="51"/>
        <v>0.45527389277389274</v>
      </c>
      <c r="BP435" s="64">
        <f t="shared" si="52"/>
        <v>0.46153846153846156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79.545454545454533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81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0.96876000000000007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420</v>
      </c>
      <c r="Y442" s="555">
        <f>IFERROR(SUM(Y429:Y440),"0")</f>
        <v>427.68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100</v>
      </c>
      <c r="Y444" s="554">
        <f>IFERROR(IF(X444="",0,CEILING((X444/$H444),1)*$H444),"")</f>
        <v>100.32000000000001</v>
      </c>
      <c r="Z444" s="36">
        <f>IFERROR(IF(Y444=0,"",ROUNDUP(Y444/H444,0)*0.01196),"")</f>
        <v>0.22724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106.62878787878788</v>
      </c>
      <c r="BN444" s="64">
        <f>IFERROR(Y444*I444/H444,"0")</f>
        <v>106.97</v>
      </c>
      <c r="BO444" s="64">
        <f>IFERROR(1/J444*(X444/H444),"0")</f>
        <v>0.18210955710955709</v>
      </c>
      <c r="BP444" s="64">
        <f>IFERROR(1/J444*(Y444/H444),"0")</f>
        <v>0.18269230769230771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18.939393939393938</v>
      </c>
      <c r="Y447" s="555">
        <f>IFERROR(Y444/H444,"0")+IFERROR(Y445/H445,"0")+IFERROR(Y446/H446,"0")</f>
        <v>19</v>
      </c>
      <c r="Z447" s="555">
        <f>IFERROR(IF(Z444="",0,Z444),"0")+IFERROR(IF(Z445="",0,Z445),"0")+IFERROR(IF(Z446="",0,Z446),"0")</f>
        <v>0.22724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100</v>
      </c>
      <c r="Y448" s="555">
        <f>IFERROR(SUM(Y444:Y446),"0")</f>
        <v>100.32000000000001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100</v>
      </c>
      <c r="Y450" s="554">
        <f t="shared" ref="Y450:Y455" si="53">IFERROR(IF(X450="",0,CEILING((X450/$H450),1)*$H450),"")</f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106.62878787878788</v>
      </c>
      <c r="BN450" s="64">
        <f t="shared" ref="BN450:BN455" si="55">IFERROR(Y450*I450/H450,"0")</f>
        <v>106.97</v>
      </c>
      <c r="BO450" s="64">
        <f t="shared" ref="BO450:BO455" si="56">IFERROR(1/J450*(X450/H450),"0")</f>
        <v>0.18210955710955709</v>
      </c>
      <c r="BP450" s="64">
        <f t="shared" ref="BP450:BP455" si="57">IFERROR(1/J450*(Y450/H450),"0")</f>
        <v>0.18269230769230771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100</v>
      </c>
      <c r="Y451" s="554">
        <f t="shared" si="53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106.62878787878788</v>
      </c>
      <c r="BN451" s="64">
        <f t="shared" si="55"/>
        <v>106.97</v>
      </c>
      <c r="BO451" s="64">
        <f t="shared" si="56"/>
        <v>0.18210955710955709</v>
      </c>
      <c r="BP451" s="64">
        <f t="shared" si="57"/>
        <v>0.18269230769230771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100</v>
      </c>
      <c r="Y452" s="554">
        <f t="shared" si="53"/>
        <v>100.32000000000001</v>
      </c>
      <c r="Z452" s="36">
        <f>IFERROR(IF(Y452=0,"",ROUNDUP(Y452/H452,0)*0.01196),"")</f>
        <v>0.22724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106.62878787878788</v>
      </c>
      <c r="BN452" s="64">
        <f t="shared" si="55"/>
        <v>106.97</v>
      </c>
      <c r="BO452" s="64">
        <f t="shared" si="56"/>
        <v>0.18210955710955709</v>
      </c>
      <c r="BP452" s="64">
        <f t="shared" si="57"/>
        <v>0.18269230769230771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56.818181818181813</v>
      </c>
      <c r="Y456" s="555">
        <f>IFERROR(Y450/H450,"0")+IFERROR(Y451/H451,"0")+IFERROR(Y452/H452,"0")+IFERROR(Y453/H453,"0")+IFERROR(Y454/H454,"0")+IFERROR(Y455/H455,"0")</f>
        <v>57</v>
      </c>
      <c r="Z456" s="555">
        <f>IFERROR(IF(Z450="",0,Z450),"0")+IFERROR(IF(Z451="",0,Z451),"0")+IFERROR(IF(Z452="",0,Z452),"0")+IFERROR(IF(Z453="",0,Z453),"0")+IFERROR(IF(Z454="",0,Z454),"0")+IFERROR(IF(Z455="",0,Z455),"0")</f>
        <v>0.68171999999999999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300</v>
      </c>
      <c r="Y457" s="555">
        <f>IFERROR(SUM(Y450:Y455),"0")</f>
        <v>300.96000000000004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800</v>
      </c>
      <c r="Y482" s="554">
        <f>IFERROR(IF(X482="",0,CEILING((X482/$H482),1)*$H482),"")</f>
        <v>801</v>
      </c>
      <c r="Z482" s="36">
        <f>IFERROR(IF(Y482=0,"",ROUNDUP(Y482/H482,0)*0.01898),"")</f>
        <v>1.6892199999999999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843.91111111111104</v>
      </c>
      <c r="BN482" s="64">
        <f>IFERROR(Y482*I482/H482,"0")</f>
        <v>844.96599999999989</v>
      </c>
      <c r="BO482" s="64">
        <f>IFERROR(1/J482*(X482/H482),"0")</f>
        <v>1.3888888888888888</v>
      </c>
      <c r="BP482" s="64">
        <f>IFERROR(1/J482*(Y482/H482),"0")</f>
        <v>1.390625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88.888888888888886</v>
      </c>
      <c r="Y483" s="555">
        <f>IFERROR(Y482/H482,"0")</f>
        <v>89</v>
      </c>
      <c r="Z483" s="555">
        <f>IFERROR(IF(Z482="",0,Z482),"0")</f>
        <v>1.6892199999999999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800</v>
      </c>
      <c r="Y484" s="555">
        <f>IFERROR(SUM(Y482:Y482),"0")</f>
        <v>801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10362.4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10466.16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10857.356018095572</v>
      </c>
      <c r="Y496" s="555">
        <f>IFERROR(SUM(BN22:BN492),"0")</f>
        <v>10965.869999999997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17</v>
      </c>
      <c r="Y497" s="38">
        <f>ROUNDUP(SUM(BP22:BP492),0)</f>
        <v>17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11282.356018095572</v>
      </c>
      <c r="Y498" s="555">
        <f>GrossWeightTotalR+PalletQtyTotalR*25</f>
        <v>11390.869999999997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1357.3506704023944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1370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18.966589999999993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86.4</v>
      </c>
      <c r="E505" s="46">
        <f>IFERROR(Y85*1,"0")+IFERROR(Y86*1,"0")+IFERROR(Y87*1,"0")+IFERROR(Y88*1,"0")+IFERROR(Y92*1,"0")+IFERROR(Y93*1,"0")+IFERROR(Y94*1,"0")+IFERROR(Y95*1,"0")</f>
        <v>221.4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270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33.6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1338.6000000000001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338.40000000000003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6213</v>
      </c>
      <c r="T505" s="46">
        <f>IFERROR(Y375*1,"0")+IFERROR(Y376*1,"0")+IFERROR(Y380*1,"0")+IFERROR(Y381*1,"0")+IFERROR(Y385*1,"0")+IFERROR(Y386*1,"0")+IFERROR(Y387*1,"0")</f>
        <v>135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145.80000000000001</v>
      </c>
      <c r="V505" s="46">
        <f>IFERROR(Y411*1,"0")+IFERROR(Y415*1,"0")+IFERROR(Y416*1,"0")+IFERROR(Y417*1,"0")+IFERROR(Y418*1,"0")</f>
        <v>54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828.96000000000015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801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88,00"/>
        <filter val="1 357,35"/>
        <filter val="10 362,40"/>
        <filter val="10 857,36"/>
        <filter val="100,00"/>
        <filter val="11 282,36"/>
        <filter val="120,00"/>
        <filter val="13,33"/>
        <filter val="130,00"/>
        <filter val="14,40"/>
        <filter val="14,44"/>
        <filter val="140,00"/>
        <filter val="15,00"/>
        <filter val="150,00"/>
        <filter val="17"/>
        <filter val="18,94"/>
        <filter val="180,00"/>
        <filter val="19,05"/>
        <filter val="192,00"/>
        <filter val="2 000,00"/>
        <filter val="20,00"/>
        <filter val="200,00"/>
        <filter val="217,50"/>
        <filter val="230,00"/>
        <filter val="240,00"/>
        <filter val="245,00"/>
        <filter val="25,93"/>
        <filter val="250,00"/>
        <filter val="267,50"/>
        <filter val="27,78"/>
        <filter val="30,00"/>
        <filter val="30,82"/>
        <filter val="300,00"/>
        <filter val="320,00"/>
        <filter val="4 800,00"/>
        <filter val="40,00"/>
        <filter val="42,59"/>
        <filter val="420,00"/>
        <filter val="429,54"/>
        <filter val="43,52"/>
        <filter val="49,69"/>
        <filter val="50,00"/>
        <filter val="56,82"/>
        <filter val="6,00"/>
        <filter val="66,67"/>
        <filter val="67,50"/>
        <filter val="7,14"/>
        <filter val="7,20"/>
        <filter val="7,41"/>
        <filter val="79,55"/>
        <filter val="80,00"/>
        <filter val="800,00"/>
        <filter val="88,89"/>
        <filter val="9,26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2026-01-14T12:17:22Z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