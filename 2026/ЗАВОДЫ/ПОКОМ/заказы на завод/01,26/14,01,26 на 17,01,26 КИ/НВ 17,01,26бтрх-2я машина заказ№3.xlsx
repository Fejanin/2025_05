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01AADF-0446-4FE4-93E3-D93BFE37AF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407" i="1"/>
  <c r="Z268" i="1"/>
  <c r="Z479" i="1"/>
  <c r="Z367" i="1"/>
  <c r="Z89" i="1"/>
  <c r="Z303" i="1"/>
  <c r="Z105" i="1"/>
  <c r="Z362" i="1"/>
  <c r="Z332" i="1"/>
  <c r="Z259" i="1"/>
  <c r="Z145" i="1"/>
  <c r="Z96" i="1"/>
  <c r="Z76" i="1"/>
  <c r="Z69" i="1"/>
  <c r="Z58" i="1"/>
  <c r="Y497" i="1"/>
  <c r="Y498" i="1" s="1"/>
  <c r="Y496" i="1"/>
  <c r="Z345" i="1"/>
  <c r="Z230" i="1"/>
  <c r="Z134" i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<sst xmlns="http://schemas.openxmlformats.org/spreadsheetml/2006/main" count="2321" uniqueCount="782">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</sst>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98</v>
      </c>
      <c r="Y92" s="554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103.97679012345679</v>
      </c>
      <c r="BN92" s="64">
        <f>IFERROR(Y92*I92/H92,"0")</f>
        <v>111.72199999999999</v>
      </c>
      <c r="BO92" s="64">
        <f>IFERROR(1/J92*(X92/H92),"0")</f>
        <v>0.18904320987654322</v>
      </c>
      <c r="BP92" s="64">
        <f>IFERROR(1/J92*(Y92/H92),"0")</f>
        <v>0.203125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12.098765432098766</v>
      </c>
      <c r="Y96" s="555">
        <f>IFERROR(Y92/H92,"0")+IFERROR(Y93/H93,"0")+IFERROR(Y94/H94,"0")+IFERROR(Y95/H95,"0")</f>
        <v>13</v>
      </c>
      <c r="Z96" s="555">
        <f>IFERROR(IF(Z92="",0,Z92),"0")+IFERROR(IF(Z93="",0,Z93),"0")+IFERROR(IF(Z94="",0,Z94),"0")+IFERROR(IF(Z95="",0,Z95),"0")</f>
        <v>0.24674000000000001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98</v>
      </c>
      <c r="Y97" s="555">
        <f>IFERROR(SUM(Y92:Y95),"0")</f>
        <v>105.3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101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107.08493827160493</v>
      </c>
      <c r="BN115" s="64">
        <f>IFERROR(Y115*I115/H115,"0")</f>
        <v>111.64399999999999</v>
      </c>
      <c r="BO115" s="64">
        <f>IFERROR(1/J115*(X115/H115),"0")</f>
        <v>0.19483024691358025</v>
      </c>
      <c r="BP115" s="64">
        <f>IFERROR(1/J115*(Y115/H115),"0")</f>
        <v>0.203125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12.469135802469136</v>
      </c>
      <c r="Y119" s="555">
        <f>IFERROR(Y115/H115,"0")+IFERROR(Y116/H116,"0")+IFERROR(Y117/H117,"0")+IFERROR(Y118/H118,"0")</f>
        <v>13</v>
      </c>
      <c r="Z119" s="555">
        <f>IFERROR(IF(Z115="",0,Z115),"0")+IFERROR(IF(Z116="",0,Z116),"0")+IFERROR(IF(Z117="",0,Z117),"0")+IFERROR(IF(Z118="",0,Z118),"0")</f>
        <v>0.24674000000000001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101</v>
      </c>
      <c r="Y120" s="555">
        <f>IFERROR(SUM(Y115:Y118),"0")</f>
        <v>105.3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82</v>
      </c>
      <c r="Y221" s="554">
        <f t="shared" si="20"/>
        <v>84</v>
      </c>
      <c r="Z221" s="36">
        <f t="shared" si="25"/>
        <v>0.22785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90.61</v>
      </c>
      <c r="BN221" s="64">
        <f t="shared" si="22"/>
        <v>92.820000000000007</v>
      </c>
      <c r="BO221" s="64">
        <f t="shared" si="23"/>
        <v>0.18772893772893776</v>
      </c>
      <c r="BP221" s="64">
        <f t="shared" si="24"/>
        <v>0.19230769230769232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74</v>
      </c>
      <c r="Y222" s="554">
        <f t="shared" si="20"/>
        <v>74.399999999999991</v>
      </c>
      <c r="Z222" s="36">
        <f t="shared" si="25"/>
        <v>0.20181000000000002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81.77000000000001</v>
      </c>
      <c r="BN222" s="64">
        <f t="shared" si="22"/>
        <v>82.212000000000003</v>
      </c>
      <c r="BO222" s="64">
        <f t="shared" si="23"/>
        <v>0.16941391941391945</v>
      </c>
      <c r="BP222" s="64">
        <f t="shared" si="24"/>
        <v>0.17032967032967034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65</v>
      </c>
      <c r="Y225" s="555">
        <f>IFERROR(Y216/H216,"0")+IFERROR(Y217/H217,"0")+IFERROR(Y218/H218,"0")+IFERROR(Y219/H219,"0")+IFERROR(Y220/H220,"0")+IFERROR(Y221/H221,"0")+IFERROR(Y222/H222,"0")+IFERROR(Y223/H223,"0")+IFERROR(Y224/H224,"0")</f>
        <v>66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0.42966000000000004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156</v>
      </c>
      <c r="Y226" s="555">
        <f>IFERROR(SUM(Y216:Y224),"0")</f>
        <v>158.39999999999998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29</v>
      </c>
      <c r="Y281" s="554">
        <f>IFERROR(IF(X281="",0,CEILING((X281/$H281),1)*$H281),"")</f>
        <v>31.2</v>
      </c>
      <c r="Z281" s="36">
        <f>IFERROR(IF(Y281=0,"",ROUNDUP(Y281/H281,0)*0.00651),"")</f>
        <v>8.4629999999999997E-2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32.045000000000002</v>
      </c>
      <c r="BN281" s="64">
        <f>IFERROR(Y281*I281/H281,"0")</f>
        <v>34.476000000000006</v>
      </c>
      <c r="BO281" s="64">
        <f>IFERROR(1/J281*(X281/H281),"0")</f>
        <v>6.6391941391941406E-2</v>
      </c>
      <c r="BP281" s="64">
        <f>IFERROR(1/J281*(Y281/H281),"0")</f>
        <v>7.1428571428571438E-2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31</v>
      </c>
      <c r="Y282" s="554">
        <f>IFERROR(IF(X282="",0,CEILING((X282/$H282),1)*$H282),"")</f>
        <v>31.2</v>
      </c>
      <c r="Z282" s="36">
        <f>IFERROR(IF(Y282=0,"",ROUNDUP(Y282/H282,0)*0.00651),"")</f>
        <v>8.4629999999999997E-2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33.325000000000003</v>
      </c>
      <c r="BN282" s="64">
        <f>IFERROR(Y282*I282/H282,"0")</f>
        <v>33.54</v>
      </c>
      <c r="BO282" s="64">
        <f>IFERROR(1/J282*(X282/H282),"0")</f>
        <v>7.0970695970695982E-2</v>
      </c>
      <c r="BP282" s="64">
        <f>IFERROR(1/J282*(Y282/H282),"0")</f>
        <v>7.1428571428571438E-2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25</v>
      </c>
      <c r="Y283" s="555">
        <f>IFERROR(Y280/H280,"0")+IFERROR(Y281/H281,"0")+IFERROR(Y282/H282,"0")</f>
        <v>26</v>
      </c>
      <c r="Z283" s="555">
        <f>IFERROR(IF(Z280="",0,Z280),"0")+IFERROR(IF(Z281="",0,Z281),"0")+IFERROR(IF(Z282="",0,Z282),"0")</f>
        <v>0.16925999999999999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60</v>
      </c>
      <c r="Y284" s="555">
        <f>IFERROR(SUM(Y280:Y282),"0")</f>
        <v>62.4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76</v>
      </c>
      <c r="Y323" s="554">
        <f>IFERROR(IF(X323="",0,CEILING((X323/$H323),1)*$H323),"")</f>
        <v>78</v>
      </c>
      <c r="Z323" s="36">
        <f>IFERROR(IF(Y323=0,"",ROUNDUP(Y323/H323,0)*0.01898),"")</f>
        <v>0.1898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80.813333333333347</v>
      </c>
      <c r="BN323" s="64">
        <f>IFERROR(Y323*I323/H323,"0")</f>
        <v>82.94</v>
      </c>
      <c r="BO323" s="64">
        <f>IFERROR(1/J323*(X323/H323),"0")</f>
        <v>0.15224358974358976</v>
      </c>
      <c r="BP323" s="64">
        <f>IFERROR(1/J323*(Y323/H323),"0")</f>
        <v>0.15625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9.7435897435897445</v>
      </c>
      <c r="Y325" s="555">
        <f>IFERROR(Y322/H322,"0")+IFERROR(Y323/H323,"0")+IFERROR(Y324/H324,"0")</f>
        <v>10</v>
      </c>
      <c r="Z325" s="555">
        <f>IFERROR(IF(Z322="",0,Z322),"0")+IFERROR(IF(Z323="",0,Z323),"0")+IFERROR(IF(Z324="",0,Z324),"0")</f>
        <v>0.1898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76</v>
      </c>
      <c r="Y326" s="555">
        <f>IFERROR(SUM(Y322:Y324),"0")</f>
        <v>78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149</v>
      </c>
      <c r="Y350" s="554">
        <f t="shared" ref="Y350:Y356" si="36">IFERROR(IF(X350="",0,CEILING((X350/$H350),1)*$H350),"")</f>
        <v>150</v>
      </c>
      <c r="Z350" s="36">
        <f>IFERROR(IF(Y350=0,"",ROUNDUP(Y350/H350,0)*0.02175),"")</f>
        <v>0.21749999999999997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153.66866666666667</v>
      </c>
      <c r="BN350" s="64">
        <f t="shared" ref="BN350:BN356" si="38">IFERROR(Y350*I350/H350,"0")</f>
        <v>154.69999999999999</v>
      </c>
      <c r="BO350" s="64">
        <f t="shared" ref="BO350:BO356" si="39">IFERROR(1/J350*(X350/H350),"0")</f>
        <v>0.20694444444444443</v>
      </c>
      <c r="BP350" s="64">
        <f t="shared" ref="BP350:BP356" si="40">IFERROR(1/J350*(Y350/H350),"0")</f>
        <v>0.20833333333333331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133</v>
      </c>
      <c r="Y352" s="554">
        <f t="shared" si="36"/>
        <v>135</v>
      </c>
      <c r="Z352" s="36">
        <f>IFERROR(IF(Y352=0,"",ROUNDUP(Y352/H352,0)*0.02175),"")</f>
        <v>0.19574999999999998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137.16733333333335</v>
      </c>
      <c r="BN352" s="64">
        <f t="shared" si="38"/>
        <v>139.23000000000002</v>
      </c>
      <c r="BO352" s="64">
        <f t="shared" si="39"/>
        <v>0.18472222222222223</v>
      </c>
      <c r="BP352" s="64">
        <f t="shared" si="40"/>
        <v>0.1875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18.8</v>
      </c>
      <c r="Y357" s="555">
        <f>IFERROR(Y350/H350,"0")+IFERROR(Y351/H351,"0")+IFERROR(Y352/H352,"0")+IFERROR(Y353/H353,"0")+IFERROR(Y354/H354,"0")+IFERROR(Y355/H355,"0")+IFERROR(Y356/H356,"0")</f>
        <v>19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0.41324999999999995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282</v>
      </c>
      <c r="Y358" s="555">
        <f>IFERROR(SUM(Y350:Y356),"0")</f>
        <v>285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131</v>
      </c>
      <c r="Y360" s="554">
        <f>IFERROR(IF(X360="",0,CEILING((X360/$H360),1)*$H360),"")</f>
        <v>135</v>
      </c>
      <c r="Z360" s="36">
        <f>IFERROR(IF(Y360=0,"",ROUNDUP(Y360/H360,0)*0.02175),"")</f>
        <v>0.19574999999999998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135.10466666666667</v>
      </c>
      <c r="BN360" s="64">
        <f>IFERROR(Y360*I360/H360,"0")</f>
        <v>139.23000000000002</v>
      </c>
      <c r="BO360" s="64">
        <f>IFERROR(1/J360*(X360/H360),"0")</f>
        <v>0.18194444444444441</v>
      </c>
      <c r="BP360" s="64">
        <f>IFERROR(1/J360*(Y360/H360),"0")</f>
        <v>0.1875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8.7333333333333325</v>
      </c>
      <c r="Y362" s="555">
        <f>IFERROR(Y360/H360,"0")+IFERROR(Y361/H361,"0")</f>
        <v>9</v>
      </c>
      <c r="Z362" s="555">
        <f>IFERROR(IF(Z360="",0,Z360),"0")+IFERROR(IF(Z361="",0,Z361),"0")</f>
        <v>0.19574999999999998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131</v>
      </c>
      <c r="Y363" s="555">
        <f>IFERROR(SUM(Y360:Y361),"0")</f>
        <v>135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306</v>
      </c>
      <c r="Y435" s="554">
        <f t="shared" si="47"/>
        <v>306.24</v>
      </c>
      <c r="Z435" s="36">
        <f t="shared" si="48"/>
        <v>0.69367999999999996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326.28409090909088</v>
      </c>
      <c r="BN435" s="64">
        <f t="shared" si="50"/>
        <v>326.53999999999996</v>
      </c>
      <c r="BO435" s="64">
        <f t="shared" si="51"/>
        <v>0.55725524475524479</v>
      </c>
      <c r="BP435" s="64">
        <f t="shared" si="52"/>
        <v>0.55769230769230771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57.954545454545453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0.69367999999999996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306</v>
      </c>
      <c r="Y442" s="555">
        <f>IFERROR(SUM(Y429:Y440),"0")</f>
        <v>306.24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134</v>
      </c>
      <c r="Y444" s="554">
        <f>IFERROR(IF(X444="",0,CEILING((X444/$H444),1)*$H444),"")</f>
        <v>137.28</v>
      </c>
      <c r="Z444" s="36">
        <f>IFERROR(IF(Y444=0,"",ROUNDUP(Y444/H444,0)*0.01196),"")</f>
        <v>0.31096000000000001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142.88257575757575</v>
      </c>
      <c r="BN444" s="64">
        <f>IFERROR(Y444*I444/H444,"0")</f>
        <v>146.38</v>
      </c>
      <c r="BO444" s="64">
        <f>IFERROR(1/J444*(X444/H444),"0")</f>
        <v>0.24402680652680653</v>
      </c>
      <c r="BP444" s="64">
        <f>IFERROR(1/J444*(Y444/H444),"0")</f>
        <v>0.25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25.378787878787879</v>
      </c>
      <c r="Y447" s="555">
        <f>IFERROR(Y444/H444,"0")+IFERROR(Y445/H445,"0")+IFERROR(Y446/H446,"0")</f>
        <v>26</v>
      </c>
      <c r="Z447" s="555">
        <f>IFERROR(IF(Z444="",0,Z444),"0")+IFERROR(IF(Z445="",0,Z445),"0")+IFERROR(IF(Z446="",0,Z446),"0")</f>
        <v>0.31096000000000001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134</v>
      </c>
      <c r="Y448" s="555">
        <f>IFERROR(SUM(Y444:Y446),"0")</f>
        <v>137.28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61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65.043560606060609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0.11108682983682984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50</v>
      </c>
      <c r="Y451" s="554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53.314393939393938</v>
      </c>
      <c r="BN451" s="64">
        <f t="shared" si="55"/>
        <v>56.3</v>
      </c>
      <c r="BO451" s="64">
        <f t="shared" si="56"/>
        <v>9.1054778554778545E-2</v>
      </c>
      <c r="BP451" s="64">
        <f t="shared" si="57"/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77</v>
      </c>
      <c r="Y452" s="554">
        <f t="shared" si="53"/>
        <v>79.2</v>
      </c>
      <c r="Z452" s="36">
        <f>IFERROR(IF(Y452=0,"",ROUNDUP(Y452/H452,0)*0.01196),"")</f>
        <v>0.1794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82.104166666666657</v>
      </c>
      <c r="BN452" s="64">
        <f t="shared" si="55"/>
        <v>84.45</v>
      </c>
      <c r="BO452" s="64">
        <f t="shared" si="56"/>
        <v>0.14022435897435898</v>
      </c>
      <c r="BP452" s="64">
        <f t="shared" si="57"/>
        <v>0.14423076923076925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35.606060606060609</v>
      </c>
      <c r="Y456" s="555">
        <f>IFERROR(Y450/H450,"0")+IFERROR(Y451/H451,"0")+IFERROR(Y452/H452,"0")+IFERROR(Y453/H453,"0")+IFERROR(Y454/H454,"0")+IFERROR(Y455/H455,"0")</f>
        <v>37</v>
      </c>
      <c r="Z456" s="555">
        <f>IFERROR(IF(Z450="",0,Z450),"0")+IFERROR(IF(Z451="",0,Z451),"0")+IFERROR(IF(Z452="",0,Z452),"0")+IFERROR(IF(Z453="",0,Z453),"0")+IFERROR(IF(Z454="",0,Z454),"0")+IFERROR(IF(Z455="",0,Z455),"0")</f>
        <v>0.44252000000000002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188</v>
      </c>
      <c r="Y457" s="555">
        <f>IFERROR(SUM(Y450:Y455),"0")</f>
        <v>195.36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1532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1568.2799999999997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1625.1945162738498</v>
      </c>
      <c r="Y496" s="555">
        <f>IFERROR(SUM(BN22:BN492),"0")</f>
        <v>1663.7440000000001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1700.1945162738498</v>
      </c>
      <c r="Y498" s="555">
        <f>GrossWeightTotalR+PalletQtyTotalR*25</f>
        <v>1738.7440000000001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270.78421825088492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277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3.3383600000000002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105.3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105.3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158.39999999999998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62.4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420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638.88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2,00"/>
        <filter val="1 625,19"/>
        <filter val="1 700,19"/>
        <filter val="101,00"/>
        <filter val="12,10"/>
        <filter val="12,47"/>
        <filter val="131,00"/>
        <filter val="133,00"/>
        <filter val="134,00"/>
        <filter val="149,00"/>
        <filter val="156,00"/>
        <filter val="18,80"/>
        <filter val="188,00"/>
        <filter val="25,00"/>
        <filter val="25,38"/>
        <filter val="270,78"/>
        <filter val="282,00"/>
        <filter val="29,00"/>
        <filter val="3"/>
        <filter val="306,00"/>
        <filter val="31,00"/>
        <filter val="35,61"/>
        <filter val="50,00"/>
        <filter val="57,95"/>
        <filter val="60,00"/>
        <filter val="61,00"/>
        <filter val="65,00"/>
        <filter val="74,00"/>
        <filter val="76,00"/>
        <filter val="77,00"/>
        <filter val="8,73"/>
        <filter val="82,00"/>
        <filter val="9,74"/>
        <filter val="98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