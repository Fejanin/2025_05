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3A4F49E-8448-47DA-87E3-A98614F33D5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Y326" i="1" s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Y230" i="1" s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Y203" i="1" s="1"/>
  <c r="P201" i="1"/>
  <c r="BP200" i="1"/>
  <c r="BO200" i="1"/>
  <c r="BN200" i="1"/>
  <c r="BM200" i="1"/>
  <c r="Z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Y192" i="1" s="1"/>
  <c r="P190" i="1"/>
  <c r="X188" i="1"/>
  <c r="X187" i="1"/>
  <c r="BO186" i="1"/>
  <c r="BM186" i="1"/>
  <c r="Y186" i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P138" i="1"/>
  <c r="BO137" i="1"/>
  <c r="BM137" i="1"/>
  <c r="Y137" i="1"/>
  <c r="Y139" i="1" s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Y120" i="1" s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O92" i="1"/>
  <c r="BM92" i="1"/>
  <c r="Y92" i="1"/>
  <c r="BP92" i="1" s="1"/>
  <c r="P92" i="1"/>
  <c r="X90" i="1"/>
  <c r="X89" i="1"/>
  <c r="BO88" i="1"/>
  <c r="BM88" i="1"/>
  <c r="Y88" i="1"/>
  <c r="P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BN79" i="1" s="1"/>
  <c r="P79" i="1"/>
  <c r="X77" i="1"/>
  <c r="X76" i="1"/>
  <c r="BO75" i="1"/>
  <c r="BM75" i="1"/>
  <c r="Y75" i="1"/>
  <c r="BP75" i="1" s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X65" i="1"/>
  <c r="X64" i="1"/>
  <c r="BO63" i="1"/>
  <c r="BM63" i="1"/>
  <c r="Y63" i="1"/>
  <c r="BP63" i="1" s="1"/>
  <c r="P63" i="1"/>
  <c r="BO62" i="1"/>
  <c r="BM62" i="1"/>
  <c r="Y62" i="1"/>
  <c r="P62" i="1"/>
  <c r="BO61" i="1"/>
  <c r="BM61" i="1"/>
  <c r="Y61" i="1"/>
  <c r="BP61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499" i="1" s="1"/>
  <c r="BO23" i="1"/>
  <c r="BM23" i="1"/>
  <c r="Y23" i="1"/>
  <c r="P23" i="1"/>
  <c r="BO22" i="1"/>
  <c r="BM22" i="1"/>
  <c r="Y22" i="1"/>
  <c r="BP22" i="1" s="1"/>
  <c r="P22" i="1"/>
  <c r="H10" i="1"/>
  <c r="A9" i="1"/>
  <c r="F10" i="1" s="1"/>
  <c r="D7" i="1"/>
  <c r="Q6" i="1"/>
  <c r="P2" i="1"/>
  <c r="BP151" i="1" l="1"/>
  <c r="BN151" i="1"/>
  <c r="Z151" i="1"/>
  <c r="BP185" i="1"/>
  <c r="BN185" i="1"/>
  <c r="Z18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1" i="1"/>
  <c r="BN281" i="1"/>
  <c r="Z281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Z42" i="1"/>
  <c r="BN42" i="1"/>
  <c r="D505" i="1"/>
  <c r="Z61" i="1"/>
  <c r="BN61" i="1"/>
  <c r="Y64" i="1"/>
  <c r="Z75" i="1"/>
  <c r="BN75" i="1"/>
  <c r="Z92" i="1"/>
  <c r="BN92" i="1"/>
  <c r="Z109" i="1"/>
  <c r="BN109" i="1"/>
  <c r="BP128" i="1"/>
  <c r="BN128" i="1"/>
  <c r="Z128" i="1"/>
  <c r="BP132" i="1"/>
  <c r="BN132" i="1"/>
  <c r="Z132" i="1"/>
  <c r="BP173" i="1"/>
  <c r="BN173" i="1"/>
  <c r="Z173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J505" i="1"/>
  <c r="Z22" i="1"/>
  <c r="BN22" i="1"/>
  <c r="Y25" i="1"/>
  <c r="X495" i="1"/>
  <c r="Y33" i="1"/>
  <c r="Z30" i="1"/>
  <c r="BN30" i="1"/>
  <c r="C505" i="1"/>
  <c r="Z53" i="1"/>
  <c r="BN53" i="1"/>
  <c r="Z57" i="1"/>
  <c r="BN57" i="1"/>
  <c r="Y65" i="1"/>
  <c r="Z63" i="1"/>
  <c r="BN63" i="1"/>
  <c r="Z73" i="1"/>
  <c r="BN73" i="1"/>
  <c r="Z79" i="1"/>
  <c r="BP88" i="1"/>
  <c r="BN88" i="1"/>
  <c r="Z88" i="1"/>
  <c r="BP103" i="1"/>
  <c r="BN103" i="1"/>
  <c r="Z103" i="1"/>
  <c r="BP117" i="1"/>
  <c r="BN117" i="1"/>
  <c r="Z117" i="1"/>
  <c r="BP149" i="1"/>
  <c r="BN149" i="1"/>
  <c r="Z149" i="1"/>
  <c r="Y182" i="1"/>
  <c r="BP171" i="1"/>
  <c r="BN171" i="1"/>
  <c r="Z171" i="1"/>
  <c r="BP179" i="1"/>
  <c r="BN179" i="1"/>
  <c r="Z179" i="1"/>
  <c r="Y213" i="1"/>
  <c r="BP206" i="1"/>
  <c r="BN206" i="1"/>
  <c r="Z206" i="1"/>
  <c r="BP207" i="1"/>
  <c r="BN207" i="1"/>
  <c r="Z207" i="1"/>
  <c r="BP219" i="1"/>
  <c r="BN219" i="1"/>
  <c r="Z219" i="1"/>
  <c r="BP234" i="1"/>
  <c r="BN234" i="1"/>
  <c r="Z234" i="1"/>
  <c r="BP242" i="1"/>
  <c r="BN242" i="1"/>
  <c r="Z242" i="1"/>
  <c r="Y269" i="1"/>
  <c r="BP263" i="1"/>
  <c r="BN263" i="1"/>
  <c r="Z263" i="1"/>
  <c r="BP274" i="1"/>
  <c r="BN274" i="1"/>
  <c r="Z274" i="1"/>
  <c r="Y81" i="1"/>
  <c r="BP79" i="1"/>
  <c r="BP94" i="1"/>
  <c r="BN94" i="1"/>
  <c r="Z94" i="1"/>
  <c r="BP111" i="1"/>
  <c r="BN111" i="1"/>
  <c r="Z111" i="1"/>
  <c r="BP138" i="1"/>
  <c r="BN138" i="1"/>
  <c r="Z138" i="1"/>
  <c r="BP153" i="1"/>
  <c r="BN153" i="1"/>
  <c r="Z153" i="1"/>
  <c r="BP175" i="1"/>
  <c r="BN175" i="1"/>
  <c r="Z175" i="1"/>
  <c r="BP196" i="1"/>
  <c r="BN196" i="1"/>
  <c r="Z196" i="1"/>
  <c r="BP211" i="1"/>
  <c r="BN211" i="1"/>
  <c r="Z211" i="1"/>
  <c r="BP223" i="1"/>
  <c r="BN223" i="1"/>
  <c r="Z223" i="1"/>
  <c r="BP238" i="1"/>
  <c r="BN238" i="1"/>
  <c r="Z238" i="1"/>
  <c r="BP256" i="1"/>
  <c r="BN256" i="1"/>
  <c r="Z256" i="1"/>
  <c r="BP267" i="1"/>
  <c r="BN267" i="1"/>
  <c r="Z267" i="1"/>
  <c r="BP288" i="1"/>
  <c r="BN288" i="1"/>
  <c r="Z28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96" i="1"/>
  <c r="Y202" i="1"/>
  <c r="Y260" i="1"/>
  <c r="Y284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U50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Y312" i="1"/>
  <c r="Y339" i="1"/>
  <c r="Y338" i="1"/>
  <c r="Y345" i="1"/>
  <c r="Y419" i="1"/>
  <c r="Y448" i="1"/>
  <c r="Y447" i="1"/>
  <c r="Y488" i="1"/>
  <c r="H9" i="1"/>
  <c r="A10" i="1"/>
  <c r="B505" i="1"/>
  <c r="X496" i="1"/>
  <c r="X497" i="1"/>
  <c r="Z23" i="1"/>
  <c r="Z24" i="1" s="1"/>
  <c r="BN23" i="1"/>
  <c r="BP23" i="1"/>
  <c r="Y24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Z44" i="1" s="1"/>
  <c r="BN41" i="1"/>
  <c r="BP41" i="1"/>
  <c r="Z43" i="1"/>
  <c r="BN43" i="1"/>
  <c r="Y44" i="1"/>
  <c r="Z47" i="1"/>
  <c r="Z48" i="1" s="1"/>
  <c r="BN47" i="1"/>
  <c r="BP47" i="1"/>
  <c r="Y48" i="1"/>
  <c r="Z52" i="1"/>
  <c r="Z58" i="1" s="1"/>
  <c r="BN52" i="1"/>
  <c r="BP52" i="1"/>
  <c r="Z54" i="1"/>
  <c r="BN54" i="1"/>
  <c r="Z56" i="1"/>
  <c r="BN56" i="1"/>
  <c r="Y59" i="1"/>
  <c r="Z62" i="1"/>
  <c r="Z64" i="1" s="1"/>
  <c r="BN62" i="1"/>
  <c r="BP62" i="1"/>
  <c r="Y69" i="1"/>
  <c r="Z68" i="1"/>
  <c r="Z69" i="1" s="1"/>
  <c r="BN68" i="1"/>
  <c r="Y70" i="1"/>
  <c r="Y77" i="1"/>
  <c r="BP72" i="1"/>
  <c r="BN72" i="1"/>
  <c r="Z72" i="1"/>
  <c r="Y76" i="1"/>
  <c r="BP80" i="1"/>
  <c r="BN80" i="1"/>
  <c r="Z80" i="1"/>
  <c r="Z81" i="1" s="1"/>
  <c r="Y82" i="1"/>
  <c r="E505" i="1"/>
  <c r="Y90" i="1"/>
  <c r="BP85" i="1"/>
  <c r="BN85" i="1"/>
  <c r="Z85" i="1"/>
  <c r="Y89" i="1"/>
  <c r="BP93" i="1"/>
  <c r="BN93" i="1"/>
  <c r="Z93" i="1"/>
  <c r="BP102" i="1"/>
  <c r="BN102" i="1"/>
  <c r="Z102" i="1"/>
  <c r="BP110" i="1"/>
  <c r="BN110" i="1"/>
  <c r="Z110" i="1"/>
  <c r="Y119" i="1"/>
  <c r="BP118" i="1"/>
  <c r="BN118" i="1"/>
  <c r="Z118" i="1"/>
  <c r="Y123" i="1"/>
  <c r="BP122" i="1"/>
  <c r="BN122" i="1"/>
  <c r="Z122" i="1"/>
  <c r="Z123" i="1" s="1"/>
  <c r="Y124" i="1"/>
  <c r="G505" i="1"/>
  <c r="Y130" i="1"/>
  <c r="BP127" i="1"/>
  <c r="BN127" i="1"/>
  <c r="Z127" i="1"/>
  <c r="Z129" i="1" s="1"/>
  <c r="Y134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8" i="1"/>
  <c r="Y187" i="1"/>
  <c r="BP184" i="1"/>
  <c r="BN184" i="1"/>
  <c r="Z184" i="1"/>
  <c r="F9" i="1"/>
  <c r="J9" i="1"/>
  <c r="Y45" i="1"/>
  <c r="Y58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Z105" i="1" s="1"/>
  <c r="BP104" i="1"/>
  <c r="BN104" i="1"/>
  <c r="Z104" i="1"/>
  <c r="Y106" i="1"/>
  <c r="Y113" i="1"/>
  <c r="BP108" i="1"/>
  <c r="BN108" i="1"/>
  <c r="Z108" i="1"/>
  <c r="Z112" i="1" s="1"/>
  <c r="Y112" i="1"/>
  <c r="BP116" i="1"/>
  <c r="BN116" i="1"/>
  <c r="Z116" i="1"/>
  <c r="Z119" i="1" s="1"/>
  <c r="BP133" i="1"/>
  <c r="BN133" i="1"/>
  <c r="Z133" i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H505" i="1"/>
  <c r="Y145" i="1"/>
  <c r="I505" i="1"/>
  <c r="Y165" i="1"/>
  <c r="Z190" i="1"/>
  <c r="Z191" i="1" s="1"/>
  <c r="BN190" i="1"/>
  <c r="BP190" i="1"/>
  <c r="Y191" i="1"/>
  <c r="Z195" i="1"/>
  <c r="BN195" i="1"/>
  <c r="BP195" i="1"/>
  <c r="Y198" i="1"/>
  <c r="Z201" i="1"/>
  <c r="Z202" i="1" s="1"/>
  <c r="BN201" i="1"/>
  <c r="BP201" i="1"/>
  <c r="Z205" i="1"/>
  <c r="BN205" i="1"/>
  <c r="BP20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Y259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Y332" i="1"/>
  <c r="Z338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Y197" i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BP237" i="1"/>
  <c r="BN237" i="1"/>
  <c r="Z237" i="1"/>
  <c r="BP241" i="1"/>
  <c r="BN241" i="1"/>
  <c r="Z241" i="1"/>
  <c r="BP257" i="1"/>
  <c r="BN257" i="1"/>
  <c r="Z257" i="1"/>
  <c r="BP266" i="1"/>
  <c r="BN266" i="1"/>
  <c r="Z266" i="1"/>
  <c r="BP275" i="1"/>
  <c r="BN275" i="1"/>
  <c r="Z275" i="1"/>
  <c r="Y277" i="1"/>
  <c r="O505" i="1"/>
  <c r="Y283" i="1"/>
  <c r="BP280" i="1"/>
  <c r="BN280" i="1"/>
  <c r="Z280" i="1"/>
  <c r="Z283" i="1" s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BP310" i="1"/>
  <c r="BN310" i="1"/>
  <c r="Z310" i="1"/>
  <c r="BP318" i="1"/>
  <c r="BN318" i="1"/>
  <c r="Z318" i="1"/>
  <c r="Y320" i="1"/>
  <c r="Y325" i="1"/>
  <c r="BP322" i="1"/>
  <c r="BN322" i="1"/>
  <c r="Z322" i="1"/>
  <c r="Z325" i="1" s="1"/>
  <c r="BP330" i="1"/>
  <c r="BN330" i="1"/>
  <c r="Z330" i="1"/>
  <c r="BP343" i="1"/>
  <c r="BN343" i="1"/>
  <c r="Z343" i="1"/>
  <c r="Z345" i="1" s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Z377" i="1" s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Y479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Z419" i="1" s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Z447" i="1"/>
  <c r="BP445" i="1"/>
  <c r="BN445" i="1"/>
  <c r="Z445" i="1"/>
  <c r="Y456" i="1"/>
  <c r="BP453" i="1"/>
  <c r="BN453" i="1"/>
  <c r="Z453" i="1"/>
  <c r="BP467" i="1"/>
  <c r="BN467" i="1"/>
  <c r="Z467" i="1"/>
  <c r="Y474" i="1"/>
  <c r="BP487" i="1"/>
  <c r="BN487" i="1"/>
  <c r="Z487" i="1"/>
  <c r="Z488" i="1" s="1"/>
  <c r="Y489" i="1"/>
  <c r="Z505" i="1"/>
  <c r="Y493" i="1"/>
  <c r="BP492" i="1"/>
  <c r="BN492" i="1"/>
  <c r="Z492" i="1"/>
  <c r="Z493" i="1" s="1"/>
  <c r="Y494" i="1"/>
  <c r="Z388" i="1" l="1"/>
  <c r="Z479" i="1"/>
  <c r="Z357" i="1"/>
  <c r="Z268" i="1"/>
  <c r="Z289" i="1"/>
  <c r="Z197" i="1"/>
  <c r="Z134" i="1"/>
  <c r="Z456" i="1"/>
  <c r="Z243" i="1"/>
  <c r="Y496" i="1"/>
  <c r="Y498" i="1" s="1"/>
  <c r="Y497" i="1"/>
  <c r="Y495" i="1"/>
  <c r="Z312" i="1"/>
  <c r="Z303" i="1"/>
  <c r="Z259" i="1"/>
  <c r="Z441" i="1"/>
  <c r="Z469" i="1"/>
  <c r="Z402" i="1"/>
  <c r="Z332" i="1"/>
  <c r="Z181" i="1"/>
  <c r="Z96" i="1"/>
  <c r="Z89" i="1"/>
  <c r="Z76" i="1"/>
  <c r="Z32" i="1"/>
  <c r="X498" i="1"/>
  <c r="Z225" i="1"/>
  <c r="Z319" i="1"/>
  <c r="Z276" i="1"/>
  <c r="Z213" i="1"/>
  <c r="Z187" i="1"/>
  <c r="Z154" i="1"/>
  <c r="Y499" i="1"/>
  <c r="Z500" i="1" l="1"/>
</calcChain>
</file>

<file path=xl/sharedStrings.xml><?xml version="1.0" encoding="utf-8"?>
<sst xmlns="http://schemas.openxmlformats.org/spreadsheetml/2006/main" count="2295" uniqueCount="782">
  <si>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</si>
  <si>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</si>
  <si>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</si>
  <si>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</si>
  <si>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</si>
  <si>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</si>
  <si>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</si>
  <si>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</si>
  <si>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</si>
  <si>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</si>
  <si>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</si>
  <si>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</si>
  <si>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</si>
  <si>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</si>
  <si>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Луганская Народная Респ, Рабочая ул, д. 10А,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</si>
  <si>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</si>
  <si>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</si>
  <si>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</si>
  <si>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</si>
  <si>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291002Российская Федерация, Луганская Народная Респ, Луганск г, Рабочая ул, д. 10А,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</si>
  <si>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</si>
  <si>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</si>
  <si>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</si>
  <si>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</si>
  <si>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</si>
  <si>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</si>
  <si>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</si>
  <si>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</si>
  <si>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</si>
  <si>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</si>
  <si>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</si>
  <si>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</si>
  <si>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</si>
  <si>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</si>
  <si>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</si>
  <si>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</si>
  <si>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</si>
  <si>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</si>
  <si>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</si>
  <si>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</si>
  <si>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</si>
  <si>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</si>
  <si>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</si>
  <si>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</si>
  <si>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</si>
  <si>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</si>
  <si>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</si>
  <si>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</si>
  <si>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</si>
  <si>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</si>
  <si>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</si>
  <si>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</si>
  <si>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</si>
  <si>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</si>
  <si>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</si>
  <si>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</si>
  <si>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</si>
  <si>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</si>
  <si>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</si>
  <si>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</si>
  <si>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</si>
  <si>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</si>
  <si>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</si>
  <si>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</si>
  <si>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</si>
  <si>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</si>
  <si>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</si>
  <si>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</si>
  <si>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</si>
  <si>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</si>
  <si>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</si>
  <si>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</si>
  <si>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</si>
  <si>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</si>
  <si>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</si>
  <si>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</si>
  <si>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</si>
  <si>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</si>
  <si>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</si>
  <si>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</si>
  <si>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</si>
  <si>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</si>
  <si>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</si>
  <si>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</si>
  <si>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</si>
  <si>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</si>
  <si>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</si>
  <si>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</si>
  <si>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</si>
  <si>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</si>
  <si>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</si>
  <si>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</si>
  <si>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</si>
  <si>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</si>
  <si>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</si>
  <si>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</si>
  <si>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</si>
  <si>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</si>
  <si>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</si>
  <si>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</si>
  <si>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</si>
  <si>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</si>
  <si>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</si>
  <si>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</si>
  <si>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</si>
  <si>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</si>
  <si>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</si>
  <si>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</si>
  <si>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</si>
  <si>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SU002986</t>
  </si>
  <si>
    <t>P003429</t>
  </si>
  <si>
    <t>12</t>
  </si>
  <si>
    <t>Короб, мин. 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</si>
  <si>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</si>
  <si>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</si>
  <si>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</si>
  <si>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</si>
  <si>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</si>
  <si>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</si>
  <si>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</si>
  <si>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</si>
  <si>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</si>
  <si>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</si>
  <si>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</si>
  <si>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</si>
  <si>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</si>
  <si>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</si>
  <si>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</si>
  <si>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</si>
  <si>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</si>
  <si>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</si>
  <si>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</si>
  <si>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</si>
  <si>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</si>
  <si>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</si>
  <si>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</si>
  <si>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</si>
  <si>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</si>
  <si>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</si>
  <si>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</si>
  <si>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</si>
  <si>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</si>
  <si>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</si>
  <si>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</si>
  <si>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</si>
  <si>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</si>
  <si>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</si>
  <si>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</si>
  <si>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</si>
  <si>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</si>
  <si>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</si>
  <si>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</si>
  <si>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</si>
  <si>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</si>
  <si>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</si>
  <si>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</si>
  <si>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</si>
  <si>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</si>
  <si>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</si>
  <si>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</si>
  <si>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</si>
  <si>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</si>
  <si>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</si>
  <si>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</si>
  <si>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</si>
  <si>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</si>
  <si>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</si>
  <si>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</si>
  <si>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</si>
  <si>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</si>
  <si>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</si>
  <si>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</si>
  <si>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</si>
  <si>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</si>
  <si>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</si>
  <si>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</si>
  <si>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</si>
  <si>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</si>
  <si>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</si>
  <si>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</si>
  <si>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</si>
  <si>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</si>
  <si>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</si>
  <si>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</si>
  <si>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</si>
  <si>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</si>
  <si>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</si>
  <si>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</si>
  <si>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</si>
  <si>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</si>
  <si>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</si>
  <si>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</si>
  <si>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</si>
  <si>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</si>
  <si>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</si>
  <si>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</si>
  <si>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</si>
  <si>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</si>
  <si>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</si>
  <si>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</si>
  <si>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</si>
  <si>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</si>
  <si>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</si>
  <si>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</si>
  <si>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</si>
  <si>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</si>
  <si>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</si>
  <si>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</si>
  <si>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</si>
  <si>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</si>
  <si>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</si>
  <si>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</si>
  <si>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</si>
  <si>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</si>
  <si>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</si>
  <si>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Короб, мин. 14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</si>
  <si>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</si>
  <si>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</si>
  <si>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</si>
  <si>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</si>
  <si>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</si>
  <si>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</si>
  <si>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</si>
  <si>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</si>
  <si>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</si>
  <si>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</si>
  <si>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</si>
  <si>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</si>
  <si>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</si>
  <si>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</si>
  <si>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</si>
  <si>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</si>
  <si>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</si>
  <si>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</si>
  <si>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</si>
  <si>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</si>
  <si>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</si>
  <si>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</si>
  <si>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</si>
  <si>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</si>
  <si>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</si>
  <si>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</si>
  <si>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</si>
  <si>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</si>
  <si>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</si>
  <si>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</si>
  <si>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</si>
  <si>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</si>
  <si>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</si>
  <si>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</si>
  <si>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</si>
  <si>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</si>
  <si>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</si>
  <si>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</si>
  <si>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</si>
  <si>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</si>
  <si>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</si>
  <si>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</si>
  <si>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</si>
  <si>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</si>
  <si>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</si>
  <si>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</si>
  <si>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</si>
  <si>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</si>
  <si>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</si>
  <si>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</si>
  <si>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</si>
  <si>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</si>
  <si>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</si>
  <si>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</si>
  <si>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</si>
  <si>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</si>
  <si>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</si>
  <si>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</si>
  <si>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</si>
  <si>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</si>
  <si>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</si>
  <si>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</si>
  <si>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</si>
  <si>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</si>
  <si>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</si>
  <si>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</si>
  <si>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</si>
  <si>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</si>
  <si>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</si>
  <si>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</si>
  <si>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</si>
  <si>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</si>
  <si>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</si>
  <si>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</si>
  <si>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</si>
  <si>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</si>
  <si>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</si>
  <si>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</si>
  <si>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</si>
  <si>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</si>
  <si>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</si>
  <si>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</si>
  <si>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</si>
  <si>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</si>
  <si>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</si>
  <si>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</si>
  <si>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</si>
  <si>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</si>
  <si>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</si>
  <si>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</si>
  <si>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</si>
  <si>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</si>
  <si>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</si>
  <si>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</si>
  <si>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</si>
  <si>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</si>
  <si>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</si>
  <si>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</si>
  <si>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</si>
  <si>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</si>
  <si>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</si>
  <si>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</si>
  <si>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</si>
  <si>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</si>
  <si>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</si>
  <si>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</si>
  <si>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</si>
  <si>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</si>
  <si>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</si>
  <si>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</si>
  <si>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</si>
  <si>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</si>
  <si>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</si>
  <si>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</si>
  <si>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</si>
  <si>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</si>
  <si>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</si>
  <si>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</si>
  <si>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</si>
  <si>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</si>
  <si>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</si>
  <si>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</si>
  <si>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</si>
  <si>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</si>
  <si>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</si>
  <si>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</si>
  <si>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</si>
  <si>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</si>
  <si>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</si>
  <si>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</si>
  <si>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</si>
  <si>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</si>
  <si>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</si>
  <si>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</si>
  <si>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</si>
  <si>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</si>
  <si>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</si>
  <si>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</si>
  <si>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</si>
  <si>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</si>
  <si>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</si>
  <si>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</si>
  <si>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</si>
  <si>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</si>
  <si>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</si>
  <si>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</si>
  <si>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</si>
  <si>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</si>
  <si>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</si>
  <si>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</si>
  <si>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</si>
  <si>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</si>
  <si>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</si>
  <si>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</si>
  <si>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</si>
  <si>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</si>
  <si>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</si>
  <si>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</si>
  <si>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</si>
  <si>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</si>
  <si>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</si>
  <si>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</si>
  <si>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</si>
  <si>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</si>
  <si>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</si>
  <si>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</si>
  <si>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</si>
  <si>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</si>
  <si>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</si>
  <si>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</si>
  <si>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</si>
  <si>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</si>
  <si>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</si>
  <si>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</si>
  <si>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</si>
  <si>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</si>
  <si>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</si>
  <si>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</si>
  <si>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</si>
  <si>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</si>
  <si>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</si>
  <si>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</si>
  <si>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</si>
  <si>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</si>
  <si>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</si>
  <si>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</si>
  <si>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</si>
  <si>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</si>
  <si>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</si>
  <si>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</si>
  <si>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</si>
  <si>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</si>
  <si>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</si>
  <si>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</si>
  <si>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</si>
  <si>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</si>
  <si>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</si>
  <si>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</si>
  <si>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</si>
  <si>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</si>
  <si>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</si>
  <si>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</si>
  <si>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</si>
  <si>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</si>
  <si>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</si>
  <si>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</si>
  <si>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</si>
  <si>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</si>
  <si>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</si>
  <si>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</si>
  <si>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</si>
  <si>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</si>
  <si>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</si>
  <si>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</si>
  <si>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</si>
  <si>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</si>
  <si>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</si>
  <si>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</si>
  <si>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</si>
  <si>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</si>
  <si>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</si>
  <si>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</si>
  <si>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</si>
  <si>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</si>
  <si>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</si>
  <si>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</si>
  <si>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</si>
  <si>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</si>
  <si>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</si>
  <si>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</si>
  <si>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</si>
  <si>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</si>
  <si>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</si>
  <si>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</si>
  <si>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</si>
  <si>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</si>
  <si>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</si>
  <si>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</si>
  <si>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</si>
  <si>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</si>
  <si>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</si>
  <si>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</si>
  <si>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</si>
  <si>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</si>
  <si>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</si>
  <si>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</si>
  <si>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</si>
  <si>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</si>
  <si>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</si>
  <si>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</si>
  <si>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</si>
  <si>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</si>
  <si>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</si>
  <si>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</si>
  <si>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</si>
  <si>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</si>
  <si>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</si>
  <si>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</si>
  <si>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</si>
  <si>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</si>
  <si>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</si>
  <si>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</si>
  <si>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</si>
  <si>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</si>
  <si>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</si>
  <si>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</si>
  <si>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</si>
  <si>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</si>
  <si>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</si>
  <si>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</si>
  <si>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</si>
  <si>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</si>
  <si>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</si>
  <si>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</si>
  <si>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</si>
  <si>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</si>
  <si>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</si>
  <si>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</si>
  <si>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</si>
  <si>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</si>
  <si>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</si>
  <si>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</si>
  <si>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</si>
  <si>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</si>
  <si>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</si>
  <si>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</si>
  <si>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</si>
  <si>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</si>
  <si>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</si>
  <si>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</si>
  <si>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</si>
  <si>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</si>
  <si>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</si>
  <si>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</si>
  <si>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</si>
  <si>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</si>
  <si>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</si>
  <si>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</si>
  <si>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</si>
  <si>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</si>
  <si>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</si>
  <si>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</si>
  <si>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</si>
  <si>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</si>
  <si>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</si>
  <si>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</si>
  <si>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</si>
  <si>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</si>
  <si>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</si>
  <si>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</si>
  <si>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</si>
  <si>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</si>
  <si>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</si>
  <si>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</si>
  <si>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</si>
  <si>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</si>
  <si>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</si>
  <si>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</si>
  <si>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</si>
  <si>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</si>
  <si>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</si>
  <si>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</si>
  <si>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</si>
  <si>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</si>
  <si>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</si>
  <si>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</si>
  <si>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</si>
  <si>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</si>
  <si>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</si>
  <si>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</si>
  <si>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</si>
  <si>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</si>
  <si>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</si>
  <si>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</si>
  <si>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</si>
  <si>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</si>
  <si>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</si>
  <si>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</si>
  <si>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</si>
  <si>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</si>
  <si>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</si>
  <si>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</si>
  <si>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</si>
  <si>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</si>
  <si>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</si>
  <si>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</si>
  <si>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</si>
  <si>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</si>
  <si>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</si>
  <si>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</si>
  <si>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</si>
  <si>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</si>
  <si>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</si>
  <si>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</si>
  <si>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</si>
  <si>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</si>
  <si>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</si>
  <si>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</si>
  <si>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</si>
  <si>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</si>
  <si>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</si>
  <si>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</si>
  <si>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</si>
  <si>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</si>
  <si>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</si>
  <si>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</si>
  <si>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</si>
  <si>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</si>
  <si>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</si>
  <si>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</si>
  <si>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</si>
  <si>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</si>
  <si>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</si>
  <si>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</si>
  <si>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</si>
  <si>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</si>
  <si>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</si>
  <si>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</si>
  <si>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</si>
  <si>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</si>
  <si>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</si>
  <si>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</si>
  <si>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</si>
  <si>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</si>
  <si>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</si>
  <si>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</si>
  <si>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</si>
  <si>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</si>
  <si>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</si>
  <si>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</si>
  <si>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</si>
  <si>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</si>
  <si>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</si>
  <si>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</si>
  <si>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</si>
  <si>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</si>
  <si>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</si>
  <si>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</si>
  <si>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</si>
  <si>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</si>
  <si>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</si>
  <si>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</si>
  <si>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</si>
  <si>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</si>
  <si>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</si>
  <si>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</si>
  <si>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</si>
  <si>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</si>
  <si>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</si>
  <si>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</si>
  <si>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</si>
  <si>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</si>
  <si>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</si>
  <si>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</si>
  <si>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</si>
  <si>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</si>
  <si>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</si>
  <si>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</si>
  <si>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</si>
  <si>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</si>
  <si>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</si>
  <si>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</si>
  <si>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</si>
  <si>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</si>
  <si>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</si>
  <si>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</si>
  <si>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</si>
  <si>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</si>
  <si>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</si>
  <si>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</si>
  <si>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</si>
  <si>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</si>
  <si>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</si>
  <si>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</si>
  <si>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</si>
  <si>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</si>
  <si>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</si>
  <si>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</si>
  <si>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</si>
  <si>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</si>
  <si>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</si>
  <si>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</si>
  <si>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</si>
  <si>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</si>
  <si>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</si>
  <si>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</si>
  <si>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</si>
  <si>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</si>
  <si>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</si>
  <si>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</si>
  <si>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</si>
  <si>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</si>
  <si>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</si>
  <si>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</si>
  <si>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</si>
  <si>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</si>
  <si>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</si>
  <si>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</si>
  <si>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</si>
  <si>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</si>
  <si>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</si>
  <si>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</si>
  <si>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</si>
  <si>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</si>
  <si>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</si>
  <si>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</si>
  <si>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</si>
  <si>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</si>
  <si>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</si>
  <si>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</si>
  <si>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</si>
  <si>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</si>
  <si>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</si>
  <si>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</si>
  <si>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</si>
  <si>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</si>
  <si>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</si>
  <si>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</si>
  <si>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</si>
  <si>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</si>
  <si>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</si>
  <si>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</si>
  <si>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</si>
  <si>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</si>
  <si>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</si>
  <si>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</si>
  <si>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</si>
  <si>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</si>
  <si>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</si>
  <si>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</si>
  <si>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</si>
  <si>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</si>
  <si>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</si>
  <si>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</si>
  <si>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</si>
  <si>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</si>
  <si>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</si>
  <si>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</si>
  <si>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</si>
  <si>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</si>
  <si>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</si>
  <si>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</si>
  <si>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</si>
  <si>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</si>
  <si>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</si>
  <si>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</si>
  <si>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</si>
  <si>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</si>
  <si>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</si>
  <si>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</si>
  <si>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</si>
  <si>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</si>
  <si>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</si>
  <si>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</si>
  <si>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</si>
  <si>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</si>
  <si>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</si>
  <si>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</si>
  <si>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</si>
  <si>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</si>
  <si>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</si>
  <si>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</si>
  <si>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</si>
  <si>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</si>
  <si>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</si>
  <si>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</si>
  <si>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</si>
  <si>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</si>
  <si>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</si>
  <si>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</si>
  <si>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</si>
  <si>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</si>
  <si>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</si>
  <si>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</si>
  <si>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</si>
  <si>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</si>
  <si>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</si>
  <si>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</si>
  <si>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</si>
  <si>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</si>
  <si>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</si>
  <si>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</si>
  <si>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</si>
  <si>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</si>
  <si>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</si>
  <si>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</si>
  <si>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</si>
  <si>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</si>
  <si>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</si>
  <si>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</si>
  <si>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</si>
  <si>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</si>
  <si>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596383_9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</si>
  <si>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</si>
  <si>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</si>
  <si>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</si>
  <si>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</si>
  <si>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</si>
  <si>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</si>
  <si>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</si>
  <si>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</si>
  <si>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</si>
  <si>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</si>
  <si>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</si>
  <si>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</si>
  <si>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№5,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</si>
</sst>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781</v>
      </c>
      <c r="I5" s="804"/>
      <c r="J5" s="804"/>
      <c r="K5" s="804"/>
      <c r="L5" s="804"/>
      <c r="M5" s="633"/>
      <c r="N5" s="58"/>
      <c r="P5" s="24" t="s">
        <v>10</v>
      </c>
      <c r="Q5" s="859">
        <v>46039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Суббота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0.41666666666666669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 t="s">
        <v>105</v>
      </c>
      <c r="M41" s="33" t="s">
        <v>106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777.6</v>
      </c>
      <c r="Y41" s="554">
        <f>IFERROR(IF(X41="",0,CEILING((X41/$H41),1)*$H41),"")</f>
        <v>777.6</v>
      </c>
      <c r="Z41" s="36">
        <f>IFERROR(IF(Y41=0,"",ROUNDUP(Y41/H41,0)*0.01898),"")</f>
        <v>1.36656</v>
      </c>
      <c r="AA41" s="56"/>
      <c r="AB41" s="57"/>
      <c r="AC41" s="85" t="s">
        <v>107</v>
      </c>
      <c r="AG41" s="64"/>
      <c r="AJ41" s="68" t="s">
        <v>108</v>
      </c>
      <c r="AK41" s="68">
        <v>86.4</v>
      </c>
      <c r="BB41" s="86" t="s">
        <v>1</v>
      </c>
      <c r="BM41" s="64">
        <f>IFERROR(X41*I41/H41,"0")</f>
        <v>807.12</v>
      </c>
      <c r="BN41" s="64">
        <f>IFERROR(Y41*I41/H41,"0")</f>
        <v>807.12</v>
      </c>
      <c r="BO41" s="64">
        <f>IFERROR(1/J41*(X41/H41),"0")</f>
        <v>1.125</v>
      </c>
      <c r="BP41" s="64">
        <f>IFERROR(1/J41*(Y41/H41),"0")</f>
        <v>1.125</v>
      </c>
    </row>
    <row r="42" spans="1:68" ht="27" hidden="1" customHeight="1" x14ac:dyDescent="0.25">
      <c r="A42" s="54" t="s">
        <v>109</v>
      </c>
      <c r="B42" s="54" t="s">
        <v>110</v>
      </c>
      <c r="C42" s="31">
        <v>4301011565</v>
      </c>
      <c r="D42" s="562">
        <v>4680115882539</v>
      </c>
      <c r="E42" s="563"/>
      <c r="F42" s="552">
        <v>0.37</v>
      </c>
      <c r="G42" s="32">
        <v>10</v>
      </c>
      <c r="H42" s="552">
        <v>3.7</v>
      </c>
      <c r="I42" s="552">
        <v>3.89</v>
      </c>
      <c r="J42" s="32">
        <v>132</v>
      </c>
      <c r="K42" s="32" t="s">
        <v>111</v>
      </c>
      <c r="L42" s="32" t="s">
        <v>112</v>
      </c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8"/>
      <c r="R42" s="558"/>
      <c r="S42" s="558"/>
      <c r="T42" s="559"/>
      <c r="U42" s="34"/>
      <c r="V42" s="34"/>
      <c r="W42" s="35" t="s">
        <v>69</v>
      </c>
      <c r="X42" s="553">
        <v>0</v>
      </c>
      <c r="Y42" s="55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 t="s">
        <v>108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2">
        <v>4607091385687</v>
      </c>
      <c r="E43" s="563"/>
      <c r="F43" s="552">
        <v>0.4</v>
      </c>
      <c r="G43" s="32">
        <v>10</v>
      </c>
      <c r="H43" s="552">
        <v>4</v>
      </c>
      <c r="I43" s="552">
        <v>4.1900000000000004</v>
      </c>
      <c r="J43" s="32">
        <v>132</v>
      </c>
      <c r="K43" s="32" t="s">
        <v>111</v>
      </c>
      <c r="L43" s="32"/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107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72</v>
      </c>
      <c r="Y44" s="555">
        <f>IFERROR(Y41/H41,"0")+IFERROR(Y42/H42,"0")+IFERROR(Y43/H43,"0")</f>
        <v>72</v>
      </c>
      <c r="Z44" s="555">
        <f>IFERROR(IF(Z41="",0,Z41),"0")+IFERROR(IF(Z42="",0,Z42),"0")+IFERROR(IF(Z43="",0,Z43),"0")</f>
        <v>1.36656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777.6</v>
      </c>
      <c r="Y45" s="555">
        <f>IFERROR(SUM(Y41:Y43),"0")</f>
        <v>777.6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115</v>
      </c>
      <c r="B47" s="54" t="s">
        <v>116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117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118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119</v>
      </c>
      <c r="B52" s="54" t="s">
        <v>120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 t="s">
        <v>105</v>
      </c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179.2</v>
      </c>
      <c r="Y52" s="554">
        <f t="shared" ref="Y52:Y57" si="0">IFERROR(IF(X52="",0,CEILING((X52/$H52),1)*$H52),"")</f>
        <v>179.2</v>
      </c>
      <c r="Z52" s="36">
        <f>IFERROR(IF(Y52=0,"",ROUNDUP(Y52/H52,0)*0.01898),"")</f>
        <v>0.30368000000000001</v>
      </c>
      <c r="AA52" s="56"/>
      <c r="AB52" s="57"/>
      <c r="AC52" s="93" t="s">
        <v>121</v>
      </c>
      <c r="AG52" s="64"/>
      <c r="AJ52" s="68" t="s">
        <v>108</v>
      </c>
      <c r="AK52" s="68">
        <v>89.6</v>
      </c>
      <c r="BB52" s="94" t="s">
        <v>1</v>
      </c>
      <c r="BM52" s="64">
        <f t="shared" ref="BM52:BM57" si="1">IFERROR(X52*I52/H52,"0")</f>
        <v>185.76</v>
      </c>
      <c r="BN52" s="64">
        <f t="shared" ref="BN52:BN57" si="2">IFERROR(Y52*I52/H52,"0")</f>
        <v>185.76</v>
      </c>
      <c r="BO52" s="64">
        <f t="shared" ref="BO52:BO57" si="3">IFERROR(1/J52*(X52/H52),"0")</f>
        <v>0.25</v>
      </c>
      <c r="BP52" s="64">
        <f t="shared" ref="BP52:BP57" si="4">IFERROR(1/J52*(Y52/H52),"0")</f>
        <v>0.25</v>
      </c>
    </row>
    <row r="53" spans="1:68" ht="27" customHeight="1" x14ac:dyDescent="0.25">
      <c r="A53" s="54" t="s">
        <v>122</v>
      </c>
      <c r="B53" s="54" t="s">
        <v>123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 t="s">
        <v>105</v>
      </c>
      <c r="M53" s="33" t="s">
        <v>106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259.2</v>
      </c>
      <c r="Y53" s="554">
        <f t="shared" si="0"/>
        <v>259.20000000000005</v>
      </c>
      <c r="Z53" s="36">
        <f>IFERROR(IF(Y53=0,"",ROUNDUP(Y53/H53,0)*0.01898),"")</f>
        <v>0.45552000000000004</v>
      </c>
      <c r="AA53" s="56"/>
      <c r="AB53" s="57"/>
      <c r="AC53" s="95" t="s">
        <v>124</v>
      </c>
      <c r="AG53" s="64"/>
      <c r="AJ53" s="68" t="s">
        <v>108</v>
      </c>
      <c r="AK53" s="68">
        <v>86.4</v>
      </c>
      <c r="BB53" s="96" t="s">
        <v>1</v>
      </c>
      <c r="BM53" s="64">
        <f t="shared" si="1"/>
        <v>269.03999999999996</v>
      </c>
      <c r="BN53" s="64">
        <f t="shared" si="2"/>
        <v>269.04000000000002</v>
      </c>
      <c r="BO53" s="64">
        <f t="shared" si="3"/>
        <v>0.37499999999999994</v>
      </c>
      <c r="BP53" s="64">
        <f t="shared" si="4"/>
        <v>0.37500000000000006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111</v>
      </c>
      <c r="L54" s="32"/>
      <c r="M54" s="33" t="s">
        <v>106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128</v>
      </c>
      <c r="B55" s="54" t="s">
        <v>129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111</v>
      </c>
      <c r="L55" s="32" t="s">
        <v>112</v>
      </c>
      <c r="M55" s="33" t="s">
        <v>106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130</v>
      </c>
      <c r="AG55" s="64"/>
      <c r="AJ55" s="68" t="s">
        <v>108</v>
      </c>
      <c r="AK55" s="68">
        <v>48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131</v>
      </c>
      <c r="B56" s="54" t="s">
        <v>132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134</v>
      </c>
      <c r="B57" s="54" t="s">
        <v>135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111</v>
      </c>
      <c r="L57" s="32"/>
      <c r="M57" s="33" t="s">
        <v>106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136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40</v>
      </c>
      <c r="Y58" s="555">
        <f>IFERROR(Y52/H52,"0")+IFERROR(Y53/H53,"0")+IFERROR(Y54/H54,"0")+IFERROR(Y55/H55,"0")+IFERROR(Y56/H56,"0")+IFERROR(Y57/H57,"0")</f>
        <v>40</v>
      </c>
      <c r="Z58" s="555">
        <f>IFERROR(IF(Z52="",0,Z52),"0")+IFERROR(IF(Z53="",0,Z53),"0")+IFERROR(IF(Z54="",0,Z54),"0")+IFERROR(IF(Z55="",0,Z55),"0")+IFERROR(IF(Z56="",0,Z56),"0")+IFERROR(IF(Z57="",0,Z57),"0")</f>
        <v>0.7592000000000001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438.4</v>
      </c>
      <c r="Y59" s="555">
        <f>IFERROR(SUM(Y52:Y57),"0")</f>
        <v>438.40000000000003</v>
      </c>
      <c r="Z59" s="37"/>
      <c r="AA59" s="556"/>
      <c r="AB59" s="556"/>
      <c r="AC59" s="556"/>
    </row>
    <row r="60" spans="1:68" ht="14.25" hidden="1" customHeight="1" x14ac:dyDescent="0.25">
      <c r="A60" s="567" t="s">
        <v>137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138</v>
      </c>
      <c r="B61" s="54" t="s">
        <v>139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 t="s">
        <v>105</v>
      </c>
      <c r="M61" s="33" t="s">
        <v>106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259.2</v>
      </c>
      <c r="Y61" s="554">
        <f>IFERROR(IF(X61="",0,CEILING((X61/$H61),1)*$H61),"")</f>
        <v>259.20000000000005</v>
      </c>
      <c r="Z61" s="36">
        <f>IFERROR(IF(Y61=0,"",ROUNDUP(Y61/H61,0)*0.01898),"")</f>
        <v>0.45552000000000004</v>
      </c>
      <c r="AA61" s="56"/>
      <c r="AB61" s="57"/>
      <c r="AC61" s="105" t="s">
        <v>140</v>
      </c>
      <c r="AG61" s="64"/>
      <c r="AJ61" s="68" t="s">
        <v>108</v>
      </c>
      <c r="AK61" s="68">
        <v>86.4</v>
      </c>
      <c r="BB61" s="106" t="s">
        <v>1</v>
      </c>
      <c r="BM61" s="64">
        <f>IFERROR(X61*I61/H61,"0")</f>
        <v>269.03999999999996</v>
      </c>
      <c r="BN61" s="64">
        <f>IFERROR(Y61*I61/H61,"0")</f>
        <v>269.04000000000002</v>
      </c>
      <c r="BO61" s="64">
        <f>IFERROR(1/J61*(X61/H61),"0")</f>
        <v>0.37499999999999994</v>
      </c>
      <c r="BP61" s="64">
        <f>IFERROR(1/J61*(Y61/H61),"0")</f>
        <v>0.37500000000000006</v>
      </c>
    </row>
    <row r="62" spans="1:68" ht="16.5" hidden="1" customHeight="1" x14ac:dyDescent="0.25">
      <c r="A62" s="54" t="s">
        <v>141</v>
      </c>
      <c r="B62" s="54" t="s">
        <v>142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143</v>
      </c>
      <c r="B63" s="54" t="s">
        <v>144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106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140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23.999999999999996</v>
      </c>
      <c r="Y64" s="555">
        <f>IFERROR(Y61/H61,"0")+IFERROR(Y62/H62,"0")+IFERROR(Y63/H63,"0")</f>
        <v>24.000000000000004</v>
      </c>
      <c r="Z64" s="555">
        <f>IFERROR(IF(Z61="",0,Z61),"0")+IFERROR(IF(Z62="",0,Z62),"0")+IFERROR(IF(Z63="",0,Z63),"0")</f>
        <v>0.45552000000000004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259.2</v>
      </c>
      <c r="Y65" s="555">
        <f>IFERROR(SUM(Y61:Y63),"0")</f>
        <v>259.20000000000005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145</v>
      </c>
      <c r="B67" s="54" t="s">
        <v>146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149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151</v>
      </c>
      <c r="B72" s="54" t="s">
        <v>152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 t="s">
        <v>105</v>
      </c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 t="s">
        <v>108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154</v>
      </c>
      <c r="B73" s="54" t="s">
        <v>155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157</v>
      </c>
      <c r="B74" s="54" t="s">
        <v>158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159</v>
      </c>
      <c r="B75" s="54" t="s">
        <v>160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162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 t="s">
        <v>105</v>
      </c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62.4</v>
      </c>
      <c r="Y79" s="554">
        <f>IFERROR(IF(X79="",0,CEILING((X79/$H79),1)*$H79),"")</f>
        <v>62.4</v>
      </c>
      <c r="Z79" s="36">
        <f>IFERROR(IF(Y79=0,"",ROUNDUP(Y79/H79,0)*0.01898),"")</f>
        <v>0.15184</v>
      </c>
      <c r="AA79" s="56"/>
      <c r="AB79" s="57"/>
      <c r="AC79" s="123" t="s">
        <v>165</v>
      </c>
      <c r="AG79" s="64"/>
      <c r="AJ79" s="68" t="s">
        <v>108</v>
      </c>
      <c r="AK79" s="68">
        <v>62.4</v>
      </c>
      <c r="BB79" s="124" t="s">
        <v>1</v>
      </c>
      <c r="BM79" s="64">
        <f>IFERROR(X79*I79/H79,"0")</f>
        <v>65.680000000000007</v>
      </c>
      <c r="BN79" s="64">
        <f>IFERROR(Y79*I79/H79,"0")</f>
        <v>65.680000000000007</v>
      </c>
      <c r="BO79" s="64">
        <f>IFERROR(1/J79*(X79/H79),"0")</f>
        <v>0.125</v>
      </c>
      <c r="BP79" s="64">
        <f>IFERROR(1/J79*(Y79/H79),"0")</f>
        <v>0.125</v>
      </c>
    </row>
    <row r="80" spans="1:68" ht="27" hidden="1" customHeight="1" x14ac:dyDescent="0.25">
      <c r="A80" s="54" t="s">
        <v>166</v>
      </c>
      <c r="B80" s="54" t="s">
        <v>167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111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8</v>
      </c>
      <c r="Y81" s="555">
        <f>IFERROR(Y79/H79,"0")+IFERROR(Y80/H80,"0")</f>
        <v>8</v>
      </c>
      <c r="Z81" s="555">
        <f>IFERROR(IF(Z79="",0,Z79),"0")+IFERROR(IF(Z80="",0,Z80),"0")</f>
        <v>0.15184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62.4</v>
      </c>
      <c r="Y82" s="555">
        <f>IFERROR(SUM(Y79:Y80),"0")</f>
        <v>62.4</v>
      </c>
      <c r="Z82" s="37"/>
      <c r="AA82" s="556"/>
      <c r="AB82" s="556"/>
      <c r="AC82" s="556"/>
    </row>
    <row r="83" spans="1:68" ht="16.5" hidden="1" customHeight="1" x14ac:dyDescent="0.25">
      <c r="A83" s="578" t="s">
        <v>169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172.8</v>
      </c>
      <c r="Y85" s="554">
        <f>IFERROR(IF(X85="",0,CEILING((X85/$H85),1)*$H85),"")</f>
        <v>172.8</v>
      </c>
      <c r="Z85" s="36">
        <f>IFERROR(IF(Y85=0,"",ROUNDUP(Y85/H85,0)*0.01898),"")</f>
        <v>0.30368000000000001</v>
      </c>
      <c r="AA85" s="56"/>
      <c r="AB85" s="57"/>
      <c r="AC85" s="127" t="s">
        <v>172</v>
      </c>
      <c r="AG85" s="64"/>
      <c r="AJ85" s="68" t="s">
        <v>108</v>
      </c>
      <c r="AK85" s="68">
        <v>86.4</v>
      </c>
      <c r="BB85" s="128" t="s">
        <v>1</v>
      </c>
      <c r="BM85" s="64">
        <f>IFERROR(X85*I85/H85,"0")</f>
        <v>179.36</v>
      </c>
      <c r="BN85" s="64">
        <f>IFERROR(Y85*I85/H85,"0")</f>
        <v>179.36</v>
      </c>
      <c r="BO85" s="64">
        <f>IFERROR(1/J85*(X85/H85),"0")</f>
        <v>0.25</v>
      </c>
      <c r="BP85" s="64">
        <f>IFERROR(1/J85*(Y85/H85),"0")</f>
        <v>0.25</v>
      </c>
    </row>
    <row r="86" spans="1:68" ht="27" hidden="1" customHeight="1" x14ac:dyDescent="0.25">
      <c r="A86" s="54" t="s">
        <v>173</v>
      </c>
      <c r="B86" s="54" t="s">
        <v>174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175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176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111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179</v>
      </c>
      <c r="B88" s="54" t="s">
        <v>180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111</v>
      </c>
      <c r="L88" s="32" t="s">
        <v>112</v>
      </c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172</v>
      </c>
      <c r="AG88" s="64"/>
      <c r="AJ88" s="68" t="s">
        <v>108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16</v>
      </c>
      <c r="Y89" s="555">
        <f>IFERROR(Y85/H85,"0")+IFERROR(Y86/H86,"0")+IFERROR(Y87/H87,"0")+IFERROR(Y88/H88,"0")</f>
        <v>16</v>
      </c>
      <c r="Z89" s="555">
        <f>IFERROR(IF(Z85="",0,Z85),"0")+IFERROR(IF(Z86="",0,Z86),"0")+IFERROR(IF(Z87="",0,Z87),"0")+IFERROR(IF(Z88="",0,Z88),"0")</f>
        <v>0.30368000000000001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172.8</v>
      </c>
      <c r="Y90" s="555">
        <f>IFERROR(SUM(Y85:Y88),"0")</f>
        <v>172.8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181</v>
      </c>
      <c r="B92" s="54" t="s">
        <v>182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 t="s">
        <v>105</v>
      </c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129.6</v>
      </c>
      <c r="Y92" s="554">
        <f>IFERROR(IF(X92="",0,CEILING((X92/$H92),1)*$H92),"")</f>
        <v>129.6</v>
      </c>
      <c r="Z92" s="36">
        <f>IFERROR(IF(Y92=0,"",ROUNDUP(Y92/H92,0)*0.01898),"")</f>
        <v>0.30368000000000001</v>
      </c>
      <c r="AA92" s="56"/>
      <c r="AB92" s="57"/>
      <c r="AC92" s="135" t="s">
        <v>183</v>
      </c>
      <c r="AG92" s="64"/>
      <c r="AJ92" s="68" t="s">
        <v>108</v>
      </c>
      <c r="AK92" s="68">
        <v>64.8</v>
      </c>
      <c r="BB92" s="136" t="s">
        <v>1</v>
      </c>
      <c r="BM92" s="64">
        <f>IFERROR(X92*I92/H92,"0")</f>
        <v>137.50399999999999</v>
      </c>
      <c r="BN92" s="64">
        <f>IFERROR(Y92*I92/H92,"0")</f>
        <v>137.50399999999999</v>
      </c>
      <c r="BO92" s="64">
        <f>IFERROR(1/J92*(X92/H92),"0")</f>
        <v>0.25</v>
      </c>
      <c r="BP92" s="64">
        <f>IFERROR(1/J92*(Y92/H92),"0")</f>
        <v>0.25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hidden="1" customHeight="1" x14ac:dyDescent="0.25">
      <c r="A94" s="54" t="s">
        <v>186</v>
      </c>
      <c r="B94" s="54" t="s">
        <v>187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0</v>
      </c>
      <c r="Y94" s="55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183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t="16.5" hidden="1" customHeight="1" x14ac:dyDescent="0.25">
      <c r="A95" s="54" t="s">
        <v>188</v>
      </c>
      <c r="B95" s="54" t="s">
        <v>189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190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16</v>
      </c>
      <c r="Y96" s="555">
        <f>IFERROR(Y92/H92,"0")+IFERROR(Y93/H93,"0")+IFERROR(Y94/H94,"0")+IFERROR(Y95/H95,"0")</f>
        <v>16</v>
      </c>
      <c r="Z96" s="555">
        <f>IFERROR(IF(Z92="",0,Z92),"0")+IFERROR(IF(Z93="",0,Z93),"0")+IFERROR(IF(Z94="",0,Z94),"0")+IFERROR(IF(Z95="",0,Z95),"0")</f>
        <v>0.30368000000000001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129.6</v>
      </c>
      <c r="Y97" s="555">
        <f>IFERROR(SUM(Y92:Y95),"0")</f>
        <v>129.6</v>
      </c>
      <c r="Z97" s="37"/>
      <c r="AA97" s="556"/>
      <c r="AB97" s="556"/>
      <c r="AC97" s="556"/>
    </row>
    <row r="98" spans="1:68" ht="16.5" hidden="1" customHeight="1" x14ac:dyDescent="0.25">
      <c r="A98" s="578" t="s">
        <v>191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192</v>
      </c>
      <c r="B100" s="54" t="s">
        <v>193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 t="s">
        <v>105</v>
      </c>
      <c r="M100" s="33" t="s">
        <v>106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691.2</v>
      </c>
      <c r="Y100" s="554">
        <f>IFERROR(IF(X100="",0,CEILING((X100/$H100),1)*$H100),"")</f>
        <v>691.2</v>
      </c>
      <c r="Z100" s="36">
        <f>IFERROR(IF(Y100=0,"",ROUNDUP(Y100/H100,0)*0.01898),"")</f>
        <v>1.21472</v>
      </c>
      <c r="AA100" s="56"/>
      <c r="AB100" s="57"/>
      <c r="AC100" s="143" t="s">
        <v>194</v>
      </c>
      <c r="AG100" s="64"/>
      <c r="AJ100" s="68" t="s">
        <v>108</v>
      </c>
      <c r="AK100" s="68">
        <v>86.4</v>
      </c>
      <c r="BB100" s="144" t="s">
        <v>1</v>
      </c>
      <c r="BM100" s="64">
        <f>IFERROR(X100*I100/H100,"0")</f>
        <v>717.44</v>
      </c>
      <c r="BN100" s="64">
        <f>IFERROR(Y100*I100/H100,"0")</f>
        <v>717.44</v>
      </c>
      <c r="BO100" s="64">
        <f>IFERROR(1/J100*(X100/H100),"0")</f>
        <v>1</v>
      </c>
      <c r="BP100" s="64">
        <f>IFERROR(1/J100*(Y100/H100),"0")</f>
        <v>1</v>
      </c>
    </row>
    <row r="101" spans="1:68" ht="27" hidden="1" customHeight="1" x14ac:dyDescent="0.25">
      <c r="A101" s="54" t="s">
        <v>195</v>
      </c>
      <c r="B101" s="54" t="s">
        <v>196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175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197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111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194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111</v>
      </c>
      <c r="L103" s="32" t="s">
        <v>112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0</v>
      </c>
      <c r="Y103" s="554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194</v>
      </c>
      <c r="AG103" s="64"/>
      <c r="AJ103" s="68" t="s">
        <v>108</v>
      </c>
      <c r="AK103" s="68">
        <v>54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111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194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64</v>
      </c>
      <c r="Y105" s="555">
        <f>IFERROR(Y100/H100,"0")+IFERROR(Y101/H101,"0")+IFERROR(Y102/H102,"0")+IFERROR(Y103/H103,"0")+IFERROR(Y104/H104,"0")</f>
        <v>64</v>
      </c>
      <c r="Z105" s="555">
        <f>IFERROR(IF(Z100="",0,Z100),"0")+IFERROR(IF(Z101="",0,Z101),"0")+IFERROR(IF(Z102="",0,Z102),"0")+IFERROR(IF(Z103="",0,Z103),"0")+IFERROR(IF(Z104="",0,Z104),"0")</f>
        <v>1.21472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691.2</v>
      </c>
      <c r="Y106" s="555">
        <f>IFERROR(SUM(Y100:Y104),"0")</f>
        <v>691.2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137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204</v>
      </c>
      <c r="B108" s="54" t="s">
        <v>205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 t="s">
        <v>105</v>
      </c>
      <c r="M108" s="33" t="s">
        <v>106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206</v>
      </c>
      <c r="AG108" s="64"/>
      <c r="AJ108" s="68" t="s">
        <v>108</v>
      </c>
      <c r="AK108" s="68">
        <v>86.4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207</v>
      </c>
      <c r="B109" s="54" t="s">
        <v>208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209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210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106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206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213</v>
      </c>
      <c r="B111" s="54" t="s">
        <v>214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 t="s">
        <v>215</v>
      </c>
      <c r="M111" s="33" t="s">
        <v>106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206</v>
      </c>
      <c r="AG111" s="64"/>
      <c r="AJ111" s="68" t="s">
        <v>108</v>
      </c>
      <c r="AK111" s="68">
        <v>33.6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 t="s">
        <v>105</v>
      </c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129.6</v>
      </c>
      <c r="Y115" s="554">
        <f>IFERROR(IF(X115="",0,CEILING((X115/$H115),1)*$H115),"")</f>
        <v>129.6</v>
      </c>
      <c r="Z115" s="36">
        <f>IFERROR(IF(Y115=0,"",ROUNDUP(Y115/H115,0)*0.01898),"")</f>
        <v>0.30368000000000001</v>
      </c>
      <c r="AA115" s="56"/>
      <c r="AB115" s="57"/>
      <c r="AC115" s="161" t="s">
        <v>218</v>
      </c>
      <c r="AG115" s="64"/>
      <c r="AJ115" s="68" t="s">
        <v>108</v>
      </c>
      <c r="AK115" s="68">
        <v>64.8</v>
      </c>
      <c r="BB115" s="162" t="s">
        <v>1</v>
      </c>
      <c r="BM115" s="64">
        <f>IFERROR(X115*I115/H115,"0")</f>
        <v>137.40799999999999</v>
      </c>
      <c r="BN115" s="64">
        <f>IFERROR(Y115*I115/H115,"0")</f>
        <v>137.40799999999999</v>
      </c>
      <c r="BO115" s="64">
        <f>IFERROR(1/J115*(X115/H115),"0")</f>
        <v>0.25</v>
      </c>
      <c r="BP115" s="64">
        <f>IFERROR(1/J115*(Y115/H115),"0")</f>
        <v>0.25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215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32.4</v>
      </c>
      <c r="Y117" s="554">
        <f>IFERROR(IF(X117="",0,CEILING((X117/$H117),1)*$H117),"")</f>
        <v>32.400000000000006</v>
      </c>
      <c r="Z117" s="36">
        <f>IFERROR(IF(Y117=0,"",ROUNDUP(Y117/H117,0)*0.00651),"")</f>
        <v>7.8119999999999995E-2</v>
      </c>
      <c r="AA117" s="56"/>
      <c r="AB117" s="57"/>
      <c r="AC117" s="165" t="s">
        <v>218</v>
      </c>
      <c r="AG117" s="64"/>
      <c r="AJ117" s="68" t="s">
        <v>108</v>
      </c>
      <c r="AK117" s="68">
        <v>37.799999999999997</v>
      </c>
      <c r="BB117" s="166" t="s">
        <v>1</v>
      </c>
      <c r="BM117" s="64">
        <f>IFERROR(X117*I117/H117,"0")</f>
        <v>35.423999999999992</v>
      </c>
      <c r="BN117" s="64">
        <f>IFERROR(Y117*I117/H117,"0")</f>
        <v>35.424000000000007</v>
      </c>
      <c r="BO117" s="64">
        <f>IFERROR(1/J117*(X117/H117),"0")</f>
        <v>6.5934065934065936E-2</v>
      </c>
      <c r="BP117" s="64">
        <f>IFERROR(1/J117*(Y117/H117),"0")</f>
        <v>6.593406593406595E-2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28</v>
      </c>
      <c r="Y119" s="555">
        <f>IFERROR(Y115/H115,"0")+IFERROR(Y116/H116,"0")+IFERROR(Y117/H117,"0")+IFERROR(Y118/H118,"0")</f>
        <v>28</v>
      </c>
      <c r="Z119" s="555">
        <f>IFERROR(IF(Z115="",0,Z115),"0")+IFERROR(IF(Z116="",0,Z116),"0")+IFERROR(IF(Z117="",0,Z117),"0")+IFERROR(IF(Z118="",0,Z118),"0")</f>
        <v>0.38180000000000003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162</v>
      </c>
      <c r="Y120" s="555">
        <f>IFERROR(SUM(Y115:Y118),"0")</f>
        <v>162</v>
      </c>
      <c r="Z120" s="37"/>
      <c r="AA120" s="556"/>
      <c r="AB120" s="556"/>
      <c r="AC120" s="556"/>
    </row>
    <row r="121" spans="1:68" ht="14.25" hidden="1" customHeight="1" x14ac:dyDescent="0.25">
      <c r="A121" s="567" t="s">
        <v>162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229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106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111</v>
      </c>
      <c r="L144" s="32"/>
      <c r="M144" s="33" t="s">
        <v>106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106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111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111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111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268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269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137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711" t="s">
        <v>276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75" t="s">
        <v>281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111</v>
      </c>
      <c r="L169" s="32" t="s">
        <v>112</v>
      </c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108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111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111</v>
      </c>
      <c r="L171" s="32" t="s">
        <v>112</v>
      </c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108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108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 t="s">
        <v>296</v>
      </c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 t="s">
        <v>108</v>
      </c>
      <c r="AK176" s="68">
        <v>32.4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175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108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hidden="1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324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327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106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106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137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106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 t="s">
        <v>215</v>
      </c>
      <c r="M201" s="33" t="s">
        <v>106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 t="s">
        <v>108</v>
      </c>
      <c r="AK201" s="68">
        <v>29.4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338</v>
      </c>
      <c r="B205" s="54" t="s">
        <v>339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111</v>
      </c>
      <c r="L205" s="32" t="s">
        <v>112</v>
      </c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129.6</v>
      </c>
      <c r="Y205" s="554">
        <f t="shared" ref="Y205:Y212" si="15">IFERROR(IF(X205="",0,CEILING((X205/$H205),1)*$H205),"")</f>
        <v>129.60000000000002</v>
      </c>
      <c r="Z205" s="36">
        <f>IFERROR(IF(Y205=0,"",ROUNDUP(Y205/H205,0)*0.00902),"")</f>
        <v>0.21648000000000001</v>
      </c>
      <c r="AA205" s="56"/>
      <c r="AB205" s="57"/>
      <c r="AC205" s="247" t="s">
        <v>340</v>
      </c>
      <c r="AG205" s="64"/>
      <c r="AJ205" s="68" t="s">
        <v>108</v>
      </c>
      <c r="AK205" s="68">
        <v>64.8</v>
      </c>
      <c r="BB205" s="248" t="s">
        <v>1</v>
      </c>
      <c r="BM205" s="64">
        <f t="shared" ref="BM205:BM212" si="16">IFERROR(X205*I205/H205,"0")</f>
        <v>134.15999999999997</v>
      </c>
      <c r="BN205" s="64">
        <f t="shared" ref="BN205:BN212" si="17">IFERROR(Y205*I205/H205,"0")</f>
        <v>134.16</v>
      </c>
      <c r="BO205" s="64">
        <f t="shared" ref="BO205:BO212" si="18">IFERROR(1/J205*(X205/H205),"0")</f>
        <v>0.1818181818181818</v>
      </c>
      <c r="BP205" s="64">
        <f t="shared" ref="BP205:BP212" si="19">IFERROR(1/J205*(Y205/H205),"0")</f>
        <v>0.18181818181818185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111</v>
      </c>
      <c r="L206" s="32" t="s">
        <v>112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108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344</v>
      </c>
      <c r="B207" s="54" t="s">
        <v>345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111</v>
      </c>
      <c r="L207" s="32"/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64.8</v>
      </c>
      <c r="Y207" s="554">
        <f t="shared" si="15"/>
        <v>64.800000000000011</v>
      </c>
      <c r="Z207" s="36">
        <f>IFERROR(IF(Y207=0,"",ROUNDUP(Y207/H207,0)*0.00902),"")</f>
        <v>0.10824</v>
      </c>
      <c r="AA207" s="56"/>
      <c r="AB207" s="57"/>
      <c r="AC207" s="251" t="s">
        <v>346</v>
      </c>
      <c r="AG207" s="64"/>
      <c r="AJ207" s="68"/>
      <c r="AK207" s="68">
        <v>0</v>
      </c>
      <c r="BB207" s="252" t="s">
        <v>1</v>
      </c>
      <c r="BM207" s="64">
        <f t="shared" si="16"/>
        <v>67.079999999999984</v>
      </c>
      <c r="BN207" s="64">
        <f t="shared" si="17"/>
        <v>67.08</v>
      </c>
      <c r="BO207" s="64">
        <f t="shared" si="18"/>
        <v>9.0909090909090898E-2</v>
      </c>
      <c r="BP207" s="64">
        <f t="shared" si="19"/>
        <v>9.0909090909090925E-2</v>
      </c>
    </row>
    <row r="208" spans="1:68" ht="27" customHeight="1" x14ac:dyDescent="0.25">
      <c r="A208" s="54" t="s">
        <v>347</v>
      </c>
      <c r="B208" s="54" t="s">
        <v>348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111</v>
      </c>
      <c r="L208" s="32" t="s">
        <v>112</v>
      </c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64.8</v>
      </c>
      <c r="Y208" s="554">
        <f t="shared" si="15"/>
        <v>64.800000000000011</v>
      </c>
      <c r="Z208" s="36">
        <f>IFERROR(IF(Y208=0,"",ROUNDUP(Y208/H208,0)*0.00902),"")</f>
        <v>0.10824</v>
      </c>
      <c r="AA208" s="56"/>
      <c r="AB208" s="57"/>
      <c r="AC208" s="253" t="s">
        <v>349</v>
      </c>
      <c r="AG208" s="64"/>
      <c r="AJ208" s="68" t="s">
        <v>108</v>
      </c>
      <c r="AK208" s="68">
        <v>64.8</v>
      </c>
      <c r="BB208" s="254" t="s">
        <v>1</v>
      </c>
      <c r="BM208" s="64">
        <f t="shared" si="16"/>
        <v>67.079999999999984</v>
      </c>
      <c r="BN208" s="64">
        <f t="shared" si="17"/>
        <v>67.08</v>
      </c>
      <c r="BO208" s="64">
        <f t="shared" si="18"/>
        <v>9.0909090909090898E-2</v>
      </c>
      <c r="BP208" s="64">
        <f t="shared" si="19"/>
        <v>9.0909090909090925E-2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0</v>
      </c>
      <c r="Y209" s="554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108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108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0</v>
      </c>
      <c r="Y211" s="554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108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47.999999999999993</v>
      </c>
      <c r="Y213" s="555">
        <f>IFERROR(Y205/H205,"0")+IFERROR(Y206/H206,"0")+IFERROR(Y207/H207,"0")+IFERROR(Y208/H208,"0")+IFERROR(Y209/H209,"0")+IFERROR(Y210/H210,"0")+IFERROR(Y211/H211,"0")+IFERROR(Y212/H212,"0")</f>
        <v>48.000000000000007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0.43296000000000001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259.2</v>
      </c>
      <c r="Y214" s="555">
        <f>IFERROR(SUM(Y205:Y212),"0")</f>
        <v>259.20000000000005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364</v>
      </c>
      <c r="B218" s="54" t="s">
        <v>365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 t="s">
        <v>105</v>
      </c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278.39999999999998</v>
      </c>
      <c r="Y218" s="554">
        <f t="shared" si="20"/>
        <v>278.39999999999998</v>
      </c>
      <c r="Z218" s="36">
        <f>IFERROR(IF(Y218=0,"",ROUNDUP(Y218/H218,0)*0.01898),"")</f>
        <v>0.60736000000000001</v>
      </c>
      <c r="AA218" s="56"/>
      <c r="AB218" s="57"/>
      <c r="AC218" s="267" t="s">
        <v>366</v>
      </c>
      <c r="AG218" s="64"/>
      <c r="AJ218" s="68" t="s">
        <v>108</v>
      </c>
      <c r="AK218" s="68">
        <v>69.599999999999994</v>
      </c>
      <c r="BB218" s="268" t="s">
        <v>1</v>
      </c>
      <c r="BM218" s="64">
        <f t="shared" si="21"/>
        <v>294.20800000000003</v>
      </c>
      <c r="BN218" s="64">
        <f t="shared" si="22"/>
        <v>294.20800000000003</v>
      </c>
      <c r="BO218" s="64">
        <f t="shared" si="23"/>
        <v>0.5</v>
      </c>
      <c r="BP218" s="64">
        <f t="shared" si="24"/>
        <v>0.5</v>
      </c>
    </row>
    <row r="219" spans="1:68" ht="37.5" customHeight="1" x14ac:dyDescent="0.25">
      <c r="A219" s="54" t="s">
        <v>367</v>
      </c>
      <c r="B219" s="54" t="s">
        <v>368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215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28.8</v>
      </c>
      <c r="Y219" s="554">
        <f t="shared" si="20"/>
        <v>28.799999999999997</v>
      </c>
      <c r="Z219" s="36">
        <f t="shared" ref="Z219:Z224" si="25">IFERROR(IF(Y219=0,"",ROUNDUP(Y219/H219,0)*0.00651),"")</f>
        <v>7.8119999999999995E-2</v>
      </c>
      <c r="AA219" s="56"/>
      <c r="AB219" s="57"/>
      <c r="AC219" s="269" t="s">
        <v>369</v>
      </c>
      <c r="AG219" s="64"/>
      <c r="AJ219" s="68" t="s">
        <v>108</v>
      </c>
      <c r="AK219" s="68">
        <v>33.6</v>
      </c>
      <c r="BB219" s="270" t="s">
        <v>1</v>
      </c>
      <c r="BM219" s="64">
        <f t="shared" si="21"/>
        <v>32.04</v>
      </c>
      <c r="BN219" s="64">
        <f t="shared" si="22"/>
        <v>32.039999999999992</v>
      </c>
      <c r="BO219" s="64">
        <f t="shared" si="23"/>
        <v>6.5934065934065936E-2</v>
      </c>
      <c r="BP219" s="64">
        <f t="shared" si="24"/>
        <v>6.5934065934065936E-2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hidden="1" customHeight="1" x14ac:dyDescent="0.25">
      <c r="A221" s="54" t="s">
        <v>372</v>
      </c>
      <c r="B221" s="54" t="s">
        <v>373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215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0</v>
      </c>
      <c r="Y221" s="554">
        <f t="shared" si="20"/>
        <v>0</v>
      </c>
      <c r="Z221" s="36" t="str">
        <f t="shared" si="25"/>
        <v/>
      </c>
      <c r="AA221" s="56"/>
      <c r="AB221" s="57"/>
      <c r="AC221" s="273" t="s">
        <v>366</v>
      </c>
      <c r="AG221" s="64"/>
      <c r="AJ221" s="68" t="s">
        <v>108</v>
      </c>
      <c r="AK221" s="68">
        <v>33.6</v>
      </c>
      <c r="BB221" s="274" t="s">
        <v>1</v>
      </c>
      <c r="BM221" s="64">
        <f t="shared" si="21"/>
        <v>0</v>
      </c>
      <c r="BN221" s="64">
        <f t="shared" si="22"/>
        <v>0</v>
      </c>
      <c r="BO221" s="64">
        <f t="shared" si="23"/>
        <v>0</v>
      </c>
      <c r="BP221" s="64">
        <f t="shared" si="24"/>
        <v>0</v>
      </c>
    </row>
    <row r="222" spans="1:68" ht="27" hidden="1" customHeight="1" x14ac:dyDescent="0.25">
      <c r="A222" s="54" t="s">
        <v>374</v>
      </c>
      <c r="B222" s="54" t="s">
        <v>375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 t="s">
        <v>215</v>
      </c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366</v>
      </c>
      <c r="AG222" s="64"/>
      <c r="AJ222" s="68" t="s">
        <v>108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 t="s">
        <v>215</v>
      </c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108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 t="s">
        <v>215</v>
      </c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108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44</v>
      </c>
      <c r="Y225" s="555">
        <f>IFERROR(Y216/H216,"0")+IFERROR(Y217/H217,"0")+IFERROR(Y218/H218,"0")+IFERROR(Y219/H219,"0")+IFERROR(Y220/H220,"0")+IFERROR(Y221/H221,"0")+IFERROR(Y222/H222,"0")+IFERROR(Y223/H223,"0")+IFERROR(Y224/H224,"0")</f>
        <v>44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0.68547999999999998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307.2</v>
      </c>
      <c r="Y226" s="555">
        <f>IFERROR(SUM(Y216:Y224),"0")</f>
        <v>307.2</v>
      </c>
      <c r="Z226" s="37"/>
      <c r="AA226" s="556"/>
      <c r="AB226" s="556"/>
      <c r="AC226" s="556"/>
    </row>
    <row r="227" spans="1:68" ht="14.25" hidden="1" customHeight="1" x14ac:dyDescent="0.25">
      <c r="A227" s="567" t="s">
        <v>162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 t="s">
        <v>215</v>
      </c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 t="s">
        <v>108</v>
      </c>
      <c r="AK229" s="68">
        <v>33.6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387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 t="s">
        <v>105</v>
      </c>
      <c r="M234" s="33" t="s">
        <v>106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 t="s">
        <v>108</v>
      </c>
      <c r="AK234" s="68">
        <v>92.8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106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106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111</v>
      </c>
      <c r="L237" s="32"/>
      <c r="M237" s="33" t="s">
        <v>106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111</v>
      </c>
      <c r="L238" s="32"/>
      <c r="M238" s="33" t="s">
        <v>106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111</v>
      </c>
      <c r="L239" s="32"/>
      <c r="M239" s="33" t="s">
        <v>106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106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111</v>
      </c>
      <c r="L241" s="32"/>
      <c r="M241" s="33" t="s">
        <v>106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111</v>
      </c>
      <c r="L242" s="32"/>
      <c r="M242" s="33" t="s">
        <v>106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137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hidden="1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412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416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428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106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106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106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111</v>
      </c>
      <c r="L266" s="32"/>
      <c r="M266" s="33" t="s">
        <v>106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111</v>
      </c>
      <c r="L267" s="32"/>
      <c r="M267" s="33" t="s">
        <v>106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444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107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106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455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459</v>
      </c>
      <c r="B281" s="54" t="s">
        <v>460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 t="s">
        <v>215</v>
      </c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57.6</v>
      </c>
      <c r="Y281" s="554">
        <f>IFERROR(IF(X281="",0,CEILING((X281/$H281),1)*$H281),"")</f>
        <v>57.599999999999994</v>
      </c>
      <c r="Z281" s="36">
        <f>IFERROR(IF(Y281=0,"",ROUNDUP(Y281/H281,0)*0.00651),"")</f>
        <v>0.15623999999999999</v>
      </c>
      <c r="AA281" s="56"/>
      <c r="AB281" s="57"/>
      <c r="AC281" s="337" t="s">
        <v>461</v>
      </c>
      <c r="AG281" s="64"/>
      <c r="AJ281" s="68" t="s">
        <v>108</v>
      </c>
      <c r="AK281" s="68">
        <v>33.6</v>
      </c>
      <c r="BB281" s="338" t="s">
        <v>1</v>
      </c>
      <c r="BM281" s="64">
        <f>IFERROR(X281*I281/H281,"0")</f>
        <v>63.648000000000003</v>
      </c>
      <c r="BN281" s="64">
        <f>IFERROR(Y281*I281/H281,"0")</f>
        <v>63.648000000000003</v>
      </c>
      <c r="BO281" s="64">
        <f>IFERROR(1/J281*(X281/H281),"0")</f>
        <v>0.13186813186813187</v>
      </c>
      <c r="BP281" s="64">
        <f>IFERROR(1/J281*(Y281/H281),"0")</f>
        <v>0.13186813186813187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 t="s">
        <v>215</v>
      </c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108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24</v>
      </c>
      <c r="Y283" s="555">
        <f>IFERROR(Y280/H280,"0")+IFERROR(Y281/H281,"0")+IFERROR(Y282/H282,"0")</f>
        <v>24</v>
      </c>
      <c r="Z283" s="555">
        <f>IFERROR(IF(Z280="",0,Z280),"0")+IFERROR(IF(Z281="",0,Z281),"0")+IFERROR(IF(Z282="",0,Z282),"0")</f>
        <v>0.15623999999999999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57.6</v>
      </c>
      <c r="Y284" s="555">
        <f>IFERROR(SUM(Y280:Y282),"0")</f>
        <v>57.599999999999994</v>
      </c>
      <c r="Z284" s="37"/>
      <c r="AA284" s="556"/>
      <c r="AB284" s="556"/>
      <c r="AC284" s="556"/>
    </row>
    <row r="285" spans="1:68" ht="16.5" hidden="1" customHeight="1" x14ac:dyDescent="0.25">
      <c r="A285" s="578" t="s">
        <v>464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111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111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477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478</v>
      </c>
      <c r="B298" s="54" t="s">
        <v>479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481</v>
      </c>
      <c r="B299" s="54" t="s">
        <v>482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106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484</v>
      </c>
      <c r="B300" s="54" t="s">
        <v>485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111</v>
      </c>
      <c r="L301" s="32"/>
      <c r="M301" s="33" t="s">
        <v>106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480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489</v>
      </c>
      <c r="B302" s="54" t="s">
        <v>490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111</v>
      </c>
      <c r="L302" s="32"/>
      <c r="M302" s="33" t="s">
        <v>106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491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492</v>
      </c>
      <c r="B306" s="54" t="s">
        <v>493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111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494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495</v>
      </c>
      <c r="B307" s="54" t="s">
        <v>496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111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111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497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503</v>
      </c>
      <c r="B310" s="54" t="s">
        <v>504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505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508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509</v>
      </c>
      <c r="B315" s="54" t="s">
        <v>510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511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512</v>
      </c>
      <c r="B316" s="54" t="s">
        <v>513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162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521</v>
      </c>
      <c r="B322" s="54" t="s">
        <v>522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 t="s">
        <v>105</v>
      </c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523</v>
      </c>
      <c r="AG322" s="64"/>
      <c r="AJ322" s="68" t="s">
        <v>108</v>
      </c>
      <c r="AK322" s="68">
        <v>67.2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524</v>
      </c>
      <c r="B323" s="54" t="s">
        <v>525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 t="s">
        <v>105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62.4</v>
      </c>
      <c r="Y323" s="554">
        <f>IFERROR(IF(X323="",0,CEILING((X323/$H323),1)*$H323),"")</f>
        <v>62.4</v>
      </c>
      <c r="Z323" s="36">
        <f>IFERROR(IF(Y323=0,"",ROUNDUP(Y323/H323,0)*0.01898),"")</f>
        <v>0.15184</v>
      </c>
      <c r="AA323" s="56"/>
      <c r="AB323" s="57"/>
      <c r="AC323" s="381" t="s">
        <v>526</v>
      </c>
      <c r="AG323" s="64"/>
      <c r="AJ323" s="68" t="s">
        <v>108</v>
      </c>
      <c r="AK323" s="68">
        <v>62.4</v>
      </c>
      <c r="BB323" s="382" t="s">
        <v>1</v>
      </c>
      <c r="BM323" s="64">
        <f>IFERROR(X323*I323/H323,"0")</f>
        <v>66.352000000000004</v>
      </c>
      <c r="BN323" s="64">
        <f>IFERROR(Y323*I323/H323,"0")</f>
        <v>66.352000000000004</v>
      </c>
      <c r="BO323" s="64">
        <f>IFERROR(1/J323*(X323/H323),"0")</f>
        <v>0.125</v>
      </c>
      <c r="BP323" s="64">
        <f>IFERROR(1/J323*(Y323/H323),"0")</f>
        <v>0.125</v>
      </c>
    </row>
    <row r="324" spans="1:68" ht="16.5" customHeight="1" x14ac:dyDescent="0.25">
      <c r="A324" s="54" t="s">
        <v>527</v>
      </c>
      <c r="B324" s="54" t="s">
        <v>528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 t="s">
        <v>105</v>
      </c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67.2</v>
      </c>
      <c r="Y324" s="554">
        <f>IFERROR(IF(X324="",0,CEILING((X324/$H324),1)*$H324),"")</f>
        <v>67.2</v>
      </c>
      <c r="Z324" s="36">
        <f>IFERROR(IF(Y324=0,"",ROUNDUP(Y324/H324,0)*0.01898),"")</f>
        <v>0.15184</v>
      </c>
      <c r="AA324" s="56"/>
      <c r="AB324" s="57"/>
      <c r="AC324" s="383" t="s">
        <v>529</v>
      </c>
      <c r="AG324" s="64"/>
      <c r="AJ324" s="68" t="s">
        <v>108</v>
      </c>
      <c r="AK324" s="68">
        <v>67.2</v>
      </c>
      <c r="BB324" s="384" t="s">
        <v>1</v>
      </c>
      <c r="BM324" s="64">
        <f>IFERROR(X324*I324/H324,"0")</f>
        <v>71.152000000000001</v>
      </c>
      <c r="BN324" s="64">
        <f>IFERROR(Y324*I324/H324,"0")</f>
        <v>71.152000000000001</v>
      </c>
      <c r="BO324" s="64">
        <f>IFERROR(1/J324*(X324/H324),"0")</f>
        <v>0.125</v>
      </c>
      <c r="BP324" s="64">
        <f>IFERROR(1/J324*(Y324/H324),"0")</f>
        <v>0.125</v>
      </c>
    </row>
    <row r="325" spans="1:68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16</v>
      </c>
      <c r="Y325" s="555">
        <f>IFERROR(Y322/H322,"0")+IFERROR(Y323/H323,"0")+IFERROR(Y324/H324,"0")</f>
        <v>16</v>
      </c>
      <c r="Z325" s="555">
        <f>IFERROR(IF(Z322="",0,Z322),"0")+IFERROR(IF(Z323="",0,Z323),"0")+IFERROR(IF(Z324="",0,Z324),"0")</f>
        <v>0.30368000000000001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129.6</v>
      </c>
      <c r="Y326" s="555">
        <f>IFERROR(SUM(Y322:Y324),"0")</f>
        <v>129.6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530</v>
      </c>
      <c r="B328" s="54" t="s">
        <v>531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111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532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533</v>
      </c>
      <c r="B329" s="54" t="s">
        <v>534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111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532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535</v>
      </c>
      <c r="B330" s="54" t="s">
        <v>536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 t="s">
        <v>215</v>
      </c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532</v>
      </c>
      <c r="AG331" s="64"/>
      <c r="AJ331" s="68" t="s">
        <v>108</v>
      </c>
      <c r="AK331" s="68">
        <v>35.700000000000003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hidden="1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hidden="1" customHeight="1" x14ac:dyDescent="0.25">
      <c r="A334" s="567" t="s">
        <v>540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541</v>
      </c>
      <c r="B335" s="54" t="s">
        <v>542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543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544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545</v>
      </c>
      <c r="B336" s="54" t="s">
        <v>546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543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544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543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544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549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550</v>
      </c>
      <c r="B342" s="54" t="s">
        <v>551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 t="s">
        <v>105</v>
      </c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552</v>
      </c>
      <c r="AG342" s="64"/>
      <c r="AJ342" s="68" t="s">
        <v>108</v>
      </c>
      <c r="AK342" s="68">
        <v>64.8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553</v>
      </c>
      <c r="B343" s="54" t="s">
        <v>554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/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555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/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0</v>
      </c>
      <c r="Y344" s="554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03" t="s">
        <v>558</v>
      </c>
      <c r="AG344" s="64"/>
      <c r="AJ344" s="68"/>
      <c r="AK344" s="68">
        <v>0</v>
      </c>
      <c r="BB344" s="404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0</v>
      </c>
      <c r="Y345" s="555">
        <f>IFERROR(Y342/H342,"0")+IFERROR(Y343/H343,"0")+IFERROR(Y344/H344,"0")</f>
        <v>0</v>
      </c>
      <c r="Z345" s="555">
        <f>IFERROR(IF(Z342="",0,Z342),"0")+IFERROR(IF(Z343="",0,Z343),"0")+IFERROR(IF(Z344="",0,Z344),"0")</f>
        <v>0</v>
      </c>
      <c r="AA345" s="556"/>
      <c r="AB345" s="556"/>
      <c r="AC345" s="556"/>
    </row>
    <row r="346" spans="1:68" hidden="1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0</v>
      </c>
      <c r="Y346" s="555">
        <f>IFERROR(SUM(Y342:Y344),"0")</f>
        <v>0</v>
      </c>
      <c r="Z346" s="37"/>
      <c r="AA346" s="556"/>
      <c r="AB346" s="556"/>
      <c r="AC346" s="556"/>
    </row>
    <row r="347" spans="1:68" ht="27.75" hidden="1" customHeight="1" x14ac:dyDescent="0.2">
      <c r="A347" s="560" t="s">
        <v>559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560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561</v>
      </c>
      <c r="B350" s="54" t="s">
        <v>562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 t="s">
        <v>105</v>
      </c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480</v>
      </c>
      <c r="Y350" s="554">
        <f t="shared" ref="Y350:Y356" si="36">IFERROR(IF(X350="",0,CEILING((X350/$H350),1)*$H350),"")</f>
        <v>480</v>
      </c>
      <c r="Z350" s="36">
        <f>IFERROR(IF(Y350=0,"",ROUNDUP(Y350/H350,0)*0.02175),"")</f>
        <v>0.69599999999999995</v>
      </c>
      <c r="AA350" s="56"/>
      <c r="AB350" s="57"/>
      <c r="AC350" s="405" t="s">
        <v>563</v>
      </c>
      <c r="AG350" s="64"/>
      <c r="AJ350" s="68" t="s">
        <v>108</v>
      </c>
      <c r="AK350" s="68">
        <v>120</v>
      </c>
      <c r="BB350" s="406" t="s">
        <v>1</v>
      </c>
      <c r="BM350" s="64">
        <f t="shared" ref="BM350:BM356" si="37">IFERROR(X350*I350/H350,"0")</f>
        <v>495.04</v>
      </c>
      <c r="BN350" s="64">
        <f t="shared" ref="BN350:BN356" si="38">IFERROR(Y350*I350/H350,"0")</f>
        <v>495.04</v>
      </c>
      <c r="BO350" s="64">
        <f t="shared" ref="BO350:BO356" si="39">IFERROR(1/J350*(X350/H350),"0")</f>
        <v>0.66666666666666663</v>
      </c>
      <c r="BP350" s="64">
        <f t="shared" ref="BP350:BP356" si="40">IFERROR(1/J350*(Y350/H350),"0")</f>
        <v>0.66666666666666663</v>
      </c>
    </row>
    <row r="351" spans="1:68" ht="27" hidden="1" customHeight="1" x14ac:dyDescent="0.25">
      <c r="A351" s="54" t="s">
        <v>564</v>
      </c>
      <c r="B351" s="54" t="s">
        <v>565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 t="s">
        <v>105</v>
      </c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 t="s">
        <v>108</v>
      </c>
      <c r="AK351" s="68">
        <v>120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567</v>
      </c>
      <c r="B352" s="54" t="s">
        <v>568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 t="s">
        <v>105</v>
      </c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135</v>
      </c>
      <c r="Y352" s="554">
        <f t="shared" si="36"/>
        <v>135</v>
      </c>
      <c r="Z352" s="36">
        <f>IFERROR(IF(Y352=0,"",ROUNDUP(Y352/H352,0)*0.02175),"")</f>
        <v>0.19574999999999998</v>
      </c>
      <c r="AA352" s="56"/>
      <c r="AB352" s="57"/>
      <c r="AC352" s="409" t="s">
        <v>569</v>
      </c>
      <c r="AG352" s="64"/>
      <c r="AJ352" s="68" t="s">
        <v>108</v>
      </c>
      <c r="AK352" s="68">
        <v>120</v>
      </c>
      <c r="BB352" s="410" t="s">
        <v>1</v>
      </c>
      <c r="BM352" s="64">
        <f t="shared" si="37"/>
        <v>139.23000000000002</v>
      </c>
      <c r="BN352" s="64">
        <f t="shared" si="38"/>
        <v>139.23000000000002</v>
      </c>
      <c r="BO352" s="64">
        <f t="shared" si="39"/>
        <v>0.1875</v>
      </c>
      <c r="BP352" s="64">
        <f t="shared" si="40"/>
        <v>0.1875</v>
      </c>
    </row>
    <row r="353" spans="1:68" ht="27" hidden="1" customHeight="1" x14ac:dyDescent="0.25">
      <c r="A353" s="54" t="s">
        <v>570</v>
      </c>
      <c r="B353" s="54" t="s">
        <v>571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111</v>
      </c>
      <c r="L354" s="32"/>
      <c r="M354" s="33" t="s">
        <v>106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111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578</v>
      </c>
      <c r="B356" s="54" t="s">
        <v>579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111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41</v>
      </c>
      <c r="Y357" s="555">
        <f>IFERROR(Y350/H350,"0")+IFERROR(Y351/H351,"0")+IFERROR(Y352/H352,"0")+IFERROR(Y353/H353,"0")+IFERROR(Y354/H354,"0")+IFERROR(Y355/H355,"0")+IFERROR(Y356/H356,"0")</f>
        <v>41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0.89174999999999993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615</v>
      </c>
      <c r="Y358" s="555">
        <f>IFERROR(SUM(Y350:Y356),"0")</f>
        <v>615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137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580</v>
      </c>
      <c r="B360" s="54" t="s">
        <v>581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 t="s">
        <v>105</v>
      </c>
      <c r="M360" s="33" t="s">
        <v>106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240</v>
      </c>
      <c r="Y360" s="554">
        <f>IFERROR(IF(X360="",0,CEILING((X360/$H360),1)*$H360),"")</f>
        <v>240</v>
      </c>
      <c r="Z360" s="36">
        <f>IFERROR(IF(Y360=0,"",ROUNDUP(Y360/H360,0)*0.02175),"")</f>
        <v>0.34799999999999998</v>
      </c>
      <c r="AA360" s="56"/>
      <c r="AB360" s="57"/>
      <c r="AC360" s="419" t="s">
        <v>582</v>
      </c>
      <c r="AG360" s="64"/>
      <c r="AJ360" s="68" t="s">
        <v>108</v>
      </c>
      <c r="AK360" s="68">
        <v>120</v>
      </c>
      <c r="BB360" s="420" t="s">
        <v>1</v>
      </c>
      <c r="BM360" s="64">
        <f>IFERROR(X360*I360/H360,"0")</f>
        <v>247.52</v>
      </c>
      <c r="BN360" s="64">
        <f>IFERROR(Y360*I360/H360,"0")</f>
        <v>247.52</v>
      </c>
      <c r="BO360" s="64">
        <f>IFERROR(1/J360*(X360/H360),"0")</f>
        <v>0.33333333333333331</v>
      </c>
      <c r="BP360" s="64">
        <f>IFERROR(1/J360*(Y360/H360),"0")</f>
        <v>0.33333333333333331</v>
      </c>
    </row>
    <row r="361" spans="1:68" ht="27" hidden="1" customHeight="1" x14ac:dyDescent="0.25">
      <c r="A361" s="54" t="s">
        <v>583</v>
      </c>
      <c r="B361" s="54" t="s">
        <v>584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111</v>
      </c>
      <c r="L361" s="32"/>
      <c r="M361" s="33" t="s">
        <v>106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16</v>
      </c>
      <c r="Y362" s="555">
        <f>IFERROR(Y360/H360,"0")+IFERROR(Y361/H361,"0")</f>
        <v>16</v>
      </c>
      <c r="Z362" s="555">
        <f>IFERROR(IF(Z360="",0,Z360),"0")+IFERROR(IF(Z361="",0,Z361),"0")</f>
        <v>0.34799999999999998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240</v>
      </c>
      <c r="Y363" s="555">
        <f>IFERROR(SUM(Y360:Y361),"0")</f>
        <v>240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586</v>
      </c>
      <c r="B365" s="54" t="s">
        <v>587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588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589</v>
      </c>
      <c r="B366" s="54" t="s">
        <v>590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162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592</v>
      </c>
      <c r="B370" s="54" t="s">
        <v>593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72</v>
      </c>
      <c r="Y370" s="554">
        <f>IFERROR(IF(X370="",0,CEILING((X370/$H370),1)*$H370),"")</f>
        <v>72</v>
      </c>
      <c r="Z370" s="36">
        <f>IFERROR(IF(Y370=0,"",ROUNDUP(Y370/H370,0)*0.01898),"")</f>
        <v>0.15184</v>
      </c>
      <c r="AA370" s="56"/>
      <c r="AB370" s="57"/>
      <c r="AC370" s="427" t="s">
        <v>594</v>
      </c>
      <c r="AG370" s="64"/>
      <c r="AJ370" s="68"/>
      <c r="AK370" s="68">
        <v>0</v>
      </c>
      <c r="BB370" s="428" t="s">
        <v>1</v>
      </c>
      <c r="BM370" s="64">
        <f>IFERROR(X370*I370/H370,"0")</f>
        <v>75.951999999999998</v>
      </c>
      <c r="BN370" s="64">
        <f>IFERROR(Y370*I370/H370,"0")</f>
        <v>75.951999999999998</v>
      </c>
      <c r="BO370" s="64">
        <f>IFERROR(1/J370*(X370/H370),"0")</f>
        <v>0.125</v>
      </c>
      <c r="BP370" s="64">
        <f>IFERROR(1/J370*(Y370/H370),"0")</f>
        <v>0.125</v>
      </c>
    </row>
    <row r="371" spans="1:68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8</v>
      </c>
      <c r="Y371" s="555">
        <f>IFERROR(Y370/H370,"0")</f>
        <v>8</v>
      </c>
      <c r="Z371" s="555">
        <f>IFERROR(IF(Z370="",0,Z370),"0")</f>
        <v>0.15184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72</v>
      </c>
      <c r="Y372" s="555">
        <f>IFERROR(SUM(Y370:Y370),"0")</f>
        <v>72</v>
      </c>
      <c r="Z372" s="37"/>
      <c r="AA372" s="556"/>
      <c r="AB372" s="556"/>
      <c r="AC372" s="556"/>
    </row>
    <row r="373" spans="1:68" ht="16.5" hidden="1" customHeight="1" x14ac:dyDescent="0.25">
      <c r="A373" s="578" t="s">
        <v>595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596</v>
      </c>
      <c r="B375" s="54" t="s">
        <v>597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598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599</v>
      </c>
      <c r="B376" s="54" t="s">
        <v>600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111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598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601</v>
      </c>
      <c r="B380" s="54" t="s">
        <v>602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111</v>
      </c>
      <c r="L380" s="32"/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603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601</v>
      </c>
      <c r="B381" s="54" t="s">
        <v>604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111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605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606</v>
      </c>
      <c r="B385" s="54" t="s">
        <v>607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 t="s">
        <v>105</v>
      </c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216</v>
      </c>
      <c r="Y385" s="554">
        <f>IFERROR(IF(X385="",0,CEILING((X385/$H385),1)*$H385),"")</f>
        <v>216</v>
      </c>
      <c r="Z385" s="36">
        <f>IFERROR(IF(Y385=0,"",ROUNDUP(Y385/H385,0)*0.01898),"")</f>
        <v>0.45552000000000004</v>
      </c>
      <c r="AA385" s="56"/>
      <c r="AB385" s="57"/>
      <c r="AC385" s="437" t="s">
        <v>608</v>
      </c>
      <c r="AG385" s="64"/>
      <c r="AJ385" s="68" t="s">
        <v>108</v>
      </c>
      <c r="AK385" s="68">
        <v>72</v>
      </c>
      <c r="BB385" s="438" t="s">
        <v>1</v>
      </c>
      <c r="BM385" s="64">
        <f>IFERROR(X385*I385/H385,"0")</f>
        <v>227.85599999999997</v>
      </c>
      <c r="BN385" s="64">
        <f>IFERROR(Y385*I385/H385,"0")</f>
        <v>227.85599999999997</v>
      </c>
      <c r="BO385" s="64">
        <f>IFERROR(1/J385*(X385/H385),"0")</f>
        <v>0.375</v>
      </c>
      <c r="BP385" s="64">
        <f>IFERROR(1/J385*(Y385/H385),"0")</f>
        <v>0.375</v>
      </c>
    </row>
    <row r="386" spans="1:68" ht="27" customHeight="1" x14ac:dyDescent="0.25">
      <c r="A386" s="54" t="s">
        <v>609</v>
      </c>
      <c r="B386" s="54" t="s">
        <v>610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 t="s">
        <v>215</v>
      </c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28.8</v>
      </c>
      <c r="Y386" s="554">
        <f>IFERROR(IF(X386="",0,CEILING((X386/$H386),1)*$H386),"")</f>
        <v>28.799999999999997</v>
      </c>
      <c r="Z386" s="36">
        <f>IFERROR(IF(Y386=0,"",ROUNDUP(Y386/H386,0)*0.00651),"")</f>
        <v>7.8119999999999995E-2</v>
      </c>
      <c r="AA386" s="56"/>
      <c r="AB386" s="57"/>
      <c r="AC386" s="439" t="s">
        <v>608</v>
      </c>
      <c r="AG386" s="64"/>
      <c r="AJ386" s="68" t="s">
        <v>108</v>
      </c>
      <c r="AK386" s="68">
        <v>33.6</v>
      </c>
      <c r="BB386" s="440" t="s">
        <v>1</v>
      </c>
      <c r="BM386" s="64">
        <f>IFERROR(X386*I386/H386,"0")</f>
        <v>31.968000000000004</v>
      </c>
      <c r="BN386" s="64">
        <f>IFERROR(Y386*I386/H386,"0")</f>
        <v>31.967999999999996</v>
      </c>
      <c r="BO386" s="64">
        <f>IFERROR(1/J386*(X386/H386),"0")</f>
        <v>6.5934065934065936E-2</v>
      </c>
      <c r="BP386" s="64">
        <f>IFERROR(1/J386*(Y386/H386),"0")</f>
        <v>6.5934065934065936E-2</v>
      </c>
    </row>
    <row r="387" spans="1:68" ht="27" hidden="1" customHeight="1" x14ac:dyDescent="0.25">
      <c r="A387" s="54" t="s">
        <v>609</v>
      </c>
      <c r="B387" s="54" t="s">
        <v>611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612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36</v>
      </c>
      <c r="Y388" s="555">
        <f>IFERROR(Y385/H385,"0")+IFERROR(Y386/H386,"0")+IFERROR(Y387/H387,"0")</f>
        <v>36</v>
      </c>
      <c r="Z388" s="555">
        <f>IFERROR(IF(Z385="",0,Z385),"0")+IFERROR(IF(Z386="",0,Z386),"0")+IFERROR(IF(Z387="",0,Z387),"0")</f>
        <v>0.53364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244.8</v>
      </c>
      <c r="Y389" s="555">
        <f>IFERROR(SUM(Y385:Y387),"0")</f>
        <v>244.8</v>
      </c>
      <c r="Z389" s="37"/>
      <c r="AA389" s="556"/>
      <c r="AB389" s="556"/>
      <c r="AC389" s="556"/>
    </row>
    <row r="390" spans="1:68" ht="27.75" hidden="1" customHeight="1" x14ac:dyDescent="0.2">
      <c r="A390" s="560" t="s">
        <v>613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614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615</v>
      </c>
      <c r="B393" s="54" t="s">
        <v>616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111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617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618</v>
      </c>
      <c r="B394" s="54" t="s">
        <v>619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111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111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617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626</v>
      </c>
      <c r="B397" s="54" t="s">
        <v>627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617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628</v>
      </c>
      <c r="B398" s="54" t="s">
        <v>629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630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631</v>
      </c>
      <c r="B399" s="54" t="s">
        <v>632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637</v>
      </c>
      <c r="B401" s="54" t="s">
        <v>638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633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639</v>
      </c>
      <c r="B405" s="54" t="s">
        <v>640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111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641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642</v>
      </c>
      <c r="B406" s="54" t="s">
        <v>643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644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645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137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646</v>
      </c>
      <c r="B411" s="54" t="s">
        <v>647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648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649</v>
      </c>
      <c r="B415" s="54" t="s">
        <v>650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111</v>
      </c>
      <c r="L415" s="32"/>
      <c r="M415" s="33" t="s">
        <v>106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651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652</v>
      </c>
      <c r="B416" s="54" t="s">
        <v>653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654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657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660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661</v>
      </c>
      <c r="B423" s="54" t="s">
        <v>662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663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664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664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665</v>
      </c>
      <c r="B429" s="54" t="s">
        <v>666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 t="s">
        <v>105</v>
      </c>
      <c r="M429" s="33" t="s">
        <v>106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107</v>
      </c>
      <c r="AG429" s="64"/>
      <c r="AJ429" s="68" t="s">
        <v>108</v>
      </c>
      <c r="AK429" s="68">
        <v>42.24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667</v>
      </c>
      <c r="B430" s="54" t="s">
        <v>668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106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667</v>
      </c>
      <c r="B431" s="54" t="s">
        <v>670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106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 t="s">
        <v>105</v>
      </c>
      <c r="M432" s="33" t="s">
        <v>106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673</v>
      </c>
      <c r="AG432" s="64"/>
      <c r="AJ432" s="68" t="s">
        <v>108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 t="s">
        <v>105</v>
      </c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168.96</v>
      </c>
      <c r="Y433" s="554">
        <f t="shared" si="47"/>
        <v>168.96</v>
      </c>
      <c r="Z433" s="36">
        <f t="shared" si="48"/>
        <v>0.38272</v>
      </c>
      <c r="AA433" s="56"/>
      <c r="AB433" s="57"/>
      <c r="AC433" s="485" t="s">
        <v>676</v>
      </c>
      <c r="AG433" s="64"/>
      <c r="AJ433" s="68" t="s">
        <v>108</v>
      </c>
      <c r="AK433" s="68">
        <v>42.24</v>
      </c>
      <c r="BB433" s="486" t="s">
        <v>1</v>
      </c>
      <c r="BM433" s="64">
        <f t="shared" si="49"/>
        <v>180.16</v>
      </c>
      <c r="BN433" s="64">
        <f t="shared" si="50"/>
        <v>180.16</v>
      </c>
      <c r="BO433" s="64">
        <f t="shared" si="51"/>
        <v>0.30769230769230771</v>
      </c>
      <c r="BP433" s="64">
        <f t="shared" si="52"/>
        <v>0.30769230769230771</v>
      </c>
    </row>
    <row r="434" spans="1:68" ht="16.5" hidden="1" customHeight="1" x14ac:dyDescent="0.25">
      <c r="A434" s="54" t="s">
        <v>677</v>
      </c>
      <c r="B434" s="54" t="s">
        <v>678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106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679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680</v>
      </c>
      <c r="B435" s="54" t="s">
        <v>681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 t="s">
        <v>105</v>
      </c>
      <c r="M435" s="33" t="s">
        <v>106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295.68</v>
      </c>
      <c r="Y435" s="554">
        <f t="shared" si="47"/>
        <v>295.68</v>
      </c>
      <c r="Z435" s="36">
        <f t="shared" si="48"/>
        <v>0.66976000000000002</v>
      </c>
      <c r="AA435" s="56"/>
      <c r="AB435" s="57"/>
      <c r="AC435" s="489" t="s">
        <v>682</v>
      </c>
      <c r="AG435" s="64"/>
      <c r="AJ435" s="68" t="s">
        <v>108</v>
      </c>
      <c r="AK435" s="68">
        <v>42.24</v>
      </c>
      <c r="BB435" s="490" t="s">
        <v>1</v>
      </c>
      <c r="BM435" s="64">
        <f t="shared" si="49"/>
        <v>315.27999999999997</v>
      </c>
      <c r="BN435" s="64">
        <f t="shared" si="50"/>
        <v>315.27999999999997</v>
      </c>
      <c r="BO435" s="64">
        <f t="shared" si="51"/>
        <v>0.53846153846153855</v>
      </c>
      <c r="BP435" s="64">
        <f t="shared" si="52"/>
        <v>0.53846153846153855</v>
      </c>
    </row>
    <row r="436" spans="1:68" ht="27" hidden="1" customHeight="1" x14ac:dyDescent="0.25">
      <c r="A436" s="54" t="s">
        <v>683</v>
      </c>
      <c r="B436" s="54" t="s">
        <v>684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107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685</v>
      </c>
      <c r="B437" s="54" t="s">
        <v>686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111</v>
      </c>
      <c r="L437" s="32"/>
      <c r="M437" s="33" t="s">
        <v>106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687</v>
      </c>
      <c r="B438" s="54" t="s">
        <v>688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111</v>
      </c>
      <c r="L438" s="32"/>
      <c r="M438" s="33" t="s">
        <v>106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673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689</v>
      </c>
      <c r="B439" s="54" t="s">
        <v>690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106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691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111</v>
      </c>
      <c r="L440" s="32"/>
      <c r="M440" s="33" t="s">
        <v>106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682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88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88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1.0524800000000001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464.64</v>
      </c>
      <c r="Y442" s="555">
        <f>IFERROR(SUM(Y429:Y440),"0")</f>
        <v>464.64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137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hidden="1" customHeight="1" x14ac:dyDescent="0.25">
      <c r="A444" s="54" t="s">
        <v>694</v>
      </c>
      <c r="B444" s="54" t="s">
        <v>695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 t="s">
        <v>105</v>
      </c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696</v>
      </c>
      <c r="AG444" s="64"/>
      <c r="AJ444" s="68" t="s">
        <v>108</v>
      </c>
      <c r="AK444" s="68">
        <v>42.24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697</v>
      </c>
      <c r="B445" s="54" t="s">
        <v>698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696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699</v>
      </c>
      <c r="B446" s="54" t="s">
        <v>700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111</v>
      </c>
      <c r="L446" s="32" t="s">
        <v>112</v>
      </c>
      <c r="M446" s="33" t="s">
        <v>106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696</v>
      </c>
      <c r="AG446" s="64"/>
      <c r="AJ446" s="68" t="s">
        <v>108</v>
      </c>
      <c r="AK446" s="68">
        <v>57.6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hidden="1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701</v>
      </c>
      <c r="B450" s="54" t="s">
        <v>702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 t="s">
        <v>105</v>
      </c>
      <c r="M450" s="33" t="s">
        <v>106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84.48</v>
      </c>
      <c r="Y450" s="554">
        <f t="shared" ref="Y450:Y455" si="53">IFERROR(IF(X450="",0,CEILING((X450/$H450),1)*$H450),"")</f>
        <v>84.48</v>
      </c>
      <c r="Z450" s="36">
        <f>IFERROR(IF(Y450=0,"",ROUNDUP(Y450/H450,0)*0.01196),"")</f>
        <v>0.19136</v>
      </c>
      <c r="AA450" s="56"/>
      <c r="AB450" s="57"/>
      <c r="AC450" s="507" t="s">
        <v>703</v>
      </c>
      <c r="AG450" s="64"/>
      <c r="AJ450" s="68" t="s">
        <v>108</v>
      </c>
      <c r="AK450" s="68">
        <v>42.24</v>
      </c>
      <c r="BB450" s="508" t="s">
        <v>1</v>
      </c>
      <c r="BM450" s="64">
        <f t="shared" ref="BM450:BM455" si="54">IFERROR(X450*I450/H450,"0")</f>
        <v>90.08</v>
      </c>
      <c r="BN450" s="64">
        <f t="shared" ref="BN450:BN455" si="55">IFERROR(Y450*I450/H450,"0")</f>
        <v>90.08</v>
      </c>
      <c r="BO450" s="64">
        <f t="shared" ref="BO450:BO455" si="56">IFERROR(1/J450*(X450/H450),"0")</f>
        <v>0.15384615384615385</v>
      </c>
      <c r="BP450" s="64">
        <f t="shared" ref="BP450:BP455" si="57">IFERROR(1/J450*(Y450/H450),"0")</f>
        <v>0.15384615384615385</v>
      </c>
    </row>
    <row r="451" spans="1:68" ht="27" hidden="1" customHeight="1" x14ac:dyDescent="0.25">
      <c r="A451" s="54" t="s">
        <v>704</v>
      </c>
      <c r="B451" s="54" t="s">
        <v>705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 t="s">
        <v>105</v>
      </c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706</v>
      </c>
      <c r="AG451" s="64"/>
      <c r="AJ451" s="68" t="s">
        <v>108</v>
      </c>
      <c r="AK451" s="68">
        <v>42.24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707</v>
      </c>
      <c r="B452" s="54" t="s">
        <v>708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 t="s">
        <v>105</v>
      </c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709</v>
      </c>
      <c r="AG452" s="64"/>
      <c r="AJ452" s="68" t="s">
        <v>108</v>
      </c>
      <c r="AK452" s="68">
        <v>42.24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710</v>
      </c>
      <c r="B453" s="54" t="s">
        <v>711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111</v>
      </c>
      <c r="L453" s="32"/>
      <c r="M453" s="33" t="s">
        <v>106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703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712</v>
      </c>
      <c r="B454" s="54" t="s">
        <v>713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111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714</v>
      </c>
      <c r="B455" s="54" t="s">
        <v>715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111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16</v>
      </c>
      <c r="Y456" s="555">
        <f>IFERROR(Y450/H450,"0")+IFERROR(Y451/H451,"0")+IFERROR(Y452/H452,"0")+IFERROR(Y453/H453,"0")+IFERROR(Y454/H454,"0")+IFERROR(Y455/H455,"0")</f>
        <v>16</v>
      </c>
      <c r="Z456" s="555">
        <f>IFERROR(IF(Z450="",0,Z450),"0")+IFERROR(IF(Z451="",0,Z451),"0")+IFERROR(IF(Z452="",0,Z452),"0")+IFERROR(IF(Z453="",0,Z453),"0")+IFERROR(IF(Z454="",0,Z454),"0")+IFERROR(IF(Z455="",0,Z455),"0")</f>
        <v>0.19136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84.48</v>
      </c>
      <c r="Y457" s="555">
        <f>IFERROR(SUM(Y450:Y455),"0")</f>
        <v>84.48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716</v>
      </c>
      <c r="B459" s="54" t="s">
        <v>717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718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719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719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720</v>
      </c>
      <c r="B465" s="54" t="s">
        <v>721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722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723</v>
      </c>
      <c r="B466" s="54" t="s">
        <v>724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111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0</v>
      </c>
      <c r="Y468" s="55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7" t="s">
        <v>722</v>
      </c>
      <c r="AG468" s="64"/>
      <c r="AJ468" s="68"/>
      <c r="AK468" s="68">
        <v>0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0</v>
      </c>
      <c r="Y469" s="555">
        <f>IFERROR(Y465/H465,"0")+IFERROR(Y466/H466,"0")+IFERROR(Y467/H467,"0")+IFERROR(Y468/H468,"0")</f>
        <v>0</v>
      </c>
      <c r="Z469" s="555">
        <f>IFERROR(IF(Z465="",0,Z465),"0")+IFERROR(IF(Z466="",0,Z466),"0")+IFERROR(IF(Z467="",0,Z467),"0")+IFERROR(IF(Z468="",0,Z468),"0")</f>
        <v>0</v>
      </c>
      <c r="AA469" s="556"/>
      <c r="AB469" s="556"/>
      <c r="AC469" s="556"/>
    </row>
    <row r="470" spans="1:68" hidden="1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0</v>
      </c>
      <c r="Y470" s="555">
        <f>IFERROR(SUM(Y465:Y468),"0")</f>
        <v>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137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731</v>
      </c>
      <c r="B472" s="54" t="s">
        <v>732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106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733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734</v>
      </c>
      <c r="B473" s="54" t="s">
        <v>735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106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737</v>
      </c>
      <c r="B477" s="54" t="s">
        <v>738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111</v>
      </c>
      <c r="L477" s="32" t="s">
        <v>112</v>
      </c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739</v>
      </c>
      <c r="AG477" s="64"/>
      <c r="AJ477" s="68" t="s">
        <v>108</v>
      </c>
      <c r="AK477" s="68">
        <v>50.4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737</v>
      </c>
      <c r="B478" s="54" t="s">
        <v>740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111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741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742</v>
      </c>
      <c r="B482" s="54" t="s">
        <v>743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744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162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745</v>
      </c>
      <c r="B486" s="54" t="s">
        <v>746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747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748</v>
      </c>
      <c r="B487" s="54" t="s">
        <v>749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751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137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752</v>
      </c>
      <c r="B492" s="54" t="s">
        <v>753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106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754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755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5167.7199999999993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5167.7199999999993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756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5402.5819999999994</v>
      </c>
      <c r="Y496" s="555">
        <f>IFERROR(SUM(BN22:BN492),"0")</f>
        <v>5402.5819999999994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757</v>
      </c>
      <c r="Q497" s="646"/>
      <c r="R497" s="646"/>
      <c r="S497" s="646"/>
      <c r="T497" s="646"/>
      <c r="U497" s="646"/>
      <c r="V497" s="647"/>
      <c r="W497" s="37" t="s">
        <v>758</v>
      </c>
      <c r="X497" s="38">
        <f>ROUNDUP(SUM(BO22:BO492),0)</f>
        <v>9</v>
      </c>
      <c r="Y497" s="38">
        <f>ROUNDUP(SUM(BP22:BP492),0)</f>
        <v>9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759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5627.5819999999994</v>
      </c>
      <c r="Y498" s="555">
        <f>GrossWeightTotalR+PalletQtyTotalR*25</f>
        <v>5627.5819999999994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760</v>
      </c>
      <c r="Q499" s="646"/>
      <c r="R499" s="646"/>
      <c r="S499" s="646"/>
      <c r="T499" s="646"/>
      <c r="U499" s="646"/>
      <c r="V499" s="647"/>
      <c r="W499" s="37" t="s">
        <v>758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605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605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761</v>
      </c>
      <c r="Q500" s="646"/>
      <c r="R500" s="646"/>
      <c r="S500" s="646"/>
      <c r="T500" s="646"/>
      <c r="U500" s="646"/>
      <c r="V500" s="647"/>
      <c r="W500" s="39" t="s">
        <v>762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9.684429999999999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763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268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559</v>
      </c>
      <c r="T502" s="640"/>
      <c r="U502" s="595" t="s">
        <v>613</v>
      </c>
      <c r="V502" s="639"/>
      <c r="W502" s="640"/>
      <c r="X502" s="550" t="s">
        <v>664</v>
      </c>
      <c r="Y502" s="595" t="s">
        <v>719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764</v>
      </c>
      <c r="B503" s="595" t="s">
        <v>63</v>
      </c>
      <c r="C503" s="595" t="s">
        <v>100</v>
      </c>
      <c r="D503" s="595" t="s">
        <v>118</v>
      </c>
      <c r="E503" s="595" t="s">
        <v>169</v>
      </c>
      <c r="F503" s="595" t="s">
        <v>191</v>
      </c>
      <c r="G503" s="595" t="s">
        <v>229</v>
      </c>
      <c r="H503" s="595" t="s">
        <v>99</v>
      </c>
      <c r="I503" s="595" t="s">
        <v>269</v>
      </c>
      <c r="J503" s="595" t="s">
        <v>327</v>
      </c>
      <c r="K503" s="595" t="s">
        <v>387</v>
      </c>
      <c r="L503" s="595" t="s">
        <v>428</v>
      </c>
      <c r="M503" s="595" t="s">
        <v>444</v>
      </c>
      <c r="N503" s="551"/>
      <c r="O503" s="595" t="s">
        <v>455</v>
      </c>
      <c r="P503" s="595" t="s">
        <v>464</v>
      </c>
      <c r="Q503" s="595" t="s">
        <v>477</v>
      </c>
      <c r="R503" s="595" t="s">
        <v>549</v>
      </c>
      <c r="S503" s="595" t="s">
        <v>560</v>
      </c>
      <c r="T503" s="595" t="s">
        <v>595</v>
      </c>
      <c r="U503" s="595" t="s">
        <v>614</v>
      </c>
      <c r="V503" s="595" t="s">
        <v>645</v>
      </c>
      <c r="W503" s="595" t="s">
        <v>660</v>
      </c>
      <c r="X503" s="595" t="s">
        <v>664</v>
      </c>
      <c r="Y503" s="595" t="s">
        <v>719</v>
      </c>
      <c r="Z503" s="595" t="s">
        <v>751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765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777.6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760.00000000000011</v>
      </c>
      <c r="E505" s="46">
        <f>IFERROR(Y85*1,"0")+IFERROR(Y86*1,"0")+IFERROR(Y87*1,"0")+IFERROR(Y88*1,"0")+IFERROR(Y92*1,"0")+IFERROR(Y93*1,"0")+IFERROR(Y94*1,"0")+IFERROR(Y95*1,"0")</f>
        <v>302.39999999999998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853.2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566.4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57.599999999999994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129.6</v>
      </c>
      <c r="R505" s="46">
        <f>IFERROR(Y342*1,"0")+IFERROR(Y343*1,"0")+IFERROR(Y344*1,"0")</f>
        <v>0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927</v>
      </c>
      <c r="T505" s="46">
        <f>IFERROR(Y375*1,"0")+IFERROR(Y376*1,"0")+IFERROR(Y380*1,"0")+IFERROR(Y381*1,"0")+IFERROR(Y385*1,"0")+IFERROR(Y386*1,"0")+IFERROR(Y387*1,"0")</f>
        <v>244.8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549.12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0</v>
      </c>
      <c r="Z505" s="46">
        <f>IFERROR(Y492*1,"0")</f>
        <v>0</v>
      </c>
      <c r="AB505" s="52"/>
      <c r="AC505" s="52"/>
      <c r="AF505" s="551"/>
    </row>
  </sheetData>
  <sheetProtection algorithmName="SHA-512" hashValue="PwOhk/+FNPKfjTxHeZTLtqLrm2FNjzrfHgo7fe5nb4UELP1K1uC6pDCiAtCL/lyBfNElLyQ2jEHWzjEkEKLUvg==" saltValue="Vw3zTUMxv86UlgwWDyTqLA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29,60"/>
        <filter val="135,00"/>
        <filter val="16,00"/>
        <filter val="162,00"/>
        <filter val="168,96"/>
        <filter val="172,80"/>
        <filter val="179,20"/>
        <filter val="216,00"/>
        <filter val="24,00"/>
        <filter val="240,00"/>
        <filter val="244,80"/>
        <filter val="259,20"/>
        <filter val="278,40"/>
        <filter val="28,00"/>
        <filter val="28,80"/>
        <filter val="295,68"/>
        <filter val="307,20"/>
        <filter val="32,40"/>
        <filter val="36,00"/>
        <filter val="40,00"/>
        <filter val="41,00"/>
        <filter val="438,40"/>
        <filter val="44,00"/>
        <filter val="464,64"/>
        <filter val="48,00"/>
        <filter val="480,00"/>
        <filter val="5 167,72"/>
        <filter val="5 402,58"/>
        <filter val="5 627,58"/>
        <filter val="57,60"/>
        <filter val="605,00"/>
        <filter val="615,00"/>
        <filter val="62,40"/>
        <filter val="64,00"/>
        <filter val="64,80"/>
        <filter val="67,20"/>
        <filter val="691,20"/>
        <filter val="72,00"/>
        <filter val="777,60"/>
        <filter val="8,00"/>
        <filter val="84,48"/>
        <filter val="88,00"/>
        <filter val="9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1:X42 X52:X53 X55 X61 X72 X79 X85 X88 X92 X100 X103 X108 X111 X115 X117 X169 X171 X173 X176 X178 X201 X205:X206 X208:X210 X212 X218:X219 X221:X224 X229 X234 X281:X282 X322:X324 X331 X342 X350:X352 X360 X385:X386 X429 X432:X433 X435 X444 X446 X450:X452 X477" xr:uid="{00000000-0002-0000-0000-000011000000}">
      <formula1>IF(AK41&gt;0,OR(X41=0,AND(IF(X41-AK41&gt;=0,TRUE,FALSE),X41&gt;0,IF(X41/H41=ROUND(X41/H41,0),TRUE,FALSE))),FALSE)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766</v>
      </c>
      <c r="H1" s="52"/>
    </row>
    <row r="3" spans="2:8" x14ac:dyDescent="0.2">
      <c r="B3" s="47" t="s">
        <v>767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768</v>
      </c>
      <c r="D6" s="47" t="s">
        <v>769</v>
      </c>
      <c r="E6" s="47"/>
    </row>
    <row r="8" spans="2:8" x14ac:dyDescent="0.2">
      <c r="B8" s="47" t="s">
        <v>19</v>
      </c>
      <c r="C8" s="47" t="s">
        <v>768</v>
      </c>
      <c r="D8" s="47"/>
      <c r="E8" s="47"/>
    </row>
    <row r="10" spans="2:8" x14ac:dyDescent="0.2">
      <c r="B10" s="47" t="s">
        <v>770</v>
      </c>
      <c r="C10" s="47"/>
      <c r="D10" s="47"/>
      <c r="E10" s="47"/>
    </row>
    <row r="11" spans="2:8" x14ac:dyDescent="0.2">
      <c r="B11" s="47" t="s">
        <v>771</v>
      </c>
      <c r="C11" s="47"/>
      <c r="D11" s="47"/>
      <c r="E11" s="47"/>
    </row>
    <row r="12" spans="2:8" x14ac:dyDescent="0.2">
      <c r="B12" s="47" t="s">
        <v>772</v>
      </c>
      <c r="C12" s="47"/>
      <c r="D12" s="47"/>
      <c r="E12" s="47"/>
    </row>
    <row r="13" spans="2:8" x14ac:dyDescent="0.2">
      <c r="B13" s="47" t="s">
        <v>773</v>
      </c>
      <c r="C13" s="47"/>
      <c r="D13" s="47"/>
      <c r="E13" s="47"/>
    </row>
    <row r="14" spans="2:8" x14ac:dyDescent="0.2">
      <c r="B14" s="47" t="s">
        <v>774</v>
      </c>
      <c r="C14" s="47"/>
      <c r="D14" s="47"/>
      <c r="E14" s="47"/>
    </row>
    <row r="15" spans="2:8" x14ac:dyDescent="0.2">
      <c r="B15" s="47" t="s">
        <v>775</v>
      </c>
      <c r="C15" s="47"/>
      <c r="D15" s="47"/>
      <c r="E15" s="47"/>
    </row>
    <row r="16" spans="2:8" x14ac:dyDescent="0.2">
      <c r="B16" s="47" t="s">
        <v>776</v>
      </c>
      <c r="C16" s="47"/>
      <c r="D16" s="47"/>
      <c r="E16" s="47"/>
    </row>
    <row r="17" spans="2:5" x14ac:dyDescent="0.2">
      <c r="B17" s="47" t="s">
        <v>777</v>
      </c>
      <c r="C17" s="47"/>
      <c r="D17" s="47"/>
      <c r="E17" s="47"/>
    </row>
    <row r="18" spans="2:5" x14ac:dyDescent="0.2">
      <c r="B18" s="47" t="s">
        <v>778</v>
      </c>
      <c r="C18" s="47"/>
      <c r="D18" s="47"/>
      <c r="E18" s="47"/>
    </row>
    <row r="19" spans="2:5" x14ac:dyDescent="0.2">
      <c r="B19" s="47" t="s">
        <v>779</v>
      </c>
      <c r="C19" s="47"/>
      <c r="D19" s="47"/>
      <c r="E19" s="47"/>
    </row>
    <row r="20" spans="2:5" x14ac:dyDescent="0.2">
      <c r="B20" s="47" t="s">
        <v>780</v>
      </c>
      <c r="C20" s="47"/>
      <c r="D20" s="47"/>
      <c r="E20" s="47"/>
    </row>
  </sheetData>
  <sheetProtection algorithmName="SHA-512" hashValue="e0ysJODdXmvWnlG55Wu3VKTaWXTCHzliAWIb8aYNZiuRg35ja+ugBQAa2aA0Su9c2/6TQGdwwTlTWxqxibQGpg==" saltValue="JXmvD4beIuw/IS3rSW40k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2026-01-14T12:12:52Z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