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4BD962A-998F-4E21-AD7F-6B47EDA63EB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51" i="1" l="1"/>
  <c r="BN151" i="1"/>
  <c r="Z151" i="1"/>
  <c r="BP185" i="1"/>
  <c r="BN185" i="1"/>
  <c r="Z18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1" i="1"/>
  <c r="BN281" i="1"/>
  <c r="Z281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X499" i="1"/>
  <c r="Z28" i="1"/>
  <c r="BN28" i="1"/>
  <c r="Z55" i="1"/>
  <c r="BN55" i="1"/>
  <c r="Z67" i="1"/>
  <c r="BN67" i="1"/>
  <c r="Z86" i="1"/>
  <c r="BN86" i="1"/>
  <c r="Z101" i="1"/>
  <c r="BN101" i="1"/>
  <c r="BP109" i="1"/>
  <c r="BN109" i="1"/>
  <c r="BP128" i="1"/>
  <c r="BN128" i="1"/>
  <c r="Z128" i="1"/>
  <c r="BP132" i="1"/>
  <c r="BN132" i="1"/>
  <c r="Z132" i="1"/>
  <c r="BP173" i="1"/>
  <c r="BN173" i="1"/>
  <c r="Z173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J9" i="1"/>
  <c r="BP88" i="1"/>
  <c r="BN88" i="1"/>
  <c r="Z88" i="1"/>
  <c r="BP103" i="1"/>
  <c r="BN103" i="1"/>
  <c r="Z103" i="1"/>
  <c r="BP117" i="1"/>
  <c r="BN117" i="1"/>
  <c r="Z117" i="1"/>
  <c r="BP149" i="1"/>
  <c r="BN149" i="1"/>
  <c r="Z149" i="1"/>
  <c r="BP171" i="1"/>
  <c r="BN171" i="1"/>
  <c r="Z171" i="1"/>
  <c r="BP179" i="1"/>
  <c r="BN179" i="1"/>
  <c r="Z179" i="1"/>
  <c r="BP206" i="1"/>
  <c r="BN206" i="1"/>
  <c r="Z206" i="1"/>
  <c r="BP207" i="1"/>
  <c r="BN207" i="1"/>
  <c r="Z207" i="1"/>
  <c r="BP219" i="1"/>
  <c r="BN219" i="1"/>
  <c r="Z219" i="1"/>
  <c r="BP234" i="1"/>
  <c r="BN234" i="1"/>
  <c r="Z234" i="1"/>
  <c r="BP242" i="1"/>
  <c r="BN242" i="1"/>
  <c r="Z242" i="1"/>
  <c r="Y269" i="1"/>
  <c r="BP263" i="1"/>
  <c r="BN263" i="1"/>
  <c r="Z263" i="1"/>
  <c r="BP274" i="1"/>
  <c r="BN274" i="1"/>
  <c r="Z274" i="1"/>
  <c r="F9" i="1"/>
  <c r="F10" i="1"/>
  <c r="Z22" i="1"/>
  <c r="BN22" i="1"/>
  <c r="Y32" i="1"/>
  <c r="Z30" i="1"/>
  <c r="BN30" i="1"/>
  <c r="C505" i="1"/>
  <c r="Z53" i="1"/>
  <c r="BN53" i="1"/>
  <c r="Z57" i="1"/>
  <c r="BN57" i="1"/>
  <c r="Y65" i="1"/>
  <c r="Z63" i="1"/>
  <c r="BN63" i="1"/>
  <c r="Z73" i="1"/>
  <c r="BN73" i="1"/>
  <c r="Y81" i="1"/>
  <c r="BP79" i="1"/>
  <c r="BN79" i="1"/>
  <c r="Z79" i="1"/>
  <c r="BP94" i="1"/>
  <c r="BN94" i="1"/>
  <c r="Z94" i="1"/>
  <c r="BP111" i="1"/>
  <c r="BN111" i="1"/>
  <c r="Z111" i="1"/>
  <c r="BP138" i="1"/>
  <c r="BN138" i="1"/>
  <c r="Z138" i="1"/>
  <c r="BP153" i="1"/>
  <c r="BN153" i="1"/>
  <c r="Z153" i="1"/>
  <c r="BP175" i="1"/>
  <c r="BN175" i="1"/>
  <c r="Z175" i="1"/>
  <c r="BP196" i="1"/>
  <c r="BN196" i="1"/>
  <c r="Z196" i="1"/>
  <c r="BP211" i="1"/>
  <c r="BN211" i="1"/>
  <c r="Z211" i="1"/>
  <c r="BP223" i="1"/>
  <c r="BN223" i="1"/>
  <c r="Z223" i="1"/>
  <c r="BP238" i="1"/>
  <c r="BN238" i="1"/>
  <c r="Z238" i="1"/>
  <c r="BP256" i="1"/>
  <c r="BN256" i="1"/>
  <c r="Z256" i="1"/>
  <c r="BP267" i="1"/>
  <c r="BN267" i="1"/>
  <c r="Z267" i="1"/>
  <c r="BP288" i="1"/>
  <c r="BN288" i="1"/>
  <c r="Z28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96" i="1"/>
  <c r="Y202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U50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Y339" i="1"/>
  <c r="Y338" i="1"/>
  <c r="Y419" i="1"/>
  <c r="Y448" i="1"/>
  <c r="Y447" i="1"/>
  <c r="Y488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Y76" i="1"/>
  <c r="BP80" i="1"/>
  <c r="BN80" i="1"/>
  <c r="Z80" i="1"/>
  <c r="Y82" i="1"/>
  <c r="E505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Y489" i="1"/>
  <c r="Z505" i="1"/>
  <c r="Y493" i="1"/>
  <c r="BP492" i="1"/>
  <c r="BN492" i="1"/>
  <c r="Z492" i="1"/>
  <c r="Z493" i="1" s="1"/>
  <c r="Y494" i="1"/>
  <c r="Z268" i="1" l="1"/>
  <c r="Z488" i="1"/>
  <c r="Z388" i="1"/>
  <c r="Z357" i="1"/>
  <c r="Z338" i="1"/>
  <c r="Z243" i="1"/>
  <c r="Z456" i="1"/>
  <c r="Z377" i="1"/>
  <c r="Z129" i="1"/>
  <c r="Z24" i="1"/>
  <c r="Z119" i="1"/>
  <c r="Z303" i="1"/>
  <c r="Z105" i="1"/>
  <c r="Z447" i="1"/>
  <c r="Z382" i="1"/>
  <c r="Z332" i="1"/>
  <c r="Z259" i="1"/>
  <c r="Z367" i="1"/>
  <c r="Z96" i="1"/>
  <c r="Z89" i="1"/>
  <c r="Z81" i="1"/>
  <c r="Z76" i="1"/>
  <c r="Z58" i="1"/>
  <c r="Y497" i="1"/>
  <c r="Y498" i="1" s="1"/>
  <c r="Y496" i="1"/>
  <c r="Z197" i="1"/>
  <c r="Z402" i="1"/>
  <c r="Z213" i="1"/>
  <c r="Z312" i="1"/>
  <c r="Z283" i="1"/>
  <c r="Z225" i="1"/>
  <c r="Z181" i="1"/>
  <c r="Z112" i="1"/>
  <c r="Z441" i="1"/>
  <c r="Z419" i="1"/>
  <c r="Z319" i="1"/>
  <c r="Z276" i="1"/>
  <c r="Z469" i="1"/>
  <c r="Z325" i="1"/>
  <c r="Z187" i="1"/>
  <c r="Z154" i="1"/>
  <c r="Z44" i="1"/>
  <c r="Z32" i="1"/>
  <c r="Y499" i="1"/>
  <c r="X498" i="1"/>
  <c r="Y495" i="1"/>
  <c r="Z500" i="1" l="1"/>
</calcChain>
</file>

<file path=xl/sharedStrings.xml><?xml version="1.0" encoding="utf-8"?>
<sst xmlns="http://schemas.openxmlformats.org/spreadsheetml/2006/main" count="2321" uniqueCount="782">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</sst>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61" sqref="AA6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46039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0.41666666666666669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hidden="1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hidden="1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61</v>
      </c>
      <c r="Y61" s="554">
        <f>IFERROR(IF(X61="",0,CEILING((X61/$H61),1)*$H61),"")</f>
        <v>64.800000000000011</v>
      </c>
      <c r="Z61" s="36">
        <f>IFERROR(IF(Y61=0,"",ROUNDUP(Y61/H61,0)*0.01898),"")</f>
        <v>0.11388000000000001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63.315740740740743</v>
      </c>
      <c r="BN61" s="64">
        <f>IFERROR(Y61*I61/H61,"0")</f>
        <v>67.260000000000005</v>
      </c>
      <c r="BO61" s="64">
        <f>IFERROR(1/J61*(X61/H61),"0")</f>
        <v>8.8252314814814811E-2</v>
      </c>
      <c r="BP61" s="64">
        <f>IFERROR(1/J61*(Y61/H61),"0")</f>
        <v>9.3750000000000014E-2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5.6481481481481479</v>
      </c>
      <c r="Y64" s="555">
        <f>IFERROR(Y61/H61,"0")+IFERROR(Y62/H62,"0")+IFERROR(Y63/H63,"0")</f>
        <v>6.0000000000000009</v>
      </c>
      <c r="Z64" s="555">
        <f>IFERROR(IF(Z61="",0,Z61),"0")+IFERROR(IF(Z62="",0,Z62),"0")+IFERROR(IF(Z63="",0,Z63),"0")</f>
        <v>0.11388000000000001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61</v>
      </c>
      <c r="Y65" s="555">
        <f>IFERROR(SUM(Y61:Y63),"0")</f>
        <v>64.800000000000011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30</v>
      </c>
      <c r="Y79" s="554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31.57692307692308</v>
      </c>
      <c r="BN79" s="64">
        <f>IFERROR(Y79*I79/H79,"0")</f>
        <v>32.840000000000003</v>
      </c>
      <c r="BO79" s="64">
        <f>IFERROR(1/J79*(X79/H79),"0")</f>
        <v>6.0096153846153848E-2</v>
      </c>
      <c r="BP79" s="64">
        <f>IFERROR(1/J79*(Y79/H79),"0")</f>
        <v>6.25E-2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3.8461538461538463</v>
      </c>
      <c r="Y81" s="555">
        <f>IFERROR(Y79/H79,"0")+IFERROR(Y80/H80,"0")</f>
        <v>4</v>
      </c>
      <c r="Z81" s="555">
        <f>IFERROR(IF(Z79="",0,Z79),"0")+IFERROR(IF(Z80="",0,Z80),"0")</f>
        <v>7.5920000000000001E-2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30</v>
      </c>
      <c r="Y82" s="555">
        <f>IFERROR(SUM(Y79:Y80),"0")</f>
        <v>31.2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238</v>
      </c>
      <c r="Y85" s="554">
        <f>IFERROR(IF(X85="",0,CEILING((X85/$H85),1)*$H85),"")</f>
        <v>248.4</v>
      </c>
      <c r="Z85" s="36">
        <f>IFERROR(IF(Y85=0,"",ROUNDUP(Y85/H85,0)*0.01898),"")</f>
        <v>0.43653999999999998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247.03518518518518</v>
      </c>
      <c r="BN85" s="64">
        <f>IFERROR(Y85*I85/H85,"0")</f>
        <v>257.83</v>
      </c>
      <c r="BO85" s="64">
        <f>IFERROR(1/J85*(X85/H85),"0")</f>
        <v>0.34432870370370366</v>
      </c>
      <c r="BP85" s="64">
        <f>IFERROR(1/J85*(Y85/H85),"0")</f>
        <v>0.359375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22.037037037037035</v>
      </c>
      <c r="Y89" s="555">
        <f>IFERROR(Y85/H85,"0")+IFERROR(Y86/H86,"0")+IFERROR(Y87/H87,"0")+IFERROR(Y88/H88,"0")</f>
        <v>23</v>
      </c>
      <c r="Z89" s="555">
        <f>IFERROR(IF(Z85="",0,Z85),"0")+IFERROR(IF(Z86="",0,Z86),"0")+IFERROR(IF(Z87="",0,Z87),"0")+IFERROR(IF(Z88="",0,Z88),"0")</f>
        <v>0.43653999999999998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238</v>
      </c>
      <c r="Y90" s="555">
        <f>IFERROR(SUM(Y85:Y88),"0")</f>
        <v>248.4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364</v>
      </c>
      <c r="Y92" s="554">
        <f>IFERROR(IF(X92="",0,CEILING((X92/$H92),1)*$H92),"")</f>
        <v>364.5</v>
      </c>
      <c r="Z92" s="36">
        <f>IFERROR(IF(Y92=0,"",ROUNDUP(Y92/H92,0)*0.01898),"")</f>
        <v>0.85409999999999997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386.19950617283951</v>
      </c>
      <c r="BN92" s="64">
        <f>IFERROR(Y92*I92/H92,"0")</f>
        <v>386.73</v>
      </c>
      <c r="BO92" s="64">
        <f>IFERROR(1/J92*(X92/H92),"0")</f>
        <v>0.7021604938271605</v>
      </c>
      <c r="BP92" s="64">
        <f>IFERROR(1/J92*(Y92/H92),"0")</f>
        <v>0.703125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153</v>
      </c>
      <c r="Y94" s="554">
        <f>IFERROR(IF(X94="",0,CEILING((X94/$H94),1)*$H94),"")</f>
        <v>153.9</v>
      </c>
      <c r="Z94" s="36">
        <f>IFERROR(IF(Y94=0,"",ROUNDUP(Y94/H94,0)*0.00651),"")</f>
        <v>0.37107000000000001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167.28</v>
      </c>
      <c r="BN94" s="64">
        <f>IFERROR(Y94*I94/H94,"0")</f>
        <v>168.26400000000001</v>
      </c>
      <c r="BO94" s="64">
        <f>IFERROR(1/J94*(X94/H94),"0")</f>
        <v>0.31135531135531136</v>
      </c>
      <c r="BP94" s="64">
        <f>IFERROR(1/J94*(Y94/H94),"0")</f>
        <v>0.31318681318681318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101.60493827160494</v>
      </c>
      <c r="Y96" s="555">
        <f>IFERROR(Y92/H92,"0")+IFERROR(Y93/H93,"0")+IFERROR(Y94/H94,"0")+IFERROR(Y95/H95,"0")</f>
        <v>102</v>
      </c>
      <c r="Z96" s="555">
        <f>IFERROR(IF(Z92="",0,Z92),"0")+IFERROR(IF(Z93="",0,Z93),"0")+IFERROR(IF(Z94="",0,Z94),"0")+IFERROR(IF(Z95="",0,Z95),"0")</f>
        <v>1.2251699999999999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517</v>
      </c>
      <c r="Y97" s="555">
        <f>IFERROR(SUM(Y92:Y95),"0")</f>
        <v>518.4</v>
      </c>
      <c r="Z97" s="37"/>
      <c r="AA97" s="556"/>
      <c r="AB97" s="556"/>
      <c r="AC97" s="556"/>
    </row>
    <row r="98" spans="1:68" ht="16.5" hidden="1" customHeight="1" x14ac:dyDescent="0.25">
      <c r="A98" s="578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0</v>
      </c>
      <c r="Y105" s="555">
        <f>IFERROR(Y100/H100,"0")+IFERROR(Y101/H101,"0")+IFERROR(Y102/H102,"0")+IFERROR(Y103/H103,"0")+IFERROR(Y104/H104,"0")</f>
        <v>0</v>
      </c>
      <c r="Z105" s="555">
        <f>IFERROR(IF(Z100="",0,Z100),"0")+IFERROR(IF(Z101="",0,Z101),"0")+IFERROR(IF(Z102="",0,Z102),"0")+IFERROR(IF(Z103="",0,Z103),"0")+IFERROR(IF(Z104="",0,Z104),"0")</f>
        <v>0</v>
      </c>
      <c r="AA105" s="556"/>
      <c r="AB105" s="556"/>
      <c r="AC105" s="556"/>
    </row>
    <row r="106" spans="1:68" hidden="1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0</v>
      </c>
      <c r="Y106" s="555">
        <f>IFERROR(SUM(Y100:Y104),"0")</f>
        <v>0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70</v>
      </c>
      <c r="Y108" s="554">
        <f>IFERROR(IF(X108="",0,CEILING((X108/$H108),1)*$H108),"")</f>
        <v>75.600000000000009</v>
      </c>
      <c r="Z108" s="36">
        <f>IFERROR(IF(Y108=0,"",ROUNDUP(Y108/H108,0)*0.01898),"")</f>
        <v>0.13286000000000001</v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72.657407407407405</v>
      </c>
      <c r="BN108" s="64">
        <f>IFERROR(Y108*I108/H108,"0")</f>
        <v>78.47</v>
      </c>
      <c r="BO108" s="64">
        <f>IFERROR(1/J108*(X108/H108),"0")</f>
        <v>0.10127314814814814</v>
      </c>
      <c r="BP108" s="64">
        <f>IFERROR(1/J108*(Y108/H108),"0")</f>
        <v>0.109375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6.481481481481481</v>
      </c>
      <c r="Y112" s="555">
        <f>IFERROR(Y108/H108,"0")+IFERROR(Y109/H109,"0")+IFERROR(Y110/H110,"0")+IFERROR(Y111/H111,"0")</f>
        <v>7</v>
      </c>
      <c r="Z112" s="555">
        <f>IFERROR(IF(Z108="",0,Z108),"0")+IFERROR(IF(Z109="",0,Z109),"0")+IFERROR(IF(Z110="",0,Z110),"0")+IFERROR(IF(Z111="",0,Z111),"0")</f>
        <v>0.13286000000000001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70</v>
      </c>
      <c r="Y113" s="555">
        <f>IFERROR(SUM(Y108:Y111),"0")</f>
        <v>75.600000000000009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493</v>
      </c>
      <c r="Y115" s="554">
        <f>IFERROR(IF(X115="",0,CEILING((X115/$H115),1)*$H115),"")</f>
        <v>494.09999999999997</v>
      </c>
      <c r="Z115" s="36">
        <f>IFERROR(IF(Y115=0,"",ROUNDUP(Y115/H115,0)*0.01898),"")</f>
        <v>1.15778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522.70172839506176</v>
      </c>
      <c r="BN115" s="64">
        <f>IFERROR(Y115*I115/H115,"0")</f>
        <v>523.86799999999994</v>
      </c>
      <c r="BO115" s="64">
        <f>IFERROR(1/J115*(X115/H115),"0")</f>
        <v>0.95100308641975317</v>
      </c>
      <c r="BP115" s="64">
        <f>IFERROR(1/J115*(Y115/H115),"0")</f>
        <v>0.953125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290</v>
      </c>
      <c r="Y117" s="554">
        <f>IFERROR(IF(X117="",0,CEILING((X117/$H117),1)*$H117),"")</f>
        <v>291.60000000000002</v>
      </c>
      <c r="Z117" s="36">
        <f>IFERROR(IF(Y117=0,"",ROUNDUP(Y117/H117,0)*0.00651),"")</f>
        <v>0.70308000000000004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317.06666666666666</v>
      </c>
      <c r="BN117" s="64">
        <f>IFERROR(Y117*I117/H117,"0")</f>
        <v>318.81599999999997</v>
      </c>
      <c r="BO117" s="64">
        <f>IFERROR(1/J117*(X117/H117),"0")</f>
        <v>0.59015059015059024</v>
      </c>
      <c r="BP117" s="64">
        <f>IFERROR(1/J117*(Y117/H117),"0")</f>
        <v>0.59340659340659341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168.27160493827159</v>
      </c>
      <c r="Y119" s="555">
        <f>IFERROR(Y115/H115,"0")+IFERROR(Y116/H116,"0")+IFERROR(Y117/H117,"0")+IFERROR(Y118/H118,"0")</f>
        <v>169</v>
      </c>
      <c r="Z119" s="555">
        <f>IFERROR(IF(Z115="",0,Z115),"0")+IFERROR(IF(Z116="",0,Z116),"0")+IFERROR(IF(Z117="",0,Z117),"0")+IFERROR(IF(Z118="",0,Z118),"0")</f>
        <v>1.8608600000000002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783</v>
      </c>
      <c r="Y120" s="555">
        <f>IFERROR(SUM(Y115:Y118),"0")</f>
        <v>785.7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4301031450</v>
      </c>
      <c r="D148" s="562">
        <v>4680115887428</v>
      </c>
      <c r="E148" s="563"/>
      <c r="F148" s="552">
        <v>0.7</v>
      </c>
      <c r="G148" s="32">
        <v>6</v>
      </c>
      <c r="H148" s="552">
        <v>4.2</v>
      </c>
      <c r="I148" s="552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4301030895</v>
      </c>
      <c r="D149" s="562">
        <v>4607091387667</v>
      </c>
      <c r="E149" s="563"/>
      <c r="F149" s="552">
        <v>0.9</v>
      </c>
      <c r="G149" s="32">
        <v>10</v>
      </c>
      <c r="H149" s="552">
        <v>9</v>
      </c>
      <c r="I149" s="552">
        <v>9.56</v>
      </c>
      <c r="J149" s="32">
        <v>64</v>
      </c>
      <c r="K149" s="32" t="s">
        <v>104</v>
      </c>
      <c r="L149" s="32"/>
      <c r="M149" s="33" t="s">
        <v>106</v>
      </c>
      <c r="N149" s="33"/>
      <c r="O149" s="32">
        <v>40</v>
      </c>
      <c r="P149" s="88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/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6</v>
      </c>
      <c r="Y171" s="554">
        <f t="shared" si="10"/>
        <v>8.4</v>
      </c>
      <c r="Z171" s="36">
        <f>IFERROR(IF(Y171=0,"",ROUNDUP(Y171/H171,0)*0.00902),"")</f>
        <v>1.804E-2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6.2714285714285705</v>
      </c>
      <c r="BN171" s="64">
        <f t="shared" si="12"/>
        <v>8.7799999999999994</v>
      </c>
      <c r="BO171" s="64">
        <f t="shared" si="13"/>
        <v>1.0822510822510824E-2</v>
      </c>
      <c r="BP171" s="64">
        <f t="shared" si="14"/>
        <v>1.5151515151515152E-2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1.4285714285714286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2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1.804E-2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6</v>
      </c>
      <c r="Y182" s="555">
        <f>IFERROR(SUM(Y167:Y180),"0")</f>
        <v>8.4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3</v>
      </c>
      <c r="Y186" s="554">
        <f>IFERROR(IF(X186="",0,CEILING((X186/$H186),1)*$H186),"")</f>
        <v>3.7800000000000002</v>
      </c>
      <c r="Z186" s="36">
        <f>IFERROR(IF(Y186=0,"",ROUNDUP(Y186/H186,0)*0.0059),"")</f>
        <v>1.77E-2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3.4523809523809521</v>
      </c>
      <c r="BN186" s="64">
        <f>IFERROR(Y186*I186/H186,"0")</f>
        <v>4.3499999999999996</v>
      </c>
      <c r="BO186" s="64">
        <f>IFERROR(1/J186*(X186/H186),"0")</f>
        <v>1.1022927689594356E-2</v>
      </c>
      <c r="BP186" s="64">
        <f>IFERROR(1/J186*(Y186/H186),"0")</f>
        <v>1.3888888888888888E-2</v>
      </c>
    </row>
    <row r="187" spans="1:68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2.3809523809523809</v>
      </c>
      <c r="Y187" s="555">
        <f>IFERROR(Y184/H184,"0")+IFERROR(Y185/H185,"0")+IFERROR(Y186/H186,"0")</f>
        <v>3</v>
      </c>
      <c r="Z187" s="555">
        <f>IFERROR(IF(Z184="",0,Z184),"0")+IFERROR(IF(Z185="",0,Z185),"0")+IFERROR(IF(Z186="",0,Z186),"0")</f>
        <v>1.77E-2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3</v>
      </c>
      <c r="Y188" s="555">
        <f>IFERROR(SUM(Y184:Y186),"0")</f>
        <v>3.7800000000000002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1</v>
      </c>
      <c r="Y190" s="554">
        <f>IFERROR(IF(X190="",0,CEILING((X190/$H190),1)*$H190),"")</f>
        <v>1.26</v>
      </c>
      <c r="Z190" s="36">
        <f>IFERROR(IF(Y190=0,"",ROUNDUP(Y190/H190,0)*0.0059),"")</f>
        <v>5.8999999999999999E-3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1.1507936507936507</v>
      </c>
      <c r="BN190" s="64">
        <f>IFERROR(Y190*I190/H190,"0")</f>
        <v>1.45</v>
      </c>
      <c r="BO190" s="64">
        <f>IFERROR(1/J190*(X190/H190),"0")</f>
        <v>3.6743092298647849E-3</v>
      </c>
      <c r="BP190" s="64">
        <f>IFERROR(1/J190*(Y190/H190),"0")</f>
        <v>4.6296296296296294E-3</v>
      </c>
    </row>
    <row r="191" spans="1:68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0.79365079365079361</v>
      </c>
      <c r="Y191" s="555">
        <f>IFERROR(Y190/H190,"0")</f>
        <v>1</v>
      </c>
      <c r="Z191" s="555">
        <f>IFERROR(IF(Z190="",0,Z190),"0")</f>
        <v>5.8999999999999999E-3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1</v>
      </c>
      <c r="Y192" s="555">
        <f>IFERROR(SUM(Y190:Y190),"0")</f>
        <v>1.26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 t="s">
        <v>188</v>
      </c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108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8</v>
      </c>
      <c r="Y210" s="554">
        <f t="shared" si="15"/>
        <v>9</v>
      </c>
      <c r="Z210" s="36">
        <f>IFERROR(IF(Y210=0,"",ROUNDUP(Y210/H210,0)*0.00502),"")</f>
        <v>2.5100000000000001E-2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8.4444444444444446</v>
      </c>
      <c r="BN210" s="64">
        <f t="shared" si="17"/>
        <v>9.4999999999999982</v>
      </c>
      <c r="BO210" s="64">
        <f t="shared" si="18"/>
        <v>1.8993352326685663E-2</v>
      </c>
      <c r="BP210" s="64">
        <f t="shared" si="19"/>
        <v>2.1367521367521368E-2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26</v>
      </c>
      <c r="Y212" s="554">
        <f t="shared" si="15"/>
        <v>27</v>
      </c>
      <c r="Z212" s="36">
        <f>IFERROR(IF(Y212=0,"",ROUNDUP(Y212/H212,0)*0.00502),"")</f>
        <v>7.5300000000000006E-2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27.444444444444443</v>
      </c>
      <c r="BN212" s="64">
        <f t="shared" si="17"/>
        <v>28.499999999999996</v>
      </c>
      <c r="BO212" s="64">
        <f t="shared" si="18"/>
        <v>6.1728395061728406E-2</v>
      </c>
      <c r="BP212" s="64">
        <f t="shared" si="19"/>
        <v>6.4102564102564111E-2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18.888888888888889</v>
      </c>
      <c r="Y213" s="555">
        <f>IFERROR(Y205/H205,"0")+IFERROR(Y206/H206,"0")+IFERROR(Y207/H207,"0")+IFERROR(Y208/H208,"0")+IFERROR(Y209/H209,"0")+IFERROR(Y210/H210,"0")+IFERROR(Y211/H211,"0")+IFERROR(Y212/H212,"0")</f>
        <v>20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0.1004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34</v>
      </c>
      <c r="Y214" s="555">
        <f>IFERROR(SUM(Y205:Y212),"0")</f>
        <v>36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385</v>
      </c>
      <c r="Y218" s="554">
        <f t="shared" si="20"/>
        <v>391.49999999999994</v>
      </c>
      <c r="Z218" s="36">
        <f>IFERROR(IF(Y218=0,"",ROUNDUP(Y218/H218,0)*0.01898),"")</f>
        <v>0.85409999999999997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406.86091954022999</v>
      </c>
      <c r="BN218" s="64">
        <f t="shared" si="22"/>
        <v>413.73</v>
      </c>
      <c r="BO218" s="64">
        <f t="shared" si="23"/>
        <v>0.6914511494252874</v>
      </c>
      <c r="BP218" s="64">
        <f t="shared" si="24"/>
        <v>0.703125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213</v>
      </c>
      <c r="Y219" s="554">
        <f t="shared" si="20"/>
        <v>213.6</v>
      </c>
      <c r="Z219" s="36">
        <f t="shared" ref="Z219:Z224" si="25">IFERROR(IF(Y219=0,"",ROUNDUP(Y219/H219,0)*0.00651),"")</f>
        <v>0.57938999999999996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236.96250000000003</v>
      </c>
      <c r="BN219" s="64">
        <f t="shared" si="22"/>
        <v>237.63000000000002</v>
      </c>
      <c r="BO219" s="64">
        <f t="shared" si="23"/>
        <v>0.48763736263736268</v>
      </c>
      <c r="BP219" s="64">
        <f t="shared" si="24"/>
        <v>0.48901098901098905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513</v>
      </c>
      <c r="Y221" s="554">
        <f t="shared" si="20"/>
        <v>513.6</v>
      </c>
      <c r="Z221" s="36">
        <f t="shared" si="25"/>
        <v>1.39314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566.86500000000012</v>
      </c>
      <c r="BN221" s="64">
        <f t="shared" si="22"/>
        <v>567.52800000000013</v>
      </c>
      <c r="BO221" s="64">
        <f t="shared" si="23"/>
        <v>1.1744505494505495</v>
      </c>
      <c r="BP221" s="64">
        <f t="shared" si="24"/>
        <v>1.1758241758241761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286</v>
      </c>
      <c r="Y222" s="554">
        <f t="shared" si="20"/>
        <v>288</v>
      </c>
      <c r="Z222" s="36">
        <f t="shared" si="25"/>
        <v>0.78120000000000001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316.03000000000003</v>
      </c>
      <c r="BN222" s="64">
        <f t="shared" si="22"/>
        <v>318.24000000000007</v>
      </c>
      <c r="BO222" s="64">
        <f t="shared" si="23"/>
        <v>0.65476190476190488</v>
      </c>
      <c r="BP222" s="64">
        <f t="shared" si="24"/>
        <v>0.65934065934065944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115</v>
      </c>
      <c r="Y223" s="554">
        <f t="shared" si="20"/>
        <v>115.19999999999999</v>
      </c>
      <c r="Z223" s="36">
        <f t="shared" si="25"/>
        <v>0.31247999999999998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127.07500000000002</v>
      </c>
      <c r="BN223" s="64">
        <f t="shared" si="22"/>
        <v>127.29600000000001</v>
      </c>
      <c r="BO223" s="64">
        <f t="shared" si="23"/>
        <v>0.26327838827838834</v>
      </c>
      <c r="BP223" s="64">
        <f t="shared" si="24"/>
        <v>0.26373626373626374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70</v>
      </c>
      <c r="Y224" s="554">
        <f t="shared" si="20"/>
        <v>72</v>
      </c>
      <c r="Z224" s="36">
        <f t="shared" si="25"/>
        <v>0.1953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77.525000000000006</v>
      </c>
      <c r="BN224" s="64">
        <f t="shared" si="22"/>
        <v>79.740000000000009</v>
      </c>
      <c r="BO224" s="64">
        <f t="shared" si="23"/>
        <v>0.16025641025641027</v>
      </c>
      <c r="BP224" s="64">
        <f t="shared" si="24"/>
        <v>0.16483516483516486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543.00287356321837</v>
      </c>
      <c r="Y225" s="555">
        <f>IFERROR(Y216/H216,"0")+IFERROR(Y217/H217,"0")+IFERROR(Y218/H218,"0")+IFERROR(Y219/H219,"0")+IFERROR(Y220/H220,"0")+IFERROR(Y221/H221,"0")+IFERROR(Y222/H222,"0")+IFERROR(Y223/H223,"0")+IFERROR(Y224/H224,"0")</f>
        <v>546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4.1156099999999993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1582</v>
      </c>
      <c r="Y226" s="555">
        <f>IFERROR(SUM(Y216:Y224),"0")</f>
        <v>1593.8999999999999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10</v>
      </c>
      <c r="Y228" s="554">
        <f>IFERROR(IF(X228="",0,CEILING((X228/$H228),1)*$H228),"")</f>
        <v>12</v>
      </c>
      <c r="Z228" s="36">
        <f>IFERROR(IF(Y228=0,"",ROUNDUP(Y228/H228,0)*0.00651),"")</f>
        <v>3.2550000000000003E-2</v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11.050000000000002</v>
      </c>
      <c r="BN228" s="64">
        <f>IFERROR(Y228*I228/H228,"0")</f>
        <v>13.260000000000002</v>
      </c>
      <c r="BO228" s="64">
        <f>IFERROR(1/J228*(X228/H228),"0")</f>
        <v>2.2893772893772896E-2</v>
      </c>
      <c r="BP228" s="64">
        <f>IFERROR(1/J228*(Y228/H228),"0")</f>
        <v>2.7472527472527476E-2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36</v>
      </c>
      <c r="Y229" s="554">
        <f>IFERROR(IF(X229="",0,CEILING((X229/$H229),1)*$H229),"")</f>
        <v>36</v>
      </c>
      <c r="Z229" s="36">
        <f>IFERROR(IF(Y229=0,"",ROUNDUP(Y229/H229,0)*0.00651),"")</f>
        <v>9.7650000000000001E-2</v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39.780000000000008</v>
      </c>
      <c r="BN229" s="64">
        <f>IFERROR(Y229*I229/H229,"0")</f>
        <v>39.780000000000008</v>
      </c>
      <c r="BO229" s="64">
        <f>IFERROR(1/J229*(X229/H229),"0")</f>
        <v>8.241758241758243E-2</v>
      </c>
      <c r="BP229" s="64">
        <f>IFERROR(1/J229*(Y229/H229),"0")</f>
        <v>8.241758241758243E-2</v>
      </c>
    </row>
    <row r="230" spans="1:68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19.166666666666668</v>
      </c>
      <c r="Y230" s="555">
        <f>IFERROR(Y228/H228,"0")+IFERROR(Y229/H229,"0")</f>
        <v>20</v>
      </c>
      <c r="Z230" s="555">
        <f>IFERROR(IF(Z228="",0,Z228),"0")+IFERROR(IF(Z229="",0,Z229),"0")</f>
        <v>0.13020000000000001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46</v>
      </c>
      <c r="Y231" s="555">
        <f>IFERROR(SUM(Y228:Y229),"0")</f>
        <v>48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2</v>
      </c>
      <c r="Y256" s="554">
        <f>IFERROR(IF(X256="",0,CEILING((X256/$H256),1)*$H256),"")</f>
        <v>2.7</v>
      </c>
      <c r="Z256" s="36">
        <f>IFERROR(IF(Y256=0,"",ROUNDUP(Y256/H256,0)*0.0059),"")</f>
        <v>1.77E-2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2.4222222222222225</v>
      </c>
      <c r="BN256" s="64">
        <f>IFERROR(Y256*I256/H256,"0")</f>
        <v>3.2700000000000005</v>
      </c>
      <c r="BO256" s="64">
        <f>IFERROR(1/J256*(X256/H256),"0")</f>
        <v>1.0288065843621399E-2</v>
      </c>
      <c r="BP256" s="64">
        <f>IFERROR(1/J256*(Y256/H256),"0")</f>
        <v>1.3888888888888888E-2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2.2222222222222223</v>
      </c>
      <c r="Y259" s="555">
        <f>IFERROR(Y254/H254,"0")+IFERROR(Y255/H255,"0")+IFERROR(Y256/H256,"0")+IFERROR(Y257/H257,"0")+IFERROR(Y258/H258,"0")</f>
        <v>3</v>
      </c>
      <c r="Z259" s="555">
        <f>IFERROR(IF(Z254="",0,Z254),"0")+IFERROR(IF(Z255="",0,Z255),"0")+IFERROR(IF(Z256="",0,Z256),"0")+IFERROR(IF(Z257="",0,Z257),"0")+IFERROR(IF(Z258="",0,Z258),"0")</f>
        <v>1.77E-2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2</v>
      </c>
      <c r="Y260" s="555">
        <f>IFERROR(SUM(Y254:Y258),"0")</f>
        <v>2.7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 t="s">
        <v>105</v>
      </c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108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94</v>
      </c>
      <c r="Y282" s="554">
        <f>IFERROR(IF(X282="",0,CEILING((X282/$H282),1)*$H282),"")</f>
        <v>96</v>
      </c>
      <c r="Z282" s="36">
        <f>IFERROR(IF(Y282=0,"",ROUNDUP(Y282/H282,0)*0.00651),"")</f>
        <v>0.26040000000000002</v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101.05000000000001</v>
      </c>
      <c r="BN282" s="64">
        <f>IFERROR(Y282*I282/H282,"0")</f>
        <v>103.2</v>
      </c>
      <c r="BO282" s="64">
        <f>IFERROR(1/J282*(X282/H282),"0")</f>
        <v>0.21520146520146524</v>
      </c>
      <c r="BP282" s="64">
        <f>IFERROR(1/J282*(Y282/H282),"0")</f>
        <v>0.2197802197802198</v>
      </c>
    </row>
    <row r="283" spans="1:68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39.166666666666671</v>
      </c>
      <c r="Y283" s="555">
        <f>IFERROR(Y280/H280,"0")+IFERROR(Y281/H281,"0")+IFERROR(Y282/H282,"0")</f>
        <v>40</v>
      </c>
      <c r="Z283" s="555">
        <f>IFERROR(IF(Z280="",0,Z280),"0")+IFERROR(IF(Z281="",0,Z281),"0")+IFERROR(IF(Z282="",0,Z282),"0")</f>
        <v>0.26040000000000002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94</v>
      </c>
      <c r="Y284" s="555">
        <f>IFERROR(SUM(Y280:Y282),"0")</f>
        <v>96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114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1110</v>
      </c>
      <c r="Y323" s="554">
        <f>IFERROR(IF(X323="",0,CEILING((X323/$H323),1)*$H323),"")</f>
        <v>1115.3999999999999</v>
      </c>
      <c r="Z323" s="36">
        <f>IFERROR(IF(Y323=0,"",ROUNDUP(Y323/H323,0)*0.01898),"")</f>
        <v>2.71414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1180.3</v>
      </c>
      <c r="BN323" s="64">
        <f>IFERROR(Y323*I323/H323,"0")</f>
        <v>1186.0419999999999</v>
      </c>
      <c r="BO323" s="64">
        <f>IFERROR(1/J323*(X323/H323),"0")</f>
        <v>2.2235576923076925</v>
      </c>
      <c r="BP323" s="64">
        <f>IFERROR(1/J323*(Y323/H323),"0")</f>
        <v>2.2343749999999996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142.30769230769232</v>
      </c>
      <c r="Y325" s="555">
        <f>IFERROR(Y322/H322,"0")+IFERROR(Y323/H323,"0")+IFERROR(Y324/H324,"0")</f>
        <v>142.99999999999997</v>
      </c>
      <c r="Z325" s="555">
        <f>IFERROR(IF(Z322="",0,Z322),"0")+IFERROR(IF(Z323="",0,Z323),"0")+IFERROR(IF(Z324="",0,Z324),"0")</f>
        <v>2.71414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1110</v>
      </c>
      <c r="Y326" s="555">
        <f>IFERROR(SUM(Y322:Y324),"0")</f>
        <v>1115.3999999999999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14</v>
      </c>
      <c r="Y331" s="554">
        <f>IFERROR(IF(X331="",0,CEILING((X331/$H331),1)*$H331),"")</f>
        <v>15.299999999999999</v>
      </c>
      <c r="Z331" s="36">
        <f>IFERROR(IF(Y331=0,"",ROUNDUP(Y331/H331,0)*0.00651),"")</f>
        <v>3.9059999999999997E-2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15.811764705882354</v>
      </c>
      <c r="BN331" s="64">
        <f>IFERROR(Y331*I331/H331,"0")</f>
        <v>17.279999999999998</v>
      </c>
      <c r="BO331" s="64">
        <f>IFERROR(1/J331*(X331/H331),"0")</f>
        <v>3.0165912518853699E-2</v>
      </c>
      <c r="BP331" s="64">
        <f>IFERROR(1/J331*(Y331/H331),"0")</f>
        <v>3.2967032967032968E-2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5.4901960784313726</v>
      </c>
      <c r="Y332" s="555">
        <f>IFERROR(Y328/H328,"0")+IFERROR(Y329/H329,"0")+IFERROR(Y330/H330,"0")+IFERROR(Y331/H331,"0")</f>
        <v>6</v>
      </c>
      <c r="Z332" s="555">
        <f>IFERROR(IF(Z328="",0,Z328),"0")+IFERROR(IF(Z329="",0,Z329),"0")+IFERROR(IF(Z330="",0,Z330),"0")+IFERROR(IF(Z331="",0,Z331),"0")</f>
        <v>3.9059999999999997E-2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14</v>
      </c>
      <c r="Y333" s="555">
        <f>IFERROR(SUM(Y328:Y331),"0")</f>
        <v>15.299999999999999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13</v>
      </c>
      <c r="Y337" s="554">
        <f>IFERROR(IF(X337="",0,CEILING((X337/$H337),1)*$H337),"")</f>
        <v>14</v>
      </c>
      <c r="Z337" s="36">
        <f>IFERROR(IF(Y337=0,"",ROUNDUP(Y337/H337,0)*0.00474),"")</f>
        <v>3.3180000000000001E-2</v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14.560000000000002</v>
      </c>
      <c r="BN337" s="64">
        <f>IFERROR(Y337*I337/H337,"0")</f>
        <v>15.680000000000001</v>
      </c>
      <c r="BO337" s="64">
        <f>IFERROR(1/J337*(X337/H337),"0")</f>
        <v>2.7310924369747899E-2</v>
      </c>
      <c r="BP337" s="64">
        <f>IFERROR(1/J337*(Y337/H337),"0")</f>
        <v>2.9411764705882353E-2</v>
      </c>
    </row>
    <row r="338" spans="1:68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6.5</v>
      </c>
      <c r="Y338" s="555">
        <f>IFERROR(Y335/H335,"0")+IFERROR(Y336/H336,"0")+IFERROR(Y337/H337,"0")</f>
        <v>7</v>
      </c>
      <c r="Z338" s="555">
        <f>IFERROR(IF(Z335="",0,Z335),"0")+IFERROR(IF(Z336="",0,Z336),"0")+IFERROR(IF(Z337="",0,Z337),"0")</f>
        <v>3.3180000000000001E-2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13</v>
      </c>
      <c r="Y339" s="555">
        <f>IFERROR(SUM(Y335:Y337),"0")</f>
        <v>14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729</v>
      </c>
      <c r="Y350" s="554">
        <f t="shared" ref="Y350:Y356" si="36">IFERROR(IF(X350="",0,CEILING((X350/$H350),1)*$H350),"")</f>
        <v>735</v>
      </c>
      <c r="Z350" s="36">
        <f>IFERROR(IF(Y350=0,"",ROUNDUP(Y350/H350,0)*0.02175),"")</f>
        <v>1.06575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751.8420000000001</v>
      </c>
      <c r="BN350" s="64">
        <f t="shared" ref="BN350:BN356" si="38">IFERROR(Y350*I350/H350,"0")</f>
        <v>758.03000000000009</v>
      </c>
      <c r="BO350" s="64">
        <f t="shared" ref="BO350:BO356" si="39">IFERROR(1/J350*(X350/H350),"0")</f>
        <v>1.0125</v>
      </c>
      <c r="BP350" s="64">
        <f t="shared" ref="BP350:BP356" si="40">IFERROR(1/J350*(Y350/H350),"0")</f>
        <v>1.0208333333333333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72</v>
      </c>
      <c r="Y351" s="554">
        <f t="shared" si="36"/>
        <v>75</v>
      </c>
      <c r="Z351" s="36">
        <f>IFERROR(IF(Y351=0,"",ROUNDUP(Y351/H351,0)*0.02175),"")</f>
        <v>0.10874999999999999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74.256000000000014</v>
      </c>
      <c r="BN351" s="64">
        <f t="shared" si="38"/>
        <v>77.349999999999994</v>
      </c>
      <c r="BO351" s="64">
        <f t="shared" si="39"/>
        <v>9.9999999999999992E-2</v>
      </c>
      <c r="BP351" s="64">
        <f t="shared" si="40"/>
        <v>0.10416666666666666</v>
      </c>
    </row>
    <row r="352" spans="1:68" ht="27" hidden="1" customHeight="1" x14ac:dyDescent="0.25">
      <c r="A352" s="54" t="s">
        <v>567</v>
      </c>
      <c r="B352" s="54" t="s">
        <v>568</v>
      </c>
      <c r="C352" s="31">
        <v>4301012215</v>
      </c>
      <c r="D352" s="562">
        <v>4680115887046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hidden="1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53.4</v>
      </c>
      <c r="Y357" s="555">
        <f>IFERROR(Y350/H350,"0")+IFERROR(Y351/H351,"0")+IFERROR(Y352/H352,"0")+IFERROR(Y353/H353,"0")+IFERROR(Y354/H354,"0")+IFERROR(Y355/H355,"0")+IFERROR(Y356/H356,"0")</f>
        <v>54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1.1744999999999999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801</v>
      </c>
      <c r="Y358" s="555">
        <f>IFERROR(SUM(Y350:Y356),"0")</f>
        <v>810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hidden="1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idden="1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hidden="1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4301031457</v>
      </c>
      <c r="D380" s="562">
        <v>4607091384802</v>
      </c>
      <c r="E380" s="563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4301031303</v>
      </c>
      <c r="D381" s="562">
        <v>4607091384802</v>
      </c>
      <c r="E381" s="563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 t="s">
        <v>114</v>
      </c>
      <c r="M381" s="33" t="s">
        <v>68</v>
      </c>
      <c r="N381" s="33"/>
      <c r="O381" s="32">
        <v>35</v>
      </c>
      <c r="P381" s="60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 t="s">
        <v>108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2768</v>
      </c>
      <c r="Y385" s="554">
        <f>IFERROR(IF(X385="",0,CEILING((X385/$H385),1)*$H385),"")</f>
        <v>2772</v>
      </c>
      <c r="Z385" s="36">
        <f>IFERROR(IF(Y385=0,"",ROUNDUP(Y385/H385,0)*0.01898),"")</f>
        <v>5.8458399999999999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2919.9324444444446</v>
      </c>
      <c r="BN385" s="64">
        <f>IFERROR(Y385*I385/H385,"0")</f>
        <v>2924.152</v>
      </c>
      <c r="BO385" s="64">
        <f>IFERROR(1/J385*(X385/H385),"0")</f>
        <v>4.8055555555555554</v>
      </c>
      <c r="BP385" s="64">
        <f>IFERROR(1/J385*(Y385/H385),"0")</f>
        <v>4.8125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307.55555555555554</v>
      </c>
      <c r="Y388" s="555">
        <f>IFERROR(Y385/H385,"0")+IFERROR(Y386/H386,"0")+IFERROR(Y387/H387,"0")</f>
        <v>308</v>
      </c>
      <c r="Z388" s="555">
        <f>IFERROR(IF(Z385="",0,Z385),"0")+IFERROR(IF(Z386="",0,Z386),"0")+IFERROR(IF(Z387="",0,Z387),"0")</f>
        <v>5.8458399999999999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2768</v>
      </c>
      <c r="Y389" s="555">
        <f>IFERROR(SUM(Y385:Y387),"0")</f>
        <v>2772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114</v>
      </c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7</v>
      </c>
      <c r="Y429" s="554">
        <f t="shared" ref="Y429:Y440" si="47">IFERROR(IF(X429="",0,CEILING((X429/$H429),1)*$H429),"")</f>
        <v>10.56</v>
      </c>
      <c r="Z429" s="36">
        <f t="shared" ref="Z429:Z435" si="48">IFERROR(IF(Y429=0,"",ROUNDUP(Y429/H429,0)*0.01196),"")</f>
        <v>2.392E-2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7.4640151515151505</v>
      </c>
      <c r="BN429" s="64">
        <f t="shared" ref="BN429:BN440" si="50">IFERROR(Y429*I429/H429,"0")</f>
        <v>11.26</v>
      </c>
      <c r="BO429" s="64">
        <f t="shared" ref="BO429:BO440" si="51">IFERROR(1/J429*(X429/H429),"0")</f>
        <v>1.2747668997668998E-2</v>
      </c>
      <c r="BP429" s="64">
        <f t="shared" ref="BP429:BP440" si="52">IFERROR(1/J429*(Y429/H429),"0")</f>
        <v>1.9230769230769232E-2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33</v>
      </c>
      <c r="Y435" s="554">
        <f t="shared" si="47"/>
        <v>36.96</v>
      </c>
      <c r="Z435" s="36">
        <f t="shared" si="48"/>
        <v>8.3720000000000003E-2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35.1875</v>
      </c>
      <c r="BN435" s="64">
        <f t="shared" si="50"/>
        <v>39.409999999999997</v>
      </c>
      <c r="BO435" s="64">
        <f t="shared" si="51"/>
        <v>6.0096153846153848E-2</v>
      </c>
      <c r="BP435" s="64">
        <f t="shared" si="52"/>
        <v>6.7307692307692318E-2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7.5757575757575761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9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0.10764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40</v>
      </c>
      <c r="Y442" s="555">
        <f>IFERROR(SUM(Y429:Y440),"0")</f>
        <v>47.52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hidden="1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114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hidden="1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59</v>
      </c>
      <c r="Y450" s="554">
        <f t="shared" ref="Y450:Y455" si="53">IFERROR(IF(X450="",0,CEILING((X450/$H450),1)*$H450),"")</f>
        <v>63.36</v>
      </c>
      <c r="Z450" s="36">
        <f>IFERROR(IF(Y450=0,"",ROUNDUP(Y450/H450,0)*0.01196),"")</f>
        <v>0.14352000000000001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62.910984848484851</v>
      </c>
      <c r="BN450" s="64">
        <f t="shared" ref="BN450:BN455" si="55">IFERROR(Y450*I450/H450,"0")</f>
        <v>67.559999999999988</v>
      </c>
      <c r="BO450" s="64">
        <f t="shared" ref="BO450:BO455" si="56">IFERROR(1/J450*(X450/H450),"0")</f>
        <v>0.1074446386946387</v>
      </c>
      <c r="BP450" s="64">
        <f t="shared" ref="BP450:BP455" si="57">IFERROR(1/J450*(Y450/H450),"0")</f>
        <v>0.11538461538461539</v>
      </c>
    </row>
    <row r="451" spans="1:68" ht="27" hidden="1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11.174242424242424</v>
      </c>
      <c r="Y456" s="555">
        <f>IFERROR(Y450/H450,"0")+IFERROR(Y451/H451,"0")+IFERROR(Y452/H452,"0")+IFERROR(Y453/H453,"0")+IFERROR(Y454/H454,"0")+IFERROR(Y455/H455,"0")</f>
        <v>12</v>
      </c>
      <c r="Z456" s="555">
        <f>IFERROR(IF(Z450="",0,Z450),"0")+IFERROR(IF(Z451="",0,Z451),"0")+IFERROR(IF(Z452="",0,Z452),"0")+IFERROR(IF(Z453="",0,Z453),"0")+IFERROR(IF(Z454="",0,Z454),"0")+IFERROR(IF(Z455="",0,Z455),"0")</f>
        <v>0.14352000000000001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59</v>
      </c>
      <c r="Y457" s="555">
        <f>IFERROR(SUM(Y450:Y455),"0")</f>
        <v>63.36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8272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8351.7200000000012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8802.4820006210975</v>
      </c>
      <c r="Y496" s="555">
        <f>IFERROR(SUM(BN22:BN492),"0")</f>
        <v>8887.0959999999995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16</v>
      </c>
      <c r="Y497" s="38">
        <f>ROUNDUP(SUM(BP22:BP492),0)</f>
        <v>16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9202.4820006210975</v>
      </c>
      <c r="Y498" s="555">
        <f>GrossWeightTotalR+PalletQtyTotalR*25</f>
        <v>9287.0959999999995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1468.9433002752139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1485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18.569059999999997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192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96.000000000000014</v>
      </c>
      <c r="E505" s="46">
        <f>IFERROR(Y85*1,"0")+IFERROR(Y86*1,"0")+IFERROR(Y87*1,"0")+IFERROR(Y88*1,"0")+IFERROR(Y92*1,"0")+IFERROR(Y93*1,"0")+IFERROR(Y94*1,"0")+IFERROR(Y95*1,"0")</f>
        <v>766.8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861.3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13.44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1677.8999999999999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2.7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96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1144.6999999999998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810</v>
      </c>
      <c r="T505" s="46">
        <f>IFERROR(Y375*1,"0")+IFERROR(Y376*1,"0")+IFERROR(Y380*1,"0")+IFERROR(Y381*1,"0")+IFERROR(Y385*1,"0")+IFERROR(Y386*1,"0")+IFERROR(Y387*1,"0")</f>
        <v>2772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110.88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OIdBivsy7GagamAGCD98cl2VVFt7ZSWVMkWebHjC5fabhfhNwLHpKZZK8RsssfOxiZmCx2i03rG8e+cm50yJTA==" saltValue="OyFsd7TRa+7FtVkkwKHhQg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9"/>
        <filter val="1 110,00"/>
        <filter val="1 468,94"/>
        <filter val="1 582,00"/>
        <filter val="1,00"/>
        <filter val="1,43"/>
        <filter val="10,00"/>
        <filter val="101,60"/>
        <filter val="11,17"/>
        <filter val="115,00"/>
        <filter val="13,00"/>
        <filter val="14,00"/>
        <filter val="142,31"/>
        <filter val="153,00"/>
        <filter val="16"/>
        <filter val="168,27"/>
        <filter val="18,89"/>
        <filter val="19,17"/>
        <filter val="2 768,00"/>
        <filter val="2,00"/>
        <filter val="2,22"/>
        <filter val="2,38"/>
        <filter val="213,00"/>
        <filter val="22,04"/>
        <filter val="238,00"/>
        <filter val="26,00"/>
        <filter val="286,00"/>
        <filter val="290,00"/>
        <filter val="3,00"/>
        <filter val="3,85"/>
        <filter val="30,00"/>
        <filter val="307,56"/>
        <filter val="33,00"/>
        <filter val="34,00"/>
        <filter val="36,00"/>
        <filter val="364,00"/>
        <filter val="385,00"/>
        <filter val="39,17"/>
        <filter val="40,00"/>
        <filter val="46,00"/>
        <filter val="493,00"/>
        <filter val="5,49"/>
        <filter val="5,65"/>
        <filter val="513,00"/>
        <filter val="517,00"/>
        <filter val="53,40"/>
        <filter val="543,00"/>
        <filter val="59,00"/>
        <filter val="6,00"/>
        <filter val="6,48"/>
        <filter val="6,50"/>
        <filter val="61,00"/>
        <filter val="7,00"/>
        <filter val="7,58"/>
        <filter val="70,00"/>
        <filter val="72,00"/>
        <filter val="729,00"/>
        <filter val="783,00"/>
        <filter val="8 272,00"/>
        <filter val="8 802,48"/>
        <filter val="8,00"/>
        <filter val="801,00"/>
        <filter val="9 202,48"/>
        <filter val="94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71 X173 X178 X196 X205:X210 X212 X216:X219 X221:X224 X241 X263 X265 X281:X282 X307 X315 X323 X330:X331 X343:X344 X350:X351 X353 X360 X375 X381 X385:X386 X395 X429 X432:X433 X435 X444 X446 X450:X452 X46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qGLxP4OxwZjQU/bPLmGJAS27X7QwZITd6Kl3P2F/ND2yj186BtBryQ7rKHdVDEsrkfnkCPJQrxXZmWIMVIDlvw==" saltValue="fKgdUmbNws9zKIQclLD7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2026-01-14T12:13:38Z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