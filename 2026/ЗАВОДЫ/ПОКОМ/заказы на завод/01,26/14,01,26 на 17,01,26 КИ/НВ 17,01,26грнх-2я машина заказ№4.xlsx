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7A09BA-BCEE-4F01-81C2-386D9BB7B3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X289" i="1"/>
  <c r="BO288" i="1"/>
  <c r="BM288" i="1"/>
  <c r="Y288" i="1"/>
  <c r="BP288" i="1" s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O505" i="1" s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BP195" i="1" s="1"/>
  <c r="P195" i="1"/>
  <c r="X192" i="1"/>
  <c r="X191" i="1"/>
  <c r="BO190" i="1"/>
  <c r="BM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Y188" i="1" s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7" i="1" s="1"/>
  <c r="BM22" i="1"/>
  <c r="Y22" i="1"/>
  <c r="B505" i="1" s="1"/>
  <c r="P22" i="1"/>
  <c r="H10" i="1"/>
  <c r="A9" i="1"/>
  <c r="F10" i="1" s="1"/>
  <c r="D7" i="1"/>
  <c r="Q6" i="1"/>
  <c r="P2" i="1"/>
  <c r="BP108" i="1" l="1"/>
  <c r="BN108" i="1"/>
  <c r="Z108" i="1"/>
  <c r="BP148" i="1"/>
  <c r="BN148" i="1"/>
  <c r="Z148" i="1"/>
  <c r="BP180" i="1"/>
  <c r="BN180" i="1"/>
  <c r="Z180" i="1"/>
  <c r="BP211" i="1"/>
  <c r="BN211" i="1"/>
  <c r="Z211" i="1"/>
  <c r="BP239" i="1"/>
  <c r="BN239" i="1"/>
  <c r="Z239" i="1"/>
  <c r="BP281" i="1"/>
  <c r="BN281" i="1"/>
  <c r="Z281" i="1"/>
  <c r="BP317" i="1"/>
  <c r="BN317" i="1"/>
  <c r="Z317" i="1"/>
  <c r="BP352" i="1"/>
  <c r="BN352" i="1"/>
  <c r="Z352" i="1"/>
  <c r="BP395" i="1"/>
  <c r="BN395" i="1"/>
  <c r="Z395" i="1"/>
  <c r="BP432" i="1"/>
  <c r="BN432" i="1"/>
  <c r="Z432" i="1"/>
  <c r="BP452" i="1"/>
  <c r="BN452" i="1"/>
  <c r="Z452" i="1"/>
  <c r="Z27" i="1"/>
  <c r="BN27" i="1"/>
  <c r="Z43" i="1"/>
  <c r="BN43" i="1"/>
  <c r="Z62" i="1"/>
  <c r="BN62" i="1"/>
  <c r="Z80" i="1"/>
  <c r="BN80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I505" i="1"/>
  <c r="BP172" i="1"/>
  <c r="BN172" i="1"/>
  <c r="Z172" i="1"/>
  <c r="BP201" i="1"/>
  <c r="BN201" i="1"/>
  <c r="Z201" i="1"/>
  <c r="BP224" i="1"/>
  <c r="BN224" i="1"/>
  <c r="Z224" i="1"/>
  <c r="BP264" i="1"/>
  <c r="BN264" i="1"/>
  <c r="Z264" i="1"/>
  <c r="BP301" i="1"/>
  <c r="BN301" i="1"/>
  <c r="Z301" i="1"/>
  <c r="BP335" i="1"/>
  <c r="BN335" i="1"/>
  <c r="Z335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40" i="1"/>
  <c r="BN440" i="1"/>
  <c r="Z440" i="1"/>
  <c r="BP472" i="1"/>
  <c r="BN472" i="1"/>
  <c r="Z472" i="1"/>
  <c r="F505" i="1"/>
  <c r="Y213" i="1"/>
  <c r="Y226" i="1"/>
  <c r="BP315" i="1"/>
  <c r="BN315" i="1"/>
  <c r="Z315" i="1"/>
  <c r="BP331" i="1"/>
  <c r="BN331" i="1"/>
  <c r="Z331" i="1"/>
  <c r="BP344" i="1"/>
  <c r="BN344" i="1"/>
  <c r="Z344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4" i="1"/>
  <c r="W505" i="1"/>
  <c r="BP423" i="1"/>
  <c r="BN423" i="1"/>
  <c r="Z423" i="1"/>
  <c r="Z424" i="1" s="1"/>
  <c r="BP434" i="1"/>
  <c r="BN434" i="1"/>
  <c r="Z434" i="1"/>
  <c r="BP444" i="1"/>
  <c r="BN444" i="1"/>
  <c r="Z444" i="1"/>
  <c r="BP454" i="1"/>
  <c r="BN454" i="1"/>
  <c r="Z45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X496" i="1"/>
  <c r="X498" i="1" s="1"/>
  <c r="Z23" i="1"/>
  <c r="BN23" i="1"/>
  <c r="X495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Y64" i="1"/>
  <c r="Z68" i="1"/>
  <c r="BN68" i="1"/>
  <c r="Y76" i="1"/>
  <c r="Z74" i="1"/>
  <c r="BN74" i="1"/>
  <c r="Z85" i="1"/>
  <c r="BN85" i="1"/>
  <c r="Z93" i="1"/>
  <c r="BN93" i="1"/>
  <c r="Z100" i="1"/>
  <c r="BN100" i="1"/>
  <c r="BP100" i="1"/>
  <c r="Z104" i="1"/>
  <c r="BN104" i="1"/>
  <c r="Y112" i="1"/>
  <c r="Z110" i="1"/>
  <c r="BN110" i="1"/>
  <c r="Y120" i="1"/>
  <c r="Z118" i="1"/>
  <c r="BN118" i="1"/>
  <c r="Z133" i="1"/>
  <c r="BN133" i="1"/>
  <c r="Y139" i="1"/>
  <c r="Z144" i="1"/>
  <c r="BN144" i="1"/>
  <c r="Y154" i="1"/>
  <c r="Z150" i="1"/>
  <c r="BN150" i="1"/>
  <c r="Y182" i="1"/>
  <c r="Z170" i="1"/>
  <c r="BN170" i="1"/>
  <c r="Z174" i="1"/>
  <c r="BN174" i="1"/>
  <c r="Z178" i="1"/>
  <c r="BN178" i="1"/>
  <c r="Z184" i="1"/>
  <c r="BN184" i="1"/>
  <c r="BP184" i="1"/>
  <c r="Z190" i="1"/>
  <c r="Z191" i="1" s="1"/>
  <c r="BN190" i="1"/>
  <c r="BP190" i="1"/>
  <c r="Y191" i="1"/>
  <c r="Z195" i="1"/>
  <c r="BN195" i="1"/>
  <c r="Z205" i="1"/>
  <c r="BN205" i="1"/>
  <c r="BP205" i="1"/>
  <c r="Z209" i="1"/>
  <c r="BN209" i="1"/>
  <c r="Z217" i="1"/>
  <c r="BN217" i="1"/>
  <c r="Z222" i="1"/>
  <c r="BN222" i="1"/>
  <c r="Z228" i="1"/>
  <c r="BN228" i="1"/>
  <c r="BP228" i="1"/>
  <c r="Z237" i="1"/>
  <c r="BN237" i="1"/>
  <c r="Z241" i="1"/>
  <c r="BN241" i="1"/>
  <c r="Z257" i="1"/>
  <c r="BN257" i="1"/>
  <c r="Z266" i="1"/>
  <c r="BN266" i="1"/>
  <c r="Z267" i="1"/>
  <c r="BN267" i="1"/>
  <c r="Z274" i="1"/>
  <c r="BN274" i="1"/>
  <c r="Z288" i="1"/>
  <c r="BN288" i="1"/>
  <c r="Y294" i="1"/>
  <c r="Z299" i="1"/>
  <c r="BN299" i="1"/>
  <c r="Z307" i="1"/>
  <c r="BN307" i="1"/>
  <c r="BP309" i="1"/>
  <c r="BN309" i="1"/>
  <c r="Z309" i="1"/>
  <c r="BP323" i="1"/>
  <c r="BN323" i="1"/>
  <c r="Z323" i="1"/>
  <c r="BP337" i="1"/>
  <c r="BN337" i="1"/>
  <c r="Z337" i="1"/>
  <c r="Y345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Y425" i="1"/>
  <c r="BP430" i="1"/>
  <c r="BN430" i="1"/>
  <c r="Z430" i="1"/>
  <c r="BP438" i="1"/>
  <c r="BN438" i="1"/>
  <c r="Z438" i="1"/>
  <c r="Y456" i="1"/>
  <c r="BP450" i="1"/>
  <c r="BN450" i="1"/>
  <c r="Z450" i="1"/>
  <c r="BP468" i="1"/>
  <c r="BN468" i="1"/>
  <c r="Z468" i="1"/>
  <c r="Y389" i="1"/>
  <c r="Y388" i="1"/>
  <c r="Y474" i="1"/>
  <c r="H9" i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BP223" i="1"/>
  <c r="BN223" i="1"/>
  <c r="Z223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300" i="1"/>
  <c r="BN300" i="1"/>
  <c r="Z300" i="1"/>
  <c r="BP308" i="1"/>
  <c r="BN308" i="1"/>
  <c r="Z308" i="1"/>
  <c r="Y312" i="1"/>
  <c r="BP316" i="1"/>
  <c r="BN316" i="1"/>
  <c r="Z316" i="1"/>
  <c r="Z319" i="1" s="1"/>
  <c r="Y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38" i="1"/>
  <c r="BP376" i="1"/>
  <c r="BN376" i="1"/>
  <c r="Z376" i="1"/>
  <c r="Y378" i="1"/>
  <c r="Y383" i="1"/>
  <c r="BP380" i="1"/>
  <c r="BN380" i="1"/>
  <c r="Z380" i="1"/>
  <c r="Z382" i="1" s="1"/>
  <c r="Y382" i="1"/>
  <c r="F9" i="1"/>
  <c r="J9" i="1"/>
  <c r="Z22" i="1"/>
  <c r="Z24" i="1" s="1"/>
  <c r="BN22" i="1"/>
  <c r="BP22" i="1"/>
  <c r="X499" i="1"/>
  <c r="Y25" i="1"/>
  <c r="Z28" i="1"/>
  <c r="BN28" i="1"/>
  <c r="Z30" i="1"/>
  <c r="BN30" i="1"/>
  <c r="C505" i="1"/>
  <c r="Z42" i="1"/>
  <c r="Z44" i="1" s="1"/>
  <c r="BN42" i="1"/>
  <c r="Y45" i="1"/>
  <c r="D50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BN79" i="1"/>
  <c r="BP79" i="1"/>
  <c r="E505" i="1"/>
  <c r="Z86" i="1"/>
  <c r="BN86" i="1"/>
  <c r="Z88" i="1"/>
  <c r="BN88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BN185" i="1"/>
  <c r="J505" i="1"/>
  <c r="Z196" i="1"/>
  <c r="Z197" i="1" s="1"/>
  <c r="BN196" i="1"/>
  <c r="Y197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BP221" i="1"/>
  <c r="BN221" i="1"/>
  <c r="Z221" i="1"/>
  <c r="Y225" i="1"/>
  <c r="BP229" i="1"/>
  <c r="BN229" i="1"/>
  <c r="Z229" i="1"/>
  <c r="Y231" i="1"/>
  <c r="K505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L505" i="1"/>
  <c r="Y269" i="1"/>
  <c r="BP263" i="1"/>
  <c r="BN263" i="1"/>
  <c r="Z263" i="1"/>
  <c r="Y268" i="1"/>
  <c r="BP273" i="1"/>
  <c r="BN273" i="1"/>
  <c r="Z273" i="1"/>
  <c r="Y277" i="1"/>
  <c r="BP282" i="1"/>
  <c r="BN282" i="1"/>
  <c r="Z282" i="1"/>
  <c r="Y284" i="1"/>
  <c r="P505" i="1"/>
  <c r="Y290" i="1"/>
  <c r="BP287" i="1"/>
  <c r="BN287" i="1"/>
  <c r="Z287" i="1"/>
  <c r="Z289" i="1" s="1"/>
  <c r="Y289" i="1"/>
  <c r="BP351" i="1"/>
  <c r="BN351" i="1"/>
  <c r="Z351" i="1"/>
  <c r="S505" i="1"/>
  <c r="Y357" i="1"/>
  <c r="BP355" i="1"/>
  <c r="BN355" i="1"/>
  <c r="Z355" i="1"/>
  <c r="BP394" i="1"/>
  <c r="BN394" i="1"/>
  <c r="Z394" i="1"/>
  <c r="BP398" i="1"/>
  <c r="BN398" i="1"/>
  <c r="Z398" i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BP275" i="1"/>
  <c r="BN275" i="1"/>
  <c r="Z275" i="1"/>
  <c r="Z276" i="1" s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Y319" i="1"/>
  <c r="BP318" i="1"/>
  <c r="BN318" i="1"/>
  <c r="Z318" i="1"/>
  <c r="Y325" i="1"/>
  <c r="BP322" i="1"/>
  <c r="BN322" i="1"/>
  <c r="Z322" i="1"/>
  <c r="BP330" i="1"/>
  <c r="BN330" i="1"/>
  <c r="Z330" i="1"/>
  <c r="Y339" i="1"/>
  <c r="Z345" i="1"/>
  <c r="BP343" i="1"/>
  <c r="BN343" i="1"/>
  <c r="Z343" i="1"/>
  <c r="Y358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88" i="1"/>
  <c r="BP386" i="1"/>
  <c r="BN386" i="1"/>
  <c r="Z386" i="1"/>
  <c r="U505" i="1"/>
  <c r="BP396" i="1"/>
  <c r="BN396" i="1"/>
  <c r="Z396" i="1"/>
  <c r="BP400" i="1"/>
  <c r="BN400" i="1"/>
  <c r="Z400" i="1"/>
  <c r="Y407" i="1"/>
  <c r="BP417" i="1"/>
  <c r="BN417" i="1"/>
  <c r="Z417" i="1"/>
  <c r="BP453" i="1"/>
  <c r="BN453" i="1"/>
  <c r="Z453" i="1"/>
  <c r="BP467" i="1"/>
  <c r="BN467" i="1"/>
  <c r="Z467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367" i="1" l="1"/>
  <c r="Z283" i="1"/>
  <c r="Z81" i="1"/>
  <c r="Z377" i="1"/>
  <c r="Z213" i="1"/>
  <c r="Z154" i="1"/>
  <c r="Z112" i="1"/>
  <c r="Z58" i="1"/>
  <c r="Z469" i="1"/>
  <c r="Z402" i="1"/>
  <c r="Z357" i="1"/>
  <c r="Z325" i="1"/>
  <c r="Z488" i="1"/>
  <c r="Z447" i="1"/>
  <c r="Z268" i="1"/>
  <c r="Z230" i="1"/>
  <c r="Z187" i="1"/>
  <c r="Z181" i="1"/>
  <c r="Z105" i="1"/>
  <c r="Z89" i="1"/>
  <c r="Z76" i="1"/>
  <c r="Z64" i="1"/>
  <c r="Z32" i="1"/>
  <c r="Z338" i="1"/>
  <c r="Z441" i="1"/>
  <c r="Z419" i="1"/>
  <c r="Z259" i="1"/>
  <c r="Z225" i="1"/>
  <c r="Z119" i="1"/>
  <c r="Z96" i="1"/>
  <c r="Y495" i="1"/>
  <c r="Y497" i="1"/>
  <c r="Z332" i="1"/>
  <c r="Z243" i="1"/>
  <c r="Z500" i="1" s="1"/>
  <c r="Y496" i="1"/>
  <c r="Y499" i="1"/>
  <c r="Y498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<sst xmlns="http://schemas.openxmlformats.org/spreadsheetml/2006/main" count="2295" uniqueCount="782">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</sst>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172.8</v>
      </c>
      <c r="Y41" s="554">
        <f>IFERROR(IF(X41="",0,CEILING((X41/$H41),1)*$H41),"")</f>
        <v>172.8</v>
      </c>
      <c r="Z41" s="36">
        <f>IFERROR(IF(Y41=0,"",ROUNDUP(Y41/H41,0)*0.01898),"")</f>
        <v>0.30368000000000001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179.36</v>
      </c>
      <c r="BN41" s="64">
        <f>IFERROR(Y41*I41/H41,"0")</f>
        <v>179.36</v>
      </c>
      <c r="BO41" s="64">
        <f>IFERROR(1/J41*(X41/H41),"0")</f>
        <v>0.25</v>
      </c>
      <c r="BP41" s="64">
        <f>IFERROR(1/J41*(Y41/H41),"0")</f>
        <v>0.25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16</v>
      </c>
      <c r="Y44" s="555">
        <f>IFERROR(Y41/H41,"0")+IFERROR(Y42/H42,"0")+IFERROR(Y43/H43,"0")</f>
        <v>16</v>
      </c>
      <c r="Z44" s="555">
        <f>IFERROR(IF(Z41="",0,Z41),"0")+IFERROR(IF(Z42="",0,Z42),"0")+IFERROR(IF(Z43="",0,Z43),"0")</f>
        <v>0.30368000000000001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172.8</v>
      </c>
      <c r="Y45" s="555">
        <f>IFERROR(SUM(Y41:Y43),"0")</f>
        <v>172.8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62.4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8</v>
      </c>
      <c r="Y81" s="555">
        <f>IFERROR(Y79/H79,"0")+IFERROR(Y80/H80,"0")</f>
        <v>8</v>
      </c>
      <c r="Z81" s="555">
        <f>IFERROR(IF(Z79="",0,Z79),"0")+IFERROR(IF(Z80="",0,Z80),"0")</f>
        <v>0.15184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62.4</v>
      </c>
      <c r="Y82" s="555">
        <f>IFERROR(SUM(Y79:Y80),"0")</f>
        <v>62.4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64.8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68.751999999999995</v>
      </c>
      <c r="BN92" s="64">
        <f>IFERROR(Y92*I92/H92,"0")</f>
        <v>68.751999999999995</v>
      </c>
      <c r="BO92" s="64">
        <f>IFERROR(1/J92*(X92/H92),"0")</f>
        <v>0.125</v>
      </c>
      <c r="BP92" s="64">
        <f>IFERROR(1/J92*(Y92/H92),"0")</f>
        <v>0.125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8</v>
      </c>
      <c r="Y96" s="555">
        <f>IFERROR(Y92/H92,"0")+IFERROR(Y93/H93,"0")+IFERROR(Y94/H94,"0")+IFERROR(Y95/H95,"0")</f>
        <v>8</v>
      </c>
      <c r="Z96" s="555">
        <f>IFERROR(IF(Z92="",0,Z92),"0")+IFERROR(IF(Z93="",0,Z93),"0")+IFERROR(IF(Z94="",0,Z94),"0")+IFERROR(IF(Z95="",0,Z95),"0")</f>
        <v>0.15184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64.8</v>
      </c>
      <c r="Y97" s="555">
        <f>IFERROR(SUM(Y92:Y95),"0")</f>
        <v>64.8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172.8</v>
      </c>
      <c r="Y100" s="554">
        <f>IFERROR(IF(X100="",0,CEILING((X100/$H100),1)*$H100),"")</f>
        <v>172.8</v>
      </c>
      <c r="Z100" s="36">
        <f>IFERROR(IF(Y100=0,"",ROUNDUP(Y100/H100,0)*0.01898),"")</f>
        <v>0.30368000000000001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179.36</v>
      </c>
      <c r="BN100" s="64">
        <f>IFERROR(Y100*I100/H100,"0")</f>
        <v>179.36</v>
      </c>
      <c r="BO100" s="64">
        <f>IFERROR(1/J100*(X100/H100),"0")</f>
        <v>0.25</v>
      </c>
      <c r="BP100" s="64">
        <f>IFERROR(1/J100*(Y100/H100),"0")</f>
        <v>0.25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16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0.30368000000000001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172.8</v>
      </c>
      <c r="Y106" s="555">
        <f>IFERROR(SUM(Y100:Y104),"0")</f>
        <v>172.8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64.8</v>
      </c>
      <c r="Y115" s="554">
        <f>IFERROR(IF(X115="",0,CEILING((X115/$H115),1)*$H115),"")</f>
        <v>64.8</v>
      </c>
      <c r="Z115" s="36">
        <f>IFERROR(IF(Y115=0,"",ROUNDUP(Y115/H115,0)*0.01898),"")</f>
        <v>0.15184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68.703999999999994</v>
      </c>
      <c r="BN115" s="64">
        <f>IFERROR(Y115*I115/H115,"0")</f>
        <v>68.703999999999994</v>
      </c>
      <c r="BO115" s="64">
        <f>IFERROR(1/J115*(X115/H115),"0")</f>
        <v>0.125</v>
      </c>
      <c r="BP115" s="64">
        <f>IFERROR(1/J115*(Y115/H115),"0")</f>
        <v>0.125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8</v>
      </c>
      <c r="Y119" s="555">
        <f>IFERROR(Y115/H115,"0")+IFERROR(Y116/H116,"0")+IFERROR(Y117/H117,"0")+IFERROR(Y118/H118,"0")</f>
        <v>8</v>
      </c>
      <c r="Z119" s="555">
        <f>IFERROR(IF(Z115="",0,Z115),"0")+IFERROR(IF(Z116="",0,Z116),"0")+IFERROR(IF(Z117="",0,Z117),"0")+IFERROR(IF(Z118="",0,Z118),"0")</f>
        <v>0.15184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64.8</v>
      </c>
      <c r="Y120" s="555">
        <f>IFERROR(SUM(Y115:Y118),"0")</f>
        <v>64.8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62.4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66.352000000000004</v>
      </c>
      <c r="BN323" s="64">
        <f>IFERROR(Y323*I323/H323,"0")</f>
        <v>66.352000000000004</v>
      </c>
      <c r="BO323" s="64">
        <f>IFERROR(1/J323*(X323/H323),"0")</f>
        <v>0.125</v>
      </c>
      <c r="BP323" s="64">
        <f>IFERROR(1/J323*(Y323/H323),"0")</f>
        <v>0.125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67.2</v>
      </c>
      <c r="Y324" s="554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71.152000000000001</v>
      </c>
      <c r="BN324" s="64">
        <f>IFERROR(Y324*I324/H324,"0")</f>
        <v>71.152000000000001</v>
      </c>
      <c r="BO324" s="64">
        <f>IFERROR(1/J324*(X324/H324),"0")</f>
        <v>0.125</v>
      </c>
      <c r="BP324" s="64">
        <f>IFERROR(1/J324*(Y324/H324),"0")</f>
        <v>0.125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16</v>
      </c>
      <c r="Y325" s="555">
        <f>IFERROR(Y322/H322,"0")+IFERROR(Y323/H323,"0")+IFERROR(Y324/H324,"0")</f>
        <v>16</v>
      </c>
      <c r="Z325" s="555">
        <f>IFERROR(IF(Z322="",0,Z322),"0")+IFERROR(IF(Z323="",0,Z323),"0")+IFERROR(IF(Z324="",0,Z324),"0")</f>
        <v>0.30368000000000001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129.6</v>
      </c>
      <c r="Y326" s="555">
        <f>IFERROR(SUM(Y322:Y324),"0")</f>
        <v>129.6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</v>
      </c>
      <c r="Y350" s="554">
        <f t="shared" ref="Y350:Y356" si="36">IFERROR(IF(X350="",0,CEILING((X350/$H350),1)*$H350),"")</f>
        <v>120</v>
      </c>
      <c r="Z350" s="36">
        <f>IFERROR(IF(Y350=0,"",ROUNDUP(Y350/H350,0)*0.02175),"")</f>
        <v>0.17399999999999999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123.76</v>
      </c>
      <c r="BN350" s="64">
        <f t="shared" ref="BN350:BN356" si="38">IFERROR(Y350*I350/H350,"0")</f>
        <v>123.76</v>
      </c>
      <c r="BO350" s="64">
        <f t="shared" ref="BO350:BO356" si="39">IFERROR(1/J350*(X350/H350),"0")</f>
        <v>0.16666666666666666</v>
      </c>
      <c r="BP350" s="64">
        <f t="shared" ref="BP350:BP356" si="40">IFERROR(1/J350*(Y350/H350),"0")</f>
        <v>0.16666666666666666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120</v>
      </c>
      <c r="Y351" s="554">
        <f t="shared" si="36"/>
        <v>120</v>
      </c>
      <c r="Z351" s="36">
        <f>IFERROR(IF(Y351=0,"",ROUNDUP(Y351/H351,0)*0.02175),"")</f>
        <v>0.17399999999999999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123.76</v>
      </c>
      <c r="BN351" s="64">
        <f t="shared" si="38"/>
        <v>123.76</v>
      </c>
      <c r="BO351" s="64">
        <f t="shared" si="39"/>
        <v>0.16666666666666666</v>
      </c>
      <c r="BP351" s="64">
        <f t="shared" si="40"/>
        <v>0.16666666666666666</v>
      </c>
    </row>
    <row r="352" spans="1:68" ht="37.5" hidden="1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16</v>
      </c>
      <c r="Y357" s="555">
        <f>IFERROR(Y350/H350,"0")+IFERROR(Y351/H351,"0")+IFERROR(Y352/H352,"0")+IFERROR(Y353/H353,"0")+IFERROR(Y354/H354,"0")+IFERROR(Y355/H355,"0")+IFERROR(Y356/H356,"0")</f>
        <v>16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240</v>
      </c>
      <c r="Y358" s="555">
        <f>IFERROR(SUM(Y350:Y356),"0")</f>
        <v>240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96</v>
      </c>
      <c r="Y375" s="554">
        <f>IFERROR(IF(X375="",0,CEILING((X375/$H375),1)*$H375),"")</f>
        <v>96</v>
      </c>
      <c r="Z375" s="36">
        <f>IFERROR(IF(Y375=0,"",ROUNDUP(Y375/H375,0)*0.01898),"")</f>
        <v>0.15184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99.280000000000015</v>
      </c>
      <c r="BN375" s="64">
        <f>IFERROR(Y375*I375/H375,"0")</f>
        <v>99.280000000000015</v>
      </c>
      <c r="BO375" s="64">
        <f>IFERROR(1/J375*(X375/H375),"0")</f>
        <v>0.125</v>
      </c>
      <c r="BP375" s="64">
        <f>IFERROR(1/J375*(Y375/H375),"0")</f>
        <v>0.125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8</v>
      </c>
      <c r="Y377" s="555">
        <f>IFERROR(Y375/H375,"0")+IFERROR(Y376/H376,"0")</f>
        <v>8</v>
      </c>
      <c r="Z377" s="555">
        <f>IFERROR(IF(Z375="",0,Z375),"0")+IFERROR(IF(Z376="",0,Z376),"0")</f>
        <v>0.15184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96</v>
      </c>
      <c r="Y378" s="555">
        <f>IFERROR(SUM(Y375:Y376),"0")</f>
        <v>96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72</v>
      </c>
      <c r="Y385" s="554">
        <f>IFERROR(IF(X385="",0,CEILING((X385/$H385),1)*$H385),"")</f>
        <v>72</v>
      </c>
      <c r="Z385" s="36">
        <f>IFERROR(IF(Y385=0,"",ROUNDUP(Y385/H385,0)*0.01898),"")</f>
        <v>0.15184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75.951999999999998</v>
      </c>
      <c r="BN385" s="64">
        <f>IFERROR(Y385*I385/H385,"0")</f>
        <v>75.951999999999998</v>
      </c>
      <c r="BO385" s="64">
        <f>IFERROR(1/J385*(X385/H385),"0")</f>
        <v>0.125</v>
      </c>
      <c r="BP385" s="64">
        <f>IFERROR(1/J385*(Y385/H385),"0")</f>
        <v>0.125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33.6</v>
      </c>
      <c r="Y386" s="554">
        <f>IFERROR(IF(X386="",0,CEILING((X386/$H386),1)*$H386),"")</f>
        <v>33.6</v>
      </c>
      <c r="Z386" s="36">
        <f>IFERROR(IF(Y386=0,"",ROUNDUP(Y386/H386,0)*0.00651),"")</f>
        <v>9.1139999999999999E-2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37.296000000000006</v>
      </c>
      <c r="BN386" s="64">
        <f>IFERROR(Y386*I386/H386,"0")</f>
        <v>37.296000000000006</v>
      </c>
      <c r="BO386" s="64">
        <f>IFERROR(1/J386*(X386/H386),"0")</f>
        <v>7.6923076923076941E-2</v>
      </c>
      <c r="BP386" s="64">
        <f>IFERROR(1/J386*(Y386/H386),"0")</f>
        <v>7.6923076923076941E-2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22</v>
      </c>
      <c r="Y388" s="555">
        <f>IFERROR(Y385/H385,"0")+IFERROR(Y386/H386,"0")+IFERROR(Y387/H387,"0")</f>
        <v>22</v>
      </c>
      <c r="Z388" s="555">
        <f>IFERROR(IF(Z385="",0,Z385),"0")+IFERROR(IF(Z386="",0,Z386),"0")+IFERROR(IF(Z387="",0,Z387),"0")</f>
        <v>0.24298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105.6</v>
      </c>
      <c r="Y389" s="555">
        <f>IFERROR(SUM(Y385:Y387),"0")</f>
        <v>105.6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42.24</v>
      </c>
      <c r="Y433" s="554">
        <f t="shared" si="47"/>
        <v>42.24</v>
      </c>
      <c r="Z433" s="36">
        <f t="shared" si="48"/>
        <v>9.5680000000000001E-2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45.04</v>
      </c>
      <c r="BN433" s="64">
        <f t="shared" si="50"/>
        <v>45.04</v>
      </c>
      <c r="BO433" s="64">
        <f t="shared" si="51"/>
        <v>7.6923076923076927E-2</v>
      </c>
      <c r="BP433" s="64">
        <f t="shared" si="52"/>
        <v>7.6923076923076927E-2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126.72</v>
      </c>
      <c r="Y435" s="554">
        <f t="shared" si="47"/>
        <v>126.72</v>
      </c>
      <c r="Z435" s="36">
        <f t="shared" si="48"/>
        <v>0.28704000000000002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135.11999999999998</v>
      </c>
      <c r="BN435" s="64">
        <f t="shared" si="50"/>
        <v>135.11999999999998</v>
      </c>
      <c r="BO435" s="64">
        <f t="shared" si="51"/>
        <v>0.23076923076923078</v>
      </c>
      <c r="BP435" s="64">
        <f t="shared" si="52"/>
        <v>0.23076923076923078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32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0.38272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168.96</v>
      </c>
      <c r="Y442" s="555">
        <f>IFERROR(SUM(Y429:Y440),"0")</f>
        <v>168.96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42.24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45.04</v>
      </c>
      <c r="BN450" s="64">
        <f t="shared" ref="BN450:BN455" si="55">IFERROR(Y450*I450/H450,"0")</f>
        <v>45.04</v>
      </c>
      <c r="BO450" s="64">
        <f t="shared" ref="BO450:BO455" si="56">IFERROR(1/J450*(X450/H450),"0")</f>
        <v>7.6923076923076927E-2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42.24</v>
      </c>
      <c r="Y451" s="554">
        <f t="shared" si="53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45.04</v>
      </c>
      <c r="BN451" s="64">
        <f t="shared" si="55"/>
        <v>45.04</v>
      </c>
      <c r="BO451" s="64">
        <f t="shared" si="56"/>
        <v>7.6923076923076927E-2</v>
      </c>
      <c r="BP451" s="64">
        <f t="shared" si="57"/>
        <v>7.6923076923076927E-2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16</v>
      </c>
      <c r="Y456" s="555">
        <f>IFERROR(Y450/H450,"0")+IFERROR(Y451/H451,"0")+IFERROR(Y452/H452,"0")+IFERROR(Y453/H453,"0")+IFERROR(Y454/H454,"0")+IFERROR(Y455/H455,"0")</f>
        <v>16</v>
      </c>
      <c r="Z456" s="555">
        <f>IFERROR(IF(Z450="",0,Z450),"0")+IFERROR(IF(Z451="",0,Z451),"0")+IFERROR(IF(Z452="",0,Z452),"0")+IFERROR(IF(Z453="",0,Z453),"0")+IFERROR(IF(Z454="",0,Z454),"0")+IFERROR(IF(Z455="",0,Z455),"0")</f>
        <v>0.19136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84.48</v>
      </c>
      <c r="Y457" s="555">
        <f>IFERROR(SUM(Y450:Y455),"0")</f>
        <v>84.48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1362.24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1362.24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1429.6479999999999</v>
      </c>
      <c r="Y496" s="555">
        <f>IFERROR(SUM(BN22:BN492),"0")</f>
        <v>1429.6479999999999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1504.6479999999999</v>
      </c>
      <c r="Y498" s="555">
        <f>GrossWeightTotalR+PalletQtyTotalR*25</f>
        <v>1504.6479999999999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166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166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2.6834600000000002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172.8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62.4</v>
      </c>
      <c r="E505" s="46">
        <f>IFERROR(Y85*1,"0")+IFERROR(Y86*1,"0")+IFERROR(Y87*1,"0")+IFERROR(Y88*1,"0")+IFERROR(Y92*1,"0")+IFERROR(Y93*1,"0")+IFERROR(Y94*1,"0")+IFERROR(Y95*1,"0")</f>
        <v>64.8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237.60000000000002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240</v>
      </c>
      <c r="T505" s="46">
        <f>IFERROR(Y375*1,"0")+IFERROR(Y376*1,"0")+IFERROR(Y380*1,"0")+IFERROR(Y381*1,"0")+IFERROR(Y385*1,"0")+IFERROR(Y386*1,"0")+IFERROR(Y387*1,"0")</f>
        <v>201.6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253.44000000000003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62,24"/>
        <filter val="1 429,65"/>
        <filter val="1 504,65"/>
        <filter val="105,60"/>
        <filter val="120,00"/>
        <filter val="126,72"/>
        <filter val="129,60"/>
        <filter val="16,00"/>
        <filter val="166,00"/>
        <filter val="168,96"/>
        <filter val="172,80"/>
        <filter val="22,00"/>
        <filter val="240,00"/>
        <filter val="3"/>
        <filter val="32,00"/>
        <filter val="33,60"/>
        <filter val="42,24"/>
        <filter val="62,40"/>
        <filter val="64,80"/>
        <filter val="67,20"/>
        <filter val="72,00"/>
        <filter val="8,00"/>
        <filter val="84,48"/>
        <filter val="96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