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2508C03-3702-4D92-BDBC-9B248B4E0C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49" i="1" l="1"/>
  <c r="BN149" i="1"/>
  <c r="Z149" i="1"/>
  <c r="BP177" i="1"/>
  <c r="BN177" i="1"/>
  <c r="Z177" i="1"/>
  <c r="BP219" i="1"/>
  <c r="BN219" i="1"/>
  <c r="Z219" i="1"/>
  <c r="BP254" i="1"/>
  <c r="BN254" i="1"/>
  <c r="Z254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Y25" i="1"/>
  <c r="Z42" i="1"/>
  <c r="BN42" i="1"/>
  <c r="Z61" i="1"/>
  <c r="BN61" i="1"/>
  <c r="Z86" i="1"/>
  <c r="BN86" i="1"/>
  <c r="Z101" i="1"/>
  <c r="BN101" i="1"/>
  <c r="BP107" i="1"/>
  <c r="BN107" i="1"/>
  <c r="Y123" i="1"/>
  <c r="Y122" i="1"/>
  <c r="BP121" i="1"/>
  <c r="BN121" i="1"/>
  <c r="Z121" i="1"/>
  <c r="Z122" i="1" s="1"/>
  <c r="BP126" i="1"/>
  <c r="BN126" i="1"/>
  <c r="Z126" i="1"/>
  <c r="BP169" i="1"/>
  <c r="BN169" i="1"/>
  <c r="Z169" i="1"/>
  <c r="BP207" i="1"/>
  <c r="BN207" i="1"/>
  <c r="Z207" i="1"/>
  <c r="BP236" i="1"/>
  <c r="BN236" i="1"/>
  <c r="Z236" i="1"/>
  <c r="BP265" i="1"/>
  <c r="BN265" i="1"/>
  <c r="Z265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X493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Z71" i="1"/>
  <c r="BN71" i="1"/>
  <c r="Y76" i="1"/>
  <c r="Z79" i="1"/>
  <c r="BN79" i="1"/>
  <c r="Z84" i="1"/>
  <c r="BN84" i="1"/>
  <c r="Y89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7" i="1"/>
  <c r="BN167" i="1"/>
  <c r="Z171" i="1"/>
  <c r="BN171" i="1"/>
  <c r="Z175" i="1"/>
  <c r="BN175" i="1"/>
  <c r="Z183" i="1"/>
  <c r="BN183" i="1"/>
  <c r="Z205" i="1"/>
  <c r="BN205" i="1"/>
  <c r="Z209" i="1"/>
  <c r="BN209" i="1"/>
  <c r="Z217" i="1"/>
  <c r="BN217" i="1"/>
  <c r="Z221" i="1"/>
  <c r="BN221" i="1"/>
  <c r="Z234" i="1"/>
  <c r="BN234" i="1"/>
  <c r="Z238" i="1"/>
  <c r="BN238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Z256" i="1"/>
  <c r="BN256" i="1"/>
  <c r="Z263" i="1"/>
  <c r="BN263" i="1"/>
  <c r="Z270" i="1"/>
  <c r="BN270" i="1"/>
  <c r="Z279" i="1"/>
  <c r="BN279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331" i="1"/>
  <c r="Y388" i="1"/>
  <c r="Y387" i="1"/>
  <c r="Y482" i="1"/>
  <c r="H9" i="1"/>
  <c r="A10" i="1"/>
  <c r="B499" i="1"/>
  <c r="X490" i="1"/>
  <c r="X491" i="1"/>
  <c r="Z23" i="1"/>
  <c r="Z24" i="1" s="1"/>
  <c r="BN23" i="1"/>
  <c r="BP23" i="1"/>
  <c r="Y24" i="1"/>
  <c r="X489" i="1"/>
  <c r="Z27" i="1"/>
  <c r="BN27" i="1"/>
  <c r="BP27" i="1"/>
  <c r="Z29" i="1"/>
  <c r="BN29" i="1"/>
  <c r="Y32" i="1"/>
  <c r="C499" i="1"/>
  <c r="Z41" i="1"/>
  <c r="BN41" i="1"/>
  <c r="BP41" i="1"/>
  <c r="Y44" i="1"/>
  <c r="D499" i="1"/>
  <c r="Y57" i="1"/>
  <c r="Z52" i="1"/>
  <c r="BN52" i="1"/>
  <c r="BP52" i="1"/>
  <c r="BP62" i="1"/>
  <c r="BN62" i="1"/>
  <c r="Z62" i="1"/>
  <c r="Y69" i="1"/>
  <c r="BP66" i="1"/>
  <c r="BN66" i="1"/>
  <c r="Z66" i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H499" i="1"/>
  <c r="Y145" i="1"/>
  <c r="BP142" i="1"/>
  <c r="BN142" i="1"/>
  <c r="Z142" i="1"/>
  <c r="Z144" i="1" s="1"/>
  <c r="Y153" i="1"/>
  <c r="BP150" i="1"/>
  <c r="BN150" i="1"/>
  <c r="Z150" i="1"/>
  <c r="Y179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F9" i="1"/>
  <c r="J9" i="1"/>
  <c r="BP54" i="1"/>
  <c r="BN54" i="1"/>
  <c r="BP56" i="1"/>
  <c r="BN56" i="1"/>
  <c r="Z56" i="1"/>
  <c r="Y63" i="1"/>
  <c r="BP60" i="1"/>
  <c r="BN60" i="1"/>
  <c r="Z60" i="1"/>
  <c r="Z63" i="1" s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Z104" i="1" s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52" i="1"/>
  <c r="BP148" i="1"/>
  <c r="BN148" i="1"/>
  <c r="Z148" i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Z257" i="1" s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Z281" i="1" s="1"/>
  <c r="BP291" i="1"/>
  <c r="BN291" i="1"/>
  <c r="Z291" i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Y377" i="1"/>
  <c r="Y382" i="1"/>
  <c r="BP379" i="1"/>
  <c r="BN379" i="1"/>
  <c r="Z379" i="1"/>
  <c r="Z381" i="1" s="1"/>
  <c r="Y381" i="1"/>
  <c r="Q499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469" i="1" l="1"/>
  <c r="Z366" i="1"/>
  <c r="Z376" i="1"/>
  <c r="Z292" i="1"/>
  <c r="Z133" i="1"/>
  <c r="Z43" i="1"/>
  <c r="Z440" i="1"/>
  <c r="Z266" i="1"/>
  <c r="Y490" i="1"/>
  <c r="Y491" i="1"/>
  <c r="Z57" i="1"/>
  <c r="Y489" i="1"/>
  <c r="Z274" i="1"/>
  <c r="Z241" i="1"/>
  <c r="Z356" i="1"/>
  <c r="Z185" i="1"/>
  <c r="Z179" i="1"/>
  <c r="Z75" i="1"/>
  <c r="Z311" i="1"/>
  <c r="Z68" i="1"/>
  <c r="Z223" i="1"/>
  <c r="Z337" i="1"/>
  <c r="Z111" i="1"/>
  <c r="Z31" i="1"/>
  <c r="Y493" i="1"/>
  <c r="Z464" i="1"/>
  <c r="Z446" i="1"/>
  <c r="Z455" i="1"/>
  <c r="Z418" i="1"/>
  <c r="Z318" i="1"/>
  <c r="Z95" i="1"/>
  <c r="X492" i="1"/>
  <c r="Z494" i="1" l="1"/>
  <c r="Y492" i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<sst xmlns="http://schemas.openxmlformats.org/spreadsheetml/2006/main" count="2343" uniqueCount="771">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</sst>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349" sqref="AA349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46047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Воскресенье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0.41666666666666669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0</v>
      </c>
      <c r="Y40" s="548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0</v>
      </c>
      <c r="Y43" s="549">
        <f>IFERROR(Y40/H40,"0")+IFERROR(Y41/H41,"0")+IFERROR(Y42/H42,"0")</f>
        <v>0</v>
      </c>
      <c r="Z43" s="549">
        <f>IFERROR(IF(Z40="",0,Z40),"0")+IFERROR(IF(Z41="",0,Z41),"0")+IFERROR(IF(Z42="",0,Z42),"0")</f>
        <v>0</v>
      </c>
      <c r="AA43" s="550"/>
      <c r="AB43" s="550"/>
      <c r="AC43" s="550"/>
    </row>
    <row r="44" spans="1:68" hidden="1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0</v>
      </c>
      <c r="Y44" s="549">
        <f>IFERROR(SUM(Y40:Y42),"0")</f>
        <v>0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0</v>
      </c>
      <c r="Y57" s="549">
        <f>IFERROR(Y51/H51,"0")+IFERROR(Y52/H52,"0")+IFERROR(Y53/H53,"0")+IFERROR(Y54/H54,"0")+IFERROR(Y55/H55,"0")+IFERROR(Y56/H56,"0")</f>
        <v>0</v>
      </c>
      <c r="Z57" s="549">
        <f>IFERROR(IF(Z51="",0,Z51),"0")+IFERROR(IF(Z52="",0,Z52),"0")+IFERROR(IF(Z53="",0,Z53),"0")+IFERROR(IF(Z54="",0,Z54),"0")+IFERROR(IF(Z55="",0,Z55),"0")+IFERROR(IF(Z56="",0,Z56),"0")</f>
        <v>0</v>
      </c>
      <c r="AA57" s="550"/>
      <c r="AB57" s="550"/>
      <c r="AC57" s="550"/>
    </row>
    <row r="58" spans="1:68" hidden="1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0</v>
      </c>
      <c r="Y58" s="549">
        <f>IFERROR(SUM(Y51:Y56),"0")</f>
        <v>0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hidden="1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0</v>
      </c>
      <c r="Y88" s="549">
        <f>IFERROR(Y84/H84,"0")+IFERROR(Y85/H85,"0")+IFERROR(Y86/H86,"0")+IFERROR(Y87/H87,"0")</f>
        <v>0</v>
      </c>
      <c r="Z88" s="549">
        <f>IFERROR(IF(Z84="",0,Z84),"0")+IFERROR(IF(Z85="",0,Z85),"0")+IFERROR(IF(Z86="",0,Z86),"0")+IFERROR(IF(Z87="",0,Z87),"0")</f>
        <v>0</v>
      </c>
      <c r="AA88" s="550"/>
      <c r="AB88" s="550"/>
      <c r="AC88" s="550"/>
    </row>
    <row r="89" spans="1:68" hidden="1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0</v>
      </c>
      <c r="Y89" s="549">
        <f>IFERROR(SUM(Y84:Y87),"0")</f>
        <v>0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hidden="1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hidden="1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0</v>
      </c>
      <c r="Y114" s="548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0</v>
      </c>
      <c r="Y118" s="549">
        <f>IFERROR(Y114/H114,"0")+IFERROR(Y115/H115,"0")+IFERROR(Y116/H116,"0")+IFERROR(Y117/H117,"0")</f>
        <v>0</v>
      </c>
      <c r="Z118" s="549">
        <f>IFERROR(IF(Z114="",0,Z114),"0")+IFERROR(IF(Z115="",0,Z115),"0")+IFERROR(IF(Z116="",0,Z116),"0")+IFERROR(IF(Z117="",0,Z117),"0")</f>
        <v>0</v>
      </c>
      <c r="AA118" s="550"/>
      <c r="AB118" s="550"/>
      <c r="AC118" s="550"/>
    </row>
    <row r="119" spans="1:68" hidden="1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0</v>
      </c>
      <c r="Y119" s="549">
        <f>IFERROR(SUM(Y114:Y117),"0")</f>
        <v>0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hidden="1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hidden="1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idden="1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hidden="1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hidden="1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hidden="1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0</v>
      </c>
      <c r="Y324" s="549">
        <f>IFERROR(Y321/H321,"0")+IFERROR(Y322/H322,"0")+IFERROR(Y323/H323,"0")</f>
        <v>0</v>
      </c>
      <c r="Z324" s="549">
        <f>IFERROR(IF(Z321="",0,Z321),"0")+IFERROR(IF(Z322="",0,Z322),"0")+IFERROR(IF(Z323="",0,Z323),"0")</f>
        <v>0</v>
      </c>
      <c r="AA324" s="550"/>
      <c r="AB324" s="550"/>
      <c r="AC324" s="550"/>
    </row>
    <row r="325" spans="1:68" hidden="1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0</v>
      </c>
      <c r="Y325" s="549">
        <f>IFERROR(SUM(Y321:Y323),"0")</f>
        <v>0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0</v>
      </c>
      <c r="Y344" s="549">
        <f>IFERROR(Y341/H341,"0")+IFERROR(Y342/H342,"0")+IFERROR(Y343/H343,"0")</f>
        <v>0</v>
      </c>
      <c r="Z344" s="549">
        <f>IFERROR(IF(Z341="",0,Z341),"0")+IFERROR(IF(Z342="",0,Z342),"0")+IFERROR(IF(Z343="",0,Z343),"0")</f>
        <v>0</v>
      </c>
      <c r="AA344" s="550"/>
      <c r="AB344" s="550"/>
      <c r="AC344" s="550"/>
    </row>
    <row r="345" spans="1:68" hidden="1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0</v>
      </c>
      <c r="Y345" s="549">
        <f>IFERROR(SUM(Y341:Y343),"0")</f>
        <v>0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3200</v>
      </c>
      <c r="Y349" s="548">
        <f t="shared" ref="Y349:Y355" si="36">IFERROR(IF(X349="",0,CEILING((X349/$H349),1)*$H349),"")</f>
        <v>3210</v>
      </c>
      <c r="Z349" s="36">
        <f>IFERROR(IF(Y349=0,"",ROUNDUP(Y349/H349,0)*0.02175),"")</f>
        <v>4.6544999999999996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3300.2666666666669</v>
      </c>
      <c r="BN349" s="64">
        <f t="shared" ref="BN349:BN355" si="38">IFERROR(Y349*I349/H349,"0")</f>
        <v>3310.5800000000004</v>
      </c>
      <c r="BO349" s="64">
        <f t="shared" ref="BO349:BO355" si="39">IFERROR(1/J349*(X349/H349),"0")</f>
        <v>4.4444444444444446</v>
      </c>
      <c r="BP349" s="64">
        <f t="shared" ref="BP349:BP355" si="40">IFERROR(1/J349*(Y349/H349),"0")</f>
        <v>4.458333333333333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2700</v>
      </c>
      <c r="Y351" s="548">
        <f t="shared" si="36"/>
        <v>2700</v>
      </c>
      <c r="Z351" s="36">
        <f>IFERROR(IF(Y351=0,"",ROUNDUP(Y351/H351,0)*0.02175),"")</f>
        <v>3.9149999999999996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2784.6</v>
      </c>
      <c r="BN351" s="64">
        <f t="shared" si="38"/>
        <v>2784.6</v>
      </c>
      <c r="BO351" s="64">
        <f t="shared" si="39"/>
        <v>3.75</v>
      </c>
      <c r="BP351" s="64">
        <f t="shared" si="40"/>
        <v>3.75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393.33333333333337</v>
      </c>
      <c r="Y356" s="549">
        <f>IFERROR(Y349/H349,"0")+IFERROR(Y350/H350,"0")+IFERROR(Y351/H351,"0")+IFERROR(Y352/H352,"0")+IFERROR(Y353/H353,"0")+IFERROR(Y354/H354,"0")+IFERROR(Y355/H355,"0")</f>
        <v>394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8.5694999999999997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5900</v>
      </c>
      <c r="Y357" s="549">
        <f>IFERROR(SUM(Y349:Y355),"0")</f>
        <v>5910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2100</v>
      </c>
      <c r="Y359" s="548">
        <f>IFERROR(IF(X359="",0,CEILING((X359/$H359),1)*$H359),"")</f>
        <v>2100</v>
      </c>
      <c r="Z359" s="36">
        <f>IFERROR(IF(Y359=0,"",ROUNDUP(Y359/H359,0)*0.02175),"")</f>
        <v>3.0449999999999999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2165.8000000000002</v>
      </c>
      <c r="BN359" s="64">
        <f>IFERROR(Y359*I359/H359,"0")</f>
        <v>2165.8000000000002</v>
      </c>
      <c r="BO359" s="64">
        <f>IFERROR(1/J359*(X359/H359),"0")</f>
        <v>2.9166666666666665</v>
      </c>
      <c r="BP359" s="64">
        <f>IFERROR(1/J359*(Y359/H359),"0")</f>
        <v>2.9166666666666665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140</v>
      </c>
      <c r="Y361" s="549">
        <f>IFERROR(Y359/H359,"0")+IFERROR(Y360/H360,"0")</f>
        <v>140</v>
      </c>
      <c r="Z361" s="549">
        <f>IFERROR(IF(Z359="",0,Z359),"0")+IFERROR(IF(Z360="",0,Z360),"0")</f>
        <v>3.0449999999999999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2100</v>
      </c>
      <c r="Y362" s="549">
        <f>IFERROR(SUM(Y359:Y360),"0")</f>
        <v>2100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5000</v>
      </c>
      <c r="Y384" s="548">
        <f>IFERROR(IF(X384="",0,CEILING((X384/$H384),1)*$H384),"")</f>
        <v>5004</v>
      </c>
      <c r="Z384" s="36">
        <f>IFERROR(IF(Y384=0,"",ROUNDUP(Y384/H384,0)*0.01898),"")</f>
        <v>10.55288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5274.4444444444443</v>
      </c>
      <c r="BN384" s="64">
        <f>IFERROR(Y384*I384/H384,"0")</f>
        <v>5278.6640000000007</v>
      </c>
      <c r="BO384" s="64">
        <f>IFERROR(1/J384*(X384/H384),"0")</f>
        <v>8.6805555555555554</v>
      </c>
      <c r="BP384" s="64">
        <f>IFERROR(1/J384*(Y384/H384),"0")</f>
        <v>8.6875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555.55555555555554</v>
      </c>
      <c r="Y387" s="549">
        <f>IFERROR(Y384/H384,"0")+IFERROR(Y385/H385,"0")+IFERROR(Y386/H386,"0")</f>
        <v>556</v>
      </c>
      <c r="Z387" s="549">
        <f>IFERROR(IF(Z384="",0,Z384),"0")+IFERROR(IF(Z385="",0,Z385),"0")+IFERROR(IF(Z386="",0,Z386),"0")</f>
        <v>10.55288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5000</v>
      </c>
      <c r="Y388" s="549">
        <f>IFERROR(SUM(Y384:Y386),"0")</f>
        <v>5004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hidden="1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hidden="1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1000</v>
      </c>
      <c r="Y432" s="548">
        <f t="shared" si="47"/>
        <v>1003.2</v>
      </c>
      <c r="Z432" s="36">
        <f t="shared" si="48"/>
        <v>2.2724000000000002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1066.2878787878788</v>
      </c>
      <c r="BN432" s="64">
        <f t="shared" si="50"/>
        <v>1069.7</v>
      </c>
      <c r="BO432" s="64">
        <f t="shared" si="51"/>
        <v>1.821095571095571</v>
      </c>
      <c r="BP432" s="64">
        <f t="shared" si="52"/>
        <v>1.8269230769230771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189.39393939393938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190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2.2724000000000002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1000</v>
      </c>
      <c r="Y441" s="549">
        <f>IFERROR(SUM(Y428:Y439),"0")</f>
        <v>1003.2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0</v>
      </c>
      <c r="Y446" s="549">
        <f>IFERROR(Y443/H443,"0")+IFERROR(Y444/H444,"0")+IFERROR(Y445/H445,"0")</f>
        <v>0</v>
      </c>
      <c r="Z446" s="549">
        <f>IFERROR(IF(Z443="",0,Z443),"0")+IFERROR(IF(Z444="",0,Z444),"0")+IFERROR(IF(Z445="",0,Z445),"0")</f>
        <v>0</v>
      </c>
      <c r="AA446" s="550"/>
      <c r="AB446" s="550"/>
      <c r="AC446" s="550"/>
    </row>
    <row r="447" spans="1:68" hidden="1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0</v>
      </c>
      <c r="Y447" s="549">
        <f>IFERROR(SUM(Y443:Y445),"0")</f>
        <v>0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idden="1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0</v>
      </c>
      <c r="Y455" s="549">
        <f>IFERROR(Y449/H449,"0")+IFERROR(Y450/H450,"0")+IFERROR(Y451/H451,"0")+IFERROR(Y452/H452,"0")+IFERROR(Y453/H453,"0")+IFERROR(Y454/H454,"0")</f>
        <v>0</v>
      </c>
      <c r="Z455" s="549">
        <f>IFERROR(IF(Z449="",0,Z449),"0")+IFERROR(IF(Z450="",0,Z450),"0")+IFERROR(IF(Z451="",0,Z451),"0")+IFERROR(IF(Z452="",0,Z452),"0")+IFERROR(IF(Z453="",0,Z453),"0")+IFERROR(IF(Z454="",0,Z454),"0")</f>
        <v>0</v>
      </c>
      <c r="AA455" s="550"/>
      <c r="AB455" s="550"/>
      <c r="AC455" s="550"/>
    </row>
    <row r="456" spans="1:68" hidden="1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0</v>
      </c>
      <c r="Y456" s="549">
        <f>IFERROR(SUM(Y449:Y454),"0")</f>
        <v>0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hidden="1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hidden="1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hidden="1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14000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14017.2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14591.398989898991</v>
      </c>
      <c r="Y490" s="549">
        <f>IFERROR(SUM(BN22:BN486),"0")</f>
        <v>14609.344000000001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22</v>
      </c>
      <c r="Y491" s="38">
        <f>ROUNDUP(SUM(BP22:BP486),0)</f>
        <v>22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15141.398989898991</v>
      </c>
      <c r="Y492" s="549">
        <f>GrossWeightTotalR+PalletQtyTotalR*25</f>
        <v>15159.344000000001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1278.2828282828282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1280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24.439780000000003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9" s="46">
        <f>IFERROR(Y84*1,"0")+IFERROR(Y85*1,"0")+IFERROR(Y86*1,"0")+IFERROR(Y87*1,"0")+IFERROR(Y91*1,"0")+IFERROR(Y92*1,"0")+IFERROR(Y93*1,"0")+IFERROR(Y94*1,"0")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499" s="46">
        <f>IFERROR(Y341*1,"0")+IFERROR(Y342*1,"0")+IFERROR(Y343*1,"0")</f>
        <v>0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8010</v>
      </c>
      <c r="T499" s="46">
        <f>IFERROR(Y374*1,"0")+IFERROR(Y375*1,"0")+IFERROR(Y379*1,"0")+IFERROR(Y380*1,"0")+IFERROR(Y384*1,"0")+IFERROR(Y385*1,"0")+IFERROR(Y386*1,"0")</f>
        <v>5004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1003.2</v>
      </c>
      <c r="Y499" s="46">
        <f>IFERROR(Y460*1,"0")+IFERROR(Y461*1,"0")+IFERROR(Y462*1,"0")+IFERROR(Y463*1,"0")+IFERROR(Y467*1,"0")+IFERROR(Y468*1,"0")+IFERROR(Y472*1,"0")+IFERROR(Y476*1,"0")+IFERROR(Y480*1,"0")+IFERROR(Y481*1,"0")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78,28"/>
        <filter val="14 000,00"/>
        <filter val="14 591,40"/>
        <filter val="140,00"/>
        <filter val="15 141,40"/>
        <filter val="189,39"/>
        <filter val="2 100,00"/>
        <filter val="2 700,00"/>
        <filter val="22"/>
        <filter val="3 200,00"/>
        <filter val="393,33"/>
        <filter val="5 000,00"/>
        <filter val="5 900,00"/>
        <filter val="555,56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