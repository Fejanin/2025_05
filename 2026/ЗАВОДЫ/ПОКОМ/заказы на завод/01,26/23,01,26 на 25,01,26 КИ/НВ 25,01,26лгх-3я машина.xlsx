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BEEF33-0802-4613-98FF-F864092405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Y201" i="1" s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50" i="1" l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B498" i="1"/>
  <c r="X490" i="1"/>
  <c r="Z41" i="1"/>
  <c r="BN41" i="1"/>
  <c r="Z60" i="1"/>
  <c r="BN60" i="1"/>
  <c r="Y63" i="1"/>
  <c r="Z74" i="1"/>
  <c r="BN74" i="1"/>
  <c r="Z91" i="1"/>
  <c r="BN91" i="1"/>
  <c r="Z108" i="1"/>
  <c r="BN108" i="1"/>
  <c r="BP127" i="1"/>
  <c r="BN127" i="1"/>
  <c r="Z127" i="1"/>
  <c r="BP131" i="1"/>
  <c r="BN131" i="1"/>
  <c r="Z131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185" i="1"/>
  <c r="X489" i="1"/>
  <c r="Z23" i="1"/>
  <c r="BN23" i="1"/>
  <c r="X488" i="1"/>
  <c r="Y31" i="1"/>
  <c r="Z29" i="1"/>
  <c r="BN29" i="1"/>
  <c r="C498" i="1"/>
  <c r="Z52" i="1"/>
  <c r="BN52" i="1"/>
  <c r="Z56" i="1"/>
  <c r="BN56" i="1"/>
  <c r="Z62" i="1"/>
  <c r="BN62" i="1"/>
  <c r="Y68" i="1"/>
  <c r="Y80" i="1"/>
  <c r="BP78" i="1"/>
  <c r="BN78" i="1"/>
  <c r="Z78" i="1"/>
  <c r="BP93" i="1"/>
  <c r="BN93" i="1"/>
  <c r="Z93" i="1"/>
  <c r="BP110" i="1"/>
  <c r="BN110" i="1"/>
  <c r="Z110" i="1"/>
  <c r="BP137" i="1"/>
  <c r="BN137" i="1"/>
  <c r="Z137" i="1"/>
  <c r="BP166" i="1"/>
  <c r="BN166" i="1"/>
  <c r="Z166" i="1"/>
  <c r="BP174" i="1"/>
  <c r="BN174" i="1"/>
  <c r="Z174" i="1"/>
  <c r="BP184" i="1"/>
  <c r="BN184" i="1"/>
  <c r="Z184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2" i="1"/>
  <c r="BN262" i="1"/>
  <c r="Z262" i="1"/>
  <c r="BP278" i="1"/>
  <c r="BN278" i="1"/>
  <c r="Z278" i="1"/>
  <c r="BP72" i="1"/>
  <c r="BN72" i="1"/>
  <c r="Z72" i="1"/>
  <c r="BP87" i="1"/>
  <c r="BN87" i="1"/>
  <c r="Z87" i="1"/>
  <c r="BP102" i="1"/>
  <c r="BN102" i="1"/>
  <c r="Z102" i="1"/>
  <c r="BP116" i="1"/>
  <c r="BN116" i="1"/>
  <c r="Z116" i="1"/>
  <c r="BP148" i="1"/>
  <c r="BN148" i="1"/>
  <c r="Z148" i="1"/>
  <c r="BP170" i="1"/>
  <c r="BN170" i="1"/>
  <c r="Z170" i="1"/>
  <c r="BP178" i="1"/>
  <c r="BN178" i="1"/>
  <c r="Z178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BP271" i="1"/>
  <c r="BN271" i="1"/>
  <c r="Z271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95" i="1"/>
  <c r="H498" i="1"/>
  <c r="Y281" i="1"/>
  <c r="Q498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30" i="1"/>
  <c r="Y337" i="1"/>
  <c r="Y387" i="1"/>
  <c r="Y386" i="1"/>
  <c r="Y481" i="1"/>
  <c r="F9" i="1"/>
  <c r="J9" i="1"/>
  <c r="F10" i="1"/>
  <c r="Z22" i="1"/>
  <c r="Z24" i="1" s="1"/>
  <c r="BN22" i="1"/>
  <c r="BP22" i="1"/>
  <c r="X492" i="1"/>
  <c r="Y25" i="1"/>
  <c r="Z28" i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H9" i="1"/>
  <c r="Y24" i="1"/>
  <c r="Y44" i="1"/>
  <c r="D498" i="1"/>
  <c r="Y58" i="1"/>
  <c r="BP51" i="1"/>
  <c r="BN51" i="1"/>
  <c r="BP53" i="1"/>
  <c r="BN53" i="1"/>
  <c r="Z53" i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12" i="1"/>
  <c r="BP203" i="1"/>
  <c r="BN203" i="1"/>
  <c r="Z203" i="1"/>
  <c r="BP207" i="1"/>
  <c r="BN207" i="1"/>
  <c r="Z207" i="1"/>
  <c r="Y211" i="1"/>
  <c r="BP215" i="1"/>
  <c r="BN215" i="1"/>
  <c r="Z215" i="1"/>
  <c r="Y223" i="1"/>
  <c r="Y144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BP219" i="1"/>
  <c r="BN219" i="1"/>
  <c r="Z219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63" i="1" l="1"/>
  <c r="Z445" i="1"/>
  <c r="Z360" i="1"/>
  <c r="Z274" i="1"/>
  <c r="Z380" i="1"/>
  <c r="Z343" i="1"/>
  <c r="Z57" i="1"/>
  <c r="X491" i="1"/>
  <c r="Z439" i="1"/>
  <c r="Z400" i="1"/>
  <c r="Z355" i="1"/>
  <c r="Z257" i="1"/>
  <c r="Z223" i="1"/>
  <c r="Z31" i="1"/>
  <c r="Z266" i="1"/>
  <c r="Z241" i="1"/>
  <c r="Z104" i="1"/>
  <c r="Y492" i="1"/>
  <c r="Z152" i="1"/>
  <c r="Z43" i="1"/>
  <c r="Y488" i="1"/>
  <c r="Y490" i="1"/>
  <c r="Z454" i="1"/>
  <c r="Z417" i="1"/>
  <c r="Z330" i="1"/>
  <c r="Z211" i="1"/>
  <c r="Z179" i="1"/>
  <c r="Z95" i="1"/>
  <c r="Z88" i="1"/>
  <c r="Z75" i="1"/>
  <c r="Z493" i="1" s="1"/>
  <c r="Y489" i="1"/>
  <c r="Y491" i="1" l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<sst xmlns="http://schemas.openxmlformats.org/spreadsheetml/2006/main" count="2256" uniqueCount="768">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</sst>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9" t="s">
        <v>0</v>
      </c>
      <c r="E1" s="586"/>
      <c r="F1" s="586"/>
      <c r="G1" s="12" t="s">
        <v>1</v>
      </c>
      <c r="H1" s="809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844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5" t="s">
        <v>8</v>
      </c>
      <c r="B5" s="610"/>
      <c r="C5" s="578"/>
      <c r="D5" s="665"/>
      <c r="E5" s="667"/>
      <c r="F5" s="620" t="s">
        <v>9</v>
      </c>
      <c r="G5" s="578"/>
      <c r="H5" s="665" t="s">
        <v>767</v>
      </c>
      <c r="I5" s="666"/>
      <c r="J5" s="666"/>
      <c r="K5" s="666"/>
      <c r="L5" s="666"/>
      <c r="M5" s="667"/>
      <c r="N5" s="58"/>
      <c r="P5" s="24" t="s">
        <v>10</v>
      </c>
      <c r="Q5" s="625">
        <v>46047</v>
      </c>
      <c r="R5" s="626"/>
      <c r="T5" s="731" t="s">
        <v>11</v>
      </c>
      <c r="U5" s="606"/>
      <c r="V5" s="732" t="s">
        <v>12</v>
      </c>
      <c r="W5" s="626"/>
      <c r="AB5" s="51"/>
      <c r="AC5" s="51"/>
      <c r="AD5" s="51"/>
      <c r="AE5" s="51"/>
    </row>
    <row r="6" spans="1:32" s="539" customFormat="1" ht="24" customHeight="1" x14ac:dyDescent="0.2">
      <c r="A6" s="765" t="s">
        <v>13</v>
      </c>
      <c r="B6" s="610"/>
      <c r="C6" s="578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26"/>
      <c r="N6" s="59"/>
      <c r="P6" s="24" t="s">
        <v>15</v>
      </c>
      <c r="Q6" s="636" t="str">
        <f>IF(Q5=0," ",CHOOSE(WEEKDAY(Q5,2),"Понедельник","Вторник","Среда","Четверг","Пятница","Суббота","Воскресенье"))</f>
        <v>Воскресенье</v>
      </c>
      <c r="R6" s="562"/>
      <c r="T6" s="737" t="s">
        <v>16</v>
      </c>
      <c r="U6" s="606"/>
      <c r="V6" s="678" t="s">
        <v>17</v>
      </c>
      <c r="W6" s="67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51" t="str">
        <f>IFERROR(VLOOKUP(DeliveryAddress,Table,3,0),1)</f>
        <v>1</v>
      </c>
      <c r="E7" s="852"/>
      <c r="F7" s="852"/>
      <c r="G7" s="852"/>
      <c r="H7" s="852"/>
      <c r="I7" s="852"/>
      <c r="J7" s="852"/>
      <c r="K7" s="852"/>
      <c r="L7" s="852"/>
      <c r="M7" s="736"/>
      <c r="N7" s="60"/>
      <c r="P7" s="24"/>
      <c r="Q7" s="42"/>
      <c r="R7" s="42"/>
      <c r="T7" s="555"/>
      <c r="U7" s="606"/>
      <c r="V7" s="680"/>
      <c r="W7" s="681"/>
      <c r="AB7" s="51"/>
      <c r="AC7" s="51"/>
      <c r="AD7" s="51"/>
      <c r="AE7" s="51"/>
    </row>
    <row r="8" spans="1:32" s="539" customFormat="1" ht="25.5" customHeight="1" x14ac:dyDescent="0.2">
      <c r="A8" s="584" t="s">
        <v>18</v>
      </c>
      <c r="B8" s="552"/>
      <c r="C8" s="553"/>
      <c r="D8" s="853" t="s">
        <v>19</v>
      </c>
      <c r="E8" s="854"/>
      <c r="F8" s="854"/>
      <c r="G8" s="854"/>
      <c r="H8" s="854"/>
      <c r="I8" s="854"/>
      <c r="J8" s="854"/>
      <c r="K8" s="854"/>
      <c r="L8" s="854"/>
      <c r="M8" s="855"/>
      <c r="N8" s="61"/>
      <c r="P8" s="24" t="s">
        <v>20</v>
      </c>
      <c r="Q8" s="735">
        <v>0.45833333333333331</v>
      </c>
      <c r="R8" s="736"/>
      <c r="T8" s="555"/>
      <c r="U8" s="606"/>
      <c r="V8" s="680"/>
      <c r="W8" s="681"/>
      <c r="AB8" s="51"/>
      <c r="AC8" s="51"/>
      <c r="AD8" s="51"/>
      <c r="AE8" s="51"/>
    </row>
    <row r="9" spans="1:32" s="53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41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37"/>
      <c r="P9" s="26" t="s">
        <v>21</v>
      </c>
      <c r="Q9" s="784"/>
      <c r="R9" s="624"/>
      <c r="T9" s="555"/>
      <c r="U9" s="606"/>
      <c r="V9" s="682"/>
      <c r="W9" s="68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4" t="str">
        <f>IFERROR(VLOOKUP($D$10,Proxy,2,FALSE),"")</f>
        <v/>
      </c>
      <c r="I10" s="555"/>
      <c r="J10" s="555"/>
      <c r="K10" s="555"/>
      <c r="L10" s="555"/>
      <c r="M10" s="555"/>
      <c r="N10" s="538"/>
      <c r="P10" s="26" t="s">
        <v>22</v>
      </c>
      <c r="Q10" s="738"/>
      <c r="R10" s="739"/>
      <c r="U10" s="24" t="s">
        <v>23</v>
      </c>
      <c r="V10" s="815" t="s">
        <v>24</v>
      </c>
      <c r="W10" s="67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626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23" t="s">
        <v>29</v>
      </c>
      <c r="B12" s="610"/>
      <c r="C12" s="610"/>
      <c r="D12" s="610"/>
      <c r="E12" s="610"/>
      <c r="F12" s="610"/>
      <c r="G12" s="610"/>
      <c r="H12" s="610"/>
      <c r="I12" s="610"/>
      <c r="J12" s="610"/>
      <c r="K12" s="610"/>
      <c r="L12" s="610"/>
      <c r="M12" s="578"/>
      <c r="N12" s="62"/>
      <c r="P12" s="24" t="s">
        <v>30</v>
      </c>
      <c r="Q12" s="735"/>
      <c r="R12" s="736"/>
      <c r="S12" s="23"/>
      <c r="U12" s="24"/>
      <c r="V12" s="586"/>
      <c r="W12" s="555"/>
      <c r="AB12" s="51"/>
      <c r="AC12" s="51"/>
      <c r="AD12" s="51"/>
      <c r="AE12" s="51"/>
    </row>
    <row r="13" spans="1:32" s="539" customFormat="1" ht="23.25" customHeight="1" x14ac:dyDescent="0.2">
      <c r="A13" s="723" t="s">
        <v>31</v>
      </c>
      <c r="B13" s="610"/>
      <c r="C13" s="610"/>
      <c r="D13" s="610"/>
      <c r="E13" s="610"/>
      <c r="F13" s="610"/>
      <c r="G13" s="610"/>
      <c r="H13" s="610"/>
      <c r="I13" s="610"/>
      <c r="J13" s="610"/>
      <c r="K13" s="610"/>
      <c r="L13" s="610"/>
      <c r="M13" s="578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23" t="s">
        <v>33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26" t="s">
        <v>34</v>
      </c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578"/>
      <c r="N15" s="63"/>
      <c r="P15" s="762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3"/>
      <c r="R17" s="793"/>
      <c r="S17" s="793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92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65"/>
      <c r="E18" s="566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65"/>
      <c r="Q18" s="794"/>
      <c r="R18" s="794"/>
      <c r="S18" s="794"/>
      <c r="T18" s="566"/>
      <c r="U18" s="67" t="s">
        <v>61</v>
      </c>
      <c r="V18" s="67" t="s">
        <v>62</v>
      </c>
      <c r="W18" s="572"/>
      <c r="X18" s="572"/>
      <c r="Y18" s="580"/>
      <c r="Z18" s="693"/>
      <c r="AA18" s="702"/>
      <c r="AB18" s="702"/>
      <c r="AC18" s="702"/>
      <c r="AD18" s="617"/>
      <c r="AE18" s="618"/>
      <c r="AF18" s="619"/>
      <c r="AG18" s="66"/>
      <c r="BD18" s="65"/>
    </row>
    <row r="19" spans="1:68" ht="27.75" hidden="1" customHeight="1" x14ac:dyDescent="0.2">
      <c r="A19" s="669" t="s">
        <v>63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48"/>
      <c r="AB19" s="48"/>
      <c r="AC19" s="48"/>
    </row>
    <row r="20" spans="1:68" ht="16.5" hidden="1" customHeight="1" x14ac:dyDescent="0.25">
      <c r="A20" s="590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40"/>
      <c r="AB20" s="540"/>
      <c r="AC20" s="540"/>
    </row>
    <row r="21" spans="1:68" ht="14.25" hidden="1" customHeight="1" x14ac:dyDescent="0.25">
      <c r="A21" s="554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9"/>
      <c r="R22" s="559"/>
      <c r="S22" s="559"/>
      <c r="T22" s="560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9"/>
      <c r="R23" s="559"/>
      <c r="S23" s="559"/>
      <c r="T23" s="560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7"/>
      <c r="P24" s="551" t="s">
        <v>75</v>
      </c>
      <c r="Q24" s="552"/>
      <c r="R24" s="552"/>
      <c r="S24" s="552"/>
      <c r="T24" s="552"/>
      <c r="U24" s="552"/>
      <c r="V24" s="55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7"/>
      <c r="P25" s="551" t="s">
        <v>75</v>
      </c>
      <c r="Q25" s="552"/>
      <c r="R25" s="552"/>
      <c r="S25" s="552"/>
      <c r="T25" s="552"/>
      <c r="U25" s="552"/>
      <c r="V25" s="55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4" t="s">
        <v>77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9"/>
      <c r="R27" s="559"/>
      <c r="S27" s="559"/>
      <c r="T27" s="560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9"/>
      <c r="R28" s="559"/>
      <c r="S28" s="559"/>
      <c r="T28" s="560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9"/>
      <c r="R29" s="559"/>
      <c r="S29" s="559"/>
      <c r="T29" s="560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9"/>
      <c r="R30" s="559"/>
      <c r="S30" s="559"/>
      <c r="T30" s="560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7"/>
      <c r="P31" s="551" t="s">
        <v>75</v>
      </c>
      <c r="Q31" s="552"/>
      <c r="R31" s="552"/>
      <c r="S31" s="552"/>
      <c r="T31" s="552"/>
      <c r="U31" s="552"/>
      <c r="V31" s="55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7"/>
      <c r="P32" s="551" t="s">
        <v>75</v>
      </c>
      <c r="Q32" s="552"/>
      <c r="R32" s="552"/>
      <c r="S32" s="552"/>
      <c r="T32" s="552"/>
      <c r="U32" s="552"/>
      <c r="V32" s="55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4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61">
        <v>4607091388503</v>
      </c>
      <c r="E34" s="562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9"/>
      <c r="R34" s="559"/>
      <c r="S34" s="559"/>
      <c r="T34" s="560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7"/>
      <c r="P35" s="551" t="s">
        <v>75</v>
      </c>
      <c r="Q35" s="552"/>
      <c r="R35" s="552"/>
      <c r="S35" s="552"/>
      <c r="T35" s="552"/>
      <c r="U35" s="552"/>
      <c r="V35" s="55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7"/>
      <c r="P36" s="551" t="s">
        <v>75</v>
      </c>
      <c r="Q36" s="552"/>
      <c r="R36" s="552"/>
      <c r="S36" s="552"/>
      <c r="T36" s="552"/>
      <c r="U36" s="552"/>
      <c r="V36" s="55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69" t="s">
        <v>97</v>
      </c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  <c r="AA37" s="48"/>
      <c r="AB37" s="48"/>
      <c r="AC37" s="48"/>
    </row>
    <row r="38" spans="1:68" ht="16.5" hidden="1" customHeight="1" x14ac:dyDescent="0.25">
      <c r="A38" s="590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40"/>
      <c r="AB38" s="540"/>
      <c r="AC38" s="540"/>
    </row>
    <row r="39" spans="1:68" ht="14.25" hidden="1" customHeight="1" x14ac:dyDescent="0.25">
      <c r="A39" s="554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61">
        <v>4607091385670</v>
      </c>
      <c r="E40" s="562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9"/>
      <c r="R40" s="559"/>
      <c r="S40" s="559"/>
      <c r="T40" s="560"/>
      <c r="U40" s="34"/>
      <c r="V40" s="34"/>
      <c r="W40" s="35" t="s">
        <v>69</v>
      </c>
      <c r="X40" s="545">
        <v>117</v>
      </c>
      <c r="Y40" s="546">
        <f>IFERROR(IF(X40="",0,CEILING((X40/$H40),1)*$H40),"")</f>
        <v>118.80000000000001</v>
      </c>
      <c r="Z40" s="36">
        <f>IFERROR(IF(Y40=0,"",ROUNDUP(Y40/H40,0)*0.01898),"")</f>
        <v>0.20877999999999999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121.44166666666668</v>
      </c>
      <c r="BN40" s="64">
        <f>IFERROR(Y40*I40/H40,"0")</f>
        <v>123.31000000000002</v>
      </c>
      <c r="BO40" s="64">
        <f>IFERROR(1/J40*(X40/H40),"0")</f>
        <v>0.16927083333333331</v>
      </c>
      <c r="BP40" s="64">
        <f>IFERROR(1/J40*(Y40/H40),"0")</f>
        <v>0.171875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61">
        <v>4607091385687</v>
      </c>
      <c r="E41" s="562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9"/>
      <c r="R41" s="559"/>
      <c r="S41" s="559"/>
      <c r="T41" s="560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1">
        <v>4680115882539</v>
      </c>
      <c r="E42" s="562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9"/>
      <c r="R42" s="559"/>
      <c r="S42" s="559"/>
      <c r="T42" s="560"/>
      <c r="U42" s="34"/>
      <c r="V42" s="34"/>
      <c r="W42" s="35" t="s">
        <v>69</v>
      </c>
      <c r="X42" s="545">
        <v>165</v>
      </c>
      <c r="Y42" s="546">
        <f>IFERROR(IF(X42="",0,CEILING((X42/$H42),1)*$H42),"")</f>
        <v>166.5</v>
      </c>
      <c r="Z42" s="36">
        <f>IFERROR(IF(Y42=0,"",ROUNDUP(Y42/H42,0)*0.00902),"")</f>
        <v>0.40590000000000004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173.47297297297297</v>
      </c>
      <c r="BN42" s="64">
        <f>IFERROR(Y42*I42/H42,"0")</f>
        <v>175.05</v>
      </c>
      <c r="BO42" s="64">
        <f>IFERROR(1/J42*(X42/H42),"0")</f>
        <v>0.33783783783783783</v>
      </c>
      <c r="BP42" s="64">
        <f>IFERROR(1/J42*(Y42/H42),"0")</f>
        <v>0.34090909090909094</v>
      </c>
    </row>
    <row r="43" spans="1:68" x14ac:dyDescent="0.2">
      <c r="A43" s="556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7"/>
      <c r="P43" s="551" t="s">
        <v>75</v>
      </c>
      <c r="Q43" s="552"/>
      <c r="R43" s="552"/>
      <c r="S43" s="552"/>
      <c r="T43" s="552"/>
      <c r="U43" s="552"/>
      <c r="V43" s="553"/>
      <c r="W43" s="37" t="s">
        <v>76</v>
      </c>
      <c r="X43" s="547">
        <f>IFERROR(X40/H40,"0")+IFERROR(X41/H41,"0")+IFERROR(X42/H42,"0")</f>
        <v>55.427927927927925</v>
      </c>
      <c r="Y43" s="547">
        <f>IFERROR(Y40/H40,"0")+IFERROR(Y41/H41,"0")+IFERROR(Y42/H42,"0")</f>
        <v>56</v>
      </c>
      <c r="Z43" s="547">
        <f>IFERROR(IF(Z40="",0,Z40),"0")+IFERROR(IF(Z41="",0,Z41),"0")+IFERROR(IF(Z42="",0,Z42),"0")</f>
        <v>0.61468</v>
      </c>
      <c r="AA43" s="548"/>
      <c r="AB43" s="548"/>
      <c r="AC43" s="548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7"/>
      <c r="P44" s="551" t="s">
        <v>75</v>
      </c>
      <c r="Q44" s="552"/>
      <c r="R44" s="552"/>
      <c r="S44" s="552"/>
      <c r="T44" s="552"/>
      <c r="U44" s="552"/>
      <c r="V44" s="553"/>
      <c r="W44" s="37" t="s">
        <v>69</v>
      </c>
      <c r="X44" s="547">
        <f>IFERROR(SUM(X40:X42),"0")</f>
        <v>282</v>
      </c>
      <c r="Y44" s="547">
        <f>IFERROR(SUM(Y40:Y42),"0")</f>
        <v>285.3</v>
      </c>
      <c r="Z44" s="37"/>
      <c r="AA44" s="548"/>
      <c r="AB44" s="548"/>
      <c r="AC44" s="548"/>
    </row>
    <row r="45" spans="1:68" ht="14.25" hidden="1" customHeight="1" x14ac:dyDescent="0.25">
      <c r="A45" s="554" t="s">
        <v>77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61">
        <v>4680115884915</v>
      </c>
      <c r="E46" s="562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9"/>
      <c r="R46" s="559"/>
      <c r="S46" s="559"/>
      <c r="T46" s="560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7"/>
      <c r="P47" s="551" t="s">
        <v>75</v>
      </c>
      <c r="Q47" s="552"/>
      <c r="R47" s="552"/>
      <c r="S47" s="552"/>
      <c r="T47" s="552"/>
      <c r="U47" s="552"/>
      <c r="V47" s="55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7"/>
      <c r="P48" s="551" t="s">
        <v>75</v>
      </c>
      <c r="Q48" s="552"/>
      <c r="R48" s="552"/>
      <c r="S48" s="552"/>
      <c r="T48" s="552"/>
      <c r="U48" s="552"/>
      <c r="V48" s="55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90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40"/>
      <c r="AB49" s="540"/>
      <c r="AC49" s="540"/>
    </row>
    <row r="50" spans="1:68" ht="14.25" hidden="1" customHeight="1" x14ac:dyDescent="0.25">
      <c r="A50" s="554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61">
        <v>4680115885882</v>
      </c>
      <c r="E51" s="562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9"/>
      <c r="R51" s="559"/>
      <c r="S51" s="559"/>
      <c r="T51" s="560"/>
      <c r="U51" s="34"/>
      <c r="V51" s="34"/>
      <c r="W51" s="35" t="s">
        <v>69</v>
      </c>
      <c r="X51" s="545">
        <v>184</v>
      </c>
      <c r="Y51" s="546">
        <f t="shared" ref="Y51:Y56" si="0">IFERROR(IF(X51="",0,CEILING((X51/$H51),1)*$H51),"")</f>
        <v>190.39999999999998</v>
      </c>
      <c r="Z51" s="36">
        <f>IFERROR(IF(Y51=0,"",ROUNDUP(Y51/H51,0)*0.01898),"")</f>
        <v>0.32266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190.73571428571427</v>
      </c>
      <c r="BN51" s="64">
        <f t="shared" ref="BN51:BN56" si="2">IFERROR(Y51*I51/H51,"0")</f>
        <v>197.36999999999995</v>
      </c>
      <c r="BO51" s="64">
        <f t="shared" ref="BO51:BO56" si="3">IFERROR(1/J51*(X51/H51),"0")</f>
        <v>0.2566964285714286</v>
      </c>
      <c r="BP51" s="64">
        <f t="shared" ref="BP51:BP56" si="4">IFERROR(1/J51*(Y51/H51),"0")</f>
        <v>0.265625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61">
        <v>4680115881426</v>
      </c>
      <c r="E52" s="562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8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9"/>
      <c r="R52" s="559"/>
      <c r="S52" s="559"/>
      <c r="T52" s="560"/>
      <c r="U52" s="34"/>
      <c r="V52" s="34"/>
      <c r="W52" s="35" t="s">
        <v>69</v>
      </c>
      <c r="X52" s="545">
        <v>124</v>
      </c>
      <c r="Y52" s="546">
        <f t="shared" si="0"/>
        <v>129.60000000000002</v>
      </c>
      <c r="Z52" s="36">
        <f>IFERROR(IF(Y52=0,"",ROUNDUP(Y52/H52,0)*0.01898),"")</f>
        <v>0.22776000000000002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128.70740740740743</v>
      </c>
      <c r="BN52" s="64">
        <f t="shared" si="2"/>
        <v>134.52000000000001</v>
      </c>
      <c r="BO52" s="64">
        <f t="shared" si="3"/>
        <v>0.17939814814814814</v>
      </c>
      <c r="BP52" s="64">
        <f t="shared" si="4"/>
        <v>0.18750000000000003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61">
        <v>4680115880283</v>
      </c>
      <c r="E53" s="562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9"/>
      <c r="R53" s="559"/>
      <c r="S53" s="559"/>
      <c r="T53" s="560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61">
        <v>4680115881525</v>
      </c>
      <c r="E54" s="562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9"/>
      <c r="R54" s="559"/>
      <c r="S54" s="559"/>
      <c r="T54" s="560"/>
      <c r="U54" s="34"/>
      <c r="V54" s="34"/>
      <c r="W54" s="35" t="s">
        <v>69</v>
      </c>
      <c r="X54" s="545">
        <v>127</v>
      </c>
      <c r="Y54" s="546">
        <f t="shared" si="0"/>
        <v>128</v>
      </c>
      <c r="Z54" s="36">
        <f>IFERROR(IF(Y54=0,"",ROUNDUP(Y54/H54,0)*0.00902),"")</f>
        <v>0.28864000000000001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133.0325</v>
      </c>
      <c r="BN54" s="64">
        <f t="shared" si="2"/>
        <v>134.08000000000001</v>
      </c>
      <c r="BO54" s="64">
        <f t="shared" si="3"/>
        <v>0.24053030303030304</v>
      </c>
      <c r="BP54" s="64">
        <f t="shared" si="4"/>
        <v>0.24242424242424243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61">
        <v>4680115885899</v>
      </c>
      <c r="E55" s="562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9"/>
      <c r="R55" s="559"/>
      <c r="S55" s="559"/>
      <c r="T55" s="560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61">
        <v>4680115881419</v>
      </c>
      <c r="E56" s="562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9"/>
      <c r="R56" s="559"/>
      <c r="S56" s="559"/>
      <c r="T56" s="560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6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7"/>
      <c r="P57" s="551" t="s">
        <v>75</v>
      </c>
      <c r="Q57" s="552"/>
      <c r="R57" s="552"/>
      <c r="S57" s="552"/>
      <c r="T57" s="552"/>
      <c r="U57" s="552"/>
      <c r="V57" s="553"/>
      <c r="W57" s="37" t="s">
        <v>76</v>
      </c>
      <c r="X57" s="547">
        <f>IFERROR(X51/H51,"0")+IFERROR(X52/H52,"0")+IFERROR(X53/H53,"0")+IFERROR(X54/H54,"0")+IFERROR(X55/H55,"0")+IFERROR(X56/H56,"0")</f>
        <v>59.660052910052912</v>
      </c>
      <c r="Y57" s="547">
        <f>IFERROR(Y51/H51,"0")+IFERROR(Y52/H52,"0")+IFERROR(Y53/H53,"0")+IFERROR(Y54/H54,"0")+IFERROR(Y55/H55,"0")+IFERROR(Y56/H56,"0")</f>
        <v>61</v>
      </c>
      <c r="Z57" s="547">
        <f>IFERROR(IF(Z51="",0,Z51),"0")+IFERROR(IF(Z52="",0,Z52),"0")+IFERROR(IF(Z53="",0,Z53),"0")+IFERROR(IF(Z54="",0,Z54),"0")+IFERROR(IF(Z55="",0,Z55),"0")+IFERROR(IF(Z56="",0,Z56),"0")</f>
        <v>0.83906000000000003</v>
      </c>
      <c r="AA57" s="548"/>
      <c r="AB57" s="548"/>
      <c r="AC57" s="548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7"/>
      <c r="P58" s="551" t="s">
        <v>75</v>
      </c>
      <c r="Q58" s="552"/>
      <c r="R58" s="552"/>
      <c r="S58" s="552"/>
      <c r="T58" s="552"/>
      <c r="U58" s="552"/>
      <c r="V58" s="553"/>
      <c r="W58" s="37" t="s">
        <v>69</v>
      </c>
      <c r="X58" s="547">
        <f>IFERROR(SUM(X51:X56),"0")</f>
        <v>435</v>
      </c>
      <c r="Y58" s="547">
        <f>IFERROR(SUM(Y51:Y56),"0")</f>
        <v>448</v>
      </c>
      <c r="Z58" s="37"/>
      <c r="AA58" s="548"/>
      <c r="AB58" s="548"/>
      <c r="AC58" s="548"/>
    </row>
    <row r="59" spans="1:68" ht="14.25" hidden="1" customHeight="1" x14ac:dyDescent="0.25">
      <c r="A59" s="554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61">
        <v>4680115881440</v>
      </c>
      <c r="E60" s="562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9"/>
      <c r="R60" s="559"/>
      <c r="S60" s="559"/>
      <c r="T60" s="560"/>
      <c r="U60" s="34"/>
      <c r="V60" s="34"/>
      <c r="W60" s="35" t="s">
        <v>69</v>
      </c>
      <c r="X60" s="545">
        <v>148</v>
      </c>
      <c r="Y60" s="546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153.61851851851853</v>
      </c>
      <c r="BN60" s="64">
        <f>IFERROR(Y60*I60/H60,"0")</f>
        <v>156.94</v>
      </c>
      <c r="BO60" s="64">
        <f>IFERROR(1/J60*(X60/H60),"0")</f>
        <v>0.21412037037037035</v>
      </c>
      <c r="BP60" s="64">
        <f>IFERROR(1/J60*(Y60/H60),"0")</f>
        <v>0.21875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61">
        <v>4680115885950</v>
      </c>
      <c r="E61" s="562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9"/>
      <c r="R61" s="559"/>
      <c r="S61" s="559"/>
      <c r="T61" s="560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61">
        <v>4680115881433</v>
      </c>
      <c r="E62" s="562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0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9"/>
      <c r="R62" s="559"/>
      <c r="S62" s="559"/>
      <c r="T62" s="560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7"/>
      <c r="P63" s="551" t="s">
        <v>75</v>
      </c>
      <c r="Q63" s="552"/>
      <c r="R63" s="552"/>
      <c r="S63" s="552"/>
      <c r="T63" s="552"/>
      <c r="U63" s="552"/>
      <c r="V63" s="553"/>
      <c r="W63" s="37" t="s">
        <v>76</v>
      </c>
      <c r="X63" s="547">
        <f>IFERROR(X60/H60,"0")+IFERROR(X61/H61,"0")+IFERROR(X62/H62,"0")</f>
        <v>13.703703703703702</v>
      </c>
      <c r="Y63" s="547">
        <f>IFERROR(Y60/H60,"0")+IFERROR(Y61/H61,"0")+IFERROR(Y62/H62,"0")</f>
        <v>14</v>
      </c>
      <c r="Z63" s="547">
        <f>IFERROR(IF(Z60="",0,Z60),"0")+IFERROR(IF(Z61="",0,Z61),"0")+IFERROR(IF(Z62="",0,Z62),"0")</f>
        <v>0.26572000000000001</v>
      </c>
      <c r="AA63" s="548"/>
      <c r="AB63" s="548"/>
      <c r="AC63" s="548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7"/>
      <c r="P64" s="551" t="s">
        <v>75</v>
      </c>
      <c r="Q64" s="552"/>
      <c r="R64" s="552"/>
      <c r="S64" s="552"/>
      <c r="T64" s="552"/>
      <c r="U64" s="552"/>
      <c r="V64" s="553"/>
      <c r="W64" s="37" t="s">
        <v>69</v>
      </c>
      <c r="X64" s="547">
        <f>IFERROR(SUM(X60:X62),"0")</f>
        <v>148</v>
      </c>
      <c r="Y64" s="547">
        <f>IFERROR(SUM(Y60:Y62),"0")</f>
        <v>151.20000000000002</v>
      </c>
      <c r="Z64" s="37"/>
      <c r="AA64" s="548"/>
      <c r="AB64" s="548"/>
      <c r="AC64" s="548"/>
    </row>
    <row r="65" spans="1:68" ht="14.25" hidden="1" customHeight="1" x14ac:dyDescent="0.25">
      <c r="A65" s="554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61">
        <v>4680115885073</v>
      </c>
      <c r="E66" s="562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9"/>
      <c r="R66" s="559"/>
      <c r="S66" s="559"/>
      <c r="T66" s="560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61">
        <v>4680115885097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9"/>
      <c r="R67" s="559"/>
      <c r="S67" s="559"/>
      <c r="T67" s="560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5"/>
      <c r="C68" s="555"/>
      <c r="D68" s="555"/>
      <c r="E68" s="555"/>
      <c r="F68" s="555"/>
      <c r="G68" s="555"/>
      <c r="H68" s="555"/>
      <c r="I68" s="555"/>
      <c r="J68" s="555"/>
      <c r="K68" s="555"/>
      <c r="L68" s="555"/>
      <c r="M68" s="555"/>
      <c r="N68" s="555"/>
      <c r="O68" s="557"/>
      <c r="P68" s="551" t="s">
        <v>75</v>
      </c>
      <c r="Q68" s="552"/>
      <c r="R68" s="552"/>
      <c r="S68" s="552"/>
      <c r="T68" s="552"/>
      <c r="U68" s="552"/>
      <c r="V68" s="55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7"/>
      <c r="P69" s="551" t="s">
        <v>75</v>
      </c>
      <c r="Q69" s="552"/>
      <c r="R69" s="552"/>
      <c r="S69" s="552"/>
      <c r="T69" s="552"/>
      <c r="U69" s="552"/>
      <c r="V69" s="55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4" t="s">
        <v>77</v>
      </c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  <c r="W70" s="555"/>
      <c r="X70" s="555"/>
      <c r="Y70" s="555"/>
      <c r="Z70" s="555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61">
        <v>4680115885769</v>
      </c>
      <c r="E71" s="562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9"/>
      <c r="R71" s="559"/>
      <c r="S71" s="559"/>
      <c r="T71" s="560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61">
        <v>4680115884311</v>
      </c>
      <c r="E72" s="562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59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9"/>
      <c r="R72" s="559"/>
      <c r="S72" s="559"/>
      <c r="T72" s="560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61">
        <v>4680115885929</v>
      </c>
      <c r="E73" s="562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9"/>
      <c r="R73" s="559"/>
      <c r="S73" s="559"/>
      <c r="T73" s="560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61">
        <v>4680115884403</v>
      </c>
      <c r="E74" s="562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9"/>
      <c r="R74" s="559"/>
      <c r="S74" s="559"/>
      <c r="T74" s="560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7"/>
      <c r="P75" s="551" t="s">
        <v>75</v>
      </c>
      <c r="Q75" s="552"/>
      <c r="R75" s="552"/>
      <c r="S75" s="552"/>
      <c r="T75" s="552"/>
      <c r="U75" s="552"/>
      <c r="V75" s="55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7"/>
      <c r="P76" s="551" t="s">
        <v>75</v>
      </c>
      <c r="Q76" s="552"/>
      <c r="R76" s="552"/>
      <c r="S76" s="552"/>
      <c r="T76" s="552"/>
      <c r="U76" s="552"/>
      <c r="V76" s="55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4" t="s">
        <v>160</v>
      </c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5"/>
      <c r="P77" s="555"/>
      <c r="Q77" s="555"/>
      <c r="R77" s="555"/>
      <c r="S77" s="555"/>
      <c r="T77" s="555"/>
      <c r="U77" s="555"/>
      <c r="V77" s="555"/>
      <c r="W77" s="555"/>
      <c r="X77" s="555"/>
      <c r="Y77" s="555"/>
      <c r="Z77" s="555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61">
        <v>4680115881532</v>
      </c>
      <c r="E78" s="562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9"/>
      <c r="R78" s="559"/>
      <c r="S78" s="559"/>
      <c r="T78" s="560"/>
      <c r="U78" s="34"/>
      <c r="V78" s="34"/>
      <c r="W78" s="35" t="s">
        <v>69</v>
      </c>
      <c r="X78" s="545">
        <v>46</v>
      </c>
      <c r="Y78" s="546">
        <f>IFERROR(IF(X78="",0,CEILING((X78/$H78),1)*$H78),"")</f>
        <v>46.8</v>
      </c>
      <c r="Z78" s="36">
        <f>IFERROR(IF(Y78=0,"",ROUNDUP(Y78/H78,0)*0.01898),"")</f>
        <v>0.11388000000000001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48.417948717948725</v>
      </c>
      <c r="BN78" s="64">
        <f>IFERROR(Y78*I78/H78,"0")</f>
        <v>49.260000000000005</v>
      </c>
      <c r="BO78" s="64">
        <f>IFERROR(1/J78*(X78/H78),"0")</f>
        <v>9.2147435897435903E-2</v>
      </c>
      <c r="BP78" s="64">
        <f>IFERROR(1/J78*(Y78/H78),"0")</f>
        <v>9.375E-2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61">
        <v>4680115881464</v>
      </c>
      <c r="E79" s="562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9"/>
      <c r="R79" s="559"/>
      <c r="S79" s="559"/>
      <c r="T79" s="560"/>
      <c r="U79" s="34"/>
      <c r="V79" s="34"/>
      <c r="W79" s="35" t="s">
        <v>69</v>
      </c>
      <c r="X79" s="545">
        <v>25</v>
      </c>
      <c r="Y79" s="546">
        <f>IFERROR(IF(X79="",0,CEILING((X79/$H79),1)*$H79),"")</f>
        <v>26.4</v>
      </c>
      <c r="Z79" s="36">
        <f>IFERROR(IF(Y79=0,"",ROUNDUP(Y79/H79,0)*0.00902),"")</f>
        <v>9.9220000000000003E-2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26.979166666666668</v>
      </c>
      <c r="BN79" s="64">
        <f>IFERROR(Y79*I79/H79,"0")</f>
        <v>28.49</v>
      </c>
      <c r="BO79" s="64">
        <f>IFERROR(1/J79*(X79/H79),"0")</f>
        <v>7.8914141414141423E-2</v>
      </c>
      <c r="BP79" s="64">
        <f>IFERROR(1/J79*(Y79/H79),"0")</f>
        <v>8.3333333333333343E-2</v>
      </c>
    </row>
    <row r="80" spans="1:68" x14ac:dyDescent="0.2">
      <c r="A80" s="556"/>
      <c r="B80" s="555"/>
      <c r="C80" s="555"/>
      <c r="D80" s="555"/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7"/>
      <c r="P80" s="551" t="s">
        <v>75</v>
      </c>
      <c r="Q80" s="552"/>
      <c r="R80" s="552"/>
      <c r="S80" s="552"/>
      <c r="T80" s="552"/>
      <c r="U80" s="552"/>
      <c r="V80" s="553"/>
      <c r="W80" s="37" t="s">
        <v>76</v>
      </c>
      <c r="X80" s="547">
        <f>IFERROR(X78/H78,"0")+IFERROR(X79/H79,"0")</f>
        <v>16.314102564102566</v>
      </c>
      <c r="Y80" s="547">
        <f>IFERROR(Y78/H78,"0")+IFERROR(Y79/H79,"0")</f>
        <v>17</v>
      </c>
      <c r="Z80" s="547">
        <f>IFERROR(IF(Z78="",0,Z78),"0")+IFERROR(IF(Z79="",0,Z79),"0")</f>
        <v>0.21310000000000001</v>
      </c>
      <c r="AA80" s="548"/>
      <c r="AB80" s="548"/>
      <c r="AC80" s="548"/>
    </row>
    <row r="81" spans="1:68" x14ac:dyDescent="0.2">
      <c r="A81" s="55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7"/>
      <c r="P81" s="551" t="s">
        <v>75</v>
      </c>
      <c r="Q81" s="552"/>
      <c r="R81" s="552"/>
      <c r="S81" s="552"/>
      <c r="T81" s="552"/>
      <c r="U81" s="552"/>
      <c r="V81" s="553"/>
      <c r="W81" s="37" t="s">
        <v>69</v>
      </c>
      <c r="X81" s="547">
        <f>IFERROR(SUM(X78:X79),"0")</f>
        <v>71</v>
      </c>
      <c r="Y81" s="547">
        <f>IFERROR(SUM(Y78:Y79),"0")</f>
        <v>73.199999999999989</v>
      </c>
      <c r="Z81" s="37"/>
      <c r="AA81" s="548"/>
      <c r="AB81" s="548"/>
      <c r="AC81" s="548"/>
    </row>
    <row r="82" spans="1:68" ht="16.5" hidden="1" customHeight="1" x14ac:dyDescent="0.25">
      <c r="A82" s="590" t="s">
        <v>167</v>
      </c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5"/>
      <c r="V82" s="555"/>
      <c r="W82" s="555"/>
      <c r="X82" s="555"/>
      <c r="Y82" s="555"/>
      <c r="Z82" s="555"/>
      <c r="AA82" s="540"/>
      <c r="AB82" s="540"/>
      <c r="AC82" s="540"/>
    </row>
    <row r="83" spans="1:68" ht="14.25" hidden="1" customHeight="1" x14ac:dyDescent="0.25">
      <c r="A83" s="554" t="s">
        <v>99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61">
        <v>4680115881327</v>
      </c>
      <c r="E84" s="562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9"/>
      <c r="R84" s="559"/>
      <c r="S84" s="559"/>
      <c r="T84" s="560"/>
      <c r="U84" s="34"/>
      <c r="V84" s="34"/>
      <c r="W84" s="35" t="s">
        <v>69</v>
      </c>
      <c r="X84" s="545">
        <v>272</v>
      </c>
      <c r="Y84" s="546">
        <f>IFERROR(IF(X84="",0,CEILING((X84/$H84),1)*$H84),"")</f>
        <v>280.8</v>
      </c>
      <c r="Z84" s="36">
        <f>IFERROR(IF(Y84=0,"",ROUNDUP(Y84/H84,0)*0.01898),"")</f>
        <v>0.49348000000000003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282.32592592592596</v>
      </c>
      <c r="BN84" s="64">
        <f>IFERROR(Y84*I84/H84,"0")</f>
        <v>291.46000000000004</v>
      </c>
      <c r="BO84" s="64">
        <f>IFERROR(1/J84*(X84/H84),"0")</f>
        <v>0.39351851851851849</v>
      </c>
      <c r="BP84" s="64">
        <f>IFERROR(1/J84*(Y84/H84),"0")</f>
        <v>0.40625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61">
        <v>4680115887732</v>
      </c>
      <c r="E85" s="562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9"/>
      <c r="R85" s="559"/>
      <c r="S85" s="559"/>
      <c r="T85" s="560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61">
        <v>4680115881518</v>
      </c>
      <c r="E86" s="562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9"/>
      <c r="R86" s="559"/>
      <c r="S86" s="559"/>
      <c r="T86" s="560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61">
        <v>4680115881303</v>
      </c>
      <c r="E87" s="562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9"/>
      <c r="R87" s="559"/>
      <c r="S87" s="559"/>
      <c r="T87" s="560"/>
      <c r="U87" s="34"/>
      <c r="V87" s="34"/>
      <c r="W87" s="35" t="s">
        <v>69</v>
      </c>
      <c r="X87" s="545">
        <v>229</v>
      </c>
      <c r="Y87" s="546">
        <f>IFERROR(IF(X87="",0,CEILING((X87/$H87),1)*$H87),"")</f>
        <v>229.5</v>
      </c>
      <c r="Z87" s="36">
        <f>IFERROR(IF(Y87=0,"",ROUNDUP(Y87/H87,0)*0.00902),"")</f>
        <v>0.46001999999999998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238.66888888888889</v>
      </c>
      <c r="BN87" s="64">
        <f>IFERROR(Y87*I87/H87,"0")</f>
        <v>239.19</v>
      </c>
      <c r="BO87" s="64">
        <f>IFERROR(1/J87*(X87/H87),"0")</f>
        <v>0.38552188552188549</v>
      </c>
      <c r="BP87" s="64">
        <f>IFERROR(1/J87*(Y87/H87),"0")</f>
        <v>0.38636363636363635</v>
      </c>
    </row>
    <row r="88" spans="1:68" x14ac:dyDescent="0.2">
      <c r="A88" s="556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7"/>
      <c r="P88" s="551" t="s">
        <v>75</v>
      </c>
      <c r="Q88" s="552"/>
      <c r="R88" s="552"/>
      <c r="S88" s="552"/>
      <c r="T88" s="552"/>
      <c r="U88" s="552"/>
      <c r="V88" s="553"/>
      <c r="W88" s="37" t="s">
        <v>76</v>
      </c>
      <c r="X88" s="547">
        <f>IFERROR(X84/H84,"0")+IFERROR(X85/H85,"0")+IFERROR(X86/H86,"0")+IFERROR(X87/H87,"0")</f>
        <v>76.074074074074076</v>
      </c>
      <c r="Y88" s="547">
        <f>IFERROR(Y84/H84,"0")+IFERROR(Y85/H85,"0")+IFERROR(Y86/H86,"0")+IFERROR(Y87/H87,"0")</f>
        <v>77</v>
      </c>
      <c r="Z88" s="547">
        <f>IFERROR(IF(Z84="",0,Z84),"0")+IFERROR(IF(Z85="",0,Z85),"0")+IFERROR(IF(Z86="",0,Z86),"0")+IFERROR(IF(Z87="",0,Z87),"0")</f>
        <v>0.95350000000000001</v>
      </c>
      <c r="AA88" s="548"/>
      <c r="AB88" s="548"/>
      <c r="AC88" s="548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7"/>
      <c r="P89" s="551" t="s">
        <v>75</v>
      </c>
      <c r="Q89" s="552"/>
      <c r="R89" s="552"/>
      <c r="S89" s="552"/>
      <c r="T89" s="552"/>
      <c r="U89" s="552"/>
      <c r="V89" s="553"/>
      <c r="W89" s="37" t="s">
        <v>69</v>
      </c>
      <c r="X89" s="547">
        <f>IFERROR(SUM(X84:X87),"0")</f>
        <v>501</v>
      </c>
      <c r="Y89" s="547">
        <f>IFERROR(SUM(Y84:Y87),"0")</f>
        <v>510.3</v>
      </c>
      <c r="Z89" s="37"/>
      <c r="AA89" s="548"/>
      <c r="AB89" s="548"/>
      <c r="AC89" s="548"/>
    </row>
    <row r="90" spans="1:68" ht="14.25" hidden="1" customHeight="1" x14ac:dyDescent="0.25">
      <c r="A90" s="554" t="s">
        <v>77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61">
        <v>4607091386967</v>
      </c>
      <c r="E91" s="562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9"/>
      <c r="R91" s="559"/>
      <c r="S91" s="559"/>
      <c r="T91" s="560"/>
      <c r="U91" s="34"/>
      <c r="V91" s="34"/>
      <c r="W91" s="35" t="s">
        <v>69</v>
      </c>
      <c r="X91" s="545">
        <v>106</v>
      </c>
      <c r="Y91" s="546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112.46469135802469</v>
      </c>
      <c r="BN91" s="64">
        <f>IFERROR(Y91*I91/H91,"0")</f>
        <v>120.31599999999999</v>
      </c>
      <c r="BO91" s="64">
        <f>IFERROR(1/J91*(X91/H91),"0")</f>
        <v>0.20447530864197533</v>
      </c>
      <c r="BP91" s="64">
        <f>IFERROR(1/J91*(Y91/H91),"0")</f>
        <v>0.21875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61">
        <v>4680115884953</v>
      </c>
      <c r="E92" s="562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9"/>
      <c r="R92" s="559"/>
      <c r="S92" s="559"/>
      <c r="T92" s="560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61">
        <v>4607091385731</v>
      </c>
      <c r="E93" s="562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9"/>
      <c r="R93" s="559"/>
      <c r="S93" s="559"/>
      <c r="T93" s="560"/>
      <c r="U93" s="34"/>
      <c r="V93" s="34"/>
      <c r="W93" s="35" t="s">
        <v>69</v>
      </c>
      <c r="X93" s="545">
        <v>129</v>
      </c>
      <c r="Y93" s="546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61">
        <v>4680115880894</v>
      </c>
      <c r="E94" s="562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9"/>
      <c r="R94" s="559"/>
      <c r="S94" s="559"/>
      <c r="T94" s="560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7"/>
      <c r="P95" s="551" t="s">
        <v>75</v>
      </c>
      <c r="Q95" s="552"/>
      <c r="R95" s="552"/>
      <c r="S95" s="552"/>
      <c r="T95" s="552"/>
      <c r="U95" s="552"/>
      <c r="V95" s="553"/>
      <c r="W95" s="37" t="s">
        <v>76</v>
      </c>
      <c r="X95" s="547">
        <f>IFERROR(X91/H91,"0")+IFERROR(X92/H92,"0")+IFERROR(X93/H93,"0")+IFERROR(X94/H94,"0")</f>
        <v>60.864197530864189</v>
      </c>
      <c r="Y95" s="547">
        <f>IFERROR(Y91/H91,"0")+IFERROR(Y92/H92,"0")+IFERROR(Y93/H93,"0")+IFERROR(Y94/H94,"0")</f>
        <v>62.000000000000007</v>
      </c>
      <c r="Z95" s="547">
        <f>IFERROR(IF(Z91="",0,Z91),"0")+IFERROR(IF(Z92="",0,Z92),"0")+IFERROR(IF(Z93="",0,Z93),"0")+IFERROR(IF(Z94="",0,Z94),"0")</f>
        <v>0.57820000000000005</v>
      </c>
      <c r="AA95" s="548"/>
      <c r="AB95" s="548"/>
      <c r="AC95" s="548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7"/>
      <c r="P96" s="551" t="s">
        <v>75</v>
      </c>
      <c r="Q96" s="552"/>
      <c r="R96" s="552"/>
      <c r="S96" s="552"/>
      <c r="T96" s="552"/>
      <c r="U96" s="552"/>
      <c r="V96" s="553"/>
      <c r="W96" s="37" t="s">
        <v>69</v>
      </c>
      <c r="X96" s="547">
        <f>IFERROR(SUM(X91:X94),"0")</f>
        <v>235</v>
      </c>
      <c r="Y96" s="547">
        <f>IFERROR(SUM(Y91:Y94),"0")</f>
        <v>243</v>
      </c>
      <c r="Z96" s="37"/>
      <c r="AA96" s="548"/>
      <c r="AB96" s="548"/>
      <c r="AC96" s="548"/>
    </row>
    <row r="97" spans="1:68" ht="16.5" hidden="1" customHeight="1" x14ac:dyDescent="0.25">
      <c r="A97" s="590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40"/>
      <c r="AB97" s="540"/>
      <c r="AC97" s="540"/>
    </row>
    <row r="98" spans="1:68" ht="14.25" hidden="1" customHeight="1" x14ac:dyDescent="0.25">
      <c r="A98" s="554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61">
        <v>4680115882133</v>
      </c>
      <c r="E99" s="562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9"/>
      <c r="R99" s="559"/>
      <c r="S99" s="559"/>
      <c r="T99" s="560"/>
      <c r="U99" s="34"/>
      <c r="V99" s="34"/>
      <c r="W99" s="35" t="s">
        <v>69</v>
      </c>
      <c r="X99" s="545">
        <v>415</v>
      </c>
      <c r="Y99" s="546">
        <f>IFERROR(IF(X99="",0,CEILING((X99/$H99),1)*$H99),"")</f>
        <v>421.20000000000005</v>
      </c>
      <c r="Z99" s="36">
        <f>IFERROR(IF(Y99=0,"",ROUNDUP(Y99/H99,0)*0.01898),"")</f>
        <v>0.74021999999999999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430.75462962962968</v>
      </c>
      <c r="BN99" s="64">
        <f>IFERROR(Y99*I99/H99,"0")</f>
        <v>437.19000000000005</v>
      </c>
      <c r="BO99" s="64">
        <f>IFERROR(1/J99*(X99/H99),"0")</f>
        <v>0.60040509259259256</v>
      </c>
      <c r="BP99" s="64">
        <f>IFERROR(1/J99*(Y99/H99),"0")</f>
        <v>0.609375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61">
        <v>4680115887718</v>
      </c>
      <c r="E100" s="562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9"/>
      <c r="R100" s="559"/>
      <c r="S100" s="559"/>
      <c r="T100" s="560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61">
        <v>4680115880269</v>
      </c>
      <c r="E101" s="562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9"/>
      <c r="R101" s="559"/>
      <c r="S101" s="559"/>
      <c r="T101" s="560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1">
        <v>4680115880429</v>
      </c>
      <c r="E102" s="562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6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9"/>
      <c r="R102" s="559"/>
      <c r="S102" s="559"/>
      <c r="T102" s="560"/>
      <c r="U102" s="34"/>
      <c r="V102" s="34"/>
      <c r="W102" s="35" t="s">
        <v>69</v>
      </c>
      <c r="X102" s="545">
        <v>235</v>
      </c>
      <c r="Y102" s="546">
        <f>IFERROR(IF(X102="",0,CEILING((X102/$H102),1)*$H102),"")</f>
        <v>238.5</v>
      </c>
      <c r="Z102" s="36">
        <f>IFERROR(IF(Y102=0,"",ROUNDUP(Y102/H102,0)*0.00902),"")</f>
        <v>0.47806000000000004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244.92222222222225</v>
      </c>
      <c r="BN102" s="64">
        <f>IFERROR(Y102*I102/H102,"0")</f>
        <v>248.57000000000002</v>
      </c>
      <c r="BO102" s="64">
        <f>IFERROR(1/J102*(X102/H102),"0")</f>
        <v>0.39562289562289565</v>
      </c>
      <c r="BP102" s="64">
        <f>IFERROR(1/J102*(Y102/H102),"0")</f>
        <v>0.40151515151515155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61">
        <v>4680115881457</v>
      </c>
      <c r="E103" s="562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9"/>
      <c r="R103" s="559"/>
      <c r="S103" s="559"/>
      <c r="T103" s="560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7"/>
      <c r="P104" s="551" t="s">
        <v>75</v>
      </c>
      <c r="Q104" s="552"/>
      <c r="R104" s="552"/>
      <c r="S104" s="552"/>
      <c r="T104" s="552"/>
      <c r="U104" s="552"/>
      <c r="V104" s="553"/>
      <c r="W104" s="37" t="s">
        <v>76</v>
      </c>
      <c r="X104" s="547">
        <f>IFERROR(X99/H99,"0")+IFERROR(X100/H100,"0")+IFERROR(X101/H101,"0")+IFERROR(X102/H102,"0")+IFERROR(X103/H103,"0")</f>
        <v>90.648148148148152</v>
      </c>
      <c r="Y104" s="547">
        <f>IFERROR(Y99/H99,"0")+IFERROR(Y100/H100,"0")+IFERROR(Y101/H101,"0")+IFERROR(Y102/H102,"0")+IFERROR(Y103/H103,"0")</f>
        <v>92</v>
      </c>
      <c r="Z104" s="547">
        <f>IFERROR(IF(Z99="",0,Z99),"0")+IFERROR(IF(Z100="",0,Z100),"0")+IFERROR(IF(Z101="",0,Z101),"0")+IFERROR(IF(Z102="",0,Z102),"0")+IFERROR(IF(Z103="",0,Z103),"0")</f>
        <v>1.21828</v>
      </c>
      <c r="AA104" s="548"/>
      <c r="AB104" s="548"/>
      <c r="AC104" s="548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7"/>
      <c r="P105" s="551" t="s">
        <v>75</v>
      </c>
      <c r="Q105" s="552"/>
      <c r="R105" s="552"/>
      <c r="S105" s="552"/>
      <c r="T105" s="552"/>
      <c r="U105" s="552"/>
      <c r="V105" s="553"/>
      <c r="W105" s="37" t="s">
        <v>69</v>
      </c>
      <c r="X105" s="547">
        <f>IFERROR(SUM(X99:X103),"0")</f>
        <v>650</v>
      </c>
      <c r="Y105" s="547">
        <f>IFERROR(SUM(Y99:Y103),"0")</f>
        <v>659.7</v>
      </c>
      <c r="Z105" s="37"/>
      <c r="AA105" s="548"/>
      <c r="AB105" s="548"/>
      <c r="AC105" s="548"/>
    </row>
    <row r="106" spans="1:68" ht="14.25" hidden="1" customHeight="1" x14ac:dyDescent="0.25">
      <c r="A106" s="554" t="s">
        <v>135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1">
        <v>4680115881488</v>
      </c>
      <c r="E107" s="562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63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9"/>
      <c r="R107" s="559"/>
      <c r="S107" s="559"/>
      <c r="T107" s="560"/>
      <c r="U107" s="34"/>
      <c r="V107" s="34"/>
      <c r="W107" s="35" t="s">
        <v>69</v>
      </c>
      <c r="X107" s="545">
        <v>54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56.05</v>
      </c>
      <c r="BN107" s="64">
        <f>IFERROR(Y107*I107/H107,"0")</f>
        <v>56.05</v>
      </c>
      <c r="BO107" s="64">
        <f>IFERROR(1/J107*(X107/H107),"0")</f>
        <v>7.8125E-2</v>
      </c>
      <c r="BP107" s="64">
        <f>IFERROR(1/J107*(Y107/H107),"0")</f>
        <v>7.8125E-2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61">
        <v>4680115887664</v>
      </c>
      <c r="E108" s="562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9"/>
      <c r="R108" s="559"/>
      <c r="S108" s="559"/>
      <c r="T108" s="560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61">
        <v>4680115882775</v>
      </c>
      <c r="E109" s="562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9"/>
      <c r="R109" s="559"/>
      <c r="S109" s="559"/>
      <c r="T109" s="560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61">
        <v>4680115880658</v>
      </c>
      <c r="E110" s="562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6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9"/>
      <c r="R110" s="559"/>
      <c r="S110" s="559"/>
      <c r="T110" s="560"/>
      <c r="U110" s="34"/>
      <c r="V110" s="34"/>
      <c r="W110" s="35" t="s">
        <v>69</v>
      </c>
      <c r="X110" s="545">
        <v>111</v>
      </c>
      <c r="Y110" s="546">
        <f>IFERROR(IF(X110="",0,CEILING((X110/$H110),1)*$H110),"")</f>
        <v>112.8</v>
      </c>
      <c r="Z110" s="36">
        <f>IFERROR(IF(Y110=0,"",ROUNDUP(Y110/H110,0)*0.00651),"")</f>
        <v>0.30597000000000002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119.325</v>
      </c>
      <c r="BN110" s="64">
        <f>IFERROR(Y110*I110/H110,"0")</f>
        <v>121.26</v>
      </c>
      <c r="BO110" s="64">
        <f>IFERROR(1/J110*(X110/H110),"0")</f>
        <v>0.25412087912087916</v>
      </c>
      <c r="BP110" s="64">
        <f>IFERROR(1/J110*(Y110/H110),"0")</f>
        <v>0.25824175824175827</v>
      </c>
    </row>
    <row r="111" spans="1:68" x14ac:dyDescent="0.2">
      <c r="A111" s="556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7"/>
      <c r="P111" s="551" t="s">
        <v>75</v>
      </c>
      <c r="Q111" s="552"/>
      <c r="R111" s="552"/>
      <c r="S111" s="552"/>
      <c r="T111" s="552"/>
      <c r="U111" s="552"/>
      <c r="V111" s="553"/>
      <c r="W111" s="37" t="s">
        <v>76</v>
      </c>
      <c r="X111" s="547">
        <f>IFERROR(X107/H107,"0")+IFERROR(X108/H108,"0")+IFERROR(X109/H109,"0")+IFERROR(X110/H110,"0")</f>
        <v>51.25</v>
      </c>
      <c r="Y111" s="547">
        <f>IFERROR(Y107/H107,"0")+IFERROR(Y108/H108,"0")+IFERROR(Y109/H109,"0")+IFERROR(Y110/H110,"0")</f>
        <v>52</v>
      </c>
      <c r="Z111" s="547">
        <f>IFERROR(IF(Z107="",0,Z107),"0")+IFERROR(IF(Z108="",0,Z108),"0")+IFERROR(IF(Z109="",0,Z109),"0")+IFERROR(IF(Z110="",0,Z110),"0")</f>
        <v>0.40087</v>
      </c>
      <c r="AA111" s="548"/>
      <c r="AB111" s="548"/>
      <c r="AC111" s="548"/>
    </row>
    <row r="112" spans="1:68" x14ac:dyDescent="0.2">
      <c r="A112" s="555"/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7"/>
      <c r="P112" s="551" t="s">
        <v>75</v>
      </c>
      <c r="Q112" s="552"/>
      <c r="R112" s="552"/>
      <c r="S112" s="552"/>
      <c r="T112" s="552"/>
      <c r="U112" s="552"/>
      <c r="V112" s="553"/>
      <c r="W112" s="37" t="s">
        <v>69</v>
      </c>
      <c r="X112" s="547">
        <f>IFERROR(SUM(X107:X110),"0")</f>
        <v>165</v>
      </c>
      <c r="Y112" s="547">
        <f>IFERROR(SUM(Y107:Y110),"0")</f>
        <v>166.8</v>
      </c>
      <c r="Z112" s="37"/>
      <c r="AA112" s="548"/>
      <c r="AB112" s="548"/>
      <c r="AC112" s="548"/>
    </row>
    <row r="113" spans="1:68" ht="14.25" hidden="1" customHeight="1" x14ac:dyDescent="0.25">
      <c r="A113" s="554" t="s">
        <v>77</v>
      </c>
      <c r="B113" s="555"/>
      <c r="C113" s="555"/>
      <c r="D113" s="555"/>
      <c r="E113" s="555"/>
      <c r="F113" s="555"/>
      <c r="G113" s="555"/>
      <c r="H113" s="555"/>
      <c r="I113" s="555"/>
      <c r="J113" s="555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  <c r="W113" s="555"/>
      <c r="X113" s="555"/>
      <c r="Y113" s="555"/>
      <c r="Z113" s="555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61">
        <v>4607091385168</v>
      </c>
      <c r="E114" s="562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9"/>
      <c r="R114" s="559"/>
      <c r="S114" s="559"/>
      <c r="T114" s="560"/>
      <c r="U114" s="34"/>
      <c r="V114" s="34"/>
      <c r="W114" s="35" t="s">
        <v>69</v>
      </c>
      <c r="X114" s="545">
        <v>134</v>
      </c>
      <c r="Y114" s="546">
        <f>IFERROR(IF(X114="",0,CEILING((X114/$H114),1)*$H114),"")</f>
        <v>137.69999999999999</v>
      </c>
      <c r="Z114" s="36">
        <f>IFERROR(IF(Y114=0,"",ROUNDUP(Y114/H114,0)*0.01898),"")</f>
        <v>0.32266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142.07308641975308</v>
      </c>
      <c r="BN114" s="64">
        <f>IFERROR(Y114*I114/H114,"0")</f>
        <v>145.99599999999998</v>
      </c>
      <c r="BO114" s="64">
        <f>IFERROR(1/J114*(X114/H114),"0")</f>
        <v>0.25848765432098769</v>
      </c>
      <c r="BP114" s="64">
        <f>IFERROR(1/J114*(Y114/H114),"0")</f>
        <v>0.265625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61">
        <v>4607091383256</v>
      </c>
      <c r="E115" s="562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9"/>
      <c r="R115" s="559"/>
      <c r="S115" s="559"/>
      <c r="T115" s="560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61">
        <v>4607091385748</v>
      </c>
      <c r="E116" s="562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9"/>
      <c r="R116" s="559"/>
      <c r="S116" s="559"/>
      <c r="T116" s="560"/>
      <c r="U116" s="34"/>
      <c r="V116" s="34"/>
      <c r="W116" s="35" t="s">
        <v>69</v>
      </c>
      <c r="X116" s="545">
        <v>165</v>
      </c>
      <c r="Y116" s="546">
        <f>IFERROR(IF(X116="",0,CEILING((X116/$H116),1)*$H116),"")</f>
        <v>167.4</v>
      </c>
      <c r="Z116" s="36">
        <f>IFERROR(IF(Y116=0,"",ROUNDUP(Y116/H116,0)*0.00651),"")</f>
        <v>0.40362000000000003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180.39999999999998</v>
      </c>
      <c r="BN116" s="64">
        <f>IFERROR(Y116*I116/H116,"0")</f>
        <v>183.024</v>
      </c>
      <c r="BO116" s="64">
        <f>IFERROR(1/J116*(X116/H116),"0")</f>
        <v>0.3357753357753358</v>
      </c>
      <c r="BP116" s="64">
        <f>IFERROR(1/J116*(Y116/H116),"0")</f>
        <v>0.34065934065934067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61">
        <v>4680115884533</v>
      </c>
      <c r="E117" s="562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9"/>
      <c r="R117" s="559"/>
      <c r="S117" s="559"/>
      <c r="T117" s="560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56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7"/>
      <c r="P118" s="551" t="s">
        <v>75</v>
      </c>
      <c r="Q118" s="552"/>
      <c r="R118" s="552"/>
      <c r="S118" s="552"/>
      <c r="T118" s="552"/>
      <c r="U118" s="552"/>
      <c r="V118" s="553"/>
      <c r="W118" s="37" t="s">
        <v>76</v>
      </c>
      <c r="X118" s="547">
        <f>IFERROR(X114/H114,"0")+IFERROR(X115/H115,"0")+IFERROR(X116/H116,"0")+IFERROR(X117/H117,"0")</f>
        <v>77.654320987654316</v>
      </c>
      <c r="Y118" s="547">
        <f>IFERROR(Y114/H114,"0")+IFERROR(Y115/H115,"0")+IFERROR(Y116/H116,"0")+IFERROR(Y117/H117,"0")</f>
        <v>79</v>
      </c>
      <c r="Z118" s="547">
        <f>IFERROR(IF(Z114="",0,Z114),"0")+IFERROR(IF(Z115="",0,Z115),"0")+IFERROR(IF(Z116="",0,Z116),"0")+IFERROR(IF(Z117="",0,Z117),"0")</f>
        <v>0.72628000000000004</v>
      </c>
      <c r="AA118" s="548"/>
      <c r="AB118" s="548"/>
      <c r="AC118" s="548"/>
    </row>
    <row r="119" spans="1:68" x14ac:dyDescent="0.2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7"/>
      <c r="P119" s="551" t="s">
        <v>75</v>
      </c>
      <c r="Q119" s="552"/>
      <c r="R119" s="552"/>
      <c r="S119" s="552"/>
      <c r="T119" s="552"/>
      <c r="U119" s="552"/>
      <c r="V119" s="553"/>
      <c r="W119" s="37" t="s">
        <v>69</v>
      </c>
      <c r="X119" s="547">
        <f>IFERROR(SUM(X114:X117),"0")</f>
        <v>299</v>
      </c>
      <c r="Y119" s="547">
        <f>IFERROR(SUM(Y114:Y117),"0")</f>
        <v>305.10000000000002</v>
      </c>
      <c r="Z119" s="37"/>
      <c r="AA119" s="548"/>
      <c r="AB119" s="548"/>
      <c r="AC119" s="548"/>
    </row>
    <row r="120" spans="1:68" ht="14.25" hidden="1" customHeight="1" x14ac:dyDescent="0.25">
      <c r="A120" s="554" t="s">
        <v>160</v>
      </c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5"/>
      <c r="P120" s="555"/>
      <c r="Q120" s="555"/>
      <c r="R120" s="555"/>
      <c r="S120" s="555"/>
      <c r="T120" s="555"/>
      <c r="U120" s="555"/>
      <c r="V120" s="555"/>
      <c r="W120" s="555"/>
      <c r="X120" s="555"/>
      <c r="Y120" s="555"/>
      <c r="Z120" s="555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61">
        <v>4680115880238</v>
      </c>
      <c r="E121" s="562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9"/>
      <c r="R121" s="559"/>
      <c r="S121" s="559"/>
      <c r="T121" s="560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56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7"/>
      <c r="P122" s="551" t="s">
        <v>75</v>
      </c>
      <c r="Q122" s="552"/>
      <c r="R122" s="552"/>
      <c r="S122" s="552"/>
      <c r="T122" s="552"/>
      <c r="U122" s="552"/>
      <c r="V122" s="55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7"/>
      <c r="P123" s="551" t="s">
        <v>75</v>
      </c>
      <c r="Q123" s="552"/>
      <c r="R123" s="552"/>
      <c r="S123" s="552"/>
      <c r="T123" s="552"/>
      <c r="U123" s="552"/>
      <c r="V123" s="55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90" t="s">
        <v>227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40"/>
      <c r="AB124" s="540"/>
      <c r="AC124" s="540"/>
    </row>
    <row r="125" spans="1:68" ht="14.25" hidden="1" customHeight="1" x14ac:dyDescent="0.25">
      <c r="A125" s="554" t="s">
        <v>99</v>
      </c>
      <c r="B125" s="555"/>
      <c r="C125" s="555"/>
      <c r="D125" s="555"/>
      <c r="E125" s="555"/>
      <c r="F125" s="555"/>
      <c r="G125" s="555"/>
      <c r="H125" s="555"/>
      <c r="I125" s="555"/>
      <c r="J125" s="555"/>
      <c r="K125" s="555"/>
      <c r="L125" s="555"/>
      <c r="M125" s="555"/>
      <c r="N125" s="555"/>
      <c r="O125" s="555"/>
      <c r="P125" s="555"/>
      <c r="Q125" s="555"/>
      <c r="R125" s="555"/>
      <c r="S125" s="555"/>
      <c r="T125" s="555"/>
      <c r="U125" s="555"/>
      <c r="V125" s="555"/>
      <c r="W125" s="555"/>
      <c r="X125" s="555"/>
      <c r="Y125" s="555"/>
      <c r="Z125" s="555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61">
        <v>4680115882577</v>
      </c>
      <c r="E126" s="562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5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9"/>
      <c r="R126" s="559"/>
      <c r="S126" s="559"/>
      <c r="T126" s="560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61">
        <v>4680115882577</v>
      </c>
      <c r="E127" s="562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9"/>
      <c r="R127" s="559"/>
      <c r="S127" s="559"/>
      <c r="T127" s="560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56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7"/>
      <c r="P128" s="551" t="s">
        <v>75</v>
      </c>
      <c r="Q128" s="552"/>
      <c r="R128" s="552"/>
      <c r="S128" s="552"/>
      <c r="T128" s="552"/>
      <c r="U128" s="552"/>
      <c r="V128" s="55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7"/>
      <c r="P129" s="551" t="s">
        <v>75</v>
      </c>
      <c r="Q129" s="552"/>
      <c r="R129" s="552"/>
      <c r="S129" s="552"/>
      <c r="T129" s="552"/>
      <c r="U129" s="552"/>
      <c r="V129" s="55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4" t="s">
        <v>64</v>
      </c>
      <c r="B130" s="555"/>
      <c r="C130" s="555"/>
      <c r="D130" s="555"/>
      <c r="E130" s="555"/>
      <c r="F130" s="555"/>
      <c r="G130" s="555"/>
      <c r="H130" s="555"/>
      <c r="I130" s="555"/>
      <c r="J130" s="555"/>
      <c r="K130" s="555"/>
      <c r="L130" s="555"/>
      <c r="M130" s="555"/>
      <c r="N130" s="555"/>
      <c r="O130" s="555"/>
      <c r="P130" s="555"/>
      <c r="Q130" s="555"/>
      <c r="R130" s="555"/>
      <c r="S130" s="555"/>
      <c r="T130" s="555"/>
      <c r="U130" s="555"/>
      <c r="V130" s="555"/>
      <c r="W130" s="555"/>
      <c r="X130" s="555"/>
      <c r="Y130" s="555"/>
      <c r="Z130" s="555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61">
        <v>4680115883444</v>
      </c>
      <c r="E131" s="562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9"/>
      <c r="R131" s="559"/>
      <c r="S131" s="559"/>
      <c r="T131" s="560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61">
        <v>4680115883444</v>
      </c>
      <c r="E132" s="562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9"/>
      <c r="R132" s="559"/>
      <c r="S132" s="559"/>
      <c r="T132" s="560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56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7"/>
      <c r="P133" s="551" t="s">
        <v>75</v>
      </c>
      <c r="Q133" s="552"/>
      <c r="R133" s="552"/>
      <c r="S133" s="552"/>
      <c r="T133" s="552"/>
      <c r="U133" s="552"/>
      <c r="V133" s="55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5"/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7"/>
      <c r="P134" s="551" t="s">
        <v>75</v>
      </c>
      <c r="Q134" s="552"/>
      <c r="R134" s="552"/>
      <c r="S134" s="552"/>
      <c r="T134" s="552"/>
      <c r="U134" s="552"/>
      <c r="V134" s="55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4" t="s">
        <v>77</v>
      </c>
      <c r="B135" s="555"/>
      <c r="C135" s="555"/>
      <c r="D135" s="555"/>
      <c r="E135" s="555"/>
      <c r="F135" s="555"/>
      <c r="G135" s="555"/>
      <c r="H135" s="555"/>
      <c r="I135" s="555"/>
      <c r="J135" s="555"/>
      <c r="K135" s="555"/>
      <c r="L135" s="555"/>
      <c r="M135" s="555"/>
      <c r="N135" s="555"/>
      <c r="O135" s="555"/>
      <c r="P135" s="555"/>
      <c r="Q135" s="555"/>
      <c r="R135" s="555"/>
      <c r="S135" s="555"/>
      <c r="T135" s="555"/>
      <c r="U135" s="555"/>
      <c r="V135" s="555"/>
      <c r="W135" s="555"/>
      <c r="X135" s="555"/>
      <c r="Y135" s="555"/>
      <c r="Z135" s="555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61">
        <v>4680115882584</v>
      </c>
      <c r="E136" s="562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9"/>
      <c r="R136" s="559"/>
      <c r="S136" s="559"/>
      <c r="T136" s="560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61">
        <v>4680115882584</v>
      </c>
      <c r="E137" s="562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9"/>
      <c r="R137" s="559"/>
      <c r="S137" s="559"/>
      <c r="T137" s="560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56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7"/>
      <c r="P138" s="551" t="s">
        <v>75</v>
      </c>
      <c r="Q138" s="552"/>
      <c r="R138" s="552"/>
      <c r="S138" s="552"/>
      <c r="T138" s="552"/>
      <c r="U138" s="552"/>
      <c r="V138" s="55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5"/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7"/>
      <c r="P139" s="551" t="s">
        <v>75</v>
      </c>
      <c r="Q139" s="552"/>
      <c r="R139" s="552"/>
      <c r="S139" s="552"/>
      <c r="T139" s="552"/>
      <c r="U139" s="552"/>
      <c r="V139" s="55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90" t="s">
        <v>97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40"/>
      <c r="AB140" s="540"/>
      <c r="AC140" s="540"/>
    </row>
    <row r="141" spans="1:68" ht="14.25" hidden="1" customHeight="1" x14ac:dyDescent="0.25">
      <c r="A141" s="554" t="s">
        <v>99</v>
      </c>
      <c r="B141" s="555"/>
      <c r="C141" s="555"/>
      <c r="D141" s="555"/>
      <c r="E141" s="555"/>
      <c r="F141" s="555"/>
      <c r="G141" s="555"/>
      <c r="H141" s="555"/>
      <c r="I141" s="555"/>
      <c r="J141" s="555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  <c r="W141" s="555"/>
      <c r="X141" s="555"/>
      <c r="Y141" s="555"/>
      <c r="Z141" s="555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61">
        <v>4680115887374</v>
      </c>
      <c r="E142" s="562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9"/>
      <c r="R142" s="559"/>
      <c r="S142" s="559"/>
      <c r="T142" s="560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61">
        <v>4607091384604</v>
      </c>
      <c r="E143" s="562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9"/>
      <c r="R143" s="559"/>
      <c r="S143" s="559"/>
      <c r="T143" s="560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7"/>
      <c r="P144" s="551" t="s">
        <v>75</v>
      </c>
      <c r="Q144" s="552"/>
      <c r="R144" s="552"/>
      <c r="S144" s="552"/>
      <c r="T144" s="552"/>
      <c r="U144" s="552"/>
      <c r="V144" s="55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7"/>
      <c r="P145" s="551" t="s">
        <v>75</v>
      </c>
      <c r="Q145" s="552"/>
      <c r="R145" s="552"/>
      <c r="S145" s="552"/>
      <c r="T145" s="552"/>
      <c r="U145" s="552"/>
      <c r="V145" s="55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4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61">
        <v>4680115887428</v>
      </c>
      <c r="E147" s="562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82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9"/>
      <c r="R147" s="559"/>
      <c r="S147" s="559"/>
      <c r="T147" s="560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61">
        <v>4607091387636</v>
      </c>
      <c r="E148" s="562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9"/>
      <c r="R148" s="559"/>
      <c r="S148" s="559"/>
      <c r="T148" s="560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61">
        <v>4680115887336</v>
      </c>
      <c r="E149" s="562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9"/>
      <c r="R149" s="559"/>
      <c r="S149" s="559"/>
      <c r="T149" s="560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61">
        <v>4607091382426</v>
      </c>
      <c r="E150" s="562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8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9"/>
      <c r="R150" s="559"/>
      <c r="S150" s="559"/>
      <c r="T150" s="560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61">
        <v>4680115887398</v>
      </c>
      <c r="E151" s="562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5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9"/>
      <c r="R151" s="559"/>
      <c r="S151" s="559"/>
      <c r="T151" s="560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7"/>
      <c r="P152" s="551" t="s">
        <v>75</v>
      </c>
      <c r="Q152" s="552"/>
      <c r="R152" s="552"/>
      <c r="S152" s="552"/>
      <c r="T152" s="552"/>
      <c r="U152" s="552"/>
      <c r="V152" s="55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7"/>
      <c r="P153" s="551" t="s">
        <v>75</v>
      </c>
      <c r="Q153" s="552"/>
      <c r="R153" s="552"/>
      <c r="S153" s="552"/>
      <c r="T153" s="552"/>
      <c r="U153" s="552"/>
      <c r="V153" s="55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4" t="s">
        <v>77</v>
      </c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5"/>
      <c r="P154" s="555"/>
      <c r="Q154" s="555"/>
      <c r="R154" s="555"/>
      <c r="S154" s="555"/>
      <c r="T154" s="555"/>
      <c r="U154" s="555"/>
      <c r="V154" s="555"/>
      <c r="W154" s="555"/>
      <c r="X154" s="555"/>
      <c r="Y154" s="555"/>
      <c r="Z154" s="555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9"/>
      <c r="R155" s="559"/>
      <c r="S155" s="559"/>
      <c r="T155" s="560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6"/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7"/>
      <c r="P156" s="551" t="s">
        <v>75</v>
      </c>
      <c r="Q156" s="552"/>
      <c r="R156" s="552"/>
      <c r="S156" s="552"/>
      <c r="T156" s="552"/>
      <c r="U156" s="552"/>
      <c r="V156" s="55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5"/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7"/>
      <c r="P157" s="551" t="s">
        <v>75</v>
      </c>
      <c r="Q157" s="552"/>
      <c r="R157" s="552"/>
      <c r="S157" s="552"/>
      <c r="T157" s="552"/>
      <c r="U157" s="552"/>
      <c r="V157" s="55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69" t="s">
        <v>263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48"/>
      <c r="AB158" s="48"/>
      <c r="AC158" s="48"/>
    </row>
    <row r="159" spans="1:68" ht="16.5" hidden="1" customHeight="1" x14ac:dyDescent="0.25">
      <c r="A159" s="590" t="s">
        <v>264</v>
      </c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5"/>
      <c r="P159" s="555"/>
      <c r="Q159" s="555"/>
      <c r="R159" s="555"/>
      <c r="S159" s="555"/>
      <c r="T159" s="555"/>
      <c r="U159" s="555"/>
      <c r="V159" s="555"/>
      <c r="W159" s="555"/>
      <c r="X159" s="555"/>
      <c r="Y159" s="555"/>
      <c r="Z159" s="555"/>
      <c r="AA159" s="540"/>
      <c r="AB159" s="540"/>
      <c r="AC159" s="540"/>
    </row>
    <row r="160" spans="1:68" ht="14.25" hidden="1" customHeight="1" x14ac:dyDescent="0.25">
      <c r="A160" s="554" t="s">
        <v>135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9"/>
      <c r="R161" s="559"/>
      <c r="S161" s="559"/>
      <c r="T161" s="560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6"/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7"/>
      <c r="P162" s="551" t="s">
        <v>75</v>
      </c>
      <c r="Q162" s="552"/>
      <c r="R162" s="552"/>
      <c r="S162" s="552"/>
      <c r="T162" s="552"/>
      <c r="U162" s="552"/>
      <c r="V162" s="55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5"/>
      <c r="B163" s="555"/>
      <c r="C163" s="555"/>
      <c r="D163" s="555"/>
      <c r="E163" s="555"/>
      <c r="F163" s="555"/>
      <c r="G163" s="555"/>
      <c r="H163" s="555"/>
      <c r="I163" s="555"/>
      <c r="J163" s="555"/>
      <c r="K163" s="555"/>
      <c r="L163" s="555"/>
      <c r="M163" s="555"/>
      <c r="N163" s="555"/>
      <c r="O163" s="557"/>
      <c r="P163" s="551" t="s">
        <v>75</v>
      </c>
      <c r="Q163" s="552"/>
      <c r="R163" s="552"/>
      <c r="S163" s="552"/>
      <c r="T163" s="552"/>
      <c r="U163" s="552"/>
      <c r="V163" s="55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4" t="s">
        <v>64</v>
      </c>
      <c r="B164" s="555"/>
      <c r="C164" s="555"/>
      <c r="D164" s="555"/>
      <c r="E164" s="555"/>
      <c r="F164" s="555"/>
      <c r="G164" s="555"/>
      <c r="H164" s="555"/>
      <c r="I164" s="555"/>
      <c r="J164" s="555"/>
      <c r="K164" s="555"/>
      <c r="L164" s="555"/>
      <c r="M164" s="555"/>
      <c r="N164" s="555"/>
      <c r="O164" s="555"/>
      <c r="P164" s="555"/>
      <c r="Q164" s="555"/>
      <c r="R164" s="555"/>
      <c r="S164" s="555"/>
      <c r="T164" s="555"/>
      <c r="U164" s="555"/>
      <c r="V164" s="555"/>
      <c r="W164" s="555"/>
      <c r="X164" s="555"/>
      <c r="Y164" s="555"/>
      <c r="Z164" s="555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61">
        <v>4680115880993</v>
      </c>
      <c r="E165" s="562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8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9"/>
      <c r="R165" s="559"/>
      <c r="S165" s="559"/>
      <c r="T165" s="560"/>
      <c r="U165" s="34"/>
      <c r="V165" s="34"/>
      <c r="W165" s="35" t="s">
        <v>69</v>
      </c>
      <c r="X165" s="545">
        <v>11</v>
      </c>
      <c r="Y165" s="546">
        <f t="shared" ref="Y165:Y178" si="5">IFERROR(IF(X165="",0,CEILING((X165/$H165),1)*$H165),"")</f>
        <v>12.600000000000001</v>
      </c>
      <c r="Z165" s="36">
        <f>IFERROR(IF(Y165=0,"",ROUNDUP(Y165/H165,0)*0.00902),"")</f>
        <v>2.7060000000000001E-2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11.654761904761905</v>
      </c>
      <c r="BN165" s="64">
        <f t="shared" ref="BN165:BN178" si="7">IFERROR(Y165*I165/H165,"0")</f>
        <v>13.350000000000001</v>
      </c>
      <c r="BO165" s="64">
        <f t="shared" ref="BO165:BO178" si="8">IFERROR(1/J165*(X165/H165),"0")</f>
        <v>1.9841269841269844E-2</v>
      </c>
      <c r="BP165" s="64">
        <f t="shared" ref="BP165:BP178" si="9">IFERROR(1/J165*(Y165/H165),"0")</f>
        <v>2.2727272727272728E-2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61">
        <v>4680115881761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9"/>
      <c r="R166" s="559"/>
      <c r="S166" s="559"/>
      <c r="T166" s="560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61">
        <v>4680115881563</v>
      </c>
      <c r="E167" s="562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9"/>
      <c r="R167" s="559"/>
      <c r="S167" s="559"/>
      <c r="T167" s="560"/>
      <c r="U167" s="34"/>
      <c r="V167" s="34"/>
      <c r="W167" s="35" t="s">
        <v>69</v>
      </c>
      <c r="X167" s="545">
        <v>76</v>
      </c>
      <c r="Y167" s="546">
        <f t="shared" si="5"/>
        <v>79.8</v>
      </c>
      <c r="Z167" s="36">
        <f>IFERROR(IF(Y167=0,"",ROUNDUP(Y167/H167,0)*0.00902),"")</f>
        <v>0.17138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79.438095238095229</v>
      </c>
      <c r="BN167" s="64">
        <f t="shared" si="7"/>
        <v>83.409999999999982</v>
      </c>
      <c r="BO167" s="64">
        <f t="shared" si="8"/>
        <v>0.13708513708513709</v>
      </c>
      <c r="BP167" s="64">
        <f t="shared" si="9"/>
        <v>0.14393939393939395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61">
        <v>4680115887565</v>
      </c>
      <c r="E168" s="562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9"/>
      <c r="R168" s="559"/>
      <c r="S168" s="559"/>
      <c r="T168" s="560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9"/>
      <c r="R169" s="559"/>
      <c r="S169" s="559"/>
      <c r="T169" s="560"/>
      <c r="U169" s="34"/>
      <c r="V169" s="34"/>
      <c r="W169" s="35" t="s">
        <v>69</v>
      </c>
      <c r="X169" s="545">
        <v>167</v>
      </c>
      <c r="Y169" s="546">
        <f t="shared" si="5"/>
        <v>168</v>
      </c>
      <c r="Z169" s="36">
        <f>IFERROR(IF(Y169=0,"",ROUNDUP(Y169/H169,0)*0.00502),"")</f>
        <v>0.40160000000000001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177.33809523809524</v>
      </c>
      <c r="BN169" s="64">
        <f t="shared" si="7"/>
        <v>178.39999999999998</v>
      </c>
      <c r="BO169" s="64">
        <f t="shared" si="8"/>
        <v>0.33984533984533988</v>
      </c>
      <c r="BP169" s="64">
        <f t="shared" si="9"/>
        <v>0.34188034188034189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9"/>
      <c r="R170" s="559"/>
      <c r="S170" s="559"/>
      <c r="T170" s="560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9"/>
      <c r="R171" s="559"/>
      <c r="S171" s="559"/>
      <c r="T171" s="560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61">
        <v>4680115887824</v>
      </c>
      <c r="E172" s="562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7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9"/>
      <c r="R172" s="559"/>
      <c r="S172" s="559"/>
      <c r="T172" s="560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61">
        <v>4680115887701</v>
      </c>
      <c r="E173" s="562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3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9"/>
      <c r="R173" s="559"/>
      <c r="S173" s="559"/>
      <c r="T173" s="560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61">
        <v>4680115886537</v>
      </c>
      <c r="E174" s="562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5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9"/>
      <c r="R174" s="559"/>
      <c r="S174" s="559"/>
      <c r="T174" s="560"/>
      <c r="U174" s="34"/>
      <c r="V174" s="34"/>
      <c r="W174" s="35" t="s">
        <v>69</v>
      </c>
      <c r="X174" s="545">
        <v>40</v>
      </c>
      <c r="Y174" s="546">
        <f t="shared" si="5"/>
        <v>41.4</v>
      </c>
      <c r="Z174" s="36">
        <f>IFERROR(IF(Y174=0,"",ROUNDUP(Y174/H174,0)*0.00502),"")</f>
        <v>0.11546000000000001</v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42.888888888888893</v>
      </c>
      <c r="BN174" s="64">
        <f t="shared" si="7"/>
        <v>44.39</v>
      </c>
      <c r="BO174" s="64">
        <f t="shared" si="8"/>
        <v>9.4966761633428307E-2</v>
      </c>
      <c r="BP174" s="64">
        <f t="shared" si="9"/>
        <v>9.8290598290598302E-2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61">
        <v>4680115887596</v>
      </c>
      <c r="E175" s="562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67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9"/>
      <c r="R175" s="559"/>
      <c r="S175" s="559"/>
      <c r="T175" s="560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61">
        <v>4680115881679</v>
      </c>
      <c r="E176" s="562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6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9"/>
      <c r="R176" s="559"/>
      <c r="S176" s="559"/>
      <c r="T176" s="560"/>
      <c r="U176" s="34"/>
      <c r="V176" s="34"/>
      <c r="W176" s="35" t="s">
        <v>69</v>
      </c>
      <c r="X176" s="545">
        <v>381</v>
      </c>
      <c r="Y176" s="546">
        <f t="shared" si="5"/>
        <v>382.2</v>
      </c>
      <c r="Z176" s="36">
        <f>IFERROR(IF(Y176=0,"",ROUNDUP(Y176/H176,0)*0.00502),"")</f>
        <v>0.91364000000000001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399.14285714285717</v>
      </c>
      <c r="BN176" s="64">
        <f t="shared" si="7"/>
        <v>400.4</v>
      </c>
      <c r="BO176" s="64">
        <f t="shared" si="8"/>
        <v>0.77533577533577536</v>
      </c>
      <c r="BP176" s="64">
        <f t="shared" si="9"/>
        <v>0.7777777777777779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61">
        <v>4680115880191</v>
      </c>
      <c r="E177" s="562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9"/>
      <c r="R177" s="559"/>
      <c r="S177" s="559"/>
      <c r="T177" s="560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61">
        <v>4680115883963</v>
      </c>
      <c r="E178" s="562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9"/>
      <c r="R178" s="559"/>
      <c r="S178" s="559"/>
      <c r="T178" s="560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56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7"/>
      <c r="P179" s="551" t="s">
        <v>75</v>
      </c>
      <c r="Q179" s="552"/>
      <c r="R179" s="552"/>
      <c r="S179" s="552"/>
      <c r="T179" s="552"/>
      <c r="U179" s="552"/>
      <c r="V179" s="55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303.88888888888891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307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1.62914</v>
      </c>
      <c r="AA179" s="548"/>
      <c r="AB179" s="548"/>
      <c r="AC179" s="548"/>
    </row>
    <row r="180" spans="1:68" x14ac:dyDescent="0.2">
      <c r="A180" s="555"/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7"/>
      <c r="P180" s="551" t="s">
        <v>75</v>
      </c>
      <c r="Q180" s="552"/>
      <c r="R180" s="552"/>
      <c r="S180" s="552"/>
      <c r="T180" s="552"/>
      <c r="U180" s="552"/>
      <c r="V180" s="553"/>
      <c r="W180" s="37" t="s">
        <v>69</v>
      </c>
      <c r="X180" s="547">
        <f>IFERROR(SUM(X165:X178),"0")</f>
        <v>675</v>
      </c>
      <c r="Y180" s="547">
        <f>IFERROR(SUM(Y165:Y178),"0")</f>
        <v>684</v>
      </c>
      <c r="Z180" s="37"/>
      <c r="AA180" s="548"/>
      <c r="AB180" s="548"/>
      <c r="AC180" s="548"/>
    </row>
    <row r="181" spans="1:68" ht="14.25" hidden="1" customHeight="1" x14ac:dyDescent="0.25">
      <c r="A181" s="554" t="s">
        <v>91</v>
      </c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5"/>
      <c r="P181" s="555"/>
      <c r="Q181" s="555"/>
      <c r="R181" s="555"/>
      <c r="S181" s="555"/>
      <c r="T181" s="555"/>
      <c r="U181" s="555"/>
      <c r="V181" s="555"/>
      <c r="W181" s="555"/>
      <c r="X181" s="555"/>
      <c r="Y181" s="555"/>
      <c r="Z181" s="555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61">
        <v>4680115886780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9"/>
      <c r="R182" s="559"/>
      <c r="S182" s="559"/>
      <c r="T182" s="560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61">
        <v>4680115886742</v>
      </c>
      <c r="E183" s="562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9"/>
      <c r="R183" s="559"/>
      <c r="S183" s="559"/>
      <c r="T183" s="560"/>
      <c r="U183" s="34"/>
      <c r="V183" s="34"/>
      <c r="W183" s="35" t="s">
        <v>69</v>
      </c>
      <c r="X183" s="545">
        <v>2</v>
      </c>
      <c r="Y183" s="546">
        <f>IFERROR(IF(X183="",0,CEILING((X183/$H183),1)*$H183),"")</f>
        <v>2.52</v>
      </c>
      <c r="Z183" s="36">
        <f>IFERROR(IF(Y183=0,"",ROUNDUP(Y183/H183,0)*0.0059),"")</f>
        <v>1.18E-2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2.3015873015873014</v>
      </c>
      <c r="BN183" s="64">
        <f>IFERROR(Y183*I183/H183,"0")</f>
        <v>2.9</v>
      </c>
      <c r="BO183" s="64">
        <f>IFERROR(1/J183*(X183/H183),"0")</f>
        <v>7.3486184597295699E-3</v>
      </c>
      <c r="BP183" s="64">
        <f>IFERROR(1/J183*(Y183/H183),"0")</f>
        <v>9.2592592592592587E-3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61">
        <v>4680115886766</v>
      </c>
      <c r="E184" s="562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9"/>
      <c r="R184" s="559"/>
      <c r="S184" s="559"/>
      <c r="T184" s="560"/>
      <c r="U184" s="34"/>
      <c r="V184" s="34"/>
      <c r="W184" s="35" t="s">
        <v>69</v>
      </c>
      <c r="X184" s="545">
        <v>4</v>
      </c>
      <c r="Y184" s="546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x14ac:dyDescent="0.2">
      <c r="A185" s="556"/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7"/>
      <c r="P185" s="551" t="s">
        <v>75</v>
      </c>
      <c r="Q185" s="552"/>
      <c r="R185" s="552"/>
      <c r="S185" s="552"/>
      <c r="T185" s="552"/>
      <c r="U185" s="552"/>
      <c r="V185" s="553"/>
      <c r="W185" s="37" t="s">
        <v>76</v>
      </c>
      <c r="X185" s="547">
        <f>IFERROR(X182/H182,"0")+IFERROR(X183/H183,"0")+IFERROR(X184/H184,"0")</f>
        <v>4.7619047619047619</v>
      </c>
      <c r="Y185" s="547">
        <f>IFERROR(Y182/H182,"0")+IFERROR(Y183/H183,"0")+IFERROR(Y184/H184,"0")</f>
        <v>6</v>
      </c>
      <c r="Z185" s="547">
        <f>IFERROR(IF(Z182="",0,Z182),"0")+IFERROR(IF(Z183="",0,Z183),"0")+IFERROR(IF(Z184="",0,Z184),"0")</f>
        <v>3.5400000000000001E-2</v>
      </c>
      <c r="AA185" s="548"/>
      <c r="AB185" s="548"/>
      <c r="AC185" s="548"/>
    </row>
    <row r="186" spans="1:68" x14ac:dyDescent="0.2">
      <c r="A186" s="555"/>
      <c r="B186" s="555"/>
      <c r="C186" s="555"/>
      <c r="D186" s="555"/>
      <c r="E186" s="555"/>
      <c r="F186" s="555"/>
      <c r="G186" s="555"/>
      <c r="H186" s="555"/>
      <c r="I186" s="555"/>
      <c r="J186" s="555"/>
      <c r="K186" s="555"/>
      <c r="L186" s="555"/>
      <c r="M186" s="555"/>
      <c r="N186" s="555"/>
      <c r="O186" s="557"/>
      <c r="P186" s="551" t="s">
        <v>75</v>
      </c>
      <c r="Q186" s="552"/>
      <c r="R186" s="552"/>
      <c r="S186" s="552"/>
      <c r="T186" s="552"/>
      <c r="U186" s="552"/>
      <c r="V186" s="553"/>
      <c r="W186" s="37" t="s">
        <v>69</v>
      </c>
      <c r="X186" s="547">
        <f>IFERROR(SUM(X182:X184),"0")</f>
        <v>6</v>
      </c>
      <c r="Y186" s="547">
        <f>IFERROR(SUM(Y182:Y184),"0")</f>
        <v>7.5600000000000005</v>
      </c>
      <c r="Z186" s="37"/>
      <c r="AA186" s="548"/>
      <c r="AB186" s="548"/>
      <c r="AC186" s="548"/>
    </row>
    <row r="187" spans="1:68" ht="14.25" hidden="1" customHeight="1" x14ac:dyDescent="0.25">
      <c r="A187" s="554" t="s">
        <v>316</v>
      </c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  <c r="W187" s="555"/>
      <c r="X187" s="555"/>
      <c r="Y187" s="555"/>
      <c r="Z187" s="555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61">
        <v>4680115886797</v>
      </c>
      <c r="E188" s="562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9"/>
      <c r="R188" s="559"/>
      <c r="S188" s="559"/>
      <c r="T188" s="560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6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7"/>
      <c r="P189" s="551" t="s">
        <v>75</v>
      </c>
      <c r="Q189" s="552"/>
      <c r="R189" s="552"/>
      <c r="S189" s="552"/>
      <c r="T189" s="552"/>
      <c r="U189" s="552"/>
      <c r="V189" s="55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5"/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7"/>
      <c r="P190" s="551" t="s">
        <v>75</v>
      </c>
      <c r="Q190" s="552"/>
      <c r="R190" s="552"/>
      <c r="S190" s="552"/>
      <c r="T190" s="552"/>
      <c r="U190" s="552"/>
      <c r="V190" s="55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90" t="s">
        <v>319</v>
      </c>
      <c r="B191" s="555"/>
      <c r="C191" s="555"/>
      <c r="D191" s="555"/>
      <c r="E191" s="555"/>
      <c r="F191" s="555"/>
      <c r="G191" s="555"/>
      <c r="H191" s="555"/>
      <c r="I191" s="555"/>
      <c r="J191" s="555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  <c r="W191" s="555"/>
      <c r="X191" s="555"/>
      <c r="Y191" s="555"/>
      <c r="Z191" s="555"/>
      <c r="AA191" s="540"/>
      <c r="AB191" s="540"/>
      <c r="AC191" s="540"/>
    </row>
    <row r="192" spans="1:68" ht="14.25" hidden="1" customHeight="1" x14ac:dyDescent="0.25">
      <c r="A192" s="554" t="s">
        <v>99</v>
      </c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  <c r="W192" s="555"/>
      <c r="X192" s="555"/>
      <c r="Y192" s="555"/>
      <c r="Z192" s="555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61">
        <v>4680115881402</v>
      </c>
      <c r="E193" s="562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9"/>
      <c r="R193" s="559"/>
      <c r="S193" s="559"/>
      <c r="T193" s="560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61">
        <v>4680115881396</v>
      </c>
      <c r="E194" s="562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7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9"/>
      <c r="R194" s="559"/>
      <c r="S194" s="559"/>
      <c r="T194" s="560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6"/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7"/>
      <c r="P195" s="551" t="s">
        <v>75</v>
      </c>
      <c r="Q195" s="552"/>
      <c r="R195" s="552"/>
      <c r="S195" s="552"/>
      <c r="T195" s="552"/>
      <c r="U195" s="552"/>
      <c r="V195" s="55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5"/>
      <c r="B196" s="555"/>
      <c r="C196" s="555"/>
      <c r="D196" s="555"/>
      <c r="E196" s="555"/>
      <c r="F196" s="555"/>
      <c r="G196" s="555"/>
      <c r="H196" s="555"/>
      <c r="I196" s="555"/>
      <c r="J196" s="555"/>
      <c r="K196" s="555"/>
      <c r="L196" s="555"/>
      <c r="M196" s="555"/>
      <c r="N196" s="555"/>
      <c r="O196" s="557"/>
      <c r="P196" s="551" t="s">
        <v>75</v>
      </c>
      <c r="Q196" s="552"/>
      <c r="R196" s="552"/>
      <c r="S196" s="552"/>
      <c r="T196" s="552"/>
      <c r="U196" s="552"/>
      <c r="V196" s="55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4" t="s">
        <v>135</v>
      </c>
      <c r="B197" s="555"/>
      <c r="C197" s="555"/>
      <c r="D197" s="555"/>
      <c r="E197" s="555"/>
      <c r="F197" s="555"/>
      <c r="G197" s="555"/>
      <c r="H197" s="555"/>
      <c r="I197" s="555"/>
      <c r="J197" s="555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5"/>
      <c r="V197" s="555"/>
      <c r="W197" s="555"/>
      <c r="X197" s="555"/>
      <c r="Y197" s="555"/>
      <c r="Z197" s="555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61">
        <v>4680115882935</v>
      </c>
      <c r="E198" s="562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9"/>
      <c r="R198" s="559"/>
      <c r="S198" s="559"/>
      <c r="T198" s="560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61">
        <v>4680115880764</v>
      </c>
      <c r="E199" s="562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5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9"/>
      <c r="R199" s="559"/>
      <c r="S199" s="559"/>
      <c r="T199" s="560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6"/>
      <c r="B200" s="555"/>
      <c r="C200" s="555"/>
      <c r="D200" s="555"/>
      <c r="E200" s="555"/>
      <c r="F200" s="555"/>
      <c r="G200" s="555"/>
      <c r="H200" s="555"/>
      <c r="I200" s="555"/>
      <c r="J200" s="555"/>
      <c r="K200" s="555"/>
      <c r="L200" s="555"/>
      <c r="M200" s="555"/>
      <c r="N200" s="555"/>
      <c r="O200" s="557"/>
      <c r="P200" s="551" t="s">
        <v>75</v>
      </c>
      <c r="Q200" s="552"/>
      <c r="R200" s="552"/>
      <c r="S200" s="552"/>
      <c r="T200" s="552"/>
      <c r="U200" s="552"/>
      <c r="V200" s="55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5"/>
      <c r="B201" s="555"/>
      <c r="C201" s="555"/>
      <c r="D201" s="555"/>
      <c r="E201" s="555"/>
      <c r="F201" s="555"/>
      <c r="G201" s="555"/>
      <c r="H201" s="555"/>
      <c r="I201" s="555"/>
      <c r="J201" s="555"/>
      <c r="K201" s="555"/>
      <c r="L201" s="555"/>
      <c r="M201" s="555"/>
      <c r="N201" s="555"/>
      <c r="O201" s="557"/>
      <c r="P201" s="551" t="s">
        <v>75</v>
      </c>
      <c r="Q201" s="552"/>
      <c r="R201" s="552"/>
      <c r="S201" s="552"/>
      <c r="T201" s="552"/>
      <c r="U201" s="552"/>
      <c r="V201" s="55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4" t="s">
        <v>64</v>
      </c>
      <c r="B202" s="555"/>
      <c r="C202" s="555"/>
      <c r="D202" s="555"/>
      <c r="E202" s="555"/>
      <c r="F202" s="555"/>
      <c r="G202" s="555"/>
      <c r="H202" s="555"/>
      <c r="I202" s="555"/>
      <c r="J202" s="555"/>
      <c r="K202" s="555"/>
      <c r="L202" s="555"/>
      <c r="M202" s="555"/>
      <c r="N202" s="555"/>
      <c r="O202" s="555"/>
      <c r="P202" s="555"/>
      <c r="Q202" s="555"/>
      <c r="R202" s="555"/>
      <c r="S202" s="555"/>
      <c r="T202" s="555"/>
      <c r="U202" s="555"/>
      <c r="V202" s="555"/>
      <c r="W202" s="555"/>
      <c r="X202" s="555"/>
      <c r="Y202" s="555"/>
      <c r="Z202" s="555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61">
        <v>4680115882683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9"/>
      <c r="R203" s="559"/>
      <c r="S203" s="559"/>
      <c r="T203" s="560"/>
      <c r="U203" s="34"/>
      <c r="V203" s="34"/>
      <c r="W203" s="35" t="s">
        <v>69</v>
      </c>
      <c r="X203" s="545">
        <v>425</v>
      </c>
      <c r="Y203" s="546">
        <f t="shared" ref="Y203:Y210" si="10">IFERROR(IF(X203="",0,CEILING((X203/$H203),1)*$H203),"")</f>
        <v>426.6</v>
      </c>
      <c r="Z203" s="36">
        <f>IFERROR(IF(Y203=0,"",ROUNDUP(Y203/H203,0)*0.00902),"")</f>
        <v>0.71257999999999999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439.9537037037037</v>
      </c>
      <c r="BN203" s="64">
        <f t="shared" ref="BN203:BN210" si="12">IFERROR(Y203*I203/H203,"0")</f>
        <v>441.60999999999996</v>
      </c>
      <c r="BO203" s="64">
        <f t="shared" ref="BO203:BO210" si="13">IFERROR(1/J203*(X203/H203),"0")</f>
        <v>0.59624017957351283</v>
      </c>
      <c r="BP203" s="64">
        <f t="shared" ref="BP203:BP210" si="14">IFERROR(1/J203*(Y203/H203),"0")</f>
        <v>0.59848484848484851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61">
        <v>4680115882690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9"/>
      <c r="R204" s="559"/>
      <c r="S204" s="559"/>
      <c r="T204" s="560"/>
      <c r="U204" s="34"/>
      <c r="V204" s="34"/>
      <c r="W204" s="35" t="s">
        <v>69</v>
      </c>
      <c r="X204" s="545">
        <v>174</v>
      </c>
      <c r="Y204" s="546">
        <f t="shared" si="10"/>
        <v>178.20000000000002</v>
      </c>
      <c r="Z204" s="36">
        <f>IFERROR(IF(Y204=0,"",ROUNDUP(Y204/H204,0)*0.00902),"")</f>
        <v>0.29766000000000004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180.12222222222221</v>
      </c>
      <c r="BN204" s="64">
        <f t="shared" si="12"/>
        <v>184.47</v>
      </c>
      <c r="BO204" s="64">
        <f t="shared" si="13"/>
        <v>0.24410774410774411</v>
      </c>
      <c r="BP204" s="64">
        <f t="shared" si="14"/>
        <v>0.25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61">
        <v>4680115882669</v>
      </c>
      <c r="E205" s="562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9"/>
      <c r="R205" s="559"/>
      <c r="S205" s="559"/>
      <c r="T205" s="560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61">
        <v>4680115882676</v>
      </c>
      <c r="E206" s="562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9"/>
      <c r="R206" s="559"/>
      <c r="S206" s="559"/>
      <c r="T206" s="560"/>
      <c r="U206" s="34"/>
      <c r="V206" s="34"/>
      <c r="W206" s="35" t="s">
        <v>69</v>
      </c>
      <c r="X206" s="545">
        <v>250</v>
      </c>
      <c r="Y206" s="546">
        <f t="shared" si="10"/>
        <v>253.8</v>
      </c>
      <c r="Z206" s="36">
        <f>IFERROR(IF(Y206=0,"",ROUNDUP(Y206/H206,0)*0.00902),"")</f>
        <v>0.42393999999999998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258.7962962962963</v>
      </c>
      <c r="BN206" s="64">
        <f t="shared" si="12"/>
        <v>262.72999999999996</v>
      </c>
      <c r="BO206" s="64">
        <f t="shared" si="13"/>
        <v>0.35072951739618402</v>
      </c>
      <c r="BP206" s="64">
        <f t="shared" si="14"/>
        <v>0.35606060606060608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61">
        <v>4680115884014</v>
      </c>
      <c r="E207" s="562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9"/>
      <c r="R207" s="559"/>
      <c r="S207" s="559"/>
      <c r="T207" s="560"/>
      <c r="U207" s="34"/>
      <c r="V207" s="34"/>
      <c r="W207" s="35" t="s">
        <v>69</v>
      </c>
      <c r="X207" s="545">
        <v>79</v>
      </c>
      <c r="Y207" s="546">
        <f t="shared" si="10"/>
        <v>79.2</v>
      </c>
      <c r="Z207" s="36">
        <f>IFERROR(IF(Y207=0,"",ROUNDUP(Y207/H207,0)*0.00502),"")</f>
        <v>0.22088000000000002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84.705555555555549</v>
      </c>
      <c r="BN207" s="64">
        <f t="shared" si="12"/>
        <v>84.92</v>
      </c>
      <c r="BO207" s="64">
        <f t="shared" si="13"/>
        <v>0.18755935422602091</v>
      </c>
      <c r="BP207" s="64">
        <f t="shared" si="14"/>
        <v>0.18803418803418806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61">
        <v>4680115884007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9"/>
      <c r="R208" s="559"/>
      <c r="S208" s="559"/>
      <c r="T208" s="560"/>
      <c r="U208" s="34"/>
      <c r="V208" s="34"/>
      <c r="W208" s="35" t="s">
        <v>69</v>
      </c>
      <c r="X208" s="545">
        <v>60</v>
      </c>
      <c r="Y208" s="546">
        <f t="shared" si="10"/>
        <v>61.2</v>
      </c>
      <c r="Z208" s="36">
        <f>IFERROR(IF(Y208=0,"",ROUNDUP(Y208/H208,0)*0.00502),"")</f>
        <v>0.17068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63.333333333333329</v>
      </c>
      <c r="BN208" s="64">
        <f t="shared" si="12"/>
        <v>64.599999999999994</v>
      </c>
      <c r="BO208" s="64">
        <f t="shared" si="13"/>
        <v>0.14245014245014248</v>
      </c>
      <c r="BP208" s="64">
        <f t="shared" si="14"/>
        <v>0.14529914529914531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61">
        <v>4680115884038</v>
      </c>
      <c r="E209" s="562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9"/>
      <c r="R209" s="559"/>
      <c r="S209" s="559"/>
      <c r="T209" s="560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61">
        <v>4680115884021</v>
      </c>
      <c r="E210" s="562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9"/>
      <c r="R210" s="559"/>
      <c r="S210" s="559"/>
      <c r="T210" s="560"/>
      <c r="U210" s="34"/>
      <c r="V210" s="34"/>
      <c r="W210" s="35" t="s">
        <v>69</v>
      </c>
      <c r="X210" s="545">
        <v>106</v>
      </c>
      <c r="Y210" s="546">
        <f t="shared" si="10"/>
        <v>106.2</v>
      </c>
      <c r="Z210" s="36">
        <f>IFERROR(IF(Y210=0,"",ROUNDUP(Y210/H210,0)*0.00502),"")</f>
        <v>0.29618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111.88888888888887</v>
      </c>
      <c r="BN210" s="64">
        <f t="shared" si="12"/>
        <v>112.1</v>
      </c>
      <c r="BO210" s="64">
        <f t="shared" si="13"/>
        <v>0.25166191832858503</v>
      </c>
      <c r="BP210" s="64">
        <f t="shared" si="14"/>
        <v>0.25213675213675218</v>
      </c>
    </row>
    <row r="211" spans="1:68" x14ac:dyDescent="0.2">
      <c r="A211" s="556"/>
      <c r="B211" s="555"/>
      <c r="C211" s="555"/>
      <c r="D211" s="555"/>
      <c r="E211" s="555"/>
      <c r="F211" s="555"/>
      <c r="G211" s="555"/>
      <c r="H211" s="555"/>
      <c r="I211" s="555"/>
      <c r="J211" s="555"/>
      <c r="K211" s="555"/>
      <c r="L211" s="555"/>
      <c r="M211" s="555"/>
      <c r="N211" s="555"/>
      <c r="O211" s="557"/>
      <c r="P211" s="551" t="s">
        <v>75</v>
      </c>
      <c r="Q211" s="552"/>
      <c r="R211" s="552"/>
      <c r="S211" s="552"/>
      <c r="T211" s="552"/>
      <c r="U211" s="552"/>
      <c r="V211" s="55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293.33333333333337</v>
      </c>
      <c r="Y211" s="547">
        <f>IFERROR(Y203/H203,"0")+IFERROR(Y204/H204,"0")+IFERROR(Y205/H205,"0")+IFERROR(Y206/H206,"0")+IFERROR(Y207/H207,"0")+IFERROR(Y208/H208,"0")+IFERROR(Y209/H209,"0")+IFERROR(Y210/H210,"0")</f>
        <v>296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2.1219199999999998</v>
      </c>
      <c r="AA211" s="548"/>
      <c r="AB211" s="548"/>
      <c r="AC211" s="548"/>
    </row>
    <row r="212" spans="1:68" x14ac:dyDescent="0.2">
      <c r="A212" s="555"/>
      <c r="B212" s="555"/>
      <c r="C212" s="555"/>
      <c r="D212" s="555"/>
      <c r="E212" s="555"/>
      <c r="F212" s="555"/>
      <c r="G212" s="555"/>
      <c r="H212" s="555"/>
      <c r="I212" s="555"/>
      <c r="J212" s="555"/>
      <c r="K212" s="555"/>
      <c r="L212" s="555"/>
      <c r="M212" s="555"/>
      <c r="N212" s="555"/>
      <c r="O212" s="557"/>
      <c r="P212" s="551" t="s">
        <v>75</v>
      </c>
      <c r="Q212" s="552"/>
      <c r="R212" s="552"/>
      <c r="S212" s="552"/>
      <c r="T212" s="552"/>
      <c r="U212" s="552"/>
      <c r="V212" s="553"/>
      <c r="W212" s="37" t="s">
        <v>69</v>
      </c>
      <c r="X212" s="547">
        <f>IFERROR(SUM(X203:X210),"0")</f>
        <v>1094</v>
      </c>
      <c r="Y212" s="547">
        <f>IFERROR(SUM(Y203:Y210),"0")</f>
        <v>1105.2000000000003</v>
      </c>
      <c r="Z212" s="37"/>
      <c r="AA212" s="548"/>
      <c r="AB212" s="548"/>
      <c r="AC212" s="548"/>
    </row>
    <row r="213" spans="1:68" ht="14.25" hidden="1" customHeight="1" x14ac:dyDescent="0.25">
      <c r="A213" s="554" t="s">
        <v>77</v>
      </c>
      <c r="B213" s="555"/>
      <c r="C213" s="555"/>
      <c r="D213" s="555"/>
      <c r="E213" s="555"/>
      <c r="F213" s="555"/>
      <c r="G213" s="555"/>
      <c r="H213" s="555"/>
      <c r="I213" s="555"/>
      <c r="J213" s="555"/>
      <c r="K213" s="555"/>
      <c r="L213" s="555"/>
      <c r="M213" s="555"/>
      <c r="N213" s="555"/>
      <c r="O213" s="555"/>
      <c r="P213" s="555"/>
      <c r="Q213" s="555"/>
      <c r="R213" s="555"/>
      <c r="S213" s="555"/>
      <c r="T213" s="555"/>
      <c r="U213" s="555"/>
      <c r="V213" s="555"/>
      <c r="W213" s="555"/>
      <c r="X213" s="555"/>
      <c r="Y213" s="555"/>
      <c r="Z213" s="555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1">
        <v>4680115881594</v>
      </c>
      <c r="E214" s="562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6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9"/>
      <c r="R214" s="559"/>
      <c r="S214" s="559"/>
      <c r="T214" s="560"/>
      <c r="U214" s="34"/>
      <c r="V214" s="34"/>
      <c r="W214" s="35" t="s">
        <v>69</v>
      </c>
      <c r="X214" s="545">
        <v>48</v>
      </c>
      <c r="Y214" s="546">
        <f t="shared" ref="Y214:Y222" si="15">IFERROR(IF(X214="",0,CEILING((X214/$H214),1)*$H214),"")</f>
        <v>48.599999999999994</v>
      </c>
      <c r="Z214" s="36">
        <f>IFERROR(IF(Y214=0,"",ROUNDUP(Y214/H214,0)*0.01898),"")</f>
        <v>0.11388000000000001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50.927407407407401</v>
      </c>
      <c r="BN214" s="64">
        <f t="shared" ref="BN214:BN222" si="17">IFERROR(Y214*I214/H214,"0")</f>
        <v>51.563999999999993</v>
      </c>
      <c r="BO214" s="64">
        <f t="shared" ref="BO214:BO222" si="18">IFERROR(1/J214*(X214/H214),"0")</f>
        <v>9.2592592592592601E-2</v>
      </c>
      <c r="BP214" s="64">
        <f t="shared" ref="BP214:BP222" si="19">IFERROR(1/J214*(Y214/H214),"0")</f>
        <v>9.375E-2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61">
        <v>4680115881617</v>
      </c>
      <c r="E215" s="562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9"/>
      <c r="R215" s="559"/>
      <c r="S215" s="559"/>
      <c r="T215" s="560"/>
      <c r="U215" s="34"/>
      <c r="V215" s="34"/>
      <c r="W215" s="35" t="s">
        <v>69</v>
      </c>
      <c r="X215" s="545">
        <v>43</v>
      </c>
      <c r="Y215" s="546">
        <f t="shared" si="15"/>
        <v>48.599999999999994</v>
      </c>
      <c r="Z215" s="36">
        <f>IFERROR(IF(Y215=0,"",ROUNDUP(Y215/H215,0)*0.01898),"")</f>
        <v>0.11388000000000001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45.526913580246919</v>
      </c>
      <c r="BN215" s="64">
        <f t="shared" si="17"/>
        <v>51.455999999999996</v>
      </c>
      <c r="BO215" s="64">
        <f t="shared" si="18"/>
        <v>8.2947530864197538E-2</v>
      </c>
      <c r="BP215" s="64">
        <f t="shared" si="19"/>
        <v>9.375E-2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1">
        <v>4680115880573</v>
      </c>
      <c r="E216" s="562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9"/>
      <c r="R216" s="559"/>
      <c r="S216" s="559"/>
      <c r="T216" s="560"/>
      <c r="U216" s="34"/>
      <c r="V216" s="34"/>
      <c r="W216" s="35" t="s">
        <v>69</v>
      </c>
      <c r="X216" s="545">
        <v>244</v>
      </c>
      <c r="Y216" s="546">
        <f t="shared" si="15"/>
        <v>252.29999999999998</v>
      </c>
      <c r="Z216" s="36">
        <f>IFERROR(IF(Y216=0,"",ROUNDUP(Y216/H216,0)*0.01898),"")</f>
        <v>0.55042000000000002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257.85471264367823</v>
      </c>
      <c r="BN216" s="64">
        <f t="shared" si="17"/>
        <v>266.62600000000003</v>
      </c>
      <c r="BO216" s="64">
        <f t="shared" si="18"/>
        <v>0.43821839080459773</v>
      </c>
      <c r="BP216" s="64">
        <f t="shared" si="19"/>
        <v>0.453125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1">
        <v>4680115882195</v>
      </c>
      <c r="E217" s="562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9"/>
      <c r="R217" s="559"/>
      <c r="S217" s="559"/>
      <c r="T217" s="560"/>
      <c r="U217" s="34"/>
      <c r="V217" s="34"/>
      <c r="W217" s="35" t="s">
        <v>69</v>
      </c>
      <c r="X217" s="545">
        <v>69</v>
      </c>
      <c r="Y217" s="546">
        <f t="shared" si="15"/>
        <v>69.599999999999994</v>
      </c>
      <c r="Z217" s="36">
        <f t="shared" ref="Z217:Z222" si="20">IFERROR(IF(Y217=0,"",ROUNDUP(Y217/H217,0)*0.00651),"")</f>
        <v>0.18879000000000001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76.762500000000003</v>
      </c>
      <c r="BN217" s="64">
        <f t="shared" si="17"/>
        <v>77.430000000000007</v>
      </c>
      <c r="BO217" s="64">
        <f t="shared" si="18"/>
        <v>0.15796703296703299</v>
      </c>
      <c r="BP217" s="64">
        <f t="shared" si="19"/>
        <v>0.15934065934065936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61">
        <v>4680115882607</v>
      </c>
      <c r="E218" s="562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9"/>
      <c r="R218" s="559"/>
      <c r="S218" s="559"/>
      <c r="T218" s="560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1">
        <v>4680115880092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9"/>
      <c r="R219" s="559"/>
      <c r="S219" s="559"/>
      <c r="T219" s="560"/>
      <c r="U219" s="34"/>
      <c r="V219" s="34"/>
      <c r="W219" s="35" t="s">
        <v>69</v>
      </c>
      <c r="X219" s="545">
        <v>278</v>
      </c>
      <c r="Y219" s="546">
        <f t="shared" si="15"/>
        <v>278.39999999999998</v>
      </c>
      <c r="Z219" s="36">
        <f t="shared" si="20"/>
        <v>0.75516000000000005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307.19000000000005</v>
      </c>
      <c r="BN219" s="64">
        <f t="shared" si="17"/>
        <v>307.63200000000001</v>
      </c>
      <c r="BO219" s="64">
        <f t="shared" si="18"/>
        <v>0.63644688644688652</v>
      </c>
      <c r="BP219" s="64">
        <f t="shared" si="19"/>
        <v>0.63736263736263743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1">
        <v>4680115880221</v>
      </c>
      <c r="E220" s="562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9"/>
      <c r="R220" s="559"/>
      <c r="S220" s="559"/>
      <c r="T220" s="560"/>
      <c r="U220" s="34"/>
      <c r="V220" s="34"/>
      <c r="W220" s="35" t="s">
        <v>69</v>
      </c>
      <c r="X220" s="545">
        <v>199</v>
      </c>
      <c r="Y220" s="546">
        <f t="shared" si="15"/>
        <v>199.2</v>
      </c>
      <c r="Z220" s="36">
        <f t="shared" si="20"/>
        <v>0.54032999999999998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219.89500000000004</v>
      </c>
      <c r="BN220" s="64">
        <f t="shared" si="17"/>
        <v>220.11600000000001</v>
      </c>
      <c r="BO220" s="64">
        <f t="shared" si="18"/>
        <v>0.45558608058608063</v>
      </c>
      <c r="BP220" s="64">
        <f t="shared" si="19"/>
        <v>0.45604395604395609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1">
        <v>4680115880504</v>
      </c>
      <c r="E221" s="562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9"/>
      <c r="R221" s="559"/>
      <c r="S221" s="559"/>
      <c r="T221" s="560"/>
      <c r="U221" s="34"/>
      <c r="V221" s="34"/>
      <c r="W221" s="35" t="s">
        <v>69</v>
      </c>
      <c r="X221" s="545">
        <v>178</v>
      </c>
      <c r="Y221" s="546">
        <f t="shared" si="15"/>
        <v>180</v>
      </c>
      <c r="Z221" s="36">
        <f t="shared" si="20"/>
        <v>0.48825000000000002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196.69000000000003</v>
      </c>
      <c r="BN221" s="64">
        <f t="shared" si="17"/>
        <v>198.9</v>
      </c>
      <c r="BO221" s="64">
        <f t="shared" si="18"/>
        <v>0.40750915750915756</v>
      </c>
      <c r="BP221" s="64">
        <f t="shared" si="19"/>
        <v>0.41208791208791212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1">
        <v>4680115882164</v>
      </c>
      <c r="E222" s="562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6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9"/>
      <c r="R222" s="559"/>
      <c r="S222" s="559"/>
      <c r="T222" s="560"/>
      <c r="U222" s="34"/>
      <c r="V222" s="34"/>
      <c r="W222" s="35" t="s">
        <v>69</v>
      </c>
      <c r="X222" s="545">
        <v>187</v>
      </c>
      <c r="Y222" s="546">
        <f t="shared" si="15"/>
        <v>187.2</v>
      </c>
      <c r="Z222" s="36">
        <f t="shared" si="20"/>
        <v>0.50778000000000001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207.10249999999999</v>
      </c>
      <c r="BN222" s="64">
        <f t="shared" si="17"/>
        <v>207.32399999999998</v>
      </c>
      <c r="BO222" s="64">
        <f t="shared" si="18"/>
        <v>0.42811355311355315</v>
      </c>
      <c r="BP222" s="64">
        <f t="shared" si="19"/>
        <v>0.4285714285714286</v>
      </c>
    </row>
    <row r="223" spans="1:68" x14ac:dyDescent="0.2">
      <c r="A223" s="556"/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7"/>
      <c r="P223" s="551" t="s">
        <v>75</v>
      </c>
      <c r="Q223" s="552"/>
      <c r="R223" s="552"/>
      <c r="S223" s="552"/>
      <c r="T223" s="552"/>
      <c r="U223" s="552"/>
      <c r="V223" s="55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418.8638782460622</v>
      </c>
      <c r="Y223" s="547">
        <f>IFERROR(Y214/H214,"0")+IFERROR(Y215/H215,"0")+IFERROR(Y216/H216,"0")+IFERROR(Y217/H217,"0")+IFERROR(Y218/H218,"0")+IFERROR(Y219/H219,"0")+IFERROR(Y220/H220,"0")+IFERROR(Y221/H221,"0")+IFERROR(Y222/H222,"0")</f>
        <v>422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3.2584899999999997</v>
      </c>
      <c r="AA223" s="548"/>
      <c r="AB223" s="548"/>
      <c r="AC223" s="548"/>
    </row>
    <row r="224" spans="1:68" x14ac:dyDescent="0.2">
      <c r="A224" s="555"/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7"/>
      <c r="P224" s="551" t="s">
        <v>75</v>
      </c>
      <c r="Q224" s="552"/>
      <c r="R224" s="552"/>
      <c r="S224" s="552"/>
      <c r="T224" s="552"/>
      <c r="U224" s="552"/>
      <c r="V224" s="553"/>
      <c r="W224" s="37" t="s">
        <v>69</v>
      </c>
      <c r="X224" s="547">
        <f>IFERROR(SUM(X214:X222),"0")</f>
        <v>1246</v>
      </c>
      <c r="Y224" s="547">
        <f>IFERROR(SUM(Y214:Y222),"0")</f>
        <v>1263.9000000000001</v>
      </c>
      <c r="Z224" s="37"/>
      <c r="AA224" s="548"/>
      <c r="AB224" s="548"/>
      <c r="AC224" s="548"/>
    </row>
    <row r="225" spans="1:68" ht="14.25" hidden="1" customHeight="1" x14ac:dyDescent="0.25">
      <c r="A225" s="554" t="s">
        <v>160</v>
      </c>
      <c r="B225" s="555"/>
      <c r="C225" s="555"/>
      <c r="D225" s="555"/>
      <c r="E225" s="555"/>
      <c r="F225" s="555"/>
      <c r="G225" s="555"/>
      <c r="H225" s="555"/>
      <c r="I225" s="555"/>
      <c r="J225" s="555"/>
      <c r="K225" s="555"/>
      <c r="L225" s="555"/>
      <c r="M225" s="555"/>
      <c r="N225" s="555"/>
      <c r="O225" s="555"/>
      <c r="P225" s="555"/>
      <c r="Q225" s="555"/>
      <c r="R225" s="555"/>
      <c r="S225" s="555"/>
      <c r="T225" s="555"/>
      <c r="U225" s="555"/>
      <c r="V225" s="555"/>
      <c r="W225" s="555"/>
      <c r="X225" s="555"/>
      <c r="Y225" s="555"/>
      <c r="Z225" s="555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61">
        <v>4680115880818</v>
      </c>
      <c r="E226" s="562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6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9"/>
      <c r="R226" s="559"/>
      <c r="S226" s="559"/>
      <c r="T226" s="560"/>
      <c r="U226" s="34"/>
      <c r="V226" s="34"/>
      <c r="W226" s="35" t="s">
        <v>69</v>
      </c>
      <c r="X226" s="545">
        <v>34</v>
      </c>
      <c r="Y226" s="546">
        <f>IFERROR(IF(X226="",0,CEILING((X226/$H226),1)*$H226),"")</f>
        <v>36</v>
      </c>
      <c r="Z226" s="36">
        <f>IFERROR(IF(Y226=0,"",ROUNDUP(Y226/H226,0)*0.00651),"")</f>
        <v>9.7650000000000001E-2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37.570000000000007</v>
      </c>
      <c r="BN226" s="64">
        <f>IFERROR(Y226*I226/H226,"0")</f>
        <v>39.780000000000008</v>
      </c>
      <c r="BO226" s="64">
        <f>IFERROR(1/J226*(X226/H226),"0")</f>
        <v>7.7838827838827854E-2</v>
      </c>
      <c r="BP226" s="64">
        <f>IFERROR(1/J226*(Y226/H226),"0")</f>
        <v>8.241758241758243E-2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61">
        <v>4680115880801</v>
      </c>
      <c r="E227" s="562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6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9"/>
      <c r="R227" s="559"/>
      <c r="S227" s="559"/>
      <c r="T227" s="560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56"/>
      <c r="B228" s="555"/>
      <c r="C228" s="555"/>
      <c r="D228" s="555"/>
      <c r="E228" s="555"/>
      <c r="F228" s="555"/>
      <c r="G228" s="555"/>
      <c r="H228" s="555"/>
      <c r="I228" s="555"/>
      <c r="J228" s="555"/>
      <c r="K228" s="555"/>
      <c r="L228" s="555"/>
      <c r="M228" s="555"/>
      <c r="N228" s="555"/>
      <c r="O228" s="557"/>
      <c r="P228" s="551" t="s">
        <v>75</v>
      </c>
      <c r="Q228" s="552"/>
      <c r="R228" s="552"/>
      <c r="S228" s="552"/>
      <c r="T228" s="552"/>
      <c r="U228" s="552"/>
      <c r="V228" s="553"/>
      <c r="W228" s="37" t="s">
        <v>76</v>
      </c>
      <c r="X228" s="547">
        <f>IFERROR(X226/H226,"0")+IFERROR(X227/H227,"0")</f>
        <v>22.5</v>
      </c>
      <c r="Y228" s="547">
        <f>IFERROR(Y226/H226,"0")+IFERROR(Y227/H227,"0")</f>
        <v>24</v>
      </c>
      <c r="Z228" s="547">
        <f>IFERROR(IF(Z226="",0,Z226),"0")+IFERROR(IF(Z227="",0,Z227),"0")</f>
        <v>0.15623999999999999</v>
      </c>
      <c r="AA228" s="548"/>
      <c r="AB228" s="548"/>
      <c r="AC228" s="548"/>
    </row>
    <row r="229" spans="1:68" x14ac:dyDescent="0.2">
      <c r="A229" s="555"/>
      <c r="B229" s="555"/>
      <c r="C229" s="555"/>
      <c r="D229" s="555"/>
      <c r="E229" s="555"/>
      <c r="F229" s="555"/>
      <c r="G229" s="555"/>
      <c r="H229" s="555"/>
      <c r="I229" s="555"/>
      <c r="J229" s="555"/>
      <c r="K229" s="555"/>
      <c r="L229" s="555"/>
      <c r="M229" s="555"/>
      <c r="N229" s="555"/>
      <c r="O229" s="557"/>
      <c r="P229" s="551" t="s">
        <v>75</v>
      </c>
      <c r="Q229" s="552"/>
      <c r="R229" s="552"/>
      <c r="S229" s="552"/>
      <c r="T229" s="552"/>
      <c r="U229" s="552"/>
      <c r="V229" s="553"/>
      <c r="W229" s="37" t="s">
        <v>69</v>
      </c>
      <c r="X229" s="547">
        <f>IFERROR(SUM(X226:X227),"0")</f>
        <v>54</v>
      </c>
      <c r="Y229" s="547">
        <f>IFERROR(SUM(Y226:Y227),"0")</f>
        <v>57.599999999999994</v>
      </c>
      <c r="Z229" s="37"/>
      <c r="AA229" s="548"/>
      <c r="AB229" s="548"/>
      <c r="AC229" s="548"/>
    </row>
    <row r="230" spans="1:68" ht="16.5" hidden="1" customHeight="1" x14ac:dyDescent="0.25">
      <c r="A230" s="590" t="s">
        <v>379</v>
      </c>
      <c r="B230" s="555"/>
      <c r="C230" s="555"/>
      <c r="D230" s="555"/>
      <c r="E230" s="555"/>
      <c r="F230" s="555"/>
      <c r="G230" s="555"/>
      <c r="H230" s="555"/>
      <c r="I230" s="555"/>
      <c r="J230" s="555"/>
      <c r="K230" s="555"/>
      <c r="L230" s="555"/>
      <c r="M230" s="555"/>
      <c r="N230" s="555"/>
      <c r="O230" s="555"/>
      <c r="P230" s="555"/>
      <c r="Q230" s="555"/>
      <c r="R230" s="555"/>
      <c r="S230" s="555"/>
      <c r="T230" s="555"/>
      <c r="U230" s="555"/>
      <c r="V230" s="555"/>
      <c r="W230" s="555"/>
      <c r="X230" s="555"/>
      <c r="Y230" s="555"/>
      <c r="Z230" s="555"/>
      <c r="AA230" s="540"/>
      <c r="AB230" s="540"/>
      <c r="AC230" s="540"/>
    </row>
    <row r="231" spans="1:68" ht="14.25" hidden="1" customHeight="1" x14ac:dyDescent="0.25">
      <c r="A231" s="554" t="s">
        <v>99</v>
      </c>
      <c r="B231" s="555"/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5"/>
      <c r="T231" s="555"/>
      <c r="U231" s="555"/>
      <c r="V231" s="555"/>
      <c r="W231" s="555"/>
      <c r="X231" s="555"/>
      <c r="Y231" s="555"/>
      <c r="Z231" s="555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61">
        <v>4680115884137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9"/>
      <c r="R232" s="559"/>
      <c r="S232" s="559"/>
      <c r="T232" s="560"/>
      <c r="U232" s="34"/>
      <c r="V232" s="34"/>
      <c r="W232" s="35" t="s">
        <v>69</v>
      </c>
      <c r="X232" s="545">
        <v>149</v>
      </c>
      <c r="Y232" s="546">
        <f t="shared" ref="Y232:Y240" si="21">IFERROR(IF(X232="",0,CEILING((X232/$H232),1)*$H232),"")</f>
        <v>150.79999999999998</v>
      </c>
      <c r="Z232" s="36">
        <f>IFERROR(IF(Y232=0,"",ROUNDUP(Y232/H232,0)*0.01898),"")</f>
        <v>0.24674000000000001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154.26637931034483</v>
      </c>
      <c r="BN232" s="64">
        <f t="shared" ref="BN232:BN240" si="23">IFERROR(Y232*I232/H232,"0")</f>
        <v>156.12999999999997</v>
      </c>
      <c r="BO232" s="64">
        <f t="shared" ref="BO232:BO240" si="24">IFERROR(1/J232*(X232/H232),"0")</f>
        <v>0.20070043103448276</v>
      </c>
      <c r="BP232" s="64">
        <f t="shared" ref="BP232:BP240" si="25">IFERROR(1/J232*(Y232/H232),"0")</f>
        <v>0.20312499999999997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61">
        <v>4680115884236</v>
      </c>
      <c r="E233" s="562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2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9"/>
      <c r="R233" s="559"/>
      <c r="S233" s="559"/>
      <c r="T233" s="560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61">
        <v>4680115884175</v>
      </c>
      <c r="E234" s="562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9"/>
      <c r="R234" s="559"/>
      <c r="S234" s="559"/>
      <c r="T234" s="560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61">
        <v>4680115884144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9"/>
      <c r="R235" s="559"/>
      <c r="S235" s="559"/>
      <c r="T235" s="560"/>
      <c r="U235" s="34"/>
      <c r="V235" s="34"/>
      <c r="W235" s="35" t="s">
        <v>69</v>
      </c>
      <c r="X235" s="545">
        <v>8</v>
      </c>
      <c r="Y235" s="546">
        <f t="shared" si="21"/>
        <v>8</v>
      </c>
      <c r="Z235" s="36">
        <f>IFERROR(IF(Y235=0,"",ROUNDUP(Y235/H235,0)*0.00902),"")</f>
        <v>1.804E-2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8.3800000000000008</v>
      </c>
      <c r="BN235" s="64">
        <f t="shared" si="23"/>
        <v>8.3800000000000008</v>
      </c>
      <c r="BO235" s="64">
        <f t="shared" si="24"/>
        <v>1.5151515151515152E-2</v>
      </c>
      <c r="BP235" s="64">
        <f t="shared" si="25"/>
        <v>1.5151515151515152E-2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61">
        <v>4680115884144</v>
      </c>
      <c r="E236" s="562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9"/>
      <c r="R236" s="559"/>
      <c r="S236" s="559"/>
      <c r="T236" s="560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61">
        <v>4680115886551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9"/>
      <c r="R237" s="559"/>
      <c r="S237" s="559"/>
      <c r="T237" s="560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61">
        <v>4680115887282</v>
      </c>
      <c r="E238" s="562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9"/>
      <c r="R238" s="559"/>
      <c r="S238" s="559"/>
      <c r="T238" s="560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61">
        <v>4680115884205</v>
      </c>
      <c r="E239" s="562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9"/>
      <c r="R239" s="559"/>
      <c r="S239" s="559"/>
      <c r="T239" s="560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61">
        <v>4680115884205</v>
      </c>
      <c r="E240" s="562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1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9"/>
      <c r="R240" s="559"/>
      <c r="S240" s="559"/>
      <c r="T240" s="560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56"/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7"/>
      <c r="P241" s="551" t="s">
        <v>75</v>
      </c>
      <c r="Q241" s="552"/>
      <c r="R241" s="552"/>
      <c r="S241" s="552"/>
      <c r="T241" s="552"/>
      <c r="U241" s="552"/>
      <c r="V241" s="55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14.844827586206897</v>
      </c>
      <c r="Y241" s="547">
        <f>IFERROR(Y232/H232,"0")+IFERROR(Y233/H233,"0")+IFERROR(Y234/H234,"0")+IFERROR(Y235/H235,"0")+IFERROR(Y236/H236,"0")+IFERROR(Y237/H237,"0")+IFERROR(Y238/H238,"0")+IFERROR(Y239/H239,"0")+IFERROR(Y240/H240,"0")</f>
        <v>14.999999999999998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0.26478000000000002</v>
      </c>
      <c r="AA241" s="548"/>
      <c r="AB241" s="548"/>
      <c r="AC241" s="548"/>
    </row>
    <row r="242" spans="1:68" x14ac:dyDescent="0.2">
      <c r="A242" s="55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7"/>
      <c r="P242" s="551" t="s">
        <v>75</v>
      </c>
      <c r="Q242" s="552"/>
      <c r="R242" s="552"/>
      <c r="S242" s="552"/>
      <c r="T242" s="552"/>
      <c r="U242" s="552"/>
      <c r="V242" s="553"/>
      <c r="W242" s="37" t="s">
        <v>69</v>
      </c>
      <c r="X242" s="547">
        <f>IFERROR(SUM(X232:X240),"0")</f>
        <v>157</v>
      </c>
      <c r="Y242" s="547">
        <f>IFERROR(SUM(Y232:Y240),"0")</f>
        <v>158.79999999999998</v>
      </c>
      <c r="Z242" s="37"/>
      <c r="AA242" s="548"/>
      <c r="AB242" s="548"/>
      <c r="AC242" s="548"/>
    </row>
    <row r="243" spans="1:68" ht="14.25" hidden="1" customHeight="1" x14ac:dyDescent="0.25">
      <c r="A243" s="554" t="s">
        <v>135</v>
      </c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5"/>
      <c r="P243" s="555"/>
      <c r="Q243" s="555"/>
      <c r="R243" s="555"/>
      <c r="S243" s="555"/>
      <c r="T243" s="555"/>
      <c r="U243" s="555"/>
      <c r="V243" s="555"/>
      <c r="W243" s="555"/>
      <c r="X243" s="555"/>
      <c r="Y243" s="555"/>
      <c r="Z243" s="555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61">
        <v>4680115885981</v>
      </c>
      <c r="E244" s="562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9"/>
      <c r="R244" s="559"/>
      <c r="S244" s="559"/>
      <c r="T244" s="560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6"/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7"/>
      <c r="P245" s="551" t="s">
        <v>75</v>
      </c>
      <c r="Q245" s="552"/>
      <c r="R245" s="552"/>
      <c r="S245" s="552"/>
      <c r="T245" s="552"/>
      <c r="U245" s="552"/>
      <c r="V245" s="55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5"/>
      <c r="B246" s="555"/>
      <c r="C246" s="555"/>
      <c r="D246" s="555"/>
      <c r="E246" s="555"/>
      <c r="F246" s="555"/>
      <c r="G246" s="555"/>
      <c r="H246" s="555"/>
      <c r="I246" s="555"/>
      <c r="J246" s="555"/>
      <c r="K246" s="555"/>
      <c r="L246" s="555"/>
      <c r="M246" s="555"/>
      <c r="N246" s="555"/>
      <c r="O246" s="557"/>
      <c r="P246" s="551" t="s">
        <v>75</v>
      </c>
      <c r="Q246" s="552"/>
      <c r="R246" s="552"/>
      <c r="S246" s="552"/>
      <c r="T246" s="552"/>
      <c r="U246" s="552"/>
      <c r="V246" s="55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4" t="s">
        <v>404</v>
      </c>
      <c r="B247" s="555"/>
      <c r="C247" s="555"/>
      <c r="D247" s="555"/>
      <c r="E247" s="555"/>
      <c r="F247" s="555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  <c r="U247" s="555"/>
      <c r="V247" s="555"/>
      <c r="W247" s="555"/>
      <c r="X247" s="555"/>
      <c r="Y247" s="555"/>
      <c r="Z247" s="555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61">
        <v>4680115886803</v>
      </c>
      <c r="E248" s="562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9"/>
      <c r="R248" s="559"/>
      <c r="S248" s="559"/>
      <c r="T248" s="560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6"/>
      <c r="B249" s="555"/>
      <c r="C249" s="555"/>
      <c r="D249" s="555"/>
      <c r="E249" s="555"/>
      <c r="F249" s="555"/>
      <c r="G249" s="555"/>
      <c r="H249" s="555"/>
      <c r="I249" s="555"/>
      <c r="J249" s="555"/>
      <c r="K249" s="555"/>
      <c r="L249" s="555"/>
      <c r="M249" s="555"/>
      <c r="N249" s="555"/>
      <c r="O249" s="557"/>
      <c r="P249" s="551" t="s">
        <v>75</v>
      </c>
      <c r="Q249" s="552"/>
      <c r="R249" s="552"/>
      <c r="S249" s="552"/>
      <c r="T249" s="552"/>
      <c r="U249" s="552"/>
      <c r="V249" s="55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7"/>
      <c r="P250" s="551" t="s">
        <v>75</v>
      </c>
      <c r="Q250" s="552"/>
      <c r="R250" s="552"/>
      <c r="S250" s="552"/>
      <c r="T250" s="552"/>
      <c r="U250" s="552"/>
      <c r="V250" s="55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4" t="s">
        <v>408</v>
      </c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  <c r="U251" s="555"/>
      <c r="V251" s="555"/>
      <c r="W251" s="555"/>
      <c r="X251" s="555"/>
      <c r="Y251" s="555"/>
      <c r="Z251" s="555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61">
        <v>4680115886704</v>
      </c>
      <c r="E252" s="562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9"/>
      <c r="R252" s="559"/>
      <c r="S252" s="559"/>
      <c r="T252" s="560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61">
        <v>4680115886681</v>
      </c>
      <c r="E253" s="562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9"/>
      <c r="R253" s="559"/>
      <c r="S253" s="559"/>
      <c r="T253" s="560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61">
        <v>4680115886735</v>
      </c>
      <c r="E254" s="562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6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9"/>
      <c r="R254" s="559"/>
      <c r="S254" s="559"/>
      <c r="T254" s="560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61">
        <v>4680115886728</v>
      </c>
      <c r="E255" s="562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9"/>
      <c r="R255" s="559"/>
      <c r="S255" s="559"/>
      <c r="T255" s="560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61">
        <v>4680115886711</v>
      </c>
      <c r="E256" s="562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9"/>
      <c r="R256" s="559"/>
      <c r="S256" s="559"/>
      <c r="T256" s="560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6"/>
      <c r="B257" s="555"/>
      <c r="C257" s="555"/>
      <c r="D257" s="555"/>
      <c r="E257" s="555"/>
      <c r="F257" s="555"/>
      <c r="G257" s="555"/>
      <c r="H257" s="555"/>
      <c r="I257" s="555"/>
      <c r="J257" s="555"/>
      <c r="K257" s="555"/>
      <c r="L257" s="555"/>
      <c r="M257" s="555"/>
      <c r="N257" s="555"/>
      <c r="O257" s="557"/>
      <c r="P257" s="551" t="s">
        <v>75</v>
      </c>
      <c r="Q257" s="552"/>
      <c r="R257" s="552"/>
      <c r="S257" s="552"/>
      <c r="T257" s="552"/>
      <c r="U257" s="552"/>
      <c r="V257" s="55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5"/>
      <c r="B258" s="555"/>
      <c r="C258" s="555"/>
      <c r="D258" s="555"/>
      <c r="E258" s="555"/>
      <c r="F258" s="555"/>
      <c r="G258" s="555"/>
      <c r="H258" s="555"/>
      <c r="I258" s="555"/>
      <c r="J258" s="555"/>
      <c r="K258" s="555"/>
      <c r="L258" s="555"/>
      <c r="M258" s="555"/>
      <c r="N258" s="555"/>
      <c r="O258" s="557"/>
      <c r="P258" s="551" t="s">
        <v>75</v>
      </c>
      <c r="Q258" s="552"/>
      <c r="R258" s="552"/>
      <c r="S258" s="552"/>
      <c r="T258" s="552"/>
      <c r="U258" s="552"/>
      <c r="V258" s="55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90" t="s">
        <v>420</v>
      </c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  <c r="U259" s="555"/>
      <c r="V259" s="555"/>
      <c r="W259" s="555"/>
      <c r="X259" s="555"/>
      <c r="Y259" s="555"/>
      <c r="Z259" s="555"/>
      <c r="AA259" s="540"/>
      <c r="AB259" s="540"/>
      <c r="AC259" s="540"/>
    </row>
    <row r="260" spans="1:68" ht="14.25" hidden="1" customHeight="1" x14ac:dyDescent="0.25">
      <c r="A260" s="554" t="s">
        <v>99</v>
      </c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  <c r="U260" s="555"/>
      <c r="V260" s="555"/>
      <c r="W260" s="555"/>
      <c r="X260" s="555"/>
      <c r="Y260" s="555"/>
      <c r="Z260" s="555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61">
        <v>4680115885837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9"/>
      <c r="R261" s="559"/>
      <c r="S261" s="559"/>
      <c r="T261" s="560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61">
        <v>4680115885851</v>
      </c>
      <c r="E262" s="562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5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9"/>
      <c r="R262" s="559"/>
      <c r="S262" s="559"/>
      <c r="T262" s="560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61">
        <v>4680115885806</v>
      </c>
      <c r="E263" s="562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6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9"/>
      <c r="R263" s="559"/>
      <c r="S263" s="559"/>
      <c r="T263" s="560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61">
        <v>4680115885844</v>
      </c>
      <c r="E264" s="562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9"/>
      <c r="R264" s="559"/>
      <c r="S264" s="559"/>
      <c r="T264" s="560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61">
        <v>4680115885820</v>
      </c>
      <c r="E265" s="562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9"/>
      <c r="R265" s="559"/>
      <c r="S265" s="559"/>
      <c r="T265" s="560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6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7"/>
      <c r="P266" s="551" t="s">
        <v>75</v>
      </c>
      <c r="Q266" s="552"/>
      <c r="R266" s="552"/>
      <c r="S266" s="552"/>
      <c r="T266" s="552"/>
      <c r="U266" s="552"/>
      <c r="V266" s="55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7"/>
      <c r="P267" s="551" t="s">
        <v>75</v>
      </c>
      <c r="Q267" s="552"/>
      <c r="R267" s="552"/>
      <c r="S267" s="552"/>
      <c r="T267" s="552"/>
      <c r="U267" s="552"/>
      <c r="V267" s="55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90" t="s">
        <v>436</v>
      </c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  <c r="U268" s="555"/>
      <c r="V268" s="555"/>
      <c r="W268" s="555"/>
      <c r="X268" s="555"/>
      <c r="Y268" s="555"/>
      <c r="Z268" s="555"/>
      <c r="AA268" s="540"/>
      <c r="AB268" s="540"/>
      <c r="AC268" s="540"/>
    </row>
    <row r="269" spans="1:68" ht="14.25" hidden="1" customHeight="1" x14ac:dyDescent="0.25">
      <c r="A269" s="554" t="s">
        <v>99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61">
        <v>4607091383423</v>
      </c>
      <c r="E270" s="562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6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9"/>
      <c r="R270" s="559"/>
      <c r="S270" s="559"/>
      <c r="T270" s="560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61">
        <v>4680115886957</v>
      </c>
      <c r="E271" s="562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84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9"/>
      <c r="R271" s="559"/>
      <c r="S271" s="559"/>
      <c r="T271" s="560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61">
        <v>4680115885660</v>
      </c>
      <c r="E272" s="562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9"/>
      <c r="R272" s="559"/>
      <c r="S272" s="559"/>
      <c r="T272" s="560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61">
        <v>4680115886773</v>
      </c>
      <c r="E273" s="562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7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9"/>
      <c r="R273" s="559"/>
      <c r="S273" s="559"/>
      <c r="T273" s="560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7"/>
      <c r="P274" s="551" t="s">
        <v>75</v>
      </c>
      <c r="Q274" s="552"/>
      <c r="R274" s="552"/>
      <c r="S274" s="552"/>
      <c r="T274" s="552"/>
      <c r="U274" s="552"/>
      <c r="V274" s="55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7"/>
      <c r="P275" s="551" t="s">
        <v>75</v>
      </c>
      <c r="Q275" s="552"/>
      <c r="R275" s="552"/>
      <c r="S275" s="552"/>
      <c r="T275" s="552"/>
      <c r="U275" s="552"/>
      <c r="V275" s="55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90" t="s">
        <v>447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40"/>
      <c r="AB276" s="540"/>
      <c r="AC276" s="540"/>
    </row>
    <row r="277" spans="1:68" ht="14.25" hidden="1" customHeight="1" x14ac:dyDescent="0.25">
      <c r="A277" s="554" t="s">
        <v>77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61">
        <v>4680115886186</v>
      </c>
      <c r="E278" s="562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9"/>
      <c r="R278" s="559"/>
      <c r="S278" s="559"/>
      <c r="T278" s="560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61">
        <v>4680115881228</v>
      </c>
      <c r="E279" s="562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9"/>
      <c r="R279" s="559"/>
      <c r="S279" s="559"/>
      <c r="T279" s="560"/>
      <c r="U279" s="34"/>
      <c r="V279" s="34"/>
      <c r="W279" s="35" t="s">
        <v>69</v>
      </c>
      <c r="X279" s="545">
        <v>120</v>
      </c>
      <c r="Y279" s="546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61">
        <v>4680115881211</v>
      </c>
      <c r="E280" s="562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9"/>
      <c r="R280" s="559"/>
      <c r="S280" s="559"/>
      <c r="T280" s="560"/>
      <c r="U280" s="34"/>
      <c r="V280" s="34"/>
      <c r="W280" s="35" t="s">
        <v>69</v>
      </c>
      <c r="X280" s="545">
        <v>237</v>
      </c>
      <c r="Y280" s="546">
        <f>IFERROR(IF(X280="",0,CEILING((X280/$H280),1)*$H280),"")</f>
        <v>237.6</v>
      </c>
      <c r="Z280" s="36">
        <f>IFERROR(IF(Y280=0,"",ROUNDUP(Y280/H280,0)*0.00651),"")</f>
        <v>0.64449000000000001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254.77500000000003</v>
      </c>
      <c r="BN280" s="64">
        <f>IFERROR(Y280*I280/H280,"0")</f>
        <v>255.42000000000002</v>
      </c>
      <c r="BO280" s="64">
        <f>IFERROR(1/J280*(X280/H280),"0")</f>
        <v>0.54258241758241765</v>
      </c>
      <c r="BP280" s="64">
        <f>IFERROR(1/J280*(Y280/H280),"0")</f>
        <v>0.54395604395604402</v>
      </c>
    </row>
    <row r="281" spans="1:68" x14ac:dyDescent="0.2">
      <c r="A281" s="556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7"/>
      <c r="P281" s="551" t="s">
        <v>75</v>
      </c>
      <c r="Q281" s="552"/>
      <c r="R281" s="552"/>
      <c r="S281" s="552"/>
      <c r="T281" s="552"/>
      <c r="U281" s="552"/>
      <c r="V281" s="553"/>
      <c r="W281" s="37" t="s">
        <v>76</v>
      </c>
      <c r="X281" s="547">
        <f>IFERROR(X278/H278,"0")+IFERROR(X279/H279,"0")+IFERROR(X280/H280,"0")</f>
        <v>148.75</v>
      </c>
      <c r="Y281" s="547">
        <f>IFERROR(Y278/H278,"0")+IFERROR(Y279/H279,"0")+IFERROR(Y280/H280,"0")</f>
        <v>149</v>
      </c>
      <c r="Z281" s="547">
        <f>IFERROR(IF(Z278="",0,Z278),"0")+IFERROR(IF(Z279="",0,Z279),"0")+IFERROR(IF(Z280="",0,Z280),"0")</f>
        <v>0.96999000000000002</v>
      </c>
      <c r="AA281" s="548"/>
      <c r="AB281" s="548"/>
      <c r="AC281" s="548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7"/>
      <c r="P282" s="551" t="s">
        <v>75</v>
      </c>
      <c r="Q282" s="552"/>
      <c r="R282" s="552"/>
      <c r="S282" s="552"/>
      <c r="T282" s="552"/>
      <c r="U282" s="552"/>
      <c r="V282" s="553"/>
      <c r="W282" s="37" t="s">
        <v>69</v>
      </c>
      <c r="X282" s="547">
        <f>IFERROR(SUM(X278:X280),"0")</f>
        <v>357</v>
      </c>
      <c r="Y282" s="547">
        <f>IFERROR(SUM(Y278:Y280),"0")</f>
        <v>357.6</v>
      </c>
      <c r="Z282" s="37"/>
      <c r="AA282" s="548"/>
      <c r="AB282" s="548"/>
      <c r="AC282" s="548"/>
    </row>
    <row r="283" spans="1:68" ht="16.5" hidden="1" customHeight="1" x14ac:dyDescent="0.25">
      <c r="A283" s="590" t="s">
        <v>456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40"/>
      <c r="AB283" s="540"/>
      <c r="AC283" s="540"/>
    </row>
    <row r="284" spans="1:68" ht="14.25" hidden="1" customHeight="1" x14ac:dyDescent="0.25">
      <c r="A284" s="554" t="s">
        <v>64</v>
      </c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  <c r="U284" s="555"/>
      <c r="V284" s="555"/>
      <c r="W284" s="555"/>
      <c r="X284" s="555"/>
      <c r="Y284" s="555"/>
      <c r="Z284" s="555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61">
        <v>4680115880344</v>
      </c>
      <c r="E285" s="562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9"/>
      <c r="R285" s="559"/>
      <c r="S285" s="559"/>
      <c r="T285" s="560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61">
        <v>4680115886919</v>
      </c>
      <c r="E286" s="562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9"/>
      <c r="R286" s="559"/>
      <c r="S286" s="559"/>
      <c r="T286" s="560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6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7"/>
      <c r="P287" s="551" t="s">
        <v>75</v>
      </c>
      <c r="Q287" s="552"/>
      <c r="R287" s="552"/>
      <c r="S287" s="552"/>
      <c r="T287" s="552"/>
      <c r="U287" s="552"/>
      <c r="V287" s="55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7"/>
      <c r="P288" s="551" t="s">
        <v>75</v>
      </c>
      <c r="Q288" s="552"/>
      <c r="R288" s="552"/>
      <c r="S288" s="552"/>
      <c r="T288" s="552"/>
      <c r="U288" s="552"/>
      <c r="V288" s="55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4" t="s">
        <v>77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61">
        <v>4680115884618</v>
      </c>
      <c r="E290" s="562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83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9"/>
      <c r="R290" s="559"/>
      <c r="S290" s="559"/>
      <c r="T290" s="560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61">
        <v>4680115887114</v>
      </c>
      <c r="E291" s="562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9"/>
      <c r="R291" s="559"/>
      <c r="S291" s="559"/>
      <c r="T291" s="560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6"/>
      <c r="B292" s="555"/>
      <c r="C292" s="555"/>
      <c r="D292" s="555"/>
      <c r="E292" s="555"/>
      <c r="F292" s="555"/>
      <c r="G292" s="555"/>
      <c r="H292" s="555"/>
      <c r="I292" s="555"/>
      <c r="J292" s="555"/>
      <c r="K292" s="555"/>
      <c r="L292" s="555"/>
      <c r="M292" s="555"/>
      <c r="N292" s="555"/>
      <c r="O292" s="557"/>
      <c r="P292" s="551" t="s">
        <v>75</v>
      </c>
      <c r="Q292" s="552"/>
      <c r="R292" s="552"/>
      <c r="S292" s="552"/>
      <c r="T292" s="552"/>
      <c r="U292" s="552"/>
      <c r="V292" s="55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5"/>
      <c r="B293" s="555"/>
      <c r="C293" s="555"/>
      <c r="D293" s="555"/>
      <c r="E293" s="555"/>
      <c r="F293" s="555"/>
      <c r="G293" s="555"/>
      <c r="H293" s="555"/>
      <c r="I293" s="555"/>
      <c r="J293" s="555"/>
      <c r="K293" s="555"/>
      <c r="L293" s="555"/>
      <c r="M293" s="555"/>
      <c r="N293" s="555"/>
      <c r="O293" s="557"/>
      <c r="P293" s="551" t="s">
        <v>75</v>
      </c>
      <c r="Q293" s="552"/>
      <c r="R293" s="552"/>
      <c r="S293" s="552"/>
      <c r="T293" s="552"/>
      <c r="U293" s="552"/>
      <c r="V293" s="55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90" t="s">
        <v>469</v>
      </c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  <c r="U294" s="555"/>
      <c r="V294" s="555"/>
      <c r="W294" s="555"/>
      <c r="X294" s="555"/>
      <c r="Y294" s="555"/>
      <c r="Z294" s="555"/>
      <c r="AA294" s="540"/>
      <c r="AB294" s="540"/>
      <c r="AC294" s="540"/>
    </row>
    <row r="295" spans="1:68" ht="14.25" hidden="1" customHeight="1" x14ac:dyDescent="0.25">
      <c r="A295" s="554" t="s">
        <v>99</v>
      </c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  <c r="U295" s="555"/>
      <c r="V295" s="555"/>
      <c r="W295" s="555"/>
      <c r="X295" s="555"/>
      <c r="Y295" s="555"/>
      <c r="Z295" s="555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61">
        <v>4680115885615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9"/>
      <c r="R296" s="559"/>
      <c r="S296" s="559"/>
      <c r="T296" s="560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61">
        <v>4680115885646</v>
      </c>
      <c r="E297" s="562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5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9"/>
      <c r="R297" s="559"/>
      <c r="S297" s="559"/>
      <c r="T297" s="560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61">
        <v>4680115885554</v>
      </c>
      <c r="E298" s="562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6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9"/>
      <c r="R298" s="559"/>
      <c r="S298" s="559"/>
      <c r="T298" s="560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61">
        <v>4680115885622</v>
      </c>
      <c r="E299" s="562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9"/>
      <c r="R299" s="559"/>
      <c r="S299" s="559"/>
      <c r="T299" s="560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61">
        <v>4680115885608</v>
      </c>
      <c r="E300" s="562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9"/>
      <c r="R300" s="559"/>
      <c r="S300" s="559"/>
      <c r="T300" s="560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56"/>
      <c r="B301" s="555"/>
      <c r="C301" s="555"/>
      <c r="D301" s="555"/>
      <c r="E301" s="555"/>
      <c r="F301" s="555"/>
      <c r="G301" s="555"/>
      <c r="H301" s="555"/>
      <c r="I301" s="555"/>
      <c r="J301" s="555"/>
      <c r="K301" s="555"/>
      <c r="L301" s="555"/>
      <c r="M301" s="555"/>
      <c r="N301" s="555"/>
      <c r="O301" s="557"/>
      <c r="P301" s="551" t="s">
        <v>75</v>
      </c>
      <c r="Q301" s="552"/>
      <c r="R301" s="552"/>
      <c r="S301" s="552"/>
      <c r="T301" s="552"/>
      <c r="U301" s="552"/>
      <c r="V301" s="55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5"/>
      <c r="B302" s="555"/>
      <c r="C302" s="555"/>
      <c r="D302" s="555"/>
      <c r="E302" s="555"/>
      <c r="F302" s="555"/>
      <c r="G302" s="555"/>
      <c r="H302" s="555"/>
      <c r="I302" s="555"/>
      <c r="J302" s="555"/>
      <c r="K302" s="555"/>
      <c r="L302" s="555"/>
      <c r="M302" s="555"/>
      <c r="N302" s="555"/>
      <c r="O302" s="557"/>
      <c r="P302" s="551" t="s">
        <v>75</v>
      </c>
      <c r="Q302" s="552"/>
      <c r="R302" s="552"/>
      <c r="S302" s="552"/>
      <c r="T302" s="552"/>
      <c r="U302" s="552"/>
      <c r="V302" s="55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4" t="s">
        <v>64</v>
      </c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  <c r="U303" s="555"/>
      <c r="V303" s="555"/>
      <c r="W303" s="555"/>
      <c r="X303" s="555"/>
      <c r="Y303" s="555"/>
      <c r="Z303" s="555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61">
        <v>4607091387193</v>
      </c>
      <c r="E304" s="562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5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9"/>
      <c r="R304" s="559"/>
      <c r="S304" s="559"/>
      <c r="T304" s="560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61">
        <v>4607091387230</v>
      </c>
      <c r="E305" s="562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9"/>
      <c r="R305" s="559"/>
      <c r="S305" s="559"/>
      <c r="T305" s="560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61">
        <v>4607091387292</v>
      </c>
      <c r="E306" s="562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1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9"/>
      <c r="R306" s="559"/>
      <c r="S306" s="559"/>
      <c r="T306" s="560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61">
        <v>4607091387285</v>
      </c>
      <c r="E307" s="562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9"/>
      <c r="R307" s="559"/>
      <c r="S307" s="559"/>
      <c r="T307" s="560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61">
        <v>4607091389845</v>
      </c>
      <c r="E308" s="562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9"/>
      <c r="R308" s="559"/>
      <c r="S308" s="559"/>
      <c r="T308" s="560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61">
        <v>4607091383836</v>
      </c>
      <c r="E309" s="562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9"/>
      <c r="R309" s="559"/>
      <c r="S309" s="559"/>
      <c r="T309" s="560"/>
      <c r="U309" s="34"/>
      <c r="V309" s="34"/>
      <c r="W309" s="35" t="s">
        <v>69</v>
      </c>
      <c r="X309" s="545">
        <v>36</v>
      </c>
      <c r="Y309" s="546">
        <f t="shared" si="26"/>
        <v>36</v>
      </c>
      <c r="Z309" s="36">
        <f>IFERROR(IF(Y309=0,"",ROUNDUP(Y309/H309,0)*0.00651),"")</f>
        <v>0.13020000000000001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40.559999999999995</v>
      </c>
      <c r="BN309" s="64">
        <f t="shared" si="28"/>
        <v>40.559999999999995</v>
      </c>
      <c r="BO309" s="64">
        <f t="shared" si="29"/>
        <v>0.1098901098901099</v>
      </c>
      <c r="BP309" s="64">
        <f t="shared" si="30"/>
        <v>0.1098901098901099</v>
      </c>
    </row>
    <row r="310" spans="1:68" x14ac:dyDescent="0.2">
      <c r="A310" s="556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7"/>
      <c r="P310" s="551" t="s">
        <v>75</v>
      </c>
      <c r="Q310" s="552"/>
      <c r="R310" s="552"/>
      <c r="S310" s="552"/>
      <c r="T310" s="552"/>
      <c r="U310" s="552"/>
      <c r="V310" s="553"/>
      <c r="W310" s="37" t="s">
        <v>76</v>
      </c>
      <c r="X310" s="547">
        <f>IFERROR(X304/H304,"0")+IFERROR(X305/H305,"0")+IFERROR(X306/H306,"0")+IFERROR(X307/H307,"0")+IFERROR(X308/H308,"0")+IFERROR(X309/H309,"0")</f>
        <v>20</v>
      </c>
      <c r="Y310" s="547">
        <f>IFERROR(Y304/H304,"0")+IFERROR(Y305/H305,"0")+IFERROR(Y306/H306,"0")+IFERROR(Y307/H307,"0")+IFERROR(Y308/H308,"0")+IFERROR(Y309/H309,"0")</f>
        <v>20</v>
      </c>
      <c r="Z310" s="547">
        <f>IFERROR(IF(Z304="",0,Z304),"0")+IFERROR(IF(Z305="",0,Z305),"0")+IFERROR(IF(Z306="",0,Z306),"0")+IFERROR(IF(Z307="",0,Z307),"0")+IFERROR(IF(Z308="",0,Z308),"0")+IFERROR(IF(Z309="",0,Z309),"0")</f>
        <v>0.13020000000000001</v>
      </c>
      <c r="AA310" s="548"/>
      <c r="AB310" s="548"/>
      <c r="AC310" s="548"/>
    </row>
    <row r="311" spans="1:68" x14ac:dyDescent="0.2">
      <c r="A311" s="55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7"/>
      <c r="P311" s="551" t="s">
        <v>75</v>
      </c>
      <c r="Q311" s="552"/>
      <c r="R311" s="552"/>
      <c r="S311" s="552"/>
      <c r="T311" s="552"/>
      <c r="U311" s="552"/>
      <c r="V311" s="553"/>
      <c r="W311" s="37" t="s">
        <v>69</v>
      </c>
      <c r="X311" s="547">
        <f>IFERROR(SUM(X304:X309),"0")</f>
        <v>36</v>
      </c>
      <c r="Y311" s="547">
        <f>IFERROR(SUM(Y304:Y309),"0")</f>
        <v>36</v>
      </c>
      <c r="Z311" s="37"/>
      <c r="AA311" s="548"/>
      <c r="AB311" s="548"/>
      <c r="AC311" s="548"/>
    </row>
    <row r="312" spans="1:68" ht="14.25" hidden="1" customHeight="1" x14ac:dyDescent="0.25">
      <c r="A312" s="554" t="s">
        <v>77</v>
      </c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  <c r="U312" s="555"/>
      <c r="V312" s="555"/>
      <c r="W312" s="555"/>
      <c r="X312" s="555"/>
      <c r="Y312" s="555"/>
      <c r="Z312" s="555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61">
        <v>4607091387766</v>
      </c>
      <c r="E313" s="562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9"/>
      <c r="R313" s="559"/>
      <c r="S313" s="559"/>
      <c r="T313" s="560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61">
        <v>4607091387957</v>
      </c>
      <c r="E314" s="562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9"/>
      <c r="R314" s="559"/>
      <c r="S314" s="559"/>
      <c r="T314" s="560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61">
        <v>4607091387964</v>
      </c>
      <c r="E315" s="562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9"/>
      <c r="R315" s="559"/>
      <c r="S315" s="559"/>
      <c r="T315" s="560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61">
        <v>4680115884588</v>
      </c>
      <c r="E316" s="562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9"/>
      <c r="R316" s="559"/>
      <c r="S316" s="559"/>
      <c r="T316" s="560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6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7"/>
      <c r="P317" s="551" t="s">
        <v>75</v>
      </c>
      <c r="Q317" s="552"/>
      <c r="R317" s="552"/>
      <c r="S317" s="552"/>
      <c r="T317" s="552"/>
      <c r="U317" s="552"/>
      <c r="V317" s="55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7"/>
      <c r="P318" s="551" t="s">
        <v>75</v>
      </c>
      <c r="Q318" s="552"/>
      <c r="R318" s="552"/>
      <c r="S318" s="552"/>
      <c r="T318" s="552"/>
      <c r="U318" s="552"/>
      <c r="V318" s="55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4" t="s">
        <v>160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61">
        <v>4607091380880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6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9"/>
      <c r="R320" s="559"/>
      <c r="S320" s="559"/>
      <c r="T320" s="560"/>
      <c r="U320" s="34"/>
      <c r="V320" s="34"/>
      <c r="W320" s="35" t="s">
        <v>69</v>
      </c>
      <c r="X320" s="545">
        <v>210</v>
      </c>
      <c r="Y320" s="546">
        <f>IFERROR(IF(X320="",0,CEILING((X320/$H320),1)*$H320),"")</f>
        <v>210</v>
      </c>
      <c r="Z320" s="36">
        <f>IFERROR(IF(Y320=0,"",ROUNDUP(Y320/H320,0)*0.01898),"")</f>
        <v>0.47450000000000003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222.35</v>
      </c>
      <c r="BN320" s="64">
        <f>IFERROR(Y320*I320/H320,"0")</f>
        <v>222.35</v>
      </c>
      <c r="BO320" s="64">
        <f>IFERROR(1/J320*(X320/H320),"0")</f>
        <v>0.390625</v>
      </c>
      <c r="BP320" s="64">
        <f>IFERROR(1/J320*(Y320/H320),"0")</f>
        <v>0.390625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61">
        <v>4607091384482</v>
      </c>
      <c r="E321" s="562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9"/>
      <c r="R321" s="559"/>
      <c r="S321" s="559"/>
      <c r="T321" s="560"/>
      <c r="U321" s="34"/>
      <c r="V321" s="34"/>
      <c r="W321" s="35" t="s">
        <v>69</v>
      </c>
      <c r="X321" s="545">
        <v>546</v>
      </c>
      <c r="Y321" s="546">
        <f>IFERROR(IF(X321="",0,CEILING((X321/$H321),1)*$H321),"")</f>
        <v>546</v>
      </c>
      <c r="Z321" s="36">
        <f>IFERROR(IF(Y321=0,"",ROUNDUP(Y321/H321,0)*0.01898),"")</f>
        <v>1.3286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580.58000000000004</v>
      </c>
      <c r="BN321" s="64">
        <f>IFERROR(Y321*I321/H321,"0")</f>
        <v>580.58000000000004</v>
      </c>
      <c r="BO321" s="64">
        <f>IFERROR(1/J321*(X321/H321),"0")</f>
        <v>1.09375</v>
      </c>
      <c r="BP321" s="64">
        <f>IFERROR(1/J321*(Y321/H321),"0")</f>
        <v>1.09375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61">
        <v>4607091380897</v>
      </c>
      <c r="E322" s="562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9"/>
      <c r="R322" s="559"/>
      <c r="S322" s="559"/>
      <c r="T322" s="560"/>
      <c r="U322" s="34"/>
      <c r="V322" s="34"/>
      <c r="W322" s="35" t="s">
        <v>69</v>
      </c>
      <c r="X322" s="545">
        <v>125</v>
      </c>
      <c r="Y322" s="546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132.35119047619048</v>
      </c>
      <c r="BN322" s="64">
        <f>IFERROR(Y322*I322/H322,"0")</f>
        <v>133.41</v>
      </c>
      <c r="BO322" s="64">
        <f>IFERROR(1/J322*(X322/H322),"0")</f>
        <v>0.23251488095238093</v>
      </c>
      <c r="BP322" s="64">
        <f>IFERROR(1/J322*(Y322/H322),"0")</f>
        <v>0.234375</v>
      </c>
    </row>
    <row r="323" spans="1:68" x14ac:dyDescent="0.2">
      <c r="A323" s="556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7"/>
      <c r="P323" s="551" t="s">
        <v>75</v>
      </c>
      <c r="Q323" s="552"/>
      <c r="R323" s="552"/>
      <c r="S323" s="552"/>
      <c r="T323" s="552"/>
      <c r="U323" s="552"/>
      <c r="V323" s="553"/>
      <c r="W323" s="37" t="s">
        <v>76</v>
      </c>
      <c r="X323" s="547">
        <f>IFERROR(X320/H320,"0")+IFERROR(X321/H321,"0")+IFERROR(X322/H322,"0")</f>
        <v>109.88095238095238</v>
      </c>
      <c r="Y323" s="547">
        <f>IFERROR(Y320/H320,"0")+IFERROR(Y321/H321,"0")+IFERROR(Y322/H322,"0")</f>
        <v>110</v>
      </c>
      <c r="Z323" s="547">
        <f>IFERROR(IF(Z320="",0,Z320),"0")+IFERROR(IF(Z321="",0,Z321),"0")+IFERROR(IF(Z322="",0,Z322),"0")</f>
        <v>2.0878000000000001</v>
      </c>
      <c r="AA323" s="548"/>
      <c r="AB323" s="548"/>
      <c r="AC323" s="548"/>
    </row>
    <row r="324" spans="1:68" x14ac:dyDescent="0.2">
      <c r="A324" s="55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7"/>
      <c r="P324" s="551" t="s">
        <v>75</v>
      </c>
      <c r="Q324" s="552"/>
      <c r="R324" s="552"/>
      <c r="S324" s="552"/>
      <c r="T324" s="552"/>
      <c r="U324" s="552"/>
      <c r="V324" s="553"/>
      <c r="W324" s="37" t="s">
        <v>69</v>
      </c>
      <c r="X324" s="547">
        <f>IFERROR(SUM(X320:X322),"0")</f>
        <v>881</v>
      </c>
      <c r="Y324" s="547">
        <f>IFERROR(SUM(Y320:Y322),"0")</f>
        <v>882</v>
      </c>
      <c r="Z324" s="37"/>
      <c r="AA324" s="548"/>
      <c r="AB324" s="548"/>
      <c r="AC324" s="548"/>
    </row>
    <row r="325" spans="1:68" ht="14.25" hidden="1" customHeight="1" x14ac:dyDescent="0.25">
      <c r="A325" s="554" t="s">
        <v>91</v>
      </c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  <c r="U325" s="555"/>
      <c r="V325" s="555"/>
      <c r="W325" s="555"/>
      <c r="X325" s="555"/>
      <c r="Y325" s="555"/>
      <c r="Z325" s="555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61">
        <v>4607091388381</v>
      </c>
      <c r="E326" s="562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9"/>
      <c r="R326" s="559"/>
      <c r="S326" s="559"/>
      <c r="T326" s="560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61">
        <v>4607091388374</v>
      </c>
      <c r="E327" s="562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9"/>
      <c r="R327" s="559"/>
      <c r="S327" s="559"/>
      <c r="T327" s="560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61">
        <v>4607091383102</v>
      </c>
      <c r="E328" s="562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9"/>
      <c r="R328" s="559"/>
      <c r="S328" s="559"/>
      <c r="T328" s="560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61">
        <v>4607091388404</v>
      </c>
      <c r="E329" s="562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8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9"/>
      <c r="R329" s="559"/>
      <c r="S329" s="559"/>
      <c r="T329" s="560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6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7"/>
      <c r="P330" s="551" t="s">
        <v>75</v>
      </c>
      <c r="Q330" s="552"/>
      <c r="R330" s="552"/>
      <c r="S330" s="552"/>
      <c r="T330" s="552"/>
      <c r="U330" s="552"/>
      <c r="V330" s="55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7"/>
      <c r="P331" s="551" t="s">
        <v>75</v>
      </c>
      <c r="Q331" s="552"/>
      <c r="R331" s="552"/>
      <c r="S331" s="552"/>
      <c r="T331" s="552"/>
      <c r="U331" s="552"/>
      <c r="V331" s="55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4" t="s">
        <v>531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61">
        <v>4680115881808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7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9"/>
      <c r="R333" s="559"/>
      <c r="S333" s="559"/>
      <c r="T333" s="560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61">
        <v>4680115881822</v>
      </c>
      <c r="E334" s="562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9"/>
      <c r="R334" s="559"/>
      <c r="S334" s="559"/>
      <c r="T334" s="560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61">
        <v>4680115880016</v>
      </c>
      <c r="E335" s="562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66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9"/>
      <c r="R335" s="559"/>
      <c r="S335" s="559"/>
      <c r="T335" s="560"/>
      <c r="U335" s="34"/>
      <c r="V335" s="34"/>
      <c r="W335" s="35" t="s">
        <v>69</v>
      </c>
      <c r="X335" s="545">
        <v>11</v>
      </c>
      <c r="Y335" s="546">
        <f>IFERROR(IF(X335="",0,CEILING((X335/$H335),1)*$H335),"")</f>
        <v>12</v>
      </c>
      <c r="Z335" s="36">
        <f>IFERROR(IF(Y335=0,"",ROUNDUP(Y335/H335,0)*0.00474),"")</f>
        <v>2.844E-2</v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12.32</v>
      </c>
      <c r="BN335" s="64">
        <f>IFERROR(Y335*I335/H335,"0")</f>
        <v>13.440000000000001</v>
      </c>
      <c r="BO335" s="64">
        <f>IFERROR(1/J335*(X335/H335),"0")</f>
        <v>2.3109243697478989E-2</v>
      </c>
      <c r="BP335" s="64">
        <f>IFERROR(1/J335*(Y335/H335),"0")</f>
        <v>2.5210084033613446E-2</v>
      </c>
    </row>
    <row r="336" spans="1:68" x14ac:dyDescent="0.2">
      <c r="A336" s="556"/>
      <c r="B336" s="555"/>
      <c r="C336" s="555"/>
      <c r="D336" s="555"/>
      <c r="E336" s="555"/>
      <c r="F336" s="555"/>
      <c r="G336" s="555"/>
      <c r="H336" s="555"/>
      <c r="I336" s="555"/>
      <c r="J336" s="555"/>
      <c r="K336" s="555"/>
      <c r="L336" s="555"/>
      <c r="M336" s="555"/>
      <c r="N336" s="555"/>
      <c r="O336" s="557"/>
      <c r="P336" s="551" t="s">
        <v>75</v>
      </c>
      <c r="Q336" s="552"/>
      <c r="R336" s="552"/>
      <c r="S336" s="552"/>
      <c r="T336" s="552"/>
      <c r="U336" s="552"/>
      <c r="V336" s="553"/>
      <c r="W336" s="37" t="s">
        <v>76</v>
      </c>
      <c r="X336" s="547">
        <f>IFERROR(X333/H333,"0")+IFERROR(X334/H334,"0")+IFERROR(X335/H335,"0")</f>
        <v>5.5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7"/>
      <c r="P337" s="551" t="s">
        <v>75</v>
      </c>
      <c r="Q337" s="552"/>
      <c r="R337" s="552"/>
      <c r="S337" s="552"/>
      <c r="T337" s="552"/>
      <c r="U337" s="552"/>
      <c r="V337" s="553"/>
      <c r="W337" s="37" t="s">
        <v>69</v>
      </c>
      <c r="X337" s="547">
        <f>IFERROR(SUM(X333:X335),"0")</f>
        <v>11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hidden="1" customHeight="1" x14ac:dyDescent="0.25">
      <c r="A338" s="590" t="s">
        <v>540</v>
      </c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  <c r="U338" s="555"/>
      <c r="V338" s="555"/>
      <c r="W338" s="555"/>
      <c r="X338" s="555"/>
      <c r="Y338" s="555"/>
      <c r="Z338" s="555"/>
      <c r="AA338" s="540"/>
      <c r="AB338" s="540"/>
      <c r="AC338" s="540"/>
    </row>
    <row r="339" spans="1:68" ht="14.25" hidden="1" customHeight="1" x14ac:dyDescent="0.25">
      <c r="A339" s="554" t="s">
        <v>77</v>
      </c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  <c r="U339" s="555"/>
      <c r="V339" s="555"/>
      <c r="W339" s="555"/>
      <c r="X339" s="555"/>
      <c r="Y339" s="555"/>
      <c r="Z339" s="555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61">
        <v>4607091387919</v>
      </c>
      <c r="E340" s="562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7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9"/>
      <c r="R340" s="559"/>
      <c r="S340" s="559"/>
      <c r="T340" s="560"/>
      <c r="U340" s="34"/>
      <c r="V340" s="34"/>
      <c r="W340" s="35" t="s">
        <v>69</v>
      </c>
      <c r="X340" s="545">
        <v>21</v>
      </c>
      <c r="Y340" s="546">
        <f>IFERROR(IF(X340="",0,CEILING((X340/$H340),1)*$H340),"")</f>
        <v>24.299999999999997</v>
      </c>
      <c r="Z340" s="36">
        <f>IFERROR(IF(Y340=0,"",ROUNDUP(Y340/H340,0)*0.01898),"")</f>
        <v>5.6940000000000004E-2</v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22.28074074074074</v>
      </c>
      <c r="BN340" s="64">
        <f>IFERROR(Y340*I340/H340,"0")</f>
        <v>25.781999999999996</v>
      </c>
      <c r="BO340" s="64">
        <f>IFERROR(1/J340*(X340/H340),"0")</f>
        <v>4.0509259259259259E-2</v>
      </c>
      <c r="BP340" s="64">
        <f>IFERROR(1/J340*(Y340/H340),"0")</f>
        <v>4.6875E-2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61">
        <v>4680115883604</v>
      </c>
      <c r="E341" s="562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9"/>
      <c r="R341" s="559"/>
      <c r="S341" s="559"/>
      <c r="T341" s="560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61">
        <v>4680115883567</v>
      </c>
      <c r="E342" s="562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6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9"/>
      <c r="R342" s="559"/>
      <c r="S342" s="559"/>
      <c r="T342" s="560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56"/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7"/>
      <c r="P343" s="551" t="s">
        <v>75</v>
      </c>
      <c r="Q343" s="552"/>
      <c r="R343" s="552"/>
      <c r="S343" s="552"/>
      <c r="T343" s="552"/>
      <c r="U343" s="552"/>
      <c r="V343" s="553"/>
      <c r="W343" s="37" t="s">
        <v>76</v>
      </c>
      <c r="X343" s="547">
        <f>IFERROR(X340/H340,"0")+IFERROR(X341/H341,"0")+IFERROR(X342/H342,"0")</f>
        <v>2.5925925925925926</v>
      </c>
      <c r="Y343" s="547">
        <f>IFERROR(Y340/H340,"0")+IFERROR(Y341/H341,"0")+IFERROR(Y342/H342,"0")</f>
        <v>3</v>
      </c>
      <c r="Z343" s="547">
        <f>IFERROR(IF(Z340="",0,Z340),"0")+IFERROR(IF(Z341="",0,Z341),"0")+IFERROR(IF(Z342="",0,Z342),"0")</f>
        <v>5.6940000000000004E-2</v>
      </c>
      <c r="AA343" s="548"/>
      <c r="AB343" s="548"/>
      <c r="AC343" s="548"/>
    </row>
    <row r="344" spans="1:68" x14ac:dyDescent="0.2">
      <c r="A344" s="555"/>
      <c r="B344" s="555"/>
      <c r="C344" s="555"/>
      <c r="D344" s="555"/>
      <c r="E344" s="555"/>
      <c r="F344" s="555"/>
      <c r="G344" s="555"/>
      <c r="H344" s="555"/>
      <c r="I344" s="555"/>
      <c r="J344" s="555"/>
      <c r="K344" s="555"/>
      <c r="L344" s="555"/>
      <c r="M344" s="555"/>
      <c r="N344" s="555"/>
      <c r="O344" s="557"/>
      <c r="P344" s="551" t="s">
        <v>75</v>
      </c>
      <c r="Q344" s="552"/>
      <c r="R344" s="552"/>
      <c r="S344" s="552"/>
      <c r="T344" s="552"/>
      <c r="U344" s="552"/>
      <c r="V344" s="553"/>
      <c r="W344" s="37" t="s">
        <v>69</v>
      </c>
      <c r="X344" s="547">
        <f>IFERROR(SUM(X340:X342),"0")</f>
        <v>21</v>
      </c>
      <c r="Y344" s="547">
        <f>IFERROR(SUM(Y340:Y342),"0")</f>
        <v>24.299999999999997</v>
      </c>
      <c r="Z344" s="37"/>
      <c r="AA344" s="548"/>
      <c r="AB344" s="548"/>
      <c r="AC344" s="548"/>
    </row>
    <row r="345" spans="1:68" ht="27.75" hidden="1" customHeight="1" x14ac:dyDescent="0.2">
      <c r="A345" s="669" t="s">
        <v>550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  <c r="AA345" s="48"/>
      <c r="AB345" s="48"/>
      <c r="AC345" s="48"/>
    </row>
    <row r="346" spans="1:68" ht="16.5" hidden="1" customHeight="1" x14ac:dyDescent="0.25">
      <c r="A346" s="590" t="s">
        <v>551</v>
      </c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  <c r="U346" s="555"/>
      <c r="V346" s="555"/>
      <c r="W346" s="555"/>
      <c r="X346" s="555"/>
      <c r="Y346" s="555"/>
      <c r="Z346" s="555"/>
      <c r="AA346" s="540"/>
      <c r="AB346" s="540"/>
      <c r="AC346" s="540"/>
    </row>
    <row r="347" spans="1:68" ht="14.25" hidden="1" customHeight="1" x14ac:dyDescent="0.25">
      <c r="A347" s="554" t="s">
        <v>99</v>
      </c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  <c r="U347" s="555"/>
      <c r="V347" s="555"/>
      <c r="W347" s="555"/>
      <c r="X347" s="555"/>
      <c r="Y347" s="555"/>
      <c r="Z347" s="555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61">
        <v>4680115884847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9"/>
      <c r="R348" s="559"/>
      <c r="S348" s="559"/>
      <c r="T348" s="560"/>
      <c r="U348" s="34"/>
      <c r="V348" s="34"/>
      <c r="W348" s="35" t="s">
        <v>69</v>
      </c>
      <c r="X348" s="545">
        <v>191</v>
      </c>
      <c r="Y348" s="546">
        <f t="shared" ref="Y348:Y354" si="31">IFERROR(IF(X348="",0,CEILING((X348/$H348),1)*$H348),"")</f>
        <v>195</v>
      </c>
      <c r="Z348" s="36">
        <f>IFERROR(IF(Y348=0,"",ROUNDUP(Y348/H348,0)*0.02175),"")</f>
        <v>0.28275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196.98466666666667</v>
      </c>
      <c r="BN348" s="64">
        <f t="shared" ref="BN348:BN354" si="33">IFERROR(Y348*I348/H348,"0")</f>
        <v>201.11</v>
      </c>
      <c r="BO348" s="64">
        <f t="shared" ref="BO348:BO354" si="34">IFERROR(1/J348*(X348/H348),"0")</f>
        <v>0.26527777777777772</v>
      </c>
      <c r="BP348" s="64">
        <f t="shared" ref="BP348:BP354" si="35">IFERROR(1/J348*(Y348/H348),"0")</f>
        <v>0.27083333333333331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61">
        <v>4680115884854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9"/>
      <c r="R349" s="559"/>
      <c r="S349" s="559"/>
      <c r="T349" s="560"/>
      <c r="U349" s="34"/>
      <c r="V349" s="34"/>
      <c r="W349" s="35" t="s">
        <v>69</v>
      </c>
      <c r="X349" s="545">
        <v>144</v>
      </c>
      <c r="Y349" s="546">
        <f t="shared" si="31"/>
        <v>150</v>
      </c>
      <c r="Z349" s="36">
        <f>IFERROR(IF(Y349=0,"",ROUNDUP(Y349/H349,0)*0.02175),"")</f>
        <v>0.21749999999999997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148.51200000000003</v>
      </c>
      <c r="BN349" s="64">
        <f t="shared" si="33"/>
        <v>154.69999999999999</v>
      </c>
      <c r="BO349" s="64">
        <f t="shared" si="34"/>
        <v>0.19999999999999998</v>
      </c>
      <c r="BP349" s="64">
        <f t="shared" si="35"/>
        <v>0.20833333333333331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61">
        <v>4680115884830</v>
      </c>
      <c r="E350" s="562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8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9"/>
      <c r="R350" s="559"/>
      <c r="S350" s="559"/>
      <c r="T350" s="560"/>
      <c r="U350" s="34"/>
      <c r="V350" s="34"/>
      <c r="W350" s="35" t="s">
        <v>69</v>
      </c>
      <c r="X350" s="545">
        <v>301</v>
      </c>
      <c r="Y350" s="546">
        <f t="shared" si="31"/>
        <v>315</v>
      </c>
      <c r="Z350" s="36">
        <f>IFERROR(IF(Y350=0,"",ROUNDUP(Y350/H350,0)*0.02175),"")</f>
        <v>0.45674999999999999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310.43133333333333</v>
      </c>
      <c r="BN350" s="64">
        <f t="shared" si="33"/>
        <v>324.87</v>
      </c>
      <c r="BO350" s="64">
        <f t="shared" si="34"/>
        <v>0.41805555555555551</v>
      </c>
      <c r="BP350" s="64">
        <f t="shared" si="35"/>
        <v>0.4375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61">
        <v>4680115887046</v>
      </c>
      <c r="E351" s="562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5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9"/>
      <c r="R351" s="559"/>
      <c r="S351" s="559"/>
      <c r="T351" s="560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61">
        <v>4680115882638</v>
      </c>
      <c r="E352" s="562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8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9"/>
      <c r="R352" s="559"/>
      <c r="S352" s="559"/>
      <c r="T352" s="560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61">
        <v>4680115884922</v>
      </c>
      <c r="E353" s="562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9"/>
      <c r="R353" s="559"/>
      <c r="S353" s="559"/>
      <c r="T353" s="560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61">
        <v>4680115884861</v>
      </c>
      <c r="E354" s="562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9"/>
      <c r="R354" s="559"/>
      <c r="S354" s="559"/>
      <c r="T354" s="560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56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7"/>
      <c r="P355" s="551" t="s">
        <v>75</v>
      </c>
      <c r="Q355" s="552"/>
      <c r="R355" s="552"/>
      <c r="S355" s="552"/>
      <c r="T355" s="552"/>
      <c r="U355" s="552"/>
      <c r="V355" s="55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42.4</v>
      </c>
      <c r="Y355" s="547">
        <f>IFERROR(Y348/H348,"0")+IFERROR(Y349/H349,"0")+IFERROR(Y350/H350,"0")+IFERROR(Y351/H351,"0")+IFERROR(Y352/H352,"0")+IFERROR(Y353/H353,"0")+IFERROR(Y354/H354,"0")</f>
        <v>44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0.95699999999999996</v>
      </c>
      <c r="AA355" s="548"/>
      <c r="AB355" s="548"/>
      <c r="AC355" s="548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7"/>
      <c r="P356" s="551" t="s">
        <v>75</v>
      </c>
      <c r="Q356" s="552"/>
      <c r="R356" s="552"/>
      <c r="S356" s="552"/>
      <c r="T356" s="552"/>
      <c r="U356" s="552"/>
      <c r="V356" s="553"/>
      <c r="W356" s="37" t="s">
        <v>69</v>
      </c>
      <c r="X356" s="547">
        <f>IFERROR(SUM(X348:X354),"0")</f>
        <v>636</v>
      </c>
      <c r="Y356" s="547">
        <f>IFERROR(SUM(Y348:Y354),"0")</f>
        <v>660</v>
      </c>
      <c r="Z356" s="37"/>
      <c r="AA356" s="548"/>
      <c r="AB356" s="548"/>
      <c r="AC356" s="548"/>
    </row>
    <row r="357" spans="1:68" ht="14.25" hidden="1" customHeight="1" x14ac:dyDescent="0.25">
      <c r="A357" s="554" t="s">
        <v>135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61">
        <v>4607091383980</v>
      </c>
      <c r="E358" s="562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7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9"/>
      <c r="R358" s="559"/>
      <c r="S358" s="559"/>
      <c r="T358" s="560"/>
      <c r="U358" s="34"/>
      <c r="V358" s="34"/>
      <c r="W358" s="35" t="s">
        <v>69</v>
      </c>
      <c r="X358" s="545">
        <v>214</v>
      </c>
      <c r="Y358" s="546">
        <f>IFERROR(IF(X358="",0,CEILING((X358/$H358),1)*$H358),"")</f>
        <v>225</v>
      </c>
      <c r="Z358" s="36">
        <f>IFERROR(IF(Y358=0,"",ROUNDUP(Y358/H358,0)*0.02175),"")</f>
        <v>0.32624999999999998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220.70533333333333</v>
      </c>
      <c r="BN358" s="64">
        <f>IFERROR(Y358*I358/H358,"0")</f>
        <v>232.05</v>
      </c>
      <c r="BO358" s="64">
        <f>IFERROR(1/J358*(X358/H358),"0")</f>
        <v>0.29722222222222222</v>
      </c>
      <c r="BP358" s="64">
        <f>IFERROR(1/J358*(Y358/H358),"0")</f>
        <v>0.3125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61">
        <v>4607091384178</v>
      </c>
      <c r="E359" s="562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6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9"/>
      <c r="R359" s="559"/>
      <c r="S359" s="559"/>
      <c r="T359" s="560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7"/>
      <c r="P360" s="551" t="s">
        <v>75</v>
      </c>
      <c r="Q360" s="552"/>
      <c r="R360" s="552"/>
      <c r="S360" s="552"/>
      <c r="T360" s="552"/>
      <c r="U360" s="552"/>
      <c r="V360" s="553"/>
      <c r="W360" s="37" t="s">
        <v>76</v>
      </c>
      <c r="X360" s="547">
        <f>IFERROR(X358/H358,"0")+IFERROR(X359/H359,"0")</f>
        <v>14.266666666666667</v>
      </c>
      <c r="Y360" s="547">
        <f>IFERROR(Y358/H358,"0")+IFERROR(Y359/H359,"0")</f>
        <v>15</v>
      </c>
      <c r="Z360" s="547">
        <f>IFERROR(IF(Z358="",0,Z358),"0")+IFERROR(IF(Z359="",0,Z359),"0")</f>
        <v>0.32624999999999998</v>
      </c>
      <c r="AA360" s="548"/>
      <c r="AB360" s="548"/>
      <c r="AC360" s="548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7"/>
      <c r="P361" s="551" t="s">
        <v>75</v>
      </c>
      <c r="Q361" s="552"/>
      <c r="R361" s="552"/>
      <c r="S361" s="552"/>
      <c r="T361" s="552"/>
      <c r="U361" s="552"/>
      <c r="V361" s="553"/>
      <c r="W361" s="37" t="s">
        <v>69</v>
      </c>
      <c r="X361" s="547">
        <f>IFERROR(SUM(X358:X359),"0")</f>
        <v>214</v>
      </c>
      <c r="Y361" s="547">
        <f>IFERROR(SUM(Y358:Y359),"0")</f>
        <v>225</v>
      </c>
      <c r="Z361" s="37"/>
      <c r="AA361" s="548"/>
      <c r="AB361" s="548"/>
      <c r="AC361" s="548"/>
    </row>
    <row r="362" spans="1:68" ht="14.25" hidden="1" customHeight="1" x14ac:dyDescent="0.25">
      <c r="A362" s="554" t="s">
        <v>77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61">
        <v>4607091383928</v>
      </c>
      <c r="E363" s="562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5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9"/>
      <c r="R363" s="559"/>
      <c r="S363" s="559"/>
      <c r="T363" s="560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61">
        <v>4607091384260</v>
      </c>
      <c r="E364" s="562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9"/>
      <c r="R364" s="559"/>
      <c r="S364" s="559"/>
      <c r="T364" s="560"/>
      <c r="U364" s="34"/>
      <c r="V364" s="34"/>
      <c r="W364" s="35" t="s">
        <v>69</v>
      </c>
      <c r="X364" s="545">
        <v>6</v>
      </c>
      <c r="Y364" s="546">
        <f>IFERROR(IF(X364="",0,CEILING((X364/$H364),1)*$H364),"")</f>
        <v>9</v>
      </c>
      <c r="Z364" s="36">
        <f>IFERROR(IF(Y364=0,"",ROUNDUP(Y364/H364,0)*0.01898),"")</f>
        <v>1.898E-2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6.3293333333333335</v>
      </c>
      <c r="BN364" s="64">
        <f>IFERROR(Y364*I364/H364,"0")</f>
        <v>9.4939999999999998</v>
      </c>
      <c r="BO364" s="64">
        <f>IFERROR(1/J364*(X364/H364),"0")</f>
        <v>1.0416666666666666E-2</v>
      </c>
      <c r="BP364" s="64">
        <f>IFERROR(1/J364*(Y364/H364),"0")</f>
        <v>1.5625E-2</v>
      </c>
    </row>
    <row r="365" spans="1:68" x14ac:dyDescent="0.2">
      <c r="A365" s="556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7"/>
      <c r="P365" s="551" t="s">
        <v>75</v>
      </c>
      <c r="Q365" s="552"/>
      <c r="R365" s="552"/>
      <c r="S365" s="552"/>
      <c r="T365" s="552"/>
      <c r="U365" s="552"/>
      <c r="V365" s="553"/>
      <c r="W365" s="37" t="s">
        <v>76</v>
      </c>
      <c r="X365" s="547">
        <f>IFERROR(X363/H363,"0")+IFERROR(X364/H364,"0")</f>
        <v>0.66666666666666663</v>
      </c>
      <c r="Y365" s="547">
        <f>IFERROR(Y363/H363,"0")+IFERROR(Y364/H364,"0")</f>
        <v>1</v>
      </c>
      <c r="Z365" s="547">
        <f>IFERROR(IF(Z363="",0,Z363),"0")+IFERROR(IF(Z364="",0,Z364),"0")</f>
        <v>1.898E-2</v>
      </c>
      <c r="AA365" s="548"/>
      <c r="AB365" s="548"/>
      <c r="AC365" s="548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7"/>
      <c r="P366" s="551" t="s">
        <v>75</v>
      </c>
      <c r="Q366" s="552"/>
      <c r="R366" s="552"/>
      <c r="S366" s="552"/>
      <c r="T366" s="552"/>
      <c r="U366" s="552"/>
      <c r="V366" s="553"/>
      <c r="W366" s="37" t="s">
        <v>69</v>
      </c>
      <c r="X366" s="547">
        <f>IFERROR(SUM(X363:X364),"0")</f>
        <v>6</v>
      </c>
      <c r="Y366" s="547">
        <f>IFERROR(SUM(Y363:Y364),"0")</f>
        <v>9</v>
      </c>
      <c r="Z366" s="37"/>
      <c r="AA366" s="548"/>
      <c r="AB366" s="548"/>
      <c r="AC366" s="548"/>
    </row>
    <row r="367" spans="1:68" ht="14.25" hidden="1" customHeight="1" x14ac:dyDescent="0.25">
      <c r="A367" s="554" t="s">
        <v>160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61">
        <v>4607091384673</v>
      </c>
      <c r="E368" s="562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5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9"/>
      <c r="R368" s="559"/>
      <c r="S368" s="559"/>
      <c r="T368" s="560"/>
      <c r="U368" s="34"/>
      <c r="V368" s="34"/>
      <c r="W368" s="35" t="s">
        <v>69</v>
      </c>
      <c r="X368" s="545">
        <v>47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49.579777777777771</v>
      </c>
      <c r="BN368" s="64">
        <f>IFERROR(Y368*I368/H368,"0")</f>
        <v>56.963999999999992</v>
      </c>
      <c r="BO368" s="64">
        <f>IFERROR(1/J368*(X368/H368),"0")</f>
        <v>8.1597222222222224E-2</v>
      </c>
      <c r="BP368" s="64">
        <f>IFERROR(1/J368*(Y368/H368),"0")</f>
        <v>9.375E-2</v>
      </c>
    </row>
    <row r="369" spans="1:68" x14ac:dyDescent="0.2">
      <c r="A369" s="556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7"/>
      <c r="P369" s="551" t="s">
        <v>75</v>
      </c>
      <c r="Q369" s="552"/>
      <c r="R369" s="552"/>
      <c r="S369" s="552"/>
      <c r="T369" s="552"/>
      <c r="U369" s="552"/>
      <c r="V369" s="553"/>
      <c r="W369" s="37" t="s">
        <v>76</v>
      </c>
      <c r="X369" s="547">
        <f>IFERROR(X368/H368,"0")</f>
        <v>5.2222222222222223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7"/>
      <c r="P370" s="551" t="s">
        <v>75</v>
      </c>
      <c r="Q370" s="552"/>
      <c r="R370" s="552"/>
      <c r="S370" s="552"/>
      <c r="T370" s="552"/>
      <c r="U370" s="552"/>
      <c r="V370" s="553"/>
      <c r="W370" s="37" t="s">
        <v>69</v>
      </c>
      <c r="X370" s="547">
        <f>IFERROR(SUM(X368:X368),"0")</f>
        <v>47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hidden="1" customHeight="1" x14ac:dyDescent="0.25">
      <c r="A371" s="590" t="s">
        <v>586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40"/>
      <c r="AB371" s="540"/>
      <c r="AC371" s="540"/>
    </row>
    <row r="372" spans="1:68" ht="14.25" hidden="1" customHeight="1" x14ac:dyDescent="0.25">
      <c r="A372" s="554" t="s">
        <v>99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61">
        <v>4680115884885</v>
      </c>
      <c r="E373" s="562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56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9"/>
      <c r="R373" s="559"/>
      <c r="S373" s="559"/>
      <c r="T373" s="560"/>
      <c r="U373" s="34"/>
      <c r="V373" s="34"/>
      <c r="W373" s="35" t="s">
        <v>69</v>
      </c>
      <c r="X373" s="545">
        <v>4</v>
      </c>
      <c r="Y373" s="546">
        <f>IFERROR(IF(X373="",0,CEILING((X373/$H373),1)*$H373),"")</f>
        <v>12</v>
      </c>
      <c r="Z373" s="36">
        <f>IFERROR(IF(Y373=0,"",ROUNDUP(Y373/H373,0)*0.01898),"")</f>
        <v>1.898E-2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4.1366666666666667</v>
      </c>
      <c r="BN373" s="64">
        <f>IFERROR(Y373*I373/H373,"0")</f>
        <v>12.410000000000002</v>
      </c>
      <c r="BO373" s="64">
        <f>IFERROR(1/J373*(X373/H373),"0")</f>
        <v>5.208333333333333E-3</v>
      </c>
      <c r="BP373" s="64">
        <f>IFERROR(1/J373*(Y373/H373),"0")</f>
        <v>1.5625E-2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61">
        <v>4680115884908</v>
      </c>
      <c r="E374" s="562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9"/>
      <c r="R374" s="559"/>
      <c r="S374" s="559"/>
      <c r="T374" s="560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6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7"/>
      <c r="P375" s="551" t="s">
        <v>75</v>
      </c>
      <c r="Q375" s="552"/>
      <c r="R375" s="552"/>
      <c r="S375" s="552"/>
      <c r="T375" s="552"/>
      <c r="U375" s="552"/>
      <c r="V375" s="553"/>
      <c r="W375" s="37" t="s">
        <v>76</v>
      </c>
      <c r="X375" s="547">
        <f>IFERROR(X373/H373,"0")+IFERROR(X374/H374,"0")</f>
        <v>0.33333333333333331</v>
      </c>
      <c r="Y375" s="547">
        <f>IFERROR(Y373/H373,"0")+IFERROR(Y374/H374,"0")</f>
        <v>1</v>
      </c>
      <c r="Z375" s="547">
        <f>IFERROR(IF(Z373="",0,Z373),"0")+IFERROR(IF(Z374="",0,Z374),"0")</f>
        <v>1.898E-2</v>
      </c>
      <c r="AA375" s="548"/>
      <c r="AB375" s="548"/>
      <c r="AC375" s="548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7"/>
      <c r="P376" s="551" t="s">
        <v>75</v>
      </c>
      <c r="Q376" s="552"/>
      <c r="R376" s="552"/>
      <c r="S376" s="552"/>
      <c r="T376" s="552"/>
      <c r="U376" s="552"/>
      <c r="V376" s="553"/>
      <c r="W376" s="37" t="s">
        <v>69</v>
      </c>
      <c r="X376" s="547">
        <f>IFERROR(SUM(X373:X374),"0")</f>
        <v>4</v>
      </c>
      <c r="Y376" s="547">
        <f>IFERROR(SUM(Y373:Y374),"0")</f>
        <v>12</v>
      </c>
      <c r="Z376" s="37"/>
      <c r="AA376" s="548"/>
      <c r="AB376" s="548"/>
      <c r="AC376" s="548"/>
    </row>
    <row r="377" spans="1:68" ht="14.25" hidden="1" customHeight="1" x14ac:dyDescent="0.25">
      <c r="A377" s="554" t="s">
        <v>64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61">
        <v>4607091384802</v>
      </c>
      <c r="E378" s="562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7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9"/>
      <c r="R378" s="559"/>
      <c r="S378" s="559"/>
      <c r="T378" s="560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61">
        <v>4607091384802</v>
      </c>
      <c r="E379" s="562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9"/>
      <c r="R379" s="559"/>
      <c r="S379" s="559"/>
      <c r="T379" s="560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7"/>
      <c r="P380" s="551" t="s">
        <v>75</v>
      </c>
      <c r="Q380" s="552"/>
      <c r="R380" s="552"/>
      <c r="S380" s="552"/>
      <c r="T380" s="552"/>
      <c r="U380" s="552"/>
      <c r="V380" s="55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7"/>
      <c r="P381" s="551" t="s">
        <v>75</v>
      </c>
      <c r="Q381" s="552"/>
      <c r="R381" s="552"/>
      <c r="S381" s="552"/>
      <c r="T381" s="552"/>
      <c r="U381" s="552"/>
      <c r="V381" s="55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4" t="s">
        <v>77</v>
      </c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  <c r="W382" s="555"/>
      <c r="X382" s="555"/>
      <c r="Y382" s="555"/>
      <c r="Z382" s="555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61">
        <v>4607091384246</v>
      </c>
      <c r="E383" s="562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9"/>
      <c r="R383" s="559"/>
      <c r="S383" s="559"/>
      <c r="T383" s="560"/>
      <c r="U383" s="34"/>
      <c r="V383" s="34"/>
      <c r="W383" s="35" t="s">
        <v>69</v>
      </c>
      <c r="X383" s="545">
        <v>362</v>
      </c>
      <c r="Y383" s="546">
        <f>IFERROR(IF(X383="",0,CEILING((X383/$H383),1)*$H383),"")</f>
        <v>369</v>
      </c>
      <c r="Z383" s="36">
        <f>IFERROR(IF(Y383=0,"",ROUNDUP(Y383/H383,0)*0.01898),"")</f>
        <v>0.77817999999999998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381.86977777777776</v>
      </c>
      <c r="BN383" s="64">
        <f>IFERROR(Y383*I383/H383,"0")</f>
        <v>389.25400000000002</v>
      </c>
      <c r="BO383" s="64">
        <f>IFERROR(1/J383*(X383/H383),"0")</f>
        <v>0.62847222222222221</v>
      </c>
      <c r="BP383" s="64">
        <f>IFERROR(1/J383*(Y383/H383),"0")</f>
        <v>0.640625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61">
        <v>4607091384253</v>
      </c>
      <c r="E384" s="562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9"/>
      <c r="R384" s="559"/>
      <c r="S384" s="559"/>
      <c r="T384" s="560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61">
        <v>4607091384253</v>
      </c>
      <c r="E385" s="562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9"/>
      <c r="R385" s="559"/>
      <c r="S385" s="559"/>
      <c r="T385" s="560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56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7"/>
      <c r="P386" s="551" t="s">
        <v>75</v>
      </c>
      <c r="Q386" s="552"/>
      <c r="R386" s="552"/>
      <c r="S386" s="552"/>
      <c r="T386" s="552"/>
      <c r="U386" s="552"/>
      <c r="V386" s="553"/>
      <c r="W386" s="37" t="s">
        <v>76</v>
      </c>
      <c r="X386" s="547">
        <f>IFERROR(X383/H383,"0")+IFERROR(X384/H384,"0")+IFERROR(X385/H385,"0")</f>
        <v>40.222222222222221</v>
      </c>
      <c r="Y386" s="547">
        <f>IFERROR(Y383/H383,"0")+IFERROR(Y384/H384,"0")+IFERROR(Y385/H385,"0")</f>
        <v>41</v>
      </c>
      <c r="Z386" s="547">
        <f>IFERROR(IF(Z383="",0,Z383),"0")+IFERROR(IF(Z384="",0,Z384),"0")+IFERROR(IF(Z385="",0,Z385),"0")</f>
        <v>0.77817999999999998</v>
      </c>
      <c r="AA386" s="548"/>
      <c r="AB386" s="548"/>
      <c r="AC386" s="548"/>
    </row>
    <row r="387" spans="1:68" x14ac:dyDescent="0.2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7"/>
      <c r="P387" s="551" t="s">
        <v>75</v>
      </c>
      <c r="Q387" s="552"/>
      <c r="R387" s="552"/>
      <c r="S387" s="552"/>
      <c r="T387" s="552"/>
      <c r="U387" s="552"/>
      <c r="V387" s="553"/>
      <c r="W387" s="37" t="s">
        <v>69</v>
      </c>
      <c r="X387" s="547">
        <f>IFERROR(SUM(X383:X385),"0")</f>
        <v>362</v>
      </c>
      <c r="Y387" s="547">
        <f>IFERROR(SUM(Y383:Y385),"0")</f>
        <v>369</v>
      </c>
      <c r="Z387" s="37"/>
      <c r="AA387" s="548"/>
      <c r="AB387" s="548"/>
      <c r="AC387" s="548"/>
    </row>
    <row r="388" spans="1:68" ht="27.75" hidden="1" customHeight="1" x14ac:dyDescent="0.2">
      <c r="A388" s="669" t="s">
        <v>604</v>
      </c>
      <c r="B388" s="670"/>
      <c r="C388" s="670"/>
      <c r="D388" s="670"/>
      <c r="E388" s="670"/>
      <c r="F388" s="670"/>
      <c r="G388" s="670"/>
      <c r="H388" s="670"/>
      <c r="I388" s="670"/>
      <c r="J388" s="670"/>
      <c r="K388" s="670"/>
      <c r="L388" s="670"/>
      <c r="M388" s="670"/>
      <c r="N388" s="670"/>
      <c r="O388" s="670"/>
      <c r="P388" s="670"/>
      <c r="Q388" s="670"/>
      <c r="R388" s="670"/>
      <c r="S388" s="670"/>
      <c r="T388" s="670"/>
      <c r="U388" s="670"/>
      <c r="V388" s="670"/>
      <c r="W388" s="670"/>
      <c r="X388" s="670"/>
      <c r="Y388" s="670"/>
      <c r="Z388" s="670"/>
      <c r="AA388" s="48"/>
      <c r="AB388" s="48"/>
      <c r="AC388" s="48"/>
    </row>
    <row r="389" spans="1:68" ht="16.5" hidden="1" customHeight="1" x14ac:dyDescent="0.25">
      <c r="A389" s="590" t="s">
        <v>605</v>
      </c>
      <c r="B389" s="555"/>
      <c r="C389" s="555"/>
      <c r="D389" s="555"/>
      <c r="E389" s="555"/>
      <c r="F389" s="555"/>
      <c r="G389" s="555"/>
      <c r="H389" s="555"/>
      <c r="I389" s="555"/>
      <c r="J389" s="555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  <c r="U389" s="555"/>
      <c r="V389" s="555"/>
      <c r="W389" s="555"/>
      <c r="X389" s="555"/>
      <c r="Y389" s="555"/>
      <c r="Z389" s="555"/>
      <c r="AA389" s="540"/>
      <c r="AB389" s="540"/>
      <c r="AC389" s="540"/>
    </row>
    <row r="390" spans="1:68" ht="14.25" hidden="1" customHeight="1" x14ac:dyDescent="0.25">
      <c r="A390" s="554" t="s">
        <v>64</v>
      </c>
      <c r="B390" s="555"/>
      <c r="C390" s="555"/>
      <c r="D390" s="555"/>
      <c r="E390" s="555"/>
      <c r="F390" s="555"/>
      <c r="G390" s="555"/>
      <c r="H390" s="555"/>
      <c r="I390" s="555"/>
      <c r="J390" s="555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  <c r="U390" s="555"/>
      <c r="V390" s="555"/>
      <c r="W390" s="555"/>
      <c r="X390" s="555"/>
      <c r="Y390" s="555"/>
      <c r="Z390" s="555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61">
        <v>4680115886100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9"/>
      <c r="R391" s="559"/>
      <c r="S391" s="559"/>
      <c r="T391" s="560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61">
        <v>4680115886117</v>
      </c>
      <c r="E392" s="562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9"/>
      <c r="R392" s="559"/>
      <c r="S392" s="559"/>
      <c r="T392" s="560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61">
        <v>4680115886124</v>
      </c>
      <c r="E393" s="562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5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9"/>
      <c r="R393" s="559"/>
      <c r="S393" s="559"/>
      <c r="T393" s="560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61">
        <v>4680115883147</v>
      </c>
      <c r="E394" s="562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9"/>
      <c r="R394" s="559"/>
      <c r="S394" s="559"/>
      <c r="T394" s="560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61">
        <v>4607091384338</v>
      </c>
      <c r="E395" s="562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9"/>
      <c r="R395" s="559"/>
      <c r="S395" s="559"/>
      <c r="T395" s="560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61">
        <v>4607091389524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9"/>
      <c r="R396" s="559"/>
      <c r="S396" s="559"/>
      <c r="T396" s="560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61">
        <v>4680115883161</v>
      </c>
      <c r="E397" s="562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9"/>
      <c r="R397" s="559"/>
      <c r="S397" s="559"/>
      <c r="T397" s="560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61">
        <v>4607091389531</v>
      </c>
      <c r="E398" s="562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9"/>
      <c r="R398" s="559"/>
      <c r="S398" s="559"/>
      <c r="T398" s="560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61">
        <v>4607091384345</v>
      </c>
      <c r="E399" s="562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9"/>
      <c r="R399" s="559"/>
      <c r="S399" s="559"/>
      <c r="T399" s="560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56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7"/>
      <c r="P400" s="551" t="s">
        <v>75</v>
      </c>
      <c r="Q400" s="552"/>
      <c r="R400" s="552"/>
      <c r="S400" s="552"/>
      <c r="T400" s="552"/>
      <c r="U400" s="552"/>
      <c r="V400" s="55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7"/>
      <c r="P401" s="551" t="s">
        <v>75</v>
      </c>
      <c r="Q401" s="552"/>
      <c r="R401" s="552"/>
      <c r="S401" s="552"/>
      <c r="T401" s="552"/>
      <c r="U401" s="552"/>
      <c r="V401" s="55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4" t="s">
        <v>77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61">
        <v>4607091384352</v>
      </c>
      <c r="E403" s="562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9"/>
      <c r="R403" s="559"/>
      <c r="S403" s="559"/>
      <c r="T403" s="560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61">
        <v>4607091389654</v>
      </c>
      <c r="E404" s="562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9"/>
      <c r="R404" s="559"/>
      <c r="S404" s="559"/>
      <c r="T404" s="560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6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7"/>
      <c r="P405" s="551" t="s">
        <v>75</v>
      </c>
      <c r="Q405" s="552"/>
      <c r="R405" s="552"/>
      <c r="S405" s="552"/>
      <c r="T405" s="552"/>
      <c r="U405" s="552"/>
      <c r="V405" s="55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7"/>
      <c r="P406" s="551" t="s">
        <v>75</v>
      </c>
      <c r="Q406" s="552"/>
      <c r="R406" s="552"/>
      <c r="S406" s="552"/>
      <c r="T406" s="552"/>
      <c r="U406" s="552"/>
      <c r="V406" s="55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90" t="s">
        <v>636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40"/>
      <c r="AB407" s="540"/>
      <c r="AC407" s="540"/>
    </row>
    <row r="408" spans="1:68" ht="14.25" hidden="1" customHeight="1" x14ac:dyDescent="0.25">
      <c r="A408" s="554" t="s">
        <v>135</v>
      </c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  <c r="U408" s="555"/>
      <c r="V408" s="555"/>
      <c r="W408" s="555"/>
      <c r="X408" s="555"/>
      <c r="Y408" s="555"/>
      <c r="Z408" s="555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61">
        <v>4680115885240</v>
      </c>
      <c r="E409" s="562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9"/>
      <c r="R409" s="559"/>
      <c r="S409" s="559"/>
      <c r="T409" s="560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6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57"/>
      <c r="P410" s="551" t="s">
        <v>75</v>
      </c>
      <c r="Q410" s="552"/>
      <c r="R410" s="552"/>
      <c r="S410" s="552"/>
      <c r="T410" s="552"/>
      <c r="U410" s="552"/>
      <c r="V410" s="55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7"/>
      <c r="P411" s="551" t="s">
        <v>75</v>
      </c>
      <c r="Q411" s="552"/>
      <c r="R411" s="552"/>
      <c r="S411" s="552"/>
      <c r="T411" s="552"/>
      <c r="U411" s="552"/>
      <c r="V411" s="55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4" t="s">
        <v>64</v>
      </c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  <c r="W412" s="555"/>
      <c r="X412" s="555"/>
      <c r="Y412" s="555"/>
      <c r="Z412" s="555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61">
        <v>4680115886094</v>
      </c>
      <c r="E413" s="562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8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9"/>
      <c r="R413" s="559"/>
      <c r="S413" s="559"/>
      <c r="T413" s="560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61">
        <v>4607091389425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9"/>
      <c r="R414" s="559"/>
      <c r="S414" s="559"/>
      <c r="T414" s="560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61">
        <v>4680115880771</v>
      </c>
      <c r="E415" s="562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9"/>
      <c r="R415" s="559"/>
      <c r="S415" s="559"/>
      <c r="T415" s="560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61">
        <v>4607091389500</v>
      </c>
      <c r="E416" s="562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9"/>
      <c r="R416" s="559"/>
      <c r="S416" s="559"/>
      <c r="T416" s="560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6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7"/>
      <c r="P417" s="551" t="s">
        <v>75</v>
      </c>
      <c r="Q417" s="552"/>
      <c r="R417" s="552"/>
      <c r="S417" s="552"/>
      <c r="T417" s="552"/>
      <c r="U417" s="552"/>
      <c r="V417" s="55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7"/>
      <c r="P418" s="551" t="s">
        <v>75</v>
      </c>
      <c r="Q418" s="552"/>
      <c r="R418" s="552"/>
      <c r="S418" s="552"/>
      <c r="T418" s="552"/>
      <c r="U418" s="552"/>
      <c r="V418" s="55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90" t="s">
        <v>651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40"/>
      <c r="AB419" s="540"/>
      <c r="AC419" s="540"/>
    </row>
    <row r="420" spans="1:68" ht="14.25" hidden="1" customHeight="1" x14ac:dyDescent="0.25">
      <c r="A420" s="554" t="s">
        <v>64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61">
        <v>4680115885110</v>
      </c>
      <c r="E421" s="562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9"/>
      <c r="R421" s="559"/>
      <c r="S421" s="559"/>
      <c r="T421" s="560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56"/>
      <c r="B422" s="555"/>
      <c r="C422" s="555"/>
      <c r="D422" s="555"/>
      <c r="E422" s="555"/>
      <c r="F422" s="555"/>
      <c r="G422" s="555"/>
      <c r="H422" s="555"/>
      <c r="I422" s="555"/>
      <c r="J422" s="555"/>
      <c r="K422" s="555"/>
      <c r="L422" s="555"/>
      <c r="M422" s="555"/>
      <c r="N422" s="555"/>
      <c r="O422" s="557"/>
      <c r="P422" s="551" t="s">
        <v>75</v>
      </c>
      <c r="Q422" s="552"/>
      <c r="R422" s="552"/>
      <c r="S422" s="552"/>
      <c r="T422" s="552"/>
      <c r="U422" s="552"/>
      <c r="V422" s="55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5"/>
      <c r="B423" s="555"/>
      <c r="C423" s="555"/>
      <c r="D423" s="555"/>
      <c r="E423" s="555"/>
      <c r="F423" s="555"/>
      <c r="G423" s="555"/>
      <c r="H423" s="555"/>
      <c r="I423" s="555"/>
      <c r="J423" s="555"/>
      <c r="K423" s="555"/>
      <c r="L423" s="555"/>
      <c r="M423" s="555"/>
      <c r="N423" s="555"/>
      <c r="O423" s="557"/>
      <c r="P423" s="551" t="s">
        <v>75</v>
      </c>
      <c r="Q423" s="552"/>
      <c r="R423" s="552"/>
      <c r="S423" s="552"/>
      <c r="T423" s="552"/>
      <c r="U423" s="552"/>
      <c r="V423" s="55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69" t="s">
        <v>655</v>
      </c>
      <c r="B424" s="670"/>
      <c r="C424" s="670"/>
      <c r="D424" s="670"/>
      <c r="E424" s="670"/>
      <c r="F424" s="670"/>
      <c r="G424" s="670"/>
      <c r="H424" s="670"/>
      <c r="I424" s="670"/>
      <c r="J424" s="670"/>
      <c r="K424" s="670"/>
      <c r="L424" s="670"/>
      <c r="M424" s="670"/>
      <c r="N424" s="670"/>
      <c r="O424" s="670"/>
      <c r="P424" s="670"/>
      <c r="Q424" s="670"/>
      <c r="R424" s="670"/>
      <c r="S424" s="670"/>
      <c r="T424" s="670"/>
      <c r="U424" s="670"/>
      <c r="V424" s="670"/>
      <c r="W424" s="670"/>
      <c r="X424" s="670"/>
      <c r="Y424" s="670"/>
      <c r="Z424" s="670"/>
      <c r="AA424" s="48"/>
      <c r="AB424" s="48"/>
      <c r="AC424" s="48"/>
    </row>
    <row r="425" spans="1:68" ht="16.5" hidden="1" customHeight="1" x14ac:dyDescent="0.25">
      <c r="A425" s="590" t="s">
        <v>655</v>
      </c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  <c r="U425" s="555"/>
      <c r="V425" s="555"/>
      <c r="W425" s="555"/>
      <c r="X425" s="555"/>
      <c r="Y425" s="555"/>
      <c r="Z425" s="555"/>
      <c r="AA425" s="540"/>
      <c r="AB425" s="540"/>
      <c r="AC425" s="540"/>
    </row>
    <row r="426" spans="1:68" ht="14.25" hidden="1" customHeight="1" x14ac:dyDescent="0.25">
      <c r="A426" s="554" t="s">
        <v>99</v>
      </c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  <c r="U426" s="555"/>
      <c r="V426" s="555"/>
      <c r="W426" s="555"/>
      <c r="X426" s="555"/>
      <c r="Y426" s="555"/>
      <c r="Z426" s="555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61">
        <v>4607091389067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9"/>
      <c r="R427" s="559"/>
      <c r="S427" s="559"/>
      <c r="T427" s="560"/>
      <c r="U427" s="34"/>
      <c r="V427" s="34"/>
      <c r="W427" s="35" t="s">
        <v>69</v>
      </c>
      <c r="X427" s="545">
        <v>210</v>
      </c>
      <c r="Y427" s="546">
        <f t="shared" ref="Y427:Y438" si="42">IFERROR(IF(X427="",0,CEILING((X427/$H427),1)*$H427),"")</f>
        <v>211.20000000000002</v>
      </c>
      <c r="Z427" s="36">
        <f t="shared" ref="Z427:Z433" si="43">IFERROR(IF(Y427=0,"",ROUNDUP(Y427/H427,0)*0.01196),"")</f>
        <v>0.47839999999999999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223.92045454545453</v>
      </c>
      <c r="BN427" s="64">
        <f t="shared" ref="BN427:BN438" si="45">IFERROR(Y427*I427/H427,"0")</f>
        <v>225.2</v>
      </c>
      <c r="BO427" s="64">
        <f t="shared" ref="BO427:BO438" si="46">IFERROR(1/J427*(X427/H427),"0")</f>
        <v>0.38243006993006995</v>
      </c>
      <c r="BP427" s="64">
        <f t="shared" ref="BP427:BP438" si="47">IFERROR(1/J427*(Y427/H427),"0")</f>
        <v>0.38461538461538464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61">
        <v>4607091383522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9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9"/>
      <c r="R428" s="559"/>
      <c r="S428" s="559"/>
      <c r="T428" s="560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61">
        <v>4607091383522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87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9"/>
      <c r="R429" s="559"/>
      <c r="S429" s="559"/>
      <c r="T429" s="560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61">
        <v>4680115885271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6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9"/>
      <c r="R430" s="559"/>
      <c r="S430" s="559"/>
      <c r="T430" s="560"/>
      <c r="U430" s="34"/>
      <c r="V430" s="34"/>
      <c r="W430" s="35" t="s">
        <v>69</v>
      </c>
      <c r="X430" s="545">
        <v>128</v>
      </c>
      <c r="Y430" s="546">
        <f t="shared" si="42"/>
        <v>132</v>
      </c>
      <c r="Z430" s="36">
        <f t="shared" si="43"/>
        <v>0.29899999999999999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136.48484848484847</v>
      </c>
      <c r="BN430" s="64">
        <f t="shared" si="45"/>
        <v>140.75</v>
      </c>
      <c r="BO430" s="64">
        <f t="shared" si="46"/>
        <v>0.23310023310023312</v>
      </c>
      <c r="BP430" s="64">
        <f t="shared" si="47"/>
        <v>0.24038461538461539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61">
        <v>4680115885226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7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9"/>
      <c r="R431" s="559"/>
      <c r="S431" s="559"/>
      <c r="T431" s="560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61">
        <v>4680115884502</v>
      </c>
      <c r="E432" s="562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9"/>
      <c r="R432" s="559"/>
      <c r="S432" s="559"/>
      <c r="T432" s="560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61">
        <v>4607091389104</v>
      </c>
      <c r="E433" s="562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9"/>
      <c r="R433" s="559"/>
      <c r="S433" s="559"/>
      <c r="T433" s="560"/>
      <c r="U433" s="34"/>
      <c r="V433" s="34"/>
      <c r="W433" s="35" t="s">
        <v>69</v>
      </c>
      <c r="X433" s="545">
        <v>607</v>
      </c>
      <c r="Y433" s="546">
        <f t="shared" si="42"/>
        <v>607.20000000000005</v>
      </c>
      <c r="Z433" s="36">
        <f t="shared" si="43"/>
        <v>1.3754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647.23674242424238</v>
      </c>
      <c r="BN433" s="64">
        <f t="shared" si="45"/>
        <v>647.44999999999993</v>
      </c>
      <c r="BO433" s="64">
        <f t="shared" si="46"/>
        <v>1.1054050116550116</v>
      </c>
      <c r="BP433" s="64">
        <f t="shared" si="47"/>
        <v>1.1057692307692308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61">
        <v>4680115886391</v>
      </c>
      <c r="E434" s="562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9"/>
      <c r="R434" s="559"/>
      <c r="S434" s="559"/>
      <c r="T434" s="560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61">
        <v>4680115880603</v>
      </c>
      <c r="E435" s="562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5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9"/>
      <c r="R435" s="559"/>
      <c r="S435" s="559"/>
      <c r="T435" s="560"/>
      <c r="U435" s="34"/>
      <c r="V435" s="34"/>
      <c r="W435" s="35" t="s">
        <v>69</v>
      </c>
      <c r="X435" s="545">
        <v>36</v>
      </c>
      <c r="Y435" s="546">
        <f t="shared" si="42"/>
        <v>38.4</v>
      </c>
      <c r="Z435" s="36">
        <f>IFERROR(IF(Y435=0,"",ROUNDUP(Y435/H435,0)*0.00902),"")</f>
        <v>7.2160000000000002E-2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51.825000000000003</v>
      </c>
      <c r="BN435" s="64">
        <f t="shared" si="45"/>
        <v>55.28</v>
      </c>
      <c r="BO435" s="64">
        <f t="shared" si="46"/>
        <v>5.6818181818181823E-2</v>
      </c>
      <c r="BP435" s="64">
        <f t="shared" si="47"/>
        <v>6.0606060606060608E-2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61">
        <v>4680115882782</v>
      </c>
      <c r="E436" s="562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6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9"/>
      <c r="R436" s="559"/>
      <c r="S436" s="559"/>
      <c r="T436" s="560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61">
        <v>4680115885479</v>
      </c>
      <c r="E437" s="562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8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9"/>
      <c r="R437" s="559"/>
      <c r="S437" s="559"/>
      <c r="T437" s="560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61">
        <v>4607091389982</v>
      </c>
      <c r="E438" s="562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9"/>
      <c r="R438" s="559"/>
      <c r="S438" s="559"/>
      <c r="T438" s="560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56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7"/>
      <c r="P439" s="551" t="s">
        <v>75</v>
      </c>
      <c r="Q439" s="552"/>
      <c r="R439" s="552"/>
      <c r="S439" s="552"/>
      <c r="T439" s="552"/>
      <c r="U439" s="552"/>
      <c r="V439" s="55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214.88636363636363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217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2.5717999999999996</v>
      </c>
      <c r="AA439" s="548"/>
      <c r="AB439" s="548"/>
      <c r="AC439" s="548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7"/>
      <c r="P440" s="551" t="s">
        <v>75</v>
      </c>
      <c r="Q440" s="552"/>
      <c r="R440" s="552"/>
      <c r="S440" s="552"/>
      <c r="T440" s="552"/>
      <c r="U440" s="552"/>
      <c r="V440" s="553"/>
      <c r="W440" s="37" t="s">
        <v>69</v>
      </c>
      <c r="X440" s="547">
        <f>IFERROR(SUM(X427:X438),"0")</f>
        <v>1131</v>
      </c>
      <c r="Y440" s="547">
        <f>IFERROR(SUM(Y427:Y438),"0")</f>
        <v>1141.92</v>
      </c>
      <c r="Z440" s="37"/>
      <c r="AA440" s="548"/>
      <c r="AB440" s="548"/>
      <c r="AC440" s="548"/>
    </row>
    <row r="441" spans="1:68" ht="14.25" hidden="1" customHeight="1" x14ac:dyDescent="0.25">
      <c r="A441" s="554" t="s">
        <v>135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61">
        <v>4607091388930</v>
      </c>
      <c r="E442" s="562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9"/>
      <c r="R442" s="559"/>
      <c r="S442" s="559"/>
      <c r="T442" s="560"/>
      <c r="U442" s="34"/>
      <c r="V442" s="34"/>
      <c r="W442" s="35" t="s">
        <v>69</v>
      </c>
      <c r="X442" s="545">
        <v>169</v>
      </c>
      <c r="Y442" s="546">
        <f>IFERROR(IF(X442="",0,CEILING((X442/$H442),1)*$H442),"")</f>
        <v>174.24</v>
      </c>
      <c r="Z442" s="36">
        <f>IFERROR(IF(Y442=0,"",ROUNDUP(Y442/H442,0)*0.01196),"")</f>
        <v>0.39468000000000003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180.2026515151515</v>
      </c>
      <c r="BN442" s="64">
        <f>IFERROR(Y442*I442/H442,"0")</f>
        <v>185.79</v>
      </c>
      <c r="BO442" s="64">
        <f>IFERROR(1/J442*(X442/H442),"0")</f>
        <v>0.30776515151515155</v>
      </c>
      <c r="BP442" s="64">
        <f>IFERROR(1/J442*(Y442/H442),"0")</f>
        <v>0.31730769230769235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61">
        <v>4680115886407</v>
      </c>
      <c r="E443" s="562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9"/>
      <c r="R443" s="559"/>
      <c r="S443" s="559"/>
      <c r="T443" s="560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61">
        <v>4680115880054</v>
      </c>
      <c r="E444" s="562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5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9"/>
      <c r="R444" s="559"/>
      <c r="S444" s="559"/>
      <c r="T444" s="560"/>
      <c r="U444" s="34"/>
      <c r="V444" s="34"/>
      <c r="W444" s="35" t="s">
        <v>69</v>
      </c>
      <c r="X444" s="545">
        <v>174</v>
      </c>
      <c r="Y444" s="546">
        <f>IFERROR(IF(X444="",0,CEILING((X444/$H444),1)*$H444),"")</f>
        <v>177.6</v>
      </c>
      <c r="Z444" s="36">
        <f>IFERROR(IF(Y444=0,"",ROUNDUP(Y444/H444,0)*0.00902),"")</f>
        <v>0.33374000000000004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250.48749999999998</v>
      </c>
      <c r="BN444" s="64">
        <f>IFERROR(Y444*I444/H444,"0")</f>
        <v>255.67</v>
      </c>
      <c r="BO444" s="64">
        <f>IFERROR(1/J444*(X444/H444),"0")</f>
        <v>0.27462121212121215</v>
      </c>
      <c r="BP444" s="64">
        <f>IFERROR(1/J444*(Y444/H444),"0")</f>
        <v>0.28030303030303033</v>
      </c>
    </row>
    <row r="445" spans="1:68" x14ac:dyDescent="0.2">
      <c r="A445" s="556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7"/>
      <c r="P445" s="551" t="s">
        <v>75</v>
      </c>
      <c r="Q445" s="552"/>
      <c r="R445" s="552"/>
      <c r="S445" s="552"/>
      <c r="T445" s="552"/>
      <c r="U445" s="552"/>
      <c r="V445" s="553"/>
      <c r="W445" s="37" t="s">
        <v>76</v>
      </c>
      <c r="X445" s="547">
        <f>IFERROR(X442/H442,"0")+IFERROR(X443/H443,"0")+IFERROR(X444/H444,"0")</f>
        <v>68.257575757575751</v>
      </c>
      <c r="Y445" s="547">
        <f>IFERROR(Y442/H442,"0")+IFERROR(Y443/H443,"0")+IFERROR(Y444/H444,"0")</f>
        <v>70</v>
      </c>
      <c r="Z445" s="547">
        <f>IFERROR(IF(Z442="",0,Z442),"0")+IFERROR(IF(Z443="",0,Z443),"0")+IFERROR(IF(Z444="",0,Z444),"0")</f>
        <v>0.72842000000000007</v>
      </c>
      <c r="AA445" s="548"/>
      <c r="AB445" s="548"/>
      <c r="AC445" s="548"/>
    </row>
    <row r="446" spans="1:68" x14ac:dyDescent="0.2">
      <c r="A446" s="55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57"/>
      <c r="P446" s="551" t="s">
        <v>75</v>
      </c>
      <c r="Q446" s="552"/>
      <c r="R446" s="552"/>
      <c r="S446" s="552"/>
      <c r="T446" s="552"/>
      <c r="U446" s="552"/>
      <c r="V446" s="553"/>
      <c r="W446" s="37" t="s">
        <v>69</v>
      </c>
      <c r="X446" s="547">
        <f>IFERROR(SUM(X442:X444),"0")</f>
        <v>343</v>
      </c>
      <c r="Y446" s="547">
        <f>IFERROR(SUM(Y442:Y444),"0")</f>
        <v>351.84000000000003</v>
      </c>
      <c r="Z446" s="37"/>
      <c r="AA446" s="548"/>
      <c r="AB446" s="548"/>
      <c r="AC446" s="548"/>
    </row>
    <row r="447" spans="1:68" ht="14.25" hidden="1" customHeight="1" x14ac:dyDescent="0.25">
      <c r="A447" s="554" t="s">
        <v>64</v>
      </c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  <c r="U447" s="555"/>
      <c r="V447" s="555"/>
      <c r="W447" s="555"/>
      <c r="X447" s="555"/>
      <c r="Y447" s="555"/>
      <c r="Z447" s="555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61">
        <v>4680115883116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9"/>
      <c r="R448" s="559"/>
      <c r="S448" s="559"/>
      <c r="T448" s="560"/>
      <c r="U448" s="34"/>
      <c r="V448" s="34"/>
      <c r="W448" s="35" t="s">
        <v>69</v>
      </c>
      <c r="X448" s="545">
        <v>237</v>
      </c>
      <c r="Y448" s="546">
        <f t="shared" ref="Y448:Y453" si="48">IFERROR(IF(X448="",0,CEILING((X448/$H448),1)*$H448),"")</f>
        <v>237.60000000000002</v>
      </c>
      <c r="Z448" s="36">
        <f>IFERROR(IF(Y448=0,"",ROUNDUP(Y448/H448,0)*0.01196),"")</f>
        <v>0.53820000000000001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252.71022727272725</v>
      </c>
      <c r="BN448" s="64">
        <f t="shared" ref="BN448:BN453" si="50">IFERROR(Y448*I448/H448,"0")</f>
        <v>253.35</v>
      </c>
      <c r="BO448" s="64">
        <f t="shared" ref="BO448:BO453" si="51">IFERROR(1/J448*(X448/H448),"0")</f>
        <v>0.43159965034965037</v>
      </c>
      <c r="BP448" s="64">
        <f t="shared" ref="BP448:BP453" si="52">IFERROR(1/J448*(Y448/H448),"0")</f>
        <v>0.43269230769230771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61">
        <v>4680115883093</v>
      </c>
      <c r="E449" s="562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9"/>
      <c r="R449" s="559"/>
      <c r="S449" s="559"/>
      <c r="T449" s="560"/>
      <c r="U449" s="34"/>
      <c r="V449" s="34"/>
      <c r="W449" s="35" t="s">
        <v>69</v>
      </c>
      <c r="X449" s="545">
        <v>199</v>
      </c>
      <c r="Y449" s="546">
        <f t="shared" si="48"/>
        <v>200.64000000000001</v>
      </c>
      <c r="Z449" s="36">
        <f>IFERROR(IF(Y449=0,"",ROUNDUP(Y449/H449,0)*0.01196),"")</f>
        <v>0.45448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212.19128787878785</v>
      </c>
      <c r="BN449" s="64">
        <f t="shared" si="50"/>
        <v>213.94</v>
      </c>
      <c r="BO449" s="64">
        <f t="shared" si="51"/>
        <v>0.36239801864801863</v>
      </c>
      <c r="BP449" s="64">
        <f t="shared" si="52"/>
        <v>0.36538461538461542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61">
        <v>4680115883109</v>
      </c>
      <c r="E450" s="562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9"/>
      <c r="R450" s="559"/>
      <c r="S450" s="559"/>
      <c r="T450" s="560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61">
        <v>4680115882072</v>
      </c>
      <c r="E451" s="562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9"/>
      <c r="R451" s="559"/>
      <c r="S451" s="559"/>
      <c r="T451" s="560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61">
        <v>4680115882102</v>
      </c>
      <c r="E452" s="562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8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9"/>
      <c r="R452" s="559"/>
      <c r="S452" s="559"/>
      <c r="T452" s="560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61">
        <v>4680115882096</v>
      </c>
      <c r="E453" s="562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9"/>
      <c r="R453" s="559"/>
      <c r="S453" s="559"/>
      <c r="T453" s="560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56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7"/>
      <c r="P454" s="551" t="s">
        <v>75</v>
      </c>
      <c r="Q454" s="552"/>
      <c r="R454" s="552"/>
      <c r="S454" s="552"/>
      <c r="T454" s="552"/>
      <c r="U454" s="552"/>
      <c r="V454" s="553"/>
      <c r="W454" s="37" t="s">
        <v>76</v>
      </c>
      <c r="X454" s="547">
        <f>IFERROR(X448/H448,"0")+IFERROR(X449/H449,"0")+IFERROR(X450/H450,"0")+IFERROR(X451/H451,"0")+IFERROR(X452/H452,"0")+IFERROR(X453/H453,"0")</f>
        <v>82.575757575757564</v>
      </c>
      <c r="Y454" s="547">
        <f>IFERROR(Y448/H448,"0")+IFERROR(Y449/H449,"0")+IFERROR(Y450/H450,"0")+IFERROR(Y451/H451,"0")+IFERROR(Y452/H452,"0")+IFERROR(Y453/H453,"0")</f>
        <v>83</v>
      </c>
      <c r="Z454" s="547">
        <f>IFERROR(IF(Z448="",0,Z448),"0")+IFERROR(IF(Z449="",0,Z449),"0")+IFERROR(IF(Z450="",0,Z450),"0")+IFERROR(IF(Z451="",0,Z451),"0")+IFERROR(IF(Z452="",0,Z452),"0")+IFERROR(IF(Z453="",0,Z453),"0")</f>
        <v>0.99268000000000001</v>
      </c>
      <c r="AA454" s="548"/>
      <c r="AB454" s="548"/>
      <c r="AC454" s="548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7"/>
      <c r="P455" s="551" t="s">
        <v>75</v>
      </c>
      <c r="Q455" s="552"/>
      <c r="R455" s="552"/>
      <c r="S455" s="552"/>
      <c r="T455" s="552"/>
      <c r="U455" s="552"/>
      <c r="V455" s="553"/>
      <c r="W455" s="37" t="s">
        <v>69</v>
      </c>
      <c r="X455" s="547">
        <f>IFERROR(SUM(X448:X453),"0")</f>
        <v>436</v>
      </c>
      <c r="Y455" s="547">
        <f>IFERROR(SUM(Y448:Y453),"0")</f>
        <v>438.24</v>
      </c>
      <c r="Z455" s="37"/>
      <c r="AA455" s="548"/>
      <c r="AB455" s="548"/>
      <c r="AC455" s="548"/>
    </row>
    <row r="456" spans="1:68" ht="27.75" hidden="1" customHeight="1" x14ac:dyDescent="0.2">
      <c r="A456" s="669" t="s">
        <v>707</v>
      </c>
      <c r="B456" s="670"/>
      <c r="C456" s="670"/>
      <c r="D456" s="670"/>
      <c r="E456" s="670"/>
      <c r="F456" s="670"/>
      <c r="G456" s="670"/>
      <c r="H456" s="670"/>
      <c r="I456" s="670"/>
      <c r="J456" s="670"/>
      <c r="K456" s="670"/>
      <c r="L456" s="670"/>
      <c r="M456" s="670"/>
      <c r="N456" s="670"/>
      <c r="O456" s="670"/>
      <c r="P456" s="670"/>
      <c r="Q456" s="670"/>
      <c r="R456" s="670"/>
      <c r="S456" s="670"/>
      <c r="T456" s="670"/>
      <c r="U456" s="670"/>
      <c r="V456" s="670"/>
      <c r="W456" s="670"/>
      <c r="X456" s="670"/>
      <c r="Y456" s="670"/>
      <c r="Z456" s="670"/>
      <c r="AA456" s="48"/>
      <c r="AB456" s="48"/>
      <c r="AC456" s="48"/>
    </row>
    <row r="457" spans="1:68" ht="16.5" hidden="1" customHeight="1" x14ac:dyDescent="0.25">
      <c r="A457" s="590" t="s">
        <v>707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40"/>
      <c r="AB457" s="540"/>
      <c r="AC457" s="540"/>
    </row>
    <row r="458" spans="1:68" ht="14.25" hidden="1" customHeight="1" x14ac:dyDescent="0.25">
      <c r="A458" s="554" t="s">
        <v>99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61">
        <v>4640242181011</v>
      </c>
      <c r="E459" s="562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6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9"/>
      <c r="R459" s="559"/>
      <c r="S459" s="559"/>
      <c r="T459" s="560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61">
        <v>4640242180441</v>
      </c>
      <c r="E460" s="562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6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9"/>
      <c r="R460" s="559"/>
      <c r="S460" s="559"/>
      <c r="T460" s="560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61">
        <v>4640242180564</v>
      </c>
      <c r="E461" s="562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9"/>
      <c r="R461" s="559"/>
      <c r="S461" s="559"/>
      <c r="T461" s="560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61">
        <v>4640242181189</v>
      </c>
      <c r="E462" s="562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66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9"/>
      <c r="R462" s="559"/>
      <c r="S462" s="559"/>
      <c r="T462" s="560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6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7"/>
      <c r="P463" s="551" t="s">
        <v>75</v>
      </c>
      <c r="Q463" s="552"/>
      <c r="R463" s="552"/>
      <c r="S463" s="552"/>
      <c r="T463" s="552"/>
      <c r="U463" s="552"/>
      <c r="V463" s="55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7"/>
      <c r="P464" s="551" t="s">
        <v>75</v>
      </c>
      <c r="Q464" s="552"/>
      <c r="R464" s="552"/>
      <c r="S464" s="552"/>
      <c r="T464" s="552"/>
      <c r="U464" s="552"/>
      <c r="V464" s="55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4" t="s">
        <v>135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61">
        <v>4640242180519</v>
      </c>
      <c r="E466" s="562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9"/>
      <c r="R466" s="559"/>
      <c r="S466" s="559"/>
      <c r="T466" s="560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61">
        <v>4640242180526</v>
      </c>
      <c r="E467" s="562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9"/>
      <c r="R467" s="559"/>
      <c r="S467" s="559"/>
      <c r="T467" s="560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7"/>
      <c r="P468" s="551" t="s">
        <v>75</v>
      </c>
      <c r="Q468" s="552"/>
      <c r="R468" s="552"/>
      <c r="S468" s="552"/>
      <c r="T468" s="552"/>
      <c r="U468" s="552"/>
      <c r="V468" s="55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7"/>
      <c r="P469" s="551" t="s">
        <v>75</v>
      </c>
      <c r="Q469" s="552"/>
      <c r="R469" s="552"/>
      <c r="S469" s="552"/>
      <c r="T469" s="552"/>
      <c r="U469" s="552"/>
      <c r="V469" s="55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4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61">
        <v>4640242180595</v>
      </c>
      <c r="E471" s="562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9"/>
      <c r="R471" s="559"/>
      <c r="S471" s="559"/>
      <c r="T471" s="560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6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7"/>
      <c r="P472" s="551" t="s">
        <v>75</v>
      </c>
      <c r="Q472" s="552"/>
      <c r="R472" s="552"/>
      <c r="S472" s="552"/>
      <c r="T472" s="552"/>
      <c r="U472" s="552"/>
      <c r="V472" s="55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7"/>
      <c r="P473" s="551" t="s">
        <v>75</v>
      </c>
      <c r="Q473" s="552"/>
      <c r="R473" s="552"/>
      <c r="S473" s="552"/>
      <c r="T473" s="552"/>
      <c r="U473" s="552"/>
      <c r="V473" s="55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4" t="s">
        <v>77</v>
      </c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  <c r="W474" s="555"/>
      <c r="X474" s="555"/>
      <c r="Y474" s="555"/>
      <c r="Z474" s="555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61">
        <v>4640242180533</v>
      </c>
      <c r="E475" s="562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9"/>
      <c r="R475" s="559"/>
      <c r="S475" s="559"/>
      <c r="T475" s="560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6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7"/>
      <c r="P476" s="551" t="s">
        <v>75</v>
      </c>
      <c r="Q476" s="552"/>
      <c r="R476" s="552"/>
      <c r="S476" s="552"/>
      <c r="T476" s="552"/>
      <c r="U476" s="552"/>
      <c r="V476" s="55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7"/>
      <c r="P477" s="551" t="s">
        <v>75</v>
      </c>
      <c r="Q477" s="552"/>
      <c r="R477" s="552"/>
      <c r="S477" s="552"/>
      <c r="T477" s="552"/>
      <c r="U477" s="552"/>
      <c r="V477" s="55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4" t="s">
        <v>160</v>
      </c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  <c r="W478" s="555"/>
      <c r="X478" s="555"/>
      <c r="Y478" s="555"/>
      <c r="Z478" s="555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61">
        <v>4640242180120</v>
      </c>
      <c r="E479" s="562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7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9"/>
      <c r="R479" s="559"/>
      <c r="S479" s="559"/>
      <c r="T479" s="560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61">
        <v>4640242180137</v>
      </c>
      <c r="E480" s="562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9"/>
      <c r="R480" s="559"/>
      <c r="S480" s="559"/>
      <c r="T480" s="560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6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57"/>
      <c r="P481" s="551" t="s">
        <v>75</v>
      </c>
      <c r="Q481" s="552"/>
      <c r="R481" s="552"/>
      <c r="S481" s="552"/>
      <c r="T481" s="552"/>
      <c r="U481" s="552"/>
      <c r="V481" s="55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7"/>
      <c r="P482" s="551" t="s">
        <v>75</v>
      </c>
      <c r="Q482" s="552"/>
      <c r="R482" s="552"/>
      <c r="S482" s="552"/>
      <c r="T482" s="552"/>
      <c r="U482" s="552"/>
      <c r="V482" s="55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90" t="s">
        <v>737</v>
      </c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  <c r="W483" s="555"/>
      <c r="X483" s="555"/>
      <c r="Y483" s="555"/>
      <c r="Z483" s="555"/>
      <c r="AA483" s="540"/>
      <c r="AB483" s="540"/>
      <c r="AC483" s="540"/>
    </row>
    <row r="484" spans="1:68" ht="14.25" hidden="1" customHeight="1" x14ac:dyDescent="0.25">
      <c r="A484" s="554" t="s">
        <v>135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61">
        <v>4640242180090</v>
      </c>
      <c r="E485" s="562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9"/>
      <c r="R485" s="559"/>
      <c r="S485" s="559"/>
      <c r="T485" s="560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7"/>
      <c r="P486" s="551" t="s">
        <v>75</v>
      </c>
      <c r="Q486" s="552"/>
      <c r="R486" s="552"/>
      <c r="S486" s="552"/>
      <c r="T486" s="552"/>
      <c r="U486" s="552"/>
      <c r="V486" s="55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7"/>
      <c r="P487" s="551" t="s">
        <v>75</v>
      </c>
      <c r="Q487" s="552"/>
      <c r="R487" s="552"/>
      <c r="S487" s="552"/>
      <c r="T487" s="552"/>
      <c r="U487" s="552"/>
      <c r="V487" s="55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60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606"/>
      <c r="P488" s="609" t="s">
        <v>741</v>
      </c>
      <c r="Q488" s="610"/>
      <c r="R488" s="610"/>
      <c r="S488" s="610"/>
      <c r="T488" s="610"/>
      <c r="U488" s="610"/>
      <c r="V488" s="57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10503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10692.560000000001</v>
      </c>
      <c r="Z488" s="37"/>
      <c r="AA488" s="548"/>
      <c r="AB488" s="548"/>
      <c r="AC488" s="548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606"/>
      <c r="P489" s="609" t="s">
        <v>742</v>
      </c>
      <c r="Q489" s="610"/>
      <c r="R489" s="610"/>
      <c r="S489" s="610"/>
      <c r="T489" s="610"/>
      <c r="U489" s="610"/>
      <c r="V489" s="578"/>
      <c r="W489" s="37" t="s">
        <v>69</v>
      </c>
      <c r="X489" s="547">
        <f>IFERROR(SUM(BM22:BM485),"0")</f>
        <v>11196.230926984692</v>
      </c>
      <c r="Y489" s="547">
        <f>IFERROR(SUM(BN22:BN485),"0")</f>
        <v>11397.752000000008</v>
      </c>
      <c r="Z489" s="37"/>
      <c r="AA489" s="548"/>
      <c r="AB489" s="548"/>
      <c r="AC489" s="548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606"/>
      <c r="P490" s="609" t="s">
        <v>743</v>
      </c>
      <c r="Q490" s="610"/>
      <c r="R490" s="610"/>
      <c r="S490" s="610"/>
      <c r="T490" s="610"/>
      <c r="U490" s="610"/>
      <c r="V490" s="578"/>
      <c r="W490" s="37" t="s">
        <v>744</v>
      </c>
      <c r="X490" s="38">
        <f>ROUNDUP(SUM(BO22:BO485),0)</f>
        <v>19</v>
      </c>
      <c r="Y490" s="38">
        <f>ROUNDUP(SUM(BP22:BP485),0)</f>
        <v>20</v>
      </c>
      <c r="Z490" s="37"/>
      <c r="AA490" s="548"/>
      <c r="AB490" s="548"/>
      <c r="AC490" s="548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606"/>
      <c r="P491" s="609" t="s">
        <v>745</v>
      </c>
      <c r="Q491" s="610"/>
      <c r="R491" s="610"/>
      <c r="S491" s="610"/>
      <c r="T491" s="610"/>
      <c r="U491" s="610"/>
      <c r="V491" s="578"/>
      <c r="W491" s="37" t="s">
        <v>69</v>
      </c>
      <c r="X491" s="547">
        <f>GrossWeightTotal+PalletQtyTotal*25</f>
        <v>11671.230926984692</v>
      </c>
      <c r="Y491" s="547">
        <f>GrossWeightTotalR+PalletQtyTotalR*25</f>
        <v>11897.752000000008</v>
      </c>
      <c r="Z491" s="37"/>
      <c r="AA491" s="548"/>
      <c r="AB491" s="548"/>
      <c r="AC491" s="548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606"/>
      <c r="P492" s="609" t="s">
        <v>746</v>
      </c>
      <c r="Q492" s="610"/>
      <c r="R492" s="610"/>
      <c r="S492" s="610"/>
      <c r="T492" s="610"/>
      <c r="U492" s="610"/>
      <c r="V492" s="57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2315.3437137172773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2346</v>
      </c>
      <c r="Z492" s="37"/>
      <c r="AA492" s="548"/>
      <c r="AB492" s="548"/>
      <c r="AC492" s="548"/>
    </row>
    <row r="493" spans="1:68" ht="14.25" hidden="1" customHeight="1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606"/>
      <c r="P493" s="609" t="s">
        <v>747</v>
      </c>
      <c r="Q493" s="610"/>
      <c r="R493" s="610"/>
      <c r="S493" s="610"/>
      <c r="T493" s="610"/>
      <c r="U493" s="610"/>
      <c r="V493" s="57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23.055200000000003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49" t="s">
        <v>97</v>
      </c>
      <c r="D495" s="783"/>
      <c r="E495" s="783"/>
      <c r="F495" s="783"/>
      <c r="G495" s="783"/>
      <c r="H495" s="664"/>
      <c r="I495" s="549" t="s">
        <v>263</v>
      </c>
      <c r="J495" s="783"/>
      <c r="K495" s="783"/>
      <c r="L495" s="783"/>
      <c r="M495" s="783"/>
      <c r="N495" s="783"/>
      <c r="O495" s="783"/>
      <c r="P495" s="783"/>
      <c r="Q495" s="783"/>
      <c r="R495" s="664"/>
      <c r="S495" s="549" t="s">
        <v>550</v>
      </c>
      <c r="T495" s="664"/>
      <c r="U495" s="549" t="s">
        <v>604</v>
      </c>
      <c r="V495" s="783"/>
      <c r="W495" s="664"/>
      <c r="X495" s="542" t="s">
        <v>655</v>
      </c>
      <c r="Y495" s="549" t="s">
        <v>707</v>
      </c>
      <c r="Z495" s="664"/>
      <c r="AB495" s="52"/>
      <c r="AC495" s="52"/>
      <c r="AF495" s="543"/>
    </row>
    <row r="496" spans="1:68" ht="14.25" customHeight="1" thickTop="1" x14ac:dyDescent="0.2">
      <c r="A496" s="838" t="s">
        <v>750</v>
      </c>
      <c r="B496" s="549" t="s">
        <v>63</v>
      </c>
      <c r="C496" s="549" t="s">
        <v>98</v>
      </c>
      <c r="D496" s="549" t="s">
        <v>116</v>
      </c>
      <c r="E496" s="549" t="s">
        <v>167</v>
      </c>
      <c r="F496" s="549" t="s">
        <v>189</v>
      </c>
      <c r="G496" s="549" t="s">
        <v>227</v>
      </c>
      <c r="H496" s="549" t="s">
        <v>97</v>
      </c>
      <c r="I496" s="549" t="s">
        <v>264</v>
      </c>
      <c r="J496" s="549" t="s">
        <v>319</v>
      </c>
      <c r="K496" s="549" t="s">
        <v>379</v>
      </c>
      <c r="L496" s="549" t="s">
        <v>420</v>
      </c>
      <c r="M496" s="549" t="s">
        <v>436</v>
      </c>
      <c r="N496" s="543"/>
      <c r="O496" s="549" t="s">
        <v>447</v>
      </c>
      <c r="P496" s="549" t="s">
        <v>456</v>
      </c>
      <c r="Q496" s="549" t="s">
        <v>469</v>
      </c>
      <c r="R496" s="549" t="s">
        <v>540</v>
      </c>
      <c r="S496" s="549" t="s">
        <v>551</v>
      </c>
      <c r="T496" s="549" t="s">
        <v>586</v>
      </c>
      <c r="U496" s="549" t="s">
        <v>605</v>
      </c>
      <c r="V496" s="549" t="s">
        <v>636</v>
      </c>
      <c r="W496" s="549" t="s">
        <v>651</v>
      </c>
      <c r="X496" s="549" t="s">
        <v>655</v>
      </c>
      <c r="Y496" s="549" t="s">
        <v>707</v>
      </c>
      <c r="Z496" s="549" t="s">
        <v>737</v>
      </c>
      <c r="AB496" s="52"/>
      <c r="AC496" s="52"/>
      <c r="AF496" s="543"/>
    </row>
    <row r="497" spans="1:32" ht="13.5" customHeight="1" thickBot="1" x14ac:dyDescent="0.25">
      <c r="A497" s="839"/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43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  <c r="Z497" s="550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285.3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672.4</v>
      </c>
      <c r="E498" s="46">
        <f>IFERROR(Y84*1,"0")+IFERROR(Y85*1,"0")+IFERROR(Y86*1,"0")+IFERROR(Y87*1,"0")+IFERROR(Y91*1,"0")+IFERROR(Y92*1,"0")+IFERROR(Y93*1,"0")+IFERROR(Y94*1,"0")</f>
        <v>753.30000000000007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1131.6000000000001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691.56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2426.6999999999994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158.79999999999998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357.6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930</v>
      </c>
      <c r="R498" s="46">
        <f>IFERROR(Y340*1,"0")+IFERROR(Y341*1,"0")+IFERROR(Y342*1,"0")</f>
        <v>24.299999999999997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948</v>
      </c>
      <c r="T498" s="46">
        <f>IFERROR(Y373*1,"0")+IFERROR(Y374*1,"0")+IFERROR(Y378*1,"0")+IFERROR(Y379*1,"0")+IFERROR(Y383*1,"0")+IFERROR(Y384*1,"0")+IFERROR(Y385*1,"0")</f>
        <v>381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1932.0000000000002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3"/>
        <filter val="0,67"/>
        <filter val="1 094,00"/>
        <filter val="1 131,00"/>
        <filter val="1 246,00"/>
        <filter val="10 503,00"/>
        <filter val="106,00"/>
        <filter val="109,88"/>
        <filter val="11 196,23"/>
        <filter val="11 671,23"/>
        <filter val="11,00"/>
        <filter val="111,00"/>
        <filter val="117,00"/>
        <filter val="120,00"/>
        <filter val="124,00"/>
        <filter val="125,00"/>
        <filter val="127,00"/>
        <filter val="128,00"/>
        <filter val="129,00"/>
        <filter val="13,70"/>
        <filter val="134,00"/>
        <filter val="14,27"/>
        <filter val="14,84"/>
        <filter val="144,00"/>
        <filter val="148,00"/>
        <filter val="148,75"/>
        <filter val="149,00"/>
        <filter val="150,00"/>
        <filter val="157,00"/>
        <filter val="16,31"/>
        <filter val="165,00"/>
        <filter val="167,00"/>
        <filter val="169,00"/>
        <filter val="174,00"/>
        <filter val="178,00"/>
        <filter val="184,00"/>
        <filter val="187,00"/>
        <filter val="19"/>
        <filter val="191,00"/>
        <filter val="199,00"/>
        <filter val="2 315,34"/>
        <filter val="2,00"/>
        <filter val="2,59"/>
        <filter val="20,00"/>
        <filter val="21,00"/>
        <filter val="210,00"/>
        <filter val="214,00"/>
        <filter val="214,89"/>
        <filter val="22,50"/>
        <filter val="229,00"/>
        <filter val="235,00"/>
        <filter val="237,00"/>
        <filter val="244,00"/>
        <filter val="25,00"/>
        <filter val="250,00"/>
        <filter val="272,00"/>
        <filter val="278,00"/>
        <filter val="282,00"/>
        <filter val="293,33"/>
        <filter val="299,00"/>
        <filter val="301,00"/>
        <filter val="303,89"/>
        <filter val="34,00"/>
        <filter val="343,00"/>
        <filter val="357,00"/>
        <filter val="36,00"/>
        <filter val="362,00"/>
        <filter val="381,00"/>
        <filter val="4,00"/>
        <filter val="4,76"/>
        <filter val="40,00"/>
        <filter val="40,22"/>
        <filter val="415,00"/>
        <filter val="418,86"/>
        <filter val="42,40"/>
        <filter val="425,00"/>
        <filter val="43,00"/>
        <filter val="435,00"/>
        <filter val="436,00"/>
        <filter val="46,00"/>
        <filter val="47,00"/>
        <filter val="48,00"/>
        <filter val="5,22"/>
        <filter val="5,50"/>
        <filter val="501,00"/>
        <filter val="51,25"/>
        <filter val="54,00"/>
        <filter val="546,00"/>
        <filter val="55,43"/>
        <filter val="59,66"/>
        <filter val="6,00"/>
        <filter val="60,00"/>
        <filter val="60,86"/>
        <filter val="607,00"/>
        <filter val="636,00"/>
        <filter val="650,00"/>
        <filter val="675,00"/>
        <filter val="68,26"/>
        <filter val="69,00"/>
        <filter val="71,00"/>
        <filter val="76,00"/>
        <filter val="76,07"/>
        <filter val="77,65"/>
        <filter val="79,00"/>
        <filter val="8,00"/>
        <filter val="82,58"/>
        <filter val="881,00"/>
        <filter val="90,65"/>
      </filters>
    </filterColumn>
    <filterColumn colId="29" showButton="0"/>
    <filterColumn colId="30" showButton="0"/>
  </autoFilter>
  <mergeCells count="874"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