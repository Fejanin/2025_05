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D2AB921-8769-46EF-BF21-5C18901027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X499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N22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Y96" i="1"/>
  <c r="Y202" i="1"/>
  <c r="Y260" i="1"/>
  <c r="Z267" i="1"/>
  <c r="BN267" i="1"/>
  <c r="Z274" i="1"/>
  <c r="BN274" i="1"/>
  <c r="Z288" i="1"/>
  <c r="BN288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F9" i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88" i="1" l="1"/>
  <c r="Z319" i="1"/>
  <c r="Z187" i="1"/>
  <c r="Z139" i="1"/>
  <c r="Z357" i="1"/>
  <c r="Z243" i="1"/>
  <c r="Z456" i="1"/>
  <c r="Y497" i="1"/>
  <c r="Z119" i="1"/>
  <c r="Y496" i="1"/>
  <c r="Y498" i="1" s="1"/>
  <c r="Z441" i="1"/>
  <c r="Z469" i="1"/>
  <c r="Z325" i="1"/>
  <c r="Z154" i="1"/>
  <c r="Z44" i="1"/>
  <c r="Z32" i="1"/>
  <c r="Y499" i="1"/>
  <c r="X498" i="1"/>
  <c r="Y495" i="1"/>
  <c r="Z402" i="1"/>
  <c r="Z213" i="1"/>
  <c r="Z312" i="1"/>
  <c r="Z303" i="1"/>
  <c r="Z283" i="1"/>
  <c r="Z225" i="1"/>
  <c r="Z181" i="1"/>
  <c r="Z112" i="1"/>
  <c r="Z105" i="1"/>
  <c r="Z500" i="1" l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<sst xmlns="http://schemas.openxmlformats.org/spreadsheetml/2006/main" count="2319" uniqueCount="782">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</sst>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topLeftCell="A45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46031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Пятница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300</v>
      </c>
      <c r="Y41" s="554">
        <f>IFERROR(IF(X41="",0,CEILING((X41/$H41),1)*$H41),"")</f>
        <v>302.40000000000003</v>
      </c>
      <c r="Z41" s="36">
        <f>IFERROR(IF(Y41=0,"",ROUNDUP(Y41/H41,0)*0.01898),"")</f>
        <v>0.53144000000000002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311.38888888888891</v>
      </c>
      <c r="BN41" s="64">
        <f>IFERROR(Y41*I41/H41,"0")</f>
        <v>313.88</v>
      </c>
      <c r="BO41" s="64">
        <f>IFERROR(1/J41*(X41/H41),"0")</f>
        <v>0.43402777777777773</v>
      </c>
      <c r="BP41" s="64">
        <f>IFERROR(1/J41*(Y41/H41),"0")</f>
        <v>0.4375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400</v>
      </c>
      <c r="Y43" s="554">
        <f>IFERROR(IF(X43="",0,CEILING((X43/$H43),1)*$H43),"")</f>
        <v>400</v>
      </c>
      <c r="Z43" s="36">
        <f>IFERROR(IF(Y43=0,"",ROUNDUP(Y43/H43,0)*0.00902),"")</f>
        <v>0.90200000000000002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419.00000000000006</v>
      </c>
      <c r="BN43" s="64">
        <f>IFERROR(Y43*I43/H43,"0")</f>
        <v>419.00000000000006</v>
      </c>
      <c r="BO43" s="64">
        <f>IFERROR(1/J43*(X43/H43),"0")</f>
        <v>0.75757575757575757</v>
      </c>
      <c r="BP43" s="64">
        <f>IFERROR(1/J43*(Y43/H43),"0")</f>
        <v>0.75757575757575757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127.77777777777777</v>
      </c>
      <c r="Y44" s="555">
        <f>IFERROR(Y41/H41,"0")+IFERROR(Y42/H42,"0")+IFERROR(Y43/H43,"0")</f>
        <v>128</v>
      </c>
      <c r="Z44" s="555">
        <f>IFERROR(IF(Z41="",0,Z41),"0")+IFERROR(IF(Z42="",0,Z42),"0")+IFERROR(IF(Z43="",0,Z43),"0")</f>
        <v>1.43344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700</v>
      </c>
      <c r="Y45" s="555">
        <f>IFERROR(SUM(Y41:Y43),"0")</f>
        <v>702.40000000000009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118.51851851851852</v>
      </c>
      <c r="Y58" s="555">
        <f>IFERROR(Y52/H52,"0")+IFERROR(Y53/H53,"0")+IFERROR(Y54/H54,"0")+IFERROR(Y55/H55,"0")+IFERROR(Y56/H56,"0")+IFERROR(Y57/H57,"0")</f>
        <v>119</v>
      </c>
      <c r="Z58" s="555">
        <f>IFERROR(IF(Z52="",0,Z52),"0")+IFERROR(IF(Z53="",0,Z53),"0")+IFERROR(IF(Z54="",0,Z54),"0")+IFERROR(IF(Z55="",0,Z55),"0")+IFERROR(IF(Z56="",0,Z56),"0")+IFERROR(IF(Z57="",0,Z57),"0")</f>
        <v>1.2626200000000001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650</v>
      </c>
      <c r="Y59" s="555">
        <f>IFERROR(SUM(Y52:Y57),"0")</f>
        <v>655.20000000000005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100</v>
      </c>
      <c r="Y61" s="554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225</v>
      </c>
      <c r="Y63" s="554">
        <f>IFERROR(IF(X63="",0,CEILING((X63/$H63),1)*$H63),"")</f>
        <v>226.8</v>
      </c>
      <c r="Z63" s="36">
        <f>IFERROR(IF(Y63=0,"",ROUNDUP(Y63/H63,0)*0.00651),"")</f>
        <v>0.54683999999999999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239.99999999999997</v>
      </c>
      <c r="BN63" s="64">
        <f>IFERROR(Y63*I63/H63,"0")</f>
        <v>241.91999999999996</v>
      </c>
      <c r="BO63" s="64">
        <f>IFERROR(1/J63*(X63/H63),"0")</f>
        <v>0.45787545787545786</v>
      </c>
      <c r="BP63" s="64">
        <f>IFERROR(1/J63*(Y63/H63),"0")</f>
        <v>0.46153846153846156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92.592592592592581</v>
      </c>
      <c r="Y64" s="555">
        <f>IFERROR(Y61/H61,"0")+IFERROR(Y62/H62,"0")+IFERROR(Y63/H63,"0")</f>
        <v>94</v>
      </c>
      <c r="Z64" s="555">
        <f>IFERROR(IF(Z61="",0,Z61),"0")+IFERROR(IF(Z62="",0,Z62),"0")+IFERROR(IF(Z63="",0,Z63),"0")</f>
        <v>0.73663999999999996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325</v>
      </c>
      <c r="Y65" s="555">
        <f>IFERROR(SUM(Y61:Y63),"0")</f>
        <v>334.8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120</v>
      </c>
      <c r="Y79" s="554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126.30769230769232</v>
      </c>
      <c r="BN79" s="64">
        <f>IFERROR(Y79*I79/H79,"0")</f>
        <v>131.36000000000001</v>
      </c>
      <c r="BO79" s="64">
        <f>IFERROR(1/J79*(X79/H79),"0")</f>
        <v>0.24038461538461539</v>
      </c>
      <c r="BP79" s="64">
        <f>IFERROR(1/J79*(Y79/H79),"0")</f>
        <v>0.25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15.384615384615385</v>
      </c>
      <c r="Y81" s="555">
        <f>IFERROR(Y79/H79,"0")+IFERROR(Y80/H80,"0")</f>
        <v>16</v>
      </c>
      <c r="Z81" s="555">
        <f>IFERROR(IF(Z79="",0,Z79),"0")+IFERROR(IF(Z80="",0,Z80),"0")</f>
        <v>0.30368000000000001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120</v>
      </c>
      <c r="Y82" s="555">
        <f>IFERROR(SUM(Y79:Y80),"0")</f>
        <v>124.8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250</v>
      </c>
      <c r="Y85" s="554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123.14814814814815</v>
      </c>
      <c r="Y89" s="555">
        <f>IFERROR(Y85/H85,"0")+IFERROR(Y86/H86,"0")+IFERROR(Y87/H87,"0")+IFERROR(Y88/H88,"0")</f>
        <v>124</v>
      </c>
      <c r="Z89" s="555">
        <f>IFERROR(IF(Z85="",0,Z85),"0")+IFERROR(IF(Z86="",0,Z86),"0")+IFERROR(IF(Z87="",0,Z87),"0")+IFERROR(IF(Z88="",0,Z88),"0")</f>
        <v>1.3575200000000001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700</v>
      </c>
      <c r="Y90" s="555">
        <f>IFERROR(SUM(Y85:Y88),"0")</f>
        <v>709.2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300</v>
      </c>
      <c r="Y92" s="554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170.37037037037035</v>
      </c>
      <c r="Y96" s="555">
        <f>IFERROR(Y92/H92,"0")+IFERROR(Y93/H93,"0")+IFERROR(Y94/H94,"0")+IFERROR(Y95/H95,"0")</f>
        <v>172</v>
      </c>
      <c r="Z96" s="555">
        <f>IFERROR(IF(Z92="",0,Z92),"0")+IFERROR(IF(Z93="",0,Z93),"0")+IFERROR(IF(Z94="",0,Z94),"0")+IFERROR(IF(Z95="",0,Z95),"0")</f>
        <v>1.59358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660</v>
      </c>
      <c r="Y97" s="555">
        <f>IFERROR(SUM(Y92:Y95),"0")</f>
        <v>669.6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540</v>
      </c>
      <c r="Y103" s="554">
        <f>IFERROR(IF(X103="",0,CEILING((X103/$H103),1)*$H103),"")</f>
        <v>540</v>
      </c>
      <c r="Z103" s="36">
        <f>IFERROR(IF(Y103=0,"",ROUNDUP(Y103/H103,0)*0.00902),"")</f>
        <v>1.0824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562.80000000000007</v>
      </c>
      <c r="BN103" s="64">
        <f>IFERROR(Y103*I103/H103,"0")</f>
        <v>562.80000000000007</v>
      </c>
      <c r="BO103" s="64">
        <f>IFERROR(1/J103*(X103/H103),"0")</f>
        <v>0.90909090909090917</v>
      </c>
      <c r="BP103" s="64">
        <f>IFERROR(1/J103*(Y103/H103),"0")</f>
        <v>0.90909090909090917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124.62962962962963</v>
      </c>
      <c r="Y105" s="555">
        <f>IFERROR(Y100/H100,"0")+IFERROR(Y101/H101,"0")+IFERROR(Y102/H102,"0")+IFERROR(Y103/H103,"0")+IFERROR(Y104/H104,"0")</f>
        <v>125</v>
      </c>
      <c r="Z105" s="555">
        <f>IFERROR(IF(Z100="",0,Z100),"0")+IFERROR(IF(Z101="",0,Z101),"0")+IFERROR(IF(Z102="",0,Z102),"0")+IFERROR(IF(Z103="",0,Z103),"0")+IFERROR(IF(Z104="",0,Z104),"0")</f>
        <v>1.1773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590</v>
      </c>
      <c r="Y106" s="555">
        <f>IFERROR(SUM(Y100:Y104),"0")</f>
        <v>594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200</v>
      </c>
      <c r="Y115" s="554">
        <f>IFERROR(IF(X115="",0,CEILING((X115/$H115),1)*$H115),"")</f>
        <v>202.5</v>
      </c>
      <c r="Z115" s="36">
        <f>IFERROR(IF(Y115=0,"",ROUNDUP(Y115/H115,0)*0.01898),"")</f>
        <v>0.47450000000000003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212.04938271604939</v>
      </c>
      <c r="BN115" s="64">
        <f>IFERROR(Y115*I115/H115,"0")</f>
        <v>214.7</v>
      </c>
      <c r="BO115" s="64">
        <f>IFERROR(1/J115*(X115/H115),"0")</f>
        <v>0.38580246913580246</v>
      </c>
      <c r="BP115" s="64">
        <f>IFERROR(1/J115*(Y115/H115),"0")</f>
        <v>0.390625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45</v>
      </c>
      <c r="Y118" s="554">
        <f>IFERROR(IF(X118="",0,CEILING((X118/$H118),1)*$H118),"")</f>
        <v>45</v>
      </c>
      <c r="Z118" s="36">
        <f>IFERROR(IF(Y118=0,"",ROUNDUP(Y118/H118,0)*0.00651),"")</f>
        <v>0.16275000000000001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49.499999999999993</v>
      </c>
      <c r="BN118" s="64">
        <f>IFERROR(Y118*I118/H118,"0")</f>
        <v>49.499999999999993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183.02469135802468</v>
      </c>
      <c r="Y119" s="555">
        <f>IFERROR(Y115/H115,"0")+IFERROR(Y116/H116,"0")+IFERROR(Y117/H117,"0")+IFERROR(Y118/H118,"0")</f>
        <v>184</v>
      </c>
      <c r="Z119" s="555">
        <f>IFERROR(IF(Z115="",0,Z115),"0")+IFERROR(IF(Z116="",0,Z116),"0")+IFERROR(IF(Z117="",0,Z117),"0")+IFERROR(IF(Z118="",0,Z118),"0")</f>
        <v>1.50959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605</v>
      </c>
      <c r="Y120" s="555">
        <f>IFERROR(SUM(Y115:Y118),"0")</f>
        <v>609.29999999999995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49.5</v>
      </c>
      <c r="Y122" s="554">
        <f>IFERROR(IF(X122="",0,CEILING((X122/$H122),1)*$H122),"")</f>
        <v>49.5</v>
      </c>
      <c r="Z122" s="36">
        <f>IFERROR(IF(Y122=0,"",ROUNDUP(Y122/H122,0)*0.00651),"")</f>
        <v>0.16275000000000001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55.95</v>
      </c>
      <c r="BN122" s="64">
        <f>IFERROR(Y122*I122/H122,"0")</f>
        <v>55.95</v>
      </c>
      <c r="BO122" s="64">
        <f>IFERROR(1/J122*(X122/H122),"0")</f>
        <v>0.13736263736263737</v>
      </c>
      <c r="BP122" s="64">
        <f>IFERROR(1/J122*(Y122/H122),"0")</f>
        <v>0.13736263736263737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25</v>
      </c>
      <c r="Y123" s="555">
        <f>IFERROR(Y122/H122,"0")</f>
        <v>25</v>
      </c>
      <c r="Z123" s="555">
        <f>IFERROR(IF(Z122="",0,Z122),"0")</f>
        <v>0.16275000000000001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49.5</v>
      </c>
      <c r="Y124" s="555">
        <f>IFERROR(SUM(Y122:Y122),"0")</f>
        <v>49.5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52.5</v>
      </c>
      <c r="Y133" s="554">
        <f>IFERROR(IF(X133="",0,CEILING((X133/$H133),1)*$H133),"")</f>
        <v>53.199999999999996</v>
      </c>
      <c r="Z133" s="36">
        <f>IFERROR(IF(Y133=0,"",ROUNDUP(Y133/H133,0)*0.00651),"")</f>
        <v>0.12369000000000001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57.524999999999999</v>
      </c>
      <c r="BN133" s="64">
        <f>IFERROR(Y133*I133/H133,"0")</f>
        <v>58.291999999999994</v>
      </c>
      <c r="BO133" s="64">
        <f>IFERROR(1/J133*(X133/H133),"0")</f>
        <v>0.10302197802197803</v>
      </c>
      <c r="BP133" s="64">
        <f>IFERROR(1/J133*(Y133/H133),"0")</f>
        <v>0.1043956043956044</v>
      </c>
    </row>
    <row r="134" spans="1:68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18.75</v>
      </c>
      <c r="Y134" s="555">
        <f>IFERROR(Y132/H132,"0")+IFERROR(Y133/H133,"0")</f>
        <v>19</v>
      </c>
      <c r="Z134" s="555">
        <f>IFERROR(IF(Z132="",0,Z132),"0")+IFERROR(IF(Z133="",0,Z133),"0")</f>
        <v>0.12369000000000001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52.5</v>
      </c>
      <c r="Y135" s="555">
        <f>IFERROR(SUM(Y132:Y133),"0")</f>
        <v>53.199999999999996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66</v>
      </c>
      <c r="Y138" s="554">
        <f>IFERROR(IF(X138="",0,CEILING((X138/$H138),1)*$H138),"")</f>
        <v>66</v>
      </c>
      <c r="Z138" s="36">
        <f>IFERROR(IF(Y138=0,"",ROUNDUP(Y138/H138,0)*0.00651),"")</f>
        <v>0.16275000000000001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72.699999999999989</v>
      </c>
      <c r="BN138" s="64">
        <f>IFERROR(Y138*I138/H138,"0")</f>
        <v>72.699999999999989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25</v>
      </c>
      <c r="Y139" s="555">
        <f>IFERROR(Y137/H137,"0")+IFERROR(Y138/H138,"0")</f>
        <v>25</v>
      </c>
      <c r="Z139" s="555">
        <f>IFERROR(IF(Z137="",0,Z137),"0")+IFERROR(IF(Z138="",0,Z138),"0")</f>
        <v>0.16275000000000001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66</v>
      </c>
      <c r="Y140" s="555">
        <f>IFERROR(SUM(Y137:Y138),"0")</f>
        <v>66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30</v>
      </c>
      <c r="Y170" s="554">
        <f t="shared" si="10"/>
        <v>33.6</v>
      </c>
      <c r="Z170" s="36">
        <f>IFERROR(IF(Y170=0,"",ROUNDUP(Y170/H170,0)*0.00902),"")</f>
        <v>7.2160000000000002E-2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31.785714285714285</v>
      </c>
      <c r="BN170" s="64">
        <f t="shared" si="12"/>
        <v>35.6</v>
      </c>
      <c r="BO170" s="64">
        <f t="shared" si="13"/>
        <v>5.4112554112554112E-2</v>
      </c>
      <c r="BP170" s="64">
        <f t="shared" si="14"/>
        <v>6.0606060606060608E-2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175</v>
      </c>
      <c r="Y178" s="554">
        <f t="shared" si="10"/>
        <v>176.4</v>
      </c>
      <c r="Z178" s="36">
        <f>IFERROR(IF(Y178=0,"",ROUNDUP(Y178/H178,0)*0.00502),"")</f>
        <v>0.42168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183.33333333333334</v>
      </c>
      <c r="BN178" s="64">
        <f t="shared" si="12"/>
        <v>184.8</v>
      </c>
      <c r="BO178" s="64">
        <f t="shared" si="13"/>
        <v>0.35612535612535612</v>
      </c>
      <c r="BP178" s="64">
        <f t="shared" si="14"/>
        <v>0.35897435897435903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189.28571428571428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192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1.0918399999999999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462.5</v>
      </c>
      <c r="Y182" s="555">
        <f>IFERROR(SUM(Y167:Y180),"0")</f>
        <v>470.4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21</v>
      </c>
      <c r="Y184" s="554">
        <f>IFERROR(IF(X184="",0,CEILING((X184/$H184),1)*$H184),"")</f>
        <v>21.42</v>
      </c>
      <c r="Z184" s="36">
        <f>IFERROR(IF(Y184=0,"",ROUNDUP(Y184/H184,0)*0.0059),"")</f>
        <v>0.1003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24.166666666666664</v>
      </c>
      <c r="BN184" s="64">
        <f>IFERROR(Y184*I184/H184,"0")</f>
        <v>24.650000000000002</v>
      </c>
      <c r="BO184" s="64">
        <f>IFERROR(1/J184*(X184/H184),"0")</f>
        <v>7.716049382716049E-2</v>
      </c>
      <c r="BP184" s="64">
        <f>IFERROR(1/J184*(Y184/H184),"0")</f>
        <v>7.8703703703703692E-2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14</v>
      </c>
      <c r="Y185" s="554">
        <f>IFERROR(IF(X185="",0,CEILING((X185/$H185),1)*$H185),"")</f>
        <v>15.120000000000001</v>
      </c>
      <c r="Z185" s="36">
        <f>IFERROR(IF(Y185=0,"",ROUNDUP(Y185/H185,0)*0.0059),"")</f>
        <v>7.0800000000000002E-2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16.111111111111111</v>
      </c>
      <c r="BN185" s="64">
        <f>IFERROR(Y185*I185/H185,"0")</f>
        <v>17.399999999999999</v>
      </c>
      <c r="BO185" s="64">
        <f>IFERROR(1/J185*(X185/H185),"0")</f>
        <v>5.1440329218106991E-2</v>
      </c>
      <c r="BP185" s="64">
        <f>IFERROR(1/J185*(Y185/H185),"0")</f>
        <v>5.5555555555555552E-2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21</v>
      </c>
      <c r="Y186" s="554">
        <f>IFERROR(IF(X186="",0,CEILING((X186/$H186),1)*$H186),"")</f>
        <v>21.42</v>
      </c>
      <c r="Z186" s="36">
        <f>IFERROR(IF(Y186=0,"",ROUNDUP(Y186/H186,0)*0.0059),"")</f>
        <v>0.1003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24.166666666666664</v>
      </c>
      <c r="BN186" s="64">
        <f>IFERROR(Y186*I186/H186,"0")</f>
        <v>24.650000000000002</v>
      </c>
      <c r="BO186" s="64">
        <f>IFERROR(1/J186*(X186/H186),"0")</f>
        <v>7.716049382716049E-2</v>
      </c>
      <c r="BP186" s="64">
        <f>IFERROR(1/J186*(Y186/H186),"0")</f>
        <v>7.8703703703703692E-2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44.444444444444443</v>
      </c>
      <c r="Y187" s="555">
        <f>IFERROR(Y184/H184,"0")+IFERROR(Y185/H185,"0")+IFERROR(Y186/H186,"0")</f>
        <v>46</v>
      </c>
      <c r="Z187" s="555">
        <f>IFERROR(IF(Z184="",0,Z184),"0")+IFERROR(IF(Z185="",0,Z185),"0")+IFERROR(IF(Z186="",0,Z186),"0")</f>
        <v>0.27139999999999997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56</v>
      </c>
      <c r="Y188" s="555">
        <f>IFERROR(SUM(Y184:Y186),"0")</f>
        <v>57.960000000000008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150</v>
      </c>
      <c r="Y205" s="554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200</v>
      </c>
      <c r="Y207" s="554">
        <f t="shared" si="15"/>
        <v>205.20000000000002</v>
      </c>
      <c r="Z207" s="36">
        <f>IFERROR(IF(Y207=0,"",ROUNDUP(Y207/H207,0)*0.00902),"")</f>
        <v>0.34276000000000001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207.03703703703701</v>
      </c>
      <c r="BN207" s="64">
        <f t="shared" si="17"/>
        <v>212.42</v>
      </c>
      <c r="BO207" s="64">
        <f t="shared" si="18"/>
        <v>0.28058361391694725</v>
      </c>
      <c r="BP207" s="64">
        <f t="shared" si="19"/>
        <v>0.2878787878787879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30</v>
      </c>
      <c r="Y208" s="554">
        <f t="shared" si="15"/>
        <v>32.400000000000006</v>
      </c>
      <c r="Z208" s="36">
        <f>IFERROR(IF(Y208=0,"",ROUNDUP(Y208/H208,0)*0.00902),"")</f>
        <v>5.4120000000000001E-2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31.05555555555555</v>
      </c>
      <c r="BN208" s="64">
        <f t="shared" si="17"/>
        <v>33.54</v>
      </c>
      <c r="BO208" s="64">
        <f t="shared" si="18"/>
        <v>4.208754208754209E-2</v>
      </c>
      <c r="BP208" s="64">
        <f t="shared" si="19"/>
        <v>4.5454545454545463E-2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36</v>
      </c>
      <c r="Y210" s="554">
        <f t="shared" si="15"/>
        <v>36</v>
      </c>
      <c r="Z210" s="36">
        <f>IFERROR(IF(Y210=0,"",ROUNDUP(Y210/H210,0)*0.00502),"")</f>
        <v>0.1004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37.999999999999993</v>
      </c>
      <c r="BN210" s="64">
        <f t="shared" si="17"/>
        <v>37.999999999999993</v>
      </c>
      <c r="BO210" s="64">
        <f t="shared" si="18"/>
        <v>8.5470085470085472E-2</v>
      </c>
      <c r="BP210" s="64">
        <f t="shared" si="19"/>
        <v>8.5470085470085472E-2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42</v>
      </c>
      <c r="Y212" s="554">
        <f t="shared" si="15"/>
        <v>43.2</v>
      </c>
      <c r="Z212" s="36">
        <f>IFERROR(IF(Y212=0,"",ROUNDUP(Y212/H212,0)*0.00502),"")</f>
        <v>0.12048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44.333333333333329</v>
      </c>
      <c r="BN212" s="64">
        <f t="shared" si="17"/>
        <v>45.6</v>
      </c>
      <c r="BO212" s="64">
        <f t="shared" si="18"/>
        <v>9.9715099715099717E-2</v>
      </c>
      <c r="BP212" s="64">
        <f t="shared" si="19"/>
        <v>0.10256410256410257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197.03703703703707</v>
      </c>
      <c r="Y213" s="555">
        <f>IFERROR(Y205/H205,"0")+IFERROR(Y206/H206,"0")+IFERROR(Y207/H207,"0")+IFERROR(Y208/H208,"0")+IFERROR(Y209/H209,"0")+IFERROR(Y210/H210,"0")+IFERROR(Y211/H211,"0")+IFERROR(Y212/H212,"0")</f>
        <v>200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1.2919999999999998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608</v>
      </c>
      <c r="Y214" s="555">
        <f>IFERROR(SUM(Y205:Y212),"0")</f>
        <v>619.20000000000016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200</v>
      </c>
      <c r="Y218" s="554">
        <f t="shared" si="20"/>
        <v>200.1</v>
      </c>
      <c r="Z218" s="36">
        <f>IFERROR(IF(Y218=0,"",ROUNDUP(Y218/H218,0)*0.01898),"")</f>
        <v>0.43653999999999998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211.35632183908049</v>
      </c>
      <c r="BN218" s="64">
        <f t="shared" si="22"/>
        <v>211.46200000000005</v>
      </c>
      <c r="BO218" s="64">
        <f t="shared" si="23"/>
        <v>0.35919540229885061</v>
      </c>
      <c r="BP218" s="64">
        <f t="shared" si="24"/>
        <v>0.359375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320</v>
      </c>
      <c r="Y219" s="554">
        <f t="shared" si="20"/>
        <v>321.59999999999997</v>
      </c>
      <c r="Z219" s="36">
        <f t="shared" ref="Z219:Z224" si="25">IFERROR(IF(Y219=0,"",ROUNDUP(Y219/H219,0)*0.00651),"")</f>
        <v>0.87234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356</v>
      </c>
      <c r="BN219" s="64">
        <f t="shared" si="22"/>
        <v>357.78</v>
      </c>
      <c r="BO219" s="64">
        <f t="shared" si="23"/>
        <v>0.73260073260073266</v>
      </c>
      <c r="BP219" s="64">
        <f t="shared" si="24"/>
        <v>0.73626373626373631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400</v>
      </c>
      <c r="Y221" s="554">
        <f t="shared" si="20"/>
        <v>400.8</v>
      </c>
      <c r="Z221" s="36">
        <f t="shared" si="25"/>
        <v>1.08717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442</v>
      </c>
      <c r="BN221" s="64">
        <f t="shared" si="22"/>
        <v>442.88400000000007</v>
      </c>
      <c r="BO221" s="64">
        <f t="shared" si="23"/>
        <v>0.91575091575091594</v>
      </c>
      <c r="BP221" s="64">
        <f t="shared" si="24"/>
        <v>0.91758241758241765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120</v>
      </c>
      <c r="Y223" s="554">
        <f t="shared" si="20"/>
        <v>120</v>
      </c>
      <c r="Z223" s="36">
        <f t="shared" si="25"/>
        <v>0.32550000000000001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132.60000000000002</v>
      </c>
      <c r="BN223" s="64">
        <f t="shared" si="22"/>
        <v>132.60000000000002</v>
      </c>
      <c r="BO223" s="64">
        <f t="shared" si="23"/>
        <v>0.27472527472527475</v>
      </c>
      <c r="BP223" s="64">
        <f t="shared" si="24"/>
        <v>0.27472527472527475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320</v>
      </c>
      <c r="Y224" s="554">
        <f t="shared" si="20"/>
        <v>321.59999999999997</v>
      </c>
      <c r="Z224" s="36">
        <f t="shared" si="25"/>
        <v>0.87234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354.4</v>
      </c>
      <c r="BN224" s="64">
        <f t="shared" si="22"/>
        <v>356.17199999999997</v>
      </c>
      <c r="BO224" s="64">
        <f t="shared" si="23"/>
        <v>0.73260073260073266</v>
      </c>
      <c r="BP224" s="64">
        <f t="shared" si="24"/>
        <v>0.73626373626373631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506.32183908045977</v>
      </c>
      <c r="Y225" s="555">
        <f>IFERROR(Y216/H216,"0")+IFERROR(Y217/H217,"0")+IFERROR(Y218/H218,"0")+IFERROR(Y219/H219,"0")+IFERROR(Y220/H220,"0")+IFERROR(Y221/H221,"0")+IFERROR(Y222/H222,"0")+IFERROR(Y223/H223,"0")+IFERROR(Y224/H224,"0")</f>
        <v>508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3.5938899999999996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1360</v>
      </c>
      <c r="Y226" s="555">
        <f>IFERROR(SUM(Y216:Y224),"0")</f>
        <v>1364.1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60</v>
      </c>
      <c r="Y236" s="554">
        <f t="shared" si="26"/>
        <v>69.599999999999994</v>
      </c>
      <c r="Z236" s="36">
        <f>IFERROR(IF(Y236=0,"",ROUNDUP(Y236/H236,0)*0.01898),"")</f>
        <v>0.11388000000000001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62.12068965517242</v>
      </c>
      <c r="BN236" s="64">
        <f t="shared" si="28"/>
        <v>72.06</v>
      </c>
      <c r="BO236" s="64">
        <f t="shared" si="29"/>
        <v>8.0818965517241381E-2</v>
      </c>
      <c r="BP236" s="64">
        <f t="shared" si="30"/>
        <v>9.375E-2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40</v>
      </c>
      <c r="Y237" s="554">
        <f t="shared" si="26"/>
        <v>40</v>
      </c>
      <c r="Z237" s="36">
        <f>IFERROR(IF(Y237=0,"",ROUNDUP(Y237/H237,0)*0.00902),"")</f>
        <v>9.0200000000000002E-2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41.900000000000006</v>
      </c>
      <c r="BN237" s="64">
        <f t="shared" si="28"/>
        <v>41.900000000000006</v>
      </c>
      <c r="BO237" s="64">
        <f t="shared" si="29"/>
        <v>7.575757575757576E-2</v>
      </c>
      <c r="BP237" s="64">
        <f t="shared" si="30"/>
        <v>7.575757575757576E-2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64</v>
      </c>
      <c r="Y241" s="554">
        <f t="shared" si="26"/>
        <v>64</v>
      </c>
      <c r="Z241" s="36">
        <f>IFERROR(IF(Y241=0,"",ROUNDUP(Y241/H241,0)*0.00902),"")</f>
        <v>0.14432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67.040000000000006</v>
      </c>
      <c r="BN241" s="64">
        <f t="shared" si="28"/>
        <v>67.040000000000006</v>
      </c>
      <c r="BO241" s="64">
        <f t="shared" si="29"/>
        <v>0.12121212121212122</v>
      </c>
      <c r="BP241" s="64">
        <f t="shared" si="30"/>
        <v>0.12121212121212122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31.172413793103448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32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0.34840000000000004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164</v>
      </c>
      <c r="Y244" s="555">
        <f>IFERROR(SUM(Y234:Y242),"0")</f>
        <v>173.6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18</v>
      </c>
      <c r="Y255" s="554">
        <f>IFERROR(IF(X255="",0,CEILING((X255/$H255),1)*$H255),"")</f>
        <v>18</v>
      </c>
      <c r="Z255" s="36">
        <f>IFERROR(IF(Y255=0,"",ROUNDUP(Y255/H255,0)*0.0059),"")</f>
        <v>5.8999999999999997E-2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19.750000000000004</v>
      </c>
      <c r="BN255" s="64">
        <f>IFERROR(Y255*I255/H255,"0")</f>
        <v>19.750000000000004</v>
      </c>
      <c r="BO255" s="64">
        <f>IFERROR(1/J255*(X255/H255),"0")</f>
        <v>4.6296296296296294E-2</v>
      </c>
      <c r="BP255" s="64">
        <f>IFERROR(1/J255*(Y255/H255),"0")</f>
        <v>4.6296296296296294E-2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10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18</v>
      </c>
      <c r="Y260" s="555">
        <f>IFERROR(SUM(Y254:Y258),"0")</f>
        <v>18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80</v>
      </c>
      <c r="Y281" s="554">
        <f>IFERROR(IF(X281="",0,CEILING((X281/$H281),1)*$H281),"")</f>
        <v>81.599999999999994</v>
      </c>
      <c r="Z281" s="36">
        <f>IFERROR(IF(Y281=0,"",ROUNDUP(Y281/H281,0)*0.00651),"")</f>
        <v>0.22134000000000001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88.40000000000002</v>
      </c>
      <c r="BN281" s="64">
        <f>IFERROR(Y281*I281/H281,"0")</f>
        <v>90.168000000000006</v>
      </c>
      <c r="BO281" s="64">
        <f>IFERROR(1/J281*(X281/H281),"0")</f>
        <v>0.18315018315018317</v>
      </c>
      <c r="BP281" s="64">
        <f>IFERROR(1/J281*(Y281/H281),"0")</f>
        <v>0.18681318681318682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160</v>
      </c>
      <c r="Y282" s="554">
        <f>IFERROR(IF(X282="",0,CEILING((X282/$H282),1)*$H282),"")</f>
        <v>160.79999999999998</v>
      </c>
      <c r="Z282" s="36">
        <f>IFERROR(IF(Y282=0,"",ROUNDUP(Y282/H282,0)*0.00651),"")</f>
        <v>0.43617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172</v>
      </c>
      <c r="BN282" s="64">
        <f>IFERROR(Y282*I282/H282,"0")</f>
        <v>172.85999999999999</v>
      </c>
      <c r="BO282" s="64">
        <f>IFERROR(1/J282*(X282/H282),"0")</f>
        <v>0.36630036630036633</v>
      </c>
      <c r="BP282" s="64">
        <f>IFERROR(1/J282*(Y282/H282),"0")</f>
        <v>0.36813186813186816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100</v>
      </c>
      <c r="Y283" s="555">
        <f>IFERROR(Y280/H280,"0")+IFERROR(Y281/H281,"0")+IFERROR(Y282/H282,"0")</f>
        <v>101</v>
      </c>
      <c r="Z283" s="555">
        <f>IFERROR(IF(Z280="",0,Z280),"0")+IFERROR(IF(Z281="",0,Z281),"0")+IFERROR(IF(Z282="",0,Z282),"0")</f>
        <v>0.65751000000000004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240</v>
      </c>
      <c r="Y284" s="555">
        <f>IFERROR(SUM(Y280:Y282),"0")</f>
        <v>242.39999999999998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105</v>
      </c>
      <c r="Y310" s="554">
        <f t="shared" si="31"/>
        <v>105</v>
      </c>
      <c r="Z310" s="36">
        <f>IFERROR(IF(Y310=0,"",ROUNDUP(Y310/H310,0)*0.00502),"")</f>
        <v>0.251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110.00000000000001</v>
      </c>
      <c r="BN310" s="64">
        <f t="shared" si="33"/>
        <v>110.00000000000001</v>
      </c>
      <c r="BO310" s="64">
        <f t="shared" si="34"/>
        <v>0.21367521367521369</v>
      </c>
      <c r="BP310" s="64">
        <f t="shared" si="35"/>
        <v>0.21367521367521369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50</v>
      </c>
      <c r="Y312" s="555">
        <f>IFERROR(Y306/H306,"0")+IFERROR(Y307/H307,"0")+IFERROR(Y308/H308,"0")+IFERROR(Y309/H309,"0")+IFERROR(Y310/H310,"0")+IFERROR(Y311/H311,"0")</f>
        <v>50</v>
      </c>
      <c r="Z312" s="555">
        <f>IFERROR(IF(Z306="",0,Z306),"0")+IFERROR(IF(Z307="",0,Z307),"0")+IFERROR(IF(Z308="",0,Z308),"0")+IFERROR(IF(Z309="",0,Z309),"0")+IFERROR(IF(Z310="",0,Z310),"0")+IFERROR(IF(Z311="",0,Z311),"0")</f>
        <v>0.251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105</v>
      </c>
      <c r="Y313" s="555">
        <f>IFERROR(SUM(Y306:Y311),"0")</f>
        <v>105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300</v>
      </c>
      <c r="Y324" s="554">
        <f>IFERROR(IF(X324="",0,CEILING((X324/$H324),1)*$H324),"")</f>
        <v>302.40000000000003</v>
      </c>
      <c r="Z324" s="36">
        <f>IFERROR(IF(Y324=0,"",ROUNDUP(Y324/H324,0)*0.01898),"")</f>
        <v>0.68328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317.64285714285711</v>
      </c>
      <c r="BN324" s="64">
        <f>IFERROR(Y324*I324/H324,"0")</f>
        <v>320.18400000000003</v>
      </c>
      <c r="BO324" s="64">
        <f>IFERROR(1/J324*(X324/H324),"0")</f>
        <v>0.5580357142857143</v>
      </c>
      <c r="BP324" s="64">
        <f>IFERROR(1/J324*(Y324/H324),"0")</f>
        <v>0.5625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76.556776556776555</v>
      </c>
      <c r="Y325" s="555">
        <f>IFERROR(Y322/H322,"0")+IFERROR(Y323/H323,"0")+IFERROR(Y324/H324,"0")</f>
        <v>78</v>
      </c>
      <c r="Z325" s="555">
        <f>IFERROR(IF(Z322="",0,Z322),"0")+IFERROR(IF(Z323="",0,Z323),"0")+IFERROR(IF(Z324="",0,Z324),"0")</f>
        <v>1.48044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620</v>
      </c>
      <c r="Y326" s="555">
        <f>IFERROR(SUM(Y322:Y324),"0")</f>
        <v>631.79999999999995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102</v>
      </c>
      <c r="Y331" s="554">
        <f>IFERROR(IF(X331="",0,CEILING((X331/$H331),1)*$H331),"")</f>
        <v>102</v>
      </c>
      <c r="Z331" s="36">
        <f>IFERROR(IF(Y331=0,"",ROUNDUP(Y331/H331,0)*0.00651),"")</f>
        <v>0.26040000000000002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115.2</v>
      </c>
      <c r="BN331" s="64">
        <f>IFERROR(Y331*I331/H331,"0")</f>
        <v>115.2</v>
      </c>
      <c r="BO331" s="64">
        <f>IFERROR(1/J331*(X331/H331),"0")</f>
        <v>0.2197802197802198</v>
      </c>
      <c r="BP331" s="64">
        <f>IFERROR(1/J331*(Y331/H331),"0")</f>
        <v>0.2197802197802198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40</v>
      </c>
      <c r="Y332" s="555">
        <f>IFERROR(Y328/H328,"0")+IFERROR(Y329/H329,"0")+IFERROR(Y330/H330,"0")+IFERROR(Y331/H331,"0")</f>
        <v>40</v>
      </c>
      <c r="Z332" s="555">
        <f>IFERROR(IF(Z328="",0,Z328),"0")+IFERROR(IF(Z329="",0,Z329),"0")+IFERROR(IF(Z330="",0,Z330),"0")+IFERROR(IF(Z331="",0,Z331),"0")</f>
        <v>0.26040000000000002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102</v>
      </c>
      <c r="Y333" s="555">
        <f>IFERROR(SUM(Y328:Y331),"0")</f>
        <v>102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100</v>
      </c>
      <c r="Y335" s="554">
        <f>IFERROR(IF(X335="",0,CEILING((X335/$H335),1)*$H335),"")</f>
        <v>100</v>
      </c>
      <c r="Z335" s="36">
        <f>IFERROR(IF(Y335=0,"",ROUNDUP(Y335/H335,0)*0.00474),"")</f>
        <v>0.23700000000000002</v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112.00000000000001</v>
      </c>
      <c r="BN335" s="64">
        <f>IFERROR(Y335*I335/H335,"0")</f>
        <v>112.00000000000001</v>
      </c>
      <c r="BO335" s="64">
        <f>IFERROR(1/J335*(X335/H335),"0")</f>
        <v>0.21008403361344538</v>
      </c>
      <c r="BP335" s="64">
        <f>IFERROR(1/J335*(Y335/H335),"0")</f>
        <v>0.21008403361344538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50</v>
      </c>
      <c r="Y338" s="555">
        <f>IFERROR(Y335/H335,"0")+IFERROR(Y336/H336,"0")+IFERROR(Y337/H337,"0")</f>
        <v>50</v>
      </c>
      <c r="Z338" s="555">
        <f>IFERROR(IF(Z335="",0,Z335),"0")+IFERROR(IF(Z336="",0,Z336),"0")+IFERROR(IF(Z337="",0,Z337),"0")</f>
        <v>0.23700000000000002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100</v>
      </c>
      <c r="Y339" s="555">
        <f>IFERROR(SUM(Y335:Y337),"0")</f>
        <v>100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630</v>
      </c>
      <c r="Y343" s="554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705.59999999999991</v>
      </c>
      <c r="BN343" s="64">
        <f>IFERROR(Y343*I343/H343,"0")</f>
        <v>705.59999999999991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525</v>
      </c>
      <c r="Y344" s="554">
        <f>IFERROR(IF(X344="",0,CEILING((X344/$H344),1)*$H344),"")</f>
        <v>525</v>
      </c>
      <c r="Z344" s="36">
        <f>IFERROR(IF(Y344=0,"",ROUNDUP(Y344/H344,0)*0.00651),"")</f>
        <v>1.6274999999999999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585</v>
      </c>
      <c r="BN344" s="64">
        <f>IFERROR(Y344*I344/H344,"0")</f>
        <v>585</v>
      </c>
      <c r="BO344" s="64">
        <f>IFERROR(1/J344*(X344/H344),"0")</f>
        <v>1.3736263736263736</v>
      </c>
      <c r="BP344" s="64">
        <f>IFERROR(1/J344*(Y344/H344),"0")</f>
        <v>1.3736263736263736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550</v>
      </c>
      <c r="Y345" s="555">
        <f>IFERROR(Y342/H342,"0")+IFERROR(Y343/H343,"0")+IFERROR(Y344/H344,"0")</f>
        <v>550</v>
      </c>
      <c r="Z345" s="555">
        <f>IFERROR(IF(Z342="",0,Z342),"0")+IFERROR(IF(Z343="",0,Z343),"0")+IFERROR(IF(Z344="",0,Z344),"0")</f>
        <v>3.5804999999999998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1155</v>
      </c>
      <c r="Y346" s="555">
        <f>IFERROR(SUM(Y342:Y344),"0")</f>
        <v>1155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1200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1237.5999999999999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1.6666666666666665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1100</v>
      </c>
      <c r="Y351" s="554">
        <f t="shared" si="36"/>
        <v>1110</v>
      </c>
      <c r="Z351" s="36">
        <f>IFERROR(IF(Y351=0,"",ROUNDUP(Y351/H351,0)*0.02175),"")</f>
        <v>1.6094999999999999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1134.4666666666667</v>
      </c>
      <c r="BN351" s="64">
        <f t="shared" si="38"/>
        <v>1144.78</v>
      </c>
      <c r="BO351" s="64">
        <f t="shared" si="39"/>
        <v>1.5277777777777777</v>
      </c>
      <c r="BP351" s="64">
        <f t="shared" si="40"/>
        <v>1.5416666666666665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100</v>
      </c>
      <c r="Y353" s="554">
        <f t="shared" si="36"/>
        <v>105</v>
      </c>
      <c r="Z353" s="36">
        <f>IFERROR(IF(Y353=0,"",ROUNDUP(Y353/H353,0)*0.02175),"")</f>
        <v>0.15225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103.13333333333334</v>
      </c>
      <c r="BN353" s="64">
        <f t="shared" si="38"/>
        <v>108.29</v>
      </c>
      <c r="BO353" s="64">
        <f t="shared" si="39"/>
        <v>0.1388888888888889</v>
      </c>
      <c r="BP353" s="64">
        <f t="shared" si="40"/>
        <v>0.14583333333333331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226.66666666666666</v>
      </c>
      <c r="Y357" s="555">
        <f>IFERROR(Y350/H350,"0")+IFERROR(Y351/H351,"0")+IFERROR(Y352/H352,"0")+IFERROR(Y353/H353,"0")+IFERROR(Y354/H354,"0")+IFERROR(Y355/H355,"0")+IFERROR(Y356/H356,"0")</f>
        <v>228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4.9589999999999996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3400</v>
      </c>
      <c r="Y358" s="555">
        <f>IFERROR(SUM(Y350:Y356),"0")</f>
        <v>3420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40</v>
      </c>
      <c r="Y423" s="554">
        <f>IFERROR(IF(X423="",0,CEILING((X423/$H423),1)*$H423),"")</f>
        <v>40.799999999999997</v>
      </c>
      <c r="Z423" s="36">
        <f>IFERROR(IF(Y423=0,"",ROUNDUP(Y423/H423,0)*0.00651),"")</f>
        <v>0.22134000000000001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70</v>
      </c>
      <c r="BN423" s="64">
        <f>IFERROR(Y423*I423/H423,"0")</f>
        <v>71.399999999999991</v>
      </c>
      <c r="BO423" s="64">
        <f>IFERROR(1/J423*(X423/H423),"0")</f>
        <v>0.18315018315018317</v>
      </c>
      <c r="BP423" s="64">
        <f>IFERROR(1/J423*(Y423/H423),"0")</f>
        <v>0.18681318681318682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33.333333333333336</v>
      </c>
      <c r="Y424" s="555">
        <f>IFERROR(Y423/H423,"0")</f>
        <v>34</v>
      </c>
      <c r="Z424" s="555">
        <f>IFERROR(IF(Z423="",0,Z423),"0")</f>
        <v>0.22134000000000001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40</v>
      </c>
      <c r="Y425" s="555">
        <f>IFERROR(SUM(Y423:Y423),"0")</f>
        <v>40.799999999999997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150</v>
      </c>
      <c r="Y429" s="554">
        <f t="shared" ref="Y429:Y440" si="47">IFERROR(IF(X429="",0,CEILING((X429/$H429),1)*$H429),"")</f>
        <v>153.12</v>
      </c>
      <c r="Z429" s="36">
        <f t="shared" ref="Z429:Z435" si="48">IFERROR(IF(Y429=0,"",ROUNDUP(Y429/H429,0)*0.01196),"")</f>
        <v>0.34683999999999998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159.94318181818181</v>
      </c>
      <c r="BN429" s="64">
        <f t="shared" ref="BN429:BN440" si="50">IFERROR(Y429*I429/H429,"0")</f>
        <v>163.26999999999998</v>
      </c>
      <c r="BO429" s="64">
        <f t="shared" ref="BO429:BO440" si="51">IFERROR(1/J429*(X429/H429),"0")</f>
        <v>0.27316433566433568</v>
      </c>
      <c r="BP429" s="64">
        <f t="shared" ref="BP429:BP440" si="52">IFERROR(1/J429*(Y429/H429),"0")</f>
        <v>0.27884615384615385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106.62878787878788</v>
      </c>
      <c r="BN435" s="64">
        <f t="shared" si="50"/>
        <v>106.97</v>
      </c>
      <c r="BO435" s="64">
        <f t="shared" si="51"/>
        <v>0.18210955710955709</v>
      </c>
      <c r="BP435" s="64">
        <f t="shared" si="52"/>
        <v>0.18269230769230771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180</v>
      </c>
      <c r="Y437" s="554">
        <f t="shared" si="47"/>
        <v>182.4</v>
      </c>
      <c r="Z437" s="36">
        <f>IFERROR(IF(Y437=0,"",ROUNDUP(Y437/H437,0)*0.00902),"")</f>
        <v>0.34276000000000001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259.125</v>
      </c>
      <c r="BN437" s="64">
        <f t="shared" si="50"/>
        <v>262.58000000000004</v>
      </c>
      <c r="BO437" s="64">
        <f t="shared" si="51"/>
        <v>0.28409090909090912</v>
      </c>
      <c r="BP437" s="64">
        <f t="shared" si="52"/>
        <v>0.2878787878787879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210</v>
      </c>
      <c r="Y440" s="554">
        <f t="shared" si="47"/>
        <v>211.2</v>
      </c>
      <c r="Z440" s="36">
        <f>IFERROR(IF(Y440=0,"",ROUNDUP(Y440/H440,0)*0.00902),"")</f>
        <v>0.39688000000000001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302.31250000000006</v>
      </c>
      <c r="BN440" s="64">
        <f t="shared" si="50"/>
        <v>304.04000000000002</v>
      </c>
      <c r="BO440" s="64">
        <f t="shared" si="51"/>
        <v>0.33143939393939392</v>
      </c>
      <c r="BP440" s="64">
        <f t="shared" si="52"/>
        <v>0.33333333333333337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147.53787878787878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149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1.5409600000000001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740</v>
      </c>
      <c r="Y442" s="555">
        <f>IFERROR(SUM(Y429:Y440),"0")</f>
        <v>747.3599999999999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70</v>
      </c>
      <c r="Y450" s="554">
        <f t="shared" ref="Y450:Y455" si="53">IFERROR(IF(X450="",0,CEILING((X450/$H450),1)*$H450),"")</f>
        <v>73.92</v>
      </c>
      <c r="Z450" s="36">
        <f>IFERROR(IF(Y450=0,"",ROUNDUP(Y450/H450,0)*0.01196),"")</f>
        <v>0.16744000000000001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74.640151515151501</v>
      </c>
      <c r="BN450" s="64">
        <f t="shared" ref="BN450:BN455" si="55">IFERROR(Y450*I450/H450,"0")</f>
        <v>78.819999999999993</v>
      </c>
      <c r="BO450" s="64">
        <f t="shared" ref="BO450:BO455" si="56">IFERROR(1/J450*(X450/H450),"0")</f>
        <v>0.12747668997668998</v>
      </c>
      <c r="BP450" s="64">
        <f t="shared" ref="BP450:BP455" si="57">IFERROR(1/J450*(Y450/H450),"0")</f>
        <v>0.13461538461538464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120</v>
      </c>
      <c r="Y451" s="554">
        <f t="shared" si="53"/>
        <v>121.44000000000001</v>
      </c>
      <c r="Z451" s="36">
        <f>IFERROR(IF(Y451=0,"",ROUNDUP(Y451/H451,0)*0.01196),"")</f>
        <v>0.27507999999999999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127.95454545454545</v>
      </c>
      <c r="BN451" s="64">
        <f t="shared" si="55"/>
        <v>129.49</v>
      </c>
      <c r="BO451" s="64">
        <f t="shared" si="56"/>
        <v>0.21853146853146854</v>
      </c>
      <c r="BP451" s="64">
        <f t="shared" si="57"/>
        <v>0.22115384615384617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30</v>
      </c>
      <c r="Y452" s="554">
        <f t="shared" si="53"/>
        <v>31.68</v>
      </c>
      <c r="Z452" s="36">
        <f>IFERROR(IF(Y452=0,"",ROUNDUP(Y452/H452,0)*0.01196),"")</f>
        <v>7.1760000000000004E-2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31.988636363636363</v>
      </c>
      <c r="BN452" s="64">
        <f t="shared" si="55"/>
        <v>33.779999999999994</v>
      </c>
      <c r="BO452" s="64">
        <f t="shared" si="56"/>
        <v>5.4632867132867136E-2</v>
      </c>
      <c r="BP452" s="64">
        <f t="shared" si="57"/>
        <v>5.7692307692307696E-2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48</v>
      </c>
      <c r="Y453" s="554">
        <f t="shared" si="53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69.100000000000009</v>
      </c>
      <c r="BN453" s="64">
        <f t="shared" si="55"/>
        <v>69.100000000000009</v>
      </c>
      <c r="BO453" s="64">
        <f t="shared" si="56"/>
        <v>7.575757575757576E-2</v>
      </c>
      <c r="BP453" s="64">
        <f t="shared" si="57"/>
        <v>7.575757575757576E-2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64.166666666666657</v>
      </c>
      <c r="Y456" s="555">
        <f>IFERROR(Y450/H450,"0")+IFERROR(Y451/H451,"0")+IFERROR(Y452/H452,"0")+IFERROR(Y453/H453,"0")+IFERROR(Y454/H454,"0")+IFERROR(Y455/H455,"0")</f>
        <v>66</v>
      </c>
      <c r="Z456" s="555">
        <f>IFERROR(IF(Z450="",0,Z450),"0")+IFERROR(IF(Z451="",0,Z451),"0")+IFERROR(IF(Z452="",0,Z452),"0")+IFERROR(IF(Z453="",0,Z453),"0")+IFERROR(IF(Z454="",0,Z454),"0")+IFERROR(IF(Z455="",0,Z455),"0")</f>
        <v>0.72174000000000016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328</v>
      </c>
      <c r="Y457" s="555">
        <f>IFERROR(SUM(Y450:Y455),"0")</f>
        <v>337.44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50</v>
      </c>
      <c r="Y467" s="554">
        <f>IFERROR(IF(X467="",0,CEILING((X467/$H467),1)*$H467),"")</f>
        <v>60</v>
      </c>
      <c r="Z467" s="36">
        <f>IFERROR(IF(Y467=0,"",ROUNDUP(Y467/H467,0)*0.01898),"")</f>
        <v>9.4899999999999998E-2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51.708333333333336</v>
      </c>
      <c r="BN467" s="64">
        <f>IFERROR(Y467*I467/H467,"0")</f>
        <v>62.050000000000004</v>
      </c>
      <c r="BO467" s="64">
        <f>IFERROR(1/J467*(X467/H467),"0")</f>
        <v>6.5104166666666671E-2</v>
      </c>
      <c r="BP467" s="64">
        <f>IFERROR(1/J467*(Y467/H467),"0")</f>
        <v>7.8125E-2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4.166666666666667</v>
      </c>
      <c r="Y469" s="555">
        <f>IFERROR(Y465/H465,"0")+IFERROR(Y466/H466,"0")+IFERROR(Y467/H467,"0")+IFERROR(Y468/H468,"0")</f>
        <v>5</v>
      </c>
      <c r="Z469" s="555">
        <f>IFERROR(IF(Z465="",0,Z465),"0")+IFERROR(IF(Z466="",0,Z466),"0")+IFERROR(IF(Z467="",0,Z467),"0")+IFERROR(IF(Z468="",0,Z468),"0")</f>
        <v>9.4899999999999998E-2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50</v>
      </c>
      <c r="Y470" s="555">
        <f>IFERROR(SUM(Y465:Y468),"0")</f>
        <v>60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500</v>
      </c>
      <c r="Y482" s="554">
        <f>IFERROR(IF(X482="",0,CEILING((X482/$H482),1)*$H482),"")</f>
        <v>504</v>
      </c>
      <c r="Z482" s="36">
        <f>IFERROR(IF(Y482=0,"",ROUNDUP(Y482/H482,0)*0.01898),"")</f>
        <v>1.06288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527.44444444444446</v>
      </c>
      <c r="BN482" s="64">
        <f>IFERROR(Y482*I482/H482,"0")</f>
        <v>531.66399999999999</v>
      </c>
      <c r="BO482" s="64">
        <f>IFERROR(1/J482*(X482/H482),"0")</f>
        <v>0.86805555555555558</v>
      </c>
      <c r="BP482" s="64">
        <f>IFERROR(1/J482*(Y482/H482),"0")</f>
        <v>0.875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55.555555555555557</v>
      </c>
      <c r="Y483" s="555">
        <f>IFERROR(Y482/H482,"0")</f>
        <v>56</v>
      </c>
      <c r="Z483" s="555">
        <f>IFERROR(IF(Z482="",0,Z482),"0")</f>
        <v>1.06288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500</v>
      </c>
      <c r="Y484" s="555">
        <f>IFERROR(SUM(Y482:Y482),"0")</f>
        <v>504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15233.5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15395.74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16364.66414784556</v>
      </c>
      <c r="Y496" s="555">
        <f>IFERROR(SUM(BN22:BN492),"0")</f>
        <v>16537.792000000001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28</v>
      </c>
      <c r="Y497" s="38">
        <f>ROUNDUP(SUM(BP22:BP492),0)</f>
        <v>29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17064.66414784556</v>
      </c>
      <c r="Y498" s="555">
        <f>GrossWeightTotalR+PalletQtyTotalR*25</f>
        <v>17262.792000000001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3477.0196194822634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3504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32.673590000000004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702.40000000000009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1114.8</v>
      </c>
      <c r="E505" s="46">
        <f>IFERROR(Y85*1,"0")+IFERROR(Y86*1,"0")+IFERROR(Y87*1,"0")+IFERROR(Y88*1,"0")+IFERROR(Y92*1,"0")+IFERROR(Y93*1,"0")+IFERROR(Y94*1,"0")+IFERROR(Y95*1,"0")</f>
        <v>1378.8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1252.8</v>
      </c>
      <c r="G505" s="46">
        <f>IFERROR(Y127*1,"0")+IFERROR(Y128*1,"0")+IFERROR(Y132*1,"0")+IFERROR(Y133*1,"0")+IFERROR(Y137*1,"0")+IFERROR(Y138*1,"0")</f>
        <v>180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535.91999999999996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1983.3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191.6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242.39999999999998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938.8</v>
      </c>
      <c r="R505" s="46">
        <f>IFERROR(Y342*1,"0")+IFERROR(Y343*1,"0")+IFERROR(Y344*1,"0")</f>
        <v>1155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3930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40.799999999999997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1185.1200000000001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564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155,00"/>
        <filter val="1 200,00"/>
        <filter val="1 360,00"/>
        <filter val="10,00"/>
        <filter val="100,00"/>
        <filter val="102,00"/>
        <filter val="105,00"/>
        <filter val="118,52"/>
        <filter val="120,00"/>
        <filter val="123,15"/>
        <filter val="124,63"/>
        <filter val="127,78"/>
        <filter val="14,00"/>
        <filter val="147,54"/>
        <filter val="15 233,50"/>
        <filter val="15,38"/>
        <filter val="150,00"/>
        <filter val="16 364,66"/>
        <filter val="160,00"/>
        <filter val="164,00"/>
        <filter val="17 064,66"/>
        <filter val="170,37"/>
        <filter val="175,00"/>
        <filter val="18,00"/>
        <filter val="18,75"/>
        <filter val="18,94"/>
        <filter val="180,00"/>
        <filter val="183,02"/>
        <filter val="189,29"/>
        <filter val="197,04"/>
        <filter val="20,00"/>
        <filter val="200,00"/>
        <filter val="21,00"/>
        <filter val="210,00"/>
        <filter val="225,00"/>
        <filter val="226,67"/>
        <filter val="240,00"/>
        <filter val="25,00"/>
        <filter val="250,00"/>
        <filter val="28"/>
        <filter val="3 400,00"/>
        <filter val="3 477,02"/>
        <filter val="30,00"/>
        <filter val="300,00"/>
        <filter val="31,17"/>
        <filter val="320,00"/>
        <filter val="325,00"/>
        <filter val="328,00"/>
        <filter val="33,33"/>
        <filter val="36,00"/>
        <filter val="360,00"/>
        <filter val="4,17"/>
        <filter val="40,00"/>
        <filter val="400,00"/>
        <filter val="42,00"/>
        <filter val="44,44"/>
        <filter val="45,00"/>
        <filter val="450,00"/>
        <filter val="462,50"/>
        <filter val="48,00"/>
        <filter val="49,50"/>
        <filter val="5,56"/>
        <filter val="50,00"/>
        <filter val="500,00"/>
        <filter val="506,32"/>
        <filter val="52,50"/>
        <filter val="525,00"/>
        <filter val="540,00"/>
        <filter val="55,56"/>
        <filter val="550,00"/>
        <filter val="56,00"/>
        <filter val="590,00"/>
        <filter val="60,00"/>
        <filter val="605,00"/>
        <filter val="608,00"/>
        <filter val="620,00"/>
        <filter val="630,00"/>
        <filter val="64,00"/>
        <filter val="64,17"/>
        <filter val="650,00"/>
        <filter val="66,00"/>
        <filter val="660,00"/>
        <filter val="7,00"/>
        <filter val="70,00"/>
        <filter val="700,00"/>
        <filter val="740,00"/>
        <filter val="76,56"/>
        <filter val="80,00"/>
        <filter val="87,50"/>
        <filter val="90,00"/>
        <filter val="92,59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