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296935-48AB-4711-94F3-CCAFC700C8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P265" i="1" s="1"/>
  <c r="P265" i="1"/>
  <c r="BO264" i="1"/>
  <c r="BM264" i="1"/>
  <c r="Z264" i="1"/>
  <c r="Y264" i="1"/>
  <c r="P264" i="1"/>
  <c r="BO263" i="1"/>
  <c r="BM263" i="1"/>
  <c r="Z263" i="1"/>
  <c r="Y263" i="1"/>
  <c r="BP263" i="1" s="1"/>
  <c r="P263" i="1"/>
  <c r="BO262" i="1"/>
  <c r="BM262" i="1"/>
  <c r="Z262" i="1"/>
  <c r="Y262" i="1"/>
  <c r="P262" i="1"/>
  <c r="BO261" i="1"/>
  <c r="BM261" i="1"/>
  <c r="Z261" i="1"/>
  <c r="Y261" i="1"/>
  <c r="BP261" i="1" s="1"/>
  <c r="P261" i="1"/>
  <c r="BO260" i="1"/>
  <c r="BM260" i="1"/>
  <c r="Z260" i="1"/>
  <c r="Y260" i="1"/>
  <c r="P260" i="1"/>
  <c r="BO259" i="1"/>
  <c r="BM259" i="1"/>
  <c r="Z259" i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BP253" i="1" s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P244" i="1"/>
  <c r="BO243" i="1"/>
  <c r="BM243" i="1"/>
  <c r="Z243" i="1"/>
  <c r="Y243" i="1"/>
  <c r="BP243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O215" i="1"/>
  <c r="BM215" i="1"/>
  <c r="Z215" i="1"/>
  <c r="Y215" i="1"/>
  <c r="BP215" i="1" s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Z201" i="1" s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BP180" i="1" s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Y148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Y143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Y136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Y12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6" i="1" s="1"/>
  <c r="P52" i="1"/>
  <c r="X49" i="1"/>
  <c r="X48" i="1"/>
  <c r="BO47" i="1"/>
  <c r="BM47" i="1"/>
  <c r="Z47" i="1"/>
  <c r="Y47" i="1"/>
  <c r="BP47" i="1" s="1"/>
  <c r="P47" i="1"/>
  <c r="BO46" i="1"/>
  <c r="BN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X273" i="1" l="1"/>
  <c r="X275" i="1"/>
  <c r="Z34" i="1"/>
  <c r="Z70" i="1"/>
  <c r="Z76" i="1"/>
  <c r="Y82" i="1"/>
  <c r="BN81" i="1"/>
  <c r="Z93" i="1"/>
  <c r="Z103" i="1"/>
  <c r="Z109" i="1"/>
  <c r="Z175" i="1"/>
  <c r="Z183" i="1"/>
  <c r="BN180" i="1"/>
  <c r="BN182" i="1"/>
  <c r="Y202" i="1"/>
  <c r="BN197" i="1"/>
  <c r="BN199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Z245" i="1"/>
  <c r="BN243" i="1"/>
  <c r="Z256" i="1"/>
  <c r="BN253" i="1"/>
  <c r="BN255" i="1"/>
  <c r="Y269" i="1"/>
  <c r="X272" i="1"/>
  <c r="X274" i="1" s="1"/>
  <c r="BN23" i="1"/>
  <c r="X271" i="1"/>
  <c r="Y34" i="1"/>
  <c r="BN33" i="1"/>
  <c r="Z41" i="1"/>
  <c r="Z48" i="1"/>
  <c r="Z56" i="1"/>
  <c r="BN60" i="1"/>
  <c r="Y71" i="1"/>
  <c r="Y77" i="1"/>
  <c r="Z82" i="1"/>
  <c r="Y94" i="1"/>
  <c r="Y103" i="1"/>
  <c r="Y110" i="1"/>
  <c r="BN108" i="1"/>
  <c r="Z122" i="1"/>
  <c r="BN115" i="1"/>
  <c r="BN117" i="1"/>
  <c r="BN119" i="1"/>
  <c r="BN121" i="1"/>
  <c r="Z136" i="1"/>
  <c r="Z142" i="1"/>
  <c r="Z148" i="1"/>
  <c r="BN146" i="1"/>
  <c r="BP146" i="1"/>
  <c r="Y149" i="1"/>
  <c r="BN174" i="1"/>
  <c r="Y184" i="1"/>
  <c r="BN215" i="1"/>
  <c r="Y245" i="1"/>
  <c r="Y246" i="1"/>
  <c r="BN249" i="1"/>
  <c r="Z269" i="1"/>
  <c r="BN259" i="1"/>
  <c r="BP259" i="1"/>
  <c r="Y270" i="1"/>
  <c r="BN261" i="1"/>
  <c r="BN263" i="1"/>
  <c r="BN265" i="1"/>
  <c r="BN267" i="1"/>
  <c r="H9" i="1"/>
  <c r="A10" i="1"/>
  <c r="Y29" i="1"/>
  <c r="Y28" i="1"/>
  <c r="BP24" i="1"/>
  <c r="BN24" i="1"/>
  <c r="F9" i="1"/>
  <c r="J9" i="1"/>
  <c r="Z28" i="1"/>
  <c r="BN22" i="1"/>
  <c r="BP22" i="1"/>
  <c r="BN25" i="1"/>
  <c r="BN27" i="1"/>
  <c r="BN32" i="1"/>
  <c r="BP32" i="1"/>
  <c r="Y35" i="1"/>
  <c r="BN40" i="1"/>
  <c r="Y41" i="1"/>
  <c r="BN45" i="1"/>
  <c r="BP45" i="1"/>
  <c r="BN47" i="1"/>
  <c r="Y48" i="1"/>
  <c r="BN52" i="1"/>
  <c r="BP52" i="1"/>
  <c r="BN54" i="1"/>
  <c r="Y57" i="1"/>
  <c r="Y62" i="1"/>
  <c r="Y66" i="1"/>
  <c r="BN69" i="1"/>
  <c r="Y70" i="1"/>
  <c r="BN73" i="1"/>
  <c r="BP73" i="1"/>
  <c r="BN75" i="1"/>
  <c r="Y76" i="1"/>
  <c r="BN80" i="1"/>
  <c r="BP80" i="1"/>
  <c r="Y83" i="1"/>
  <c r="Y88" i="1"/>
  <c r="BN92" i="1"/>
  <c r="Y93" i="1"/>
  <c r="BN97" i="1"/>
  <c r="BP97" i="1"/>
  <c r="BN99" i="1"/>
  <c r="BN101" i="1"/>
  <c r="Y104" i="1"/>
  <c r="Y109" i="1"/>
  <c r="BN113" i="1"/>
  <c r="BP113" i="1"/>
  <c r="Y122" i="1"/>
  <c r="BN129" i="1"/>
  <c r="BP129" i="1"/>
  <c r="Y130" i="1"/>
  <c r="BN134" i="1"/>
  <c r="BP134" i="1"/>
  <c r="Y137" i="1"/>
  <c r="BN141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Z250" i="1"/>
  <c r="Y257" i="1"/>
  <c r="BN26" i="1"/>
  <c r="BN39" i="1"/>
  <c r="BP39" i="1"/>
  <c r="BP60" i="1"/>
  <c r="BN64" i="1"/>
  <c r="BP64" i="1"/>
  <c r="BN68" i="1"/>
  <c r="BP68" i="1"/>
  <c r="BN74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BN140" i="1"/>
  <c r="BP140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2" i="1" l="1"/>
  <c r="Y275" i="1"/>
  <c r="Y273" i="1"/>
  <c r="Z276" i="1"/>
  <c r="Y271" i="1"/>
  <c r="Y274" i="1" l="1"/>
  <c r="C284" i="1" s="1"/>
  <c r="A284" i="1"/>
  <c r="B284" i="1" l="1"/>
</calcChain>
</file>

<file path=xl/sharedStrings.xml><?xml version="1.0" encoding="utf-8"?>
<sst xmlns="http://schemas.openxmlformats.org/spreadsheetml/2006/main" count="1232" uniqueCount="398">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</sst>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32" sqref="AA32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30" t="s">
        <v>0</v>
      </c>
      <c r="E1" s="303"/>
      <c r="F1" s="303"/>
      <c r="G1" s="12" t="s">
        <v>1</v>
      </c>
      <c r="H1" s="33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44" t="s">
        <v>7</v>
      </c>
      <c r="B5" s="345"/>
      <c r="C5" s="346"/>
      <c r="D5" s="320"/>
      <c r="E5" s="321"/>
      <c r="F5" s="442" t="s">
        <v>8</v>
      </c>
      <c r="G5" s="346"/>
      <c r="H5" s="320" t="s">
        <v>397</v>
      </c>
      <c r="I5" s="382"/>
      <c r="J5" s="382"/>
      <c r="K5" s="382"/>
      <c r="L5" s="382"/>
      <c r="M5" s="321"/>
      <c r="N5" s="61"/>
      <c r="P5" s="24" t="s">
        <v>9</v>
      </c>
      <c r="Q5" s="435">
        <v>46031</v>
      </c>
      <c r="R5" s="343"/>
      <c r="T5" s="373" t="s">
        <v>10</v>
      </c>
      <c r="U5" s="295"/>
      <c r="V5" s="374" t="s">
        <v>11</v>
      </c>
      <c r="W5" s="343"/>
      <c r="AB5" s="51"/>
      <c r="AC5" s="51"/>
      <c r="AD5" s="51"/>
      <c r="AE5" s="51"/>
    </row>
    <row r="6" spans="1:32" s="264" customFormat="1" ht="24" customHeight="1" x14ac:dyDescent="0.2">
      <c r="A6" s="344" t="s">
        <v>12</v>
      </c>
      <c r="B6" s="345"/>
      <c r="C6" s="346"/>
      <c r="D6" s="383" t="s">
        <v>13</v>
      </c>
      <c r="E6" s="384"/>
      <c r="F6" s="384"/>
      <c r="G6" s="384"/>
      <c r="H6" s="384"/>
      <c r="I6" s="384"/>
      <c r="J6" s="384"/>
      <c r="K6" s="384"/>
      <c r="L6" s="384"/>
      <c r="M6" s="343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82"/>
      <c r="T6" s="389" t="s">
        <v>15</v>
      </c>
      <c r="U6" s="295"/>
      <c r="V6" s="377" t="s">
        <v>16</v>
      </c>
      <c r="W6" s="309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63"/>
      <c r="P7" s="24"/>
      <c r="Q7" s="42"/>
      <c r="R7" s="42"/>
      <c r="T7" s="277"/>
      <c r="U7" s="295"/>
      <c r="V7" s="378"/>
      <c r="W7" s="379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79"/>
      <c r="C8" s="280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69">
        <v>0.41666666666666669</v>
      </c>
      <c r="R8" s="325"/>
      <c r="T8" s="277"/>
      <c r="U8" s="295"/>
      <c r="V8" s="378"/>
      <c r="W8" s="379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31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262"/>
      <c r="P9" s="26" t="s">
        <v>20</v>
      </c>
      <c r="Q9" s="340"/>
      <c r="R9" s="341"/>
      <c r="T9" s="277"/>
      <c r="U9" s="295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31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9" t="str">
        <f>IFERROR(VLOOKUP($D$10,Proxy,2,FALSE),"")</f>
        <v/>
      </c>
      <c r="I10" s="277"/>
      <c r="J10" s="277"/>
      <c r="K10" s="277"/>
      <c r="L10" s="277"/>
      <c r="M10" s="277"/>
      <c r="N10" s="263"/>
      <c r="P10" s="26" t="s">
        <v>21</v>
      </c>
      <c r="Q10" s="390"/>
      <c r="R10" s="391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19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54" t="s">
        <v>28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6"/>
      <c r="N12" s="65"/>
      <c r="P12" s="24" t="s">
        <v>29</v>
      </c>
      <c r="Q12" s="369"/>
      <c r="R12" s="325"/>
      <c r="S12" s="23"/>
      <c r="U12" s="24"/>
      <c r="V12" s="303"/>
      <c r="W12" s="277"/>
      <c r="AB12" s="51"/>
      <c r="AC12" s="51"/>
      <c r="AD12" s="51"/>
      <c r="AE12" s="51"/>
    </row>
    <row r="13" spans="1:32" s="264" customFormat="1" ht="23.25" customHeight="1" x14ac:dyDescent="0.2">
      <c r="A13" s="354" t="s">
        <v>30</v>
      </c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6"/>
      <c r="N13" s="65"/>
      <c r="O13" s="26"/>
      <c r="P13" s="26" t="s">
        <v>31</v>
      </c>
      <c r="Q13" s="419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54" t="s">
        <v>32</v>
      </c>
      <c r="B14" s="345"/>
      <c r="C14" s="345"/>
      <c r="D14" s="345"/>
      <c r="E14" s="345"/>
      <c r="F14" s="345"/>
      <c r="G14" s="345"/>
      <c r="H14" s="345"/>
      <c r="I14" s="345"/>
      <c r="J14" s="345"/>
      <c r="K14" s="345"/>
      <c r="L14" s="345"/>
      <c r="M14" s="34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94" t="s">
        <v>33</v>
      </c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345"/>
      <c r="M15" s="346"/>
      <c r="N15" s="66"/>
      <c r="P15" s="36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58" t="s">
        <v>37</v>
      </c>
      <c r="D17" s="306" t="s">
        <v>38</v>
      </c>
      <c r="E17" s="336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35"/>
      <c r="R17" s="335"/>
      <c r="S17" s="335"/>
      <c r="T17" s="336"/>
      <c r="U17" s="455" t="s">
        <v>50</v>
      </c>
      <c r="V17" s="346"/>
      <c r="W17" s="306" t="s">
        <v>51</v>
      </c>
      <c r="X17" s="306" t="s">
        <v>52</v>
      </c>
      <c r="Y17" s="456" t="s">
        <v>53</v>
      </c>
      <c r="Z17" s="416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7"/>
      <c r="AF17" s="438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37"/>
      <c r="E18" s="339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37"/>
      <c r="Q18" s="338"/>
      <c r="R18" s="338"/>
      <c r="S18" s="338"/>
      <c r="T18" s="339"/>
      <c r="U18" s="70" t="s">
        <v>60</v>
      </c>
      <c r="V18" s="70" t="s">
        <v>61</v>
      </c>
      <c r="W18" s="307"/>
      <c r="X18" s="307"/>
      <c r="Y18" s="457"/>
      <c r="Z18" s="417"/>
      <c r="AA18" s="408"/>
      <c r="AB18" s="408"/>
      <c r="AC18" s="408"/>
      <c r="AD18" s="439"/>
      <c r="AE18" s="440"/>
      <c r="AF18" s="441"/>
      <c r="AG18" s="69"/>
      <c r="BD18" s="68"/>
    </row>
    <row r="19" spans="1:68" ht="27.75" hidden="1" customHeight="1" x14ac:dyDescent="0.2">
      <c r="A19" s="299" t="s">
        <v>62</v>
      </c>
      <c r="B19" s="300"/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48"/>
      <c r="AB19" s="48"/>
      <c r="AC19" s="48"/>
    </row>
    <row r="20" spans="1:68" ht="16.5" hidden="1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hidden="1" customHeight="1" x14ac:dyDescent="0.25">
      <c r="A21" s="291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69</v>
      </c>
      <c r="X24" s="270">
        <v>0</v>
      </c>
      <c r="Y24" s="271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3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84"/>
      <c r="P28" s="278" t="s">
        <v>82</v>
      </c>
      <c r="Q28" s="279"/>
      <c r="R28" s="279"/>
      <c r="S28" s="279"/>
      <c r="T28" s="279"/>
      <c r="U28" s="279"/>
      <c r="V28" s="280"/>
      <c r="W28" s="37" t="s">
        <v>69</v>
      </c>
      <c r="X28" s="272">
        <f>IFERROR(SUM(X22:X27),"0")</f>
        <v>0</v>
      </c>
      <c r="Y28" s="272">
        <f>IFERROR(SUM(Y22:Y27),"0")</f>
        <v>0</v>
      </c>
      <c r="Z28" s="272">
        <f>IFERROR(IF(Z22="",0,Z22),"0")+IFERROR(IF(Z23="",0,Z23),"0")+IFERROR(IF(Z24="",0,Z24),"0")+IFERROR(IF(Z25="",0,Z25),"0")+IFERROR(IF(Z26="",0,Z26),"0")+IFERROR(IF(Z27="",0,Z27),"0")</f>
        <v>0</v>
      </c>
      <c r="AA28" s="273"/>
      <c r="AB28" s="273"/>
      <c r="AC28" s="273"/>
    </row>
    <row r="29" spans="1:68" hidden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84"/>
      <c r="P29" s="278" t="s">
        <v>82</v>
      </c>
      <c r="Q29" s="279"/>
      <c r="R29" s="279"/>
      <c r="S29" s="279"/>
      <c r="T29" s="279"/>
      <c r="U29" s="279"/>
      <c r="V29" s="280"/>
      <c r="W29" s="37" t="s">
        <v>83</v>
      </c>
      <c r="X29" s="272">
        <f>IFERROR(SUMPRODUCT(X22:X27*H22:H27),"0")</f>
        <v>0</v>
      </c>
      <c r="Y29" s="272">
        <f>IFERROR(SUMPRODUCT(Y22:Y27*H22:H27),"0")</f>
        <v>0</v>
      </c>
      <c r="Z29" s="37"/>
      <c r="AA29" s="273"/>
      <c r="AB29" s="273"/>
      <c r="AC29" s="273"/>
    </row>
    <row r="30" spans="1:68" ht="16.5" hidden="1" customHeight="1" x14ac:dyDescent="0.25">
      <c r="A30" s="276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5"/>
      <c r="AB30" s="265"/>
      <c r="AC30" s="265"/>
    </row>
    <row r="31" spans="1:68" ht="14.25" hidden="1" customHeight="1" x14ac:dyDescent="0.25">
      <c r="A31" s="291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69</v>
      </c>
      <c r="X32" s="270">
        <v>60</v>
      </c>
      <c r="Y32" s="271">
        <f>IFERROR(IF(X32="","",X32),"")</f>
        <v>60</v>
      </c>
      <c r="Z32" s="36">
        <f>IFERROR(IF(X32="","",X32*0.0155),"")</f>
        <v>0.92999999999999994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432.36</v>
      </c>
      <c r="BN32" s="67">
        <f>IFERROR(Y32*I32,"0")</f>
        <v>432.36</v>
      </c>
      <c r="BO32" s="67">
        <f>IFERROR(X32/J32,"0")</f>
        <v>0.7142857142857143</v>
      </c>
      <c r="BP32" s="67">
        <f>IFERROR(Y32/J32,"0")</f>
        <v>0.7142857142857143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8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69</v>
      </c>
      <c r="X33" s="270">
        <v>120</v>
      </c>
      <c r="Y33" s="271">
        <f>IFERROR(IF(X33="","",X33),"")</f>
        <v>120</v>
      </c>
      <c r="Z33" s="36">
        <f>IFERROR(IF(X33="","",X33*0.0155),"")</f>
        <v>1.8599999999999999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800.4</v>
      </c>
      <c r="BN33" s="67">
        <f>IFERROR(Y33*I33,"0")</f>
        <v>800.4</v>
      </c>
      <c r="BO33" s="67">
        <f>IFERROR(X33/J33,"0")</f>
        <v>1.4285714285714286</v>
      </c>
      <c r="BP33" s="67">
        <f>IFERROR(Y33/J33,"0")</f>
        <v>1.4285714285714286</v>
      </c>
    </row>
    <row r="34" spans="1:68" x14ac:dyDescent="0.2">
      <c r="A34" s="283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84"/>
      <c r="P34" s="278" t="s">
        <v>82</v>
      </c>
      <c r="Q34" s="279"/>
      <c r="R34" s="279"/>
      <c r="S34" s="279"/>
      <c r="T34" s="279"/>
      <c r="U34" s="279"/>
      <c r="V34" s="280"/>
      <c r="W34" s="37" t="s">
        <v>69</v>
      </c>
      <c r="X34" s="272">
        <f>IFERROR(SUM(X32:X33),"0")</f>
        <v>180</v>
      </c>
      <c r="Y34" s="272">
        <f>IFERROR(SUM(Y32:Y33),"0")</f>
        <v>180</v>
      </c>
      <c r="Z34" s="272">
        <f>IFERROR(IF(Z32="",0,Z32),"0")+IFERROR(IF(Z33="",0,Z33),"0")</f>
        <v>2.79</v>
      </c>
      <c r="AA34" s="273"/>
      <c r="AB34" s="273"/>
      <c r="AC34" s="273"/>
    </row>
    <row r="35" spans="1:68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84"/>
      <c r="P35" s="278" t="s">
        <v>82</v>
      </c>
      <c r="Q35" s="279"/>
      <c r="R35" s="279"/>
      <c r="S35" s="279"/>
      <c r="T35" s="279"/>
      <c r="U35" s="279"/>
      <c r="V35" s="280"/>
      <c r="W35" s="37" t="s">
        <v>83</v>
      </c>
      <c r="X35" s="272">
        <f>IFERROR(SUMPRODUCT(X32:X33*H32:H33),"0")</f>
        <v>1180.8</v>
      </c>
      <c r="Y35" s="272">
        <f>IFERROR(SUMPRODUCT(Y32:Y33*H32:H33),"0")</f>
        <v>1180.8</v>
      </c>
      <c r="Z35" s="37"/>
      <c r="AA35" s="273"/>
      <c r="AB35" s="273"/>
      <c r="AC35" s="273"/>
    </row>
    <row r="36" spans="1:68" ht="27.75" hidden="1" customHeight="1" x14ac:dyDescent="0.2">
      <c r="A36" s="299" t="s">
        <v>90</v>
      </c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48"/>
      <c r="AB36" s="48"/>
      <c r="AC36" s="48"/>
    </row>
    <row r="37" spans="1:68" ht="16.5" hidden="1" customHeight="1" x14ac:dyDescent="0.25">
      <c r="A37" s="276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5"/>
      <c r="AB37" s="265"/>
      <c r="AC37" s="265"/>
    </row>
    <row r="38" spans="1:68" ht="14.25" hidden="1" customHeight="1" x14ac:dyDescent="0.25">
      <c r="A38" s="291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69</v>
      </c>
      <c r="X39" s="270">
        <v>98</v>
      </c>
      <c r="Y39" s="271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102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69</v>
      </c>
      <c r="X40" s="270">
        <v>154</v>
      </c>
      <c r="Y40" s="271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97</v>
      </c>
      <c r="AG40" s="67"/>
      <c r="AJ40" s="71" t="s">
        <v>103</v>
      </c>
      <c r="AK40" s="71">
        <v>140</v>
      </c>
      <c r="BB40" s="91" t="s">
        <v>99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83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84"/>
      <c r="P41" s="278" t="s">
        <v>82</v>
      </c>
      <c r="Q41" s="279"/>
      <c r="R41" s="279"/>
      <c r="S41" s="279"/>
      <c r="T41" s="279"/>
      <c r="U41" s="279"/>
      <c r="V41" s="280"/>
      <c r="W41" s="37" t="s">
        <v>69</v>
      </c>
      <c r="X41" s="272">
        <f>IFERROR(SUM(X39:X40),"0")</f>
        <v>252</v>
      </c>
      <c r="Y41" s="272">
        <f>IFERROR(SUM(Y39:Y40),"0")</f>
        <v>252</v>
      </c>
      <c r="Z41" s="272">
        <f>IFERROR(IF(Z39="",0,Z39),"0")+IFERROR(IF(Z40="",0,Z40),"0")</f>
        <v>2.3713199999999999</v>
      </c>
      <c r="AA41" s="273"/>
      <c r="AB41" s="273"/>
      <c r="AC41" s="273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84"/>
      <c r="P42" s="278" t="s">
        <v>82</v>
      </c>
      <c r="Q42" s="279"/>
      <c r="R42" s="279"/>
      <c r="S42" s="279"/>
      <c r="T42" s="279"/>
      <c r="U42" s="279"/>
      <c r="V42" s="280"/>
      <c r="W42" s="37" t="s">
        <v>83</v>
      </c>
      <c r="X42" s="272">
        <f>IFERROR(SUMPRODUCT(X39:X40*H39:H40),"0")</f>
        <v>378</v>
      </c>
      <c r="Y42" s="272">
        <f>IFERROR(SUMPRODUCT(Y39:Y40*H39:H40),"0")</f>
        <v>378</v>
      </c>
      <c r="Z42" s="37"/>
      <c r="AA42" s="273"/>
      <c r="AB42" s="273"/>
      <c r="AC42" s="273"/>
    </row>
    <row r="43" spans="1:68" ht="16.5" hidden="1" customHeight="1" x14ac:dyDescent="0.25">
      <c r="A43" s="276" t="s">
        <v>104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5"/>
      <c r="AB43" s="265"/>
      <c r="AC43" s="265"/>
    </row>
    <row r="44" spans="1:68" ht="14.25" hidden="1" customHeight="1" x14ac:dyDescent="0.25">
      <c r="A44" s="291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6"/>
      <c r="AB44" s="266"/>
      <c r="AC44" s="266"/>
    </row>
    <row r="45" spans="1:68" ht="27" customHeight="1" x14ac:dyDescent="0.25">
      <c r="A45" s="54" t="s">
        <v>105</v>
      </c>
      <c r="B45" s="54" t="s">
        <v>106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102</v>
      </c>
      <c r="M45" s="33" t="s">
        <v>68</v>
      </c>
      <c r="N45" s="33"/>
      <c r="O45" s="32">
        <v>180</v>
      </c>
      <c r="P45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69</v>
      </c>
      <c r="X45" s="270">
        <v>156</v>
      </c>
      <c r="Y45" s="271">
        <f>IFERROR(IF(X45="","",X45),"")</f>
        <v>156</v>
      </c>
      <c r="Z45" s="36">
        <f>IFERROR(IF(X45="","",X45*0.0155),"")</f>
        <v>2.4180000000000001</v>
      </c>
      <c r="AA45" s="56"/>
      <c r="AB45" s="57"/>
      <c r="AC45" s="92" t="s">
        <v>107</v>
      </c>
      <c r="AG45" s="67"/>
      <c r="AJ45" s="71" t="s">
        <v>103</v>
      </c>
      <c r="AK45" s="71">
        <v>84</v>
      </c>
      <c r="BB45" s="93" t="s">
        <v>1</v>
      </c>
      <c r="BM45" s="67">
        <f>IFERROR(X45*I45,"0")</f>
        <v>915.72</v>
      </c>
      <c r="BN45" s="67">
        <f>IFERROR(Y45*I45,"0")</f>
        <v>915.72</v>
      </c>
      <c r="BO45" s="67">
        <f>IFERROR(X45/J45,"0")</f>
        <v>1.8571428571428572</v>
      </c>
      <c r="BP45" s="67">
        <f>IFERROR(Y45/J45,"0")</f>
        <v>1.8571428571428572</v>
      </c>
    </row>
    <row r="46" spans="1:68" ht="27" hidden="1" customHeight="1" x14ac:dyDescent="0.25">
      <c r="A46" s="54" t="s">
        <v>108</v>
      </c>
      <c r="B46" s="54" t="s">
        <v>109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35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69</v>
      </c>
      <c r="X46" s="270">
        <v>0</v>
      </c>
      <c r="Y46" s="271">
        <f>IFERROR(IF(X46="","",X46),"")</f>
        <v>0</v>
      </c>
      <c r="Z46" s="36">
        <f>IFERROR(IF(X46="","",X46*0.0155),"")</f>
        <v>0</v>
      </c>
      <c r="AA46" s="56"/>
      <c r="AB46" s="57"/>
      <c r="AC46" s="94" t="s">
        <v>110</v>
      </c>
      <c r="AG46" s="67"/>
      <c r="AJ46" s="71" t="s">
        <v>71</v>
      </c>
      <c r="AK46" s="71">
        <v>1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102</v>
      </c>
      <c r="M47" s="33" t="s">
        <v>68</v>
      </c>
      <c r="N47" s="33"/>
      <c r="O47" s="32">
        <v>180</v>
      </c>
      <c r="P47" s="33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69</v>
      </c>
      <c r="X47" s="270">
        <v>168</v>
      </c>
      <c r="Y47" s="271">
        <f>IFERROR(IF(X47="","",X47),"")</f>
        <v>168</v>
      </c>
      <c r="Z47" s="36">
        <f>IFERROR(IF(X47="","",X47*0.0155),"")</f>
        <v>2.6040000000000001</v>
      </c>
      <c r="AA47" s="56"/>
      <c r="AB47" s="57"/>
      <c r="AC47" s="96" t="s">
        <v>113</v>
      </c>
      <c r="AG47" s="67"/>
      <c r="AJ47" s="71" t="s">
        <v>103</v>
      </c>
      <c r="AK47" s="71">
        <v>84</v>
      </c>
      <c r="BB47" s="97" t="s">
        <v>1</v>
      </c>
      <c r="BM47" s="67">
        <f>IFERROR(X47*I47,"0")</f>
        <v>986.16</v>
      </c>
      <c r="BN47" s="67">
        <f>IFERROR(Y47*I47,"0")</f>
        <v>986.16</v>
      </c>
      <c r="BO47" s="67">
        <f>IFERROR(X47/J47,"0")</f>
        <v>2</v>
      </c>
      <c r="BP47" s="67">
        <f>IFERROR(Y47/J47,"0")</f>
        <v>2</v>
      </c>
    </row>
    <row r="48" spans="1:68" x14ac:dyDescent="0.2">
      <c r="A48" s="283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84"/>
      <c r="P48" s="278" t="s">
        <v>82</v>
      </c>
      <c r="Q48" s="279"/>
      <c r="R48" s="279"/>
      <c r="S48" s="279"/>
      <c r="T48" s="279"/>
      <c r="U48" s="279"/>
      <c r="V48" s="280"/>
      <c r="W48" s="37" t="s">
        <v>69</v>
      </c>
      <c r="X48" s="272">
        <f>IFERROR(SUM(X45:X47),"0")</f>
        <v>324</v>
      </c>
      <c r="Y48" s="272">
        <f>IFERROR(SUM(Y45:Y47),"0")</f>
        <v>324</v>
      </c>
      <c r="Z48" s="272">
        <f>IFERROR(IF(Z45="",0,Z45),"0")+IFERROR(IF(Z46="",0,Z46),"0")+IFERROR(IF(Z47="",0,Z47),"0")</f>
        <v>5.0220000000000002</v>
      </c>
      <c r="AA48" s="273"/>
      <c r="AB48" s="273"/>
      <c r="AC48" s="273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84"/>
      <c r="P49" s="278" t="s">
        <v>82</v>
      </c>
      <c r="Q49" s="279"/>
      <c r="R49" s="279"/>
      <c r="S49" s="279"/>
      <c r="T49" s="279"/>
      <c r="U49" s="279"/>
      <c r="V49" s="280"/>
      <c r="W49" s="37" t="s">
        <v>83</v>
      </c>
      <c r="X49" s="272">
        <f>IFERROR(SUMPRODUCT(X45:X47*H45:H47),"0")</f>
        <v>1814.3999999999999</v>
      </c>
      <c r="Y49" s="272">
        <f>IFERROR(SUMPRODUCT(Y45:Y47*H45:H47),"0")</f>
        <v>1814.3999999999999</v>
      </c>
      <c r="Z49" s="37"/>
      <c r="AA49" s="273"/>
      <c r="AB49" s="273"/>
      <c r="AC49" s="273"/>
    </row>
    <row r="50" spans="1:68" ht="16.5" hidden="1" customHeight="1" x14ac:dyDescent="0.25">
      <c r="A50" s="276" t="s">
        <v>114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5"/>
      <c r="AB50" s="265"/>
      <c r="AC50" s="265"/>
    </row>
    <row r="51" spans="1:68" ht="14.25" hidden="1" customHeight="1" x14ac:dyDescent="0.25">
      <c r="A51" s="291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69</v>
      </c>
      <c r="X52" s="270">
        <v>120</v>
      </c>
      <c r="Y52" s="271">
        <f>IFERROR(IF(X52="","",X52),"")</f>
        <v>120</v>
      </c>
      <c r="Z52" s="36">
        <f>IFERROR(IF(X52="","",X52*0.0155),"")</f>
        <v>1.8599999999999999</v>
      </c>
      <c r="AA52" s="56"/>
      <c r="AB52" s="57"/>
      <c r="AC52" s="98" t="s">
        <v>117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876</v>
      </c>
      <c r="BN52" s="67">
        <f>IFERROR(Y52*I52,"0")</f>
        <v>876</v>
      </c>
      <c r="BO52" s="67">
        <f>IFERROR(X52/J52,"0")</f>
        <v>1.4285714285714286</v>
      </c>
      <c r="BP52" s="67">
        <f>IFERROR(Y52/J52,"0")</f>
        <v>1.4285714285714286</v>
      </c>
    </row>
    <row r="53" spans="1:68" ht="27" hidden="1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70">
        <v>0</v>
      </c>
      <c r="Y53" s="271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120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69</v>
      </c>
      <c r="X55" s="270">
        <v>0</v>
      </c>
      <c r="Y55" s="271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3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84"/>
      <c r="P56" s="278" t="s">
        <v>82</v>
      </c>
      <c r="Q56" s="279"/>
      <c r="R56" s="279"/>
      <c r="S56" s="279"/>
      <c r="T56" s="279"/>
      <c r="U56" s="279"/>
      <c r="V56" s="280"/>
      <c r="W56" s="37" t="s">
        <v>69</v>
      </c>
      <c r="X56" s="272">
        <f>IFERROR(SUM(X52:X55),"0")</f>
        <v>120</v>
      </c>
      <c r="Y56" s="272">
        <f>IFERROR(SUM(Y52:Y55),"0")</f>
        <v>120</v>
      </c>
      <c r="Z56" s="272">
        <f>IFERROR(IF(Z52="",0,Z52),"0")+IFERROR(IF(Z53="",0,Z53),"0")+IFERROR(IF(Z54="",0,Z54),"0")+IFERROR(IF(Z55="",0,Z55),"0")</f>
        <v>1.8599999999999999</v>
      </c>
      <c r="AA56" s="273"/>
      <c r="AB56" s="273"/>
      <c r="AC56" s="273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84"/>
      <c r="P57" s="278" t="s">
        <v>82</v>
      </c>
      <c r="Q57" s="279"/>
      <c r="R57" s="279"/>
      <c r="S57" s="279"/>
      <c r="T57" s="279"/>
      <c r="U57" s="279"/>
      <c r="V57" s="280"/>
      <c r="W57" s="37" t="s">
        <v>83</v>
      </c>
      <c r="X57" s="272">
        <f>IFERROR(SUMPRODUCT(X52:X55*H52:H55),"0")</f>
        <v>840</v>
      </c>
      <c r="Y57" s="272">
        <f>IFERROR(SUMPRODUCT(Y52:Y55*H52:H55),"0")</f>
        <v>840</v>
      </c>
      <c r="Z57" s="37"/>
      <c r="AA57" s="273"/>
      <c r="AB57" s="273"/>
      <c r="AC57" s="273"/>
    </row>
    <row r="58" spans="1:68" ht="16.5" hidden="1" customHeight="1" x14ac:dyDescent="0.25">
      <c r="A58" s="276" t="s">
        <v>125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5"/>
      <c r="AB58" s="265"/>
      <c r="AC58" s="265"/>
    </row>
    <row r="59" spans="1:68" ht="14.25" hidden="1" customHeight="1" x14ac:dyDescent="0.25">
      <c r="A59" s="291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84"/>
      <c r="P61" s="278" t="s">
        <v>82</v>
      </c>
      <c r="Q61" s="279"/>
      <c r="R61" s="279"/>
      <c r="S61" s="279"/>
      <c r="T61" s="279"/>
      <c r="U61" s="279"/>
      <c r="V61" s="280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84"/>
      <c r="P62" s="278" t="s">
        <v>82</v>
      </c>
      <c r="Q62" s="279"/>
      <c r="R62" s="279"/>
      <c r="S62" s="279"/>
      <c r="T62" s="279"/>
      <c r="U62" s="279"/>
      <c r="V62" s="280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291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4"/>
      <c r="P65" s="278" t="s">
        <v>82</v>
      </c>
      <c r="Q65" s="279"/>
      <c r="R65" s="279"/>
      <c r="S65" s="279"/>
      <c r="T65" s="279"/>
      <c r="U65" s="279"/>
      <c r="V65" s="280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4"/>
      <c r="P66" s="278" t="s">
        <v>82</v>
      </c>
      <c r="Q66" s="279"/>
      <c r="R66" s="279"/>
      <c r="S66" s="279"/>
      <c r="T66" s="279"/>
      <c r="U66" s="279"/>
      <c r="V66" s="280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291" t="s">
        <v>132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84"/>
      <c r="P70" s="278" t="s">
        <v>82</v>
      </c>
      <c r="Q70" s="279"/>
      <c r="R70" s="279"/>
      <c r="S70" s="279"/>
      <c r="T70" s="279"/>
      <c r="U70" s="279"/>
      <c r="V70" s="280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4"/>
      <c r="P71" s="278" t="s">
        <v>82</v>
      </c>
      <c r="Q71" s="279"/>
      <c r="R71" s="279"/>
      <c r="S71" s="279"/>
      <c r="T71" s="279"/>
      <c r="U71" s="279"/>
      <c r="V71" s="280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291" t="s">
        <v>138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5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4"/>
      <c r="P76" s="278" t="s">
        <v>82</v>
      </c>
      <c r="Q76" s="279"/>
      <c r="R76" s="279"/>
      <c r="S76" s="279"/>
      <c r="T76" s="279"/>
      <c r="U76" s="279"/>
      <c r="V76" s="280"/>
      <c r="W76" s="37" t="s">
        <v>69</v>
      </c>
      <c r="X76" s="272">
        <f>IFERROR(SUM(X73:X75),"0")</f>
        <v>0</v>
      </c>
      <c r="Y76" s="272">
        <f>IFERROR(SUM(Y73:Y75),"0")</f>
        <v>0</v>
      </c>
      <c r="Z76" s="272">
        <f>IFERROR(IF(Z73="",0,Z73),"0")+IFERROR(IF(Z74="",0,Z74),"0")+IFERROR(IF(Z75="",0,Z75),"0")</f>
        <v>0</v>
      </c>
      <c r="AA76" s="273"/>
      <c r="AB76" s="273"/>
      <c r="AC76" s="273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4"/>
      <c r="P77" s="278" t="s">
        <v>82</v>
      </c>
      <c r="Q77" s="279"/>
      <c r="R77" s="279"/>
      <c r="S77" s="279"/>
      <c r="T77" s="279"/>
      <c r="U77" s="279"/>
      <c r="V77" s="280"/>
      <c r="W77" s="37" t="s">
        <v>83</v>
      </c>
      <c r="X77" s="272">
        <f>IFERROR(SUMPRODUCT(X73:X75*H73:H75),"0")</f>
        <v>0</v>
      </c>
      <c r="Y77" s="272">
        <f>IFERROR(SUMPRODUCT(Y73:Y75*H73:H75),"0")</f>
        <v>0</v>
      </c>
      <c r="Z77" s="37"/>
      <c r="AA77" s="273"/>
      <c r="AB77" s="273"/>
      <c r="AC77" s="273"/>
    </row>
    <row r="78" spans="1:68" ht="16.5" hidden="1" customHeight="1" x14ac:dyDescent="0.25">
      <c r="A78" s="276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5"/>
      <c r="AB78" s="265"/>
      <c r="AC78" s="265"/>
    </row>
    <row r="79" spans="1:68" ht="14.25" hidden="1" customHeight="1" x14ac:dyDescent="0.25">
      <c r="A79" s="291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102</v>
      </c>
      <c r="M81" s="33" t="s">
        <v>68</v>
      </c>
      <c r="N81" s="33"/>
      <c r="O81" s="32">
        <v>180</v>
      </c>
      <c r="P81" s="2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69</v>
      </c>
      <c r="X81" s="270">
        <v>0</v>
      </c>
      <c r="Y81" s="271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103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3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4"/>
      <c r="P82" s="278" t="s">
        <v>82</v>
      </c>
      <c r="Q82" s="279"/>
      <c r="R82" s="279"/>
      <c r="S82" s="279"/>
      <c r="T82" s="279"/>
      <c r="U82" s="279"/>
      <c r="V82" s="280"/>
      <c r="W82" s="37" t="s">
        <v>69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hidden="1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4"/>
      <c r="P83" s="278" t="s">
        <v>82</v>
      </c>
      <c r="Q83" s="279"/>
      <c r="R83" s="279"/>
      <c r="S83" s="279"/>
      <c r="T83" s="279"/>
      <c r="U83" s="279"/>
      <c r="V83" s="280"/>
      <c r="W83" s="37" t="s">
        <v>83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hidden="1" customHeight="1" x14ac:dyDescent="0.25">
      <c r="A84" s="276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5"/>
      <c r="AB84" s="265"/>
      <c r="AC84" s="265"/>
    </row>
    <row r="85" spans="1:68" ht="14.25" hidden="1" customHeight="1" x14ac:dyDescent="0.25">
      <c r="A85" s="291" t="s">
        <v>138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70">
        <v>56</v>
      </c>
      <c r="Y86" s="271">
        <f>IFERROR(IF(X86="","",X86),"")</f>
        <v>56</v>
      </c>
      <c r="Z86" s="36">
        <f>IFERROR(IF(X86="","",X86*0.01788),"")</f>
        <v>1.0012799999999999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83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84"/>
      <c r="P87" s="278" t="s">
        <v>82</v>
      </c>
      <c r="Q87" s="279"/>
      <c r="R87" s="279"/>
      <c r="S87" s="279"/>
      <c r="T87" s="279"/>
      <c r="U87" s="279"/>
      <c r="V87" s="280"/>
      <c r="W87" s="37" t="s">
        <v>69</v>
      </c>
      <c r="X87" s="272">
        <f>IFERROR(SUM(X86:X86),"0")</f>
        <v>56</v>
      </c>
      <c r="Y87" s="272">
        <f>IFERROR(SUM(Y86:Y86),"0")</f>
        <v>56</v>
      </c>
      <c r="Z87" s="272">
        <f>IFERROR(IF(Z86="",0,Z86),"0")</f>
        <v>1.0012799999999999</v>
      </c>
      <c r="AA87" s="273"/>
      <c r="AB87" s="273"/>
      <c r="AC87" s="273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84"/>
      <c r="P88" s="278" t="s">
        <v>82</v>
      </c>
      <c r="Q88" s="279"/>
      <c r="R88" s="279"/>
      <c r="S88" s="279"/>
      <c r="T88" s="279"/>
      <c r="U88" s="279"/>
      <c r="V88" s="280"/>
      <c r="W88" s="37" t="s">
        <v>83</v>
      </c>
      <c r="X88" s="272">
        <f>IFERROR(SUMPRODUCT(X86:X86*H86:H86),"0")</f>
        <v>201.6</v>
      </c>
      <c r="Y88" s="272">
        <f>IFERROR(SUMPRODUCT(Y86:Y86*H86:H86),"0")</f>
        <v>201.6</v>
      </c>
      <c r="Z88" s="37"/>
      <c r="AA88" s="273"/>
      <c r="AB88" s="273"/>
      <c r="AC88" s="273"/>
    </row>
    <row r="89" spans="1:68" ht="16.5" hidden="1" customHeight="1" x14ac:dyDescent="0.25">
      <c r="A89" s="276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5"/>
      <c r="AB89" s="265"/>
      <c r="AC89" s="265"/>
    </row>
    <row r="90" spans="1:68" ht="14.25" hidden="1" customHeight="1" x14ac:dyDescent="0.25">
      <c r="A90" s="291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40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69</v>
      </c>
      <c r="X91" s="270">
        <v>98</v>
      </c>
      <c r="Y91" s="271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102</v>
      </c>
      <c r="M92" s="33" t="s">
        <v>68</v>
      </c>
      <c r="N92" s="33"/>
      <c r="O92" s="32">
        <v>180</v>
      </c>
      <c r="P92" s="32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69</v>
      </c>
      <c r="X92" s="270">
        <v>84</v>
      </c>
      <c r="Y92" s="271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164</v>
      </c>
      <c r="AG92" s="67"/>
      <c r="AJ92" s="71" t="s">
        <v>103</v>
      </c>
      <c r="AK92" s="71">
        <v>70</v>
      </c>
      <c r="BB92" s="129" t="s">
        <v>99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3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4"/>
      <c r="P93" s="278" t="s">
        <v>82</v>
      </c>
      <c r="Q93" s="279"/>
      <c r="R93" s="279"/>
      <c r="S93" s="279"/>
      <c r="T93" s="279"/>
      <c r="U93" s="279"/>
      <c r="V93" s="280"/>
      <c r="W93" s="37" t="s">
        <v>69</v>
      </c>
      <c r="X93" s="272">
        <f>IFERROR(SUM(X91:X92),"0")</f>
        <v>182</v>
      </c>
      <c r="Y93" s="272">
        <f>IFERROR(SUM(Y91:Y92),"0")</f>
        <v>182</v>
      </c>
      <c r="Z93" s="272">
        <f>IFERROR(IF(Z91="",0,Z91),"0")+IFERROR(IF(Z92="",0,Z92),"0")</f>
        <v>3.2541599999999997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84"/>
      <c r="P94" s="278" t="s">
        <v>82</v>
      </c>
      <c r="Q94" s="279"/>
      <c r="R94" s="279"/>
      <c r="S94" s="279"/>
      <c r="T94" s="279"/>
      <c r="U94" s="279"/>
      <c r="V94" s="280"/>
      <c r="W94" s="37" t="s">
        <v>83</v>
      </c>
      <c r="X94" s="272">
        <f>IFERROR(SUMPRODUCT(X91:X92*H91:H92),"0")</f>
        <v>655.20000000000005</v>
      </c>
      <c r="Y94" s="272">
        <f>IFERROR(SUMPRODUCT(Y91:Y92*H91:H92),"0")</f>
        <v>655.20000000000005</v>
      </c>
      <c r="Z94" s="37"/>
      <c r="AA94" s="273"/>
      <c r="AB94" s="273"/>
      <c r="AC94" s="273"/>
    </row>
    <row r="95" spans="1:68" ht="16.5" hidden="1" customHeight="1" x14ac:dyDescent="0.25">
      <c r="A95" s="276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hidden="1" customHeight="1" x14ac:dyDescent="0.25">
      <c r="A96" s="291" t="s">
        <v>138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6"/>
      <c r="AB96" s="266"/>
      <c r="AC96" s="266"/>
    </row>
    <row r="97" spans="1:68" ht="27" hidden="1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67</v>
      </c>
      <c r="M97" s="33" t="s">
        <v>68</v>
      </c>
      <c r="N97" s="33"/>
      <c r="O97" s="32">
        <v>180</v>
      </c>
      <c r="P97" s="35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70">
        <v>0</v>
      </c>
      <c r="Y97" s="271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71</v>
      </c>
      <c r="AK97" s="71">
        <v>1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0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69</v>
      </c>
      <c r="X98" s="270">
        <v>112</v>
      </c>
      <c r="Y98" s="271">
        <f t="shared" si="6"/>
        <v>112</v>
      </c>
      <c r="Z98" s="36">
        <f t="shared" si="7"/>
        <v>2.0025599999999999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2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102</v>
      </c>
      <c r="M100" s="33" t="s">
        <v>68</v>
      </c>
      <c r="N100" s="33"/>
      <c r="O100" s="32">
        <v>180</v>
      </c>
      <c r="P100" s="32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69</v>
      </c>
      <c r="X100" s="270">
        <v>112</v>
      </c>
      <c r="Y100" s="271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103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69</v>
      </c>
      <c r="X102" s="270">
        <v>84</v>
      </c>
      <c r="Y102" s="271">
        <f t="shared" si="6"/>
        <v>84</v>
      </c>
      <c r="Z102" s="36">
        <f t="shared" si="7"/>
        <v>1.5019199999999999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380.45280000000002</v>
      </c>
      <c r="BN102" s="67">
        <f t="shared" si="9"/>
        <v>380.45280000000002</v>
      </c>
      <c r="BO102" s="67">
        <f t="shared" si="10"/>
        <v>1.2</v>
      </c>
      <c r="BP102" s="67">
        <f t="shared" si="11"/>
        <v>1.2</v>
      </c>
    </row>
    <row r="103" spans="1:68" x14ac:dyDescent="0.2">
      <c r="A103" s="283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84"/>
      <c r="P103" s="278" t="s">
        <v>82</v>
      </c>
      <c r="Q103" s="279"/>
      <c r="R103" s="279"/>
      <c r="S103" s="279"/>
      <c r="T103" s="279"/>
      <c r="U103" s="279"/>
      <c r="V103" s="280"/>
      <c r="W103" s="37" t="s">
        <v>69</v>
      </c>
      <c r="X103" s="272">
        <f>IFERROR(SUM(X97:X102),"0")</f>
        <v>308</v>
      </c>
      <c r="Y103" s="272">
        <f>IFERROR(SUM(Y97:Y102),"0")</f>
        <v>308</v>
      </c>
      <c r="Z103" s="272">
        <f>IFERROR(IF(Z97="",0,Z97),"0")+IFERROR(IF(Z98="",0,Z98),"0")+IFERROR(IF(Z99="",0,Z99),"0")+IFERROR(IF(Z100="",0,Z100),"0")+IFERROR(IF(Z101="",0,Z101),"0")+IFERROR(IF(Z102="",0,Z102),"0")</f>
        <v>5.5070399999999999</v>
      </c>
      <c r="AA103" s="273"/>
      <c r="AB103" s="273"/>
      <c r="AC103" s="273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84"/>
      <c r="P104" s="278" t="s">
        <v>82</v>
      </c>
      <c r="Q104" s="279"/>
      <c r="R104" s="279"/>
      <c r="S104" s="279"/>
      <c r="T104" s="279"/>
      <c r="U104" s="279"/>
      <c r="V104" s="280"/>
      <c r="W104" s="37" t="s">
        <v>83</v>
      </c>
      <c r="X104" s="272">
        <f>IFERROR(SUMPRODUCT(X97:X102*H97:H102),"0")</f>
        <v>997.92000000000007</v>
      </c>
      <c r="Y104" s="272">
        <f>IFERROR(SUMPRODUCT(Y97:Y102*H97:H102),"0")</f>
        <v>997.92000000000007</v>
      </c>
      <c r="Z104" s="37"/>
      <c r="AA104" s="273"/>
      <c r="AB104" s="273"/>
      <c r="AC104" s="273"/>
    </row>
    <row r="105" spans="1:68" ht="16.5" hidden="1" customHeight="1" x14ac:dyDescent="0.25">
      <c r="A105" s="276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5"/>
      <c r="AB105" s="265"/>
      <c r="AC105" s="265"/>
    </row>
    <row r="106" spans="1:68" ht="14.25" hidden="1" customHeight="1" x14ac:dyDescent="0.25">
      <c r="A106" s="291" t="s">
        <v>132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69</v>
      </c>
      <c r="X107" s="270">
        <v>70</v>
      </c>
      <c r="Y107" s="271">
        <f>IFERROR(IF(X107="","",X107),"")</f>
        <v>70</v>
      </c>
      <c r="Z107" s="36">
        <f>IFERROR(IF(X107="","",X107*0.00936),"")</f>
        <v>0.6552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174.38400000000001</v>
      </c>
      <c r="BN107" s="67">
        <f>IFERROR(Y107*I107,"0")</f>
        <v>174.38400000000001</v>
      </c>
      <c r="BO107" s="67">
        <f>IFERROR(X107/J107,"0")</f>
        <v>0.55555555555555558</v>
      </c>
      <c r="BP107" s="67">
        <f>IFERROR(Y107/J107,"0")</f>
        <v>0.55555555555555558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3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4"/>
      <c r="P109" s="278" t="s">
        <v>82</v>
      </c>
      <c r="Q109" s="279"/>
      <c r="R109" s="279"/>
      <c r="S109" s="279"/>
      <c r="T109" s="279"/>
      <c r="U109" s="279"/>
      <c r="V109" s="280"/>
      <c r="W109" s="37" t="s">
        <v>69</v>
      </c>
      <c r="X109" s="272">
        <f>IFERROR(SUM(X107:X108),"0")</f>
        <v>70</v>
      </c>
      <c r="Y109" s="272">
        <f>IFERROR(SUM(Y107:Y108),"0")</f>
        <v>70</v>
      </c>
      <c r="Z109" s="272">
        <f>IFERROR(IF(Z107="",0,Z107),"0")+IFERROR(IF(Z108="",0,Z108),"0")</f>
        <v>0.6552</v>
      </c>
      <c r="AA109" s="273"/>
      <c r="AB109" s="273"/>
      <c r="AC109" s="273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4"/>
      <c r="P110" s="278" t="s">
        <v>82</v>
      </c>
      <c r="Q110" s="279"/>
      <c r="R110" s="279"/>
      <c r="S110" s="279"/>
      <c r="T110" s="279"/>
      <c r="U110" s="279"/>
      <c r="V110" s="280"/>
      <c r="W110" s="37" t="s">
        <v>83</v>
      </c>
      <c r="X110" s="272">
        <f>IFERROR(SUMPRODUCT(X107:X108*H107:H108),"0")</f>
        <v>151.20000000000002</v>
      </c>
      <c r="Y110" s="272">
        <f>IFERROR(SUMPRODUCT(Y107:Y108*H107:H108),"0")</f>
        <v>151.20000000000002</v>
      </c>
      <c r="Z110" s="37"/>
      <c r="AA110" s="273"/>
      <c r="AB110" s="273"/>
      <c r="AC110" s="273"/>
    </row>
    <row r="111" spans="1:68" ht="16.5" hidden="1" customHeight="1" x14ac:dyDescent="0.25">
      <c r="A111" s="276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5"/>
      <c r="AB111" s="265"/>
      <c r="AC111" s="265"/>
    </row>
    <row r="112" spans="1:68" ht="14.25" hidden="1" customHeight="1" x14ac:dyDescent="0.25">
      <c r="A112" s="291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6"/>
      <c r="AB112" s="266"/>
      <c r="AC112" s="266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6"/>
      <c r="R113" s="286"/>
      <c r="S113" s="286"/>
      <c r="T113" s="287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6"/>
      <c r="R114" s="286"/>
      <c r="S114" s="286"/>
      <c r="T114" s="287"/>
      <c r="U114" s="34"/>
      <c r="V114" s="34"/>
      <c r="W114" s="35" t="s">
        <v>69</v>
      </c>
      <c r="X114" s="270">
        <v>0</v>
      </c>
      <c r="Y114" s="271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69</v>
      </c>
      <c r="X115" s="270">
        <v>72</v>
      </c>
      <c r="Y115" s="271">
        <f t="shared" si="12"/>
        <v>72</v>
      </c>
      <c r="Z115" s="36">
        <f t="shared" si="13"/>
        <v>1.1160000000000001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483.81119999999999</v>
      </c>
      <c r="BN115" s="67">
        <f t="shared" si="15"/>
        <v>483.81119999999999</v>
      </c>
      <c r="BO115" s="67">
        <f t="shared" si="16"/>
        <v>0.8571428571428571</v>
      </c>
      <c r="BP115" s="67">
        <f t="shared" si="17"/>
        <v>0.8571428571428571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102</v>
      </c>
      <c r="M116" s="33" t="s">
        <v>68</v>
      </c>
      <c r="N116" s="33"/>
      <c r="O116" s="32">
        <v>180</v>
      </c>
      <c r="P116" s="3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70">
        <v>144</v>
      </c>
      <c r="Y116" s="271">
        <f t="shared" si="12"/>
        <v>144</v>
      </c>
      <c r="Z116" s="36">
        <f t="shared" si="13"/>
        <v>2.2320000000000002</v>
      </c>
      <c r="AA116" s="56"/>
      <c r="AB116" s="57"/>
      <c r="AC116" s="152" t="s">
        <v>150</v>
      </c>
      <c r="AG116" s="67"/>
      <c r="AJ116" s="71" t="s">
        <v>103</v>
      </c>
      <c r="AK116" s="71">
        <v>84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69</v>
      </c>
      <c r="X118" s="270">
        <v>72</v>
      </c>
      <c r="Y118" s="271">
        <f t="shared" si="12"/>
        <v>72</v>
      </c>
      <c r="Z118" s="36">
        <f t="shared" si="13"/>
        <v>1.1160000000000001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483.81119999999999</v>
      </c>
      <c r="BN118" s="67">
        <f t="shared" si="15"/>
        <v>483.81119999999999</v>
      </c>
      <c r="BO118" s="67">
        <f t="shared" si="16"/>
        <v>0.8571428571428571</v>
      </c>
      <c r="BP118" s="67">
        <f t="shared" si="17"/>
        <v>0.8571428571428571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0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69</v>
      </c>
      <c r="X119" s="270">
        <v>120</v>
      </c>
      <c r="Y119" s="271">
        <f t="shared" si="12"/>
        <v>120</v>
      </c>
      <c r="Z119" s="36">
        <f t="shared" si="13"/>
        <v>1.8599999999999999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6"/>
      <c r="R120" s="286"/>
      <c r="S120" s="286"/>
      <c r="T120" s="287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70">
        <v>0</v>
      </c>
      <c r="Y121" s="271">
        <f t="shared" si="12"/>
        <v>0</v>
      </c>
      <c r="Z121" s="36">
        <f t="shared" si="13"/>
        <v>0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3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84"/>
      <c r="P122" s="278" t="s">
        <v>82</v>
      </c>
      <c r="Q122" s="279"/>
      <c r="R122" s="279"/>
      <c r="S122" s="279"/>
      <c r="T122" s="279"/>
      <c r="U122" s="279"/>
      <c r="V122" s="280"/>
      <c r="W122" s="37" t="s">
        <v>69</v>
      </c>
      <c r="X122" s="272">
        <f>IFERROR(SUM(X113:X121),"0")</f>
        <v>408</v>
      </c>
      <c r="Y122" s="272">
        <f>IFERROR(SUM(Y113:Y121),"0")</f>
        <v>408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6.3239999999999998</v>
      </c>
      <c r="AA122" s="273"/>
      <c r="AB122" s="273"/>
      <c r="AC122" s="273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84"/>
      <c r="P123" s="278" t="s">
        <v>82</v>
      </c>
      <c r="Q123" s="279"/>
      <c r="R123" s="279"/>
      <c r="S123" s="279"/>
      <c r="T123" s="279"/>
      <c r="U123" s="279"/>
      <c r="V123" s="280"/>
      <c r="W123" s="37" t="s">
        <v>83</v>
      </c>
      <c r="X123" s="272">
        <f>IFERROR(SUMPRODUCT(X113:X121*H113:H121),"0")</f>
        <v>2769.6</v>
      </c>
      <c r="Y123" s="272">
        <f>IFERROR(SUMPRODUCT(Y113:Y121*H113:H121),"0")</f>
        <v>2769.6</v>
      </c>
      <c r="Z123" s="37"/>
      <c r="AA123" s="273"/>
      <c r="AB123" s="273"/>
      <c r="AC123" s="273"/>
    </row>
    <row r="124" spans="1:68" ht="14.25" hidden="1" customHeight="1" x14ac:dyDescent="0.25">
      <c r="A124" s="291" t="s">
        <v>138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6"/>
      <c r="AB124" s="266"/>
      <c r="AC124" s="266"/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6"/>
      <c r="R125" s="286"/>
      <c r="S125" s="286"/>
      <c r="T125" s="287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3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84"/>
      <c r="P126" s="278" t="s">
        <v>82</v>
      </c>
      <c r="Q126" s="279"/>
      <c r="R126" s="279"/>
      <c r="S126" s="279"/>
      <c r="T126" s="279"/>
      <c r="U126" s="279"/>
      <c r="V126" s="280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hidden="1" x14ac:dyDescent="0.2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84"/>
      <c r="P127" s="278" t="s">
        <v>82</v>
      </c>
      <c r="Q127" s="279"/>
      <c r="R127" s="279"/>
      <c r="S127" s="279"/>
      <c r="T127" s="279"/>
      <c r="U127" s="279"/>
      <c r="V127" s="280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hidden="1" customHeight="1" x14ac:dyDescent="0.25">
      <c r="A128" s="291" t="s">
        <v>214</v>
      </c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66"/>
      <c r="AB128" s="266"/>
      <c r="AC128" s="266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6"/>
      <c r="R129" s="286"/>
      <c r="S129" s="286"/>
      <c r="T129" s="287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3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4"/>
      <c r="P130" s="278" t="s">
        <v>82</v>
      </c>
      <c r="Q130" s="279"/>
      <c r="R130" s="279"/>
      <c r="S130" s="279"/>
      <c r="T130" s="279"/>
      <c r="U130" s="279"/>
      <c r="V130" s="280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hidden="1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4"/>
      <c r="P131" s="278" t="s">
        <v>82</v>
      </c>
      <c r="Q131" s="279"/>
      <c r="R131" s="279"/>
      <c r="S131" s="279"/>
      <c r="T131" s="279"/>
      <c r="U131" s="279"/>
      <c r="V131" s="280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hidden="1" customHeight="1" x14ac:dyDescent="0.25">
      <c r="A132" s="276" t="s">
        <v>218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hidden="1" customHeight="1" x14ac:dyDescent="0.25">
      <c r="A133" s="291" t="s">
        <v>138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70">
        <v>140</v>
      </c>
      <c r="Y134" s="271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221</v>
      </c>
      <c r="AG134" s="67"/>
      <c r="AJ134" s="71" t="s">
        <v>98</v>
      </c>
      <c r="AK134" s="71">
        <v>14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6"/>
      <c r="R135" s="286"/>
      <c r="S135" s="286"/>
      <c r="T135" s="287"/>
      <c r="U135" s="34"/>
      <c r="V135" s="34"/>
      <c r="W135" s="35" t="s">
        <v>69</v>
      </c>
      <c r="X135" s="270">
        <v>140</v>
      </c>
      <c r="Y135" s="271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156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x14ac:dyDescent="0.2">
      <c r="A136" s="283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4"/>
      <c r="P136" s="278" t="s">
        <v>82</v>
      </c>
      <c r="Q136" s="279"/>
      <c r="R136" s="279"/>
      <c r="S136" s="279"/>
      <c r="T136" s="279"/>
      <c r="U136" s="279"/>
      <c r="V136" s="280"/>
      <c r="W136" s="37" t="s">
        <v>69</v>
      </c>
      <c r="X136" s="272">
        <f>IFERROR(SUM(X134:X135),"0")</f>
        <v>280</v>
      </c>
      <c r="Y136" s="272">
        <f>IFERROR(SUM(Y134:Y135),"0")</f>
        <v>280</v>
      </c>
      <c r="Z136" s="272">
        <f>IFERROR(IF(Z134="",0,Z134),"0")+IFERROR(IF(Z135="",0,Z135),"0")</f>
        <v>5.0064000000000002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4"/>
      <c r="P137" s="278" t="s">
        <v>82</v>
      </c>
      <c r="Q137" s="279"/>
      <c r="R137" s="279"/>
      <c r="S137" s="279"/>
      <c r="T137" s="279"/>
      <c r="U137" s="279"/>
      <c r="V137" s="280"/>
      <c r="W137" s="37" t="s">
        <v>83</v>
      </c>
      <c r="X137" s="272">
        <f>IFERROR(SUMPRODUCT(X134:X135*H134:H135),"0")</f>
        <v>840</v>
      </c>
      <c r="Y137" s="272">
        <f>IFERROR(SUMPRODUCT(Y134:Y135*H134:H135),"0")</f>
        <v>840</v>
      </c>
      <c r="Z137" s="37"/>
      <c r="AA137" s="273"/>
      <c r="AB137" s="273"/>
      <c r="AC137" s="273"/>
    </row>
    <row r="138" spans="1:68" ht="16.5" hidden="1" customHeight="1" x14ac:dyDescent="0.25">
      <c r="A138" s="276" t="s">
        <v>224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hidden="1" customHeight="1" x14ac:dyDescent="0.25">
      <c r="A139" s="291" t="s">
        <v>138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6"/>
      <c r="AB139" s="266"/>
      <c r="AC139" s="266"/>
    </row>
    <row r="140" spans="1:68" ht="27" hidden="1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6"/>
      <c r="R140" s="286"/>
      <c r="S140" s="286"/>
      <c r="T140" s="287"/>
      <c r="U140" s="34"/>
      <c r="V140" s="34"/>
      <c r="W140" s="35" t="s">
        <v>69</v>
      </c>
      <c r="X140" s="270">
        <v>0</v>
      </c>
      <c r="Y140" s="271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102</v>
      </c>
      <c r="M141" s="33" t="s">
        <v>68</v>
      </c>
      <c r="N141" s="33"/>
      <c r="O141" s="32">
        <v>180</v>
      </c>
      <c r="P141" s="39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6"/>
      <c r="R141" s="286"/>
      <c r="S141" s="286"/>
      <c r="T141" s="287"/>
      <c r="U141" s="34"/>
      <c r="V141" s="34"/>
      <c r="W141" s="35" t="s">
        <v>69</v>
      </c>
      <c r="X141" s="270">
        <v>126</v>
      </c>
      <c r="Y141" s="271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230</v>
      </c>
      <c r="AG141" s="67"/>
      <c r="AJ141" s="71" t="s">
        <v>103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83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4"/>
      <c r="P142" s="278" t="s">
        <v>82</v>
      </c>
      <c r="Q142" s="279"/>
      <c r="R142" s="279"/>
      <c r="S142" s="279"/>
      <c r="T142" s="279"/>
      <c r="U142" s="279"/>
      <c r="V142" s="280"/>
      <c r="W142" s="37" t="s">
        <v>69</v>
      </c>
      <c r="X142" s="272">
        <f>IFERROR(SUM(X140:X141),"0")</f>
        <v>126</v>
      </c>
      <c r="Y142" s="272">
        <f>IFERROR(SUM(Y140:Y141),"0")</f>
        <v>126</v>
      </c>
      <c r="Z142" s="272">
        <f>IFERROR(IF(Z140="",0,Z140),"0")+IFERROR(IF(Z141="",0,Z141),"0")</f>
        <v>2.2528800000000002</v>
      </c>
      <c r="AA142" s="273"/>
      <c r="AB142" s="273"/>
      <c r="AC142" s="273"/>
    </row>
    <row r="143" spans="1:68" x14ac:dyDescent="0.2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84"/>
      <c r="P143" s="278" t="s">
        <v>82</v>
      </c>
      <c r="Q143" s="279"/>
      <c r="R143" s="279"/>
      <c r="S143" s="279"/>
      <c r="T143" s="279"/>
      <c r="U143" s="279"/>
      <c r="V143" s="280"/>
      <c r="W143" s="37" t="s">
        <v>83</v>
      </c>
      <c r="X143" s="272">
        <f>IFERROR(SUMPRODUCT(X140:X141*H140:H141),"0")</f>
        <v>378</v>
      </c>
      <c r="Y143" s="272">
        <f>IFERROR(SUMPRODUCT(Y140:Y141*H140:H141),"0")</f>
        <v>378</v>
      </c>
      <c r="Z143" s="37"/>
      <c r="AA143" s="273"/>
      <c r="AB143" s="273"/>
      <c r="AC143" s="273"/>
    </row>
    <row r="144" spans="1:68" ht="16.5" hidden="1" customHeight="1" x14ac:dyDescent="0.25">
      <c r="A144" s="276" t="s">
        <v>231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5"/>
      <c r="AB144" s="265"/>
      <c r="AC144" s="265"/>
    </row>
    <row r="145" spans="1:68" ht="14.25" hidden="1" customHeight="1" x14ac:dyDescent="0.25">
      <c r="A145" s="291" t="s">
        <v>138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69</v>
      </c>
      <c r="X146" s="270">
        <v>84</v>
      </c>
      <c r="Y146" s="271">
        <f>IFERROR(IF(X146="","",X146),"")</f>
        <v>84</v>
      </c>
      <c r="Z146" s="36">
        <f>IFERROR(IF(X146="","",X146*0.01788),"")</f>
        <v>1.5019199999999999</v>
      </c>
      <c r="AA146" s="56"/>
      <c r="AB146" s="57"/>
      <c r="AC146" s="176" t="s">
        <v>221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225.12</v>
      </c>
      <c r="BN146" s="67">
        <f>IFERROR(Y146*I146,"0")</f>
        <v>225.12</v>
      </c>
      <c r="BO146" s="67">
        <f>IFERROR(X146/J146,"0")</f>
        <v>1.2</v>
      </c>
      <c r="BP146" s="67">
        <f>IFERROR(Y146/J146,"0")</f>
        <v>1.2</v>
      </c>
    </row>
    <row r="147" spans="1:68" ht="27" hidden="1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96</v>
      </c>
      <c r="M147" s="33" t="s">
        <v>68</v>
      </c>
      <c r="N147" s="33"/>
      <c r="O147" s="32">
        <v>180</v>
      </c>
      <c r="P147" s="29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6"/>
      <c r="R147" s="286"/>
      <c r="S147" s="286"/>
      <c r="T147" s="287"/>
      <c r="U147" s="34"/>
      <c r="V147" s="34"/>
      <c r="W147" s="35" t="s">
        <v>69</v>
      </c>
      <c r="X147" s="270">
        <v>0</v>
      </c>
      <c r="Y147" s="271">
        <f>IFERROR(IF(X147="","",X147),"")</f>
        <v>0</v>
      </c>
      <c r="Z147" s="36">
        <f>IFERROR(IF(X147="","",X147*0.01788),"")</f>
        <v>0</v>
      </c>
      <c r="AA147" s="56"/>
      <c r="AB147" s="57"/>
      <c r="AC147" s="178" t="s">
        <v>221</v>
      </c>
      <c r="AG147" s="67"/>
      <c r="AJ147" s="71" t="s">
        <v>98</v>
      </c>
      <c r="AK147" s="71">
        <v>14</v>
      </c>
      <c r="BB147" s="179" t="s">
        <v>99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x14ac:dyDescent="0.2">
      <c r="A148" s="283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84"/>
      <c r="P148" s="278" t="s">
        <v>82</v>
      </c>
      <c r="Q148" s="279"/>
      <c r="R148" s="279"/>
      <c r="S148" s="279"/>
      <c r="T148" s="279"/>
      <c r="U148" s="279"/>
      <c r="V148" s="280"/>
      <c r="W148" s="37" t="s">
        <v>69</v>
      </c>
      <c r="X148" s="272">
        <f>IFERROR(SUM(X146:X147),"0")</f>
        <v>84</v>
      </c>
      <c r="Y148" s="272">
        <f>IFERROR(SUM(Y146:Y147),"0")</f>
        <v>84</v>
      </c>
      <c r="Z148" s="272">
        <f>IFERROR(IF(Z146="",0,Z146),"0")+IFERROR(IF(Z147="",0,Z147),"0")</f>
        <v>1.5019199999999999</v>
      </c>
      <c r="AA148" s="273"/>
      <c r="AB148" s="273"/>
      <c r="AC148" s="273"/>
    </row>
    <row r="149" spans="1:68" x14ac:dyDescent="0.2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84"/>
      <c r="P149" s="278" t="s">
        <v>82</v>
      </c>
      <c r="Q149" s="279"/>
      <c r="R149" s="279"/>
      <c r="S149" s="279"/>
      <c r="T149" s="279"/>
      <c r="U149" s="279"/>
      <c r="V149" s="280"/>
      <c r="W149" s="37" t="s">
        <v>83</v>
      </c>
      <c r="X149" s="272">
        <f>IFERROR(SUMPRODUCT(X146:X147*H146:H147),"0")</f>
        <v>201.6</v>
      </c>
      <c r="Y149" s="272">
        <f>IFERROR(SUMPRODUCT(Y146:Y147*H146:H147),"0")</f>
        <v>201.6</v>
      </c>
      <c r="Z149" s="37"/>
      <c r="AA149" s="273"/>
      <c r="AB149" s="273"/>
      <c r="AC149" s="273"/>
    </row>
    <row r="150" spans="1:68" ht="16.5" hidden="1" customHeight="1" x14ac:dyDescent="0.25">
      <c r="A150" s="276" t="s">
        <v>236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5"/>
      <c r="AB150" s="265"/>
      <c r="AC150" s="265"/>
    </row>
    <row r="151" spans="1:68" ht="14.25" hidden="1" customHeight="1" x14ac:dyDescent="0.25">
      <c r="A151" s="291" t="s">
        <v>138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96</v>
      </c>
      <c r="M152" s="33" t="s">
        <v>68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6"/>
      <c r="R152" s="286"/>
      <c r="S152" s="286"/>
      <c r="T152" s="287"/>
      <c r="U152" s="34"/>
      <c r="V152" s="34"/>
      <c r="W152" s="35" t="s">
        <v>69</v>
      </c>
      <c r="X152" s="270">
        <v>84</v>
      </c>
      <c r="Y152" s="271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0" t="s">
        <v>239</v>
      </c>
      <c r="AG152" s="67"/>
      <c r="AJ152" s="71" t="s">
        <v>98</v>
      </c>
      <c r="AK152" s="71">
        <v>14</v>
      </c>
      <c r="BB152" s="181" t="s">
        <v>99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83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84"/>
      <c r="P153" s="278" t="s">
        <v>82</v>
      </c>
      <c r="Q153" s="279"/>
      <c r="R153" s="279"/>
      <c r="S153" s="279"/>
      <c r="T153" s="279"/>
      <c r="U153" s="279"/>
      <c r="V153" s="280"/>
      <c r="W153" s="37" t="s">
        <v>69</v>
      </c>
      <c r="X153" s="272">
        <f>IFERROR(SUM(X152:X152),"0")</f>
        <v>84</v>
      </c>
      <c r="Y153" s="272">
        <f>IFERROR(SUM(Y152:Y152),"0")</f>
        <v>84</v>
      </c>
      <c r="Z153" s="272">
        <f>IFERROR(IF(Z152="",0,Z152),"0")</f>
        <v>1.5019199999999999</v>
      </c>
      <c r="AA153" s="273"/>
      <c r="AB153" s="273"/>
      <c r="AC153" s="273"/>
    </row>
    <row r="154" spans="1:68" x14ac:dyDescent="0.2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84"/>
      <c r="P154" s="278" t="s">
        <v>82</v>
      </c>
      <c r="Q154" s="279"/>
      <c r="R154" s="279"/>
      <c r="S154" s="279"/>
      <c r="T154" s="279"/>
      <c r="U154" s="279"/>
      <c r="V154" s="280"/>
      <c r="W154" s="37" t="s">
        <v>83</v>
      </c>
      <c r="X154" s="272">
        <f>IFERROR(SUMPRODUCT(X152:X152*H152:H152),"0")</f>
        <v>252</v>
      </c>
      <c r="Y154" s="272">
        <f>IFERROR(SUMPRODUCT(Y152:Y152*H152:H152),"0")</f>
        <v>252</v>
      </c>
      <c r="Z154" s="37"/>
      <c r="AA154" s="273"/>
      <c r="AB154" s="273"/>
      <c r="AC154" s="273"/>
    </row>
    <row r="155" spans="1:68" ht="16.5" hidden="1" customHeight="1" x14ac:dyDescent="0.25">
      <c r="A155" s="276" t="s">
        <v>240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5"/>
      <c r="AB155" s="265"/>
      <c r="AC155" s="265"/>
    </row>
    <row r="156" spans="1:68" ht="14.25" hidden="1" customHeight="1" x14ac:dyDescent="0.25">
      <c r="A156" s="291" t="s">
        <v>138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6"/>
      <c r="AB156" s="266"/>
      <c r="AC156" s="266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96</v>
      </c>
      <c r="M157" s="33" t="s">
        <v>68</v>
      </c>
      <c r="N157" s="33"/>
      <c r="O157" s="32">
        <v>180</v>
      </c>
      <c r="P157" s="28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6"/>
      <c r="R157" s="286"/>
      <c r="S157" s="286"/>
      <c r="T157" s="287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98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3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84"/>
      <c r="P158" s="278" t="s">
        <v>82</v>
      </c>
      <c r="Q158" s="279"/>
      <c r="R158" s="279"/>
      <c r="S158" s="279"/>
      <c r="T158" s="279"/>
      <c r="U158" s="279"/>
      <c r="V158" s="280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84"/>
      <c r="P159" s="278" t="s">
        <v>82</v>
      </c>
      <c r="Q159" s="279"/>
      <c r="R159" s="279"/>
      <c r="S159" s="279"/>
      <c r="T159" s="279"/>
      <c r="U159" s="279"/>
      <c r="V159" s="280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76" t="s">
        <v>243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5"/>
      <c r="AB160" s="265"/>
      <c r="AC160" s="265"/>
    </row>
    <row r="161" spans="1:68" ht="14.25" hidden="1" customHeight="1" x14ac:dyDescent="0.25">
      <c r="A161" s="291" t="s">
        <v>214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6"/>
      <c r="AB161" s="266"/>
      <c r="AC161" s="266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96</v>
      </c>
      <c r="M162" s="33" t="s">
        <v>68</v>
      </c>
      <c r="N162" s="33"/>
      <c r="O162" s="32">
        <v>180</v>
      </c>
      <c r="P162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6"/>
      <c r="R162" s="286"/>
      <c r="S162" s="286"/>
      <c r="T162" s="287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98</v>
      </c>
      <c r="AK162" s="71">
        <v>6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3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4"/>
      <c r="P163" s="278" t="s">
        <v>82</v>
      </c>
      <c r="Q163" s="279"/>
      <c r="R163" s="279"/>
      <c r="S163" s="279"/>
      <c r="T163" s="279"/>
      <c r="U163" s="279"/>
      <c r="V163" s="280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4"/>
      <c r="P164" s="278" t="s">
        <v>82</v>
      </c>
      <c r="Q164" s="279"/>
      <c r="R164" s="279"/>
      <c r="S164" s="279"/>
      <c r="T164" s="279"/>
      <c r="U164" s="279"/>
      <c r="V164" s="280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76" t="s">
        <v>248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5"/>
      <c r="AB165" s="265"/>
      <c r="AC165" s="265"/>
    </row>
    <row r="166" spans="1:68" ht="14.25" hidden="1" customHeight="1" x14ac:dyDescent="0.25">
      <c r="A166" s="291" t="s">
        <v>138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6"/>
      <c r="AB166" s="266"/>
      <c r="AC166" s="266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4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6"/>
      <c r="R167" s="286"/>
      <c r="S167" s="286"/>
      <c r="T167" s="287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3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84"/>
      <c r="P168" s="278" t="s">
        <v>82</v>
      </c>
      <c r="Q168" s="279"/>
      <c r="R168" s="279"/>
      <c r="S168" s="279"/>
      <c r="T168" s="279"/>
      <c r="U168" s="279"/>
      <c r="V168" s="280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84"/>
      <c r="P169" s="278" t="s">
        <v>82</v>
      </c>
      <c r="Q169" s="279"/>
      <c r="R169" s="279"/>
      <c r="S169" s="279"/>
      <c r="T169" s="279"/>
      <c r="U169" s="279"/>
      <c r="V169" s="280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99" t="s">
        <v>252</v>
      </c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48"/>
      <c r="AB170" s="48"/>
      <c r="AC170" s="48"/>
    </row>
    <row r="171" spans="1:68" ht="16.5" hidden="1" customHeight="1" x14ac:dyDescent="0.25">
      <c r="A171" s="276" t="s">
        <v>253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5"/>
      <c r="AB171" s="265"/>
      <c r="AC171" s="265"/>
    </row>
    <row r="172" spans="1:68" ht="14.25" hidden="1" customHeight="1" x14ac:dyDescent="0.25">
      <c r="A172" s="291" t="s">
        <v>63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6"/>
      <c r="AB172" s="266"/>
      <c r="AC172" s="266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3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6"/>
      <c r="R173" s="286"/>
      <c r="S173" s="286"/>
      <c r="T173" s="287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71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hidden="1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96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6"/>
      <c r="R174" s="286"/>
      <c r="S174" s="286"/>
      <c r="T174" s="287"/>
      <c r="U174" s="34"/>
      <c r="V174" s="34"/>
      <c r="W174" s="35" t="s">
        <v>69</v>
      </c>
      <c r="X174" s="270">
        <v>0</v>
      </c>
      <c r="Y174" s="271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98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3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4"/>
      <c r="P175" s="278" t="s">
        <v>82</v>
      </c>
      <c r="Q175" s="279"/>
      <c r="R175" s="279"/>
      <c r="S175" s="279"/>
      <c r="T175" s="279"/>
      <c r="U175" s="279"/>
      <c r="V175" s="280"/>
      <c r="W175" s="37" t="s">
        <v>69</v>
      </c>
      <c r="X175" s="272">
        <f>IFERROR(SUM(X173:X174),"0")</f>
        <v>0</v>
      </c>
      <c r="Y175" s="272">
        <f>IFERROR(SUM(Y173:Y174),"0")</f>
        <v>0</v>
      </c>
      <c r="Z175" s="272">
        <f>IFERROR(IF(Z173="",0,Z173),"0")+IFERROR(IF(Z174="",0,Z174),"0")</f>
        <v>0</v>
      </c>
      <c r="AA175" s="273"/>
      <c r="AB175" s="273"/>
      <c r="AC175" s="273"/>
    </row>
    <row r="176" spans="1:68" hidden="1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4"/>
      <c r="P176" s="278" t="s">
        <v>82</v>
      </c>
      <c r="Q176" s="279"/>
      <c r="R176" s="279"/>
      <c r="S176" s="279"/>
      <c r="T176" s="279"/>
      <c r="U176" s="279"/>
      <c r="V176" s="280"/>
      <c r="W176" s="37" t="s">
        <v>83</v>
      </c>
      <c r="X176" s="272">
        <f>IFERROR(SUMPRODUCT(X173:X174*H173:H174),"0")</f>
        <v>0</v>
      </c>
      <c r="Y176" s="272">
        <f>IFERROR(SUMPRODUCT(Y173:Y174*H173:H174),"0")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299" t="s">
        <v>260</v>
      </c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48"/>
      <c r="AB177" s="48"/>
      <c r="AC177" s="48"/>
    </row>
    <row r="178" spans="1:68" ht="16.5" hidden="1" customHeight="1" x14ac:dyDescent="0.25">
      <c r="A178" s="276" t="s">
        <v>261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hidden="1" customHeight="1" x14ac:dyDescent="0.25">
      <c r="A179" s="291" t="s">
        <v>92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102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6"/>
      <c r="R180" s="286"/>
      <c r="S180" s="286"/>
      <c r="T180" s="287"/>
      <c r="U180" s="34"/>
      <c r="V180" s="34"/>
      <c r="W180" s="35" t="s">
        <v>69</v>
      </c>
      <c r="X180" s="270">
        <v>210</v>
      </c>
      <c r="Y180" s="271">
        <f>IFERROR(IF(X180="","",X180),"")</f>
        <v>210</v>
      </c>
      <c r="Z180" s="36">
        <f>IFERROR(IF(X180="","",X180*0.01788),"")</f>
        <v>3.7547999999999999</v>
      </c>
      <c r="AA180" s="56"/>
      <c r="AB180" s="57"/>
      <c r="AC180" s="192" t="s">
        <v>264</v>
      </c>
      <c r="AG180" s="67"/>
      <c r="AJ180" s="71" t="s">
        <v>103</v>
      </c>
      <c r="AK180" s="71">
        <v>70</v>
      </c>
      <c r="BB180" s="193" t="s">
        <v>99</v>
      </c>
      <c r="BM180" s="67">
        <f>IFERROR(X180*I180,"0")</f>
        <v>711.48</v>
      </c>
      <c r="BN180" s="67">
        <f>IFERROR(Y180*I180,"0")</f>
        <v>711.48</v>
      </c>
      <c r="BO180" s="67">
        <f>IFERROR(X180/J180,"0")</f>
        <v>3</v>
      </c>
      <c r="BP180" s="67">
        <f>IFERROR(Y180/J180,"0")</f>
        <v>3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6"/>
      <c r="R181" s="286"/>
      <c r="S181" s="286"/>
      <c r="T181" s="287"/>
      <c r="U181" s="34"/>
      <c r="V181" s="34"/>
      <c r="W181" s="35" t="s">
        <v>69</v>
      </c>
      <c r="X181" s="270">
        <v>0</v>
      </c>
      <c r="Y181" s="271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6"/>
      <c r="R182" s="286"/>
      <c r="S182" s="286"/>
      <c r="T182" s="287"/>
      <c r="U182" s="34"/>
      <c r="V182" s="34"/>
      <c r="W182" s="35" t="s">
        <v>69</v>
      </c>
      <c r="X182" s="270">
        <v>0</v>
      </c>
      <c r="Y182" s="271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84"/>
      <c r="P183" s="278" t="s">
        <v>82</v>
      </c>
      <c r="Q183" s="279"/>
      <c r="R183" s="279"/>
      <c r="S183" s="279"/>
      <c r="T183" s="279"/>
      <c r="U183" s="279"/>
      <c r="V183" s="280"/>
      <c r="W183" s="37" t="s">
        <v>69</v>
      </c>
      <c r="X183" s="272">
        <f>IFERROR(SUM(X180:X182),"0")</f>
        <v>210</v>
      </c>
      <c r="Y183" s="272">
        <f>IFERROR(SUM(Y180:Y182),"0")</f>
        <v>210</v>
      </c>
      <c r="Z183" s="272">
        <f>IFERROR(IF(Z180="",0,Z180),"0")+IFERROR(IF(Z181="",0,Z181),"0")+IFERROR(IF(Z182="",0,Z182),"0")</f>
        <v>3.7547999999999999</v>
      </c>
      <c r="AA183" s="273"/>
      <c r="AB183" s="273"/>
      <c r="AC183" s="273"/>
    </row>
    <row r="184" spans="1:68" x14ac:dyDescent="0.2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84"/>
      <c r="P184" s="278" t="s">
        <v>82</v>
      </c>
      <c r="Q184" s="279"/>
      <c r="R184" s="279"/>
      <c r="S184" s="279"/>
      <c r="T184" s="279"/>
      <c r="U184" s="279"/>
      <c r="V184" s="280"/>
      <c r="W184" s="37" t="s">
        <v>83</v>
      </c>
      <c r="X184" s="272">
        <f>IFERROR(SUMPRODUCT(X180:X182*H180:H182),"0")</f>
        <v>630</v>
      </c>
      <c r="Y184" s="272">
        <f>IFERROR(SUMPRODUCT(Y180:Y182*H180:H182),"0")</f>
        <v>630</v>
      </c>
      <c r="Z184" s="37"/>
      <c r="AA184" s="273"/>
      <c r="AB184" s="273"/>
      <c r="AC184" s="273"/>
    </row>
    <row r="185" spans="1:68" ht="14.25" hidden="1" customHeight="1" x14ac:dyDescent="0.25">
      <c r="A185" s="291" t="s">
        <v>271</v>
      </c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66"/>
      <c r="AB185" s="266"/>
      <c r="AC185" s="266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43" t="s">
        <v>276</v>
      </c>
      <c r="Q186" s="286"/>
      <c r="R186" s="286"/>
      <c r="S186" s="286"/>
      <c r="T186" s="287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84"/>
      <c r="P187" s="278" t="s">
        <v>82</v>
      </c>
      <c r="Q187" s="279"/>
      <c r="R187" s="279"/>
      <c r="S187" s="279"/>
      <c r="T187" s="279"/>
      <c r="U187" s="279"/>
      <c r="V187" s="280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4"/>
      <c r="P188" s="278" t="s">
        <v>82</v>
      </c>
      <c r="Q188" s="279"/>
      <c r="R188" s="279"/>
      <c r="S188" s="279"/>
      <c r="T188" s="279"/>
      <c r="U188" s="279"/>
      <c r="V188" s="280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99" t="s">
        <v>279</v>
      </c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48"/>
      <c r="AB189" s="48"/>
      <c r="AC189" s="48"/>
    </row>
    <row r="190" spans="1:68" ht="16.5" hidden="1" customHeight="1" x14ac:dyDescent="0.25">
      <c r="A190" s="276" t="s">
        <v>280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hidden="1" customHeight="1" x14ac:dyDescent="0.25">
      <c r="A191" s="291" t="s">
        <v>92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6"/>
      <c r="AB191" s="266"/>
      <c r="AC191" s="266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96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69</v>
      </c>
      <c r="X192" s="270">
        <v>0</v>
      </c>
      <c r="Y192" s="271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98</v>
      </c>
      <c r="AK192" s="71">
        <v>14</v>
      </c>
      <c r="BB192" s="201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84"/>
      <c r="P193" s="278" t="s">
        <v>82</v>
      </c>
      <c r="Q193" s="279"/>
      <c r="R193" s="279"/>
      <c r="S193" s="279"/>
      <c r="T193" s="279"/>
      <c r="U193" s="279"/>
      <c r="V193" s="280"/>
      <c r="W193" s="37" t="s">
        <v>69</v>
      </c>
      <c r="X193" s="272">
        <f>IFERROR(SUM(X192:X192),"0")</f>
        <v>0</v>
      </c>
      <c r="Y193" s="272">
        <f>IFERROR(SUM(Y192:Y192),"0")</f>
        <v>0</v>
      </c>
      <c r="Z193" s="272">
        <f>IFERROR(IF(Z192="",0,Z192),"0")</f>
        <v>0</v>
      </c>
      <c r="AA193" s="273"/>
      <c r="AB193" s="273"/>
      <c r="AC193" s="273"/>
    </row>
    <row r="194" spans="1:68" hidden="1" x14ac:dyDescent="0.2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84"/>
      <c r="P194" s="278" t="s">
        <v>82</v>
      </c>
      <c r="Q194" s="279"/>
      <c r="R194" s="279"/>
      <c r="S194" s="279"/>
      <c r="T194" s="279"/>
      <c r="U194" s="279"/>
      <c r="V194" s="280"/>
      <c r="W194" s="37" t="s">
        <v>83</v>
      </c>
      <c r="X194" s="272">
        <f>IFERROR(SUMPRODUCT(X192:X192*H192:H192),"0")</f>
        <v>0</v>
      </c>
      <c r="Y194" s="272">
        <f>IFERROR(SUMPRODUCT(Y192:Y192*H192:H192),"0")</f>
        <v>0</v>
      </c>
      <c r="Z194" s="37"/>
      <c r="AA194" s="273"/>
      <c r="AB194" s="273"/>
      <c r="AC194" s="273"/>
    </row>
    <row r="195" spans="1:68" ht="14.25" hidden="1" customHeight="1" x14ac:dyDescent="0.25">
      <c r="A195" s="291" t="s">
        <v>138</v>
      </c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66"/>
      <c r="AB195" s="266"/>
      <c r="AC195" s="266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9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69</v>
      </c>
      <c r="X198" s="270">
        <v>0</v>
      </c>
      <c r="Y198" s="27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4"/>
      <c r="P201" s="278" t="s">
        <v>82</v>
      </c>
      <c r="Q201" s="279"/>
      <c r="R201" s="279"/>
      <c r="S201" s="279"/>
      <c r="T201" s="279"/>
      <c r="U201" s="279"/>
      <c r="V201" s="280"/>
      <c r="W201" s="37" t="s">
        <v>69</v>
      </c>
      <c r="X201" s="272">
        <f>IFERROR(SUM(X196:X200),"0")</f>
        <v>0</v>
      </c>
      <c r="Y201" s="272">
        <f>IFERROR(SUM(Y196:Y200),"0")</f>
        <v>0</v>
      </c>
      <c r="Z201" s="272">
        <f>IFERROR(IF(Z196="",0,Z196),"0")+IFERROR(IF(Z197="",0,Z197),"0")+IFERROR(IF(Z198="",0,Z198),"0")+IFERROR(IF(Z199="",0,Z199),"0")+IFERROR(IF(Z200="",0,Z200),"0")</f>
        <v>0</v>
      </c>
      <c r="AA201" s="273"/>
      <c r="AB201" s="273"/>
      <c r="AC201" s="273"/>
    </row>
    <row r="202" spans="1:68" hidden="1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4"/>
      <c r="P202" s="278" t="s">
        <v>82</v>
      </c>
      <c r="Q202" s="279"/>
      <c r="R202" s="279"/>
      <c r="S202" s="279"/>
      <c r="T202" s="279"/>
      <c r="U202" s="279"/>
      <c r="V202" s="280"/>
      <c r="W202" s="37" t="s">
        <v>83</v>
      </c>
      <c r="X202" s="272">
        <f>IFERROR(SUMPRODUCT(X196:X200*H196:H200),"0")</f>
        <v>0</v>
      </c>
      <c r="Y202" s="272">
        <f>IFERROR(SUMPRODUCT(Y196:Y200*H196:H200),"0")</f>
        <v>0</v>
      </c>
      <c r="Z202" s="37"/>
      <c r="AA202" s="273"/>
      <c r="AB202" s="273"/>
      <c r="AC202" s="273"/>
    </row>
    <row r="203" spans="1:68" ht="16.5" hidden="1" customHeight="1" x14ac:dyDescent="0.25">
      <c r="A203" s="276" t="s">
        <v>298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5"/>
      <c r="AB203" s="265"/>
      <c r="AC203" s="265"/>
    </row>
    <row r="204" spans="1:68" ht="14.25" hidden="1" customHeight="1" x14ac:dyDescent="0.25">
      <c r="A204" s="291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102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70">
        <v>192</v>
      </c>
      <c r="Y205" s="271">
        <f>IFERROR(IF(X205="","",X205),"")</f>
        <v>192</v>
      </c>
      <c r="Z205" s="36">
        <f>IFERROR(IF(X205="","",X205*0.0155),"")</f>
        <v>2.976</v>
      </c>
      <c r="AA205" s="56"/>
      <c r="AB205" s="57"/>
      <c r="AC205" s="212" t="s">
        <v>301</v>
      </c>
      <c r="AG205" s="67"/>
      <c r="AJ205" s="71" t="s">
        <v>103</v>
      </c>
      <c r="AK205" s="71">
        <v>84</v>
      </c>
      <c r="BB205" s="213" t="s">
        <v>1</v>
      </c>
      <c r="BM205" s="67">
        <f>IFERROR(X205*I205,"0")</f>
        <v>1004.1600000000001</v>
      </c>
      <c r="BN205" s="67">
        <f>IFERROR(Y205*I205,"0")</f>
        <v>1004.1600000000001</v>
      </c>
      <c r="BO205" s="67">
        <f>IFERROR(X205/J205,"0")</f>
        <v>2.2857142857142856</v>
      </c>
      <c r="BP205" s="67">
        <f>IFERROR(Y205/J205,"0")</f>
        <v>2.2857142857142856</v>
      </c>
    </row>
    <row r="206" spans="1:68" x14ac:dyDescent="0.2">
      <c r="A206" s="283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4"/>
      <c r="P206" s="278" t="s">
        <v>82</v>
      </c>
      <c r="Q206" s="279"/>
      <c r="R206" s="279"/>
      <c r="S206" s="279"/>
      <c r="T206" s="279"/>
      <c r="U206" s="279"/>
      <c r="V206" s="280"/>
      <c r="W206" s="37" t="s">
        <v>69</v>
      </c>
      <c r="X206" s="272">
        <f>IFERROR(SUM(X205:X205),"0")</f>
        <v>192</v>
      </c>
      <c r="Y206" s="272">
        <f>IFERROR(SUM(Y205:Y205),"0")</f>
        <v>192</v>
      </c>
      <c r="Z206" s="272">
        <f>IFERROR(IF(Z205="",0,Z205),"0")</f>
        <v>2.976</v>
      </c>
      <c r="AA206" s="273"/>
      <c r="AB206" s="273"/>
      <c r="AC206" s="273"/>
    </row>
    <row r="207" spans="1:68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4"/>
      <c r="P207" s="278" t="s">
        <v>82</v>
      </c>
      <c r="Q207" s="279"/>
      <c r="R207" s="279"/>
      <c r="S207" s="279"/>
      <c r="T207" s="279"/>
      <c r="U207" s="279"/>
      <c r="V207" s="280"/>
      <c r="W207" s="37" t="s">
        <v>83</v>
      </c>
      <c r="X207" s="272">
        <f>IFERROR(SUMPRODUCT(X205:X205*H205:H205),"0")</f>
        <v>960</v>
      </c>
      <c r="Y207" s="272">
        <f>IFERROR(SUMPRODUCT(Y205:Y205*H205:H205),"0")</f>
        <v>960</v>
      </c>
      <c r="Z207" s="37"/>
      <c r="AA207" s="273"/>
      <c r="AB207" s="273"/>
      <c r="AC207" s="273"/>
    </row>
    <row r="208" spans="1:68" ht="16.5" hidden="1" customHeight="1" x14ac:dyDescent="0.25">
      <c r="A208" s="276" t="s">
        <v>302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5"/>
      <c r="AB208" s="265"/>
      <c r="AC208" s="265"/>
    </row>
    <row r="209" spans="1:68" ht="14.25" hidden="1" customHeight="1" x14ac:dyDescent="0.25">
      <c r="A209" s="291" t="s">
        <v>63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6"/>
      <c r="AB209" s="266"/>
      <c r="AC209" s="266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3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84"/>
      <c r="P211" s="278" t="s">
        <v>82</v>
      </c>
      <c r="Q211" s="279"/>
      <c r="R211" s="279"/>
      <c r="S211" s="279"/>
      <c r="T211" s="279"/>
      <c r="U211" s="279"/>
      <c r="V211" s="280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4"/>
      <c r="P212" s="278" t="s">
        <v>82</v>
      </c>
      <c r="Q212" s="279"/>
      <c r="R212" s="279"/>
      <c r="S212" s="279"/>
      <c r="T212" s="279"/>
      <c r="U212" s="279"/>
      <c r="V212" s="280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291" t="s">
        <v>138</v>
      </c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66"/>
      <c r="AB213" s="266"/>
      <c r="AC213" s="266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6"/>
      <c r="R214" s="286"/>
      <c r="S214" s="286"/>
      <c r="T214" s="287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6"/>
      <c r="R215" s="286"/>
      <c r="S215" s="286"/>
      <c r="T215" s="287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3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84"/>
      <c r="P216" s="278" t="s">
        <v>82</v>
      </c>
      <c r="Q216" s="279"/>
      <c r="R216" s="279"/>
      <c r="S216" s="279"/>
      <c r="T216" s="279"/>
      <c r="U216" s="279"/>
      <c r="V216" s="280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84"/>
      <c r="P217" s="278" t="s">
        <v>82</v>
      </c>
      <c r="Q217" s="279"/>
      <c r="R217" s="279"/>
      <c r="S217" s="279"/>
      <c r="T217" s="279"/>
      <c r="U217" s="279"/>
      <c r="V217" s="280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99" t="s">
        <v>311</v>
      </c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48"/>
      <c r="AB218" s="48"/>
      <c r="AC218" s="48"/>
    </row>
    <row r="219" spans="1:68" ht="16.5" hidden="1" customHeight="1" x14ac:dyDescent="0.25">
      <c r="A219" s="276" t="s">
        <v>312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5"/>
      <c r="AB219" s="265"/>
      <c r="AC219" s="265"/>
    </row>
    <row r="220" spans="1:68" ht="14.25" hidden="1" customHeight="1" x14ac:dyDescent="0.25">
      <c r="A220" s="291" t="s">
        <v>63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6"/>
      <c r="AB220" s="266"/>
      <c r="AC220" s="266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6"/>
      <c r="R221" s="286"/>
      <c r="S221" s="286"/>
      <c r="T221" s="287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3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84"/>
      <c r="P222" s="278" t="s">
        <v>82</v>
      </c>
      <c r="Q222" s="279"/>
      <c r="R222" s="279"/>
      <c r="S222" s="279"/>
      <c r="T222" s="279"/>
      <c r="U222" s="279"/>
      <c r="V222" s="280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84"/>
      <c r="P223" s="278" t="s">
        <v>82</v>
      </c>
      <c r="Q223" s="279"/>
      <c r="R223" s="279"/>
      <c r="S223" s="279"/>
      <c r="T223" s="279"/>
      <c r="U223" s="279"/>
      <c r="V223" s="280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99" t="s">
        <v>316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48"/>
      <c r="AB224" s="48"/>
      <c r="AC224" s="48"/>
    </row>
    <row r="225" spans="1:68" ht="16.5" hidden="1" customHeight="1" x14ac:dyDescent="0.25">
      <c r="A225" s="276" t="s">
        <v>317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5"/>
      <c r="AB225" s="265"/>
      <c r="AC225" s="265"/>
    </row>
    <row r="226" spans="1:68" ht="14.25" hidden="1" customHeight="1" x14ac:dyDescent="0.25">
      <c r="A226" s="291" t="s">
        <v>63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6"/>
      <c r="AB226" s="266"/>
      <c r="AC226" s="266"/>
    </row>
    <row r="227" spans="1:68" ht="27" hidden="1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6"/>
      <c r="R227" s="286"/>
      <c r="S227" s="286"/>
      <c r="T227" s="287"/>
      <c r="U227" s="34"/>
      <c r="V227" s="34"/>
      <c r="W227" s="35" t="s">
        <v>69</v>
      </c>
      <c r="X227" s="270">
        <v>0</v>
      </c>
      <c r="Y227" s="271">
        <f>IFERROR(IF(X227="","",X227),"")</f>
        <v>0</v>
      </c>
      <c r="Z227" s="36">
        <f>IFERROR(IF(X227="","",X227*0.0155),"")</f>
        <v>0</v>
      </c>
      <c r="AA227" s="56"/>
      <c r="AB227" s="57"/>
      <c r="AC227" s="222" t="s">
        <v>259</v>
      </c>
      <c r="AG227" s="67"/>
      <c r="AJ227" s="71" t="s">
        <v>98</v>
      </c>
      <c r="AK227" s="71">
        <v>12</v>
      </c>
      <c r="BB227" s="223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3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84"/>
      <c r="P228" s="278" t="s">
        <v>82</v>
      </c>
      <c r="Q228" s="279"/>
      <c r="R228" s="279"/>
      <c r="S228" s="279"/>
      <c r="T228" s="279"/>
      <c r="U228" s="279"/>
      <c r="V228" s="280"/>
      <c r="W228" s="37" t="s">
        <v>69</v>
      </c>
      <c r="X228" s="272">
        <f>IFERROR(SUM(X227:X227),"0")</f>
        <v>0</v>
      </c>
      <c r="Y228" s="272">
        <f>IFERROR(SUM(Y227:Y227),"0")</f>
        <v>0</v>
      </c>
      <c r="Z228" s="272">
        <f>IFERROR(IF(Z227="",0,Z227),"0")</f>
        <v>0</v>
      </c>
      <c r="AA228" s="273"/>
      <c r="AB228" s="273"/>
      <c r="AC228" s="273"/>
    </row>
    <row r="229" spans="1:68" hidden="1" x14ac:dyDescent="0.2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84"/>
      <c r="P229" s="278" t="s">
        <v>82</v>
      </c>
      <c r="Q229" s="279"/>
      <c r="R229" s="279"/>
      <c r="S229" s="279"/>
      <c r="T229" s="279"/>
      <c r="U229" s="279"/>
      <c r="V229" s="280"/>
      <c r="W229" s="37" t="s">
        <v>83</v>
      </c>
      <c r="X229" s="272">
        <f>IFERROR(SUMPRODUCT(X227:X227*H227:H227),"0")</f>
        <v>0</v>
      </c>
      <c r="Y229" s="272">
        <f>IFERROR(SUMPRODUCT(Y227:Y227*H227:H227),"0")</f>
        <v>0</v>
      </c>
      <c r="Z229" s="37"/>
      <c r="AA229" s="273"/>
      <c r="AB229" s="273"/>
      <c r="AC229" s="273"/>
    </row>
    <row r="230" spans="1:68" ht="27.75" hidden="1" customHeight="1" x14ac:dyDescent="0.2">
      <c r="A230" s="299" t="s">
        <v>320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48"/>
      <c r="AB230" s="48"/>
      <c r="AC230" s="48"/>
    </row>
    <row r="231" spans="1:68" ht="16.5" hidden="1" customHeight="1" x14ac:dyDescent="0.25">
      <c r="A231" s="276" t="s">
        <v>321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5"/>
      <c r="AB231" s="265"/>
      <c r="AC231" s="265"/>
    </row>
    <row r="232" spans="1:68" ht="14.25" hidden="1" customHeight="1" x14ac:dyDescent="0.25">
      <c r="A232" s="291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6"/>
      <c r="AB232" s="266"/>
      <c r="AC232" s="266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84"/>
      <c r="P234" s="278" t="s">
        <v>82</v>
      </c>
      <c r="Q234" s="279"/>
      <c r="R234" s="279"/>
      <c r="S234" s="279"/>
      <c r="T234" s="279"/>
      <c r="U234" s="279"/>
      <c r="V234" s="280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84"/>
      <c r="P235" s="278" t="s">
        <v>82</v>
      </c>
      <c r="Q235" s="279"/>
      <c r="R235" s="279"/>
      <c r="S235" s="279"/>
      <c r="T235" s="279"/>
      <c r="U235" s="279"/>
      <c r="V235" s="280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291" t="s">
        <v>138</v>
      </c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  <c r="AA236" s="266"/>
      <c r="AB236" s="266"/>
      <c r="AC236" s="266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6"/>
      <c r="R237" s="286"/>
      <c r="S237" s="286"/>
      <c r="T237" s="287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3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84"/>
      <c r="P238" s="278" t="s">
        <v>82</v>
      </c>
      <c r="Q238" s="279"/>
      <c r="R238" s="279"/>
      <c r="S238" s="279"/>
      <c r="T238" s="279"/>
      <c r="U238" s="279"/>
      <c r="V238" s="280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84"/>
      <c r="P239" s="278" t="s">
        <v>82</v>
      </c>
      <c r="Q239" s="279"/>
      <c r="R239" s="279"/>
      <c r="S239" s="279"/>
      <c r="T239" s="279"/>
      <c r="U239" s="279"/>
      <c r="V239" s="280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99" t="s">
        <v>328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48"/>
      <c r="AB240" s="48"/>
      <c r="AC240" s="48"/>
    </row>
    <row r="241" spans="1:68" ht="16.5" hidden="1" customHeight="1" x14ac:dyDescent="0.25">
      <c r="A241" s="276" t="s">
        <v>328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5"/>
      <c r="AB241" s="265"/>
      <c r="AC241" s="265"/>
    </row>
    <row r="242" spans="1:68" ht="14.25" hidden="1" customHeight="1" x14ac:dyDescent="0.25">
      <c r="A242" s="291" t="s">
        <v>63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6"/>
      <c r="AB242" s="266"/>
      <c r="AC242" s="266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6"/>
      <c r="R243" s="286"/>
      <c r="S243" s="286"/>
      <c r="T243" s="287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9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6"/>
      <c r="R244" s="286"/>
      <c r="S244" s="286"/>
      <c r="T244" s="287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84"/>
      <c r="P245" s="278" t="s">
        <v>82</v>
      </c>
      <c r="Q245" s="279"/>
      <c r="R245" s="279"/>
      <c r="S245" s="279"/>
      <c r="T245" s="279"/>
      <c r="U245" s="279"/>
      <c r="V245" s="280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84"/>
      <c r="P246" s="278" t="s">
        <v>82</v>
      </c>
      <c r="Q246" s="279"/>
      <c r="R246" s="279"/>
      <c r="S246" s="279"/>
      <c r="T246" s="279"/>
      <c r="U246" s="279"/>
      <c r="V246" s="280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291" t="s">
        <v>92</v>
      </c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  <c r="AA247" s="266"/>
      <c r="AB247" s="266"/>
      <c r="AC247" s="266"/>
    </row>
    <row r="248" spans="1:68" ht="27" hidden="1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6"/>
      <c r="R248" s="286"/>
      <c r="S248" s="286"/>
      <c r="T248" s="287"/>
      <c r="U248" s="34"/>
      <c r="V248" s="34"/>
      <c r="W248" s="35" t="s">
        <v>69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336</v>
      </c>
      <c r="AG248" s="67"/>
      <c r="AJ248" s="71" t="s">
        <v>98</v>
      </c>
      <c r="AK248" s="71">
        <v>12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67</v>
      </c>
      <c r="M249" s="33" t="s">
        <v>68</v>
      </c>
      <c r="N249" s="33"/>
      <c r="O249" s="32">
        <v>180</v>
      </c>
      <c r="P249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86"/>
      <c r="R249" s="286"/>
      <c r="S249" s="286"/>
      <c r="T249" s="287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71</v>
      </c>
      <c r="AK249" s="71">
        <v>1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3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84"/>
      <c r="P250" s="278" t="s">
        <v>82</v>
      </c>
      <c r="Q250" s="279"/>
      <c r="R250" s="279"/>
      <c r="S250" s="279"/>
      <c r="T250" s="279"/>
      <c r="U250" s="279"/>
      <c r="V250" s="280"/>
      <c r="W250" s="37" t="s">
        <v>69</v>
      </c>
      <c r="X250" s="272">
        <f>IFERROR(SUM(X248:X249),"0")</f>
        <v>0</v>
      </c>
      <c r="Y250" s="272">
        <f>IFERROR(SUM(Y248:Y249),"0")</f>
        <v>0</v>
      </c>
      <c r="Z250" s="272">
        <f>IFERROR(IF(Z248="",0,Z248),"0")+IFERROR(IF(Z249="",0,Z249),"0")</f>
        <v>0</v>
      </c>
      <c r="AA250" s="273"/>
      <c r="AB250" s="273"/>
      <c r="AC250" s="273"/>
    </row>
    <row r="251" spans="1:68" hidden="1" x14ac:dyDescent="0.2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84"/>
      <c r="P251" s="278" t="s">
        <v>82</v>
      </c>
      <c r="Q251" s="279"/>
      <c r="R251" s="279"/>
      <c r="S251" s="279"/>
      <c r="T251" s="279"/>
      <c r="U251" s="279"/>
      <c r="V251" s="280"/>
      <c r="W251" s="37" t="s">
        <v>83</v>
      </c>
      <c r="X251" s="272">
        <f>IFERROR(SUMPRODUCT(X248:X249*H248:H249),"0")</f>
        <v>0</v>
      </c>
      <c r="Y251" s="272">
        <f>IFERROR(SUMPRODUCT(Y248:Y249*H248:H249),"0")</f>
        <v>0</v>
      </c>
      <c r="Z251" s="37"/>
      <c r="AA251" s="273"/>
      <c r="AB251" s="273"/>
      <c r="AC251" s="273"/>
    </row>
    <row r="252" spans="1:68" ht="14.25" hidden="1" customHeight="1" x14ac:dyDescent="0.25">
      <c r="A252" s="291" t="s">
        <v>132</v>
      </c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  <c r="AA252" s="266"/>
      <c r="AB252" s="266"/>
      <c r="AC252" s="266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96</v>
      </c>
      <c r="M253" s="33" t="s">
        <v>68</v>
      </c>
      <c r="N253" s="33"/>
      <c r="O253" s="32">
        <v>180</v>
      </c>
      <c r="P253" s="43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6"/>
      <c r="R253" s="286"/>
      <c r="S253" s="286"/>
      <c r="T253" s="287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98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6"/>
      <c r="R254" s="286"/>
      <c r="S254" s="286"/>
      <c r="T254" s="287"/>
      <c r="U254" s="34"/>
      <c r="V254" s="34"/>
      <c r="W254" s="35" t="s">
        <v>69</v>
      </c>
      <c r="X254" s="270">
        <v>0</v>
      </c>
      <c r="Y254" s="271">
        <f>IFERROR(IF(X254="","",X254),"")</f>
        <v>0</v>
      </c>
      <c r="Z254" s="36">
        <f>IFERROR(IF(X254="","",X254*0.0155),"")</f>
        <v>0</v>
      </c>
      <c r="AA254" s="56"/>
      <c r="AB254" s="57"/>
      <c r="AC254" s="238" t="s">
        <v>341</v>
      </c>
      <c r="AG254" s="67"/>
      <c r="AJ254" s="71" t="s">
        <v>98</v>
      </c>
      <c r="AK254" s="71">
        <v>12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96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6"/>
      <c r="R255" s="286"/>
      <c r="S255" s="286"/>
      <c r="T255" s="287"/>
      <c r="U255" s="34"/>
      <c r="V255" s="34"/>
      <c r="W255" s="35" t="s">
        <v>69</v>
      </c>
      <c r="X255" s="270">
        <v>0</v>
      </c>
      <c r="Y255" s="271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341</v>
      </c>
      <c r="AG255" s="67"/>
      <c r="AJ255" s="71" t="s">
        <v>98</v>
      </c>
      <c r="AK255" s="71">
        <v>14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idden="1" x14ac:dyDescent="0.2">
      <c r="A256" s="283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84"/>
      <c r="P256" s="278" t="s">
        <v>82</v>
      </c>
      <c r="Q256" s="279"/>
      <c r="R256" s="279"/>
      <c r="S256" s="279"/>
      <c r="T256" s="279"/>
      <c r="U256" s="279"/>
      <c r="V256" s="280"/>
      <c r="W256" s="37" t="s">
        <v>69</v>
      </c>
      <c r="X256" s="272">
        <f>IFERROR(SUM(X253:X255),"0")</f>
        <v>0</v>
      </c>
      <c r="Y256" s="272">
        <f>IFERROR(SUM(Y253:Y255),"0")</f>
        <v>0</v>
      </c>
      <c r="Z256" s="272">
        <f>IFERROR(IF(Z253="",0,Z253),"0")+IFERROR(IF(Z254="",0,Z254),"0")+IFERROR(IF(Z255="",0,Z255),"0")</f>
        <v>0</v>
      </c>
      <c r="AA256" s="273"/>
      <c r="AB256" s="273"/>
      <c r="AC256" s="273"/>
    </row>
    <row r="257" spans="1:68" hidden="1" x14ac:dyDescent="0.2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84"/>
      <c r="P257" s="278" t="s">
        <v>82</v>
      </c>
      <c r="Q257" s="279"/>
      <c r="R257" s="279"/>
      <c r="S257" s="279"/>
      <c r="T257" s="279"/>
      <c r="U257" s="279"/>
      <c r="V257" s="280"/>
      <c r="W257" s="37" t="s">
        <v>83</v>
      </c>
      <c r="X257" s="272">
        <f>IFERROR(SUMPRODUCT(X253:X255*H253:H255),"0")</f>
        <v>0</v>
      </c>
      <c r="Y257" s="272">
        <f>IFERROR(SUMPRODUCT(Y253:Y255*H253:H255),"0")</f>
        <v>0</v>
      </c>
      <c r="Z257" s="37"/>
      <c r="AA257" s="273"/>
      <c r="AB257" s="273"/>
      <c r="AC257" s="273"/>
    </row>
    <row r="258" spans="1:68" ht="14.25" hidden="1" customHeight="1" x14ac:dyDescent="0.25">
      <c r="A258" s="291" t="s">
        <v>138</v>
      </c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66"/>
      <c r="AB258" s="266"/>
      <c r="AC258" s="266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6"/>
      <c r="R259" s="286"/>
      <c r="S259" s="286"/>
      <c r="T259" s="287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96</v>
      </c>
      <c r="M260" s="33" t="s">
        <v>68</v>
      </c>
      <c r="N260" s="33"/>
      <c r="O260" s="32">
        <v>180</v>
      </c>
      <c r="P260" s="42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86"/>
      <c r="R260" s="286"/>
      <c r="S260" s="286"/>
      <c r="T260" s="287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98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96</v>
      </c>
      <c r="M261" s="33" t="s">
        <v>68</v>
      </c>
      <c r="N261" s="33"/>
      <c r="O261" s="32">
        <v>180</v>
      </c>
      <c r="P261" s="40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6"/>
      <c r="R261" s="286"/>
      <c r="S261" s="286"/>
      <c r="T261" s="287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96</v>
      </c>
      <c r="M262" s="33" t="s">
        <v>68</v>
      </c>
      <c r="N262" s="33"/>
      <c r="O262" s="32">
        <v>180</v>
      </c>
      <c r="P262" s="43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6"/>
      <c r="R262" s="286"/>
      <c r="S262" s="286"/>
      <c r="T262" s="287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98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9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6"/>
      <c r="R264" s="286"/>
      <c r="S264" s="286"/>
      <c r="T264" s="287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102</v>
      </c>
      <c r="M265" s="33" t="s">
        <v>68</v>
      </c>
      <c r="N265" s="33"/>
      <c r="O265" s="32">
        <v>180</v>
      </c>
      <c r="P265" s="32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6"/>
      <c r="R265" s="286"/>
      <c r="S265" s="286"/>
      <c r="T265" s="287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103</v>
      </c>
      <c r="AK265" s="71">
        <v>126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6"/>
      <c r="R266" s="286"/>
      <c r="S266" s="286"/>
      <c r="T266" s="287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6"/>
      <c r="R267" s="286"/>
      <c r="S267" s="286"/>
      <c r="T267" s="287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40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6"/>
      <c r="R268" s="286"/>
      <c r="S268" s="286"/>
      <c r="T268" s="287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idden="1" x14ac:dyDescent="0.2">
      <c r="A269" s="283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84"/>
      <c r="P269" s="278" t="s">
        <v>82</v>
      </c>
      <c r="Q269" s="279"/>
      <c r="R269" s="279"/>
      <c r="S269" s="279"/>
      <c r="T269" s="279"/>
      <c r="U269" s="279"/>
      <c r="V269" s="280"/>
      <c r="W269" s="37" t="s">
        <v>69</v>
      </c>
      <c r="X269" s="272">
        <f>IFERROR(SUM(X259:X268),"0")</f>
        <v>0</v>
      </c>
      <c r="Y269" s="272">
        <f>IFERROR(SUM(Y259:Y268),"0")</f>
        <v>0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273"/>
      <c r="AB269" s="273"/>
      <c r="AC269" s="273"/>
    </row>
    <row r="270" spans="1:68" hidden="1" x14ac:dyDescent="0.2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84"/>
      <c r="P270" s="278" t="s">
        <v>82</v>
      </c>
      <c r="Q270" s="279"/>
      <c r="R270" s="279"/>
      <c r="S270" s="279"/>
      <c r="T270" s="279"/>
      <c r="U270" s="279"/>
      <c r="V270" s="280"/>
      <c r="W270" s="37" t="s">
        <v>83</v>
      </c>
      <c r="X270" s="272">
        <f>IFERROR(SUMPRODUCT(X259:X268*H259:H268),"0")</f>
        <v>0</v>
      </c>
      <c r="Y270" s="272">
        <f>IFERROR(SUMPRODUCT(Y259:Y268*H259:H268),"0")</f>
        <v>0</v>
      </c>
      <c r="Z270" s="37"/>
      <c r="AA270" s="273"/>
      <c r="AB270" s="273"/>
      <c r="AC270" s="273"/>
    </row>
    <row r="271" spans="1:68" ht="15" customHeight="1" x14ac:dyDescent="0.2">
      <c r="A271" s="294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5"/>
      <c r="P271" s="351" t="s">
        <v>368</v>
      </c>
      <c r="Q271" s="345"/>
      <c r="R271" s="345"/>
      <c r="S271" s="345"/>
      <c r="T271" s="345"/>
      <c r="U271" s="345"/>
      <c r="V271" s="34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12250.32</v>
      </c>
      <c r="Y271" s="272">
        <f>IFERROR(Y29+Y35+Y42+Y49+Y57+Y62+Y66+Y71+Y77+Y83+Y88+Y94+Y104+Y110+Y123+Y127+Y131+Y137+Y143+Y149+Y154+Y159+Y164+Y169+Y176+Y184+Y188+Y194+Y202+Y207+Y212+Y217+Y223+Y229+Y235+Y239+Y246+Y251+Y257+Y270,"0")</f>
        <v>12250.32</v>
      </c>
      <c r="Z271" s="37"/>
      <c r="AA271" s="273"/>
      <c r="AB271" s="273"/>
      <c r="AC271" s="273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5"/>
      <c r="P272" s="351" t="s">
        <v>369</v>
      </c>
      <c r="Q272" s="345"/>
      <c r="R272" s="345"/>
      <c r="S272" s="345"/>
      <c r="T272" s="345"/>
      <c r="U272" s="345"/>
      <c r="V272" s="346"/>
      <c r="W272" s="37" t="s">
        <v>83</v>
      </c>
      <c r="X272" s="272">
        <f>IFERROR(SUM(BM22:BM268),"0")</f>
        <v>13527.100000000002</v>
      </c>
      <c r="Y272" s="272">
        <f>IFERROR(SUM(BN22:BN268),"0")</f>
        <v>13527.100000000002</v>
      </c>
      <c r="Z272" s="37"/>
      <c r="AA272" s="273"/>
      <c r="AB272" s="273"/>
      <c r="AC272" s="273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5"/>
      <c r="P273" s="351" t="s">
        <v>370</v>
      </c>
      <c r="Q273" s="345"/>
      <c r="R273" s="345"/>
      <c r="S273" s="345"/>
      <c r="T273" s="345"/>
      <c r="U273" s="345"/>
      <c r="V273" s="346"/>
      <c r="W273" s="37" t="s">
        <v>371</v>
      </c>
      <c r="X273" s="38">
        <f>ROUNDUP(SUM(BO22:BO268),0)</f>
        <v>36</v>
      </c>
      <c r="Y273" s="38">
        <f>ROUNDUP(SUM(BP22:BP268),0)</f>
        <v>36</v>
      </c>
      <c r="Z273" s="37"/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5"/>
      <c r="P274" s="351" t="s">
        <v>372</v>
      </c>
      <c r="Q274" s="345"/>
      <c r="R274" s="345"/>
      <c r="S274" s="345"/>
      <c r="T274" s="345"/>
      <c r="U274" s="345"/>
      <c r="V274" s="346"/>
      <c r="W274" s="37" t="s">
        <v>83</v>
      </c>
      <c r="X274" s="272">
        <f>GrossWeightTotal+PalletQtyTotal*25</f>
        <v>14427.100000000002</v>
      </c>
      <c r="Y274" s="272">
        <f>GrossWeightTotalR+PalletQtyTotalR*25</f>
        <v>14427.100000000002</v>
      </c>
      <c r="Z274" s="37"/>
      <c r="AA274" s="273"/>
      <c r="AB274" s="273"/>
      <c r="AC274" s="273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5"/>
      <c r="P275" s="351" t="s">
        <v>373</v>
      </c>
      <c r="Q275" s="345"/>
      <c r="R275" s="345"/>
      <c r="S275" s="345"/>
      <c r="T275" s="345"/>
      <c r="U275" s="345"/>
      <c r="V275" s="34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2876</v>
      </c>
      <c r="Y275" s="272">
        <f>IFERROR(Y28+Y34+Y41+Y48+Y56+Y61+Y65+Y70+Y76+Y82+Y87+Y93+Y103+Y109+Y122+Y126+Y130+Y136+Y142+Y148+Y153+Y158+Y163+Y168+Y175+Y183+Y187+Y193+Y201+Y206+Y211+Y216+Y222+Y228+Y234+Y238+Y245+Y250+Y256+Y269,"0")</f>
        <v>2876</v>
      </c>
      <c r="Z275" s="37"/>
      <c r="AA275" s="273"/>
      <c r="AB275" s="273"/>
      <c r="AC275" s="273"/>
    </row>
    <row r="276" spans="1:32" ht="14.25" hidden="1" customHeight="1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95"/>
      <c r="P276" s="351" t="s">
        <v>374</v>
      </c>
      <c r="Q276" s="345"/>
      <c r="R276" s="345"/>
      <c r="S276" s="345"/>
      <c r="T276" s="345"/>
      <c r="U276" s="345"/>
      <c r="V276" s="34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45.778919999999992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74" t="s">
        <v>62</v>
      </c>
      <c r="C278" s="371"/>
      <c r="D278" s="274" t="s">
        <v>90</v>
      </c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1"/>
      <c r="V278" s="267" t="s">
        <v>252</v>
      </c>
      <c r="W278" s="267" t="s">
        <v>260</v>
      </c>
      <c r="X278" s="274" t="s">
        <v>279</v>
      </c>
      <c r="Y278" s="370"/>
      <c r="Z278" s="371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25" t="s">
        <v>377</v>
      </c>
      <c r="B279" s="274" t="s">
        <v>62</v>
      </c>
      <c r="C279" s="274" t="s">
        <v>84</v>
      </c>
      <c r="D279" s="274" t="s">
        <v>91</v>
      </c>
      <c r="E279" s="274" t="s">
        <v>104</v>
      </c>
      <c r="F279" s="274" t="s">
        <v>114</v>
      </c>
      <c r="G279" s="274" t="s">
        <v>125</v>
      </c>
      <c r="H279" s="274" t="s">
        <v>146</v>
      </c>
      <c r="I279" s="274" t="s">
        <v>153</v>
      </c>
      <c r="J279" s="274" t="s">
        <v>157</v>
      </c>
      <c r="K279" s="274" t="s">
        <v>165</v>
      </c>
      <c r="L279" s="274" t="s">
        <v>180</v>
      </c>
      <c r="M279" s="274" t="s">
        <v>186</v>
      </c>
      <c r="N279" s="268"/>
      <c r="O279" s="274" t="s">
        <v>218</v>
      </c>
      <c r="P279" s="274" t="s">
        <v>224</v>
      </c>
      <c r="Q279" s="274" t="s">
        <v>231</v>
      </c>
      <c r="R279" s="274" t="s">
        <v>236</v>
      </c>
      <c r="S279" s="274" t="s">
        <v>240</v>
      </c>
      <c r="T279" s="274" t="s">
        <v>243</v>
      </c>
      <c r="U279" s="274" t="s">
        <v>248</v>
      </c>
      <c r="V279" s="274" t="s">
        <v>253</v>
      </c>
      <c r="W279" s="274" t="s">
        <v>261</v>
      </c>
      <c r="X279" s="274" t="s">
        <v>280</v>
      </c>
      <c r="Y279" s="274" t="s">
        <v>298</v>
      </c>
      <c r="Z279" s="274" t="s">
        <v>302</v>
      </c>
      <c r="AA279" s="274" t="s">
        <v>312</v>
      </c>
      <c r="AB279" s="274" t="s">
        <v>317</v>
      </c>
      <c r="AC279" s="274" t="s">
        <v>321</v>
      </c>
      <c r="AD279" s="274" t="s">
        <v>328</v>
      </c>
      <c r="AF279" s="268"/>
    </row>
    <row r="280" spans="1:32" ht="13.5" customHeight="1" thickBot="1" x14ac:dyDescent="0.25">
      <c r="A280" s="426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68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  <c r="AD280" s="275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0</v>
      </c>
      <c r="C281" s="46">
        <f>IFERROR(X32*H32,"0")+IFERROR(X33*H33,"0")</f>
        <v>1180.8</v>
      </c>
      <c r="D281" s="46">
        <f>IFERROR(X39*H39,"0")+IFERROR(X40*H40,"0")</f>
        <v>378</v>
      </c>
      <c r="E281" s="46">
        <f>IFERROR(X45*H45,"0")+IFERROR(X46*H46,"0")+IFERROR(X47*H47,"0")</f>
        <v>1814.3999999999999</v>
      </c>
      <c r="F281" s="46">
        <f>IFERROR(X52*H52,"0")+IFERROR(X53*H53,"0")+IFERROR(X54*H54,"0")+IFERROR(X55*H55,"0")</f>
        <v>840</v>
      </c>
      <c r="G281" s="46">
        <f>IFERROR(X60*H60,"0")+IFERROR(X64*H64,"0")+IFERROR(X68*H68,"0")+IFERROR(X69*H69,"0")+IFERROR(X73*H73,"0")+IFERROR(X74*H74,"0")+IFERROR(X75*H75,"0")</f>
        <v>0</v>
      </c>
      <c r="H281" s="46">
        <f>IFERROR(X80*H80,"0")+IFERROR(X81*H81,"0")</f>
        <v>0</v>
      </c>
      <c r="I281" s="46">
        <f>IFERROR(X86*H86,"0")</f>
        <v>201.6</v>
      </c>
      <c r="J281" s="46">
        <f>IFERROR(X91*H91,"0")+IFERROR(X92*H92,"0")</f>
        <v>655.20000000000005</v>
      </c>
      <c r="K281" s="46">
        <f>IFERROR(X97*H97,"0")+IFERROR(X98*H98,"0")+IFERROR(X99*H99,"0")+IFERROR(X100*H100,"0")+IFERROR(X101*H101,"0")+IFERROR(X102*H102,"0")</f>
        <v>997.92000000000007</v>
      </c>
      <c r="L281" s="46">
        <f>IFERROR(X107*H107,"0")+IFERROR(X108*H108,"0")</f>
        <v>151.20000000000002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2769.6</v>
      </c>
      <c r="N281" s="268"/>
      <c r="O281" s="46">
        <f>IFERROR(X134*H134,"0")+IFERROR(X135*H135,"0")</f>
        <v>840</v>
      </c>
      <c r="P281" s="46">
        <f>IFERROR(X140*H140,"0")+IFERROR(X141*H141,"0")</f>
        <v>378</v>
      </c>
      <c r="Q281" s="46">
        <f>IFERROR(X146*H146,"0")+IFERROR(X147*H147,"0")</f>
        <v>201.6</v>
      </c>
      <c r="R281" s="46">
        <f>IFERROR(X152*H152,"0")</f>
        <v>252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0</v>
      </c>
      <c r="W281" s="46">
        <f>IFERROR(X180*H180,"0")+IFERROR(X181*H181,"0")+IFERROR(X182*H182,"0")+IFERROR(X186*H186,"0")</f>
        <v>630</v>
      </c>
      <c r="X281" s="46">
        <f>IFERROR(X192*H192,"0")+IFERROR(X196*H196,"0")+IFERROR(X197*H197,"0")+IFERROR(X198*H198,"0")+IFERROR(X199*H199,"0")+IFERROR(X200*H200,"0")</f>
        <v>0</v>
      </c>
      <c r="Y281" s="46">
        <f>IFERROR(X205*H205,"0")</f>
        <v>960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7564.8</v>
      </c>
      <c r="B284" s="60">
        <f>SUMPRODUCT(--(BB:BB="ПГП"),--(W:W="кор"),H:H,Y:Y)+SUMPRODUCT(--(BB:BB="ПГП"),--(W:W="кг"),Y:Y)</f>
        <v>4685.5200000000004</v>
      </c>
      <c r="C284" s="60">
        <f>SUMPRODUCT(--(BB:BB="КИЗ"),--(W:W="кор"),H:H,Y:Y)+SUMPRODUCT(--(BB:BB="КИЗ"),--(W:W="кг"),Y:Y)</f>
        <v>0</v>
      </c>
    </row>
  </sheetData>
  <sheetProtection algorithmName="SHA-512" hashValue="ef4ba85X5x0e7+n+H2CzfpZgA3oY8jogWeQnFM2C8n6CIMLpbopq72BXiyH2z/wKdnqwPab9ARSQDzC2yogluw==" saltValue="tsxc/hXdNqkRR9OXBp9rr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0,80"/>
        <filter val="1 814,40"/>
        <filter val="112,00"/>
        <filter val="12 250,32"/>
        <filter val="120,00"/>
        <filter val="126,00"/>
        <filter val="13 527,10"/>
        <filter val="14 427,10"/>
        <filter val="140,00"/>
        <filter val="144,00"/>
        <filter val="151,20"/>
        <filter val="154,00"/>
        <filter val="156,00"/>
        <filter val="168,00"/>
        <filter val="180,00"/>
        <filter val="182,00"/>
        <filter val="192,00"/>
        <filter val="2 769,60"/>
        <filter val="2 876,00"/>
        <filter val="201,60"/>
        <filter val="210,00"/>
        <filter val="252,00"/>
        <filter val="280,00"/>
        <filter val="308,00"/>
        <filter val="324,00"/>
        <filter val="36"/>
        <filter val="378,00"/>
        <filter val="408,00"/>
        <filter val="56,00"/>
        <filter val="60,00"/>
        <filter val="630,00"/>
        <filter val="655,20"/>
        <filter val="70,00"/>
        <filter val="72,00"/>
        <filter val="84,00"/>
        <filter val="840,00"/>
        <filter val="960,00"/>
        <filter val="98,00"/>
        <filter val="997,92"/>
      </filters>
    </filterColumn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P187:V187"/>
    <mergeCell ref="P223:V223"/>
    <mergeCell ref="P102:T102"/>
    <mergeCell ref="A247:Z247"/>
    <mergeCell ref="A185:Z185"/>
    <mergeCell ref="P196:T19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Y279:Y280"/>
    <mergeCell ref="D140:E140"/>
    <mergeCell ref="D267:E267"/>
    <mergeCell ref="F279:F280"/>
    <mergeCell ref="E279:E280"/>
    <mergeCell ref="Q279:Q280"/>
    <mergeCell ref="S279:S280"/>
    <mergeCell ref="D68:E68"/>
    <mergeCell ref="P126:V126"/>
    <mergeCell ref="P260:T260"/>
    <mergeCell ref="A206:O207"/>
    <mergeCell ref="P71:V71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P271:V271"/>
    <mergeCell ref="P98:T98"/>
    <mergeCell ref="D146:E146"/>
    <mergeCell ref="P162:T162"/>
    <mergeCell ref="P149:V149"/>
    <mergeCell ref="A145:Z145"/>
    <mergeCell ref="A139:Z139"/>
    <mergeCell ref="D74:E74"/>
    <mergeCell ref="A203:Z203"/>
    <mergeCell ref="D254:E254"/>
    <mergeCell ref="A153:O154"/>
    <mergeCell ref="A133:Z133"/>
    <mergeCell ref="D125:E125"/>
    <mergeCell ref="D279:D280"/>
    <mergeCell ref="P141:T141"/>
    <mergeCell ref="P233:T233"/>
    <mergeCell ref="A232:Z232"/>
    <mergeCell ref="P136:V136"/>
    <mergeCell ref="L279:L280"/>
    <mergeCell ref="P197:T197"/>
    <mergeCell ref="P238:V238"/>
    <mergeCell ref="P264:T264"/>
    <mergeCell ref="Z279:Z280"/>
    <mergeCell ref="P228:V228"/>
    <mergeCell ref="D261:E261"/>
    <mergeCell ref="P183:V183"/>
    <mergeCell ref="P268:T268"/>
    <mergeCell ref="B279:B280"/>
    <mergeCell ref="P274:V27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A138:Z138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D114:E114"/>
    <mergeCell ref="P202:V202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A67:Z67"/>
    <mergeCell ref="A5:C5"/>
    <mergeCell ref="A17:A18"/>
    <mergeCell ref="K17:K18"/>
    <mergeCell ref="A189:Z189"/>
    <mergeCell ref="C17:C18"/>
    <mergeCell ref="D180:E180"/>
    <mergeCell ref="D9:E9"/>
    <mergeCell ref="A183:O184"/>
    <mergeCell ref="D118:E118"/>
    <mergeCell ref="P53:T53"/>
    <mergeCell ref="D167:E167"/>
    <mergeCell ref="F9:G9"/>
    <mergeCell ref="P68:T68"/>
    <mergeCell ref="D27:E27"/>
    <mergeCell ref="P15:T16"/>
    <mergeCell ref="P23:T23"/>
    <mergeCell ref="P117:T117"/>
    <mergeCell ref="P55:T55"/>
    <mergeCell ref="D115:E115"/>
    <mergeCell ref="P182:T182"/>
    <mergeCell ref="Q12:R12"/>
    <mergeCell ref="A130:O131"/>
    <mergeCell ref="D80:E80"/>
    <mergeCell ref="P28:V28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P97:T97"/>
    <mergeCell ref="P130:V130"/>
    <mergeCell ref="P222:V222"/>
    <mergeCell ref="P193:V193"/>
    <mergeCell ref="P62:V62"/>
    <mergeCell ref="P127:V127"/>
    <mergeCell ref="P115:T115"/>
    <mergeCell ref="P119:T119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D214:E214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A12:M12"/>
    <mergeCell ref="A240:Z24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A144:Z144"/>
    <mergeCell ref="D129:E129"/>
    <mergeCell ref="D147:E147"/>
    <mergeCell ref="A187:O188"/>
    <mergeCell ref="P116:T116"/>
    <mergeCell ref="A105:Z105"/>
    <mergeCell ref="P32:T32"/>
    <mergeCell ref="D26:E26"/>
    <mergeCell ref="P246:V246"/>
    <mergeCell ref="P120:T120"/>
    <mergeCell ref="P74:T74"/>
    <mergeCell ref="A190:Z190"/>
    <mergeCell ref="A19:Z19"/>
    <mergeCell ref="D182:E182"/>
    <mergeCell ref="A14:M1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58:Z58"/>
    <mergeCell ref="B17:B18"/>
    <mergeCell ref="V10:W10"/>
    <mergeCell ref="D60:E60"/>
    <mergeCell ref="H9:I9"/>
    <mergeCell ref="D45:E45"/>
    <mergeCell ref="A36:Z36"/>
    <mergeCell ref="D53:E53"/>
    <mergeCell ref="D47:E47"/>
    <mergeCell ref="A50:Z50"/>
    <mergeCell ref="W17:W18"/>
    <mergeCell ref="A150:Z150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234:O235"/>
    <mergeCell ref="P168:V168"/>
    <mergeCell ref="P143:V143"/>
    <mergeCell ref="P235:V235"/>
    <mergeCell ref="P207:V207"/>
    <mergeCell ref="P81:T81"/>
    <mergeCell ref="A124:Z124"/>
    <mergeCell ref="P99:T99"/>
    <mergeCell ref="A256:O257"/>
    <mergeCell ref="P88:V88"/>
    <mergeCell ref="D174:E174"/>
    <mergeCell ref="P87:V87"/>
    <mergeCell ref="P245:V245"/>
    <mergeCell ref="P211:V211"/>
    <mergeCell ref="P154:V154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P244:T244"/>
    <mergeCell ref="P73:T7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6 X60 X64 X68:X69 X73:X75 X97 X99 X113 X117 X120:X121 X125 X129 X140 X167 X173 X186 X196:X200 X210 X214:X215 X221 X233 X237 X243:X244 X249 X259 X266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2:X55 X80 X86 X91 X98 X101:X102 X107:X108 X114:X115 X118:X119 X134:X135 X146:X147 X152 X157 X162 X174 X181:X182 X192 X227 X248 X253:X255 X260:X264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45 X47 X81 X92 X100 X116 X141 X180 X205 X265" xr:uid="{00000000-0002-0000-0000-000013000000}">
      <formula1>IF(AK40&gt;0,OR(X40=0,AND(IF(X40-AK40&gt;=0,TRUE,FALSE),X40&gt;0,IF(X40/J40=ROUND(X40/J40,0),TRUE,FALSE))),FALSE)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F/5RQx3Uv0Chzd9FPyIoti+oFmFE5i2AK98YuqHg+BdMal0ZY4x/63XvLL9wtKSiuSiRYF+qkpJmIsAvZZXHyQ==" saltValue="fCr7UasssoE2Bhfje3Kz9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