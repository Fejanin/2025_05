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38D4EB0-A425-4475-93D6-FE7CCAD8E4D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заказа'!$B$215:$B$215</definedName>
    <definedName name="ProductId74">'Бланк заказа'!$B$219:$B$219</definedName>
    <definedName name="ProductId75">'Бланк заказа'!$B$220:$B$220</definedName>
    <definedName name="ProductId76">'Бланк заказа'!$B$226:$B$226</definedName>
    <definedName name="ProductId77">'Бланк заказа'!$B$232:$B$232</definedName>
    <definedName name="ProductId78">'Бланк заказа'!$B$238:$B$238</definedName>
    <definedName name="ProductId79">'Бланк заказа'!$B$242:$B$242</definedName>
    <definedName name="ProductId8">'Бланк заказа'!$B$33:$B$33</definedName>
    <definedName name="ProductId80">'Бланк заказа'!$B$248:$B$248</definedName>
    <definedName name="ProductId81">'Бланк заказа'!$B$249:$B$249</definedName>
    <definedName name="ProductId82">'Бланк заказа'!$B$253:$B$253</definedName>
    <definedName name="ProductId83">'Бланк заказа'!$B$254:$B$254</definedName>
    <definedName name="ProductId84">'Бланк заказа'!$B$258:$B$258</definedName>
    <definedName name="ProductId85">'Бланк заказа'!$B$259:$B$259</definedName>
    <definedName name="ProductId86">'Бланк заказа'!$B$260:$B$260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заказа'!$B$39:$B$39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ductId96">'Бланк заказа'!$B$273:$B$273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заказа'!$X$215:$X$215</definedName>
    <definedName name="SalesQty74">'Бланк заказа'!$X$219:$X$219</definedName>
    <definedName name="SalesQty75">'Бланк заказа'!$X$220:$X$220</definedName>
    <definedName name="SalesQty76">'Бланк заказа'!$X$226:$X$226</definedName>
    <definedName name="SalesQty77">'Бланк заказа'!$X$232:$X$232</definedName>
    <definedName name="SalesQty78">'Бланк заказа'!$X$238:$X$238</definedName>
    <definedName name="SalesQty79">'Бланк заказа'!$X$242:$X$242</definedName>
    <definedName name="SalesQty8">'Бланк заказа'!$X$33:$X$33</definedName>
    <definedName name="SalesQty80">'Бланк заказа'!$X$248:$X$248</definedName>
    <definedName name="SalesQty81">'Бланк заказа'!$X$249:$X$249</definedName>
    <definedName name="SalesQty82">'Бланк заказа'!$X$253:$X$253</definedName>
    <definedName name="SalesQty83">'Бланк заказа'!$X$254:$X$254</definedName>
    <definedName name="SalesQty84">'Бланк заказа'!$X$258:$X$258</definedName>
    <definedName name="SalesQty85">'Бланк заказа'!$X$259:$X$259</definedName>
    <definedName name="SalesQty86">'Бланк заказа'!$X$260:$X$260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заказа'!$X$39:$X$39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Qty96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заказа'!$Y$215:$Y$215</definedName>
    <definedName name="SalesRoundBox74">'Бланк заказа'!$Y$219:$Y$219</definedName>
    <definedName name="SalesRoundBox75">'Бланк заказа'!$Y$220:$Y$220</definedName>
    <definedName name="SalesRoundBox76">'Бланк заказа'!$Y$226:$Y$226</definedName>
    <definedName name="SalesRoundBox77">'Бланк заказа'!$Y$232:$Y$232</definedName>
    <definedName name="SalesRoundBox78">'Бланк заказа'!$Y$238:$Y$238</definedName>
    <definedName name="SalesRoundBox79">'Бланк заказа'!$Y$242:$Y$242</definedName>
    <definedName name="SalesRoundBox8">'Бланк заказа'!$Y$33:$Y$33</definedName>
    <definedName name="SalesRoundBox80">'Бланк заказа'!$Y$248:$Y$248</definedName>
    <definedName name="SalesRoundBox81">'Бланк заказа'!$Y$249:$Y$249</definedName>
    <definedName name="SalesRoundBox82">'Бланк заказа'!$Y$253:$Y$253</definedName>
    <definedName name="SalesRoundBox83">'Бланк заказа'!$Y$254:$Y$254</definedName>
    <definedName name="SalesRoundBox84">'Бланк заказа'!$Y$258:$Y$258</definedName>
    <definedName name="SalesRoundBox85">'Бланк заказа'!$Y$259:$Y$259</definedName>
    <definedName name="SalesRoundBox86">'Бланк заказа'!$Y$260:$Y$260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заказа'!$Y$39:$Y$39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SalesRoundBox96">'Бланк заказа'!$Y$273:$Y$273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заказа'!$W$215:$W$215</definedName>
    <definedName name="UnitOfMeasure74">'Бланк заказа'!$W$219:$W$219</definedName>
    <definedName name="UnitOfMeasure75">'Бланк заказа'!$W$220:$W$220</definedName>
    <definedName name="UnitOfMeasure76">'Бланк заказа'!$W$226:$W$226</definedName>
    <definedName name="UnitOfMeasure77">'Бланк заказа'!$W$232:$W$232</definedName>
    <definedName name="UnitOfMeasure78">'Бланк заказа'!$W$238:$W$238</definedName>
    <definedName name="UnitOfMeasure79">'Бланк заказа'!$W$242:$W$242</definedName>
    <definedName name="UnitOfMeasure8">'Бланк заказа'!$W$33:$W$33</definedName>
    <definedName name="UnitOfMeasure80">'Бланк заказа'!$W$248:$W$248</definedName>
    <definedName name="UnitOfMeasure81">'Бланк заказа'!$W$249:$W$249</definedName>
    <definedName name="UnitOfMeasure82">'Бланк заказа'!$W$253:$W$253</definedName>
    <definedName name="UnitOfMeasure83">'Бланк заказа'!$W$254:$W$254</definedName>
    <definedName name="UnitOfMeasure84">'Бланк заказа'!$W$258:$W$258</definedName>
    <definedName name="UnitOfMeasure85">'Бланк заказа'!$W$259:$W$259</definedName>
    <definedName name="UnitOfMeasure86">'Бланк заказа'!$W$260:$W$260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заказа'!$W$39:$W$39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itOfMeasure96">'Бланк заказа'!$W$273:$W$273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6" i="1" l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X275" i="1"/>
  <c r="X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X262" i="1"/>
  <c r="X261" i="1"/>
  <c r="BO260" i="1"/>
  <c r="BM260" i="1"/>
  <c r="Z260" i="1"/>
  <c r="Y260" i="1"/>
  <c r="P260" i="1"/>
  <c r="BO259" i="1"/>
  <c r="BM259" i="1"/>
  <c r="Z259" i="1"/>
  <c r="Y259" i="1"/>
  <c r="P259" i="1"/>
  <c r="BO258" i="1"/>
  <c r="BM258" i="1"/>
  <c r="Z258" i="1"/>
  <c r="Y258" i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51" i="1"/>
  <c r="X250" i="1"/>
  <c r="BO249" i="1"/>
  <c r="BM249" i="1"/>
  <c r="Z249" i="1"/>
  <c r="Y249" i="1"/>
  <c r="P249" i="1"/>
  <c r="BO248" i="1"/>
  <c r="BM248" i="1"/>
  <c r="Z248" i="1"/>
  <c r="Z250" i="1" s="1"/>
  <c r="Y248" i="1"/>
  <c r="P248" i="1"/>
  <c r="X244" i="1"/>
  <c r="X243" i="1"/>
  <c r="BO242" i="1"/>
  <c r="BM242" i="1"/>
  <c r="Z242" i="1"/>
  <c r="Z243" i="1" s="1"/>
  <c r="Y242" i="1"/>
  <c r="P242" i="1"/>
  <c r="X240" i="1"/>
  <c r="X239" i="1"/>
  <c r="BO238" i="1"/>
  <c r="BM238" i="1"/>
  <c r="Z238" i="1"/>
  <c r="Z239" i="1" s="1"/>
  <c r="Y238" i="1"/>
  <c r="Y240" i="1" s="1"/>
  <c r="P238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Y220" i="1"/>
  <c r="P220" i="1"/>
  <c r="BO219" i="1"/>
  <c r="BM219" i="1"/>
  <c r="Z219" i="1"/>
  <c r="Y219" i="1"/>
  <c r="BP219" i="1" s="1"/>
  <c r="P219" i="1"/>
  <c r="X217" i="1"/>
  <c r="X216" i="1"/>
  <c r="BO215" i="1"/>
  <c r="BM215" i="1"/>
  <c r="Z215" i="1"/>
  <c r="Z216" i="1" s="1"/>
  <c r="Y215" i="1"/>
  <c r="Y217" i="1" s="1"/>
  <c r="P215" i="1"/>
  <c r="X212" i="1"/>
  <c r="X211" i="1"/>
  <c r="BO210" i="1"/>
  <c r="BM210" i="1"/>
  <c r="Z210" i="1"/>
  <c r="Z211" i="1" s="1"/>
  <c r="Y210" i="1"/>
  <c r="Y212" i="1" s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P200" i="1"/>
  <c r="BO199" i="1"/>
  <c r="BM199" i="1"/>
  <c r="Z199" i="1"/>
  <c r="Y199" i="1"/>
  <c r="P199" i="1"/>
  <c r="BO198" i="1"/>
  <c r="BM198" i="1"/>
  <c r="Z198" i="1"/>
  <c r="Y198" i="1"/>
  <c r="P198" i="1"/>
  <c r="BO197" i="1"/>
  <c r="BM197" i="1"/>
  <c r="Z197" i="1"/>
  <c r="Y197" i="1"/>
  <c r="P197" i="1"/>
  <c r="BO196" i="1"/>
  <c r="BM196" i="1"/>
  <c r="Z196" i="1"/>
  <c r="Y196" i="1"/>
  <c r="P196" i="1"/>
  <c r="X194" i="1"/>
  <c r="X193" i="1"/>
  <c r="BO192" i="1"/>
  <c r="BM192" i="1"/>
  <c r="Z192" i="1"/>
  <c r="Z193" i="1" s="1"/>
  <c r="Y192" i="1"/>
  <c r="P192" i="1"/>
  <c r="X188" i="1"/>
  <c r="X187" i="1"/>
  <c r="BO186" i="1"/>
  <c r="BM186" i="1"/>
  <c r="Z186" i="1"/>
  <c r="Z187" i="1" s="1"/>
  <c r="Y186" i="1"/>
  <c r="X184" i="1"/>
  <c r="X183" i="1"/>
  <c r="BO182" i="1"/>
  <c r="BM182" i="1"/>
  <c r="Z182" i="1"/>
  <c r="Y182" i="1"/>
  <c r="P182" i="1"/>
  <c r="BO181" i="1"/>
  <c r="BM181" i="1"/>
  <c r="Z181" i="1"/>
  <c r="Y181" i="1"/>
  <c r="BP181" i="1" s="1"/>
  <c r="P181" i="1"/>
  <c r="BO180" i="1"/>
  <c r="BM180" i="1"/>
  <c r="Z180" i="1"/>
  <c r="Y180" i="1"/>
  <c r="P180" i="1"/>
  <c r="X176" i="1"/>
  <c r="X175" i="1"/>
  <c r="BO174" i="1"/>
  <c r="BM174" i="1"/>
  <c r="Z174" i="1"/>
  <c r="Y174" i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P146" i="1"/>
  <c r="X143" i="1"/>
  <c r="X142" i="1"/>
  <c r="BO141" i="1"/>
  <c r="BM141" i="1"/>
  <c r="Z141" i="1"/>
  <c r="Y141" i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Z130" i="1" s="1"/>
  <c r="Y129" i="1"/>
  <c r="Y130" i="1" s="1"/>
  <c r="P129" i="1"/>
  <c r="X127" i="1"/>
  <c r="X126" i="1"/>
  <c r="BO125" i="1"/>
  <c r="BM125" i="1"/>
  <c r="Z125" i="1"/>
  <c r="Y125" i="1"/>
  <c r="BP125" i="1" s="1"/>
  <c r="P125" i="1"/>
  <c r="BO124" i="1"/>
  <c r="BM124" i="1"/>
  <c r="Z124" i="1"/>
  <c r="Y124" i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Y122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BP68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P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F9" i="1"/>
  <c r="A9" i="1"/>
  <c r="D7" i="1"/>
  <c r="Q6" i="1"/>
  <c r="P2" i="1"/>
  <c r="X276" i="1" l="1"/>
  <c r="Y35" i="1"/>
  <c r="BN33" i="1"/>
  <c r="Y48" i="1"/>
  <c r="Z48" i="1"/>
  <c r="BN46" i="1"/>
  <c r="Z56" i="1"/>
  <c r="BN60" i="1"/>
  <c r="BP60" i="1"/>
  <c r="Y61" i="1"/>
  <c r="BN64" i="1"/>
  <c r="BP64" i="1"/>
  <c r="Y65" i="1"/>
  <c r="Z70" i="1"/>
  <c r="BN68" i="1"/>
  <c r="Y83" i="1"/>
  <c r="BN81" i="1"/>
  <c r="Y137" i="1"/>
  <c r="BN135" i="1"/>
  <c r="Z142" i="1"/>
  <c r="BN147" i="1"/>
  <c r="Y184" i="1"/>
  <c r="BN181" i="1"/>
  <c r="BN205" i="1"/>
  <c r="BP205" i="1"/>
  <c r="Y206" i="1"/>
  <c r="BN210" i="1"/>
  <c r="BP210" i="1"/>
  <c r="Y211" i="1"/>
  <c r="BN215" i="1"/>
  <c r="BP215" i="1"/>
  <c r="Y216" i="1"/>
  <c r="Z221" i="1"/>
  <c r="BN219" i="1"/>
  <c r="Y28" i="1"/>
  <c r="BP22" i="1"/>
  <c r="BN22" i="1"/>
  <c r="BP24" i="1"/>
  <c r="BN24" i="1"/>
  <c r="BP26" i="1"/>
  <c r="BN26" i="1"/>
  <c r="Y41" i="1"/>
  <c r="BP39" i="1"/>
  <c r="BN39" i="1"/>
  <c r="BP53" i="1"/>
  <c r="BN53" i="1"/>
  <c r="BP55" i="1"/>
  <c r="BN55" i="1"/>
  <c r="BP74" i="1"/>
  <c r="BN74" i="1"/>
  <c r="Y88" i="1"/>
  <c r="Y87" i="1"/>
  <c r="BP86" i="1"/>
  <c r="BN86" i="1"/>
  <c r="Y142" i="1"/>
  <c r="BP140" i="1"/>
  <c r="BN140" i="1"/>
  <c r="Y143" i="1"/>
  <c r="Y154" i="1"/>
  <c r="Y153" i="1"/>
  <c r="BP152" i="1"/>
  <c r="BN152" i="1"/>
  <c r="Y164" i="1"/>
  <c r="Y163" i="1"/>
  <c r="BP162" i="1"/>
  <c r="BN162" i="1"/>
  <c r="BP173" i="1"/>
  <c r="BN173" i="1"/>
  <c r="Y188" i="1"/>
  <c r="Y187" i="1"/>
  <c r="BP186" i="1"/>
  <c r="BN186" i="1"/>
  <c r="BP196" i="1"/>
  <c r="BN196" i="1"/>
  <c r="BP198" i="1"/>
  <c r="BN198" i="1"/>
  <c r="BP200" i="1"/>
  <c r="BN200" i="1"/>
  <c r="A10" i="1"/>
  <c r="F10" i="1"/>
  <c r="J9" i="1"/>
  <c r="X278" i="1"/>
  <c r="Y93" i="1"/>
  <c r="BP91" i="1"/>
  <c r="BN91" i="1"/>
  <c r="Y109" i="1"/>
  <c r="BP107" i="1"/>
  <c r="BN107" i="1"/>
  <c r="Y126" i="1"/>
  <c r="BP124" i="1"/>
  <c r="BN124" i="1"/>
  <c r="Y159" i="1"/>
  <c r="Y158" i="1"/>
  <c r="BP157" i="1"/>
  <c r="BN157" i="1"/>
  <c r="Y169" i="1"/>
  <c r="Y168" i="1"/>
  <c r="BP167" i="1"/>
  <c r="BN167" i="1"/>
  <c r="Z183" i="1"/>
  <c r="Y194" i="1"/>
  <c r="Y193" i="1"/>
  <c r="BP192" i="1"/>
  <c r="BN192" i="1"/>
  <c r="BP249" i="1"/>
  <c r="BN249" i="1"/>
  <c r="BP259" i="1"/>
  <c r="BN259" i="1"/>
  <c r="Z28" i="1"/>
  <c r="X277" i="1"/>
  <c r="X279" i="1" s="1"/>
  <c r="X280" i="1"/>
  <c r="Z34" i="1"/>
  <c r="Z41" i="1"/>
  <c r="Y57" i="1"/>
  <c r="Y70" i="1"/>
  <c r="Y76" i="1"/>
  <c r="Z76" i="1"/>
  <c r="Z82" i="1"/>
  <c r="Z93" i="1"/>
  <c r="Z103" i="1"/>
  <c r="Z109" i="1"/>
  <c r="Z121" i="1"/>
  <c r="Z126" i="1"/>
  <c r="Z136" i="1"/>
  <c r="Z175" i="1"/>
  <c r="Z201" i="1"/>
  <c r="Y255" i="1"/>
  <c r="Y256" i="1"/>
  <c r="Z261" i="1"/>
  <c r="Z274" i="1"/>
  <c r="Y29" i="1"/>
  <c r="Y34" i="1"/>
  <c r="Y42" i="1"/>
  <c r="Y49" i="1"/>
  <c r="Y56" i="1"/>
  <c r="Y71" i="1"/>
  <c r="Y77" i="1"/>
  <c r="Y82" i="1"/>
  <c r="Y94" i="1"/>
  <c r="Y103" i="1"/>
  <c r="Y110" i="1"/>
  <c r="Y121" i="1"/>
  <c r="Y127" i="1"/>
  <c r="Y131" i="1"/>
  <c r="Y136" i="1"/>
  <c r="Y149" i="1"/>
  <c r="BP146" i="1"/>
  <c r="BN146" i="1"/>
  <c r="Y148" i="1"/>
  <c r="BP174" i="1"/>
  <c r="BN174" i="1"/>
  <c r="BP197" i="1"/>
  <c r="BN197" i="1"/>
  <c r="BP199" i="1"/>
  <c r="BN199" i="1"/>
  <c r="Y201" i="1"/>
  <c r="BP220" i="1"/>
  <c r="BN220" i="1"/>
  <c r="Y233" i="1"/>
  <c r="BP232" i="1"/>
  <c r="BN232" i="1"/>
  <c r="Y243" i="1"/>
  <c r="BP242" i="1"/>
  <c r="BN242" i="1"/>
  <c r="Y261" i="1"/>
  <c r="BP258" i="1"/>
  <c r="BN258" i="1"/>
  <c r="BP260" i="1"/>
  <c r="BN260" i="1"/>
  <c r="H9" i="1"/>
  <c r="BN23" i="1"/>
  <c r="BN25" i="1"/>
  <c r="BN27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5" i="1"/>
  <c r="BN129" i="1"/>
  <c r="BP129" i="1"/>
  <c r="BN134" i="1"/>
  <c r="BP134" i="1"/>
  <c r="BP141" i="1"/>
  <c r="BN141" i="1"/>
  <c r="Z148" i="1"/>
  <c r="Y175" i="1"/>
  <c r="Y176" i="1"/>
  <c r="Y183" i="1"/>
  <c r="BP180" i="1"/>
  <c r="BN180" i="1"/>
  <c r="BP182" i="1"/>
  <c r="BN182" i="1"/>
  <c r="Y202" i="1"/>
  <c r="Y221" i="1"/>
  <c r="Y222" i="1"/>
  <c r="Y227" i="1"/>
  <c r="BP226" i="1"/>
  <c r="BN226" i="1"/>
  <c r="Y234" i="1"/>
  <c r="Y239" i="1"/>
  <c r="BP238" i="1"/>
  <c r="BN238" i="1"/>
  <c r="Y244" i="1"/>
  <c r="Y251" i="1"/>
  <c r="BP248" i="1"/>
  <c r="BN248" i="1"/>
  <c r="Y250" i="1"/>
  <c r="BP254" i="1"/>
  <c r="BN254" i="1"/>
  <c r="Y262" i="1"/>
  <c r="Y275" i="1"/>
  <c r="BP264" i="1"/>
  <c r="BN264" i="1"/>
  <c r="BP266" i="1"/>
  <c r="BN266" i="1"/>
  <c r="BP268" i="1"/>
  <c r="BN268" i="1"/>
  <c r="BP270" i="1"/>
  <c r="BN270" i="1"/>
  <c r="BP272" i="1"/>
  <c r="BN272" i="1"/>
  <c r="Y274" i="1"/>
  <c r="Z281" i="1" l="1"/>
  <c r="Y278" i="1"/>
  <c r="Y277" i="1"/>
  <c r="Y280" i="1"/>
  <c r="Y276" i="1"/>
  <c r="Y279" i="1" l="1"/>
  <c r="A289" i="1"/>
  <c r="C289" i="1"/>
  <c r="B289" i="1"/>
</calcChain>
</file>

<file path=xl/sharedStrings.xml><?xml version="1.0" encoding="utf-8"?>
<sst xmlns="http://schemas.openxmlformats.org/spreadsheetml/2006/main" count="1247" uniqueCount="400">
  <si>
    <t xml:space="preserve">  БЛАНК ЗАКАЗА </t>
  </si>
  <si>
    <t>ЗПФ</t>
  </si>
  <si>
    <t>на отгрузку продукции с ООО Трейд-Сервис с</t>
  </si>
  <si>
    <t>22.12.2025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</si>
  <si>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</si>
  <si>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</si>
  <si>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</si>
  <si>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</si>
  <si>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</si>
  <si>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</si>
  <si>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</si>
  <si>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</si>
  <si>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</si>
  <si>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</si>
  <si>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</si>
  <si>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</si>
  <si>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</si>
  <si>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</si>
  <si>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</si>
  <si>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</si>
  <si>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</si>
  <si>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</si>
  <si>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</si>
  <si>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</si>
  <si>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</si>
  <si>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</si>
  <si>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</si>
  <si>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</si>
  <si>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</si>
  <si>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</si>
  <si>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</si>
  <si>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</si>
  <si>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</si>
  <si>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</si>
  <si>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</si>
  <si>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</si>
  <si>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</si>
  <si>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</si>
  <si>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</si>
  <si>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</si>
  <si>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</si>
  <si>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</si>
  <si>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</si>
  <si>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</si>
  <si>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</si>
  <si>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</si>
  <si>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</si>
  <si>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</si>
  <si>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</si>
  <si>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</si>
  <si>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</si>
  <si>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</si>
  <si>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</si>
  <si>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</si>
  <si>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</si>
  <si>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</si>
  <si>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</si>
  <si>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</si>
  <si>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</si>
  <si>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</si>
  <si>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</si>
  <si>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</si>
  <si>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</si>
  <si>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</si>
  <si>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</si>
  <si>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</si>
  <si>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</si>
  <si>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</si>
  <si>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</si>
  <si>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</si>
  <si>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</si>
  <si>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</si>
  <si>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</si>
  <si>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</si>
  <si>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</si>
  <si>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</si>
  <si>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</si>
  <si>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</si>
  <si>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</si>
  <si>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</si>
  <si>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</si>
  <si>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</si>
  <si>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</si>
  <si>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</si>
  <si>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</si>
  <si>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</si>
  <si>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</si>
  <si>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</si>
  <si>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</si>
  <si>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</si>
  <si>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</si>
  <si>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</si>
  <si>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</si>
  <si>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</si>
  <si>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</si>
  <si>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</si>
  <si>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</si>
  <si>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</si>
  <si>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</si>
  <si>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</si>
  <si>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</si>
  <si>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</si>
  <si>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</si>
  <si>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</si>
  <si>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</si>
  <si>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</si>
  <si>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</si>
  <si>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</si>
  <si>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</si>
  <si>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</si>
  <si>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</si>
  <si>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</si>
  <si>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</si>
  <si>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</si>
  <si>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</si>
  <si>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</si>
  <si>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</si>
  <si>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</si>
  <si>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</si>
  <si>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</si>
  <si>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</si>
  <si>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</si>
  <si>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</si>
  <si>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</si>
  <si>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</si>
  <si>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</si>
  <si>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</si>
  <si>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</si>
  <si>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</si>
  <si>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</si>
  <si>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</si>
  <si>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</si>
  <si>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</si>
  <si>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</si>
  <si>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</si>
  <si>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</si>
  <si>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</si>
  <si>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</si>
  <si>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</si>
  <si>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</si>
  <si>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</si>
  <si>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</si>
  <si>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</si>
  <si>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</si>
  <si>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</si>
  <si>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</si>
  <si>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</si>
  <si>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</si>
  <si>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</si>
  <si>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</si>
  <si>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</si>
  <si>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</si>
  <si>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</si>
  <si>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</si>
  <si>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</si>
  <si>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</si>
  <si>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</si>
  <si>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</si>
  <si>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</si>
  <si>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</si>
  <si>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</si>
  <si>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</si>
  <si>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</si>
  <si>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</si>
  <si>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</si>
  <si>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</si>
  <si>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</si>
  <si>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</si>
  <si>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</si>
  <si>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</si>
  <si>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</si>
  <si>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</si>
  <si>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</si>
  <si>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</si>
  <si>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</si>
  <si>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</si>
  <si>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</si>
  <si>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</si>
  <si>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</si>
  <si>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</si>
  <si>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</si>
  <si>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</si>
  <si>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</si>
  <si>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</si>
  <si>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</si>
  <si>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</si>
  <si>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</si>
  <si>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</si>
  <si>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</si>
  <si>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</si>
  <si>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</si>
  <si>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</si>
  <si>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</si>
  <si>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</si>
  <si>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</si>
  <si>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</si>
  <si>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</si>
  <si>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</si>
  <si>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</si>
  <si>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</si>
  <si>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</si>
  <si>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</si>
  <si>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</si>
  <si>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</si>
  <si>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</si>
  <si>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</si>
  <si>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</si>
  <si>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</si>
  <si>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</si>
  <si>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</si>
  <si>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</si>
  <si>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</si>
  <si>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</si>
  <si>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</si>
  <si>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</si>
  <si>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</si>
  <si>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</si>
  <si>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</si>
  <si>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</si>
  <si>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</si>
  <si>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</si>
  <si>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</si>
  <si>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</si>
  <si>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</si>
  <si>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</si>
  <si>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</si>
  <si>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</si>
  <si>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</si>
  <si>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</si>
  <si>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</si>
  <si>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</si>
  <si>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</si>
  <si>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</si>
  <si>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</si>
  <si>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</si>
  <si>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</si>
  <si>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</si>
  <si>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</si>
  <si>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</si>
  <si>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</si>
  <si>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</si>
  <si>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</si>
  <si>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</si>
  <si>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</si>
  <si>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</si>
  <si>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</si>
  <si>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</si>
  <si>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</si>
  <si>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</si>
  <si>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</si>
  <si>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</si>
  <si>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</si>
  <si>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</si>
  <si>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</si>
  <si>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</si>
  <si>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</si>
  <si>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</si>
  <si>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</si>
  <si>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</si>
  <si>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</si>
  <si>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</si>
  <si>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</si>
  <si>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</si>
  <si>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</si>
  <si>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</si>
  <si>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</si>
  <si>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</si>
  <si>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</si>
  <si>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</si>
  <si>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</si>
  <si>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</si>
  <si>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</si>
  <si>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</si>
  <si>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</si>
  <si>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</si>
  <si>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</si>
  <si>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</si>
  <si>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</si>
  <si>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</si>
  <si>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</si>
  <si>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</si>
  <si>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</si>
  <si>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</si>
  <si>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</si>
  <si>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</si>
  <si>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</si>
  <si>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</si>
  <si>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</si>
  <si>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</si>
  <si>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</si>
  <si>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</si>
  <si>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</si>
  <si>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</si>
  <si>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</si>
  <si>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</si>
  <si>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</si>
  <si>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</si>
  <si>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SU002063</t>
  </si>
  <si>
    <t>P003007</t>
  </si>
  <si>
    <t>ЕАЭС № RU Д- RU.АБ75.В.00963/19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</si>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</sst>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7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3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10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64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5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8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09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4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9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9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5" customWidth="1"/>
    <col min="19" max="19" width="6.140625" style="2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5" customWidth="1"/>
    <col min="25" max="25" width="11" style="265" customWidth="1"/>
    <col min="26" max="26" width="10" style="265" customWidth="1"/>
    <col min="27" max="27" width="11.5703125" style="265" customWidth="1"/>
    <col min="28" max="28" width="10.42578125" style="265" customWidth="1"/>
    <col min="29" max="29" width="30" style="2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5" customWidth="1"/>
    <col min="34" max="34" width="9.140625" style="265" customWidth="1"/>
    <col min="35" max="16384" width="9.140625" style="265"/>
  </cols>
  <sheetData>
    <row r="1" spans="1:32" s="269" customFormat="1" ht="45" customHeight="1" x14ac:dyDescent="0.2">
      <c r="A1" s="41"/>
      <c r="B1" s="41"/>
      <c r="C1" s="41"/>
      <c r="D1" s="313" t="s">
        <v>0</v>
      </c>
      <c r="E1" s="302"/>
      <c r="F1" s="302"/>
      <c r="G1" s="12" t="s">
        <v>1</v>
      </c>
      <c r="H1" s="313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9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69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6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9" customFormat="1" ht="23.45" customHeight="1" x14ac:dyDescent="0.2">
      <c r="A5" s="362" t="s">
        <v>7</v>
      </c>
      <c r="B5" s="327"/>
      <c r="C5" s="328"/>
      <c r="D5" s="321"/>
      <c r="E5" s="322"/>
      <c r="F5" s="444" t="s">
        <v>8</v>
      </c>
      <c r="G5" s="328"/>
      <c r="H5" s="321" t="s">
        <v>399</v>
      </c>
      <c r="I5" s="456"/>
      <c r="J5" s="456"/>
      <c r="K5" s="456"/>
      <c r="L5" s="456"/>
      <c r="M5" s="322"/>
      <c r="N5" s="61"/>
      <c r="P5" s="24" t="s">
        <v>9</v>
      </c>
      <c r="Q5" s="450">
        <v>46031</v>
      </c>
      <c r="R5" s="347"/>
      <c r="T5" s="368" t="s">
        <v>10</v>
      </c>
      <c r="U5" s="295"/>
      <c r="V5" s="369" t="s">
        <v>11</v>
      </c>
      <c r="W5" s="347"/>
      <c r="AB5" s="51"/>
      <c r="AC5" s="51"/>
      <c r="AD5" s="51"/>
      <c r="AE5" s="51"/>
    </row>
    <row r="6" spans="1:32" s="269" customFormat="1" ht="24" customHeight="1" x14ac:dyDescent="0.2">
      <c r="A6" s="362" t="s">
        <v>12</v>
      </c>
      <c r="B6" s="327"/>
      <c r="C6" s="328"/>
      <c r="D6" s="416" t="s">
        <v>13</v>
      </c>
      <c r="E6" s="417"/>
      <c r="F6" s="417"/>
      <c r="G6" s="417"/>
      <c r="H6" s="417"/>
      <c r="I6" s="417"/>
      <c r="J6" s="417"/>
      <c r="K6" s="417"/>
      <c r="L6" s="417"/>
      <c r="M6" s="347"/>
      <c r="N6" s="62"/>
      <c r="P6" s="24" t="s">
        <v>14</v>
      </c>
      <c r="Q6" s="452" t="str">
        <f>IF(Q5=0," ",CHOOSE(WEEKDAY(Q5,2),"Понедельник","Вторник","Среда","Четверг","Пятница","Суббота","Воскресенье"))</f>
        <v>Пятница</v>
      </c>
      <c r="R6" s="279"/>
      <c r="T6" s="402" t="s">
        <v>15</v>
      </c>
      <c r="U6" s="295"/>
      <c r="V6" s="423" t="s">
        <v>16</v>
      </c>
      <c r="W6" s="306"/>
      <c r="AB6" s="51"/>
      <c r="AC6" s="51"/>
      <c r="AD6" s="51"/>
      <c r="AE6" s="51"/>
    </row>
    <row r="7" spans="1:32" s="269" customFormat="1" ht="21.75" hidden="1" customHeight="1" x14ac:dyDescent="0.2">
      <c r="A7" s="55"/>
      <c r="B7" s="55"/>
      <c r="C7" s="55"/>
      <c r="D7" s="307" t="str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63"/>
      <c r="P7" s="24"/>
      <c r="Q7" s="42"/>
      <c r="R7" s="42"/>
      <c r="T7" s="290"/>
      <c r="U7" s="295"/>
      <c r="V7" s="424"/>
      <c r="W7" s="425"/>
      <c r="AB7" s="51"/>
      <c r="AC7" s="51"/>
      <c r="AD7" s="51"/>
      <c r="AE7" s="51"/>
    </row>
    <row r="8" spans="1:32" s="269" customFormat="1" ht="25.5" customHeight="1" x14ac:dyDescent="0.2">
      <c r="A8" s="455" t="s">
        <v>17</v>
      </c>
      <c r="B8" s="281"/>
      <c r="C8" s="282"/>
      <c r="D8" s="310" t="s">
        <v>18</v>
      </c>
      <c r="E8" s="311"/>
      <c r="F8" s="311"/>
      <c r="G8" s="311"/>
      <c r="H8" s="311"/>
      <c r="I8" s="311"/>
      <c r="J8" s="311"/>
      <c r="K8" s="311"/>
      <c r="L8" s="311"/>
      <c r="M8" s="312"/>
      <c r="N8" s="64"/>
      <c r="P8" s="24" t="s">
        <v>19</v>
      </c>
      <c r="Q8" s="370">
        <v>0.375</v>
      </c>
      <c r="R8" s="309"/>
      <c r="T8" s="290"/>
      <c r="U8" s="295"/>
      <c r="V8" s="424"/>
      <c r="W8" s="425"/>
      <c r="AB8" s="51"/>
      <c r="AC8" s="51"/>
      <c r="AD8" s="51"/>
      <c r="AE8" s="51"/>
    </row>
    <row r="9" spans="1:32" s="269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4"/>
      <c r="E9" s="284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70"/>
      <c r="P9" s="26" t="s">
        <v>20</v>
      </c>
      <c r="Q9" s="344"/>
      <c r="R9" s="345"/>
      <c r="T9" s="290"/>
      <c r="U9" s="295"/>
      <c r="V9" s="426"/>
      <c r="W9" s="427"/>
      <c r="X9" s="43"/>
      <c r="Y9" s="43"/>
      <c r="Z9" s="43"/>
      <c r="AA9" s="43"/>
      <c r="AB9" s="51"/>
      <c r="AC9" s="51"/>
      <c r="AD9" s="51"/>
      <c r="AE9" s="51"/>
    </row>
    <row r="10" spans="1:32" s="269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4"/>
      <c r="E10" s="284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99" t="str">
        <f>IFERROR(VLOOKUP($D$10,Proxy,2,FALSE),"")</f>
        <v/>
      </c>
      <c r="I10" s="290"/>
      <c r="J10" s="290"/>
      <c r="K10" s="290"/>
      <c r="L10" s="290"/>
      <c r="M10" s="290"/>
      <c r="N10" s="268"/>
      <c r="P10" s="26" t="s">
        <v>21</v>
      </c>
      <c r="Q10" s="403"/>
      <c r="R10" s="404"/>
      <c r="U10" s="24" t="s">
        <v>22</v>
      </c>
      <c r="V10" s="305" t="s">
        <v>23</v>
      </c>
      <c r="W10" s="306"/>
      <c r="X10" s="44"/>
      <c r="Y10" s="44"/>
      <c r="Z10" s="44"/>
      <c r="AA10" s="44"/>
      <c r="AB10" s="51"/>
      <c r="AC10" s="51"/>
      <c r="AD10" s="51"/>
      <c r="AE10" s="51"/>
    </row>
    <row r="11" spans="1:32" s="26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6"/>
      <c r="R11" s="347"/>
      <c r="U11" s="24" t="s">
        <v>26</v>
      </c>
      <c r="V11" s="428" t="s">
        <v>27</v>
      </c>
      <c r="W11" s="345"/>
      <c r="X11" s="45"/>
      <c r="Y11" s="45"/>
      <c r="Z11" s="45"/>
      <c r="AA11" s="45"/>
      <c r="AB11" s="51"/>
      <c r="AC11" s="51"/>
      <c r="AD11" s="51"/>
      <c r="AE11" s="51"/>
    </row>
    <row r="12" spans="1:32" s="269" customFormat="1" ht="18.600000000000001" customHeight="1" x14ac:dyDescent="0.2">
      <c r="A12" s="400" t="s">
        <v>28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29</v>
      </c>
      <c r="Q12" s="370"/>
      <c r="R12" s="309"/>
      <c r="S12" s="23"/>
      <c r="U12" s="24"/>
      <c r="V12" s="302"/>
      <c r="W12" s="290"/>
      <c r="AB12" s="51"/>
      <c r="AC12" s="51"/>
      <c r="AD12" s="51"/>
      <c r="AE12" s="51"/>
    </row>
    <row r="13" spans="1:32" s="269" customFormat="1" ht="23.25" customHeight="1" x14ac:dyDescent="0.2">
      <c r="A13" s="400" t="s">
        <v>30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31</v>
      </c>
      <c r="Q13" s="428"/>
      <c r="R13" s="34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9" customFormat="1" ht="18.600000000000001" customHeight="1" x14ac:dyDescent="0.2">
      <c r="A14" s="400" t="s">
        <v>32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9" customFormat="1" ht="22.5" customHeight="1" x14ac:dyDescent="0.2">
      <c r="A15" s="401" t="s">
        <v>33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58" t="s">
        <v>34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59"/>
      <c r="Q16" s="359"/>
      <c r="R16" s="359"/>
      <c r="S16" s="359"/>
      <c r="T16" s="3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6" t="s">
        <v>35</v>
      </c>
      <c r="B17" s="316" t="s">
        <v>36</v>
      </c>
      <c r="C17" s="363" t="s">
        <v>37</v>
      </c>
      <c r="D17" s="316" t="s">
        <v>38</v>
      </c>
      <c r="E17" s="331"/>
      <c r="F17" s="316" t="s">
        <v>39</v>
      </c>
      <c r="G17" s="316" t="s">
        <v>40</v>
      </c>
      <c r="H17" s="316" t="s">
        <v>41</v>
      </c>
      <c r="I17" s="316" t="s">
        <v>42</v>
      </c>
      <c r="J17" s="316" t="s">
        <v>43</v>
      </c>
      <c r="K17" s="316" t="s">
        <v>44</v>
      </c>
      <c r="L17" s="316" t="s">
        <v>45</v>
      </c>
      <c r="M17" s="316" t="s">
        <v>46</v>
      </c>
      <c r="N17" s="316" t="s">
        <v>47</v>
      </c>
      <c r="O17" s="316" t="s">
        <v>48</v>
      </c>
      <c r="P17" s="316" t="s">
        <v>49</v>
      </c>
      <c r="Q17" s="330"/>
      <c r="R17" s="330"/>
      <c r="S17" s="330"/>
      <c r="T17" s="331"/>
      <c r="U17" s="460" t="s">
        <v>50</v>
      </c>
      <c r="V17" s="328"/>
      <c r="W17" s="316" t="s">
        <v>51</v>
      </c>
      <c r="X17" s="316" t="s">
        <v>52</v>
      </c>
      <c r="Y17" s="461" t="s">
        <v>53</v>
      </c>
      <c r="Z17" s="410" t="s">
        <v>54</v>
      </c>
      <c r="AA17" s="388" t="s">
        <v>55</v>
      </c>
      <c r="AB17" s="388" t="s">
        <v>56</v>
      </c>
      <c r="AC17" s="388" t="s">
        <v>57</v>
      </c>
      <c r="AD17" s="388" t="s">
        <v>58</v>
      </c>
      <c r="AE17" s="439"/>
      <c r="AF17" s="440"/>
      <c r="AG17" s="69"/>
      <c r="BD17" s="68" t="s">
        <v>59</v>
      </c>
    </row>
    <row r="18" spans="1:68" ht="14.25" customHeight="1" x14ac:dyDescent="0.2">
      <c r="A18" s="317"/>
      <c r="B18" s="317"/>
      <c r="C18" s="317"/>
      <c r="D18" s="332"/>
      <c r="E18" s="334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332"/>
      <c r="Q18" s="333"/>
      <c r="R18" s="333"/>
      <c r="S18" s="333"/>
      <c r="T18" s="334"/>
      <c r="U18" s="70" t="s">
        <v>60</v>
      </c>
      <c r="V18" s="70" t="s">
        <v>61</v>
      </c>
      <c r="W18" s="317"/>
      <c r="X18" s="317"/>
      <c r="Y18" s="462"/>
      <c r="Z18" s="411"/>
      <c r="AA18" s="389"/>
      <c r="AB18" s="389"/>
      <c r="AC18" s="389"/>
      <c r="AD18" s="441"/>
      <c r="AE18" s="442"/>
      <c r="AF18" s="443"/>
      <c r="AG18" s="69"/>
      <c r="BD18" s="68"/>
    </row>
    <row r="19" spans="1:68" ht="27.75" hidden="1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hidden="1" customHeight="1" x14ac:dyDescent="0.25">
      <c r="A20" s="289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67"/>
      <c r="AB20" s="267"/>
      <c r="AC20" s="267"/>
    </row>
    <row r="21" spans="1:68" ht="14.25" hidden="1" customHeight="1" x14ac:dyDescent="0.25">
      <c r="A21" s="336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66"/>
      <c r="AB21" s="266"/>
      <c r="AC21" s="266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78">
        <v>4607111035912</v>
      </c>
      <c r="E22" s="279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2"/>
      <c r="R22" s="292"/>
      <c r="S22" s="292"/>
      <c r="T22" s="293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78">
        <v>4607111035103</v>
      </c>
      <c r="E23" s="279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5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2"/>
      <c r="R23" s="292"/>
      <c r="S23" s="292"/>
      <c r="T23" s="293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8">
        <v>4607111035929</v>
      </c>
      <c r="E24" s="279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92"/>
      <c r="R24" s="292"/>
      <c r="S24" s="292"/>
      <c r="T24" s="293"/>
      <c r="U24" s="34"/>
      <c r="V24" s="34"/>
      <c r="W24" s="35" t="s">
        <v>69</v>
      </c>
      <c r="X24" s="272">
        <v>60</v>
      </c>
      <c r="Y24" s="273">
        <f t="shared" si="0"/>
        <v>60</v>
      </c>
      <c r="Z24" s="36">
        <f t="shared" si="1"/>
        <v>0.92999999999999994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448.2</v>
      </c>
      <c r="BN24" s="67">
        <f t="shared" si="3"/>
        <v>448.2</v>
      </c>
      <c r="BO24" s="67">
        <f t="shared" si="4"/>
        <v>0.7142857142857143</v>
      </c>
      <c r="BP24" s="67">
        <f t="shared" si="5"/>
        <v>0.7142857142857143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78">
        <v>4607111035882</v>
      </c>
      <c r="E25" s="279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92"/>
      <c r="R25" s="292"/>
      <c r="S25" s="292"/>
      <c r="T25" s="293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78">
        <v>4607111035110</v>
      </c>
      <c r="E26" s="279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7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92"/>
      <c r="R26" s="292"/>
      <c r="S26" s="292"/>
      <c r="T26" s="293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78">
        <v>4607111035905</v>
      </c>
      <c r="E27" s="279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92"/>
      <c r="R27" s="292"/>
      <c r="S27" s="292"/>
      <c r="T27" s="293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6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7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4">
        <f>IFERROR(SUM(X22:X27),"0")</f>
        <v>60</v>
      </c>
      <c r="Y28" s="274">
        <f>IFERROR(SUM(Y22:Y27),"0")</f>
        <v>60</v>
      </c>
      <c r="Z28" s="274">
        <f>IFERROR(IF(Z22="",0,Z22),"0")+IFERROR(IF(Z23="",0,Z23),"0")+IFERROR(IF(Z24="",0,Z24),"0")+IFERROR(IF(Z25="",0,Z25),"0")+IFERROR(IF(Z26="",0,Z26),"0")+IFERROR(IF(Z27="",0,Z27),"0")</f>
        <v>0.92999999999999994</v>
      </c>
      <c r="AA28" s="275"/>
      <c r="AB28" s="275"/>
      <c r="AC28" s="275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7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4">
        <f>IFERROR(SUMPRODUCT(X22:X27*H22:H27),"0")</f>
        <v>432</v>
      </c>
      <c r="Y29" s="274">
        <f>IFERROR(SUMPRODUCT(Y22:Y27*H22:H27),"0")</f>
        <v>432</v>
      </c>
      <c r="Z29" s="37"/>
      <c r="AA29" s="275"/>
      <c r="AB29" s="275"/>
      <c r="AC29" s="275"/>
    </row>
    <row r="30" spans="1:68" ht="16.5" hidden="1" customHeight="1" x14ac:dyDescent="0.25">
      <c r="A30" s="289" t="s">
        <v>84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67"/>
      <c r="AB30" s="267"/>
      <c r="AC30" s="267"/>
    </row>
    <row r="31" spans="1:68" ht="14.25" hidden="1" customHeight="1" x14ac:dyDescent="0.25">
      <c r="A31" s="336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66"/>
      <c r="AB31" s="266"/>
      <c r="AC31" s="266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78">
        <v>4607111039019</v>
      </c>
      <c r="E32" s="279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92"/>
      <c r="R32" s="292"/>
      <c r="S32" s="292"/>
      <c r="T32" s="293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8">
        <v>4607111038708</v>
      </c>
      <c r="E33" s="279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92"/>
      <c r="R33" s="292"/>
      <c r="S33" s="292"/>
      <c r="T33" s="293"/>
      <c r="U33" s="34"/>
      <c r="V33" s="34"/>
      <c r="W33" s="35" t="s">
        <v>69</v>
      </c>
      <c r="X33" s="272">
        <v>12</v>
      </c>
      <c r="Y33" s="273">
        <f>IFERROR(IF(X33="","",X33),"")</f>
        <v>12</v>
      </c>
      <c r="Z33" s="36">
        <f>IFERROR(IF(X33="","",X33*0.0155),"")</f>
        <v>0.186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80.039999999999992</v>
      </c>
      <c r="BN33" s="67">
        <f>IFERROR(Y33*I33,"0")</f>
        <v>80.039999999999992</v>
      </c>
      <c r="BO33" s="67">
        <f>IFERROR(X33/J33,"0")</f>
        <v>0.14285714285714285</v>
      </c>
      <c r="BP33" s="67">
        <f>IFERROR(Y33/J33,"0")</f>
        <v>0.14285714285714285</v>
      </c>
    </row>
    <row r="34" spans="1:68" x14ac:dyDescent="0.2">
      <c r="A34" s="296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7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4">
        <f>IFERROR(SUM(X32:X33),"0")</f>
        <v>12</v>
      </c>
      <c r="Y34" s="274">
        <f>IFERROR(SUM(Y32:Y33),"0")</f>
        <v>12</v>
      </c>
      <c r="Z34" s="274">
        <f>IFERROR(IF(Z32="",0,Z32),"0")+IFERROR(IF(Z33="",0,Z33),"0")</f>
        <v>0.186</v>
      </c>
      <c r="AA34" s="275"/>
      <c r="AB34" s="275"/>
      <c r="AC34" s="275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7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4">
        <f>IFERROR(SUMPRODUCT(X32:X33*H32:H33),"0")</f>
        <v>76.800000000000011</v>
      </c>
      <c r="Y35" s="274">
        <f>IFERROR(SUMPRODUCT(Y32:Y33*H32:H33),"0")</f>
        <v>76.800000000000011</v>
      </c>
      <c r="Z35" s="37"/>
      <c r="AA35" s="275"/>
      <c r="AB35" s="275"/>
      <c r="AC35" s="275"/>
    </row>
    <row r="36" spans="1:68" ht="27.75" hidden="1" customHeight="1" x14ac:dyDescent="0.2">
      <c r="A36" s="285" t="s">
        <v>90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48"/>
      <c r="AB36" s="48"/>
      <c r="AC36" s="48"/>
    </row>
    <row r="37" spans="1:68" ht="16.5" hidden="1" customHeight="1" x14ac:dyDescent="0.25">
      <c r="A37" s="289" t="s">
        <v>91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67"/>
      <c r="AB37" s="267"/>
      <c r="AC37" s="267"/>
    </row>
    <row r="38" spans="1:68" ht="14.25" hidden="1" customHeight="1" x14ac:dyDescent="0.25">
      <c r="A38" s="336" t="s">
        <v>92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8">
        <v>4607111036537</v>
      </c>
      <c r="E39" s="279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92"/>
      <c r="R39" s="292"/>
      <c r="S39" s="292"/>
      <c r="T39" s="293"/>
      <c r="U39" s="34"/>
      <c r="V39" s="34"/>
      <c r="W39" s="35" t="s">
        <v>69</v>
      </c>
      <c r="X39" s="272">
        <v>140</v>
      </c>
      <c r="Y39" s="273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78">
        <v>4607111036605</v>
      </c>
      <c r="E40" s="279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0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92"/>
      <c r="R40" s="292"/>
      <c r="S40" s="292"/>
      <c r="T40" s="293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6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7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4">
        <f>IFERROR(SUM(X39:X40),"0")</f>
        <v>140</v>
      </c>
      <c r="Y41" s="274">
        <f>IFERROR(SUM(Y39:Y40),"0")</f>
        <v>140</v>
      </c>
      <c r="Z41" s="274">
        <f>IFERROR(IF(Z39="",0,Z39),"0")+IFERROR(IF(Z40="",0,Z40),"0")</f>
        <v>1.3173999999999999</v>
      </c>
      <c r="AA41" s="275"/>
      <c r="AB41" s="275"/>
      <c r="AC41" s="275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7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4">
        <f>IFERROR(SUMPRODUCT(X39:X40*H39:H40),"0")</f>
        <v>210</v>
      </c>
      <c r="Y42" s="274">
        <f>IFERROR(SUMPRODUCT(Y39:Y40*H39:H40),"0")</f>
        <v>210</v>
      </c>
      <c r="Z42" s="37"/>
      <c r="AA42" s="275"/>
      <c r="AB42" s="275"/>
      <c r="AC42" s="275"/>
    </row>
    <row r="43" spans="1:68" ht="16.5" hidden="1" customHeight="1" x14ac:dyDescent="0.25">
      <c r="A43" s="289" t="s">
        <v>102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67"/>
      <c r="AB43" s="267"/>
      <c r="AC43" s="267"/>
    </row>
    <row r="44" spans="1:68" ht="14.25" hidden="1" customHeight="1" x14ac:dyDescent="0.25">
      <c r="A44" s="336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66"/>
      <c r="AB44" s="266"/>
      <c r="AC44" s="266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78">
        <v>4620207490075</v>
      </c>
      <c r="E45" s="279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39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92"/>
      <c r="R45" s="292"/>
      <c r="S45" s="292"/>
      <c r="T45" s="293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78">
        <v>4620207490174</v>
      </c>
      <c r="E46" s="279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2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92"/>
      <c r="R46" s="292"/>
      <c r="S46" s="292"/>
      <c r="T46" s="293"/>
      <c r="U46" s="34"/>
      <c r="V46" s="34"/>
      <c r="W46" s="35" t="s">
        <v>69</v>
      </c>
      <c r="X46" s="272">
        <v>0</v>
      </c>
      <c r="Y46" s="273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111</v>
      </c>
      <c r="B47" s="54" t="s">
        <v>112</v>
      </c>
      <c r="C47" s="31">
        <v>4301071091</v>
      </c>
      <c r="D47" s="278">
        <v>4620207490044</v>
      </c>
      <c r="E47" s="279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4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92"/>
      <c r="R47" s="292"/>
      <c r="S47" s="292"/>
      <c r="T47" s="293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96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7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4">
        <f>IFERROR(SUM(X45:X47),"0")</f>
        <v>0</v>
      </c>
      <c r="Y48" s="274">
        <f>IFERROR(SUM(Y45:Y47),"0")</f>
        <v>0</v>
      </c>
      <c r="Z48" s="274">
        <f>IFERROR(IF(Z45="",0,Z45),"0")+IFERROR(IF(Z46="",0,Z46),"0")+IFERROR(IF(Z47="",0,Z47),"0")</f>
        <v>0</v>
      </c>
      <c r="AA48" s="275"/>
      <c r="AB48" s="275"/>
      <c r="AC48" s="275"/>
    </row>
    <row r="49" spans="1:68" hidden="1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7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4">
        <f>IFERROR(SUMPRODUCT(X45:X47*H45:H47),"0")</f>
        <v>0</v>
      </c>
      <c r="Y49" s="274">
        <f>IFERROR(SUMPRODUCT(Y45:Y47*H45:H47),"0")</f>
        <v>0</v>
      </c>
      <c r="Z49" s="37"/>
      <c r="AA49" s="275"/>
      <c r="AB49" s="275"/>
      <c r="AC49" s="275"/>
    </row>
    <row r="50" spans="1:68" ht="16.5" hidden="1" customHeight="1" x14ac:dyDescent="0.25">
      <c r="A50" s="289" t="s">
        <v>114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67"/>
      <c r="AB50" s="267"/>
      <c r="AC50" s="267"/>
    </row>
    <row r="51" spans="1:68" ht="14.25" hidden="1" customHeight="1" x14ac:dyDescent="0.25">
      <c r="A51" s="336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8">
        <v>4607111039385</v>
      </c>
      <c r="E52" s="279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1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92"/>
      <c r="R52" s="292"/>
      <c r="S52" s="292"/>
      <c r="T52" s="293"/>
      <c r="U52" s="34"/>
      <c r="V52" s="34"/>
      <c r="W52" s="35" t="s">
        <v>69</v>
      </c>
      <c r="X52" s="272">
        <v>48</v>
      </c>
      <c r="Y52" s="273">
        <f>IFERROR(IF(X52="","",X52),"")</f>
        <v>48</v>
      </c>
      <c r="Z52" s="36">
        <f>IFERROR(IF(X52="","",X52*0.0155),"")</f>
        <v>0.74399999999999999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350.4</v>
      </c>
      <c r="BN52" s="67">
        <f>IFERROR(Y52*I52,"0")</f>
        <v>350.4</v>
      </c>
      <c r="BO52" s="67">
        <f>IFERROR(X52/J52,"0")</f>
        <v>0.5714285714285714</v>
      </c>
      <c r="BP52" s="67">
        <f>IFERROR(Y52/J52,"0")</f>
        <v>0.5714285714285714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8">
        <v>4607111038982</v>
      </c>
      <c r="E53" s="279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92"/>
      <c r="R53" s="292"/>
      <c r="S53" s="292"/>
      <c r="T53" s="293"/>
      <c r="U53" s="34"/>
      <c r="V53" s="34"/>
      <c r="W53" s="35" t="s">
        <v>69</v>
      </c>
      <c r="X53" s="272">
        <v>60</v>
      </c>
      <c r="Y53" s="273">
        <f>IFERROR(IF(X53="","",X53),"")</f>
        <v>60</v>
      </c>
      <c r="Z53" s="36">
        <f>IFERROR(IF(X53="","",X53*0.0155),"")</f>
        <v>0.92999999999999994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437.15999999999997</v>
      </c>
      <c r="BN53" s="67">
        <f>IFERROR(Y53*I53,"0")</f>
        <v>437.15999999999997</v>
      </c>
      <c r="BO53" s="67">
        <f>IFERROR(X53/J53,"0")</f>
        <v>0.7142857142857143</v>
      </c>
      <c r="BP53" s="67">
        <f>IFERROR(Y53/J53,"0")</f>
        <v>0.7142857142857143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4301071046</v>
      </c>
      <c r="D54" s="278">
        <v>4607111039354</v>
      </c>
      <c r="E54" s="279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92"/>
      <c r="R54" s="292"/>
      <c r="S54" s="292"/>
      <c r="T54" s="293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8">
        <v>4607111039330</v>
      </c>
      <c r="E55" s="279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40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92"/>
      <c r="R55" s="292"/>
      <c r="S55" s="292"/>
      <c r="T55" s="293"/>
      <c r="U55" s="34"/>
      <c r="V55" s="34"/>
      <c r="W55" s="35" t="s">
        <v>69</v>
      </c>
      <c r="X55" s="272">
        <v>48</v>
      </c>
      <c r="Y55" s="273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350.4</v>
      </c>
      <c r="BN55" s="67">
        <f>IFERROR(Y55*I55,"0")</f>
        <v>350.4</v>
      </c>
      <c r="BO55" s="67">
        <f>IFERROR(X55/J55,"0")</f>
        <v>0.5714285714285714</v>
      </c>
      <c r="BP55" s="67">
        <f>IFERROR(Y55/J55,"0")</f>
        <v>0.5714285714285714</v>
      </c>
    </row>
    <row r="56" spans="1:68" x14ac:dyDescent="0.2">
      <c r="A56" s="296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7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4">
        <f>IFERROR(SUM(X52:X55),"0")</f>
        <v>156</v>
      </c>
      <c r="Y56" s="274">
        <f>IFERROR(SUM(Y52:Y55),"0")</f>
        <v>156</v>
      </c>
      <c r="Z56" s="274">
        <f>IFERROR(IF(Z52="",0,Z52),"0")+IFERROR(IF(Z53="",0,Z53),"0")+IFERROR(IF(Z54="",0,Z54),"0")+IFERROR(IF(Z55="",0,Z55),"0")</f>
        <v>2.4180000000000001</v>
      </c>
      <c r="AA56" s="275"/>
      <c r="AB56" s="275"/>
      <c r="AC56" s="275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7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4">
        <f>IFERROR(SUMPRODUCT(X52:X55*H52:H55),"0")</f>
        <v>1092</v>
      </c>
      <c r="Y57" s="274">
        <f>IFERROR(SUMPRODUCT(Y52:Y55*H52:H55),"0")</f>
        <v>1092</v>
      </c>
      <c r="Z57" s="37"/>
      <c r="AA57" s="275"/>
      <c r="AB57" s="275"/>
      <c r="AC57" s="275"/>
    </row>
    <row r="58" spans="1:68" ht="16.5" hidden="1" customHeight="1" x14ac:dyDescent="0.25">
      <c r="A58" s="289" t="s">
        <v>125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67"/>
      <c r="AB58" s="267"/>
      <c r="AC58" s="267"/>
    </row>
    <row r="59" spans="1:68" ht="14.25" hidden="1" customHeight="1" x14ac:dyDescent="0.25">
      <c r="A59" s="336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66"/>
      <c r="AB59" s="266"/>
      <c r="AC59" s="266"/>
    </row>
    <row r="60" spans="1:68" ht="16.5" hidden="1" customHeight="1" x14ac:dyDescent="0.25">
      <c r="A60" s="54" t="s">
        <v>126</v>
      </c>
      <c r="B60" s="54" t="s">
        <v>127</v>
      </c>
      <c r="C60" s="31">
        <v>4301071073</v>
      </c>
      <c r="D60" s="278">
        <v>4620207490822</v>
      </c>
      <c r="E60" s="279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92"/>
      <c r="R60" s="292"/>
      <c r="S60" s="292"/>
      <c r="T60" s="293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6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7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hidden="1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7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hidden="1" customHeight="1" x14ac:dyDescent="0.25">
      <c r="A63" s="336" t="s">
        <v>92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66"/>
      <c r="AB63" s="266"/>
      <c r="AC63" s="266"/>
    </row>
    <row r="64" spans="1:68" ht="27" hidden="1" customHeight="1" x14ac:dyDescent="0.25">
      <c r="A64" s="54" t="s">
        <v>129</v>
      </c>
      <c r="B64" s="54" t="s">
        <v>130</v>
      </c>
      <c r="C64" s="31">
        <v>4301132194</v>
      </c>
      <c r="D64" s="278">
        <v>4607111039712</v>
      </c>
      <c r="E64" s="279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92"/>
      <c r="R64" s="292"/>
      <c r="S64" s="292"/>
      <c r="T64" s="293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6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7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hidden="1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7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hidden="1" customHeight="1" x14ac:dyDescent="0.25">
      <c r="A67" s="336" t="s">
        <v>132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66"/>
      <c r="AB67" s="266"/>
      <c r="AC67" s="266"/>
    </row>
    <row r="68" spans="1:68" ht="16.5" hidden="1" customHeight="1" x14ac:dyDescent="0.25">
      <c r="A68" s="54" t="s">
        <v>133</v>
      </c>
      <c r="B68" s="54" t="s">
        <v>134</v>
      </c>
      <c r="C68" s="31">
        <v>4301136018</v>
      </c>
      <c r="D68" s="278">
        <v>4607111037008</v>
      </c>
      <c r="E68" s="279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40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92"/>
      <c r="R68" s="292"/>
      <c r="S68" s="292"/>
      <c r="T68" s="293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136</v>
      </c>
      <c r="B69" s="54" t="s">
        <v>137</v>
      </c>
      <c r="C69" s="31">
        <v>4301136015</v>
      </c>
      <c r="D69" s="278">
        <v>4607111037398</v>
      </c>
      <c r="E69" s="279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2"/>
      <c r="R69" s="292"/>
      <c r="S69" s="292"/>
      <c r="T69" s="293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6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7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hidden="1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7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hidden="1" customHeight="1" x14ac:dyDescent="0.25">
      <c r="A72" s="336" t="s">
        <v>138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66"/>
      <c r="AB72" s="266"/>
      <c r="AC72" s="266"/>
    </row>
    <row r="73" spans="1:68" ht="27" hidden="1" customHeight="1" x14ac:dyDescent="0.25">
      <c r="A73" s="54" t="s">
        <v>139</v>
      </c>
      <c r="B73" s="54" t="s">
        <v>140</v>
      </c>
      <c r="C73" s="31">
        <v>4301135664</v>
      </c>
      <c r="D73" s="278">
        <v>4607111039705</v>
      </c>
      <c r="E73" s="279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41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92"/>
      <c r="R73" s="292"/>
      <c r="S73" s="292"/>
      <c r="T73" s="293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8">
        <v>4607111039729</v>
      </c>
      <c r="E74" s="279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92"/>
      <c r="R74" s="292"/>
      <c r="S74" s="292"/>
      <c r="T74" s="293"/>
      <c r="U74" s="34"/>
      <c r="V74" s="34"/>
      <c r="W74" s="35" t="s">
        <v>69</v>
      </c>
      <c r="X74" s="272">
        <v>14</v>
      </c>
      <c r="Y74" s="273">
        <f>IFERROR(IF(X74="","",X74),"")</f>
        <v>14</v>
      </c>
      <c r="Z74" s="36">
        <f>IFERROR(IF(X74="","",X74*0.00941),"")</f>
        <v>0.13174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21.84</v>
      </c>
      <c r="BN74" s="67">
        <f>IFERROR(Y74*I74,"0")</f>
        <v>21.84</v>
      </c>
      <c r="BO74" s="67">
        <f>IFERROR(X74/J74,"0")</f>
        <v>0.1</v>
      </c>
      <c r="BP74" s="67">
        <f>IFERROR(Y74/J74,"0")</f>
        <v>0.1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8">
        <v>4620207490228</v>
      </c>
      <c r="E75" s="279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92"/>
      <c r="R75" s="292"/>
      <c r="S75" s="292"/>
      <c r="T75" s="293"/>
      <c r="U75" s="34"/>
      <c r="V75" s="34"/>
      <c r="W75" s="35" t="s">
        <v>69</v>
      </c>
      <c r="X75" s="272">
        <v>14</v>
      </c>
      <c r="Y75" s="273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96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7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4">
        <f>IFERROR(SUM(X73:X75),"0")</f>
        <v>28</v>
      </c>
      <c r="Y76" s="274">
        <f>IFERROR(SUM(Y73:Y75),"0")</f>
        <v>28</v>
      </c>
      <c r="Z76" s="274">
        <f>IFERROR(IF(Z73="",0,Z73),"0")+IFERROR(IF(Z74="",0,Z74),"0")+IFERROR(IF(Z75="",0,Z75),"0")</f>
        <v>0.26347999999999999</v>
      </c>
      <c r="AA76" s="275"/>
      <c r="AB76" s="275"/>
      <c r="AC76" s="275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7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4">
        <f>IFERROR(SUMPRODUCT(X73:X75*H73:H75),"0")</f>
        <v>33.6</v>
      </c>
      <c r="Y77" s="274">
        <f>IFERROR(SUMPRODUCT(Y73:Y75*H73:H75),"0")</f>
        <v>33.6</v>
      </c>
      <c r="Z77" s="37"/>
      <c r="AA77" s="275"/>
      <c r="AB77" s="275"/>
      <c r="AC77" s="275"/>
    </row>
    <row r="78" spans="1:68" ht="16.5" hidden="1" customHeight="1" x14ac:dyDescent="0.25">
      <c r="A78" s="289" t="s">
        <v>146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67"/>
      <c r="AB78" s="267"/>
      <c r="AC78" s="267"/>
    </row>
    <row r="79" spans="1:68" ht="14.25" hidden="1" customHeight="1" x14ac:dyDescent="0.25">
      <c r="A79" s="336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66"/>
      <c r="AB79" s="266"/>
      <c r="AC79" s="266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78">
        <v>4607111037411</v>
      </c>
      <c r="E80" s="279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0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92"/>
      <c r="R80" s="292"/>
      <c r="S80" s="292"/>
      <c r="T80" s="293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8">
        <v>4607111036728</v>
      </c>
      <c r="E81" s="279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1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92"/>
      <c r="R81" s="292"/>
      <c r="S81" s="292"/>
      <c r="T81" s="293"/>
      <c r="U81" s="34"/>
      <c r="V81" s="34"/>
      <c r="W81" s="35" t="s">
        <v>69</v>
      </c>
      <c r="X81" s="272">
        <v>216</v>
      </c>
      <c r="Y81" s="273">
        <f>IFERROR(IF(X81="","",X81),"")</f>
        <v>216</v>
      </c>
      <c r="Z81" s="36">
        <f>IFERROR(IF(X81="","",X81*0.00866),"")</f>
        <v>1.8705599999999998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1126.0511999999999</v>
      </c>
      <c r="BN81" s="67">
        <f>IFERROR(Y81*I81,"0")</f>
        <v>1126.0511999999999</v>
      </c>
      <c r="BO81" s="67">
        <f>IFERROR(X81/J81,"0")</f>
        <v>1.5</v>
      </c>
      <c r="BP81" s="67">
        <f>IFERROR(Y81/J81,"0")</f>
        <v>1.5</v>
      </c>
    </row>
    <row r="82" spans="1:68" x14ac:dyDescent="0.2">
      <c r="A82" s="296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7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4">
        <f>IFERROR(SUM(X80:X81),"0")</f>
        <v>216</v>
      </c>
      <c r="Y82" s="274">
        <f>IFERROR(SUM(Y80:Y81),"0")</f>
        <v>216</v>
      </c>
      <c r="Z82" s="274">
        <f>IFERROR(IF(Z80="",0,Z80),"0")+IFERROR(IF(Z81="",0,Z81),"0")</f>
        <v>1.8705599999999998</v>
      </c>
      <c r="AA82" s="275"/>
      <c r="AB82" s="275"/>
      <c r="AC82" s="275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7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4">
        <f>IFERROR(SUMPRODUCT(X80:X81*H80:H81),"0")</f>
        <v>1080</v>
      </c>
      <c r="Y83" s="274">
        <f>IFERROR(SUMPRODUCT(Y80:Y81*H80:H81),"0")</f>
        <v>1080</v>
      </c>
      <c r="Z83" s="37"/>
      <c r="AA83" s="275"/>
      <c r="AB83" s="275"/>
      <c r="AC83" s="275"/>
    </row>
    <row r="84" spans="1:68" ht="16.5" hidden="1" customHeight="1" x14ac:dyDescent="0.25">
      <c r="A84" s="289" t="s">
        <v>153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67"/>
      <c r="AB84" s="267"/>
      <c r="AC84" s="267"/>
    </row>
    <row r="85" spans="1:68" ht="14.25" hidden="1" customHeight="1" x14ac:dyDescent="0.25">
      <c r="A85" s="336" t="s">
        <v>138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8">
        <v>4607111033659</v>
      </c>
      <c r="E86" s="279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92"/>
      <c r="R86" s="292"/>
      <c r="S86" s="292"/>
      <c r="T86" s="293"/>
      <c r="U86" s="34"/>
      <c r="V86" s="34"/>
      <c r="W86" s="35" t="s">
        <v>69</v>
      </c>
      <c r="X86" s="272">
        <v>28</v>
      </c>
      <c r="Y86" s="273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96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7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4">
        <f>IFERROR(SUM(X86:X86),"0")</f>
        <v>28</v>
      </c>
      <c r="Y87" s="274">
        <f>IFERROR(SUM(Y86:Y86),"0")</f>
        <v>28</v>
      </c>
      <c r="Z87" s="274">
        <f>IFERROR(IF(Z86="",0,Z86),"0")</f>
        <v>0.50063999999999997</v>
      </c>
      <c r="AA87" s="275"/>
      <c r="AB87" s="275"/>
      <c r="AC87" s="275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7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4">
        <f>IFERROR(SUMPRODUCT(X86:X86*H86:H86),"0")</f>
        <v>100.8</v>
      </c>
      <c r="Y88" s="274">
        <f>IFERROR(SUMPRODUCT(Y86:Y86*H86:H86),"0")</f>
        <v>100.8</v>
      </c>
      <c r="Z88" s="37"/>
      <c r="AA88" s="275"/>
      <c r="AB88" s="275"/>
      <c r="AC88" s="275"/>
    </row>
    <row r="89" spans="1:68" ht="16.5" hidden="1" customHeight="1" x14ac:dyDescent="0.25">
      <c r="A89" s="289" t="s">
        <v>157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67"/>
      <c r="AB89" s="267"/>
      <c r="AC89" s="267"/>
    </row>
    <row r="90" spans="1:68" ht="14.25" hidden="1" customHeight="1" x14ac:dyDescent="0.25">
      <c r="A90" s="336" t="s">
        <v>158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8">
        <v>4607111034120</v>
      </c>
      <c r="E91" s="279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7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92"/>
      <c r="R91" s="292"/>
      <c r="S91" s="292"/>
      <c r="T91" s="293"/>
      <c r="U91" s="34"/>
      <c r="V91" s="34"/>
      <c r="W91" s="35" t="s">
        <v>69</v>
      </c>
      <c r="X91" s="272">
        <v>42</v>
      </c>
      <c r="Y91" s="273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8">
        <v>4607111034137</v>
      </c>
      <c r="E92" s="279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41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92"/>
      <c r="R92" s="292"/>
      <c r="S92" s="292"/>
      <c r="T92" s="293"/>
      <c r="U92" s="34"/>
      <c r="V92" s="34"/>
      <c r="W92" s="35" t="s">
        <v>69</v>
      </c>
      <c r="X92" s="272">
        <v>28</v>
      </c>
      <c r="Y92" s="273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96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7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4">
        <f>IFERROR(SUM(X91:X92),"0")</f>
        <v>70</v>
      </c>
      <c r="Y93" s="274">
        <f>IFERROR(SUM(Y91:Y92),"0")</f>
        <v>70</v>
      </c>
      <c r="Z93" s="274">
        <f>IFERROR(IF(Z91="",0,Z91),"0")+IFERROR(IF(Z92="",0,Z92),"0")</f>
        <v>1.2515999999999998</v>
      </c>
      <c r="AA93" s="275"/>
      <c r="AB93" s="275"/>
      <c r="AC93" s="275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7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4">
        <f>IFERROR(SUMPRODUCT(X91:X92*H91:H92),"0")</f>
        <v>252</v>
      </c>
      <c r="Y94" s="274">
        <f>IFERROR(SUMPRODUCT(Y91:Y92*H91:H92),"0")</f>
        <v>252</v>
      </c>
      <c r="Z94" s="37"/>
      <c r="AA94" s="275"/>
      <c r="AB94" s="275"/>
      <c r="AC94" s="275"/>
    </row>
    <row r="95" spans="1:68" ht="16.5" hidden="1" customHeight="1" x14ac:dyDescent="0.25">
      <c r="A95" s="289" t="s">
        <v>165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67"/>
      <c r="AB95" s="267"/>
      <c r="AC95" s="267"/>
    </row>
    <row r="96" spans="1:68" ht="14.25" hidden="1" customHeight="1" x14ac:dyDescent="0.25">
      <c r="A96" s="336" t="s">
        <v>138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8">
        <v>4620207491027</v>
      </c>
      <c r="E97" s="279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4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92"/>
      <c r="R97" s="292"/>
      <c r="S97" s="292"/>
      <c r="T97" s="293"/>
      <c r="U97" s="34"/>
      <c r="V97" s="34"/>
      <c r="W97" s="35" t="s">
        <v>69</v>
      </c>
      <c r="X97" s="272">
        <v>28</v>
      </c>
      <c r="Y97" s="273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8">
        <v>4620207491003</v>
      </c>
      <c r="E98" s="279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92"/>
      <c r="R98" s="292"/>
      <c r="S98" s="292"/>
      <c r="T98" s="293"/>
      <c r="U98" s="34"/>
      <c r="V98" s="34"/>
      <c r="W98" s="35" t="s">
        <v>69</v>
      </c>
      <c r="X98" s="272">
        <v>126</v>
      </c>
      <c r="Y98" s="273">
        <f t="shared" si="6"/>
        <v>126</v>
      </c>
      <c r="Z98" s="36">
        <f t="shared" si="7"/>
        <v>2.2528800000000002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451.53360000000004</v>
      </c>
      <c r="BN98" s="67">
        <f t="shared" si="9"/>
        <v>451.53360000000004</v>
      </c>
      <c r="BO98" s="67">
        <f t="shared" si="10"/>
        <v>1.8</v>
      </c>
      <c r="BP98" s="67">
        <f t="shared" si="11"/>
        <v>1.8</v>
      </c>
    </row>
    <row r="99" spans="1:68" ht="27" hidden="1" customHeight="1" x14ac:dyDescent="0.25">
      <c r="A99" s="54" t="s">
        <v>170</v>
      </c>
      <c r="B99" s="54" t="s">
        <v>171</v>
      </c>
      <c r="C99" s="31">
        <v>4301135768</v>
      </c>
      <c r="D99" s="278">
        <v>4620207491034</v>
      </c>
      <c r="E99" s="279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1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92"/>
      <c r="R99" s="292"/>
      <c r="S99" s="292"/>
      <c r="T99" s="293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8">
        <v>4620207491010</v>
      </c>
      <c r="E100" s="279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41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92"/>
      <c r="R100" s="292"/>
      <c r="S100" s="292"/>
      <c r="T100" s="293"/>
      <c r="U100" s="34"/>
      <c r="V100" s="34"/>
      <c r="W100" s="35" t="s">
        <v>69</v>
      </c>
      <c r="X100" s="272">
        <v>70</v>
      </c>
      <c r="Y100" s="273">
        <f t="shared" si="6"/>
        <v>70</v>
      </c>
      <c r="Z100" s="36">
        <f t="shared" si="7"/>
        <v>1.2516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78">
        <v>4607111035028</v>
      </c>
      <c r="E101" s="279"/>
      <c r="F101" s="271">
        <v>0.48</v>
      </c>
      <c r="G101" s="32">
        <v>8</v>
      </c>
      <c r="H101" s="271">
        <v>3.84</v>
      </c>
      <c r="I101" s="271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92"/>
      <c r="R101" s="292"/>
      <c r="S101" s="292"/>
      <c r="T101" s="293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8">
        <v>4607111036407</v>
      </c>
      <c r="E102" s="279"/>
      <c r="F102" s="271">
        <v>0.3</v>
      </c>
      <c r="G102" s="32">
        <v>14</v>
      </c>
      <c r="H102" s="271">
        <v>4.2</v>
      </c>
      <c r="I102" s="271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92"/>
      <c r="R102" s="292"/>
      <c r="S102" s="292"/>
      <c r="T102" s="293"/>
      <c r="U102" s="34"/>
      <c r="V102" s="34"/>
      <c r="W102" s="35" t="s">
        <v>69</v>
      </c>
      <c r="X102" s="272">
        <v>14</v>
      </c>
      <c r="Y102" s="273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6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7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4">
        <f>IFERROR(SUM(X97:X102),"0")</f>
        <v>238</v>
      </c>
      <c r="Y103" s="274">
        <f>IFERROR(SUM(Y97:Y102),"0")</f>
        <v>238</v>
      </c>
      <c r="Z103" s="274">
        <f>IFERROR(IF(Z97="",0,Z97),"0")+IFERROR(IF(Z98="",0,Z98),"0")+IFERROR(IF(Z99="",0,Z99),"0")+IFERROR(IF(Z100="",0,Z100),"0")+IFERROR(IF(Z101="",0,Z101),"0")+IFERROR(IF(Z102="",0,Z102),"0")</f>
        <v>4.2554400000000001</v>
      </c>
      <c r="AA103" s="275"/>
      <c r="AB103" s="275"/>
      <c r="AC103" s="275"/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7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4">
        <f>IFERROR(SUMPRODUCT(X97:X102*H97:H102),"0")</f>
        <v>703.92</v>
      </c>
      <c r="Y104" s="274">
        <f>IFERROR(SUMPRODUCT(Y97:Y102*H97:H102),"0")</f>
        <v>703.92</v>
      </c>
      <c r="Z104" s="37"/>
      <c r="AA104" s="275"/>
      <c r="AB104" s="275"/>
      <c r="AC104" s="275"/>
    </row>
    <row r="105" spans="1:68" ht="16.5" hidden="1" customHeight="1" x14ac:dyDescent="0.25">
      <c r="A105" s="289" t="s">
        <v>180</v>
      </c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67"/>
      <c r="AB105" s="267"/>
      <c r="AC105" s="267"/>
    </row>
    <row r="106" spans="1:68" ht="14.25" hidden="1" customHeight="1" x14ac:dyDescent="0.25">
      <c r="A106" s="336" t="s">
        <v>132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66"/>
      <c r="AB106" s="266"/>
      <c r="AC106" s="266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8">
        <v>4607025784012</v>
      </c>
      <c r="E107" s="279"/>
      <c r="F107" s="271">
        <v>0.09</v>
      </c>
      <c r="G107" s="32">
        <v>24</v>
      </c>
      <c r="H107" s="271">
        <v>2.16</v>
      </c>
      <c r="I107" s="271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3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92"/>
      <c r="R107" s="292"/>
      <c r="S107" s="292"/>
      <c r="T107" s="293"/>
      <c r="U107" s="34"/>
      <c r="V107" s="34"/>
      <c r="W107" s="35" t="s">
        <v>69</v>
      </c>
      <c r="X107" s="272">
        <v>14</v>
      </c>
      <c r="Y107" s="273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78">
        <v>4607025784319</v>
      </c>
      <c r="E108" s="279"/>
      <c r="F108" s="271">
        <v>0.36</v>
      </c>
      <c r="G108" s="32">
        <v>10</v>
      </c>
      <c r="H108" s="271">
        <v>3.6</v>
      </c>
      <c r="I108" s="271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92"/>
      <c r="R108" s="292"/>
      <c r="S108" s="292"/>
      <c r="T108" s="293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96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7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4">
        <f>IFERROR(SUM(X107:X108),"0")</f>
        <v>14</v>
      </c>
      <c r="Y109" s="274">
        <f>IFERROR(SUM(Y107:Y108),"0")</f>
        <v>14</v>
      </c>
      <c r="Z109" s="274">
        <f>IFERROR(IF(Z107="",0,Z107),"0")+IFERROR(IF(Z108="",0,Z108),"0")</f>
        <v>0.13103999999999999</v>
      </c>
      <c r="AA109" s="275"/>
      <c r="AB109" s="275"/>
      <c r="AC109" s="275"/>
    </row>
    <row r="110" spans="1:68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7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4">
        <f>IFERROR(SUMPRODUCT(X107:X108*H107:H108),"0")</f>
        <v>30.240000000000002</v>
      </c>
      <c r="Y110" s="274">
        <f>IFERROR(SUMPRODUCT(Y107:Y108*H107:H108),"0")</f>
        <v>30.240000000000002</v>
      </c>
      <c r="Z110" s="37"/>
      <c r="AA110" s="275"/>
      <c r="AB110" s="275"/>
      <c r="AC110" s="275"/>
    </row>
    <row r="111" spans="1:68" ht="16.5" hidden="1" customHeight="1" x14ac:dyDescent="0.25">
      <c r="A111" s="289" t="s">
        <v>186</v>
      </c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67"/>
      <c r="AB111" s="267"/>
      <c r="AC111" s="267"/>
    </row>
    <row r="112" spans="1:68" ht="14.25" hidden="1" customHeight="1" x14ac:dyDescent="0.25">
      <c r="A112" s="336" t="s">
        <v>63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4301071074</v>
      </c>
      <c r="D113" s="278">
        <v>4620207491157</v>
      </c>
      <c r="E113" s="279"/>
      <c r="F113" s="271">
        <v>0.7</v>
      </c>
      <c r="G113" s="32">
        <v>10</v>
      </c>
      <c r="H113" s="271">
        <v>7</v>
      </c>
      <c r="I113" s="271">
        <v>7.28</v>
      </c>
      <c r="J113" s="32">
        <v>84</v>
      </c>
      <c r="K113" s="32" t="s">
        <v>66</v>
      </c>
      <c r="L113" s="32" t="s">
        <v>108</v>
      </c>
      <c r="M113" s="33" t="s">
        <v>68</v>
      </c>
      <c r="N113" s="33"/>
      <c r="O113" s="32">
        <v>180</v>
      </c>
      <c r="P113" s="32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92"/>
      <c r="R113" s="292"/>
      <c r="S113" s="292"/>
      <c r="T113" s="293"/>
      <c r="U113" s="34"/>
      <c r="V113" s="34"/>
      <c r="W113" s="35" t="s">
        <v>69</v>
      </c>
      <c r="X113" s="272">
        <v>36</v>
      </c>
      <c r="Y113" s="273">
        <f t="shared" ref="Y113:Y120" si="12">IFERROR(IF(X113="","",X113),"")</f>
        <v>36</v>
      </c>
      <c r="Z113" s="36">
        <f t="shared" ref="Z113:Z120" si="13">IFERROR(IF(X113="","",X113*0.0155),"")</f>
        <v>0.55800000000000005</v>
      </c>
      <c r="AA113" s="56"/>
      <c r="AB113" s="57"/>
      <c r="AC113" s="146" t="s">
        <v>189</v>
      </c>
      <c r="AG113" s="67"/>
      <c r="AJ113" s="71" t="s">
        <v>110</v>
      </c>
      <c r="AK113" s="71">
        <v>12</v>
      </c>
      <c r="BB113" s="147" t="s">
        <v>1</v>
      </c>
      <c r="BM113" s="67">
        <f t="shared" ref="BM113:BM120" si="14">IFERROR(X113*I113,"0")</f>
        <v>262.08</v>
      </c>
      <c r="BN113" s="67">
        <f t="shared" ref="BN113:BN120" si="15">IFERROR(Y113*I113,"0")</f>
        <v>262.08</v>
      </c>
      <c r="BO113" s="67">
        <f t="shared" ref="BO113:BO120" si="16">IFERROR(X113/J113,"0")</f>
        <v>0.42857142857142855</v>
      </c>
      <c r="BP113" s="67">
        <f t="shared" ref="BP113:BP120" si="17">IFERROR(Y113/J113,"0")</f>
        <v>0.42857142857142855</v>
      </c>
    </row>
    <row r="114" spans="1:68" ht="27" hidden="1" customHeight="1" x14ac:dyDescent="0.25">
      <c r="A114" s="54" t="s">
        <v>190</v>
      </c>
      <c r="B114" s="54" t="s">
        <v>191</v>
      </c>
      <c r="C114" s="31">
        <v>4301071121</v>
      </c>
      <c r="D114" s="278">
        <v>4620207491393</v>
      </c>
      <c r="E114" s="279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92"/>
      <c r="R114" s="292"/>
      <c r="S114" s="292"/>
      <c r="T114" s="293"/>
      <c r="U114" s="34"/>
      <c r="V114" s="34"/>
      <c r="W114" s="35" t="s">
        <v>69</v>
      </c>
      <c r="X114" s="272">
        <v>0</v>
      </c>
      <c r="Y114" s="273">
        <f t="shared" si="12"/>
        <v>0</v>
      </c>
      <c r="Z114" s="36">
        <f t="shared" si="13"/>
        <v>0</v>
      </c>
      <c r="AA114" s="56"/>
      <c r="AB114" s="57"/>
      <c r="AC114" s="148" t="s">
        <v>192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193</v>
      </c>
      <c r="B115" s="54" t="s">
        <v>194</v>
      </c>
      <c r="C115" s="31">
        <v>4301071051</v>
      </c>
      <c r="D115" s="278">
        <v>4607111039262</v>
      </c>
      <c r="E115" s="279"/>
      <c r="F115" s="271">
        <v>0.4</v>
      </c>
      <c r="G115" s="32">
        <v>16</v>
      </c>
      <c r="H115" s="271">
        <v>6.4</v>
      </c>
      <c r="I115" s="271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92"/>
      <c r="R115" s="292"/>
      <c r="S115" s="292"/>
      <c r="T115" s="293"/>
      <c r="U115" s="34"/>
      <c r="V115" s="34"/>
      <c r="W115" s="35" t="s">
        <v>69</v>
      </c>
      <c r="X115" s="272">
        <v>36</v>
      </c>
      <c r="Y115" s="273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195</v>
      </c>
      <c r="B116" s="54" t="s">
        <v>196</v>
      </c>
      <c r="C116" s="31">
        <v>4301071038</v>
      </c>
      <c r="D116" s="278">
        <v>4607111039248</v>
      </c>
      <c r="E116" s="279"/>
      <c r="F116" s="271">
        <v>0.7</v>
      </c>
      <c r="G116" s="32">
        <v>10</v>
      </c>
      <c r="H116" s="271">
        <v>7</v>
      </c>
      <c r="I116" s="271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4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92"/>
      <c r="R116" s="292"/>
      <c r="S116" s="292"/>
      <c r="T116" s="293"/>
      <c r="U116" s="34"/>
      <c r="V116" s="34"/>
      <c r="W116" s="35" t="s">
        <v>69</v>
      </c>
      <c r="X116" s="272">
        <v>120</v>
      </c>
      <c r="Y116" s="273">
        <f t="shared" si="12"/>
        <v>120</v>
      </c>
      <c r="Z116" s="36">
        <f t="shared" si="13"/>
        <v>1.8599999999999999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ht="27" hidden="1" customHeight="1" x14ac:dyDescent="0.25">
      <c r="A117" s="54" t="s">
        <v>197</v>
      </c>
      <c r="B117" s="54" t="s">
        <v>198</v>
      </c>
      <c r="C117" s="31">
        <v>4301070979</v>
      </c>
      <c r="D117" s="278">
        <v>4607111037145</v>
      </c>
      <c r="E117" s="279"/>
      <c r="F117" s="271">
        <v>0.8</v>
      </c>
      <c r="G117" s="32">
        <v>8</v>
      </c>
      <c r="H117" s="271">
        <v>6.4</v>
      </c>
      <c r="I117" s="271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8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92"/>
      <c r="R117" s="292"/>
      <c r="S117" s="292"/>
      <c r="T117" s="293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199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200</v>
      </c>
      <c r="B118" s="54" t="s">
        <v>201</v>
      </c>
      <c r="C118" s="31">
        <v>4301071049</v>
      </c>
      <c r="D118" s="278">
        <v>4607111039293</v>
      </c>
      <c r="E118" s="279"/>
      <c r="F118" s="271">
        <v>0.4</v>
      </c>
      <c r="G118" s="32">
        <v>16</v>
      </c>
      <c r="H118" s="271">
        <v>6.4</v>
      </c>
      <c r="I118" s="271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92"/>
      <c r="R118" s="292"/>
      <c r="S118" s="292"/>
      <c r="T118" s="293"/>
      <c r="U118" s="34"/>
      <c r="V118" s="34"/>
      <c r="W118" s="35" t="s">
        <v>69</v>
      </c>
      <c r="X118" s="272">
        <v>24</v>
      </c>
      <c r="Y118" s="273">
        <f t="shared" si="12"/>
        <v>24</v>
      </c>
      <c r="Z118" s="36">
        <f t="shared" si="13"/>
        <v>0.372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202</v>
      </c>
      <c r="B119" s="54" t="s">
        <v>203</v>
      </c>
      <c r="C119" s="31">
        <v>4301071039</v>
      </c>
      <c r="D119" s="278">
        <v>4607111039279</v>
      </c>
      <c r="E119" s="279"/>
      <c r="F119" s="271">
        <v>0.7</v>
      </c>
      <c r="G119" s="32">
        <v>10</v>
      </c>
      <c r="H119" s="271">
        <v>7</v>
      </c>
      <c r="I119" s="271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92"/>
      <c r="R119" s="292"/>
      <c r="S119" s="292"/>
      <c r="T119" s="293"/>
      <c r="U119" s="34"/>
      <c r="V119" s="34"/>
      <c r="W119" s="35" t="s">
        <v>69</v>
      </c>
      <c r="X119" s="272">
        <v>156</v>
      </c>
      <c r="Y119" s="273">
        <f t="shared" si="12"/>
        <v>156</v>
      </c>
      <c r="Z119" s="36">
        <f t="shared" si="13"/>
        <v>2.4180000000000001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1138.8</v>
      </c>
      <c r="BN119" s="67">
        <f t="shared" si="15"/>
        <v>1138.8</v>
      </c>
      <c r="BO119" s="67">
        <f t="shared" si="16"/>
        <v>1.8571428571428572</v>
      </c>
      <c r="BP119" s="67">
        <f t="shared" si="17"/>
        <v>1.8571428571428572</v>
      </c>
    </row>
    <row r="120" spans="1:68" ht="27" customHeight="1" x14ac:dyDescent="0.25">
      <c r="A120" s="54" t="s">
        <v>204</v>
      </c>
      <c r="B120" s="54" t="s">
        <v>205</v>
      </c>
      <c r="C120" s="31">
        <v>4301071075</v>
      </c>
      <c r="D120" s="278">
        <v>4620207491102</v>
      </c>
      <c r="E120" s="279"/>
      <c r="F120" s="271">
        <v>0.7</v>
      </c>
      <c r="G120" s="32">
        <v>10</v>
      </c>
      <c r="H120" s="271">
        <v>7</v>
      </c>
      <c r="I120" s="271">
        <v>7.23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1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92"/>
      <c r="R120" s="292"/>
      <c r="S120" s="292"/>
      <c r="T120" s="293"/>
      <c r="U120" s="34"/>
      <c r="V120" s="34"/>
      <c r="W120" s="35" t="s">
        <v>69</v>
      </c>
      <c r="X120" s="272">
        <v>12</v>
      </c>
      <c r="Y120" s="273">
        <f t="shared" si="12"/>
        <v>12</v>
      </c>
      <c r="Z120" s="36">
        <f t="shared" si="13"/>
        <v>0.186</v>
      </c>
      <c r="AA120" s="56"/>
      <c r="AB120" s="57"/>
      <c r="AC120" s="160" t="s">
        <v>206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86.76</v>
      </c>
      <c r="BN120" s="67">
        <f t="shared" si="15"/>
        <v>86.76</v>
      </c>
      <c r="BO120" s="67">
        <f t="shared" si="16"/>
        <v>0.14285714285714285</v>
      </c>
      <c r="BP120" s="67">
        <f t="shared" si="17"/>
        <v>0.14285714285714285</v>
      </c>
    </row>
    <row r="121" spans="1:68" x14ac:dyDescent="0.2">
      <c r="A121" s="296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7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4">
        <f>IFERROR(SUM(X113:X120),"0")</f>
        <v>384</v>
      </c>
      <c r="Y121" s="274">
        <f>IFERROR(SUM(Y113:Y120),"0")</f>
        <v>384</v>
      </c>
      <c r="Z121" s="274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5.952</v>
      </c>
      <c r="AA121" s="275"/>
      <c r="AB121" s="275"/>
      <c r="AC121" s="275"/>
    </row>
    <row r="122" spans="1:68" x14ac:dyDescent="0.2">
      <c r="A122" s="290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7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4">
        <f>IFERROR(SUMPRODUCT(X113:X120*H113:H120),"0")</f>
        <v>2652</v>
      </c>
      <c r="Y122" s="274">
        <f>IFERROR(SUMPRODUCT(Y113:Y120*H113:H120),"0")</f>
        <v>2652</v>
      </c>
      <c r="Z122" s="37"/>
      <c r="AA122" s="275"/>
      <c r="AB122" s="275"/>
      <c r="AC122" s="275"/>
    </row>
    <row r="123" spans="1:68" ht="14.25" hidden="1" customHeight="1" x14ac:dyDescent="0.25">
      <c r="A123" s="336" t="s">
        <v>138</v>
      </c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  <c r="Q123" s="290"/>
      <c r="R123" s="290"/>
      <c r="S123" s="290"/>
      <c r="T123" s="290"/>
      <c r="U123" s="290"/>
      <c r="V123" s="290"/>
      <c r="W123" s="290"/>
      <c r="X123" s="290"/>
      <c r="Y123" s="290"/>
      <c r="Z123" s="290"/>
      <c r="AA123" s="266"/>
      <c r="AB123" s="266"/>
      <c r="AC123" s="266"/>
    </row>
    <row r="124" spans="1:68" ht="27" hidden="1" customHeight="1" x14ac:dyDescent="0.25">
      <c r="A124" s="54" t="s">
        <v>207</v>
      </c>
      <c r="B124" s="54" t="s">
        <v>208</v>
      </c>
      <c r="C124" s="31">
        <v>4301135670</v>
      </c>
      <c r="D124" s="278">
        <v>4620207490983</v>
      </c>
      <c r="E124" s="279"/>
      <c r="F124" s="271">
        <v>0.22</v>
      </c>
      <c r="G124" s="32">
        <v>12</v>
      </c>
      <c r="H124" s="271">
        <v>2.64</v>
      </c>
      <c r="I124" s="271">
        <v>3.3435999999999999</v>
      </c>
      <c r="J124" s="32">
        <v>70</v>
      </c>
      <c r="K124" s="32" t="s">
        <v>95</v>
      </c>
      <c r="L124" s="32" t="s">
        <v>108</v>
      </c>
      <c r="M124" s="33" t="s">
        <v>68</v>
      </c>
      <c r="N124" s="33"/>
      <c r="O124" s="32">
        <v>180</v>
      </c>
      <c r="P124" s="463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92"/>
      <c r="R124" s="292"/>
      <c r="S124" s="292"/>
      <c r="T124" s="293"/>
      <c r="U124" s="34"/>
      <c r="V124" s="34"/>
      <c r="W124" s="35" t="s">
        <v>69</v>
      </c>
      <c r="X124" s="272">
        <v>0</v>
      </c>
      <c r="Y124" s="273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209</v>
      </c>
      <c r="AG124" s="67"/>
      <c r="AJ124" s="71" t="s">
        <v>110</v>
      </c>
      <c r="AK124" s="71">
        <v>14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210</v>
      </c>
      <c r="B125" s="54" t="s">
        <v>211</v>
      </c>
      <c r="C125" s="31">
        <v>4301135826</v>
      </c>
      <c r="D125" s="278">
        <v>4620207490983</v>
      </c>
      <c r="E125" s="279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39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2"/>
      <c r="R125" s="292"/>
      <c r="S125" s="292"/>
      <c r="T125" s="293"/>
      <c r="U125" s="34"/>
      <c r="V125" s="34"/>
      <c r="W125" s="35" t="s">
        <v>69</v>
      </c>
      <c r="X125" s="272">
        <v>14</v>
      </c>
      <c r="Y125" s="273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212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96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7"/>
      <c r="P126" s="280" t="s">
        <v>82</v>
      </c>
      <c r="Q126" s="281"/>
      <c r="R126" s="281"/>
      <c r="S126" s="281"/>
      <c r="T126" s="281"/>
      <c r="U126" s="281"/>
      <c r="V126" s="282"/>
      <c r="W126" s="37" t="s">
        <v>69</v>
      </c>
      <c r="X126" s="274">
        <f>IFERROR(SUM(X124:X125),"0")</f>
        <v>14</v>
      </c>
      <c r="Y126" s="274">
        <f>IFERROR(SUM(Y124:Y125),"0")</f>
        <v>14</v>
      </c>
      <c r="Z126" s="274">
        <f>IFERROR(IF(Z124="",0,Z124),"0")+IFERROR(IF(Z125="",0,Z125),"0")</f>
        <v>0.25031999999999999</v>
      </c>
      <c r="AA126" s="275"/>
      <c r="AB126" s="275"/>
      <c r="AC126" s="275"/>
    </row>
    <row r="127" spans="1:68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7"/>
      <c r="P127" s="280" t="s">
        <v>82</v>
      </c>
      <c r="Q127" s="281"/>
      <c r="R127" s="281"/>
      <c r="S127" s="281"/>
      <c r="T127" s="281"/>
      <c r="U127" s="281"/>
      <c r="V127" s="282"/>
      <c r="W127" s="37" t="s">
        <v>83</v>
      </c>
      <c r="X127" s="274">
        <f>IFERROR(SUMPRODUCT(X124:X125*H124:H125),"0")</f>
        <v>36.96</v>
      </c>
      <c r="Y127" s="274">
        <f>IFERROR(SUMPRODUCT(Y124:Y125*H124:H125),"0")</f>
        <v>36.96</v>
      </c>
      <c r="Z127" s="37"/>
      <c r="AA127" s="275"/>
      <c r="AB127" s="275"/>
      <c r="AC127" s="275"/>
    </row>
    <row r="128" spans="1:68" ht="14.25" hidden="1" customHeight="1" x14ac:dyDescent="0.25">
      <c r="A128" s="336" t="s">
        <v>213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66"/>
      <c r="AB128" s="266"/>
      <c r="AC128" s="266"/>
    </row>
    <row r="129" spans="1:68" ht="27" hidden="1" customHeight="1" x14ac:dyDescent="0.25">
      <c r="A129" s="54" t="s">
        <v>214</v>
      </c>
      <c r="B129" s="54" t="s">
        <v>215</v>
      </c>
      <c r="C129" s="31">
        <v>4301071094</v>
      </c>
      <c r="D129" s="278">
        <v>4620207491140</v>
      </c>
      <c r="E129" s="279"/>
      <c r="F129" s="271">
        <v>0.6</v>
      </c>
      <c r="G129" s="32">
        <v>10</v>
      </c>
      <c r="H129" s="271">
        <v>6</v>
      </c>
      <c r="I129" s="271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2"/>
      <c r="R129" s="292"/>
      <c r="S129" s="292"/>
      <c r="T129" s="293"/>
      <c r="U129" s="34"/>
      <c r="V129" s="34"/>
      <c r="W129" s="35" t="s">
        <v>69</v>
      </c>
      <c r="X129" s="272">
        <v>0</v>
      </c>
      <c r="Y129" s="273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216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96"/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7"/>
      <c r="P130" s="280" t="s">
        <v>82</v>
      </c>
      <c r="Q130" s="281"/>
      <c r="R130" s="281"/>
      <c r="S130" s="281"/>
      <c r="T130" s="281"/>
      <c r="U130" s="281"/>
      <c r="V130" s="282"/>
      <c r="W130" s="37" t="s">
        <v>69</v>
      </c>
      <c r="X130" s="274">
        <f>IFERROR(SUM(X129:X129),"0")</f>
        <v>0</v>
      </c>
      <c r="Y130" s="274">
        <f>IFERROR(SUM(Y129:Y129),"0")</f>
        <v>0</v>
      </c>
      <c r="Z130" s="274">
        <f>IFERROR(IF(Z129="",0,Z129),"0")</f>
        <v>0</v>
      </c>
      <c r="AA130" s="275"/>
      <c r="AB130" s="275"/>
      <c r="AC130" s="275"/>
    </row>
    <row r="131" spans="1:68" hidden="1" x14ac:dyDescent="0.2">
      <c r="A131" s="290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7"/>
      <c r="P131" s="280" t="s">
        <v>82</v>
      </c>
      <c r="Q131" s="281"/>
      <c r="R131" s="281"/>
      <c r="S131" s="281"/>
      <c r="T131" s="281"/>
      <c r="U131" s="281"/>
      <c r="V131" s="282"/>
      <c r="W131" s="37" t="s">
        <v>83</v>
      </c>
      <c r="X131" s="274">
        <f>IFERROR(SUMPRODUCT(X129:X129*H129:H129),"0")</f>
        <v>0</v>
      </c>
      <c r="Y131" s="274">
        <f>IFERROR(SUMPRODUCT(Y129:Y129*H129:H129),"0")</f>
        <v>0</v>
      </c>
      <c r="Z131" s="37"/>
      <c r="AA131" s="275"/>
      <c r="AB131" s="275"/>
      <c r="AC131" s="275"/>
    </row>
    <row r="132" spans="1:68" ht="16.5" hidden="1" customHeight="1" x14ac:dyDescent="0.25">
      <c r="A132" s="289" t="s">
        <v>217</v>
      </c>
      <c r="B132" s="290"/>
      <c r="C132" s="290"/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0"/>
      <c r="P132" s="290"/>
      <c r="Q132" s="290"/>
      <c r="R132" s="290"/>
      <c r="S132" s="290"/>
      <c r="T132" s="290"/>
      <c r="U132" s="290"/>
      <c r="V132" s="290"/>
      <c r="W132" s="290"/>
      <c r="X132" s="290"/>
      <c r="Y132" s="290"/>
      <c r="Z132" s="290"/>
      <c r="AA132" s="267"/>
      <c r="AB132" s="267"/>
      <c r="AC132" s="267"/>
    </row>
    <row r="133" spans="1:68" ht="14.25" hidden="1" customHeight="1" x14ac:dyDescent="0.25">
      <c r="A133" s="336" t="s">
        <v>138</v>
      </c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90"/>
      <c r="Q133" s="290"/>
      <c r="R133" s="290"/>
      <c r="S133" s="290"/>
      <c r="T133" s="290"/>
      <c r="U133" s="290"/>
      <c r="V133" s="290"/>
      <c r="W133" s="290"/>
      <c r="X133" s="290"/>
      <c r="Y133" s="290"/>
      <c r="Z133" s="290"/>
      <c r="AA133" s="266"/>
      <c r="AB133" s="266"/>
      <c r="AC133" s="266"/>
    </row>
    <row r="134" spans="1:68" ht="27" customHeight="1" x14ac:dyDescent="0.25">
      <c r="A134" s="54" t="s">
        <v>218</v>
      </c>
      <c r="B134" s="54" t="s">
        <v>219</v>
      </c>
      <c r="C134" s="31">
        <v>4301135555</v>
      </c>
      <c r="D134" s="278">
        <v>4607111034014</v>
      </c>
      <c r="E134" s="279"/>
      <c r="F134" s="271">
        <v>0.25</v>
      </c>
      <c r="G134" s="32">
        <v>12</v>
      </c>
      <c r="H134" s="271">
        <v>3</v>
      </c>
      <c r="I134" s="271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92"/>
      <c r="R134" s="292"/>
      <c r="S134" s="292"/>
      <c r="T134" s="293"/>
      <c r="U134" s="34"/>
      <c r="V134" s="34"/>
      <c r="W134" s="35" t="s">
        <v>69</v>
      </c>
      <c r="X134" s="272">
        <v>154</v>
      </c>
      <c r="Y134" s="273">
        <f>IFERROR(IF(X134="","",X134),"")</f>
        <v>154</v>
      </c>
      <c r="Z134" s="36">
        <f>IFERROR(IF(X134="","",X134*0.01788),"")</f>
        <v>2.75352</v>
      </c>
      <c r="AA134" s="56"/>
      <c r="AB134" s="57"/>
      <c r="AC134" s="168" t="s">
        <v>220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570.35439999999994</v>
      </c>
      <c r="BN134" s="67">
        <f>IFERROR(Y134*I134,"0")</f>
        <v>570.35439999999994</v>
      </c>
      <c r="BO134" s="67">
        <f>IFERROR(X134/J134,"0")</f>
        <v>2.2000000000000002</v>
      </c>
      <c r="BP134" s="67">
        <f>IFERROR(Y134/J134,"0")</f>
        <v>2.2000000000000002</v>
      </c>
    </row>
    <row r="135" spans="1:68" ht="27" customHeight="1" x14ac:dyDescent="0.25">
      <c r="A135" s="54" t="s">
        <v>221</v>
      </c>
      <c r="B135" s="54" t="s">
        <v>222</v>
      </c>
      <c r="C135" s="31">
        <v>4301135532</v>
      </c>
      <c r="D135" s="278">
        <v>4607111033994</v>
      </c>
      <c r="E135" s="279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92"/>
      <c r="R135" s="292"/>
      <c r="S135" s="292"/>
      <c r="T135" s="293"/>
      <c r="U135" s="34"/>
      <c r="V135" s="34"/>
      <c r="W135" s="35" t="s">
        <v>69</v>
      </c>
      <c r="X135" s="272">
        <v>196</v>
      </c>
      <c r="Y135" s="273">
        <f>IFERROR(IF(X135="","",X135),"")</f>
        <v>196</v>
      </c>
      <c r="Z135" s="36">
        <f>IFERROR(IF(X135="","",X135*0.01788),"")</f>
        <v>3.50448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725.90559999999994</v>
      </c>
      <c r="BN135" s="67">
        <f>IFERROR(Y135*I135,"0")</f>
        <v>725.90559999999994</v>
      </c>
      <c r="BO135" s="67">
        <f>IFERROR(X135/J135,"0")</f>
        <v>2.8</v>
      </c>
      <c r="BP135" s="67">
        <f>IFERROR(Y135/J135,"0")</f>
        <v>2.8</v>
      </c>
    </row>
    <row r="136" spans="1:68" x14ac:dyDescent="0.2">
      <c r="A136" s="296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7"/>
      <c r="P136" s="280" t="s">
        <v>82</v>
      </c>
      <c r="Q136" s="281"/>
      <c r="R136" s="281"/>
      <c r="S136" s="281"/>
      <c r="T136" s="281"/>
      <c r="U136" s="281"/>
      <c r="V136" s="282"/>
      <c r="W136" s="37" t="s">
        <v>69</v>
      </c>
      <c r="X136" s="274">
        <f>IFERROR(SUM(X134:X135),"0")</f>
        <v>350</v>
      </c>
      <c r="Y136" s="274">
        <f>IFERROR(SUM(Y134:Y135),"0")</f>
        <v>350</v>
      </c>
      <c r="Z136" s="274">
        <f>IFERROR(IF(Z134="",0,Z134),"0")+IFERROR(IF(Z135="",0,Z135),"0")</f>
        <v>6.258</v>
      </c>
      <c r="AA136" s="275"/>
      <c r="AB136" s="275"/>
      <c r="AC136" s="275"/>
    </row>
    <row r="137" spans="1:68" x14ac:dyDescent="0.2">
      <c r="A137" s="290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7"/>
      <c r="P137" s="280" t="s">
        <v>82</v>
      </c>
      <c r="Q137" s="281"/>
      <c r="R137" s="281"/>
      <c r="S137" s="281"/>
      <c r="T137" s="281"/>
      <c r="U137" s="281"/>
      <c r="V137" s="282"/>
      <c r="W137" s="37" t="s">
        <v>83</v>
      </c>
      <c r="X137" s="274">
        <f>IFERROR(SUMPRODUCT(X134:X135*H134:H135),"0")</f>
        <v>1050</v>
      </c>
      <c r="Y137" s="274">
        <f>IFERROR(SUMPRODUCT(Y134:Y135*H134:H135),"0")</f>
        <v>1050</v>
      </c>
      <c r="Z137" s="37"/>
      <c r="AA137" s="275"/>
      <c r="AB137" s="275"/>
      <c r="AC137" s="275"/>
    </row>
    <row r="138" spans="1:68" ht="16.5" hidden="1" customHeight="1" x14ac:dyDescent="0.25">
      <c r="A138" s="289" t="s">
        <v>223</v>
      </c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  <c r="Q138" s="290"/>
      <c r="R138" s="290"/>
      <c r="S138" s="290"/>
      <c r="T138" s="290"/>
      <c r="U138" s="290"/>
      <c r="V138" s="290"/>
      <c r="W138" s="290"/>
      <c r="X138" s="290"/>
      <c r="Y138" s="290"/>
      <c r="Z138" s="290"/>
      <c r="AA138" s="267"/>
      <c r="AB138" s="267"/>
      <c r="AC138" s="267"/>
    </row>
    <row r="139" spans="1:68" ht="14.25" hidden="1" customHeight="1" x14ac:dyDescent="0.25">
      <c r="A139" s="336" t="s">
        <v>138</v>
      </c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90"/>
      <c r="Q139" s="290"/>
      <c r="R139" s="290"/>
      <c r="S139" s="290"/>
      <c r="T139" s="290"/>
      <c r="U139" s="290"/>
      <c r="V139" s="290"/>
      <c r="W139" s="290"/>
      <c r="X139" s="290"/>
      <c r="Y139" s="290"/>
      <c r="Z139" s="290"/>
      <c r="AA139" s="266"/>
      <c r="AB139" s="266"/>
      <c r="AC139" s="266"/>
    </row>
    <row r="140" spans="1:68" ht="27" customHeight="1" x14ac:dyDescent="0.25">
      <c r="A140" s="54" t="s">
        <v>224</v>
      </c>
      <c r="B140" s="54" t="s">
        <v>225</v>
      </c>
      <c r="C140" s="31">
        <v>4301135824</v>
      </c>
      <c r="D140" s="278">
        <v>4607111039095</v>
      </c>
      <c r="E140" s="279"/>
      <c r="F140" s="271">
        <v>0.25</v>
      </c>
      <c r="G140" s="32">
        <v>12</v>
      </c>
      <c r="H140" s="271">
        <v>3</v>
      </c>
      <c r="I140" s="271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92"/>
      <c r="R140" s="292"/>
      <c r="S140" s="292"/>
      <c r="T140" s="293"/>
      <c r="U140" s="34"/>
      <c r="V140" s="34"/>
      <c r="W140" s="35" t="s">
        <v>69</v>
      </c>
      <c r="X140" s="272">
        <v>42</v>
      </c>
      <c r="Y140" s="273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226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157.416</v>
      </c>
      <c r="BN140" s="67">
        <f>IFERROR(Y140*I140,"0")</f>
        <v>157.416</v>
      </c>
      <c r="BO140" s="67">
        <f>IFERROR(X140/J140,"0")</f>
        <v>0.6</v>
      </c>
      <c r="BP140" s="67">
        <f>IFERROR(Y140/J140,"0")</f>
        <v>0.6</v>
      </c>
    </row>
    <row r="141" spans="1:68" ht="16.5" customHeight="1" x14ac:dyDescent="0.25">
      <c r="A141" s="54" t="s">
        <v>227</v>
      </c>
      <c r="B141" s="54" t="s">
        <v>228</v>
      </c>
      <c r="C141" s="31">
        <v>4301135550</v>
      </c>
      <c r="D141" s="278">
        <v>4607111034199</v>
      </c>
      <c r="E141" s="279"/>
      <c r="F141" s="271">
        <v>0.25</v>
      </c>
      <c r="G141" s="32">
        <v>12</v>
      </c>
      <c r="H141" s="271">
        <v>3</v>
      </c>
      <c r="I141" s="271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92"/>
      <c r="R141" s="292"/>
      <c r="S141" s="292"/>
      <c r="T141" s="293"/>
      <c r="U141" s="34"/>
      <c r="V141" s="34"/>
      <c r="W141" s="35" t="s">
        <v>69</v>
      </c>
      <c r="X141" s="272">
        <v>98</v>
      </c>
      <c r="Y141" s="273">
        <f>IFERROR(IF(X141="","",X141),"")</f>
        <v>98</v>
      </c>
      <c r="Z141" s="36">
        <f>IFERROR(IF(X141="","",X141*0.01788),"")</f>
        <v>1.75224</v>
      </c>
      <c r="AA141" s="56"/>
      <c r="AB141" s="57"/>
      <c r="AC141" s="174" t="s">
        <v>229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362.95279999999997</v>
      </c>
      <c r="BN141" s="67">
        <f>IFERROR(Y141*I141,"0")</f>
        <v>362.95279999999997</v>
      </c>
      <c r="BO141" s="67">
        <f>IFERROR(X141/J141,"0")</f>
        <v>1.4</v>
      </c>
      <c r="BP141" s="67">
        <f>IFERROR(Y141/J141,"0")</f>
        <v>1.4</v>
      </c>
    </row>
    <row r="142" spans="1:68" x14ac:dyDescent="0.2">
      <c r="A142" s="296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7"/>
      <c r="P142" s="280" t="s">
        <v>82</v>
      </c>
      <c r="Q142" s="281"/>
      <c r="R142" s="281"/>
      <c r="S142" s="281"/>
      <c r="T142" s="281"/>
      <c r="U142" s="281"/>
      <c r="V142" s="282"/>
      <c r="W142" s="37" t="s">
        <v>69</v>
      </c>
      <c r="X142" s="274">
        <f>IFERROR(SUM(X140:X141),"0")</f>
        <v>140</v>
      </c>
      <c r="Y142" s="274">
        <f>IFERROR(SUM(Y140:Y141),"0")</f>
        <v>140</v>
      </c>
      <c r="Z142" s="274">
        <f>IFERROR(IF(Z140="",0,Z140),"0")+IFERROR(IF(Z141="",0,Z141),"0")</f>
        <v>2.5032000000000001</v>
      </c>
      <c r="AA142" s="275"/>
      <c r="AB142" s="275"/>
      <c r="AC142" s="275"/>
    </row>
    <row r="143" spans="1:68" x14ac:dyDescent="0.2">
      <c r="A143" s="290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7"/>
      <c r="P143" s="280" t="s">
        <v>82</v>
      </c>
      <c r="Q143" s="281"/>
      <c r="R143" s="281"/>
      <c r="S143" s="281"/>
      <c r="T143" s="281"/>
      <c r="U143" s="281"/>
      <c r="V143" s="282"/>
      <c r="W143" s="37" t="s">
        <v>83</v>
      </c>
      <c r="X143" s="274">
        <f>IFERROR(SUMPRODUCT(X140:X141*H140:H141),"0")</f>
        <v>420</v>
      </c>
      <c r="Y143" s="274">
        <f>IFERROR(SUMPRODUCT(Y140:Y141*H140:H141),"0")</f>
        <v>420</v>
      </c>
      <c r="Z143" s="37"/>
      <c r="AA143" s="275"/>
      <c r="AB143" s="275"/>
      <c r="AC143" s="275"/>
    </row>
    <row r="144" spans="1:68" ht="16.5" hidden="1" customHeight="1" x14ac:dyDescent="0.25">
      <c r="A144" s="289" t="s">
        <v>230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67"/>
      <c r="AB144" s="267"/>
      <c r="AC144" s="267"/>
    </row>
    <row r="145" spans="1:68" ht="14.25" hidden="1" customHeight="1" x14ac:dyDescent="0.25">
      <c r="A145" s="336" t="s">
        <v>138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66"/>
      <c r="AB145" s="266"/>
      <c r="AC145" s="266"/>
    </row>
    <row r="146" spans="1:68" ht="27" customHeight="1" x14ac:dyDescent="0.25">
      <c r="A146" s="54" t="s">
        <v>231</v>
      </c>
      <c r="B146" s="54" t="s">
        <v>232</v>
      </c>
      <c r="C146" s="31">
        <v>4301135753</v>
      </c>
      <c r="D146" s="278">
        <v>4620207490914</v>
      </c>
      <c r="E146" s="279"/>
      <c r="F146" s="271">
        <v>0.2</v>
      </c>
      <c r="G146" s="32">
        <v>12</v>
      </c>
      <c r="H146" s="271">
        <v>2.4</v>
      </c>
      <c r="I146" s="271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92"/>
      <c r="R146" s="292"/>
      <c r="S146" s="292"/>
      <c r="T146" s="293"/>
      <c r="U146" s="34"/>
      <c r="V146" s="34"/>
      <c r="W146" s="35" t="s">
        <v>69</v>
      </c>
      <c r="X146" s="272">
        <v>28</v>
      </c>
      <c r="Y146" s="273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220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233</v>
      </c>
      <c r="B147" s="54" t="s">
        <v>234</v>
      </c>
      <c r="C147" s="31">
        <v>4301135778</v>
      </c>
      <c r="D147" s="278">
        <v>4620207490853</v>
      </c>
      <c r="E147" s="279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2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92"/>
      <c r="R147" s="292"/>
      <c r="S147" s="292"/>
      <c r="T147" s="293"/>
      <c r="U147" s="34"/>
      <c r="V147" s="34"/>
      <c r="W147" s="35" t="s">
        <v>69</v>
      </c>
      <c r="X147" s="272">
        <v>42</v>
      </c>
      <c r="Y147" s="273">
        <f>IFERROR(IF(X147="","",X147),"")</f>
        <v>42</v>
      </c>
      <c r="Z147" s="36">
        <f>IFERROR(IF(X147="","",X147*0.01788),"")</f>
        <v>0.75095999999999996</v>
      </c>
      <c r="AA147" s="56"/>
      <c r="AB147" s="57"/>
      <c r="AC147" s="178" t="s">
        <v>220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112.56</v>
      </c>
      <c r="BN147" s="67">
        <f>IFERROR(Y147*I147,"0")</f>
        <v>112.56</v>
      </c>
      <c r="BO147" s="67">
        <f>IFERROR(X147/J147,"0")</f>
        <v>0.6</v>
      </c>
      <c r="BP147" s="67">
        <f>IFERROR(Y147/J147,"0")</f>
        <v>0.6</v>
      </c>
    </row>
    <row r="148" spans="1:68" x14ac:dyDescent="0.2">
      <c r="A148" s="296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7"/>
      <c r="P148" s="280" t="s">
        <v>82</v>
      </c>
      <c r="Q148" s="281"/>
      <c r="R148" s="281"/>
      <c r="S148" s="281"/>
      <c r="T148" s="281"/>
      <c r="U148" s="281"/>
      <c r="V148" s="282"/>
      <c r="W148" s="37" t="s">
        <v>69</v>
      </c>
      <c r="X148" s="274">
        <f>IFERROR(SUM(X146:X147),"0")</f>
        <v>70</v>
      </c>
      <c r="Y148" s="274">
        <f>IFERROR(SUM(Y146:Y147),"0")</f>
        <v>70</v>
      </c>
      <c r="Z148" s="274">
        <f>IFERROR(IF(Z146="",0,Z146),"0")+IFERROR(IF(Z147="",0,Z147),"0")</f>
        <v>1.2515999999999998</v>
      </c>
      <c r="AA148" s="275"/>
      <c r="AB148" s="275"/>
      <c r="AC148" s="275"/>
    </row>
    <row r="149" spans="1:68" x14ac:dyDescent="0.2">
      <c r="A149" s="290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7"/>
      <c r="P149" s="280" t="s">
        <v>82</v>
      </c>
      <c r="Q149" s="281"/>
      <c r="R149" s="281"/>
      <c r="S149" s="281"/>
      <c r="T149" s="281"/>
      <c r="U149" s="281"/>
      <c r="V149" s="282"/>
      <c r="W149" s="37" t="s">
        <v>83</v>
      </c>
      <c r="X149" s="274">
        <f>IFERROR(SUMPRODUCT(X146:X147*H146:H147),"0")</f>
        <v>168</v>
      </c>
      <c r="Y149" s="274">
        <f>IFERROR(SUMPRODUCT(Y146:Y147*H146:H147),"0")</f>
        <v>168</v>
      </c>
      <c r="Z149" s="37"/>
      <c r="AA149" s="275"/>
      <c r="AB149" s="275"/>
      <c r="AC149" s="275"/>
    </row>
    <row r="150" spans="1:68" ht="16.5" hidden="1" customHeight="1" x14ac:dyDescent="0.25">
      <c r="A150" s="289" t="s">
        <v>235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67"/>
      <c r="AB150" s="267"/>
      <c r="AC150" s="267"/>
    </row>
    <row r="151" spans="1:68" ht="14.25" hidden="1" customHeight="1" x14ac:dyDescent="0.25">
      <c r="A151" s="336" t="s">
        <v>138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66"/>
      <c r="AB151" s="266"/>
      <c r="AC151" s="266"/>
    </row>
    <row r="152" spans="1:68" ht="27" customHeight="1" x14ac:dyDescent="0.25">
      <c r="A152" s="54" t="s">
        <v>236</v>
      </c>
      <c r="B152" s="54" t="s">
        <v>237</v>
      </c>
      <c r="C152" s="31">
        <v>4301135570</v>
      </c>
      <c r="D152" s="278">
        <v>4607111035806</v>
      </c>
      <c r="E152" s="279"/>
      <c r="F152" s="271">
        <v>0.25</v>
      </c>
      <c r="G152" s="32">
        <v>12</v>
      </c>
      <c r="H152" s="271">
        <v>3</v>
      </c>
      <c r="I152" s="271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92"/>
      <c r="R152" s="292"/>
      <c r="S152" s="292"/>
      <c r="T152" s="293"/>
      <c r="U152" s="34"/>
      <c r="V152" s="34"/>
      <c r="W152" s="35" t="s">
        <v>69</v>
      </c>
      <c r="X152" s="272">
        <v>14</v>
      </c>
      <c r="Y152" s="273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238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96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7"/>
      <c r="P153" s="280" t="s">
        <v>82</v>
      </c>
      <c r="Q153" s="281"/>
      <c r="R153" s="281"/>
      <c r="S153" s="281"/>
      <c r="T153" s="281"/>
      <c r="U153" s="281"/>
      <c r="V153" s="282"/>
      <c r="W153" s="37" t="s">
        <v>69</v>
      </c>
      <c r="X153" s="274">
        <f>IFERROR(SUM(X152:X152),"0")</f>
        <v>14</v>
      </c>
      <c r="Y153" s="274">
        <f>IFERROR(SUM(Y152:Y152),"0")</f>
        <v>14</v>
      </c>
      <c r="Z153" s="274">
        <f>IFERROR(IF(Z152="",0,Z152),"0")</f>
        <v>0.25031999999999999</v>
      </c>
      <c r="AA153" s="275"/>
      <c r="AB153" s="275"/>
      <c r="AC153" s="275"/>
    </row>
    <row r="154" spans="1:68" x14ac:dyDescent="0.2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7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4">
        <f>IFERROR(SUMPRODUCT(X152:X152*H152:H152),"0")</f>
        <v>42</v>
      </c>
      <c r="Y154" s="274">
        <f>IFERROR(SUMPRODUCT(Y152:Y152*H152:H152),"0")</f>
        <v>42</v>
      </c>
      <c r="Z154" s="37"/>
      <c r="AA154" s="275"/>
      <c r="AB154" s="275"/>
      <c r="AC154" s="275"/>
    </row>
    <row r="155" spans="1:68" ht="16.5" hidden="1" customHeight="1" x14ac:dyDescent="0.25">
      <c r="A155" s="289" t="s">
        <v>239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67"/>
      <c r="AB155" s="267"/>
      <c r="AC155" s="267"/>
    </row>
    <row r="156" spans="1:68" ht="14.25" hidden="1" customHeight="1" x14ac:dyDescent="0.25">
      <c r="A156" s="336" t="s">
        <v>138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66"/>
      <c r="AB156" s="266"/>
      <c r="AC156" s="266"/>
    </row>
    <row r="157" spans="1:68" ht="16.5" customHeight="1" x14ac:dyDescent="0.25">
      <c r="A157" s="54" t="s">
        <v>240</v>
      </c>
      <c r="B157" s="54" t="s">
        <v>241</v>
      </c>
      <c r="C157" s="31">
        <v>4301135607</v>
      </c>
      <c r="D157" s="278">
        <v>4607111039613</v>
      </c>
      <c r="E157" s="279"/>
      <c r="F157" s="271">
        <v>0.09</v>
      </c>
      <c r="G157" s="32">
        <v>30</v>
      </c>
      <c r="H157" s="271">
        <v>2.7</v>
      </c>
      <c r="I157" s="271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92"/>
      <c r="R157" s="292"/>
      <c r="S157" s="292"/>
      <c r="T157" s="293"/>
      <c r="U157" s="34"/>
      <c r="V157" s="34"/>
      <c r="W157" s="35" t="s">
        <v>69</v>
      </c>
      <c r="X157" s="272">
        <v>14</v>
      </c>
      <c r="Y157" s="273">
        <f>IFERROR(IF(X157="","",X157),"")</f>
        <v>14</v>
      </c>
      <c r="Z157" s="36">
        <f>IFERROR(IF(X157="","",X157*0.00936),"")</f>
        <v>0.13103999999999999</v>
      </c>
      <c r="AA157" s="56"/>
      <c r="AB157" s="57"/>
      <c r="AC157" s="182" t="s">
        <v>226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43.26</v>
      </c>
      <c r="BN157" s="67">
        <f>IFERROR(Y157*I157,"0")</f>
        <v>43.26</v>
      </c>
      <c r="BO157" s="67">
        <f>IFERROR(X157/J157,"0")</f>
        <v>0.1111111111111111</v>
      </c>
      <c r="BP157" s="67">
        <f>IFERROR(Y157/J157,"0")</f>
        <v>0.1111111111111111</v>
      </c>
    </row>
    <row r="158" spans="1:68" x14ac:dyDescent="0.2">
      <c r="A158" s="296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7"/>
      <c r="P158" s="280" t="s">
        <v>82</v>
      </c>
      <c r="Q158" s="281"/>
      <c r="R158" s="281"/>
      <c r="S158" s="281"/>
      <c r="T158" s="281"/>
      <c r="U158" s="281"/>
      <c r="V158" s="282"/>
      <c r="W158" s="37" t="s">
        <v>69</v>
      </c>
      <c r="X158" s="274">
        <f>IFERROR(SUM(X157:X157),"0")</f>
        <v>14</v>
      </c>
      <c r="Y158" s="274">
        <f>IFERROR(SUM(Y157:Y157),"0")</f>
        <v>14</v>
      </c>
      <c r="Z158" s="274">
        <f>IFERROR(IF(Z157="",0,Z157),"0")</f>
        <v>0.13103999999999999</v>
      </c>
      <c r="AA158" s="275"/>
      <c r="AB158" s="275"/>
      <c r="AC158" s="275"/>
    </row>
    <row r="159" spans="1:68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7"/>
      <c r="P159" s="280" t="s">
        <v>82</v>
      </c>
      <c r="Q159" s="281"/>
      <c r="R159" s="281"/>
      <c r="S159" s="281"/>
      <c r="T159" s="281"/>
      <c r="U159" s="281"/>
      <c r="V159" s="282"/>
      <c r="W159" s="37" t="s">
        <v>83</v>
      </c>
      <c r="X159" s="274">
        <f>IFERROR(SUMPRODUCT(X157:X157*H157:H157),"0")</f>
        <v>37.800000000000004</v>
      </c>
      <c r="Y159" s="274">
        <f>IFERROR(SUMPRODUCT(Y157:Y157*H157:H157),"0")</f>
        <v>37.800000000000004</v>
      </c>
      <c r="Z159" s="37"/>
      <c r="AA159" s="275"/>
      <c r="AB159" s="275"/>
      <c r="AC159" s="275"/>
    </row>
    <row r="160" spans="1:68" ht="16.5" hidden="1" customHeight="1" x14ac:dyDescent="0.25">
      <c r="A160" s="289" t="s">
        <v>242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67"/>
      <c r="AB160" s="267"/>
      <c r="AC160" s="267"/>
    </row>
    <row r="161" spans="1:68" ht="14.25" hidden="1" customHeight="1" x14ac:dyDescent="0.25">
      <c r="A161" s="336" t="s">
        <v>213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66"/>
      <c r="AB161" s="266"/>
      <c r="AC161" s="266"/>
    </row>
    <row r="162" spans="1:68" ht="27" hidden="1" customHeight="1" x14ac:dyDescent="0.25">
      <c r="A162" s="54" t="s">
        <v>243</v>
      </c>
      <c r="B162" s="54" t="s">
        <v>244</v>
      </c>
      <c r="C162" s="31">
        <v>4301135540</v>
      </c>
      <c r="D162" s="278">
        <v>4607111035646</v>
      </c>
      <c r="E162" s="279"/>
      <c r="F162" s="271">
        <v>0.2</v>
      </c>
      <c r="G162" s="32">
        <v>8</v>
      </c>
      <c r="H162" s="271">
        <v>1.6</v>
      </c>
      <c r="I162" s="271">
        <v>2.12</v>
      </c>
      <c r="J162" s="32">
        <v>72</v>
      </c>
      <c r="K162" s="32" t="s">
        <v>245</v>
      </c>
      <c r="L162" s="32" t="s">
        <v>67</v>
      </c>
      <c r="M162" s="33" t="s">
        <v>68</v>
      </c>
      <c r="N162" s="33"/>
      <c r="O162" s="32">
        <v>180</v>
      </c>
      <c r="P162" s="41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92"/>
      <c r="R162" s="292"/>
      <c r="S162" s="292"/>
      <c r="T162" s="293"/>
      <c r="U162" s="34"/>
      <c r="V162" s="34"/>
      <c r="W162" s="35" t="s">
        <v>69</v>
      </c>
      <c r="X162" s="272">
        <v>0</v>
      </c>
      <c r="Y162" s="273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246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96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7"/>
      <c r="P163" s="280" t="s">
        <v>82</v>
      </c>
      <c r="Q163" s="281"/>
      <c r="R163" s="281"/>
      <c r="S163" s="281"/>
      <c r="T163" s="281"/>
      <c r="U163" s="281"/>
      <c r="V163" s="282"/>
      <c r="W163" s="37" t="s">
        <v>69</v>
      </c>
      <c r="X163" s="274">
        <f>IFERROR(SUM(X162:X162),"0")</f>
        <v>0</v>
      </c>
      <c r="Y163" s="274">
        <f>IFERROR(SUM(Y162:Y162),"0")</f>
        <v>0</v>
      </c>
      <c r="Z163" s="274">
        <f>IFERROR(IF(Z162="",0,Z162),"0")</f>
        <v>0</v>
      </c>
      <c r="AA163" s="275"/>
      <c r="AB163" s="275"/>
      <c r="AC163" s="275"/>
    </row>
    <row r="164" spans="1:68" hidden="1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7"/>
      <c r="P164" s="280" t="s">
        <v>82</v>
      </c>
      <c r="Q164" s="281"/>
      <c r="R164" s="281"/>
      <c r="S164" s="281"/>
      <c r="T164" s="281"/>
      <c r="U164" s="281"/>
      <c r="V164" s="282"/>
      <c r="W164" s="37" t="s">
        <v>83</v>
      </c>
      <c r="X164" s="274">
        <f>IFERROR(SUMPRODUCT(X162:X162*H162:H162),"0")</f>
        <v>0</v>
      </c>
      <c r="Y164" s="274">
        <f>IFERROR(SUMPRODUCT(Y162:Y162*H162:H162),"0")</f>
        <v>0</v>
      </c>
      <c r="Z164" s="37"/>
      <c r="AA164" s="275"/>
      <c r="AB164" s="275"/>
      <c r="AC164" s="275"/>
    </row>
    <row r="165" spans="1:68" ht="16.5" hidden="1" customHeight="1" x14ac:dyDescent="0.25">
      <c r="A165" s="289" t="s">
        <v>247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67"/>
      <c r="AB165" s="267"/>
      <c r="AC165" s="267"/>
    </row>
    <row r="166" spans="1:68" ht="14.25" hidden="1" customHeight="1" x14ac:dyDescent="0.25">
      <c r="A166" s="336" t="s">
        <v>138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66"/>
      <c r="AB166" s="266"/>
      <c r="AC166" s="266"/>
    </row>
    <row r="167" spans="1:68" ht="27" hidden="1" customHeight="1" x14ac:dyDescent="0.25">
      <c r="A167" s="54" t="s">
        <v>248</v>
      </c>
      <c r="B167" s="54" t="s">
        <v>249</v>
      </c>
      <c r="C167" s="31">
        <v>4301135591</v>
      </c>
      <c r="D167" s="278">
        <v>4607111036568</v>
      </c>
      <c r="E167" s="279"/>
      <c r="F167" s="271">
        <v>0.28000000000000003</v>
      </c>
      <c r="G167" s="32">
        <v>6</v>
      </c>
      <c r="H167" s="271">
        <v>1.68</v>
      </c>
      <c r="I167" s="271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92"/>
      <c r="R167" s="292"/>
      <c r="S167" s="292"/>
      <c r="T167" s="293"/>
      <c r="U167" s="34"/>
      <c r="V167" s="34"/>
      <c r="W167" s="35" t="s">
        <v>69</v>
      </c>
      <c r="X167" s="272">
        <v>0</v>
      </c>
      <c r="Y167" s="273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250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6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7"/>
      <c r="P168" s="280" t="s">
        <v>82</v>
      </c>
      <c r="Q168" s="281"/>
      <c r="R168" s="281"/>
      <c r="S168" s="281"/>
      <c r="T168" s="281"/>
      <c r="U168" s="281"/>
      <c r="V168" s="282"/>
      <c r="W168" s="37" t="s">
        <v>69</v>
      </c>
      <c r="X168" s="274">
        <f>IFERROR(SUM(X167:X167),"0")</f>
        <v>0</v>
      </c>
      <c r="Y168" s="274">
        <f>IFERROR(SUM(Y167:Y167),"0")</f>
        <v>0</v>
      </c>
      <c r="Z168" s="274">
        <f>IFERROR(IF(Z167="",0,Z167),"0")</f>
        <v>0</v>
      </c>
      <c r="AA168" s="275"/>
      <c r="AB168" s="275"/>
      <c r="AC168" s="275"/>
    </row>
    <row r="169" spans="1:68" hidden="1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7"/>
      <c r="P169" s="280" t="s">
        <v>82</v>
      </c>
      <c r="Q169" s="281"/>
      <c r="R169" s="281"/>
      <c r="S169" s="281"/>
      <c r="T169" s="281"/>
      <c r="U169" s="281"/>
      <c r="V169" s="282"/>
      <c r="W169" s="37" t="s">
        <v>83</v>
      </c>
      <c r="X169" s="274">
        <f>IFERROR(SUMPRODUCT(X167:X167*H167:H167),"0")</f>
        <v>0</v>
      </c>
      <c r="Y169" s="274">
        <f>IFERROR(SUMPRODUCT(Y167:Y167*H167:H167),"0")</f>
        <v>0</v>
      </c>
      <c r="Z169" s="37"/>
      <c r="AA169" s="275"/>
      <c r="AB169" s="275"/>
      <c r="AC169" s="275"/>
    </row>
    <row r="170" spans="1:68" ht="27.75" hidden="1" customHeight="1" x14ac:dyDescent="0.2">
      <c r="A170" s="285" t="s">
        <v>251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48"/>
      <c r="AB170" s="48"/>
      <c r="AC170" s="48"/>
    </row>
    <row r="171" spans="1:68" ht="16.5" hidden="1" customHeight="1" x14ac:dyDescent="0.25">
      <c r="A171" s="289" t="s">
        <v>252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67"/>
      <c r="AB171" s="267"/>
      <c r="AC171" s="267"/>
    </row>
    <row r="172" spans="1:68" ht="14.25" hidden="1" customHeight="1" x14ac:dyDescent="0.25">
      <c r="A172" s="336" t="s">
        <v>63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66"/>
      <c r="AB172" s="266"/>
      <c r="AC172" s="266"/>
    </row>
    <row r="173" spans="1:68" ht="16.5" hidden="1" customHeight="1" x14ac:dyDescent="0.25">
      <c r="A173" s="54" t="s">
        <v>253</v>
      </c>
      <c r="B173" s="54" t="s">
        <v>254</v>
      </c>
      <c r="C173" s="31">
        <v>4301071062</v>
      </c>
      <c r="D173" s="278">
        <v>4607111036384</v>
      </c>
      <c r="E173" s="279"/>
      <c r="F173" s="271">
        <v>5</v>
      </c>
      <c r="G173" s="32">
        <v>1</v>
      </c>
      <c r="H173" s="271">
        <v>5</v>
      </c>
      <c r="I173" s="271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5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92"/>
      <c r="R173" s="292"/>
      <c r="S173" s="292"/>
      <c r="T173" s="293"/>
      <c r="U173" s="34"/>
      <c r="V173" s="34"/>
      <c r="W173" s="35" t="s">
        <v>69</v>
      </c>
      <c r="X173" s="272">
        <v>0</v>
      </c>
      <c r="Y173" s="273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255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256</v>
      </c>
      <c r="B174" s="54" t="s">
        <v>257</v>
      </c>
      <c r="C174" s="31">
        <v>4301071050</v>
      </c>
      <c r="D174" s="278">
        <v>4607111036216</v>
      </c>
      <c r="E174" s="279"/>
      <c r="F174" s="271">
        <v>5</v>
      </c>
      <c r="G174" s="32">
        <v>1</v>
      </c>
      <c r="H174" s="271">
        <v>5</v>
      </c>
      <c r="I174" s="271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92"/>
      <c r="R174" s="292"/>
      <c r="S174" s="292"/>
      <c r="T174" s="293"/>
      <c r="U174" s="34"/>
      <c r="V174" s="34"/>
      <c r="W174" s="35" t="s">
        <v>69</v>
      </c>
      <c r="X174" s="272">
        <v>60</v>
      </c>
      <c r="Y174" s="273">
        <f>IFERROR(IF(X174="","",X174),"")</f>
        <v>60</v>
      </c>
      <c r="Z174" s="36">
        <f>IFERROR(IF(X174="","",X174*0.00866),"")</f>
        <v>0.51959999999999995</v>
      </c>
      <c r="AA174" s="56"/>
      <c r="AB174" s="57"/>
      <c r="AC174" s="190" t="s">
        <v>258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312.79199999999997</v>
      </c>
      <c r="BN174" s="67">
        <f>IFERROR(Y174*I174,"0")</f>
        <v>312.79199999999997</v>
      </c>
      <c r="BO174" s="67">
        <f>IFERROR(X174/J174,"0")</f>
        <v>0.41666666666666669</v>
      </c>
      <c r="BP174" s="67">
        <f>IFERROR(Y174/J174,"0")</f>
        <v>0.41666666666666669</v>
      </c>
    </row>
    <row r="175" spans="1:68" x14ac:dyDescent="0.2">
      <c r="A175" s="296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7"/>
      <c r="P175" s="280" t="s">
        <v>82</v>
      </c>
      <c r="Q175" s="281"/>
      <c r="R175" s="281"/>
      <c r="S175" s="281"/>
      <c r="T175" s="281"/>
      <c r="U175" s="281"/>
      <c r="V175" s="282"/>
      <c r="W175" s="37" t="s">
        <v>69</v>
      </c>
      <c r="X175" s="274">
        <f>IFERROR(SUM(X173:X174),"0")</f>
        <v>60</v>
      </c>
      <c r="Y175" s="274">
        <f>IFERROR(SUM(Y173:Y174),"0")</f>
        <v>60</v>
      </c>
      <c r="Z175" s="274">
        <f>IFERROR(IF(Z173="",0,Z173),"0")+IFERROR(IF(Z174="",0,Z174),"0")</f>
        <v>0.51959999999999995</v>
      </c>
      <c r="AA175" s="275"/>
      <c r="AB175" s="275"/>
      <c r="AC175" s="275"/>
    </row>
    <row r="176" spans="1:68" x14ac:dyDescent="0.2">
      <c r="A176" s="290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7"/>
      <c r="P176" s="280" t="s">
        <v>82</v>
      </c>
      <c r="Q176" s="281"/>
      <c r="R176" s="281"/>
      <c r="S176" s="281"/>
      <c r="T176" s="281"/>
      <c r="U176" s="281"/>
      <c r="V176" s="282"/>
      <c r="W176" s="37" t="s">
        <v>83</v>
      </c>
      <c r="X176" s="274">
        <f>IFERROR(SUMPRODUCT(X173:X174*H173:H174),"0")</f>
        <v>300</v>
      </c>
      <c r="Y176" s="274">
        <f>IFERROR(SUMPRODUCT(Y173:Y174*H173:H174),"0")</f>
        <v>300</v>
      </c>
      <c r="Z176" s="37"/>
      <c r="AA176" s="275"/>
      <c r="AB176" s="275"/>
      <c r="AC176" s="275"/>
    </row>
    <row r="177" spans="1:68" ht="27.75" hidden="1" customHeight="1" x14ac:dyDescent="0.2">
      <c r="A177" s="285" t="s">
        <v>259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48"/>
      <c r="AB177" s="48"/>
      <c r="AC177" s="48"/>
    </row>
    <row r="178" spans="1:68" ht="16.5" hidden="1" customHeight="1" x14ac:dyDescent="0.25">
      <c r="A178" s="289" t="s">
        <v>260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67"/>
      <c r="AB178" s="267"/>
      <c r="AC178" s="267"/>
    </row>
    <row r="179" spans="1:68" ht="14.25" hidden="1" customHeight="1" x14ac:dyDescent="0.25">
      <c r="A179" s="336" t="s">
        <v>92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66"/>
      <c r="AB179" s="266"/>
      <c r="AC179" s="266"/>
    </row>
    <row r="180" spans="1:68" ht="16.5" customHeight="1" x14ac:dyDescent="0.25">
      <c r="A180" s="54" t="s">
        <v>261</v>
      </c>
      <c r="B180" s="54" t="s">
        <v>262</v>
      </c>
      <c r="C180" s="31">
        <v>4301132179</v>
      </c>
      <c r="D180" s="278">
        <v>4607111035691</v>
      </c>
      <c r="E180" s="279"/>
      <c r="F180" s="271">
        <v>0.25</v>
      </c>
      <c r="G180" s="32">
        <v>12</v>
      </c>
      <c r="H180" s="271">
        <v>3</v>
      </c>
      <c r="I180" s="271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8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92"/>
      <c r="R180" s="292"/>
      <c r="S180" s="292"/>
      <c r="T180" s="293"/>
      <c r="U180" s="34"/>
      <c r="V180" s="34"/>
      <c r="W180" s="35" t="s">
        <v>69</v>
      </c>
      <c r="X180" s="272">
        <v>126</v>
      </c>
      <c r="Y180" s="273">
        <f>IFERROR(IF(X180="","",X180),"")</f>
        <v>126</v>
      </c>
      <c r="Z180" s="36">
        <f>IFERROR(IF(X180="","",X180*0.01788),"")</f>
        <v>2.2528800000000002</v>
      </c>
      <c r="AA180" s="56"/>
      <c r="AB180" s="57"/>
      <c r="AC180" s="192" t="s">
        <v>263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426.88799999999998</v>
      </c>
      <c r="BN180" s="67">
        <f>IFERROR(Y180*I180,"0")</f>
        <v>426.88799999999998</v>
      </c>
      <c r="BO180" s="67">
        <f>IFERROR(X180/J180,"0")</f>
        <v>1.8</v>
      </c>
      <c r="BP180" s="67">
        <f>IFERROR(Y180/J180,"0")</f>
        <v>1.8</v>
      </c>
    </row>
    <row r="181" spans="1:68" ht="27" customHeight="1" x14ac:dyDescent="0.25">
      <c r="A181" s="54" t="s">
        <v>264</v>
      </c>
      <c r="B181" s="54" t="s">
        <v>265</v>
      </c>
      <c r="C181" s="31">
        <v>4301132182</v>
      </c>
      <c r="D181" s="278">
        <v>4607111035721</v>
      </c>
      <c r="E181" s="279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92"/>
      <c r="R181" s="292"/>
      <c r="S181" s="292"/>
      <c r="T181" s="293"/>
      <c r="U181" s="34"/>
      <c r="V181" s="34"/>
      <c r="W181" s="35" t="s">
        <v>69</v>
      </c>
      <c r="X181" s="272">
        <v>84</v>
      </c>
      <c r="Y181" s="273">
        <f>IFERROR(IF(X181="","",X181),"")</f>
        <v>84</v>
      </c>
      <c r="Z181" s="36">
        <f>IFERROR(IF(X181="","",X181*0.01788),"")</f>
        <v>1.5019199999999999</v>
      </c>
      <c r="AA181" s="56"/>
      <c r="AB181" s="57"/>
      <c r="AC181" s="194" t="s">
        <v>266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284.59199999999998</v>
      </c>
      <c r="BN181" s="67">
        <f>IFERROR(Y181*I181,"0")</f>
        <v>284.59199999999998</v>
      </c>
      <c r="BO181" s="67">
        <f>IFERROR(X181/J181,"0")</f>
        <v>1.2</v>
      </c>
      <c r="BP181" s="67">
        <f>IFERROR(Y181/J181,"0")</f>
        <v>1.2</v>
      </c>
    </row>
    <row r="182" spans="1:68" ht="27" customHeight="1" x14ac:dyDescent="0.25">
      <c r="A182" s="54" t="s">
        <v>267</v>
      </c>
      <c r="B182" s="54" t="s">
        <v>268</v>
      </c>
      <c r="C182" s="31">
        <v>4301132170</v>
      </c>
      <c r="D182" s="278">
        <v>4607111038487</v>
      </c>
      <c r="E182" s="279"/>
      <c r="F182" s="271">
        <v>0.25</v>
      </c>
      <c r="G182" s="32">
        <v>12</v>
      </c>
      <c r="H182" s="271">
        <v>3</v>
      </c>
      <c r="I182" s="271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4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92"/>
      <c r="R182" s="292"/>
      <c r="S182" s="292"/>
      <c r="T182" s="293"/>
      <c r="U182" s="34"/>
      <c r="V182" s="34"/>
      <c r="W182" s="35" t="s">
        <v>69</v>
      </c>
      <c r="X182" s="272">
        <v>56</v>
      </c>
      <c r="Y182" s="273">
        <f>IFERROR(IF(X182="","",X182),"")</f>
        <v>56</v>
      </c>
      <c r="Z182" s="36">
        <f>IFERROR(IF(X182="","",X182*0.01788),"")</f>
        <v>1.0012799999999999</v>
      </c>
      <c r="AA182" s="56"/>
      <c r="AB182" s="57"/>
      <c r="AC182" s="196" t="s">
        <v>269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209.21600000000001</v>
      </c>
      <c r="BN182" s="67">
        <f>IFERROR(Y182*I182,"0")</f>
        <v>209.21600000000001</v>
      </c>
      <c r="BO182" s="67">
        <f>IFERROR(X182/J182,"0")</f>
        <v>0.8</v>
      </c>
      <c r="BP182" s="67">
        <f>IFERROR(Y182/J182,"0")</f>
        <v>0.8</v>
      </c>
    </row>
    <row r="183" spans="1:68" x14ac:dyDescent="0.2">
      <c r="A183" s="296"/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7"/>
      <c r="P183" s="280" t="s">
        <v>82</v>
      </c>
      <c r="Q183" s="281"/>
      <c r="R183" s="281"/>
      <c r="S183" s="281"/>
      <c r="T183" s="281"/>
      <c r="U183" s="281"/>
      <c r="V183" s="282"/>
      <c r="W183" s="37" t="s">
        <v>69</v>
      </c>
      <c r="X183" s="274">
        <f>IFERROR(SUM(X180:X182),"0")</f>
        <v>266</v>
      </c>
      <c r="Y183" s="274">
        <f>IFERROR(SUM(Y180:Y182),"0")</f>
        <v>266</v>
      </c>
      <c r="Z183" s="274">
        <f>IFERROR(IF(Z180="",0,Z180),"0")+IFERROR(IF(Z181="",0,Z181),"0")+IFERROR(IF(Z182="",0,Z182),"0")</f>
        <v>4.7560800000000008</v>
      </c>
      <c r="AA183" s="275"/>
      <c r="AB183" s="275"/>
      <c r="AC183" s="275"/>
    </row>
    <row r="184" spans="1:68" x14ac:dyDescent="0.2">
      <c r="A184" s="290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7"/>
      <c r="P184" s="280" t="s">
        <v>82</v>
      </c>
      <c r="Q184" s="281"/>
      <c r="R184" s="281"/>
      <c r="S184" s="281"/>
      <c r="T184" s="281"/>
      <c r="U184" s="281"/>
      <c r="V184" s="282"/>
      <c r="W184" s="37" t="s">
        <v>83</v>
      </c>
      <c r="X184" s="274">
        <f>IFERROR(SUMPRODUCT(X180:X182*H180:H182),"0")</f>
        <v>798</v>
      </c>
      <c r="Y184" s="274">
        <f>IFERROR(SUMPRODUCT(Y180:Y182*H180:H182),"0")</f>
        <v>798</v>
      </c>
      <c r="Z184" s="37"/>
      <c r="AA184" s="275"/>
      <c r="AB184" s="275"/>
      <c r="AC184" s="275"/>
    </row>
    <row r="185" spans="1:68" ht="14.25" hidden="1" customHeight="1" x14ac:dyDescent="0.25">
      <c r="A185" s="336" t="s">
        <v>270</v>
      </c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0"/>
      <c r="P185" s="290"/>
      <c r="Q185" s="290"/>
      <c r="R185" s="290"/>
      <c r="S185" s="290"/>
      <c r="T185" s="290"/>
      <c r="U185" s="290"/>
      <c r="V185" s="290"/>
      <c r="W185" s="290"/>
      <c r="X185" s="290"/>
      <c r="Y185" s="290"/>
      <c r="Z185" s="290"/>
      <c r="AA185" s="266"/>
      <c r="AB185" s="266"/>
      <c r="AC185" s="266"/>
    </row>
    <row r="186" spans="1:68" ht="27" hidden="1" customHeight="1" x14ac:dyDescent="0.25">
      <c r="A186" s="54" t="s">
        <v>271</v>
      </c>
      <c r="B186" s="54" t="s">
        <v>272</v>
      </c>
      <c r="C186" s="31">
        <v>4301051855</v>
      </c>
      <c r="D186" s="278">
        <v>4680115885875</v>
      </c>
      <c r="E186" s="279"/>
      <c r="F186" s="271">
        <v>1</v>
      </c>
      <c r="G186" s="32">
        <v>9</v>
      </c>
      <c r="H186" s="271">
        <v>9</v>
      </c>
      <c r="I186" s="271">
        <v>9.41</v>
      </c>
      <c r="J186" s="32">
        <v>64</v>
      </c>
      <c r="K186" s="32" t="s">
        <v>273</v>
      </c>
      <c r="L186" s="32" t="s">
        <v>67</v>
      </c>
      <c r="M186" s="33" t="s">
        <v>274</v>
      </c>
      <c r="N186" s="33"/>
      <c r="O186" s="32">
        <v>365</v>
      </c>
      <c r="P186" s="445" t="s">
        <v>275</v>
      </c>
      <c r="Q186" s="292"/>
      <c r="R186" s="292"/>
      <c r="S186" s="292"/>
      <c r="T186" s="293"/>
      <c r="U186" s="34"/>
      <c r="V186" s="34"/>
      <c r="W186" s="35" t="s">
        <v>69</v>
      </c>
      <c r="X186" s="272">
        <v>0</v>
      </c>
      <c r="Y186" s="273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276</v>
      </c>
      <c r="AG186" s="67"/>
      <c r="AJ186" s="71" t="s">
        <v>71</v>
      </c>
      <c r="AK186" s="71">
        <v>1</v>
      </c>
      <c r="BB186" s="199" t="s">
        <v>277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96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7"/>
      <c r="P187" s="280" t="s">
        <v>82</v>
      </c>
      <c r="Q187" s="281"/>
      <c r="R187" s="281"/>
      <c r="S187" s="281"/>
      <c r="T187" s="281"/>
      <c r="U187" s="281"/>
      <c r="V187" s="282"/>
      <c r="W187" s="37" t="s">
        <v>69</v>
      </c>
      <c r="X187" s="274">
        <f>IFERROR(SUM(X186:X186),"0")</f>
        <v>0</v>
      </c>
      <c r="Y187" s="274">
        <f>IFERROR(SUM(Y186:Y186),"0")</f>
        <v>0</v>
      </c>
      <c r="Z187" s="274">
        <f>IFERROR(IF(Z186="",0,Z186),"0")</f>
        <v>0</v>
      </c>
      <c r="AA187" s="275"/>
      <c r="AB187" s="275"/>
      <c r="AC187" s="275"/>
    </row>
    <row r="188" spans="1:68" hidden="1" x14ac:dyDescent="0.2">
      <c r="A188" s="290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7"/>
      <c r="P188" s="280" t="s">
        <v>82</v>
      </c>
      <c r="Q188" s="281"/>
      <c r="R188" s="281"/>
      <c r="S188" s="281"/>
      <c r="T188" s="281"/>
      <c r="U188" s="281"/>
      <c r="V188" s="282"/>
      <c r="W188" s="37" t="s">
        <v>83</v>
      </c>
      <c r="X188" s="274">
        <f>IFERROR(SUMPRODUCT(X186:X186*H186:H186),"0")</f>
        <v>0</v>
      </c>
      <c r="Y188" s="274">
        <f>IFERROR(SUMPRODUCT(Y186:Y186*H186:H186),"0")</f>
        <v>0</v>
      </c>
      <c r="Z188" s="37"/>
      <c r="AA188" s="275"/>
      <c r="AB188" s="275"/>
      <c r="AC188" s="275"/>
    </row>
    <row r="189" spans="1:68" ht="27.75" hidden="1" customHeight="1" x14ac:dyDescent="0.2">
      <c r="A189" s="285" t="s">
        <v>278</v>
      </c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48"/>
      <c r="AB189" s="48"/>
      <c r="AC189" s="48"/>
    </row>
    <row r="190" spans="1:68" ht="16.5" hidden="1" customHeight="1" x14ac:dyDescent="0.25">
      <c r="A190" s="289" t="s">
        <v>279</v>
      </c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  <c r="AA190" s="267"/>
      <c r="AB190" s="267"/>
      <c r="AC190" s="267"/>
    </row>
    <row r="191" spans="1:68" ht="14.25" hidden="1" customHeight="1" x14ac:dyDescent="0.25">
      <c r="A191" s="336" t="s">
        <v>92</v>
      </c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0"/>
      <c r="P191" s="290"/>
      <c r="Q191" s="290"/>
      <c r="R191" s="290"/>
      <c r="S191" s="290"/>
      <c r="T191" s="290"/>
      <c r="U191" s="290"/>
      <c r="V191" s="290"/>
      <c r="W191" s="290"/>
      <c r="X191" s="290"/>
      <c r="Y191" s="290"/>
      <c r="Z191" s="290"/>
      <c r="AA191" s="266"/>
      <c r="AB191" s="266"/>
      <c r="AC191" s="266"/>
    </row>
    <row r="192" spans="1:68" ht="27" customHeight="1" x14ac:dyDescent="0.25">
      <c r="A192" s="54" t="s">
        <v>280</v>
      </c>
      <c r="B192" s="54" t="s">
        <v>281</v>
      </c>
      <c r="C192" s="31">
        <v>4301132227</v>
      </c>
      <c r="D192" s="278">
        <v>4620207491133</v>
      </c>
      <c r="E192" s="279"/>
      <c r="F192" s="271">
        <v>0.23</v>
      </c>
      <c r="G192" s="32">
        <v>12</v>
      </c>
      <c r="H192" s="271">
        <v>2.76</v>
      </c>
      <c r="I192" s="271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2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92"/>
      <c r="R192" s="292"/>
      <c r="S192" s="292"/>
      <c r="T192" s="293"/>
      <c r="U192" s="34"/>
      <c r="V192" s="34"/>
      <c r="W192" s="35" t="s">
        <v>69</v>
      </c>
      <c r="X192" s="272">
        <v>28</v>
      </c>
      <c r="Y192" s="273">
        <f>IFERROR(IF(X192="","",X192),"")</f>
        <v>28</v>
      </c>
      <c r="Z192" s="36">
        <f>IFERROR(IF(X192="","",X192*0.01788),"")</f>
        <v>0.50063999999999997</v>
      </c>
      <c r="AA192" s="56"/>
      <c r="AB192" s="57"/>
      <c r="AC192" s="200" t="s">
        <v>282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83.44</v>
      </c>
      <c r="BN192" s="67">
        <f>IFERROR(Y192*I192,"0")</f>
        <v>83.44</v>
      </c>
      <c r="BO192" s="67">
        <f>IFERROR(X192/J192,"0")</f>
        <v>0.4</v>
      </c>
      <c r="BP192" s="67">
        <f>IFERROR(Y192/J192,"0")</f>
        <v>0.4</v>
      </c>
    </row>
    <row r="193" spans="1:68" x14ac:dyDescent="0.2">
      <c r="A193" s="296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7"/>
      <c r="P193" s="280" t="s">
        <v>82</v>
      </c>
      <c r="Q193" s="281"/>
      <c r="R193" s="281"/>
      <c r="S193" s="281"/>
      <c r="T193" s="281"/>
      <c r="U193" s="281"/>
      <c r="V193" s="282"/>
      <c r="W193" s="37" t="s">
        <v>69</v>
      </c>
      <c r="X193" s="274">
        <f>IFERROR(SUM(X192:X192),"0")</f>
        <v>28</v>
      </c>
      <c r="Y193" s="274">
        <f>IFERROR(SUM(Y192:Y192),"0")</f>
        <v>28</v>
      </c>
      <c r="Z193" s="274">
        <f>IFERROR(IF(Z192="",0,Z192),"0")</f>
        <v>0.50063999999999997</v>
      </c>
      <c r="AA193" s="275"/>
      <c r="AB193" s="275"/>
      <c r="AC193" s="275"/>
    </row>
    <row r="194" spans="1:68" x14ac:dyDescent="0.2">
      <c r="A194" s="290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7"/>
      <c r="P194" s="280" t="s">
        <v>82</v>
      </c>
      <c r="Q194" s="281"/>
      <c r="R194" s="281"/>
      <c r="S194" s="281"/>
      <c r="T194" s="281"/>
      <c r="U194" s="281"/>
      <c r="V194" s="282"/>
      <c r="W194" s="37" t="s">
        <v>83</v>
      </c>
      <c r="X194" s="274">
        <f>IFERROR(SUMPRODUCT(X192:X192*H192:H192),"0")</f>
        <v>77.28</v>
      </c>
      <c r="Y194" s="274">
        <f>IFERROR(SUMPRODUCT(Y192:Y192*H192:H192),"0")</f>
        <v>77.28</v>
      </c>
      <c r="Z194" s="37"/>
      <c r="AA194" s="275"/>
      <c r="AB194" s="275"/>
      <c r="AC194" s="275"/>
    </row>
    <row r="195" spans="1:68" ht="14.25" hidden="1" customHeight="1" x14ac:dyDescent="0.25">
      <c r="A195" s="336" t="s">
        <v>138</v>
      </c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0"/>
      <c r="P195" s="290"/>
      <c r="Q195" s="290"/>
      <c r="R195" s="290"/>
      <c r="S195" s="290"/>
      <c r="T195" s="290"/>
      <c r="U195" s="290"/>
      <c r="V195" s="290"/>
      <c r="W195" s="290"/>
      <c r="X195" s="290"/>
      <c r="Y195" s="290"/>
      <c r="Z195" s="290"/>
      <c r="AA195" s="266"/>
      <c r="AB195" s="266"/>
      <c r="AC195" s="266"/>
    </row>
    <row r="196" spans="1:68" ht="27" hidden="1" customHeight="1" x14ac:dyDescent="0.25">
      <c r="A196" s="54" t="s">
        <v>283</v>
      </c>
      <c r="B196" s="54" t="s">
        <v>284</v>
      </c>
      <c r="C196" s="31">
        <v>4301135834</v>
      </c>
      <c r="D196" s="278">
        <v>4620207491188</v>
      </c>
      <c r="E196" s="279"/>
      <c r="F196" s="271">
        <v>0.2</v>
      </c>
      <c r="G196" s="32">
        <v>12</v>
      </c>
      <c r="H196" s="271">
        <v>2.4</v>
      </c>
      <c r="I196" s="271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3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92"/>
      <c r="R196" s="292"/>
      <c r="S196" s="292"/>
      <c r="T196" s="293"/>
      <c r="U196" s="34"/>
      <c r="V196" s="34"/>
      <c r="W196" s="35" t="s">
        <v>69</v>
      </c>
      <c r="X196" s="272">
        <v>0</v>
      </c>
      <c r="Y196" s="273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285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286</v>
      </c>
      <c r="B197" s="54" t="s">
        <v>287</v>
      </c>
      <c r="C197" s="31">
        <v>4301135707</v>
      </c>
      <c r="D197" s="278">
        <v>4620207490198</v>
      </c>
      <c r="E197" s="279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92"/>
      <c r="R197" s="292"/>
      <c r="S197" s="292"/>
      <c r="T197" s="293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288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289</v>
      </c>
      <c r="B198" s="54" t="s">
        <v>290</v>
      </c>
      <c r="C198" s="31">
        <v>4301135829</v>
      </c>
      <c r="D198" s="278">
        <v>4620207490235</v>
      </c>
      <c r="E198" s="279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3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92"/>
      <c r="R198" s="292"/>
      <c r="S198" s="292"/>
      <c r="T198" s="293"/>
      <c r="U198" s="34"/>
      <c r="V198" s="34"/>
      <c r="W198" s="35" t="s">
        <v>69</v>
      </c>
      <c r="X198" s="272">
        <v>28</v>
      </c>
      <c r="Y198" s="273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06" t="s">
        <v>291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86.900800000000004</v>
      </c>
      <c r="BN198" s="67">
        <f>IFERROR(Y198*I198,"0")</f>
        <v>86.900800000000004</v>
      </c>
      <c r="BO198" s="67">
        <f>IFERROR(X198/J198,"0")</f>
        <v>0.4</v>
      </c>
      <c r="BP198" s="67">
        <f>IFERROR(Y198/J198,"0")</f>
        <v>0.4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4301135697</v>
      </c>
      <c r="D199" s="278">
        <v>4620207490259</v>
      </c>
      <c r="E199" s="279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5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92"/>
      <c r="R199" s="292"/>
      <c r="S199" s="292"/>
      <c r="T199" s="293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288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294</v>
      </c>
      <c r="B200" s="54" t="s">
        <v>295</v>
      </c>
      <c r="C200" s="31">
        <v>4301135681</v>
      </c>
      <c r="D200" s="278">
        <v>4620207490143</v>
      </c>
      <c r="E200" s="279"/>
      <c r="F200" s="271">
        <v>0.22</v>
      </c>
      <c r="G200" s="32">
        <v>12</v>
      </c>
      <c r="H200" s="271">
        <v>2.64</v>
      </c>
      <c r="I200" s="271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5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92"/>
      <c r="R200" s="292"/>
      <c r="S200" s="292"/>
      <c r="T200" s="293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296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96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7"/>
      <c r="P201" s="280" t="s">
        <v>82</v>
      </c>
      <c r="Q201" s="281"/>
      <c r="R201" s="281"/>
      <c r="S201" s="281"/>
      <c r="T201" s="281"/>
      <c r="U201" s="281"/>
      <c r="V201" s="282"/>
      <c r="W201" s="37" t="s">
        <v>69</v>
      </c>
      <c r="X201" s="274">
        <f>IFERROR(SUM(X196:X200),"0")</f>
        <v>28</v>
      </c>
      <c r="Y201" s="274">
        <f>IFERROR(SUM(Y196:Y200),"0")</f>
        <v>28</v>
      </c>
      <c r="Z201" s="274">
        <f>IFERROR(IF(Z196="",0,Z196),"0")+IFERROR(IF(Z197="",0,Z197),"0")+IFERROR(IF(Z198="",0,Z198),"0")+IFERROR(IF(Z199="",0,Z199),"0")+IFERROR(IF(Z200="",0,Z200),"0")</f>
        <v>0.50063999999999997</v>
      </c>
      <c r="AA201" s="275"/>
      <c r="AB201" s="275"/>
      <c r="AC201" s="275"/>
    </row>
    <row r="202" spans="1:68" x14ac:dyDescent="0.2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7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4">
        <f>IFERROR(SUMPRODUCT(X196:X200*H196:H200),"0")</f>
        <v>67.2</v>
      </c>
      <c r="Y202" s="274">
        <f>IFERROR(SUMPRODUCT(Y196:Y200*H196:H200),"0")</f>
        <v>67.2</v>
      </c>
      <c r="Z202" s="37"/>
      <c r="AA202" s="275"/>
      <c r="AB202" s="275"/>
      <c r="AC202" s="275"/>
    </row>
    <row r="203" spans="1:68" ht="16.5" hidden="1" customHeight="1" x14ac:dyDescent="0.25">
      <c r="A203" s="289" t="s">
        <v>62</v>
      </c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  <c r="AA203" s="267"/>
      <c r="AB203" s="267"/>
      <c r="AC203" s="267"/>
    </row>
    <row r="204" spans="1:68" ht="14.25" hidden="1" customHeight="1" x14ac:dyDescent="0.25">
      <c r="A204" s="336" t="s">
        <v>63</v>
      </c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90"/>
      <c r="Q204" s="290"/>
      <c r="R204" s="290"/>
      <c r="S204" s="290"/>
      <c r="T204" s="290"/>
      <c r="U204" s="290"/>
      <c r="V204" s="290"/>
      <c r="W204" s="290"/>
      <c r="X204" s="290"/>
      <c r="Y204" s="290"/>
      <c r="Z204" s="290"/>
      <c r="AA204" s="266"/>
      <c r="AB204" s="266"/>
      <c r="AC204" s="266"/>
    </row>
    <row r="205" spans="1:68" ht="27" hidden="1" customHeight="1" x14ac:dyDescent="0.25">
      <c r="A205" s="54" t="s">
        <v>297</v>
      </c>
      <c r="B205" s="54" t="s">
        <v>298</v>
      </c>
      <c r="C205" s="31">
        <v>4301070923</v>
      </c>
      <c r="D205" s="278">
        <v>4607111035110</v>
      </c>
      <c r="E205" s="279"/>
      <c r="F205" s="271">
        <v>0.9</v>
      </c>
      <c r="G205" s="32">
        <v>8</v>
      </c>
      <c r="H205" s="271">
        <v>7.2</v>
      </c>
      <c r="I205" s="271">
        <v>7.47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8" t="str">
        <f>HYPERLINK("https://abi.ru/products/Замороженные/Стародворье/Медвежье ушко/Пельмени/P003007/","Пельмени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5" s="292"/>
      <c r="R205" s="292"/>
      <c r="S205" s="292"/>
      <c r="T205" s="293"/>
      <c r="U205" s="34"/>
      <c r="V205" s="34"/>
      <c r="W205" s="35" t="s">
        <v>69</v>
      </c>
      <c r="X205" s="272">
        <v>0</v>
      </c>
      <c r="Y205" s="273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299</v>
      </c>
      <c r="AG205" s="67"/>
      <c r="AJ205" s="71" t="s">
        <v>71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96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7"/>
      <c r="P206" s="280" t="s">
        <v>82</v>
      </c>
      <c r="Q206" s="281"/>
      <c r="R206" s="281"/>
      <c r="S206" s="281"/>
      <c r="T206" s="281"/>
      <c r="U206" s="281"/>
      <c r="V206" s="282"/>
      <c r="W206" s="37" t="s">
        <v>69</v>
      </c>
      <c r="X206" s="274">
        <f>IFERROR(SUM(X205:X205),"0")</f>
        <v>0</v>
      </c>
      <c r="Y206" s="274">
        <f>IFERROR(SUM(Y205:Y205),"0")</f>
        <v>0</v>
      </c>
      <c r="Z206" s="274">
        <f>IFERROR(IF(Z205="",0,Z205),"0")</f>
        <v>0</v>
      </c>
      <c r="AA206" s="275"/>
      <c r="AB206" s="275"/>
      <c r="AC206" s="275"/>
    </row>
    <row r="207" spans="1:68" hidden="1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7"/>
      <c r="P207" s="280" t="s">
        <v>82</v>
      </c>
      <c r="Q207" s="281"/>
      <c r="R207" s="281"/>
      <c r="S207" s="281"/>
      <c r="T207" s="281"/>
      <c r="U207" s="281"/>
      <c r="V207" s="282"/>
      <c r="W207" s="37" t="s">
        <v>83</v>
      </c>
      <c r="X207" s="274">
        <f>IFERROR(SUMPRODUCT(X205:X205*H205:H205),"0")</f>
        <v>0</v>
      </c>
      <c r="Y207" s="274">
        <f>IFERROR(SUMPRODUCT(Y205:Y205*H205:H205),"0")</f>
        <v>0</v>
      </c>
      <c r="Z207" s="37"/>
      <c r="AA207" s="275"/>
      <c r="AB207" s="275"/>
      <c r="AC207" s="275"/>
    </row>
    <row r="208" spans="1:68" ht="16.5" hidden="1" customHeight="1" x14ac:dyDescent="0.25">
      <c r="A208" s="289" t="s">
        <v>300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67"/>
      <c r="AB208" s="267"/>
      <c r="AC208" s="267"/>
    </row>
    <row r="209" spans="1:68" ht="14.25" hidden="1" customHeight="1" x14ac:dyDescent="0.25">
      <c r="A209" s="336" t="s">
        <v>63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66"/>
      <c r="AB209" s="266"/>
      <c r="AC209" s="266"/>
    </row>
    <row r="210" spans="1:68" ht="27" customHeight="1" x14ac:dyDescent="0.25">
      <c r="A210" s="54" t="s">
        <v>301</v>
      </c>
      <c r="B210" s="54" t="s">
        <v>302</v>
      </c>
      <c r="C210" s="31">
        <v>4301071097</v>
      </c>
      <c r="D210" s="278">
        <v>4620207491096</v>
      </c>
      <c r="E210" s="279"/>
      <c r="F210" s="271">
        <v>1</v>
      </c>
      <c r="G210" s="32">
        <v>5</v>
      </c>
      <c r="H210" s="271">
        <v>5</v>
      </c>
      <c r="I210" s="271">
        <v>5.23</v>
      </c>
      <c r="J210" s="32">
        <v>84</v>
      </c>
      <c r="K210" s="32" t="s">
        <v>66</v>
      </c>
      <c r="L210" s="32" t="s">
        <v>108</v>
      </c>
      <c r="M210" s="33" t="s">
        <v>68</v>
      </c>
      <c r="N210" s="33"/>
      <c r="O210" s="32">
        <v>180</v>
      </c>
      <c r="P210" s="37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292"/>
      <c r="R210" s="292"/>
      <c r="S210" s="292"/>
      <c r="T210" s="293"/>
      <c r="U210" s="34"/>
      <c r="V210" s="34"/>
      <c r="W210" s="35" t="s">
        <v>69</v>
      </c>
      <c r="X210" s="272">
        <v>84</v>
      </c>
      <c r="Y210" s="273">
        <f>IFERROR(IF(X210="","",X210),"")</f>
        <v>84</v>
      </c>
      <c r="Z210" s="36">
        <f>IFERROR(IF(X210="","",X210*0.0155),"")</f>
        <v>1.302</v>
      </c>
      <c r="AA210" s="56"/>
      <c r="AB210" s="57"/>
      <c r="AC210" s="214" t="s">
        <v>303</v>
      </c>
      <c r="AG210" s="67"/>
      <c r="AJ210" s="71" t="s">
        <v>110</v>
      </c>
      <c r="AK210" s="71">
        <v>12</v>
      </c>
      <c r="BB210" s="215" t="s">
        <v>1</v>
      </c>
      <c r="BM210" s="67">
        <f>IFERROR(X210*I210,"0")</f>
        <v>439.32000000000005</v>
      </c>
      <c r="BN210" s="67">
        <f>IFERROR(Y210*I210,"0")</f>
        <v>439.32000000000005</v>
      </c>
      <c r="BO210" s="67">
        <f>IFERROR(X210/J210,"0")</f>
        <v>1</v>
      </c>
      <c r="BP210" s="67">
        <f>IFERROR(Y210/J210,"0")</f>
        <v>1</v>
      </c>
    </row>
    <row r="211" spans="1:68" x14ac:dyDescent="0.2">
      <c r="A211" s="296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7"/>
      <c r="P211" s="280" t="s">
        <v>82</v>
      </c>
      <c r="Q211" s="281"/>
      <c r="R211" s="281"/>
      <c r="S211" s="281"/>
      <c r="T211" s="281"/>
      <c r="U211" s="281"/>
      <c r="V211" s="282"/>
      <c r="W211" s="37" t="s">
        <v>69</v>
      </c>
      <c r="X211" s="274">
        <f>IFERROR(SUM(X210:X210),"0")</f>
        <v>84</v>
      </c>
      <c r="Y211" s="274">
        <f>IFERROR(SUM(Y210:Y210),"0")</f>
        <v>84</v>
      </c>
      <c r="Z211" s="274">
        <f>IFERROR(IF(Z210="",0,Z210),"0")</f>
        <v>1.302</v>
      </c>
      <c r="AA211" s="275"/>
      <c r="AB211" s="275"/>
      <c r="AC211" s="275"/>
    </row>
    <row r="212" spans="1:68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7"/>
      <c r="P212" s="280" t="s">
        <v>82</v>
      </c>
      <c r="Q212" s="281"/>
      <c r="R212" s="281"/>
      <c r="S212" s="281"/>
      <c r="T212" s="281"/>
      <c r="U212" s="281"/>
      <c r="V212" s="282"/>
      <c r="W212" s="37" t="s">
        <v>83</v>
      </c>
      <c r="X212" s="274">
        <f>IFERROR(SUMPRODUCT(X210:X210*H210:H210),"0")</f>
        <v>420</v>
      </c>
      <c r="Y212" s="274">
        <f>IFERROR(SUMPRODUCT(Y210:Y210*H210:H210),"0")</f>
        <v>420</v>
      </c>
      <c r="Z212" s="37"/>
      <c r="AA212" s="275"/>
      <c r="AB212" s="275"/>
      <c r="AC212" s="275"/>
    </row>
    <row r="213" spans="1:68" ht="16.5" hidden="1" customHeight="1" x14ac:dyDescent="0.25">
      <c r="A213" s="289" t="s">
        <v>304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67"/>
      <c r="AB213" s="267"/>
      <c r="AC213" s="267"/>
    </row>
    <row r="214" spans="1:68" ht="14.25" hidden="1" customHeight="1" x14ac:dyDescent="0.25">
      <c r="A214" s="336" t="s">
        <v>63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66"/>
      <c r="AB214" s="266"/>
      <c r="AC214" s="266"/>
    </row>
    <row r="215" spans="1:68" ht="27" hidden="1" customHeight="1" x14ac:dyDescent="0.25">
      <c r="A215" s="54" t="s">
        <v>305</v>
      </c>
      <c r="B215" s="54" t="s">
        <v>306</v>
      </c>
      <c r="C215" s="31">
        <v>4301071093</v>
      </c>
      <c r="D215" s="278">
        <v>4620207490709</v>
      </c>
      <c r="E215" s="279"/>
      <c r="F215" s="271">
        <v>0.65</v>
      </c>
      <c r="G215" s="32">
        <v>8</v>
      </c>
      <c r="H215" s="271">
        <v>5.2</v>
      </c>
      <c r="I215" s="271">
        <v>5.47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30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5" s="292"/>
      <c r="R215" s="292"/>
      <c r="S215" s="292"/>
      <c r="T215" s="293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IFERROR(IF(X215="","",X215*0.0155),"")</f>
        <v>0</v>
      </c>
      <c r="AA215" s="56"/>
      <c r="AB215" s="57"/>
      <c r="AC215" s="216" t="s">
        <v>307</v>
      </c>
      <c r="AG215" s="67"/>
      <c r="AJ215" s="71" t="s">
        <v>71</v>
      </c>
      <c r="AK215" s="71">
        <v>1</v>
      </c>
      <c r="BB215" s="217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96"/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7"/>
      <c r="P216" s="280" t="s">
        <v>82</v>
      </c>
      <c r="Q216" s="281"/>
      <c r="R216" s="281"/>
      <c r="S216" s="281"/>
      <c r="T216" s="281"/>
      <c r="U216" s="281"/>
      <c r="V216" s="282"/>
      <c r="W216" s="37" t="s">
        <v>69</v>
      </c>
      <c r="X216" s="274">
        <f>IFERROR(SUM(X215:X215),"0")</f>
        <v>0</v>
      </c>
      <c r="Y216" s="274">
        <f>IFERROR(SUM(Y215:Y215),"0")</f>
        <v>0</v>
      </c>
      <c r="Z216" s="274">
        <f>IFERROR(IF(Z215="",0,Z215),"0")</f>
        <v>0</v>
      </c>
      <c r="AA216" s="275"/>
      <c r="AB216" s="275"/>
      <c r="AC216" s="275"/>
    </row>
    <row r="217" spans="1:68" hidden="1" x14ac:dyDescent="0.2">
      <c r="A217" s="290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7"/>
      <c r="P217" s="280" t="s">
        <v>82</v>
      </c>
      <c r="Q217" s="281"/>
      <c r="R217" s="281"/>
      <c r="S217" s="281"/>
      <c r="T217" s="281"/>
      <c r="U217" s="281"/>
      <c r="V217" s="282"/>
      <c r="W217" s="37" t="s">
        <v>83</v>
      </c>
      <c r="X217" s="274">
        <f>IFERROR(SUMPRODUCT(X215:X215*H215:H215),"0")</f>
        <v>0</v>
      </c>
      <c r="Y217" s="274">
        <f>IFERROR(SUMPRODUCT(Y215:Y215*H215:H215),"0")</f>
        <v>0</v>
      </c>
      <c r="Z217" s="37"/>
      <c r="AA217" s="275"/>
      <c r="AB217" s="275"/>
      <c r="AC217" s="275"/>
    </row>
    <row r="218" spans="1:68" ht="14.25" hidden="1" customHeight="1" x14ac:dyDescent="0.25">
      <c r="A218" s="336" t="s">
        <v>138</v>
      </c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0"/>
      <c r="P218" s="290"/>
      <c r="Q218" s="290"/>
      <c r="R218" s="290"/>
      <c r="S218" s="290"/>
      <c r="T218" s="290"/>
      <c r="U218" s="290"/>
      <c r="V218" s="290"/>
      <c r="W218" s="290"/>
      <c r="X218" s="290"/>
      <c r="Y218" s="290"/>
      <c r="Z218" s="290"/>
      <c r="AA218" s="266"/>
      <c r="AB218" s="266"/>
      <c r="AC218" s="266"/>
    </row>
    <row r="219" spans="1:68" ht="27" hidden="1" customHeight="1" x14ac:dyDescent="0.25">
      <c r="A219" s="54" t="s">
        <v>308</v>
      </c>
      <c r="B219" s="54" t="s">
        <v>309</v>
      </c>
      <c r="C219" s="31">
        <v>4301135691</v>
      </c>
      <c r="D219" s="278">
        <v>4620207490549</v>
      </c>
      <c r="E219" s="279"/>
      <c r="F219" s="271">
        <v>0.2</v>
      </c>
      <c r="G219" s="32">
        <v>12</v>
      </c>
      <c r="H219" s="271">
        <v>2.4</v>
      </c>
      <c r="I219" s="271">
        <v>3.1036000000000001</v>
      </c>
      <c r="J219" s="32">
        <v>70</v>
      </c>
      <c r="K219" s="32" t="s">
        <v>95</v>
      </c>
      <c r="L219" s="32" t="s">
        <v>67</v>
      </c>
      <c r="M219" s="33" t="s">
        <v>68</v>
      </c>
      <c r="N219" s="33"/>
      <c r="O219" s="32">
        <v>180</v>
      </c>
      <c r="P219" s="35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9" s="292"/>
      <c r="R219" s="292"/>
      <c r="S219" s="292"/>
      <c r="T219" s="293"/>
      <c r="U219" s="34"/>
      <c r="V219" s="34"/>
      <c r="W219" s="35" t="s">
        <v>69</v>
      </c>
      <c r="X219" s="272">
        <v>0</v>
      </c>
      <c r="Y219" s="273">
        <f>IFERROR(IF(X219="","",X219),"")</f>
        <v>0</v>
      </c>
      <c r="Z219" s="36">
        <f>IFERROR(IF(X219="","",X219*0.01788),"")</f>
        <v>0</v>
      </c>
      <c r="AA219" s="56"/>
      <c r="AB219" s="57"/>
      <c r="AC219" s="218" t="s">
        <v>310</v>
      </c>
      <c r="AG219" s="67"/>
      <c r="AJ219" s="71" t="s">
        <v>71</v>
      </c>
      <c r="AK219" s="71">
        <v>1</v>
      </c>
      <c r="BB219" s="219" t="s">
        <v>99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4301135694</v>
      </c>
      <c r="D220" s="278">
        <v>4620207490501</v>
      </c>
      <c r="E220" s="279"/>
      <c r="F220" s="271">
        <v>0.2</v>
      </c>
      <c r="G220" s="32">
        <v>12</v>
      </c>
      <c r="H220" s="271">
        <v>2.4</v>
      </c>
      <c r="I220" s="271">
        <v>3.1036000000000001</v>
      </c>
      <c r="J220" s="32">
        <v>70</v>
      </c>
      <c r="K220" s="32" t="s">
        <v>95</v>
      </c>
      <c r="L220" s="32" t="s">
        <v>67</v>
      </c>
      <c r="M220" s="33" t="s">
        <v>68</v>
      </c>
      <c r="N220" s="33"/>
      <c r="O220" s="32">
        <v>180</v>
      </c>
      <c r="P220" s="29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92"/>
      <c r="R220" s="292"/>
      <c r="S220" s="292"/>
      <c r="T220" s="293"/>
      <c r="U220" s="34"/>
      <c r="V220" s="34"/>
      <c r="W220" s="35" t="s">
        <v>69</v>
      </c>
      <c r="X220" s="272">
        <v>0</v>
      </c>
      <c r="Y220" s="273">
        <f>IFERROR(IF(X220="","",X220),"")</f>
        <v>0</v>
      </c>
      <c r="Z220" s="36">
        <f>IFERROR(IF(X220="","",X220*0.01788),"")</f>
        <v>0</v>
      </c>
      <c r="AA220" s="56"/>
      <c r="AB220" s="57"/>
      <c r="AC220" s="220" t="s">
        <v>310</v>
      </c>
      <c r="AG220" s="67"/>
      <c r="AJ220" s="71" t="s">
        <v>71</v>
      </c>
      <c r="AK220" s="71">
        <v>1</v>
      </c>
      <c r="BB220" s="221" t="s">
        <v>99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6"/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7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4">
        <f>IFERROR(SUM(X219:X220),"0")</f>
        <v>0</v>
      </c>
      <c r="Y221" s="274">
        <f>IFERROR(SUM(Y219:Y220),"0")</f>
        <v>0</v>
      </c>
      <c r="Z221" s="274">
        <f>IFERROR(IF(Z219="",0,Z219),"0")+IFERROR(IF(Z220="",0,Z220),"0")</f>
        <v>0</v>
      </c>
      <c r="AA221" s="275"/>
      <c r="AB221" s="275"/>
      <c r="AC221" s="275"/>
    </row>
    <row r="222" spans="1:68" hidden="1" x14ac:dyDescent="0.2">
      <c r="A222" s="290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7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4">
        <f>IFERROR(SUMPRODUCT(X219:X220*H219:H220),"0")</f>
        <v>0</v>
      </c>
      <c r="Y222" s="274">
        <f>IFERROR(SUMPRODUCT(Y219:Y220*H219:H220),"0")</f>
        <v>0</v>
      </c>
      <c r="Z222" s="37"/>
      <c r="AA222" s="275"/>
      <c r="AB222" s="275"/>
      <c r="AC222" s="275"/>
    </row>
    <row r="223" spans="1:68" ht="27.75" hidden="1" customHeight="1" x14ac:dyDescent="0.2">
      <c r="A223" s="285" t="s">
        <v>313</v>
      </c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48"/>
      <c r="AB223" s="48"/>
      <c r="AC223" s="48"/>
    </row>
    <row r="224" spans="1:68" ht="16.5" hidden="1" customHeight="1" x14ac:dyDescent="0.25">
      <c r="A224" s="289" t="s">
        <v>314</v>
      </c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0"/>
      <c r="P224" s="290"/>
      <c r="Q224" s="290"/>
      <c r="R224" s="290"/>
      <c r="S224" s="290"/>
      <c r="T224" s="290"/>
      <c r="U224" s="290"/>
      <c r="V224" s="290"/>
      <c r="W224" s="290"/>
      <c r="X224" s="290"/>
      <c r="Y224" s="290"/>
      <c r="Z224" s="290"/>
      <c r="AA224" s="267"/>
      <c r="AB224" s="267"/>
      <c r="AC224" s="267"/>
    </row>
    <row r="225" spans="1:68" ht="14.25" hidden="1" customHeight="1" x14ac:dyDescent="0.25">
      <c r="A225" s="336" t="s">
        <v>63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66"/>
      <c r="AB225" s="266"/>
      <c r="AC225" s="266"/>
    </row>
    <row r="226" spans="1:68" ht="27" hidden="1" customHeight="1" x14ac:dyDescent="0.25">
      <c r="A226" s="54" t="s">
        <v>315</v>
      </c>
      <c r="B226" s="54" t="s">
        <v>316</v>
      </c>
      <c r="C226" s="31">
        <v>4301071036</v>
      </c>
      <c r="D226" s="278">
        <v>4607111036162</v>
      </c>
      <c r="E226" s="279"/>
      <c r="F226" s="271">
        <v>0.8</v>
      </c>
      <c r="G226" s="32">
        <v>8</v>
      </c>
      <c r="H226" s="271">
        <v>6.4</v>
      </c>
      <c r="I226" s="271">
        <v>6.6811999999999996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90</v>
      </c>
      <c r="P226" s="42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92"/>
      <c r="R226" s="292"/>
      <c r="S226" s="292"/>
      <c r="T226" s="293"/>
      <c r="U226" s="34"/>
      <c r="V226" s="34"/>
      <c r="W226" s="35" t="s">
        <v>69</v>
      </c>
      <c r="X226" s="272">
        <v>0</v>
      </c>
      <c r="Y226" s="273">
        <f>IFERROR(IF(X226="","",X226),"")</f>
        <v>0</v>
      </c>
      <c r="Z226" s="36">
        <f>IFERROR(IF(X226="","",X226*0.0155),"")</f>
        <v>0</v>
      </c>
      <c r="AA226" s="56"/>
      <c r="AB226" s="57"/>
      <c r="AC226" s="222" t="s">
        <v>317</v>
      </c>
      <c r="AG226" s="67"/>
      <c r="AJ226" s="71" t="s">
        <v>71</v>
      </c>
      <c r="AK226" s="71">
        <v>1</v>
      </c>
      <c r="BB226" s="223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6"/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7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4">
        <f>IFERROR(SUM(X226:X226),"0")</f>
        <v>0</v>
      </c>
      <c r="Y227" s="274">
        <f>IFERROR(SUM(Y226:Y226),"0")</f>
        <v>0</v>
      </c>
      <c r="Z227" s="274">
        <f>IFERROR(IF(Z226="",0,Z226),"0")</f>
        <v>0</v>
      </c>
      <c r="AA227" s="275"/>
      <c r="AB227" s="275"/>
      <c r="AC227" s="275"/>
    </row>
    <row r="228" spans="1:68" hidden="1" x14ac:dyDescent="0.2">
      <c r="A228" s="290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7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4">
        <f>IFERROR(SUMPRODUCT(X226:X226*H226:H226),"0")</f>
        <v>0</v>
      </c>
      <c r="Y228" s="274">
        <f>IFERROR(SUMPRODUCT(Y226:Y226*H226:H226),"0")</f>
        <v>0</v>
      </c>
      <c r="Z228" s="37"/>
      <c r="AA228" s="275"/>
      <c r="AB228" s="275"/>
      <c r="AC228" s="275"/>
    </row>
    <row r="229" spans="1:68" ht="27.75" hidden="1" customHeight="1" x14ac:dyDescent="0.2">
      <c r="A229" s="285" t="s">
        <v>318</v>
      </c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48"/>
      <c r="AB229" s="48"/>
      <c r="AC229" s="48"/>
    </row>
    <row r="230" spans="1:68" ht="16.5" hidden="1" customHeight="1" x14ac:dyDescent="0.25">
      <c r="A230" s="289" t="s">
        <v>319</v>
      </c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0"/>
      <c r="P230" s="290"/>
      <c r="Q230" s="290"/>
      <c r="R230" s="290"/>
      <c r="S230" s="290"/>
      <c r="T230" s="290"/>
      <c r="U230" s="290"/>
      <c r="V230" s="290"/>
      <c r="W230" s="290"/>
      <c r="X230" s="290"/>
      <c r="Y230" s="290"/>
      <c r="Z230" s="290"/>
      <c r="AA230" s="267"/>
      <c r="AB230" s="267"/>
      <c r="AC230" s="267"/>
    </row>
    <row r="231" spans="1:68" ht="14.25" hidden="1" customHeight="1" x14ac:dyDescent="0.25">
      <c r="A231" s="336" t="s">
        <v>63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66"/>
      <c r="AB231" s="266"/>
      <c r="AC231" s="266"/>
    </row>
    <row r="232" spans="1:68" ht="27" customHeight="1" x14ac:dyDescent="0.25">
      <c r="A232" s="54" t="s">
        <v>320</v>
      </c>
      <c r="B232" s="54" t="s">
        <v>321</v>
      </c>
      <c r="C232" s="31">
        <v>4301071029</v>
      </c>
      <c r="D232" s="278">
        <v>4607111035899</v>
      </c>
      <c r="E232" s="279"/>
      <c r="F232" s="271">
        <v>1</v>
      </c>
      <c r="G232" s="32">
        <v>5</v>
      </c>
      <c r="H232" s="271">
        <v>5</v>
      </c>
      <c r="I232" s="271">
        <v>5.2619999999999996</v>
      </c>
      <c r="J232" s="32">
        <v>84</v>
      </c>
      <c r="K232" s="32" t="s">
        <v>66</v>
      </c>
      <c r="L232" s="32" t="s">
        <v>96</v>
      </c>
      <c r="M232" s="33" t="s">
        <v>68</v>
      </c>
      <c r="N232" s="33"/>
      <c r="O232" s="32">
        <v>180</v>
      </c>
      <c r="P232" s="38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2" s="292"/>
      <c r="R232" s="292"/>
      <c r="S232" s="292"/>
      <c r="T232" s="293"/>
      <c r="U232" s="34"/>
      <c r="V232" s="34"/>
      <c r="W232" s="35" t="s">
        <v>69</v>
      </c>
      <c r="X232" s="272">
        <v>72</v>
      </c>
      <c r="Y232" s="273">
        <f>IFERROR(IF(X232="","",X232),"")</f>
        <v>72</v>
      </c>
      <c r="Z232" s="36">
        <f>IFERROR(IF(X232="","",X232*0.0155),"")</f>
        <v>1.1160000000000001</v>
      </c>
      <c r="AA232" s="56"/>
      <c r="AB232" s="57"/>
      <c r="AC232" s="224" t="s">
        <v>258</v>
      </c>
      <c r="AG232" s="67"/>
      <c r="AJ232" s="71" t="s">
        <v>98</v>
      </c>
      <c r="AK232" s="71">
        <v>84</v>
      </c>
      <c r="BB232" s="225" t="s">
        <v>1</v>
      </c>
      <c r="BM232" s="67">
        <f>IFERROR(X232*I232,"0")</f>
        <v>378.86399999999998</v>
      </c>
      <c r="BN232" s="67">
        <f>IFERROR(Y232*I232,"0")</f>
        <v>378.86399999999998</v>
      </c>
      <c r="BO232" s="67">
        <f>IFERROR(X232/J232,"0")</f>
        <v>0.8571428571428571</v>
      </c>
      <c r="BP232" s="67">
        <f>IFERROR(Y232/J232,"0")</f>
        <v>0.8571428571428571</v>
      </c>
    </row>
    <row r="233" spans="1:68" x14ac:dyDescent="0.2">
      <c r="A233" s="296"/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7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4">
        <f>IFERROR(SUM(X232:X232),"0")</f>
        <v>72</v>
      </c>
      <c r="Y233" s="274">
        <f>IFERROR(SUM(Y232:Y232),"0")</f>
        <v>72</v>
      </c>
      <c r="Z233" s="274">
        <f>IFERROR(IF(Z232="",0,Z232),"0")</f>
        <v>1.1160000000000001</v>
      </c>
      <c r="AA233" s="275"/>
      <c r="AB233" s="275"/>
      <c r="AC233" s="275"/>
    </row>
    <row r="234" spans="1:68" x14ac:dyDescent="0.2">
      <c r="A234" s="290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7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4">
        <f>IFERROR(SUMPRODUCT(X232:X232*H232:H232),"0")</f>
        <v>360</v>
      </c>
      <c r="Y234" s="274">
        <f>IFERROR(SUMPRODUCT(Y232:Y232*H232:H232),"0")</f>
        <v>360</v>
      </c>
      <c r="Z234" s="37"/>
      <c r="AA234" s="275"/>
      <c r="AB234" s="275"/>
      <c r="AC234" s="275"/>
    </row>
    <row r="235" spans="1:68" ht="27.75" hidden="1" customHeight="1" x14ac:dyDescent="0.2">
      <c r="A235" s="285" t="s">
        <v>322</v>
      </c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48"/>
      <c r="AB235" s="48"/>
      <c r="AC235" s="48"/>
    </row>
    <row r="236" spans="1:68" ht="16.5" hidden="1" customHeight="1" x14ac:dyDescent="0.25">
      <c r="A236" s="289" t="s">
        <v>323</v>
      </c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0"/>
      <c r="U236" s="290"/>
      <c r="V236" s="290"/>
      <c r="W236" s="290"/>
      <c r="X236" s="290"/>
      <c r="Y236" s="290"/>
      <c r="Z236" s="290"/>
      <c r="AA236" s="267"/>
      <c r="AB236" s="267"/>
      <c r="AC236" s="267"/>
    </row>
    <row r="237" spans="1:68" ht="14.25" hidden="1" customHeight="1" x14ac:dyDescent="0.25">
      <c r="A237" s="336" t="s">
        <v>324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66"/>
      <c r="AB237" s="266"/>
      <c r="AC237" s="266"/>
    </row>
    <row r="238" spans="1:68" ht="27" hidden="1" customHeight="1" x14ac:dyDescent="0.25">
      <c r="A238" s="54" t="s">
        <v>325</v>
      </c>
      <c r="B238" s="54" t="s">
        <v>326</v>
      </c>
      <c r="C238" s="31">
        <v>4301133004</v>
      </c>
      <c r="D238" s="278">
        <v>4607111039774</v>
      </c>
      <c r="E238" s="279"/>
      <c r="F238" s="271">
        <v>0.25</v>
      </c>
      <c r="G238" s="32">
        <v>12</v>
      </c>
      <c r="H238" s="271">
        <v>3</v>
      </c>
      <c r="I238" s="271">
        <v>3.22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292"/>
      <c r="R238" s="292"/>
      <c r="S238" s="292"/>
      <c r="T238" s="293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6" t="s">
        <v>327</v>
      </c>
      <c r="AG238" s="67"/>
      <c r="AJ238" s="71" t="s">
        <v>71</v>
      </c>
      <c r="AK238" s="71">
        <v>1</v>
      </c>
      <c r="BB238" s="227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96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7"/>
      <c r="P239" s="280" t="s">
        <v>82</v>
      </c>
      <c r="Q239" s="281"/>
      <c r="R239" s="281"/>
      <c r="S239" s="281"/>
      <c r="T239" s="281"/>
      <c r="U239" s="281"/>
      <c r="V239" s="282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hidden="1" x14ac:dyDescent="0.2">
      <c r="A240" s="290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7"/>
      <c r="P240" s="280" t="s">
        <v>82</v>
      </c>
      <c r="Q240" s="281"/>
      <c r="R240" s="281"/>
      <c r="S240" s="281"/>
      <c r="T240" s="281"/>
      <c r="U240" s="281"/>
      <c r="V240" s="282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14.25" hidden="1" customHeight="1" x14ac:dyDescent="0.25">
      <c r="A241" s="336" t="s">
        <v>138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66"/>
      <c r="AB241" s="266"/>
      <c r="AC241" s="266"/>
    </row>
    <row r="242" spans="1:68" ht="37.5" hidden="1" customHeight="1" x14ac:dyDescent="0.25">
      <c r="A242" s="54" t="s">
        <v>328</v>
      </c>
      <c r="B242" s="54" t="s">
        <v>329</v>
      </c>
      <c r="C242" s="31">
        <v>4301135400</v>
      </c>
      <c r="D242" s="278">
        <v>4607111039361</v>
      </c>
      <c r="E242" s="279"/>
      <c r="F242" s="271">
        <v>0.25</v>
      </c>
      <c r="G242" s="32">
        <v>12</v>
      </c>
      <c r="H242" s="271">
        <v>3</v>
      </c>
      <c r="I242" s="271">
        <v>3.7035999999999998</v>
      </c>
      <c r="J242" s="32">
        <v>70</v>
      </c>
      <c r="K242" s="32" t="s">
        <v>95</v>
      </c>
      <c r="L242" s="32" t="s">
        <v>67</v>
      </c>
      <c r="M242" s="33" t="s">
        <v>68</v>
      </c>
      <c r="N242" s="33"/>
      <c r="O242" s="32">
        <v>180</v>
      </c>
      <c r="P242" s="35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292"/>
      <c r="R242" s="292"/>
      <c r="S242" s="292"/>
      <c r="T242" s="293"/>
      <c r="U242" s="34"/>
      <c r="V242" s="34"/>
      <c r="W242" s="35" t="s">
        <v>69</v>
      </c>
      <c r="X242" s="272">
        <v>0</v>
      </c>
      <c r="Y242" s="273">
        <f>IFERROR(IF(X242="","",X242),"")</f>
        <v>0</v>
      </c>
      <c r="Z242" s="36">
        <f>IFERROR(IF(X242="","",X242*0.01788),"")</f>
        <v>0</v>
      </c>
      <c r="AA242" s="56"/>
      <c r="AB242" s="57"/>
      <c r="AC242" s="228" t="s">
        <v>327</v>
      </c>
      <c r="AG242" s="67"/>
      <c r="AJ242" s="71" t="s">
        <v>71</v>
      </c>
      <c r="AK242" s="71">
        <v>1</v>
      </c>
      <c r="BB242" s="229" t="s">
        <v>99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6"/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7"/>
      <c r="P243" s="280" t="s">
        <v>82</v>
      </c>
      <c r="Q243" s="281"/>
      <c r="R243" s="281"/>
      <c r="S243" s="281"/>
      <c r="T243" s="281"/>
      <c r="U243" s="281"/>
      <c r="V243" s="282"/>
      <c r="W243" s="37" t="s">
        <v>69</v>
      </c>
      <c r="X243" s="274">
        <f>IFERROR(SUM(X242:X242),"0")</f>
        <v>0</v>
      </c>
      <c r="Y243" s="274">
        <f>IFERROR(SUM(Y242:Y242),"0")</f>
        <v>0</v>
      </c>
      <c r="Z243" s="274">
        <f>IFERROR(IF(Z242="",0,Z242),"0")</f>
        <v>0</v>
      </c>
      <c r="AA243" s="275"/>
      <c r="AB243" s="275"/>
      <c r="AC243" s="275"/>
    </row>
    <row r="244" spans="1:68" hidden="1" x14ac:dyDescent="0.2">
      <c r="A244" s="290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7"/>
      <c r="P244" s="280" t="s">
        <v>82</v>
      </c>
      <c r="Q244" s="281"/>
      <c r="R244" s="281"/>
      <c r="S244" s="281"/>
      <c r="T244" s="281"/>
      <c r="U244" s="281"/>
      <c r="V244" s="282"/>
      <c r="W244" s="37" t="s">
        <v>83</v>
      </c>
      <c r="X244" s="274">
        <f>IFERROR(SUMPRODUCT(X242:X242*H242:H242),"0")</f>
        <v>0</v>
      </c>
      <c r="Y244" s="274">
        <f>IFERROR(SUMPRODUCT(Y242:Y242*H242:H242),"0")</f>
        <v>0</v>
      </c>
      <c r="Z244" s="37"/>
      <c r="AA244" s="275"/>
      <c r="AB244" s="275"/>
      <c r="AC244" s="275"/>
    </row>
    <row r="245" spans="1:68" ht="27.75" hidden="1" customHeight="1" x14ac:dyDescent="0.2">
      <c r="A245" s="285" t="s">
        <v>330</v>
      </c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48"/>
      <c r="AB245" s="48"/>
      <c r="AC245" s="48"/>
    </row>
    <row r="246" spans="1:68" ht="16.5" hidden="1" customHeight="1" x14ac:dyDescent="0.25">
      <c r="A246" s="289" t="s">
        <v>330</v>
      </c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  <c r="AA246" s="267"/>
      <c r="AB246" s="267"/>
      <c r="AC246" s="267"/>
    </row>
    <row r="247" spans="1:68" ht="14.25" hidden="1" customHeight="1" x14ac:dyDescent="0.25">
      <c r="A247" s="336" t="s">
        <v>63</v>
      </c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0"/>
      <c r="P247" s="290"/>
      <c r="Q247" s="290"/>
      <c r="R247" s="290"/>
      <c r="S247" s="290"/>
      <c r="T247" s="290"/>
      <c r="U247" s="290"/>
      <c r="V247" s="290"/>
      <c r="W247" s="290"/>
      <c r="X247" s="290"/>
      <c r="Y247" s="290"/>
      <c r="Z247" s="290"/>
      <c r="AA247" s="266"/>
      <c r="AB247" s="266"/>
      <c r="AC247" s="266"/>
    </row>
    <row r="248" spans="1:68" ht="27" hidden="1" customHeight="1" x14ac:dyDescent="0.25">
      <c r="A248" s="54" t="s">
        <v>331</v>
      </c>
      <c r="B248" s="54" t="s">
        <v>332</v>
      </c>
      <c r="C248" s="31">
        <v>4301071014</v>
      </c>
      <c r="D248" s="278">
        <v>4640242181264</v>
      </c>
      <c r="E248" s="279"/>
      <c r="F248" s="271">
        <v>0.7</v>
      </c>
      <c r="G248" s="32">
        <v>10</v>
      </c>
      <c r="H248" s="271">
        <v>7</v>
      </c>
      <c r="I248" s="271">
        <v>7.28</v>
      </c>
      <c r="J248" s="32">
        <v>84</v>
      </c>
      <c r="K248" s="32" t="s">
        <v>66</v>
      </c>
      <c r="L248" s="32" t="s">
        <v>67</v>
      </c>
      <c r="M248" s="33" t="s">
        <v>68</v>
      </c>
      <c r="N248" s="33"/>
      <c r="O248" s="32">
        <v>180</v>
      </c>
      <c r="P248" s="39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8" s="292"/>
      <c r="R248" s="292"/>
      <c r="S248" s="292"/>
      <c r="T248" s="293"/>
      <c r="U248" s="34"/>
      <c r="V248" s="34"/>
      <c r="W248" s="35" t="s">
        <v>69</v>
      </c>
      <c r="X248" s="272">
        <v>0</v>
      </c>
      <c r="Y248" s="273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333</v>
      </c>
      <c r="AG248" s="67"/>
      <c r="AJ248" s="71" t="s">
        <v>71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hidden="1" customHeight="1" x14ac:dyDescent="0.25">
      <c r="A249" s="54" t="s">
        <v>334</v>
      </c>
      <c r="B249" s="54" t="s">
        <v>335</v>
      </c>
      <c r="C249" s="31">
        <v>4301071021</v>
      </c>
      <c r="D249" s="278">
        <v>4640242181325</v>
      </c>
      <c r="E249" s="279"/>
      <c r="F249" s="271">
        <v>0.7</v>
      </c>
      <c r="G249" s="32">
        <v>10</v>
      </c>
      <c r="H249" s="271">
        <v>7</v>
      </c>
      <c r="I249" s="271">
        <v>7.28</v>
      </c>
      <c r="J249" s="32">
        <v>84</v>
      </c>
      <c r="K249" s="32" t="s">
        <v>66</v>
      </c>
      <c r="L249" s="32" t="s">
        <v>67</v>
      </c>
      <c r="M249" s="33" t="s">
        <v>68</v>
      </c>
      <c r="N249" s="33"/>
      <c r="O249" s="32">
        <v>180</v>
      </c>
      <c r="P249" s="30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9" s="292"/>
      <c r="R249" s="292"/>
      <c r="S249" s="292"/>
      <c r="T249" s="293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2" t="s">
        <v>333</v>
      </c>
      <c r="AG249" s="67"/>
      <c r="AJ249" s="71" t="s">
        <v>71</v>
      </c>
      <c r="AK249" s="71">
        <v>1</v>
      </c>
      <c r="BB249" s="233" t="s">
        <v>1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96"/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7"/>
      <c r="P250" s="280" t="s">
        <v>82</v>
      </c>
      <c r="Q250" s="281"/>
      <c r="R250" s="281"/>
      <c r="S250" s="281"/>
      <c r="T250" s="281"/>
      <c r="U250" s="281"/>
      <c r="V250" s="282"/>
      <c r="W250" s="37" t="s">
        <v>69</v>
      </c>
      <c r="X250" s="274">
        <f>IFERROR(SUM(X248:X249),"0")</f>
        <v>0</v>
      </c>
      <c r="Y250" s="274">
        <f>IFERROR(SUM(Y248:Y249),"0")</f>
        <v>0</v>
      </c>
      <c r="Z250" s="274">
        <f>IFERROR(IF(Z248="",0,Z248),"0")+IFERROR(IF(Z249="",0,Z249),"0")</f>
        <v>0</v>
      </c>
      <c r="AA250" s="275"/>
      <c r="AB250" s="275"/>
      <c r="AC250" s="275"/>
    </row>
    <row r="251" spans="1:68" hidden="1" x14ac:dyDescent="0.2">
      <c r="A251" s="290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7"/>
      <c r="P251" s="280" t="s">
        <v>82</v>
      </c>
      <c r="Q251" s="281"/>
      <c r="R251" s="281"/>
      <c r="S251" s="281"/>
      <c r="T251" s="281"/>
      <c r="U251" s="281"/>
      <c r="V251" s="282"/>
      <c r="W251" s="37" t="s">
        <v>83</v>
      </c>
      <c r="X251" s="274">
        <f>IFERROR(SUMPRODUCT(X248:X249*H248:H249),"0")</f>
        <v>0</v>
      </c>
      <c r="Y251" s="274">
        <f>IFERROR(SUMPRODUCT(Y248:Y249*H248:H249),"0")</f>
        <v>0</v>
      </c>
      <c r="Z251" s="37"/>
      <c r="AA251" s="275"/>
      <c r="AB251" s="275"/>
      <c r="AC251" s="275"/>
    </row>
    <row r="252" spans="1:68" ht="14.25" hidden="1" customHeight="1" x14ac:dyDescent="0.25">
      <c r="A252" s="336" t="s">
        <v>92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66"/>
      <c r="AB252" s="266"/>
      <c r="AC252" s="266"/>
    </row>
    <row r="253" spans="1:68" ht="27" customHeight="1" x14ac:dyDescent="0.25">
      <c r="A253" s="54" t="s">
        <v>336</v>
      </c>
      <c r="B253" s="54" t="s">
        <v>337</v>
      </c>
      <c r="C253" s="31">
        <v>4301132080</v>
      </c>
      <c r="D253" s="278">
        <v>4640242180397</v>
      </c>
      <c r="E253" s="279"/>
      <c r="F253" s="271">
        <v>1</v>
      </c>
      <c r="G253" s="32">
        <v>6</v>
      </c>
      <c r="H253" s="271">
        <v>6</v>
      </c>
      <c r="I253" s="271">
        <v>6.26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4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3" s="292"/>
      <c r="R253" s="292"/>
      <c r="S253" s="292"/>
      <c r="T253" s="293"/>
      <c r="U253" s="34"/>
      <c r="V253" s="34"/>
      <c r="W253" s="35" t="s">
        <v>69</v>
      </c>
      <c r="X253" s="272">
        <v>96</v>
      </c>
      <c r="Y253" s="273">
        <f>IFERROR(IF(X253="","",X253),"")</f>
        <v>96</v>
      </c>
      <c r="Z253" s="36">
        <f>IFERROR(IF(X253="","",X253*0.0155),"")</f>
        <v>1.488</v>
      </c>
      <c r="AA253" s="56"/>
      <c r="AB253" s="57"/>
      <c r="AC253" s="234" t="s">
        <v>338</v>
      </c>
      <c r="AG253" s="67"/>
      <c r="AJ253" s="71" t="s">
        <v>98</v>
      </c>
      <c r="AK253" s="71">
        <v>84</v>
      </c>
      <c r="BB253" s="235" t="s">
        <v>99</v>
      </c>
      <c r="BM253" s="67">
        <f>IFERROR(X253*I253,"0")</f>
        <v>600.96</v>
      </c>
      <c r="BN253" s="67">
        <f>IFERROR(Y253*I253,"0")</f>
        <v>600.96</v>
      </c>
      <c r="BO253" s="67">
        <f>IFERROR(X253/J253,"0")</f>
        <v>1.1428571428571428</v>
      </c>
      <c r="BP253" s="67">
        <f>IFERROR(Y253/J253,"0")</f>
        <v>1.1428571428571428</v>
      </c>
    </row>
    <row r="254" spans="1:68" ht="27" hidden="1" customHeight="1" x14ac:dyDescent="0.25">
      <c r="A254" s="54" t="s">
        <v>339</v>
      </c>
      <c r="B254" s="54" t="s">
        <v>340</v>
      </c>
      <c r="C254" s="31">
        <v>4301132104</v>
      </c>
      <c r="D254" s="278">
        <v>4640242181219</v>
      </c>
      <c r="E254" s="279"/>
      <c r="F254" s="271">
        <v>0.3</v>
      </c>
      <c r="G254" s="32">
        <v>9</v>
      </c>
      <c r="H254" s="271">
        <v>2.7</v>
      </c>
      <c r="I254" s="271">
        <v>2.8450000000000002</v>
      </c>
      <c r="J254" s="32">
        <v>234</v>
      </c>
      <c r="K254" s="32" t="s">
        <v>149</v>
      </c>
      <c r="L254" s="32" t="s">
        <v>108</v>
      </c>
      <c r="M254" s="33" t="s">
        <v>68</v>
      </c>
      <c r="N254" s="33"/>
      <c r="O254" s="32">
        <v>180</v>
      </c>
      <c r="P254" s="391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4" s="292"/>
      <c r="R254" s="292"/>
      <c r="S254" s="292"/>
      <c r="T254" s="293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IFERROR(IF(X254="","",X254*0.00502),"")</f>
        <v>0</v>
      </c>
      <c r="AA254" s="56"/>
      <c r="AB254" s="57"/>
      <c r="AC254" s="236" t="s">
        <v>338</v>
      </c>
      <c r="AG254" s="67"/>
      <c r="AJ254" s="71" t="s">
        <v>110</v>
      </c>
      <c r="AK254" s="71">
        <v>18</v>
      </c>
      <c r="BB254" s="237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6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7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4">
        <f>IFERROR(SUM(X253:X254),"0")</f>
        <v>96</v>
      </c>
      <c r="Y255" s="274">
        <f>IFERROR(SUM(Y253:Y254),"0")</f>
        <v>96</v>
      </c>
      <c r="Z255" s="274">
        <f>IFERROR(IF(Z253="",0,Z253),"0")+IFERROR(IF(Z254="",0,Z254),"0")</f>
        <v>1.488</v>
      </c>
      <c r="AA255" s="275"/>
      <c r="AB255" s="275"/>
      <c r="AC255" s="275"/>
    </row>
    <row r="256" spans="1:68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7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4">
        <f>IFERROR(SUMPRODUCT(X253:X254*H253:H254),"0")</f>
        <v>576</v>
      </c>
      <c r="Y256" s="274">
        <f>IFERROR(SUMPRODUCT(Y253:Y254*H253:H254),"0")</f>
        <v>576</v>
      </c>
      <c r="Z256" s="37"/>
      <c r="AA256" s="275"/>
      <c r="AB256" s="275"/>
      <c r="AC256" s="275"/>
    </row>
    <row r="257" spans="1:68" ht="14.25" hidden="1" customHeight="1" x14ac:dyDescent="0.25">
      <c r="A257" s="336" t="s">
        <v>132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66"/>
      <c r="AB257" s="266"/>
      <c r="AC257" s="266"/>
    </row>
    <row r="258" spans="1:68" ht="27" hidden="1" customHeight="1" x14ac:dyDescent="0.25">
      <c r="A258" s="54" t="s">
        <v>341</v>
      </c>
      <c r="B258" s="54" t="s">
        <v>342</v>
      </c>
      <c r="C258" s="31">
        <v>4301136051</v>
      </c>
      <c r="D258" s="278">
        <v>4640242180304</v>
      </c>
      <c r="E258" s="279"/>
      <c r="F258" s="271">
        <v>2.7</v>
      </c>
      <c r="G258" s="32">
        <v>1</v>
      </c>
      <c r="H258" s="271">
        <v>2.7</v>
      </c>
      <c r="I258" s="271">
        <v>2.8906000000000001</v>
      </c>
      <c r="J258" s="32">
        <v>126</v>
      </c>
      <c r="K258" s="32" t="s">
        <v>95</v>
      </c>
      <c r="L258" s="32" t="s">
        <v>108</v>
      </c>
      <c r="M258" s="33" t="s">
        <v>68</v>
      </c>
      <c r="N258" s="33"/>
      <c r="O258" s="32">
        <v>180</v>
      </c>
      <c r="P258" s="3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292"/>
      <c r="R258" s="292"/>
      <c r="S258" s="292"/>
      <c r="T258" s="293"/>
      <c r="U258" s="34"/>
      <c r="V258" s="34"/>
      <c r="W258" s="35" t="s">
        <v>69</v>
      </c>
      <c r="X258" s="272">
        <v>0</v>
      </c>
      <c r="Y258" s="273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343</v>
      </c>
      <c r="AG258" s="67"/>
      <c r="AJ258" s="71" t="s">
        <v>110</v>
      </c>
      <c r="AK258" s="71">
        <v>14</v>
      </c>
      <c r="BB258" s="239" t="s">
        <v>99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344</v>
      </c>
      <c r="B259" s="54" t="s">
        <v>345</v>
      </c>
      <c r="C259" s="31">
        <v>4301136053</v>
      </c>
      <c r="D259" s="278">
        <v>4640242180236</v>
      </c>
      <c r="E259" s="279"/>
      <c r="F259" s="271">
        <v>5</v>
      </c>
      <c r="G259" s="32">
        <v>1</v>
      </c>
      <c r="H259" s="271">
        <v>5</v>
      </c>
      <c r="I259" s="271">
        <v>5.2350000000000003</v>
      </c>
      <c r="J259" s="32">
        <v>84</v>
      </c>
      <c r="K259" s="32" t="s">
        <v>66</v>
      </c>
      <c r="L259" s="32" t="s">
        <v>96</v>
      </c>
      <c r="M259" s="33" t="s">
        <v>68</v>
      </c>
      <c r="N259" s="33"/>
      <c r="O259" s="32">
        <v>180</v>
      </c>
      <c r="P259" s="32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292"/>
      <c r="R259" s="292"/>
      <c r="S259" s="292"/>
      <c r="T259" s="293"/>
      <c r="U259" s="34"/>
      <c r="V259" s="34"/>
      <c r="W259" s="35" t="s">
        <v>69</v>
      </c>
      <c r="X259" s="272">
        <v>144</v>
      </c>
      <c r="Y259" s="273">
        <f>IFERROR(IF(X259="","",X259),"")</f>
        <v>144</v>
      </c>
      <c r="Z259" s="36">
        <f>IFERROR(IF(X259="","",X259*0.0155),"")</f>
        <v>2.2320000000000002</v>
      </c>
      <c r="AA259" s="56"/>
      <c r="AB259" s="57"/>
      <c r="AC259" s="240" t="s">
        <v>343</v>
      </c>
      <c r="AG259" s="67"/>
      <c r="AJ259" s="71" t="s">
        <v>98</v>
      </c>
      <c r="AK259" s="71">
        <v>84</v>
      </c>
      <c r="BB259" s="241" t="s">
        <v>99</v>
      </c>
      <c r="BM259" s="67">
        <f>IFERROR(X259*I259,"0")</f>
        <v>753.84</v>
      </c>
      <c r="BN259" s="67">
        <f>IFERROR(Y259*I259,"0")</f>
        <v>753.84</v>
      </c>
      <c r="BO259" s="67">
        <f>IFERROR(X259/J259,"0")</f>
        <v>1.7142857142857142</v>
      </c>
      <c r="BP259" s="67">
        <f>IFERROR(Y259/J259,"0")</f>
        <v>1.7142857142857142</v>
      </c>
    </row>
    <row r="260" spans="1:68" ht="27" customHeight="1" x14ac:dyDescent="0.25">
      <c r="A260" s="54" t="s">
        <v>346</v>
      </c>
      <c r="B260" s="54" t="s">
        <v>347</v>
      </c>
      <c r="C260" s="31">
        <v>4301136052</v>
      </c>
      <c r="D260" s="278">
        <v>4640242180410</v>
      </c>
      <c r="E260" s="279"/>
      <c r="F260" s="271">
        <v>2.2400000000000002</v>
      </c>
      <c r="G260" s="32">
        <v>1</v>
      </c>
      <c r="H260" s="271">
        <v>2.2400000000000002</v>
      </c>
      <c r="I260" s="271">
        <v>2.4319999999999999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7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292"/>
      <c r="R260" s="292"/>
      <c r="S260" s="292"/>
      <c r="T260" s="293"/>
      <c r="U260" s="34"/>
      <c r="V260" s="34"/>
      <c r="W260" s="35" t="s">
        <v>69</v>
      </c>
      <c r="X260" s="272">
        <v>28</v>
      </c>
      <c r="Y260" s="273">
        <f>IFERROR(IF(X260="","",X260),"")</f>
        <v>28</v>
      </c>
      <c r="Z260" s="36">
        <f>IFERROR(IF(X260="","",X260*0.00936),"")</f>
        <v>0.26207999999999998</v>
      </c>
      <c r="AA260" s="56"/>
      <c r="AB260" s="57"/>
      <c r="AC260" s="242" t="s">
        <v>343</v>
      </c>
      <c r="AG260" s="67"/>
      <c r="AJ260" s="71" t="s">
        <v>110</v>
      </c>
      <c r="AK260" s="71">
        <v>14</v>
      </c>
      <c r="BB260" s="243" t="s">
        <v>99</v>
      </c>
      <c r="BM260" s="67">
        <f>IFERROR(X260*I260,"0")</f>
        <v>68.096000000000004</v>
      </c>
      <c r="BN260" s="67">
        <f>IFERROR(Y260*I260,"0")</f>
        <v>68.096000000000004</v>
      </c>
      <c r="BO260" s="67">
        <f>IFERROR(X260/J260,"0")</f>
        <v>0.22222222222222221</v>
      </c>
      <c r="BP260" s="67">
        <f>IFERROR(Y260/J260,"0")</f>
        <v>0.22222222222222221</v>
      </c>
    </row>
    <row r="261" spans="1:68" x14ac:dyDescent="0.2">
      <c r="A261" s="296"/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7"/>
      <c r="P261" s="280" t="s">
        <v>82</v>
      </c>
      <c r="Q261" s="281"/>
      <c r="R261" s="281"/>
      <c r="S261" s="281"/>
      <c r="T261" s="281"/>
      <c r="U261" s="281"/>
      <c r="V261" s="282"/>
      <c r="W261" s="37" t="s">
        <v>69</v>
      </c>
      <c r="X261" s="274">
        <f>IFERROR(SUM(X258:X260),"0")</f>
        <v>172</v>
      </c>
      <c r="Y261" s="274">
        <f>IFERROR(SUM(Y258:Y260),"0")</f>
        <v>172</v>
      </c>
      <c r="Z261" s="274">
        <f>IFERROR(IF(Z258="",0,Z258),"0")+IFERROR(IF(Z259="",0,Z259),"0")+IFERROR(IF(Z260="",0,Z260),"0")</f>
        <v>2.4940800000000003</v>
      </c>
      <c r="AA261" s="275"/>
      <c r="AB261" s="275"/>
      <c r="AC261" s="275"/>
    </row>
    <row r="262" spans="1:68" x14ac:dyDescent="0.2">
      <c r="A262" s="290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7"/>
      <c r="P262" s="280" t="s">
        <v>82</v>
      </c>
      <c r="Q262" s="281"/>
      <c r="R262" s="281"/>
      <c r="S262" s="281"/>
      <c r="T262" s="281"/>
      <c r="U262" s="281"/>
      <c r="V262" s="282"/>
      <c r="W262" s="37" t="s">
        <v>83</v>
      </c>
      <c r="X262" s="274">
        <f>IFERROR(SUMPRODUCT(X258:X260*H258:H260),"0")</f>
        <v>782.72</v>
      </c>
      <c r="Y262" s="274">
        <f>IFERROR(SUMPRODUCT(Y258:Y260*H258:H260),"0")</f>
        <v>782.72</v>
      </c>
      <c r="Z262" s="37"/>
      <c r="AA262" s="275"/>
      <c r="AB262" s="275"/>
      <c r="AC262" s="275"/>
    </row>
    <row r="263" spans="1:68" ht="14.25" hidden="1" customHeight="1" x14ac:dyDescent="0.25">
      <c r="A263" s="336" t="s">
        <v>138</v>
      </c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0"/>
      <c r="P263" s="290"/>
      <c r="Q263" s="290"/>
      <c r="R263" s="290"/>
      <c r="S263" s="290"/>
      <c r="T263" s="290"/>
      <c r="U263" s="290"/>
      <c r="V263" s="290"/>
      <c r="W263" s="290"/>
      <c r="X263" s="290"/>
      <c r="Y263" s="290"/>
      <c r="Z263" s="290"/>
      <c r="AA263" s="266"/>
      <c r="AB263" s="266"/>
      <c r="AC263" s="266"/>
    </row>
    <row r="264" spans="1:68" ht="37.5" hidden="1" customHeight="1" x14ac:dyDescent="0.25">
      <c r="A264" s="54" t="s">
        <v>348</v>
      </c>
      <c r="B264" s="54" t="s">
        <v>349</v>
      </c>
      <c r="C264" s="31">
        <v>4301135504</v>
      </c>
      <c r="D264" s="278">
        <v>4640242181554</v>
      </c>
      <c r="E264" s="279"/>
      <c r="F264" s="271">
        <v>3</v>
      </c>
      <c r="G264" s="32">
        <v>1</v>
      </c>
      <c r="H264" s="271">
        <v>3</v>
      </c>
      <c r="I264" s="271">
        <v>3.1920000000000002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5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292"/>
      <c r="R264" s="292"/>
      <c r="S264" s="292"/>
      <c r="T264" s="293"/>
      <c r="U264" s="34"/>
      <c r="V264" s="34"/>
      <c r="W264" s="35" t="s">
        <v>69</v>
      </c>
      <c r="X264" s="272">
        <v>0</v>
      </c>
      <c r="Y264" s="273">
        <f t="shared" ref="Y264:Y273" si="18">IFERROR(IF(X264="","",X264),"")</f>
        <v>0</v>
      </c>
      <c r="Z264" s="36">
        <f>IFERROR(IF(X264="","",X264*0.00936),"")</f>
        <v>0</v>
      </c>
      <c r="AA264" s="56"/>
      <c r="AB264" s="57"/>
      <c r="AC264" s="244" t="s">
        <v>350</v>
      </c>
      <c r="AG264" s="67"/>
      <c r="AJ264" s="71" t="s">
        <v>71</v>
      </c>
      <c r="AK264" s="71">
        <v>1</v>
      </c>
      <c r="BB264" s="245" t="s">
        <v>99</v>
      </c>
      <c r="BM264" s="67">
        <f t="shared" ref="BM264:BM273" si="19">IFERROR(X264*I264,"0")</f>
        <v>0</v>
      </c>
      <c r="BN264" s="67">
        <f t="shared" ref="BN264:BN273" si="20">IFERROR(Y264*I264,"0")</f>
        <v>0</v>
      </c>
      <c r="BO264" s="67">
        <f t="shared" ref="BO264:BO273" si="21">IFERROR(X264/J264,"0")</f>
        <v>0</v>
      </c>
      <c r="BP264" s="67">
        <f t="shared" ref="BP264:BP273" si="22">IFERROR(Y264/J264,"0")</f>
        <v>0</v>
      </c>
    </row>
    <row r="265" spans="1:68" ht="27" customHeight="1" x14ac:dyDescent="0.25">
      <c r="A265" s="54" t="s">
        <v>351</v>
      </c>
      <c r="B265" s="54" t="s">
        <v>352</v>
      </c>
      <c r="C265" s="31">
        <v>4301135518</v>
      </c>
      <c r="D265" s="278">
        <v>4640242181561</v>
      </c>
      <c r="E265" s="279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108</v>
      </c>
      <c r="M265" s="33" t="s">
        <v>68</v>
      </c>
      <c r="N265" s="33"/>
      <c r="O265" s="32">
        <v>180</v>
      </c>
      <c r="P265" s="35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5" s="292"/>
      <c r="R265" s="292"/>
      <c r="S265" s="292"/>
      <c r="T265" s="293"/>
      <c r="U265" s="34"/>
      <c r="V265" s="34"/>
      <c r="W265" s="35" t="s">
        <v>69</v>
      </c>
      <c r="X265" s="272">
        <v>70</v>
      </c>
      <c r="Y265" s="273">
        <f t="shared" si="18"/>
        <v>70</v>
      </c>
      <c r="Z265" s="36">
        <f>IFERROR(IF(X265="","",X265*0.00936),"")</f>
        <v>0.6552</v>
      </c>
      <c r="AA265" s="56"/>
      <c r="AB265" s="57"/>
      <c r="AC265" s="246" t="s">
        <v>353</v>
      </c>
      <c r="AG265" s="67"/>
      <c r="AJ265" s="71" t="s">
        <v>110</v>
      </c>
      <c r="AK265" s="71">
        <v>14</v>
      </c>
      <c r="BB265" s="247" t="s">
        <v>99</v>
      </c>
      <c r="BM265" s="67">
        <f t="shared" si="19"/>
        <v>272.44</v>
      </c>
      <c r="BN265" s="67">
        <f t="shared" si="20"/>
        <v>272.44</v>
      </c>
      <c r="BO265" s="67">
        <f t="shared" si="21"/>
        <v>0.55555555555555558</v>
      </c>
      <c r="BP265" s="67">
        <f t="shared" si="22"/>
        <v>0.55555555555555558</v>
      </c>
    </row>
    <row r="266" spans="1:68" ht="27" customHeight="1" x14ac:dyDescent="0.25">
      <c r="A266" s="54" t="s">
        <v>354</v>
      </c>
      <c r="B266" s="54" t="s">
        <v>355</v>
      </c>
      <c r="C266" s="31">
        <v>4301135374</v>
      </c>
      <c r="D266" s="278">
        <v>4640242181424</v>
      </c>
      <c r="E266" s="279"/>
      <c r="F266" s="271">
        <v>5.5</v>
      </c>
      <c r="G266" s="32">
        <v>1</v>
      </c>
      <c r="H266" s="271">
        <v>5.5</v>
      </c>
      <c r="I266" s="271">
        <v>5.7350000000000003</v>
      </c>
      <c r="J266" s="32">
        <v>84</v>
      </c>
      <c r="K266" s="32" t="s">
        <v>66</v>
      </c>
      <c r="L266" s="32" t="s">
        <v>108</v>
      </c>
      <c r="M266" s="33" t="s">
        <v>68</v>
      </c>
      <c r="N266" s="33"/>
      <c r="O266" s="32">
        <v>180</v>
      </c>
      <c r="P266" s="3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292"/>
      <c r="R266" s="292"/>
      <c r="S266" s="292"/>
      <c r="T266" s="293"/>
      <c r="U266" s="34"/>
      <c r="V266" s="34"/>
      <c r="W266" s="35" t="s">
        <v>69</v>
      </c>
      <c r="X266" s="272">
        <v>12</v>
      </c>
      <c r="Y266" s="273">
        <f t="shared" si="18"/>
        <v>12</v>
      </c>
      <c r="Z266" s="36">
        <f>IFERROR(IF(X266="","",X266*0.0155),"")</f>
        <v>0.186</v>
      </c>
      <c r="AA266" s="56"/>
      <c r="AB266" s="57"/>
      <c r="AC266" s="248" t="s">
        <v>350</v>
      </c>
      <c r="AG266" s="67"/>
      <c r="AJ266" s="71" t="s">
        <v>110</v>
      </c>
      <c r="AK266" s="71">
        <v>12</v>
      </c>
      <c r="BB266" s="249" t="s">
        <v>99</v>
      </c>
      <c r="BM266" s="67">
        <f t="shared" si="19"/>
        <v>68.820000000000007</v>
      </c>
      <c r="BN266" s="67">
        <f t="shared" si="20"/>
        <v>68.820000000000007</v>
      </c>
      <c r="BO266" s="67">
        <f t="shared" si="21"/>
        <v>0.14285714285714285</v>
      </c>
      <c r="BP266" s="67">
        <f t="shared" si="22"/>
        <v>0.14285714285714285</v>
      </c>
    </row>
    <row r="267" spans="1:68" ht="27" customHeight="1" x14ac:dyDescent="0.25">
      <c r="A267" s="54" t="s">
        <v>356</v>
      </c>
      <c r="B267" s="54" t="s">
        <v>357</v>
      </c>
      <c r="C267" s="31">
        <v>4301135405</v>
      </c>
      <c r="D267" s="278">
        <v>4640242181523</v>
      </c>
      <c r="E267" s="279"/>
      <c r="F267" s="271">
        <v>3</v>
      </c>
      <c r="G267" s="32">
        <v>1</v>
      </c>
      <c r="H267" s="271">
        <v>3</v>
      </c>
      <c r="I267" s="271">
        <v>3.1920000000000002</v>
      </c>
      <c r="J267" s="32">
        <v>126</v>
      </c>
      <c r="K267" s="32" t="s">
        <v>95</v>
      </c>
      <c r="L267" s="32" t="s">
        <v>108</v>
      </c>
      <c r="M267" s="33" t="s">
        <v>68</v>
      </c>
      <c r="N267" s="33"/>
      <c r="O267" s="32">
        <v>180</v>
      </c>
      <c r="P267" s="37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292"/>
      <c r="R267" s="292"/>
      <c r="S267" s="292"/>
      <c r="T267" s="293"/>
      <c r="U267" s="34"/>
      <c r="V267" s="34"/>
      <c r="W267" s="35" t="s">
        <v>69</v>
      </c>
      <c r="X267" s="272">
        <v>140</v>
      </c>
      <c r="Y267" s="273">
        <f t="shared" si="18"/>
        <v>140</v>
      </c>
      <c r="Z267" s="36">
        <f t="shared" ref="Z267:Z272" si="23">IFERROR(IF(X267="","",X267*0.00936),"")</f>
        <v>1.3104</v>
      </c>
      <c r="AA267" s="56"/>
      <c r="AB267" s="57"/>
      <c r="AC267" s="250" t="s">
        <v>353</v>
      </c>
      <c r="AG267" s="67"/>
      <c r="AJ267" s="71" t="s">
        <v>110</v>
      </c>
      <c r="AK267" s="71">
        <v>14</v>
      </c>
      <c r="BB267" s="251" t="s">
        <v>99</v>
      </c>
      <c r="BM267" s="67">
        <f t="shared" si="19"/>
        <v>446.88</v>
      </c>
      <c r="BN267" s="67">
        <f t="shared" si="20"/>
        <v>446.88</v>
      </c>
      <c r="BO267" s="67">
        <f t="shared" si="21"/>
        <v>1.1111111111111112</v>
      </c>
      <c r="BP267" s="67">
        <f t="shared" si="22"/>
        <v>1.1111111111111112</v>
      </c>
    </row>
    <row r="268" spans="1:68" ht="27" hidden="1" customHeight="1" x14ac:dyDescent="0.25">
      <c r="A268" s="54" t="s">
        <v>358</v>
      </c>
      <c r="B268" s="54" t="s">
        <v>359</v>
      </c>
      <c r="C268" s="31">
        <v>4301135375</v>
      </c>
      <c r="D268" s="278">
        <v>4640242181486</v>
      </c>
      <c r="E268" s="279"/>
      <c r="F268" s="271">
        <v>3.7</v>
      </c>
      <c r="G268" s="32">
        <v>1</v>
      </c>
      <c r="H268" s="271">
        <v>3.7</v>
      </c>
      <c r="I268" s="271">
        <v>3.8919999999999999</v>
      </c>
      <c r="J268" s="32">
        <v>126</v>
      </c>
      <c r="K268" s="32" t="s">
        <v>95</v>
      </c>
      <c r="L268" s="32" t="s">
        <v>108</v>
      </c>
      <c r="M268" s="33" t="s">
        <v>68</v>
      </c>
      <c r="N268" s="33"/>
      <c r="O268" s="32">
        <v>180</v>
      </c>
      <c r="P268" s="3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292"/>
      <c r="R268" s="292"/>
      <c r="S268" s="292"/>
      <c r="T268" s="293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52" t="s">
        <v>350</v>
      </c>
      <c r="AG268" s="67"/>
      <c r="AJ268" s="71" t="s">
        <v>110</v>
      </c>
      <c r="AK268" s="71">
        <v>14</v>
      </c>
      <c r="BB268" s="253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37.5" hidden="1" customHeight="1" x14ac:dyDescent="0.25">
      <c r="A269" s="54" t="s">
        <v>360</v>
      </c>
      <c r="B269" s="54" t="s">
        <v>361</v>
      </c>
      <c r="C269" s="31">
        <v>4301135402</v>
      </c>
      <c r="D269" s="278">
        <v>4640242181493</v>
      </c>
      <c r="E269" s="279"/>
      <c r="F269" s="271">
        <v>3.7</v>
      </c>
      <c r="G269" s="32">
        <v>1</v>
      </c>
      <c r="H269" s="271">
        <v>3.7</v>
      </c>
      <c r="I269" s="271">
        <v>3.8919999999999999</v>
      </c>
      <c r="J269" s="32">
        <v>126</v>
      </c>
      <c r="K269" s="32" t="s">
        <v>95</v>
      </c>
      <c r="L269" s="32" t="s">
        <v>67</v>
      </c>
      <c r="M269" s="33" t="s">
        <v>68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292"/>
      <c r="R269" s="292"/>
      <c r="S269" s="292"/>
      <c r="T269" s="293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 t="shared" si="23"/>
        <v>0</v>
      </c>
      <c r="AA269" s="56"/>
      <c r="AB269" s="57"/>
      <c r="AC269" s="254" t="s">
        <v>350</v>
      </c>
      <c r="AG269" s="67"/>
      <c r="AJ269" s="71" t="s">
        <v>71</v>
      </c>
      <c r="AK269" s="71">
        <v>1</v>
      </c>
      <c r="BB269" s="255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37.5" hidden="1" customHeight="1" x14ac:dyDescent="0.25">
      <c r="A270" s="54" t="s">
        <v>362</v>
      </c>
      <c r="B270" s="54" t="s">
        <v>363</v>
      </c>
      <c r="C270" s="31">
        <v>4301135403</v>
      </c>
      <c r="D270" s="278">
        <v>4640242181509</v>
      </c>
      <c r="E270" s="279"/>
      <c r="F270" s="271">
        <v>3.7</v>
      </c>
      <c r="G270" s="32">
        <v>1</v>
      </c>
      <c r="H270" s="271">
        <v>3.7</v>
      </c>
      <c r="I270" s="271">
        <v>3.8919999999999999</v>
      </c>
      <c r="J270" s="32">
        <v>126</v>
      </c>
      <c r="K270" s="32" t="s">
        <v>95</v>
      </c>
      <c r="L270" s="32" t="s">
        <v>67</v>
      </c>
      <c r="M270" s="33" t="s">
        <v>68</v>
      </c>
      <c r="N270" s="33"/>
      <c r="O270" s="32">
        <v>180</v>
      </c>
      <c r="P270" s="4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292"/>
      <c r="R270" s="292"/>
      <c r="S270" s="292"/>
      <c r="T270" s="293"/>
      <c r="U270" s="34"/>
      <c r="V270" s="34"/>
      <c r="W270" s="35" t="s">
        <v>69</v>
      </c>
      <c r="X270" s="272">
        <v>0</v>
      </c>
      <c r="Y270" s="273">
        <f t="shared" si="18"/>
        <v>0</v>
      </c>
      <c r="Z270" s="36">
        <f t="shared" si="23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99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364</v>
      </c>
      <c r="B271" s="54" t="s">
        <v>365</v>
      </c>
      <c r="C271" s="31">
        <v>4301135304</v>
      </c>
      <c r="D271" s="278">
        <v>4640242181240</v>
      </c>
      <c r="E271" s="279"/>
      <c r="F271" s="271">
        <v>0.3</v>
      </c>
      <c r="G271" s="32">
        <v>9</v>
      </c>
      <c r="H271" s="271">
        <v>2.7</v>
      </c>
      <c r="I271" s="271">
        <v>2.88</v>
      </c>
      <c r="J271" s="32">
        <v>126</v>
      </c>
      <c r="K271" s="32" t="s">
        <v>95</v>
      </c>
      <c r="L271" s="32" t="s">
        <v>67</v>
      </c>
      <c r="M271" s="33" t="s">
        <v>68</v>
      </c>
      <c r="N271" s="33"/>
      <c r="O271" s="32">
        <v>180</v>
      </c>
      <c r="P271" s="3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292"/>
      <c r="R271" s="292"/>
      <c r="S271" s="292"/>
      <c r="T271" s="293"/>
      <c r="U271" s="34"/>
      <c r="V271" s="34"/>
      <c r="W271" s="35" t="s">
        <v>69</v>
      </c>
      <c r="X271" s="272">
        <v>0</v>
      </c>
      <c r="Y271" s="273">
        <f t="shared" si="18"/>
        <v>0</v>
      </c>
      <c r="Z271" s="36">
        <f t="shared" si="23"/>
        <v>0</v>
      </c>
      <c r="AA271" s="56"/>
      <c r="AB271" s="57"/>
      <c r="AC271" s="258" t="s">
        <v>350</v>
      </c>
      <c r="AG271" s="67"/>
      <c r="AJ271" s="71" t="s">
        <v>71</v>
      </c>
      <c r="AK271" s="71">
        <v>1</v>
      </c>
      <c r="BB271" s="259" t="s">
        <v>99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366</v>
      </c>
      <c r="B272" s="54" t="s">
        <v>367</v>
      </c>
      <c r="C272" s="31">
        <v>4301135610</v>
      </c>
      <c r="D272" s="278">
        <v>4640242181318</v>
      </c>
      <c r="E272" s="279"/>
      <c r="F272" s="271">
        <v>0.3</v>
      </c>
      <c r="G272" s="32">
        <v>9</v>
      </c>
      <c r="H272" s="271">
        <v>2.7</v>
      </c>
      <c r="I272" s="271">
        <v>2.988</v>
      </c>
      <c r="J272" s="32">
        <v>126</v>
      </c>
      <c r="K272" s="32" t="s">
        <v>95</v>
      </c>
      <c r="L272" s="32" t="s">
        <v>67</v>
      </c>
      <c r="M272" s="33" t="s">
        <v>68</v>
      </c>
      <c r="N272" s="33"/>
      <c r="O272" s="32">
        <v>180</v>
      </c>
      <c r="P272" s="35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292"/>
      <c r="R272" s="292"/>
      <c r="S272" s="292"/>
      <c r="T272" s="293"/>
      <c r="U272" s="34"/>
      <c r="V272" s="34"/>
      <c r="W272" s="35" t="s">
        <v>69</v>
      </c>
      <c r="X272" s="272">
        <v>0</v>
      </c>
      <c r="Y272" s="273">
        <f t="shared" si="18"/>
        <v>0</v>
      </c>
      <c r="Z272" s="36">
        <f t="shared" si="23"/>
        <v>0</v>
      </c>
      <c r="AA272" s="56"/>
      <c r="AB272" s="57"/>
      <c r="AC272" s="260" t="s">
        <v>353</v>
      </c>
      <c r="AG272" s="67"/>
      <c r="AJ272" s="71" t="s">
        <v>71</v>
      </c>
      <c r="AK272" s="71">
        <v>1</v>
      </c>
      <c r="BB272" s="261" t="s">
        <v>99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368</v>
      </c>
      <c r="B273" s="54" t="s">
        <v>369</v>
      </c>
      <c r="C273" s="31">
        <v>4301135306</v>
      </c>
      <c r="D273" s="278">
        <v>4640242181387</v>
      </c>
      <c r="E273" s="279"/>
      <c r="F273" s="271">
        <v>0.3</v>
      </c>
      <c r="G273" s="32">
        <v>9</v>
      </c>
      <c r="H273" s="271">
        <v>2.7</v>
      </c>
      <c r="I273" s="271">
        <v>2.8450000000000002</v>
      </c>
      <c r="J273" s="32">
        <v>234</v>
      </c>
      <c r="K273" s="32" t="s">
        <v>149</v>
      </c>
      <c r="L273" s="32" t="s">
        <v>67</v>
      </c>
      <c r="M273" s="33" t="s">
        <v>68</v>
      </c>
      <c r="N273" s="33"/>
      <c r="O273" s="32">
        <v>180</v>
      </c>
      <c r="P273" s="33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292"/>
      <c r="R273" s="292"/>
      <c r="S273" s="292"/>
      <c r="T273" s="293"/>
      <c r="U273" s="34"/>
      <c r="V273" s="34"/>
      <c r="W273" s="35" t="s">
        <v>69</v>
      </c>
      <c r="X273" s="272">
        <v>0</v>
      </c>
      <c r="Y273" s="273">
        <f t="shared" si="18"/>
        <v>0</v>
      </c>
      <c r="Z273" s="36">
        <f>IFERROR(IF(X273="","",X273*0.00502),"")</f>
        <v>0</v>
      </c>
      <c r="AA273" s="56"/>
      <c r="AB273" s="57"/>
      <c r="AC273" s="262" t="s">
        <v>350</v>
      </c>
      <c r="AG273" s="67"/>
      <c r="AJ273" s="71" t="s">
        <v>71</v>
      </c>
      <c r="AK273" s="71">
        <v>1</v>
      </c>
      <c r="BB273" s="263" t="s">
        <v>99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x14ac:dyDescent="0.2">
      <c r="A274" s="296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297"/>
      <c r="P274" s="280" t="s">
        <v>82</v>
      </c>
      <c r="Q274" s="281"/>
      <c r="R274" s="281"/>
      <c r="S274" s="281"/>
      <c r="T274" s="281"/>
      <c r="U274" s="281"/>
      <c r="V274" s="282"/>
      <c r="W274" s="37" t="s">
        <v>69</v>
      </c>
      <c r="X274" s="274">
        <f>IFERROR(SUM(X264:X273),"0")</f>
        <v>222</v>
      </c>
      <c r="Y274" s="274">
        <f>IFERROR(SUM(Y264:Y273),"0")</f>
        <v>222</v>
      </c>
      <c r="Z274" s="274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2.1516000000000002</v>
      </c>
      <c r="AA274" s="275"/>
      <c r="AB274" s="275"/>
      <c r="AC274" s="275"/>
    </row>
    <row r="275" spans="1:68" x14ac:dyDescent="0.2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297"/>
      <c r="P275" s="280" t="s">
        <v>82</v>
      </c>
      <c r="Q275" s="281"/>
      <c r="R275" s="281"/>
      <c r="S275" s="281"/>
      <c r="T275" s="281"/>
      <c r="U275" s="281"/>
      <c r="V275" s="282"/>
      <c r="W275" s="37" t="s">
        <v>83</v>
      </c>
      <c r="X275" s="274">
        <f>IFERROR(SUMPRODUCT(X264:X273*H264:H273),"0")</f>
        <v>745</v>
      </c>
      <c r="Y275" s="274">
        <f>IFERROR(SUMPRODUCT(Y264:Y273*H264:H273),"0")</f>
        <v>745</v>
      </c>
      <c r="Z275" s="37"/>
      <c r="AA275" s="275"/>
      <c r="AB275" s="275"/>
      <c r="AC275" s="275"/>
    </row>
    <row r="276" spans="1:68" ht="15" customHeight="1" x14ac:dyDescent="0.2">
      <c r="A276" s="294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295"/>
      <c r="P276" s="326" t="s">
        <v>370</v>
      </c>
      <c r="Q276" s="327"/>
      <c r="R276" s="327"/>
      <c r="S276" s="327"/>
      <c r="T276" s="327"/>
      <c r="U276" s="327"/>
      <c r="V276" s="328"/>
      <c r="W276" s="37" t="s">
        <v>83</v>
      </c>
      <c r="X276" s="274">
        <f>IFERROR(X29+X35+X42+X49+X57+X62+X66+X71+X77+X83+X88+X94+X104+X110+X122+X127+X131+X137+X143+X149+X154+X159+X164+X169+X176+X184+X188+X194+X202+X207+X212+X217+X222+X228+X234+X240+X244+X251+X256+X262+X275,"0")</f>
        <v>12544.32</v>
      </c>
      <c r="Y276" s="274">
        <f>IFERROR(Y29+Y35+Y42+Y49+Y57+Y62+Y66+Y71+Y77+Y83+Y88+Y94+Y104+Y110+Y122+Y127+Y131+Y137+Y143+Y149+Y154+Y159+Y164+Y169+Y176+Y184+Y188+Y194+Y202+Y207+Y212+Y217+Y222+Y228+Y234+Y240+Y244+Y251+Y256+Y262+Y275,"0")</f>
        <v>12544.32</v>
      </c>
      <c r="Z276" s="37"/>
      <c r="AA276" s="275"/>
      <c r="AB276" s="275"/>
      <c r="AC276" s="275"/>
    </row>
    <row r="277" spans="1:68" x14ac:dyDescent="0.2">
      <c r="A277" s="290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295"/>
      <c r="P277" s="326" t="s">
        <v>371</v>
      </c>
      <c r="Q277" s="327"/>
      <c r="R277" s="327"/>
      <c r="S277" s="327"/>
      <c r="T277" s="327"/>
      <c r="U277" s="327"/>
      <c r="V277" s="328"/>
      <c r="W277" s="37" t="s">
        <v>83</v>
      </c>
      <c r="X277" s="274">
        <f>IFERROR(SUM(BM22:BM273),"0")</f>
        <v>13773.762399999998</v>
      </c>
      <c r="Y277" s="274">
        <f>IFERROR(SUM(BN22:BN273),"0")</f>
        <v>13773.762399999998</v>
      </c>
      <c r="Z277" s="37"/>
      <c r="AA277" s="275"/>
      <c r="AB277" s="275"/>
      <c r="AC277" s="275"/>
    </row>
    <row r="278" spans="1:68" x14ac:dyDescent="0.2">
      <c r="A278" s="290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5"/>
      <c r="P278" s="326" t="s">
        <v>372</v>
      </c>
      <c r="Q278" s="327"/>
      <c r="R278" s="327"/>
      <c r="S278" s="327"/>
      <c r="T278" s="327"/>
      <c r="U278" s="327"/>
      <c r="V278" s="328"/>
      <c r="W278" s="37" t="s">
        <v>373</v>
      </c>
      <c r="X278" s="38">
        <f>ROUNDUP(SUM(BO22:BO273),0)</f>
        <v>36</v>
      </c>
      <c r="Y278" s="38">
        <f>ROUNDUP(SUM(BP22:BP273),0)</f>
        <v>36</v>
      </c>
      <c r="Z278" s="37"/>
      <c r="AA278" s="275"/>
      <c r="AB278" s="275"/>
      <c r="AC278" s="275"/>
    </row>
    <row r="279" spans="1:68" x14ac:dyDescent="0.2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5"/>
      <c r="P279" s="326" t="s">
        <v>374</v>
      </c>
      <c r="Q279" s="327"/>
      <c r="R279" s="327"/>
      <c r="S279" s="327"/>
      <c r="T279" s="327"/>
      <c r="U279" s="327"/>
      <c r="V279" s="328"/>
      <c r="W279" s="37" t="s">
        <v>83</v>
      </c>
      <c r="X279" s="274">
        <f>GrossWeightTotal+PalletQtyTotal*25</f>
        <v>14673.762399999998</v>
      </c>
      <c r="Y279" s="274">
        <f>GrossWeightTotalR+PalletQtyTotalR*25</f>
        <v>14673.762399999998</v>
      </c>
      <c r="Z279" s="37"/>
      <c r="AA279" s="275"/>
      <c r="AB279" s="275"/>
      <c r="AC279" s="275"/>
    </row>
    <row r="280" spans="1:68" x14ac:dyDescent="0.2">
      <c r="A280" s="290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295"/>
      <c r="P280" s="326" t="s">
        <v>375</v>
      </c>
      <c r="Q280" s="327"/>
      <c r="R280" s="327"/>
      <c r="S280" s="327"/>
      <c r="T280" s="327"/>
      <c r="U280" s="327"/>
      <c r="V280" s="328"/>
      <c r="W280" s="37" t="s">
        <v>373</v>
      </c>
      <c r="X280" s="274">
        <f>IFERROR(X28+X34+X41+X48+X56+X61+X65+X70+X76+X82+X87+X93+X103+X109+X121+X126+X130+X136+X142+X148+X153+X158+X163+X168+X175+X183+X187+X193+X201+X206+X211+X216+X221+X227+X233+X239+X243+X250+X255+X261+X274,"0")</f>
        <v>2976</v>
      </c>
      <c r="Y280" s="274">
        <f>IFERROR(Y28+Y34+Y41+Y48+Y56+Y61+Y65+Y70+Y76+Y82+Y87+Y93+Y103+Y109+Y121+Y126+Y130+Y136+Y142+Y148+Y153+Y158+Y163+Y168+Y175+Y183+Y187+Y193+Y201+Y206+Y211+Y216+Y221+Y227+Y233+Y239+Y243+Y250+Y255+Y261+Y274,"0")</f>
        <v>2976</v>
      </c>
      <c r="Z280" s="37"/>
      <c r="AA280" s="275"/>
      <c r="AB280" s="275"/>
      <c r="AC280" s="275"/>
    </row>
    <row r="281" spans="1:68" ht="14.25" hidden="1" customHeight="1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5"/>
      <c r="P281" s="326" t="s">
        <v>376</v>
      </c>
      <c r="Q281" s="327"/>
      <c r="R281" s="327"/>
      <c r="S281" s="327"/>
      <c r="T281" s="327"/>
      <c r="U281" s="327"/>
      <c r="V281" s="328"/>
      <c r="W281" s="39" t="s">
        <v>377</v>
      </c>
      <c r="X281" s="37"/>
      <c r="Y281" s="37"/>
      <c r="Z281" s="37">
        <f>IFERROR(Z28+Z34+Z41+Z48+Z56+Z61+Z65+Z70+Z76+Z82+Z87+Z93+Z103+Z109+Z121+Z126+Z130+Z136+Z142+Z148+Z153+Z158+Z163+Z168+Z175+Z183+Z187+Z193+Z201+Z206+Z211+Z216+Z221+Z227+Z233+Z239+Z243+Z250+Z255+Z261+Z274,"0")</f>
        <v>44.549279999999996</v>
      </c>
      <c r="AA281" s="275"/>
      <c r="AB281" s="275"/>
      <c r="AC281" s="275"/>
    </row>
    <row r="282" spans="1:68" ht="13.5" customHeight="1" thickBot="1" x14ac:dyDescent="0.25"/>
    <row r="283" spans="1:68" ht="27" customHeight="1" thickTop="1" thickBot="1" x14ac:dyDescent="0.25">
      <c r="A283" s="40" t="s">
        <v>378</v>
      </c>
      <c r="B283" s="276" t="s">
        <v>62</v>
      </c>
      <c r="C283" s="288"/>
      <c r="D283" s="276" t="s">
        <v>90</v>
      </c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  <c r="O283" s="287"/>
      <c r="P283" s="287"/>
      <c r="Q283" s="287"/>
      <c r="R283" s="287"/>
      <c r="S283" s="287"/>
      <c r="T283" s="287"/>
      <c r="U283" s="288"/>
      <c r="V283" s="264" t="s">
        <v>251</v>
      </c>
      <c r="W283" s="264" t="s">
        <v>259</v>
      </c>
      <c r="X283" s="276" t="s">
        <v>278</v>
      </c>
      <c r="Y283" s="287"/>
      <c r="Z283" s="287"/>
      <c r="AA283" s="288"/>
      <c r="AB283" s="264" t="s">
        <v>313</v>
      </c>
      <c r="AC283" s="264" t="s">
        <v>318</v>
      </c>
      <c r="AD283" s="264" t="s">
        <v>322</v>
      </c>
      <c r="AE283" s="264" t="s">
        <v>330</v>
      </c>
      <c r="AF283" s="265"/>
    </row>
    <row r="284" spans="1:68" ht="14.25" customHeight="1" thickTop="1" x14ac:dyDescent="0.2">
      <c r="A284" s="375" t="s">
        <v>379</v>
      </c>
      <c r="B284" s="276" t="s">
        <v>62</v>
      </c>
      <c r="C284" s="276" t="s">
        <v>84</v>
      </c>
      <c r="D284" s="276" t="s">
        <v>91</v>
      </c>
      <c r="E284" s="276" t="s">
        <v>102</v>
      </c>
      <c r="F284" s="276" t="s">
        <v>114</v>
      </c>
      <c r="G284" s="276" t="s">
        <v>125</v>
      </c>
      <c r="H284" s="276" t="s">
        <v>146</v>
      </c>
      <c r="I284" s="276" t="s">
        <v>153</v>
      </c>
      <c r="J284" s="276" t="s">
        <v>157</v>
      </c>
      <c r="K284" s="276" t="s">
        <v>165</v>
      </c>
      <c r="L284" s="276" t="s">
        <v>180</v>
      </c>
      <c r="M284" s="276" t="s">
        <v>186</v>
      </c>
      <c r="N284" s="265"/>
      <c r="O284" s="276" t="s">
        <v>217</v>
      </c>
      <c r="P284" s="276" t="s">
        <v>223</v>
      </c>
      <c r="Q284" s="276" t="s">
        <v>230</v>
      </c>
      <c r="R284" s="276" t="s">
        <v>235</v>
      </c>
      <c r="S284" s="276" t="s">
        <v>239</v>
      </c>
      <c r="T284" s="276" t="s">
        <v>242</v>
      </c>
      <c r="U284" s="276" t="s">
        <v>247</v>
      </c>
      <c r="V284" s="276" t="s">
        <v>252</v>
      </c>
      <c r="W284" s="276" t="s">
        <v>260</v>
      </c>
      <c r="X284" s="276" t="s">
        <v>279</v>
      </c>
      <c r="Y284" s="276" t="s">
        <v>62</v>
      </c>
      <c r="Z284" s="276" t="s">
        <v>300</v>
      </c>
      <c r="AA284" s="276" t="s">
        <v>304</v>
      </c>
      <c r="AB284" s="276" t="s">
        <v>314</v>
      </c>
      <c r="AC284" s="276" t="s">
        <v>319</v>
      </c>
      <c r="AD284" s="276" t="s">
        <v>323</v>
      </c>
      <c r="AE284" s="276" t="s">
        <v>330</v>
      </c>
      <c r="AF284" s="265"/>
    </row>
    <row r="285" spans="1:68" ht="13.5" customHeight="1" thickBot="1" x14ac:dyDescent="0.25">
      <c r="A285" s="376"/>
      <c r="B285" s="277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65"/>
      <c r="O285" s="277"/>
      <c r="P285" s="277"/>
      <c r="Q285" s="277"/>
      <c r="R285" s="277"/>
      <c r="S285" s="277"/>
      <c r="T285" s="277"/>
      <c r="U285" s="277"/>
      <c r="V285" s="277"/>
      <c r="W285" s="277"/>
      <c r="X285" s="277"/>
      <c r="Y285" s="277"/>
      <c r="Z285" s="277"/>
      <c r="AA285" s="277"/>
      <c r="AB285" s="277"/>
      <c r="AC285" s="277"/>
      <c r="AD285" s="277"/>
      <c r="AE285" s="277"/>
      <c r="AF285" s="265"/>
    </row>
    <row r="286" spans="1:68" ht="18" customHeight="1" thickTop="1" thickBot="1" x14ac:dyDescent="0.25">
      <c r="A286" s="40" t="s">
        <v>380</v>
      </c>
      <c r="B286" s="46">
        <f>IFERROR(X22*H22,"0")+IFERROR(X23*H23,"0")+IFERROR(X24*H24,"0")+IFERROR(X25*H25,"0")+IFERROR(X26*H26,"0")+IFERROR(X27*H27,"0")</f>
        <v>432</v>
      </c>
      <c r="C286" s="46">
        <f>IFERROR(X32*H32,"0")+IFERROR(X33*H33,"0")</f>
        <v>76.800000000000011</v>
      </c>
      <c r="D286" s="46">
        <f>IFERROR(X39*H39,"0")+IFERROR(X40*H40,"0")</f>
        <v>210</v>
      </c>
      <c r="E286" s="46">
        <f>IFERROR(X45*H45,"0")+IFERROR(X46*H46,"0")+IFERROR(X47*H47,"0")</f>
        <v>0</v>
      </c>
      <c r="F286" s="46">
        <f>IFERROR(X52*H52,"0")+IFERROR(X53*H53,"0")+IFERROR(X54*H54,"0")+IFERROR(X55*H55,"0")</f>
        <v>1092</v>
      </c>
      <c r="G286" s="46">
        <f>IFERROR(X60*H60,"0")+IFERROR(X64*H64,"0")+IFERROR(X68*H68,"0")+IFERROR(X69*H69,"0")+IFERROR(X73*H73,"0")+IFERROR(X74*H74,"0")+IFERROR(X75*H75,"0")</f>
        <v>33.6</v>
      </c>
      <c r="H286" s="46">
        <f>IFERROR(X80*H80,"0")+IFERROR(X81*H81,"0")</f>
        <v>1080</v>
      </c>
      <c r="I286" s="46">
        <f>IFERROR(X86*H86,"0")</f>
        <v>100.8</v>
      </c>
      <c r="J286" s="46">
        <f>IFERROR(X91*H91,"0")+IFERROR(X92*H92,"0")</f>
        <v>252</v>
      </c>
      <c r="K286" s="46">
        <f>IFERROR(X97*H97,"0")+IFERROR(X98*H98,"0")+IFERROR(X99*H99,"0")+IFERROR(X100*H100,"0")+IFERROR(X101*H101,"0")+IFERROR(X102*H102,"0")</f>
        <v>703.92</v>
      </c>
      <c r="L286" s="46">
        <f>IFERROR(X107*H107,"0")+IFERROR(X108*H108,"0")</f>
        <v>30.240000000000002</v>
      </c>
      <c r="M286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2688.96</v>
      </c>
      <c r="N286" s="265"/>
      <c r="O286" s="46">
        <f>IFERROR(X134*H134,"0")+IFERROR(X135*H135,"0")</f>
        <v>1050</v>
      </c>
      <c r="P286" s="46">
        <f>IFERROR(X140*H140,"0")+IFERROR(X141*H141,"0")</f>
        <v>420</v>
      </c>
      <c r="Q286" s="46">
        <f>IFERROR(X146*H146,"0")+IFERROR(X147*H147,"0")</f>
        <v>168</v>
      </c>
      <c r="R286" s="46">
        <f>IFERROR(X152*H152,"0")</f>
        <v>42</v>
      </c>
      <c r="S286" s="46">
        <f>IFERROR(X157*H157,"0")</f>
        <v>37.800000000000004</v>
      </c>
      <c r="T286" s="46">
        <f>IFERROR(X162*H162,"0")</f>
        <v>0</v>
      </c>
      <c r="U286" s="46">
        <f>IFERROR(X167*H167,"0")</f>
        <v>0</v>
      </c>
      <c r="V286" s="46">
        <f>IFERROR(X173*H173,"0")+IFERROR(X174*H174,"0")</f>
        <v>300</v>
      </c>
      <c r="W286" s="46">
        <f>IFERROR(X180*H180,"0")+IFERROR(X181*H181,"0")+IFERROR(X182*H182,"0")+IFERROR(X186*H186,"0")</f>
        <v>798</v>
      </c>
      <c r="X286" s="46">
        <f>IFERROR(X192*H192,"0")+IFERROR(X196*H196,"0")+IFERROR(X197*H197,"0")+IFERROR(X198*H198,"0")+IFERROR(X199*H199,"0")+IFERROR(X200*H200,"0")</f>
        <v>144.48000000000002</v>
      </c>
      <c r="Y286" s="46">
        <f>IFERROR(X205*H205,"0")</f>
        <v>0</v>
      </c>
      <c r="Z286" s="46">
        <f>IFERROR(X210*H210,"0")</f>
        <v>420</v>
      </c>
      <c r="AA286" s="46">
        <f>IFERROR(X215*H215,"0")+IFERROR(X219*H219,"0")+IFERROR(X220*H220,"0")</f>
        <v>0</v>
      </c>
      <c r="AB286" s="46">
        <f>IFERROR(X226*H226,"0")</f>
        <v>0</v>
      </c>
      <c r="AC286" s="46">
        <f>IFERROR(X232*H232,"0")</f>
        <v>360</v>
      </c>
      <c r="AD286" s="46">
        <f>IFERROR(X238*H238,"0")+IFERROR(X242*H242,"0")</f>
        <v>0</v>
      </c>
      <c r="AE286" s="46">
        <f>IFERROR(X248*H248,"0")+IFERROR(X249*H249,"0")+IFERROR(X253*H253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2103.7200000000003</v>
      </c>
      <c r="AF286" s="265"/>
    </row>
    <row r="287" spans="1:68" ht="13.5" customHeight="1" thickTop="1" x14ac:dyDescent="0.2">
      <c r="C287" s="265"/>
    </row>
    <row r="288" spans="1:68" ht="19.5" customHeight="1" x14ac:dyDescent="0.2">
      <c r="A288" s="58" t="s">
        <v>381</v>
      </c>
      <c r="B288" s="58" t="s">
        <v>382</v>
      </c>
      <c r="C288" s="58" t="s">
        <v>383</v>
      </c>
    </row>
    <row r="289" spans="1:3" x14ac:dyDescent="0.2">
      <c r="A289" s="59">
        <f>SUMPRODUCT(--(BB:BB="ЗПФ"),--(W:W="кор"),H:H,Y:Y)+SUMPRODUCT(--(BB:BB="ЗПФ"),--(W:W="кг"),Y:Y)</f>
        <v>6412.8</v>
      </c>
      <c r="B289" s="60">
        <f>SUMPRODUCT(--(BB:BB="ПГП"),--(W:W="кор"),H:H,Y:Y)+SUMPRODUCT(--(BB:BB="ПГП"),--(W:W="кг"),Y:Y)</f>
        <v>6131.52</v>
      </c>
      <c r="C289" s="60">
        <f>SUMPRODUCT(--(BB:BB="КИЗ"),--(W:W="кор"),H:H,Y:Y)+SUMPRODUCT(--(BB:BB="КИЗ"),--(W:W="кг"),Y:Y)</f>
        <v>0</v>
      </c>
    </row>
  </sheetData>
  <sheetProtection algorithmName="SHA-512" hashValue="loOtbwdxXwzCexVQLfkuBYvWgroyVCZ/lWfKmQWhFW1cm31FAvUlV/pjbRbGl6RNh2dXs+y3cPNuqGvQ3Htn7g==" saltValue="FaPF2rG/oq8QxrgWHomong==" spinCount="100000" sheet="1" objects="1" scenarios="1" sort="0" autoFilter="0" pivotTables="0"/>
  <autoFilter ref="A18:AF28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080,00"/>
        <filter val="1 092,00"/>
        <filter val="100,80"/>
        <filter val="12 544,32"/>
        <filter val="12,00"/>
        <filter val="120,00"/>
        <filter val="126,00"/>
        <filter val="13 773,76"/>
        <filter val="14 673,76"/>
        <filter val="14,00"/>
        <filter val="140,00"/>
        <filter val="144,00"/>
        <filter val="154,00"/>
        <filter val="156,00"/>
        <filter val="168,00"/>
        <filter val="172,00"/>
        <filter val="196,00"/>
        <filter val="2 652,00"/>
        <filter val="2 976,00"/>
        <filter val="210,00"/>
        <filter val="216,00"/>
        <filter val="222,00"/>
        <filter val="238,00"/>
        <filter val="24,00"/>
        <filter val="252,00"/>
        <filter val="266,00"/>
        <filter val="28,00"/>
        <filter val="30,24"/>
        <filter val="300,00"/>
        <filter val="33,60"/>
        <filter val="350,00"/>
        <filter val="36"/>
        <filter val="36,00"/>
        <filter val="36,96"/>
        <filter val="360,00"/>
        <filter val="37,80"/>
        <filter val="384,00"/>
        <filter val="42,00"/>
        <filter val="420,00"/>
        <filter val="432,00"/>
        <filter val="48,00"/>
        <filter val="56,00"/>
        <filter val="576,00"/>
        <filter val="60,00"/>
        <filter val="67,20"/>
        <filter val="70,00"/>
        <filter val="703,92"/>
        <filter val="72,00"/>
        <filter val="745,00"/>
        <filter val="76,80"/>
        <filter val="77,28"/>
        <filter val="782,72"/>
        <filter val="798,00"/>
        <filter val="84,00"/>
        <filter val="96,00"/>
        <filter val="98,00"/>
      </filters>
    </filterColumn>
    <filterColumn colId="29" showButton="0"/>
    <filterColumn colId="30" showButton="0"/>
  </autoFilter>
  <mergeCells count="500">
    <mergeCell ref="D266:E266"/>
    <mergeCell ref="U17:V17"/>
    <mergeCell ref="Y17:Y18"/>
    <mergeCell ref="P124:T124"/>
    <mergeCell ref="P163:V163"/>
    <mergeCell ref="D32:E32"/>
    <mergeCell ref="D97:E97"/>
    <mergeCell ref="D268:E268"/>
    <mergeCell ref="A126:O127"/>
    <mergeCell ref="A231:Z231"/>
    <mergeCell ref="D54:E54"/>
    <mergeCell ref="A8:C8"/>
    <mergeCell ref="A10:C10"/>
    <mergeCell ref="H5:M5"/>
    <mergeCell ref="D199:E199"/>
    <mergeCell ref="P234:V234"/>
    <mergeCell ref="X283:AA283"/>
    <mergeCell ref="D192:E192"/>
    <mergeCell ref="D17:E18"/>
    <mergeCell ref="D173:E173"/>
    <mergeCell ref="X17:X18"/>
    <mergeCell ref="A163:O164"/>
    <mergeCell ref="P216:V216"/>
    <mergeCell ref="D271:E271"/>
    <mergeCell ref="V12:W12"/>
    <mergeCell ref="P122:V122"/>
    <mergeCell ref="A245:Z245"/>
    <mergeCell ref="P25:T25"/>
    <mergeCell ref="A30:Z30"/>
    <mergeCell ref="A142:O143"/>
    <mergeCell ref="P60:T60"/>
    <mergeCell ref="P174:T174"/>
    <mergeCell ref="AD17:AF18"/>
    <mergeCell ref="D101:E101"/>
    <mergeCell ref="P142:V142"/>
    <mergeCell ref="A132:Z132"/>
    <mergeCell ref="F5:G5"/>
    <mergeCell ref="J284:J285"/>
    <mergeCell ref="L284:L285"/>
    <mergeCell ref="A172:Z172"/>
    <mergeCell ref="P169:V169"/>
    <mergeCell ref="P186:T186"/>
    <mergeCell ref="A236:Z236"/>
    <mergeCell ref="P253:T253"/>
    <mergeCell ref="A223:Z223"/>
    <mergeCell ref="V11:W11"/>
    <mergeCell ref="P75:T75"/>
    <mergeCell ref="P146:T146"/>
    <mergeCell ref="D152:E152"/>
    <mergeCell ref="A136:O137"/>
    <mergeCell ref="P181:T181"/>
    <mergeCell ref="D23:E23"/>
    <mergeCell ref="D265:E265"/>
    <mergeCell ref="AE284:AE285"/>
    <mergeCell ref="A20:Z20"/>
    <mergeCell ref="A112:Z112"/>
    <mergeCell ref="P2:W3"/>
    <mergeCell ref="P198:T198"/>
    <mergeCell ref="A43:Z43"/>
    <mergeCell ref="P54:T54"/>
    <mergeCell ref="A170:Z170"/>
    <mergeCell ref="D10:E10"/>
    <mergeCell ref="P64:T64"/>
    <mergeCell ref="F10:G10"/>
    <mergeCell ref="A121:O122"/>
    <mergeCell ref="P135:T135"/>
    <mergeCell ref="D99:E99"/>
    <mergeCell ref="P66:V66"/>
    <mergeCell ref="P137:V137"/>
    <mergeCell ref="P76:V76"/>
    <mergeCell ref="A128:Z128"/>
    <mergeCell ref="A21:Z21"/>
    <mergeCell ref="Q5:R5"/>
    <mergeCell ref="F17:F18"/>
    <mergeCell ref="D120:E120"/>
    <mergeCell ref="D107:E107"/>
    <mergeCell ref="Q6:R6"/>
    <mergeCell ref="P134:T134"/>
    <mergeCell ref="D102:E102"/>
    <mergeCell ref="D25:E25"/>
    <mergeCell ref="Q13:R13"/>
    <mergeCell ref="A155:Z155"/>
    <mergeCell ref="P114:T114"/>
    <mergeCell ref="AD284:AD285"/>
    <mergeCell ref="D22:E22"/>
    <mergeCell ref="P255:V255"/>
    <mergeCell ref="D86:E86"/>
    <mergeCell ref="P270:T270"/>
    <mergeCell ref="P107:T107"/>
    <mergeCell ref="P101:T101"/>
    <mergeCell ref="D215:E215"/>
    <mergeCell ref="P194:V194"/>
    <mergeCell ref="P250:V250"/>
    <mergeCell ref="A246:Z246"/>
    <mergeCell ref="A255:O256"/>
    <mergeCell ref="A103:O104"/>
    <mergeCell ref="M17:M18"/>
    <mergeCell ref="A168:O169"/>
    <mergeCell ref="O17:O18"/>
    <mergeCell ref="P131:V131"/>
    <mergeCell ref="K284:K285"/>
    <mergeCell ref="A185:Z185"/>
    <mergeCell ref="P196:T196"/>
    <mergeCell ref="M284:M285"/>
    <mergeCell ref="X284:X285"/>
    <mergeCell ref="A214:Z214"/>
    <mergeCell ref="D146:E146"/>
    <mergeCell ref="D6:M6"/>
    <mergeCell ref="A85:Z85"/>
    <mergeCell ref="P162:T162"/>
    <mergeCell ref="P33:T33"/>
    <mergeCell ref="P226:T226"/>
    <mergeCell ref="P269:T269"/>
    <mergeCell ref="A230:Z230"/>
    <mergeCell ref="G17:G18"/>
    <mergeCell ref="P57:V57"/>
    <mergeCell ref="P184:V184"/>
    <mergeCell ref="D80:E80"/>
    <mergeCell ref="P121:V121"/>
    <mergeCell ref="P42:V42"/>
    <mergeCell ref="A225:Z225"/>
    <mergeCell ref="P148:V148"/>
    <mergeCell ref="P46:T46"/>
    <mergeCell ref="P240:V240"/>
    <mergeCell ref="V6:W9"/>
    <mergeCell ref="B284:B285"/>
    <mergeCell ref="P70:V70"/>
    <mergeCell ref="A156:Z156"/>
    <mergeCell ref="P110:V110"/>
    <mergeCell ref="D27:E27"/>
    <mergeCell ref="D129:E129"/>
    <mergeCell ref="P92:T92"/>
    <mergeCell ref="P100:T100"/>
    <mergeCell ref="D81:E81"/>
    <mergeCell ref="A87:O88"/>
    <mergeCell ref="P73:T73"/>
    <mergeCell ref="V284:V285"/>
    <mergeCell ref="P158:V158"/>
    <mergeCell ref="P98:T98"/>
    <mergeCell ref="P103:V103"/>
    <mergeCell ref="D33:E33"/>
    <mergeCell ref="P281:V281"/>
    <mergeCell ref="A106:Z106"/>
    <mergeCell ref="D226:E226"/>
    <mergeCell ref="D270:E270"/>
    <mergeCell ref="P239:V239"/>
    <mergeCell ref="A257:Z257"/>
    <mergeCell ref="P199:T199"/>
    <mergeCell ref="D242:E242"/>
    <mergeCell ref="P200:T200"/>
    <mergeCell ref="A204:Z204"/>
    <mergeCell ref="D196:E196"/>
    <mergeCell ref="A93:O94"/>
    <mergeCell ref="P22:T22"/>
    <mergeCell ref="P40:T40"/>
    <mergeCell ref="P80:T80"/>
    <mergeCell ref="Z17:Z18"/>
    <mergeCell ref="P29:V29"/>
    <mergeCell ref="P94:V94"/>
    <mergeCell ref="A90:Z90"/>
    <mergeCell ref="P82:V82"/>
    <mergeCell ref="A44:Z44"/>
    <mergeCell ref="A31:Z31"/>
    <mergeCell ref="D52:E52"/>
    <mergeCell ref="A9:C9"/>
    <mergeCell ref="P125:T125"/>
    <mergeCell ref="A179:Z179"/>
    <mergeCell ref="P187:V187"/>
    <mergeCell ref="P102:T102"/>
    <mergeCell ref="A191:Z191"/>
    <mergeCell ref="A51:Z51"/>
    <mergeCell ref="A178:Z178"/>
    <mergeCell ref="N17:N18"/>
    <mergeCell ref="H10:M10"/>
    <mergeCell ref="J9:M9"/>
    <mergeCell ref="A13:M13"/>
    <mergeCell ref="A15:M15"/>
    <mergeCell ref="T6:U9"/>
    <mergeCell ref="Q10:R10"/>
    <mergeCell ref="A12:M12"/>
    <mergeCell ref="A14:M14"/>
    <mergeCell ref="D26:E26"/>
    <mergeCell ref="P55:T55"/>
    <mergeCell ref="D115:E115"/>
    <mergeCell ref="Q12:R12"/>
    <mergeCell ref="A130:O131"/>
    <mergeCell ref="P68:T68"/>
    <mergeCell ref="A59:Z59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A243:O244"/>
    <mergeCell ref="A235:Z235"/>
    <mergeCell ref="A247:Z247"/>
    <mergeCell ref="D249:E249"/>
    <mergeCell ref="P141:T141"/>
    <mergeCell ref="A65:O66"/>
    <mergeCell ref="A56:O57"/>
    <mergeCell ref="D114:E114"/>
    <mergeCell ref="D64:E64"/>
    <mergeCell ref="P248:T248"/>
    <mergeCell ref="H17:H18"/>
    <mergeCell ref="P27:T27"/>
    <mergeCell ref="A37:Z37"/>
    <mergeCell ref="P24:T24"/>
    <mergeCell ref="A19:Z19"/>
    <mergeCell ref="W284:W285"/>
    <mergeCell ref="Y284:Y285"/>
    <mergeCell ref="A38:Z38"/>
    <mergeCell ref="A209:Z209"/>
    <mergeCell ref="P28:V28"/>
    <mergeCell ref="P221:V221"/>
    <mergeCell ref="A67:Z67"/>
    <mergeCell ref="P232:T232"/>
    <mergeCell ref="D140:E140"/>
    <mergeCell ref="D267:E267"/>
    <mergeCell ref="D198:E198"/>
    <mergeCell ref="D269:E269"/>
    <mergeCell ref="P104:V104"/>
    <mergeCell ref="A252:Z252"/>
    <mergeCell ref="P275:V275"/>
    <mergeCell ref="D284:D285"/>
    <mergeCell ref="P244:V244"/>
    <mergeCell ref="P115:T115"/>
    <mergeCell ref="D254:E254"/>
    <mergeCell ref="P238:T238"/>
    <mergeCell ref="A61:O62"/>
    <mergeCell ref="A153:O154"/>
    <mergeCell ref="A133:Z133"/>
    <mergeCell ref="D125:E125"/>
    <mergeCell ref="B283:C283"/>
    <mergeCell ref="D75:E75"/>
    <mergeCell ref="P41:V41"/>
    <mergeCell ref="D181:E181"/>
    <mergeCell ref="A221:O222"/>
    <mergeCell ref="P91:T91"/>
    <mergeCell ref="D273:E273"/>
    <mergeCell ref="P56:V56"/>
    <mergeCell ref="D39:E39"/>
    <mergeCell ref="A160:Z160"/>
    <mergeCell ref="A79:Z79"/>
    <mergeCell ref="D74:E74"/>
    <mergeCell ref="D68:E68"/>
    <mergeCell ref="P74:T74"/>
    <mergeCell ref="P227:V227"/>
    <mergeCell ref="D264:E264"/>
    <mergeCell ref="D220:E220"/>
    <mergeCell ref="P228:V228"/>
    <mergeCell ref="P180:T180"/>
    <mergeCell ref="P118:T118"/>
    <mergeCell ref="A96:Z96"/>
    <mergeCell ref="P167:T167"/>
    <mergeCell ref="A161:Z161"/>
    <mergeCell ref="P117:T117"/>
    <mergeCell ref="A284:A285"/>
    <mergeCell ref="C284:C285"/>
    <mergeCell ref="P262:V262"/>
    <mergeCell ref="P267:T267"/>
    <mergeCell ref="D248:E248"/>
    <mergeCell ref="D219:E219"/>
    <mergeCell ref="O284:O285"/>
    <mergeCell ref="Q284:Q285"/>
    <mergeCell ref="P83:V83"/>
    <mergeCell ref="A82:O83"/>
    <mergeCell ref="P256:V256"/>
    <mergeCell ref="A208:Z208"/>
    <mergeCell ref="P149:V149"/>
    <mergeCell ref="A145:Z145"/>
    <mergeCell ref="A139:Z139"/>
    <mergeCell ref="A203:Z203"/>
    <mergeCell ref="P126:V126"/>
    <mergeCell ref="P284:P285"/>
    <mergeCell ref="P260:T260"/>
    <mergeCell ref="A206:O207"/>
    <mergeCell ref="P243:V243"/>
    <mergeCell ref="A190:Z190"/>
    <mergeCell ref="D182:E182"/>
    <mergeCell ref="A111:Z111"/>
    <mergeCell ref="T5:U5"/>
    <mergeCell ref="D119:E119"/>
    <mergeCell ref="V5:W5"/>
    <mergeCell ref="D46:E46"/>
    <mergeCell ref="D40:E40"/>
    <mergeCell ref="P212:V212"/>
    <mergeCell ref="A34:O35"/>
    <mergeCell ref="Q8:R8"/>
    <mergeCell ref="A28:O29"/>
    <mergeCell ref="P69:T69"/>
    <mergeCell ref="P140:T140"/>
    <mergeCell ref="A63:Z63"/>
    <mergeCell ref="P26:T26"/>
    <mergeCell ref="P71:V71"/>
    <mergeCell ref="A138:Z138"/>
    <mergeCell ref="P210:T210"/>
    <mergeCell ref="A41:O42"/>
    <mergeCell ref="A195:Z195"/>
    <mergeCell ref="P65:V65"/>
    <mergeCell ref="D157:E157"/>
    <mergeCell ref="P136:V136"/>
    <mergeCell ref="P202:V202"/>
    <mergeCell ref="A6:C6"/>
    <mergeCell ref="D113:E113"/>
    <mergeCell ref="AB284:AB285"/>
    <mergeCell ref="A261:O262"/>
    <mergeCell ref="P119:T119"/>
    <mergeCell ref="P183:V183"/>
    <mergeCell ref="P62:V62"/>
    <mergeCell ref="P127:V127"/>
    <mergeCell ref="A123:Z123"/>
    <mergeCell ref="A5:C5"/>
    <mergeCell ref="A237:Z237"/>
    <mergeCell ref="I284:I285"/>
    <mergeCell ref="A17:A18"/>
    <mergeCell ref="K17:K18"/>
    <mergeCell ref="A189:Z189"/>
    <mergeCell ref="C17:C18"/>
    <mergeCell ref="D9:E9"/>
    <mergeCell ref="D180:E180"/>
    <mergeCell ref="D118:E118"/>
    <mergeCell ref="F9:G9"/>
    <mergeCell ref="P53:T53"/>
    <mergeCell ref="A183:O184"/>
    <mergeCell ref="D167:E167"/>
    <mergeCell ref="P197:T197"/>
    <mergeCell ref="D232:E232"/>
    <mergeCell ref="A263:Z263"/>
    <mergeCell ref="P15:T16"/>
    <mergeCell ref="D116:E116"/>
    <mergeCell ref="A177:Z177"/>
    <mergeCell ref="D91:E91"/>
    <mergeCell ref="A48:O49"/>
    <mergeCell ref="D135:E135"/>
    <mergeCell ref="P176:V176"/>
    <mergeCell ref="E284:E285"/>
    <mergeCell ref="G284:G285"/>
    <mergeCell ref="P34:V34"/>
    <mergeCell ref="P276:V276"/>
    <mergeCell ref="A95:Z95"/>
    <mergeCell ref="Z284:Z285"/>
    <mergeCell ref="F284:F285"/>
    <mergeCell ref="S284:S285"/>
    <mergeCell ref="U284:U285"/>
    <mergeCell ref="A211:O212"/>
    <mergeCell ref="P279:V279"/>
    <mergeCell ref="A148:O149"/>
    <mergeCell ref="P251:V251"/>
    <mergeCell ref="A241:Z241"/>
    <mergeCell ref="P266:T266"/>
    <mergeCell ref="P280:V280"/>
    <mergeCell ref="P274:V274"/>
    <mergeCell ref="Q9:R9"/>
    <mergeCell ref="P49:V49"/>
    <mergeCell ref="P278:V278"/>
    <mergeCell ref="D24:E24"/>
    <mergeCell ref="Q11:R11"/>
    <mergeCell ref="P205:T205"/>
    <mergeCell ref="D260:E260"/>
    <mergeCell ref="P182:T182"/>
    <mergeCell ref="A274:O275"/>
    <mergeCell ref="P264:T264"/>
    <mergeCell ref="A201:O202"/>
    <mergeCell ref="P23:T23"/>
    <mergeCell ref="D162:E162"/>
    <mergeCell ref="P219:T219"/>
    <mergeCell ref="P272:T272"/>
    <mergeCell ref="P242:T242"/>
    <mergeCell ref="A213:Z213"/>
    <mergeCell ref="A151:Z151"/>
    <mergeCell ref="P154:V154"/>
    <mergeCell ref="A150:Z150"/>
    <mergeCell ref="A144:Z144"/>
    <mergeCell ref="P173:T173"/>
    <mergeCell ref="P271:T271"/>
    <mergeCell ref="P265:T265"/>
    <mergeCell ref="AA284:AA285"/>
    <mergeCell ref="AC284:AC285"/>
    <mergeCell ref="P273:T273"/>
    <mergeCell ref="A218:Z218"/>
    <mergeCell ref="D272:E272"/>
    <mergeCell ref="D210:E210"/>
    <mergeCell ref="A250:O251"/>
    <mergeCell ref="P39:T39"/>
    <mergeCell ref="A89:Z89"/>
    <mergeCell ref="D147:E147"/>
    <mergeCell ref="P188:V188"/>
    <mergeCell ref="A187:O188"/>
    <mergeCell ref="P116:T116"/>
    <mergeCell ref="A105:Z105"/>
    <mergeCell ref="A233:O234"/>
    <mergeCell ref="A227:O228"/>
    <mergeCell ref="P97:T97"/>
    <mergeCell ref="P268:T268"/>
    <mergeCell ref="P130:V130"/>
    <mergeCell ref="P47:T47"/>
    <mergeCell ref="P61:V61"/>
    <mergeCell ref="P48:V48"/>
    <mergeCell ref="A171:Z171"/>
    <mergeCell ref="A165:Z165"/>
    <mergeCell ref="D5:E5"/>
    <mergeCell ref="H284:H285"/>
    <mergeCell ref="P259:T259"/>
    <mergeCell ref="D69:E69"/>
    <mergeCell ref="A109:O110"/>
    <mergeCell ref="P175:V175"/>
    <mergeCell ref="P93:V93"/>
    <mergeCell ref="P164:V164"/>
    <mergeCell ref="P35:V35"/>
    <mergeCell ref="P32:T32"/>
    <mergeCell ref="J17:J18"/>
    <mergeCell ref="L17:L18"/>
    <mergeCell ref="P192:T192"/>
    <mergeCell ref="P277:V277"/>
    <mergeCell ref="D100:E100"/>
    <mergeCell ref="P113:T113"/>
    <mergeCell ref="P17:T18"/>
    <mergeCell ref="A229:Z229"/>
    <mergeCell ref="P129:T129"/>
    <mergeCell ref="A166:Z166"/>
    <mergeCell ref="D108:E108"/>
    <mergeCell ref="P258:T258"/>
    <mergeCell ref="P261:V261"/>
    <mergeCell ref="P217:V217"/>
    <mergeCell ref="D259:E259"/>
    <mergeCell ref="A239:O240"/>
    <mergeCell ref="P233:V233"/>
    <mergeCell ref="A58:Z58"/>
    <mergeCell ref="P168:V168"/>
    <mergeCell ref="B17:B18"/>
    <mergeCell ref="P143:V143"/>
    <mergeCell ref="D258:E258"/>
    <mergeCell ref="P207:V207"/>
    <mergeCell ref="P81:T81"/>
    <mergeCell ref="D124:E124"/>
    <mergeCell ref="P99:T99"/>
    <mergeCell ref="D197:E197"/>
    <mergeCell ref="D253:E253"/>
    <mergeCell ref="D53:E53"/>
    <mergeCell ref="D47:E47"/>
    <mergeCell ref="A84:Z84"/>
    <mergeCell ref="P159:V159"/>
    <mergeCell ref="P147:T147"/>
    <mergeCell ref="A193:O194"/>
    <mergeCell ref="W17:W18"/>
    <mergeCell ref="A50:Z50"/>
    <mergeCell ref="D200:E200"/>
    <mergeCell ref="D186:E186"/>
    <mergeCell ref="R1:T1"/>
    <mergeCell ref="A158:O159"/>
    <mergeCell ref="P215:T215"/>
    <mergeCell ref="D98:E98"/>
    <mergeCell ref="D73:E73"/>
    <mergeCell ref="P77:V77"/>
    <mergeCell ref="P152:T152"/>
    <mergeCell ref="A76:O77"/>
    <mergeCell ref="P206:V206"/>
    <mergeCell ref="V10:W10"/>
    <mergeCell ref="D7:M7"/>
    <mergeCell ref="D8:M8"/>
    <mergeCell ref="H1:Q1"/>
    <mergeCell ref="P109:V109"/>
    <mergeCell ref="P120:T120"/>
    <mergeCell ref="D117:E117"/>
    <mergeCell ref="D92:E92"/>
    <mergeCell ref="D55:E55"/>
    <mergeCell ref="D1:F1"/>
    <mergeCell ref="P52:T52"/>
    <mergeCell ref="P201:V201"/>
    <mergeCell ref="I17:I18"/>
    <mergeCell ref="D141:E141"/>
    <mergeCell ref="D60:E60"/>
    <mergeCell ref="R284:R285"/>
    <mergeCell ref="T284:T285"/>
    <mergeCell ref="D174:E174"/>
    <mergeCell ref="P87:V87"/>
    <mergeCell ref="D45:E45"/>
    <mergeCell ref="H9:I9"/>
    <mergeCell ref="P211:V211"/>
    <mergeCell ref="A36:Z36"/>
    <mergeCell ref="D283:U283"/>
    <mergeCell ref="P88:V88"/>
    <mergeCell ref="A78:Z78"/>
    <mergeCell ref="P153:V153"/>
    <mergeCell ref="P220:T220"/>
    <mergeCell ref="A276:O281"/>
    <mergeCell ref="A70:O71"/>
    <mergeCell ref="D238:E238"/>
    <mergeCell ref="A216:O217"/>
    <mergeCell ref="P86:T86"/>
    <mergeCell ref="P157:T157"/>
    <mergeCell ref="D134:E134"/>
    <mergeCell ref="D205:E205"/>
    <mergeCell ref="P249:T249"/>
    <mergeCell ref="P222:V222"/>
    <mergeCell ref="P193:V19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6 X196 X198 X200 X205 X215 X219:X220 X226 X238 X242 X248:X249 X264 X269:X27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32 X253 X259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2 X197 X199 X210 X254 X258 X260 X265:X268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386</v>
      </c>
      <c r="D6" s="47" t="s">
        <v>387</v>
      </c>
      <c r="E6" s="47"/>
    </row>
    <row r="8" spans="2:8" x14ac:dyDescent="0.2">
      <c r="B8" s="47" t="s">
        <v>18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a+JSi63pnryJ4H7RamIYxKdC8l7EPKM8fzPF8rnNa8QwTWtYs4Jta7SStBwNOni0ZIRrGZlDKyie4o3qqhARJQ==" saltValue="HQYriHhDA2a+QBQ43GRHC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