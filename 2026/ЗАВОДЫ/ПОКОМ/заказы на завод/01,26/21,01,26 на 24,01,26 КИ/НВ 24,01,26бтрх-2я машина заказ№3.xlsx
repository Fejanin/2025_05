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49A844-D922-44E1-ACA0-1F07B3E017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X406" i="1"/>
  <c r="BO405" i="1"/>
  <c r="BM405" i="1"/>
  <c r="Y405" i="1"/>
  <c r="P405" i="1"/>
  <c r="BO404" i="1"/>
  <c r="BM404" i="1"/>
  <c r="Y404" i="1"/>
  <c r="Y406" i="1" s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Y376" i="1" s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Y361" i="1" s="1"/>
  <c r="P359" i="1"/>
  <c r="X357" i="1"/>
  <c r="X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X259" i="1"/>
  <c r="X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BO253" i="1"/>
  <c r="BM253" i="1"/>
  <c r="Y253" i="1"/>
  <c r="Y259" i="1" s="1"/>
  <c r="P253" i="1"/>
  <c r="X251" i="1"/>
  <c r="X250" i="1"/>
  <c r="BO249" i="1"/>
  <c r="BM249" i="1"/>
  <c r="Y249" i="1"/>
  <c r="Y251" i="1" s="1"/>
  <c r="P249" i="1"/>
  <c r="X247" i="1"/>
  <c r="X246" i="1"/>
  <c r="BO245" i="1"/>
  <c r="BM245" i="1"/>
  <c r="Y245" i="1"/>
  <c r="Y247" i="1" s="1"/>
  <c r="P245" i="1"/>
  <c r="X243" i="1"/>
  <c r="X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X202" i="1"/>
  <c r="X201" i="1"/>
  <c r="BO200" i="1"/>
  <c r="BM200" i="1"/>
  <c r="Y200" i="1"/>
  <c r="P200" i="1"/>
  <c r="BO199" i="1"/>
  <c r="BM199" i="1"/>
  <c r="Y199" i="1"/>
  <c r="Y202" i="1" s="1"/>
  <c r="P199" i="1"/>
  <c r="X197" i="1"/>
  <c r="X196" i="1"/>
  <c r="BO195" i="1"/>
  <c r="BM195" i="1"/>
  <c r="Y195" i="1"/>
  <c r="BP195" i="1" s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Y157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49" i="1" l="1"/>
  <c r="BN149" i="1"/>
  <c r="Z149" i="1"/>
  <c r="BP179" i="1"/>
  <c r="BN179" i="1"/>
  <c r="Z179" i="1"/>
  <c r="BP210" i="1"/>
  <c r="BN210" i="1"/>
  <c r="Z210" i="1"/>
  <c r="BP236" i="1"/>
  <c r="BN236" i="1"/>
  <c r="Z236" i="1"/>
  <c r="BP274" i="1"/>
  <c r="BN274" i="1"/>
  <c r="Z274" i="1"/>
  <c r="BP307" i="1"/>
  <c r="BN307" i="1"/>
  <c r="Z307" i="1"/>
  <c r="BP335" i="1"/>
  <c r="BN335" i="1"/>
  <c r="Z335" i="1"/>
  <c r="BP385" i="1"/>
  <c r="BN385" i="1"/>
  <c r="Z385" i="1"/>
  <c r="Y424" i="1"/>
  <c r="Y423" i="1"/>
  <c r="BP422" i="1"/>
  <c r="BN422" i="1"/>
  <c r="Z422" i="1"/>
  <c r="Z423" i="1" s="1"/>
  <c r="BP428" i="1"/>
  <c r="BN428" i="1"/>
  <c r="Z428" i="1"/>
  <c r="BP452" i="1"/>
  <c r="BN452" i="1"/>
  <c r="Z452" i="1"/>
  <c r="X497" i="1"/>
  <c r="Z28" i="1"/>
  <c r="BN28" i="1"/>
  <c r="Z46" i="1"/>
  <c r="Z47" i="1" s="1"/>
  <c r="BN46" i="1"/>
  <c r="BP46" i="1"/>
  <c r="Y47" i="1"/>
  <c r="Z51" i="1"/>
  <c r="BN51" i="1"/>
  <c r="Z67" i="1"/>
  <c r="BN67" i="1"/>
  <c r="Y75" i="1"/>
  <c r="Z84" i="1"/>
  <c r="BN84" i="1"/>
  <c r="Z99" i="1"/>
  <c r="BN99" i="1"/>
  <c r="Z109" i="1"/>
  <c r="BN109" i="1"/>
  <c r="BP132" i="1"/>
  <c r="BN132" i="1"/>
  <c r="Z132" i="1"/>
  <c r="BP171" i="1"/>
  <c r="BN171" i="1"/>
  <c r="Z171" i="1"/>
  <c r="BP200" i="1"/>
  <c r="BN200" i="1"/>
  <c r="Z200" i="1"/>
  <c r="BP221" i="1"/>
  <c r="BN221" i="1"/>
  <c r="Z221" i="1"/>
  <c r="BP256" i="1"/>
  <c r="BN256" i="1"/>
  <c r="Z256" i="1"/>
  <c r="BP292" i="1"/>
  <c r="BN292" i="1"/>
  <c r="Z292" i="1"/>
  <c r="BP297" i="1"/>
  <c r="BN297" i="1"/>
  <c r="Z297" i="1"/>
  <c r="BP321" i="1"/>
  <c r="BN321" i="1"/>
  <c r="Z321" i="1"/>
  <c r="BP354" i="1"/>
  <c r="BN354" i="1"/>
  <c r="Z354" i="1"/>
  <c r="BP399" i="1"/>
  <c r="BN399" i="1"/>
  <c r="Z399" i="1"/>
  <c r="BP436" i="1"/>
  <c r="BN436" i="1"/>
  <c r="Z436" i="1"/>
  <c r="BP472" i="1"/>
  <c r="BN472" i="1"/>
  <c r="Z472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324" i="1"/>
  <c r="BP254" i="1"/>
  <c r="BN254" i="1"/>
  <c r="Z254" i="1"/>
  <c r="BP272" i="1"/>
  <c r="BN272" i="1"/>
  <c r="Z272" i="1"/>
  <c r="BP286" i="1"/>
  <c r="BN286" i="1"/>
  <c r="Z286" i="1"/>
  <c r="BP305" i="1"/>
  <c r="BN305" i="1"/>
  <c r="Z305" i="1"/>
  <c r="BP317" i="1"/>
  <c r="BN317" i="1"/>
  <c r="Z317" i="1"/>
  <c r="BP329" i="1"/>
  <c r="BN329" i="1"/>
  <c r="Z329" i="1"/>
  <c r="BP352" i="1"/>
  <c r="BN352" i="1"/>
  <c r="Z352" i="1"/>
  <c r="Y381" i="1"/>
  <c r="BP379" i="1"/>
  <c r="BN379" i="1"/>
  <c r="Z379" i="1"/>
  <c r="BP397" i="1"/>
  <c r="BN397" i="1"/>
  <c r="Z397" i="1"/>
  <c r="BP416" i="1"/>
  <c r="BN416" i="1"/>
  <c r="Z416" i="1"/>
  <c r="BP434" i="1"/>
  <c r="BN434" i="1"/>
  <c r="Z434" i="1"/>
  <c r="BP450" i="1"/>
  <c r="BN450" i="1"/>
  <c r="Z450" i="1"/>
  <c r="BP466" i="1"/>
  <c r="BN466" i="1"/>
  <c r="Z466" i="1"/>
  <c r="Z22" i="1"/>
  <c r="BN22" i="1"/>
  <c r="Y32" i="1"/>
  <c r="Z30" i="1"/>
  <c r="BN30" i="1"/>
  <c r="Z42" i="1"/>
  <c r="BN42" i="1"/>
  <c r="Z53" i="1"/>
  <c r="BN53" i="1"/>
  <c r="Z61" i="1"/>
  <c r="BN61" i="1"/>
  <c r="Z71" i="1"/>
  <c r="BN71" i="1"/>
  <c r="BP71" i="1"/>
  <c r="Z79" i="1"/>
  <c r="BN79" i="1"/>
  <c r="Z86" i="1"/>
  <c r="BN86" i="1"/>
  <c r="Y96" i="1"/>
  <c r="Z94" i="1"/>
  <c r="BN94" i="1"/>
  <c r="Z101" i="1"/>
  <c r="BN101" i="1"/>
  <c r="Z107" i="1"/>
  <c r="BN107" i="1"/>
  <c r="BP107" i="1"/>
  <c r="Z115" i="1"/>
  <c r="BN115" i="1"/>
  <c r="Z121" i="1"/>
  <c r="Z122" i="1" s="1"/>
  <c r="BN121" i="1"/>
  <c r="BP121" i="1"/>
  <c r="Y122" i="1"/>
  <c r="Z126" i="1"/>
  <c r="BN126" i="1"/>
  <c r="Z136" i="1"/>
  <c r="BN136" i="1"/>
  <c r="BP136" i="1"/>
  <c r="H503" i="1"/>
  <c r="Z147" i="1"/>
  <c r="BN147" i="1"/>
  <c r="BP147" i="1"/>
  <c r="Z151" i="1"/>
  <c r="BN151" i="1"/>
  <c r="I503" i="1"/>
  <c r="Y181" i="1"/>
  <c r="Z169" i="1"/>
  <c r="BN169" i="1"/>
  <c r="Z173" i="1"/>
  <c r="BN173" i="1"/>
  <c r="Z177" i="1"/>
  <c r="BN177" i="1"/>
  <c r="Z183" i="1"/>
  <c r="BN183" i="1"/>
  <c r="BP183" i="1"/>
  <c r="Z189" i="1"/>
  <c r="Z190" i="1" s="1"/>
  <c r="BN189" i="1"/>
  <c r="BP189" i="1"/>
  <c r="Y190" i="1"/>
  <c r="Z194" i="1"/>
  <c r="BN194" i="1"/>
  <c r="Z204" i="1"/>
  <c r="BN204" i="1"/>
  <c r="Z208" i="1"/>
  <c r="BN208" i="1"/>
  <c r="Z215" i="1"/>
  <c r="BN215" i="1"/>
  <c r="Z219" i="1"/>
  <c r="BN219" i="1"/>
  <c r="Z223" i="1"/>
  <c r="BN223" i="1"/>
  <c r="Z234" i="1"/>
  <c r="BN234" i="1"/>
  <c r="Z238" i="1"/>
  <c r="BN238" i="1"/>
  <c r="BP263" i="1"/>
  <c r="BN263" i="1"/>
  <c r="Z263" i="1"/>
  <c r="BP279" i="1"/>
  <c r="BN279" i="1"/>
  <c r="Z279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60" i="1"/>
  <c r="BN360" i="1"/>
  <c r="Z360" i="1"/>
  <c r="BP364" i="1"/>
  <c r="BN364" i="1"/>
  <c r="Z364" i="1"/>
  <c r="BP393" i="1"/>
  <c r="BN393" i="1"/>
  <c r="Z393" i="1"/>
  <c r="BP405" i="1"/>
  <c r="BN405" i="1"/>
  <c r="Z405" i="1"/>
  <c r="BP430" i="1"/>
  <c r="BN430" i="1"/>
  <c r="Z430" i="1"/>
  <c r="BP438" i="1"/>
  <c r="BN438" i="1"/>
  <c r="Z438" i="1"/>
  <c r="BP454" i="1"/>
  <c r="BN454" i="1"/>
  <c r="Z454" i="1"/>
  <c r="Y282" i="1"/>
  <c r="Y331" i="1"/>
  <c r="Y338" i="1"/>
  <c r="Y357" i="1"/>
  <c r="X503" i="1"/>
  <c r="W503" i="1"/>
  <c r="F9" i="1"/>
  <c r="J9" i="1"/>
  <c r="F10" i="1"/>
  <c r="Y25" i="1"/>
  <c r="Y31" i="1"/>
  <c r="Y43" i="1"/>
  <c r="Y58" i="1"/>
  <c r="Y64" i="1"/>
  <c r="Y68" i="1"/>
  <c r="Y76" i="1"/>
  <c r="Y80" i="1"/>
  <c r="Y89" i="1"/>
  <c r="Y95" i="1"/>
  <c r="Y104" i="1"/>
  <c r="Y112" i="1"/>
  <c r="Y118" i="1"/>
  <c r="Y129" i="1"/>
  <c r="Y133" i="1"/>
  <c r="Y139" i="1"/>
  <c r="Y144" i="1"/>
  <c r="Y154" i="1"/>
  <c r="Y158" i="1"/>
  <c r="Y164" i="1"/>
  <c r="Y180" i="1"/>
  <c r="Y186" i="1"/>
  <c r="Y197" i="1"/>
  <c r="Y201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3" i="1"/>
  <c r="Y242" i="1"/>
  <c r="BP233" i="1"/>
  <c r="BN233" i="1"/>
  <c r="Z233" i="1"/>
  <c r="BP237" i="1"/>
  <c r="BN237" i="1"/>
  <c r="Z237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Z68" i="1" s="1"/>
  <c r="BN66" i="1"/>
  <c r="BP66" i="1"/>
  <c r="Z72" i="1"/>
  <c r="BN72" i="1"/>
  <c r="Z74" i="1"/>
  <c r="BN74" i="1"/>
  <c r="Z78" i="1"/>
  <c r="BN78" i="1"/>
  <c r="BP78" i="1"/>
  <c r="E503" i="1"/>
  <c r="Z85" i="1"/>
  <c r="BN85" i="1"/>
  <c r="Z87" i="1"/>
  <c r="BN87" i="1"/>
  <c r="Y88" i="1"/>
  <c r="Z91" i="1"/>
  <c r="BN91" i="1"/>
  <c r="BP91" i="1"/>
  <c r="Z93" i="1"/>
  <c r="BN93" i="1"/>
  <c r="F503" i="1"/>
  <c r="Z100" i="1"/>
  <c r="BN100" i="1"/>
  <c r="Z102" i="1"/>
  <c r="BN102" i="1"/>
  <c r="Y105" i="1"/>
  <c r="Z108" i="1"/>
  <c r="BN108" i="1"/>
  <c r="Z110" i="1"/>
  <c r="BN110" i="1"/>
  <c r="Z114" i="1"/>
  <c r="BN114" i="1"/>
  <c r="BP114" i="1"/>
  <c r="Z116" i="1"/>
  <c r="BN116" i="1"/>
  <c r="G503" i="1"/>
  <c r="Z127" i="1"/>
  <c r="BN127" i="1"/>
  <c r="Y128" i="1"/>
  <c r="Z131" i="1"/>
  <c r="Z133" i="1" s="1"/>
  <c r="BN131" i="1"/>
  <c r="BP131" i="1"/>
  <c r="Z137" i="1"/>
  <c r="BN137" i="1"/>
  <c r="Z142" i="1"/>
  <c r="Z144" i="1" s="1"/>
  <c r="BN142" i="1"/>
  <c r="BP142" i="1"/>
  <c r="Y145" i="1"/>
  <c r="Z148" i="1"/>
  <c r="BN148" i="1"/>
  <c r="Z150" i="1"/>
  <c r="BN150" i="1"/>
  <c r="Z152" i="1"/>
  <c r="BN152" i="1"/>
  <c r="Z156" i="1"/>
  <c r="Z157" i="1" s="1"/>
  <c r="BN156" i="1"/>
  <c r="BP156" i="1"/>
  <c r="Z162" i="1"/>
  <c r="Z163" i="1" s="1"/>
  <c r="BN162" i="1"/>
  <c r="BP162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4" i="1"/>
  <c r="Z186" i="1" s="1"/>
  <c r="BN184" i="1"/>
  <c r="J503" i="1"/>
  <c r="Z195" i="1"/>
  <c r="Z196" i="1" s="1"/>
  <c r="BN195" i="1"/>
  <c r="Y196" i="1"/>
  <c r="Z199" i="1"/>
  <c r="BN199" i="1"/>
  <c r="BP199" i="1"/>
  <c r="Y213" i="1"/>
  <c r="Z205" i="1"/>
  <c r="BN205" i="1"/>
  <c r="Z207" i="1"/>
  <c r="BN207" i="1"/>
  <c r="Z209" i="1"/>
  <c r="BN209" i="1"/>
  <c r="Z211" i="1"/>
  <c r="BN211" i="1"/>
  <c r="Y212" i="1"/>
  <c r="Y225" i="1"/>
  <c r="BP218" i="1"/>
  <c r="BN218" i="1"/>
  <c r="Z218" i="1"/>
  <c r="BP222" i="1"/>
  <c r="BN222" i="1"/>
  <c r="Z222" i="1"/>
  <c r="Y229" i="1"/>
  <c r="BP235" i="1"/>
  <c r="BN235" i="1"/>
  <c r="Z235" i="1"/>
  <c r="Z239" i="1"/>
  <c r="BN239" i="1"/>
  <c r="Z241" i="1"/>
  <c r="BN241" i="1"/>
  <c r="Z245" i="1"/>
  <c r="Z246" i="1" s="1"/>
  <c r="BN245" i="1"/>
  <c r="BP245" i="1"/>
  <c r="Y246" i="1"/>
  <c r="Z249" i="1"/>
  <c r="Z250" i="1" s="1"/>
  <c r="BN249" i="1"/>
  <c r="BP249" i="1"/>
  <c r="Y250" i="1"/>
  <c r="Z253" i="1"/>
  <c r="BN253" i="1"/>
  <c r="BP253" i="1"/>
  <c r="Z255" i="1"/>
  <c r="BN255" i="1"/>
  <c r="Z257" i="1"/>
  <c r="BN257" i="1"/>
  <c r="Y258" i="1"/>
  <c r="Z262" i="1"/>
  <c r="BN262" i="1"/>
  <c r="Z264" i="1"/>
  <c r="BN264" i="1"/>
  <c r="BP273" i="1"/>
  <c r="BN273" i="1"/>
  <c r="Z273" i="1"/>
  <c r="Y283" i="1"/>
  <c r="BP287" i="1"/>
  <c r="BN287" i="1"/>
  <c r="Z287" i="1"/>
  <c r="Y289" i="1"/>
  <c r="Y294" i="1"/>
  <c r="BP291" i="1"/>
  <c r="BN291" i="1"/>
  <c r="Z291" i="1"/>
  <c r="Z293" i="1" s="1"/>
  <c r="Q5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4" i="1"/>
  <c r="BP341" i="1"/>
  <c r="BN341" i="1"/>
  <c r="Z341" i="1"/>
  <c r="BP351" i="1"/>
  <c r="BN351" i="1"/>
  <c r="Z351" i="1"/>
  <c r="BP355" i="1"/>
  <c r="BN355" i="1"/>
  <c r="Z355" i="1"/>
  <c r="Y362" i="1"/>
  <c r="BP359" i="1"/>
  <c r="BN359" i="1"/>
  <c r="Z359" i="1"/>
  <c r="Y366" i="1"/>
  <c r="BP380" i="1"/>
  <c r="BN380" i="1"/>
  <c r="Z380" i="1"/>
  <c r="Y382" i="1"/>
  <c r="Y387" i="1"/>
  <c r="BP384" i="1"/>
  <c r="BN384" i="1"/>
  <c r="Z384" i="1"/>
  <c r="BP394" i="1"/>
  <c r="BN394" i="1"/>
  <c r="Z394" i="1"/>
  <c r="BP398" i="1"/>
  <c r="BN398" i="1"/>
  <c r="Z398" i="1"/>
  <c r="BP415" i="1"/>
  <c r="BN415" i="1"/>
  <c r="Z415" i="1"/>
  <c r="L503" i="1"/>
  <c r="Y267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BP330" i="1"/>
  <c r="BN330" i="1"/>
  <c r="Z330" i="1"/>
  <c r="Y332" i="1"/>
  <c r="Y337" i="1"/>
  <c r="BP334" i="1"/>
  <c r="BN334" i="1"/>
  <c r="Z334" i="1"/>
  <c r="BP343" i="1"/>
  <c r="BN343" i="1"/>
  <c r="Z343" i="1"/>
  <c r="Y345" i="1"/>
  <c r="Y356" i="1"/>
  <c r="BP349" i="1"/>
  <c r="BN349" i="1"/>
  <c r="Z349" i="1"/>
  <c r="S503" i="1"/>
  <c r="BP353" i="1"/>
  <c r="BN353" i="1"/>
  <c r="Z353" i="1"/>
  <c r="BP365" i="1"/>
  <c r="BN365" i="1"/>
  <c r="Z365" i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BP386" i="1"/>
  <c r="BN386" i="1"/>
  <c r="Z386" i="1"/>
  <c r="Y388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BP417" i="1"/>
  <c r="BN417" i="1"/>
  <c r="Z417" i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Y447" i="1"/>
  <c r="BP451" i="1"/>
  <c r="BN451" i="1"/>
  <c r="Z451" i="1"/>
  <c r="Y455" i="1"/>
  <c r="BP465" i="1"/>
  <c r="BN465" i="1"/>
  <c r="Z465" i="1"/>
  <c r="BP485" i="1"/>
  <c r="BN485" i="1"/>
  <c r="Z485" i="1"/>
  <c r="Y487" i="1"/>
  <c r="Z503" i="1"/>
  <c r="Y491" i="1"/>
  <c r="BP490" i="1"/>
  <c r="BN490" i="1"/>
  <c r="Z490" i="1"/>
  <c r="Z491" i="1" s="1"/>
  <c r="Y492" i="1"/>
  <c r="O503" i="1"/>
  <c r="P503" i="1"/>
  <c r="Y288" i="1"/>
  <c r="Y303" i="1"/>
  <c r="V503" i="1"/>
  <c r="Y412" i="1"/>
  <c r="Y419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56" i="1"/>
  <c r="BP449" i="1"/>
  <c r="BN449" i="1"/>
  <c r="Z449" i="1"/>
  <c r="BP453" i="1"/>
  <c r="BN453" i="1"/>
  <c r="Z453" i="1"/>
  <c r="Y468" i="1"/>
  <c r="BP467" i="1"/>
  <c r="BN467" i="1"/>
  <c r="Z467" i="1"/>
  <c r="Y469" i="1"/>
  <c r="Y474" i="1"/>
  <c r="BP471" i="1"/>
  <c r="BN471" i="1"/>
  <c r="Z471" i="1"/>
  <c r="Z473" i="1" s="1"/>
  <c r="Y486" i="1"/>
  <c r="Y503" i="1"/>
  <c r="Y440" i="1"/>
  <c r="Z486" i="1" l="1"/>
  <c r="Z337" i="1"/>
  <c r="Z324" i="1"/>
  <c r="Z311" i="1"/>
  <c r="Z302" i="1"/>
  <c r="Z381" i="1"/>
  <c r="Z361" i="1"/>
  <c r="Z344" i="1"/>
  <c r="Z331" i="1"/>
  <c r="Z288" i="1"/>
  <c r="Z258" i="1"/>
  <c r="Z201" i="1"/>
  <c r="Z138" i="1"/>
  <c r="Z128" i="1"/>
  <c r="Z118" i="1"/>
  <c r="Z80" i="1"/>
  <c r="Z63" i="1"/>
  <c r="Z282" i="1"/>
  <c r="Z212" i="1"/>
  <c r="Z153" i="1"/>
  <c r="Z111" i="1"/>
  <c r="Z88" i="1"/>
  <c r="Z75" i="1"/>
  <c r="Y494" i="1"/>
  <c r="Z468" i="1"/>
  <c r="Z418" i="1"/>
  <c r="Z366" i="1"/>
  <c r="Z275" i="1"/>
  <c r="Z104" i="1"/>
  <c r="Z57" i="1"/>
  <c r="Z43" i="1"/>
  <c r="Y495" i="1"/>
  <c r="Z224" i="1"/>
  <c r="Y496" i="1"/>
  <c r="Z356" i="1"/>
  <c r="Z267" i="1"/>
  <c r="Y493" i="1"/>
  <c r="Z440" i="1"/>
  <c r="Z455" i="1"/>
  <c r="Z446" i="1"/>
  <c r="Z401" i="1"/>
  <c r="Z318" i="1"/>
  <c r="Z387" i="1"/>
  <c r="Z180" i="1"/>
  <c r="Z95" i="1"/>
  <c r="Z31" i="1"/>
  <c r="Z498" i="1" s="1"/>
  <c r="Y497" i="1"/>
  <c r="X496" i="1"/>
  <c r="Z242" i="1"/>
</calcChain>
</file>

<file path=xl/sharedStrings.xml><?xml version="1.0" encoding="utf-8"?>
<sst xmlns="http://schemas.openxmlformats.org/spreadsheetml/2006/main" count="2303" uniqueCount="774">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</sst>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6"/>
      <c r="R2" s="566"/>
      <c r="S2" s="566"/>
      <c r="T2" s="566"/>
      <c r="U2" s="566"/>
      <c r="V2" s="566"/>
      <c r="W2" s="56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6"/>
      <c r="Q3" s="566"/>
      <c r="R3" s="566"/>
      <c r="S3" s="566"/>
      <c r="T3" s="566"/>
      <c r="U3" s="566"/>
      <c r="V3" s="566"/>
      <c r="W3" s="56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69" t="s">
        <v>8</v>
      </c>
      <c r="B5" s="670"/>
      <c r="C5" s="671"/>
      <c r="D5" s="627"/>
      <c r="E5" s="628"/>
      <c r="F5" s="840" t="s">
        <v>9</v>
      </c>
      <c r="G5" s="671"/>
      <c r="H5" s="627" t="s">
        <v>773</v>
      </c>
      <c r="I5" s="776"/>
      <c r="J5" s="776"/>
      <c r="K5" s="776"/>
      <c r="L5" s="776"/>
      <c r="M5" s="628"/>
      <c r="N5" s="58"/>
      <c r="P5" s="24" t="s">
        <v>10</v>
      </c>
      <c r="Q5" s="852">
        <v>46046</v>
      </c>
      <c r="R5" s="666"/>
      <c r="T5" s="721" t="s">
        <v>11</v>
      </c>
      <c r="U5" s="722"/>
      <c r="V5" s="723" t="s">
        <v>12</v>
      </c>
      <c r="W5" s="666"/>
      <c r="AB5" s="51"/>
      <c r="AC5" s="51"/>
      <c r="AD5" s="51"/>
      <c r="AE5" s="51"/>
    </row>
    <row r="6" spans="1:32" s="543" customFormat="1" ht="24" customHeight="1" x14ac:dyDescent="0.2">
      <c r="A6" s="669" t="s">
        <v>13</v>
      </c>
      <c r="B6" s="670"/>
      <c r="C6" s="671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6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Суббота</v>
      </c>
      <c r="R6" s="559"/>
      <c r="T6" s="726" t="s">
        <v>16</v>
      </c>
      <c r="U6" s="722"/>
      <c r="V6" s="805" t="s">
        <v>17</v>
      </c>
      <c r="W6" s="586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31" t="str">
        <f>IFERROR(VLOOKUP(DeliveryAddress,Table,3,0),1)</f>
        <v>1</v>
      </c>
      <c r="E7" s="632"/>
      <c r="F7" s="632"/>
      <c r="G7" s="632"/>
      <c r="H7" s="632"/>
      <c r="I7" s="632"/>
      <c r="J7" s="632"/>
      <c r="K7" s="632"/>
      <c r="L7" s="632"/>
      <c r="M7" s="633"/>
      <c r="N7" s="60"/>
      <c r="P7" s="24"/>
      <c r="Q7" s="42"/>
      <c r="R7" s="42"/>
      <c r="T7" s="566"/>
      <c r="U7" s="722"/>
      <c r="V7" s="806"/>
      <c r="W7" s="807"/>
      <c r="AB7" s="51"/>
      <c r="AC7" s="51"/>
      <c r="AD7" s="51"/>
      <c r="AE7" s="51"/>
    </row>
    <row r="8" spans="1:32" s="543" customFormat="1" ht="25.5" customHeight="1" x14ac:dyDescent="0.2">
      <c r="A8" s="875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9">
        <v>0.41666666666666669</v>
      </c>
      <c r="R8" s="633"/>
      <c r="T8" s="566"/>
      <c r="U8" s="722"/>
      <c r="V8" s="806"/>
      <c r="W8" s="807"/>
      <c r="AB8" s="51"/>
      <c r="AC8" s="51"/>
      <c r="AD8" s="51"/>
      <c r="AE8" s="51"/>
    </row>
    <row r="9" spans="1:32" s="543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690"/>
      <c r="E9" s="561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6" t="s">
        <v>21</v>
      </c>
      <c r="Q9" s="659"/>
      <c r="R9" s="660"/>
      <c r="T9" s="566"/>
      <c r="U9" s="722"/>
      <c r="V9" s="808"/>
      <c r="W9" s="809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690"/>
      <c r="E10" s="561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758" t="str">
        <f>IFERROR(VLOOKUP($D$10,Proxy,2,FALSE),"")</f>
        <v/>
      </c>
      <c r="I10" s="566"/>
      <c r="J10" s="566"/>
      <c r="K10" s="566"/>
      <c r="L10" s="566"/>
      <c r="M10" s="566"/>
      <c r="N10" s="542"/>
      <c r="P10" s="26" t="s">
        <v>22</v>
      </c>
      <c r="Q10" s="727"/>
      <c r="R10" s="72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4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7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99"/>
      <c r="R12" s="633"/>
      <c r="S12" s="23"/>
      <c r="U12" s="24"/>
      <c r="V12" s="574"/>
      <c r="W12" s="566"/>
      <c r="AB12" s="51"/>
      <c r="AC12" s="51"/>
      <c r="AD12" s="51"/>
      <c r="AE12" s="51"/>
    </row>
    <row r="13" spans="1:32" s="543" customFormat="1" ht="23.25" customHeight="1" x14ac:dyDescent="0.2">
      <c r="A13" s="717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794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7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2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703" t="s">
        <v>38</v>
      </c>
      <c r="D17" s="589" t="s">
        <v>39</v>
      </c>
      <c r="E17" s="643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2"/>
      <c r="R17" s="642"/>
      <c r="S17" s="642"/>
      <c r="T17" s="643"/>
      <c r="U17" s="870" t="s">
        <v>51</v>
      </c>
      <c r="V17" s="671"/>
      <c r="W17" s="589" t="s">
        <v>52</v>
      </c>
      <c r="X17" s="589" t="s">
        <v>53</v>
      </c>
      <c r="Y17" s="873" t="s">
        <v>54</v>
      </c>
      <c r="Z17" s="766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35"/>
      <c r="AF17" s="836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44"/>
      <c r="E18" s="646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90"/>
      <c r="X18" s="590"/>
      <c r="Y18" s="874"/>
      <c r="Z18" s="767"/>
      <c r="AA18" s="757"/>
      <c r="AB18" s="757"/>
      <c r="AC18" s="757"/>
      <c r="AD18" s="837"/>
      <c r="AE18" s="838"/>
      <c r="AF18" s="839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65" t="s">
        <v>63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44"/>
      <c r="AB20" s="544"/>
      <c r="AC20" s="544"/>
    </row>
    <row r="21" spans="1:68" ht="14.25" hidden="1" customHeight="1" x14ac:dyDescent="0.25">
      <c r="A21" s="567" t="s">
        <v>64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1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81"/>
      <c r="B24" s="566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82"/>
      <c r="P24" s="562" t="s">
        <v>75</v>
      </c>
      <c r="Q24" s="563"/>
      <c r="R24" s="563"/>
      <c r="S24" s="563"/>
      <c r="T24" s="563"/>
      <c r="U24" s="563"/>
      <c r="V24" s="564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566"/>
      <c r="M25" s="566"/>
      <c r="N25" s="566"/>
      <c r="O25" s="582"/>
      <c r="P25" s="562" t="s">
        <v>75</v>
      </c>
      <c r="Q25" s="563"/>
      <c r="R25" s="563"/>
      <c r="S25" s="563"/>
      <c r="T25" s="563"/>
      <c r="U25" s="563"/>
      <c r="V25" s="564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7" t="s">
        <v>77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81"/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82"/>
      <c r="P31" s="562" t="s">
        <v>75</v>
      </c>
      <c r="Q31" s="563"/>
      <c r="R31" s="563"/>
      <c r="S31" s="563"/>
      <c r="T31" s="563"/>
      <c r="U31" s="563"/>
      <c r="V31" s="564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6"/>
      <c r="B32" s="566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82"/>
      <c r="P32" s="562" t="s">
        <v>75</v>
      </c>
      <c r="Q32" s="563"/>
      <c r="R32" s="563"/>
      <c r="S32" s="563"/>
      <c r="T32" s="563"/>
      <c r="U32" s="563"/>
      <c r="V32" s="564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7" t="s">
        <v>91</v>
      </c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8">
        <v>4607091388503</v>
      </c>
      <c r="E34" s="559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3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81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82"/>
      <c r="P35" s="562" t="s">
        <v>75</v>
      </c>
      <c r="Q35" s="563"/>
      <c r="R35" s="563"/>
      <c r="S35" s="563"/>
      <c r="T35" s="563"/>
      <c r="U35" s="563"/>
      <c r="V35" s="564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82"/>
      <c r="P36" s="562" t="s">
        <v>75</v>
      </c>
      <c r="Q36" s="563"/>
      <c r="R36" s="563"/>
      <c r="S36" s="563"/>
      <c r="T36" s="563"/>
      <c r="U36" s="563"/>
      <c r="V36" s="564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65" t="s">
        <v>98</v>
      </c>
      <c r="B38" s="566"/>
      <c r="C38" s="566"/>
      <c r="D38" s="566"/>
      <c r="E38" s="566"/>
      <c r="F38" s="566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44"/>
      <c r="AB38" s="544"/>
      <c r="AC38" s="544"/>
    </row>
    <row r="39" spans="1:68" ht="14.25" hidden="1" customHeight="1" x14ac:dyDescent="0.25">
      <c r="A39" s="567" t="s">
        <v>99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45"/>
      <c r="AB39" s="545"/>
      <c r="AC39" s="54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8">
        <v>4607091385670</v>
      </c>
      <c r="E40" s="559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81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8">
        <v>4607091385687</v>
      </c>
      <c r="E41" s="559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7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81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566"/>
      <c r="O43" s="582"/>
      <c r="P43" s="562" t="s">
        <v>75</v>
      </c>
      <c r="Q43" s="563"/>
      <c r="R43" s="563"/>
      <c r="S43" s="563"/>
      <c r="T43" s="563"/>
      <c r="U43" s="563"/>
      <c r="V43" s="564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hidden="1" x14ac:dyDescent="0.2">
      <c r="A44" s="566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82"/>
      <c r="P44" s="562" t="s">
        <v>75</v>
      </c>
      <c r="Q44" s="563"/>
      <c r="R44" s="563"/>
      <c r="S44" s="563"/>
      <c r="T44" s="563"/>
      <c r="U44" s="563"/>
      <c r="V44" s="564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hidden="1" customHeight="1" x14ac:dyDescent="0.25">
      <c r="A45" s="567" t="s">
        <v>77</v>
      </c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8">
        <v>4680115884915</v>
      </c>
      <c r="E46" s="559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81"/>
      <c r="B47" s="566"/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82"/>
      <c r="P47" s="562" t="s">
        <v>75</v>
      </c>
      <c r="Q47" s="563"/>
      <c r="R47" s="563"/>
      <c r="S47" s="563"/>
      <c r="T47" s="563"/>
      <c r="U47" s="563"/>
      <c r="V47" s="564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6"/>
      <c r="B48" s="566"/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82"/>
      <c r="P48" s="562" t="s">
        <v>75</v>
      </c>
      <c r="Q48" s="563"/>
      <c r="R48" s="563"/>
      <c r="S48" s="563"/>
      <c r="T48" s="563"/>
      <c r="U48" s="563"/>
      <c r="V48" s="564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65" t="s">
        <v>116</v>
      </c>
      <c r="B49" s="566"/>
      <c r="C49" s="566"/>
      <c r="D49" s="566"/>
      <c r="E49" s="566"/>
      <c r="F49" s="566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/>
      <c r="AA49" s="544"/>
      <c r="AB49" s="544"/>
      <c r="AC49" s="544"/>
    </row>
    <row r="50" spans="1:68" ht="14.25" hidden="1" customHeight="1" x14ac:dyDescent="0.25">
      <c r="A50" s="567" t="s">
        <v>99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8">
        <v>4680115885882</v>
      </c>
      <c r="E51" s="559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8">
        <v>4680115881426</v>
      </c>
      <c r="E52" s="559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8">
        <v>4680115880283</v>
      </c>
      <c r="E53" s="559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8">
        <v>4680115881525</v>
      </c>
      <c r="E54" s="559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8">
        <v>4680115885899</v>
      </c>
      <c r="E55" s="559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8">
        <v>4680115881419</v>
      </c>
      <c r="E56" s="559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81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82"/>
      <c r="P57" s="562" t="s">
        <v>75</v>
      </c>
      <c r="Q57" s="563"/>
      <c r="R57" s="563"/>
      <c r="S57" s="563"/>
      <c r="T57" s="563"/>
      <c r="U57" s="563"/>
      <c r="V57" s="564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hidden="1" x14ac:dyDescent="0.2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82"/>
      <c r="P58" s="562" t="s">
        <v>75</v>
      </c>
      <c r="Q58" s="563"/>
      <c r="R58" s="563"/>
      <c r="S58" s="563"/>
      <c r="T58" s="563"/>
      <c r="U58" s="563"/>
      <c r="V58" s="564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hidden="1" customHeight="1" x14ac:dyDescent="0.25">
      <c r="A59" s="567" t="s">
        <v>135</v>
      </c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45"/>
      <c r="AB59" s="545"/>
      <c r="AC59" s="54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8">
        <v>4680115881440</v>
      </c>
      <c r="E60" s="559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8">
        <v>4680115885950</v>
      </c>
      <c r="E61" s="559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8">
        <v>4680115881433</v>
      </c>
      <c r="E62" s="559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81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82"/>
      <c r="P63" s="562" t="s">
        <v>75</v>
      </c>
      <c r="Q63" s="563"/>
      <c r="R63" s="563"/>
      <c r="S63" s="563"/>
      <c r="T63" s="563"/>
      <c r="U63" s="563"/>
      <c r="V63" s="564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82"/>
      <c r="P64" s="562" t="s">
        <v>75</v>
      </c>
      <c r="Q64" s="563"/>
      <c r="R64" s="563"/>
      <c r="S64" s="563"/>
      <c r="T64" s="563"/>
      <c r="U64" s="563"/>
      <c r="V64" s="564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67" t="s">
        <v>64</v>
      </c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8">
        <v>4680115885073</v>
      </c>
      <c r="E66" s="559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8">
        <v>4680115885097</v>
      </c>
      <c r="E67" s="559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81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82"/>
      <c r="P68" s="562" t="s">
        <v>75</v>
      </c>
      <c r="Q68" s="563"/>
      <c r="R68" s="563"/>
      <c r="S68" s="563"/>
      <c r="T68" s="563"/>
      <c r="U68" s="563"/>
      <c r="V68" s="564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82"/>
      <c r="P69" s="562" t="s">
        <v>75</v>
      </c>
      <c r="Q69" s="563"/>
      <c r="R69" s="563"/>
      <c r="S69" s="563"/>
      <c r="T69" s="563"/>
      <c r="U69" s="563"/>
      <c r="V69" s="564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7" t="s">
        <v>77</v>
      </c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8">
        <v>4680115885769</v>
      </c>
      <c r="E71" s="559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1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8">
        <v>4680115884311</v>
      </c>
      <c r="E72" s="559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8">
        <v>4680115885929</v>
      </c>
      <c r="E73" s="559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8">
        <v>4680115884403</v>
      </c>
      <c r="E74" s="559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81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82"/>
      <c r="P75" s="562" t="s">
        <v>75</v>
      </c>
      <c r="Q75" s="563"/>
      <c r="R75" s="563"/>
      <c r="S75" s="563"/>
      <c r="T75" s="563"/>
      <c r="U75" s="563"/>
      <c r="V75" s="564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82"/>
      <c r="P76" s="562" t="s">
        <v>75</v>
      </c>
      <c r="Q76" s="563"/>
      <c r="R76" s="563"/>
      <c r="S76" s="563"/>
      <c r="T76" s="563"/>
      <c r="U76" s="563"/>
      <c r="V76" s="564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7" t="s">
        <v>160</v>
      </c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45"/>
      <c r="AB77" s="545"/>
      <c r="AC77" s="545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8">
        <v>4680115881532</v>
      </c>
      <c r="E78" s="559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8">
        <v>4680115881464</v>
      </c>
      <c r="E79" s="559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81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82"/>
      <c r="P80" s="562" t="s">
        <v>75</v>
      </c>
      <c r="Q80" s="563"/>
      <c r="R80" s="563"/>
      <c r="S80" s="563"/>
      <c r="T80" s="563"/>
      <c r="U80" s="563"/>
      <c r="V80" s="564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82"/>
      <c r="P81" s="562" t="s">
        <v>75</v>
      </c>
      <c r="Q81" s="563"/>
      <c r="R81" s="563"/>
      <c r="S81" s="563"/>
      <c r="T81" s="563"/>
      <c r="U81" s="563"/>
      <c r="V81" s="564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65" t="s">
        <v>167</v>
      </c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44"/>
      <c r="AB82" s="544"/>
      <c r="AC82" s="544"/>
    </row>
    <row r="83" spans="1:68" ht="14.25" hidden="1" customHeight="1" x14ac:dyDescent="0.25">
      <c r="A83" s="567" t="s">
        <v>99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45"/>
      <c r="AB83" s="545"/>
      <c r="AC83" s="545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8">
        <v>4680115881327</v>
      </c>
      <c r="E84" s="559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8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8">
        <v>4680115887732</v>
      </c>
      <c r="E85" s="559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8">
        <v>4680115881518</v>
      </c>
      <c r="E86" s="559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8">
        <v>4680115881303</v>
      </c>
      <c r="E87" s="559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81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82"/>
      <c r="P88" s="562" t="s">
        <v>75</v>
      </c>
      <c r="Q88" s="563"/>
      <c r="R88" s="563"/>
      <c r="S88" s="563"/>
      <c r="T88" s="563"/>
      <c r="U88" s="563"/>
      <c r="V88" s="564"/>
      <c r="W88" s="37" t="s">
        <v>76</v>
      </c>
      <c r="X88" s="551">
        <f>IFERROR(X84/H84,"0")+IFERROR(X85/H85,"0")+IFERROR(X86/H86,"0")+IFERROR(X87/H87,"0")</f>
        <v>0</v>
      </c>
      <c r="Y88" s="551">
        <f>IFERROR(Y84/H84,"0")+IFERROR(Y85/H85,"0")+IFERROR(Y86/H86,"0")+IFERROR(Y87/H87,"0")</f>
        <v>0</v>
      </c>
      <c r="Z88" s="551">
        <f>IFERROR(IF(Z84="",0,Z84),"0")+IFERROR(IF(Z85="",0,Z85),"0")+IFERROR(IF(Z86="",0,Z86),"0")+IFERROR(IF(Z87="",0,Z87),"0")</f>
        <v>0</v>
      </c>
      <c r="AA88" s="552"/>
      <c r="AB88" s="552"/>
      <c r="AC88" s="552"/>
    </row>
    <row r="89" spans="1:68" hidden="1" x14ac:dyDescent="0.2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82"/>
      <c r="P89" s="562" t="s">
        <v>75</v>
      </c>
      <c r="Q89" s="563"/>
      <c r="R89" s="563"/>
      <c r="S89" s="563"/>
      <c r="T89" s="563"/>
      <c r="U89" s="563"/>
      <c r="V89" s="564"/>
      <c r="W89" s="37" t="s">
        <v>69</v>
      </c>
      <c r="X89" s="551">
        <f>IFERROR(SUM(X84:X87),"0")</f>
        <v>0</v>
      </c>
      <c r="Y89" s="551">
        <f>IFERROR(SUM(Y84:Y87),"0")</f>
        <v>0</v>
      </c>
      <c r="Z89" s="37"/>
      <c r="AA89" s="552"/>
      <c r="AB89" s="552"/>
      <c r="AC89" s="552"/>
    </row>
    <row r="90" spans="1:68" ht="14.25" hidden="1" customHeight="1" x14ac:dyDescent="0.25">
      <c r="A90" s="567" t="s">
        <v>77</v>
      </c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8">
        <v>4607091386967</v>
      </c>
      <c r="E91" s="559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149</v>
      </c>
      <c r="Y91" s="550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158.08716049382716</v>
      </c>
      <c r="BN91" s="64">
        <f>IFERROR(Y91*I91/H91,"0")</f>
        <v>163.286</v>
      </c>
      <c r="BO91" s="64">
        <f>IFERROR(1/J91*(X91/H91),"0")</f>
        <v>0.28742283950617287</v>
      </c>
      <c r="BP91" s="64">
        <f>IFERROR(1/J91*(Y91/H91),"0")</f>
        <v>0.296875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8">
        <v>4680115884953</v>
      </c>
      <c r="E92" s="559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8">
        <v>4607091385731</v>
      </c>
      <c r="E93" s="559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81"/>
      <c r="B95" s="566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6"/>
      <c r="O95" s="582"/>
      <c r="P95" s="562" t="s">
        <v>75</v>
      </c>
      <c r="Q95" s="563"/>
      <c r="R95" s="563"/>
      <c r="S95" s="563"/>
      <c r="T95" s="563"/>
      <c r="U95" s="563"/>
      <c r="V95" s="564"/>
      <c r="W95" s="37" t="s">
        <v>76</v>
      </c>
      <c r="X95" s="551">
        <f>IFERROR(X91/H91,"0")+IFERROR(X92/H92,"0")+IFERROR(X93/H93,"0")+IFERROR(X94/H94,"0")</f>
        <v>18.395061728395063</v>
      </c>
      <c r="Y95" s="551">
        <f>IFERROR(Y91/H91,"0")+IFERROR(Y92/H92,"0")+IFERROR(Y93/H93,"0")+IFERROR(Y94/H94,"0")</f>
        <v>19</v>
      </c>
      <c r="Z95" s="551">
        <f>IFERROR(IF(Z91="",0,Z91),"0")+IFERROR(IF(Z92="",0,Z92),"0")+IFERROR(IF(Z93="",0,Z93),"0")+IFERROR(IF(Z94="",0,Z94),"0")</f>
        <v>0.36062</v>
      </c>
      <c r="AA95" s="552"/>
      <c r="AB95" s="552"/>
      <c r="AC95" s="552"/>
    </row>
    <row r="96" spans="1:68" x14ac:dyDescent="0.2">
      <c r="A96" s="566"/>
      <c r="B96" s="566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6"/>
      <c r="O96" s="582"/>
      <c r="P96" s="562" t="s">
        <v>75</v>
      </c>
      <c r="Q96" s="563"/>
      <c r="R96" s="563"/>
      <c r="S96" s="563"/>
      <c r="T96" s="563"/>
      <c r="U96" s="563"/>
      <c r="V96" s="564"/>
      <c r="W96" s="37" t="s">
        <v>69</v>
      </c>
      <c r="X96" s="551">
        <f>IFERROR(SUM(X91:X94),"0")</f>
        <v>149</v>
      </c>
      <c r="Y96" s="551">
        <f>IFERROR(SUM(Y91:Y94),"0")</f>
        <v>153.9</v>
      </c>
      <c r="Z96" s="37"/>
      <c r="AA96" s="552"/>
      <c r="AB96" s="552"/>
      <c r="AC96" s="552"/>
    </row>
    <row r="97" spans="1:68" ht="16.5" hidden="1" customHeight="1" x14ac:dyDescent="0.25">
      <c r="A97" s="565" t="s">
        <v>190</v>
      </c>
      <c r="B97" s="566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44"/>
      <c r="AB97" s="544"/>
      <c r="AC97" s="544"/>
    </row>
    <row r="98" spans="1:68" ht="14.25" hidden="1" customHeight="1" x14ac:dyDescent="0.25">
      <c r="A98" s="567" t="s">
        <v>99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45"/>
      <c r="AB98" s="545"/>
      <c r="AC98" s="54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81"/>
      <c r="B104" s="566"/>
      <c r="C104" s="566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82"/>
      <c r="P104" s="562" t="s">
        <v>75</v>
      </c>
      <c r="Q104" s="563"/>
      <c r="R104" s="563"/>
      <c r="S104" s="563"/>
      <c r="T104" s="563"/>
      <c r="U104" s="563"/>
      <c r="V104" s="564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hidden="1" x14ac:dyDescent="0.2">
      <c r="A105" s="566"/>
      <c r="B105" s="566"/>
      <c r="C105" s="566"/>
      <c r="D105" s="566"/>
      <c r="E105" s="566"/>
      <c r="F105" s="566"/>
      <c r="G105" s="566"/>
      <c r="H105" s="566"/>
      <c r="I105" s="566"/>
      <c r="J105" s="566"/>
      <c r="K105" s="566"/>
      <c r="L105" s="566"/>
      <c r="M105" s="566"/>
      <c r="N105" s="566"/>
      <c r="O105" s="582"/>
      <c r="P105" s="562" t="s">
        <v>75</v>
      </c>
      <c r="Q105" s="563"/>
      <c r="R105" s="563"/>
      <c r="S105" s="563"/>
      <c r="T105" s="563"/>
      <c r="U105" s="563"/>
      <c r="V105" s="564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hidden="1" customHeight="1" x14ac:dyDescent="0.25">
      <c r="A106" s="567" t="s">
        <v>135</v>
      </c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8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81"/>
      <c r="B111" s="566"/>
      <c r="C111" s="566"/>
      <c r="D111" s="566"/>
      <c r="E111" s="566"/>
      <c r="F111" s="566"/>
      <c r="G111" s="566"/>
      <c r="H111" s="566"/>
      <c r="I111" s="566"/>
      <c r="J111" s="566"/>
      <c r="K111" s="566"/>
      <c r="L111" s="566"/>
      <c r="M111" s="566"/>
      <c r="N111" s="566"/>
      <c r="O111" s="582"/>
      <c r="P111" s="562" t="s">
        <v>75</v>
      </c>
      <c r="Q111" s="563"/>
      <c r="R111" s="563"/>
      <c r="S111" s="563"/>
      <c r="T111" s="563"/>
      <c r="U111" s="563"/>
      <c r="V111" s="564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6"/>
      <c r="B112" s="566"/>
      <c r="C112" s="566"/>
      <c r="D112" s="566"/>
      <c r="E112" s="566"/>
      <c r="F112" s="566"/>
      <c r="G112" s="566"/>
      <c r="H112" s="566"/>
      <c r="I112" s="566"/>
      <c r="J112" s="566"/>
      <c r="K112" s="566"/>
      <c r="L112" s="566"/>
      <c r="M112" s="566"/>
      <c r="N112" s="566"/>
      <c r="O112" s="582"/>
      <c r="P112" s="562" t="s">
        <v>75</v>
      </c>
      <c r="Q112" s="563"/>
      <c r="R112" s="563"/>
      <c r="S112" s="563"/>
      <c r="T112" s="563"/>
      <c r="U112" s="563"/>
      <c r="V112" s="564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67" t="s">
        <v>77</v>
      </c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150</v>
      </c>
      <c r="Y114" s="550">
        <f>IFERROR(IF(X114="",0,CEILING((X114/$H114),1)*$H114),"")</f>
        <v>153.9</v>
      </c>
      <c r="Z114" s="36">
        <f>IFERROR(IF(Y114=0,"",ROUNDUP(Y114/H114,0)*0.01898),"")</f>
        <v>0.36062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159.03703703703701</v>
      </c>
      <c r="BN114" s="64">
        <f>IFERROR(Y114*I114/H114,"0")</f>
        <v>163.172</v>
      </c>
      <c r="BO114" s="64">
        <f>IFERROR(1/J114*(X114/H114),"0")</f>
        <v>0.28935185185185186</v>
      </c>
      <c r="BP114" s="64">
        <f>IFERROR(1/J114*(Y114/H114),"0")</f>
        <v>0.296875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81"/>
      <c r="B118" s="566"/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82"/>
      <c r="P118" s="562" t="s">
        <v>75</v>
      </c>
      <c r="Q118" s="563"/>
      <c r="R118" s="563"/>
      <c r="S118" s="563"/>
      <c r="T118" s="563"/>
      <c r="U118" s="563"/>
      <c r="V118" s="564"/>
      <c r="W118" s="37" t="s">
        <v>76</v>
      </c>
      <c r="X118" s="551">
        <f>IFERROR(X114/H114,"0")+IFERROR(X115/H115,"0")+IFERROR(X116/H116,"0")+IFERROR(X117/H117,"0")</f>
        <v>18.518518518518519</v>
      </c>
      <c r="Y118" s="551">
        <f>IFERROR(Y114/H114,"0")+IFERROR(Y115/H115,"0")+IFERROR(Y116/H116,"0")+IFERROR(Y117/H117,"0")</f>
        <v>19</v>
      </c>
      <c r="Z118" s="551">
        <f>IFERROR(IF(Z114="",0,Z114),"0")+IFERROR(IF(Z115="",0,Z115),"0")+IFERROR(IF(Z116="",0,Z116),"0")+IFERROR(IF(Z117="",0,Z117),"0")</f>
        <v>0.36062</v>
      </c>
      <c r="AA118" s="552"/>
      <c r="AB118" s="552"/>
      <c r="AC118" s="552"/>
    </row>
    <row r="119" spans="1:68" x14ac:dyDescent="0.2">
      <c r="A119" s="566"/>
      <c r="B119" s="566"/>
      <c r="C119" s="566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82"/>
      <c r="P119" s="562" t="s">
        <v>75</v>
      </c>
      <c r="Q119" s="563"/>
      <c r="R119" s="563"/>
      <c r="S119" s="563"/>
      <c r="T119" s="563"/>
      <c r="U119" s="563"/>
      <c r="V119" s="564"/>
      <c r="W119" s="37" t="s">
        <v>69</v>
      </c>
      <c r="X119" s="551">
        <f>IFERROR(SUM(X114:X117),"0")</f>
        <v>150</v>
      </c>
      <c r="Y119" s="551">
        <f>IFERROR(SUM(Y114:Y117),"0")</f>
        <v>153.9</v>
      </c>
      <c r="Z119" s="37"/>
      <c r="AA119" s="552"/>
      <c r="AB119" s="552"/>
      <c r="AC119" s="552"/>
    </row>
    <row r="120" spans="1:68" ht="14.25" hidden="1" customHeight="1" x14ac:dyDescent="0.25">
      <c r="A120" s="567" t="s">
        <v>160</v>
      </c>
      <c r="B120" s="566"/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81"/>
      <c r="B122" s="566"/>
      <c r="C122" s="566"/>
      <c r="D122" s="566"/>
      <c r="E122" s="566"/>
      <c r="F122" s="566"/>
      <c r="G122" s="566"/>
      <c r="H122" s="566"/>
      <c r="I122" s="566"/>
      <c r="J122" s="566"/>
      <c r="K122" s="566"/>
      <c r="L122" s="566"/>
      <c r="M122" s="566"/>
      <c r="N122" s="566"/>
      <c r="O122" s="582"/>
      <c r="P122" s="562" t="s">
        <v>75</v>
      </c>
      <c r="Q122" s="563"/>
      <c r="R122" s="563"/>
      <c r="S122" s="563"/>
      <c r="T122" s="563"/>
      <c r="U122" s="563"/>
      <c r="V122" s="564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6"/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6"/>
      <c r="N123" s="566"/>
      <c r="O123" s="582"/>
      <c r="P123" s="562" t="s">
        <v>75</v>
      </c>
      <c r="Q123" s="563"/>
      <c r="R123" s="563"/>
      <c r="S123" s="563"/>
      <c r="T123" s="563"/>
      <c r="U123" s="563"/>
      <c r="V123" s="564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65" t="s">
        <v>227</v>
      </c>
      <c r="B124" s="566"/>
      <c r="C124" s="566"/>
      <c r="D124" s="566"/>
      <c r="E124" s="566"/>
      <c r="F124" s="566"/>
      <c r="G124" s="566"/>
      <c r="H124" s="566"/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44"/>
      <c r="AB124" s="544"/>
      <c r="AC124" s="544"/>
    </row>
    <row r="125" spans="1:68" ht="14.25" hidden="1" customHeight="1" x14ac:dyDescent="0.25">
      <c r="A125" s="567" t="s">
        <v>99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8">
        <v>4680115882577</v>
      </c>
      <c r="E126" s="559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8">
        <v>4680115882577</v>
      </c>
      <c r="E127" s="559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81"/>
      <c r="B128" s="566"/>
      <c r="C128" s="566"/>
      <c r="D128" s="566"/>
      <c r="E128" s="566"/>
      <c r="F128" s="566"/>
      <c r="G128" s="566"/>
      <c r="H128" s="566"/>
      <c r="I128" s="566"/>
      <c r="J128" s="566"/>
      <c r="K128" s="566"/>
      <c r="L128" s="566"/>
      <c r="M128" s="566"/>
      <c r="N128" s="566"/>
      <c r="O128" s="582"/>
      <c r="P128" s="562" t="s">
        <v>75</v>
      </c>
      <c r="Q128" s="563"/>
      <c r="R128" s="563"/>
      <c r="S128" s="563"/>
      <c r="T128" s="563"/>
      <c r="U128" s="563"/>
      <c r="V128" s="564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6"/>
      <c r="B129" s="566"/>
      <c r="C129" s="566"/>
      <c r="D129" s="566"/>
      <c r="E129" s="566"/>
      <c r="F129" s="566"/>
      <c r="G129" s="566"/>
      <c r="H129" s="566"/>
      <c r="I129" s="566"/>
      <c r="J129" s="566"/>
      <c r="K129" s="566"/>
      <c r="L129" s="566"/>
      <c r="M129" s="566"/>
      <c r="N129" s="566"/>
      <c r="O129" s="582"/>
      <c r="P129" s="562" t="s">
        <v>75</v>
      </c>
      <c r="Q129" s="563"/>
      <c r="R129" s="563"/>
      <c r="S129" s="563"/>
      <c r="T129" s="563"/>
      <c r="U129" s="563"/>
      <c r="V129" s="564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67" t="s">
        <v>64</v>
      </c>
      <c r="B130" s="566"/>
      <c r="C130" s="56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8">
        <v>4680115883444</v>
      </c>
      <c r="E131" s="559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8">
        <v>4680115883444</v>
      </c>
      <c r="E132" s="559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81"/>
      <c r="B133" s="566"/>
      <c r="C133" s="566"/>
      <c r="D133" s="566"/>
      <c r="E133" s="566"/>
      <c r="F133" s="566"/>
      <c r="G133" s="566"/>
      <c r="H133" s="566"/>
      <c r="I133" s="566"/>
      <c r="J133" s="566"/>
      <c r="K133" s="566"/>
      <c r="L133" s="566"/>
      <c r="M133" s="566"/>
      <c r="N133" s="566"/>
      <c r="O133" s="582"/>
      <c r="P133" s="562" t="s">
        <v>75</v>
      </c>
      <c r="Q133" s="563"/>
      <c r="R133" s="563"/>
      <c r="S133" s="563"/>
      <c r="T133" s="563"/>
      <c r="U133" s="563"/>
      <c r="V133" s="564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6"/>
      <c r="B134" s="566"/>
      <c r="C134" s="566"/>
      <c r="D134" s="566"/>
      <c r="E134" s="566"/>
      <c r="F134" s="566"/>
      <c r="G134" s="566"/>
      <c r="H134" s="566"/>
      <c r="I134" s="566"/>
      <c r="J134" s="566"/>
      <c r="K134" s="566"/>
      <c r="L134" s="566"/>
      <c r="M134" s="566"/>
      <c r="N134" s="566"/>
      <c r="O134" s="582"/>
      <c r="P134" s="562" t="s">
        <v>75</v>
      </c>
      <c r="Q134" s="563"/>
      <c r="R134" s="563"/>
      <c r="S134" s="563"/>
      <c r="T134" s="563"/>
      <c r="U134" s="563"/>
      <c r="V134" s="564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67" t="s">
        <v>77</v>
      </c>
      <c r="B135" s="566"/>
      <c r="C135" s="566"/>
      <c r="D135" s="566"/>
      <c r="E135" s="56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81"/>
      <c r="B138" s="566"/>
      <c r="C138" s="566"/>
      <c r="D138" s="566"/>
      <c r="E138" s="566"/>
      <c r="F138" s="566"/>
      <c r="G138" s="566"/>
      <c r="H138" s="566"/>
      <c r="I138" s="566"/>
      <c r="J138" s="566"/>
      <c r="K138" s="566"/>
      <c r="L138" s="566"/>
      <c r="M138" s="566"/>
      <c r="N138" s="566"/>
      <c r="O138" s="582"/>
      <c r="P138" s="562" t="s">
        <v>75</v>
      </c>
      <c r="Q138" s="563"/>
      <c r="R138" s="563"/>
      <c r="S138" s="563"/>
      <c r="T138" s="563"/>
      <c r="U138" s="563"/>
      <c r="V138" s="564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6"/>
      <c r="B139" s="566"/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82"/>
      <c r="P139" s="562" t="s">
        <v>75</v>
      </c>
      <c r="Q139" s="563"/>
      <c r="R139" s="563"/>
      <c r="S139" s="563"/>
      <c r="T139" s="563"/>
      <c r="U139" s="563"/>
      <c r="V139" s="564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65" t="s">
        <v>97</v>
      </c>
      <c r="B140" s="566"/>
      <c r="C140" s="566"/>
      <c r="D140" s="566"/>
      <c r="E140" s="566"/>
      <c r="F140" s="566"/>
      <c r="G140" s="566"/>
      <c r="H140" s="566"/>
      <c r="I140" s="566"/>
      <c r="J140" s="566"/>
      <c r="K140" s="566"/>
      <c r="L140" s="566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44"/>
      <c r="AB140" s="544"/>
      <c r="AC140" s="544"/>
    </row>
    <row r="141" spans="1:68" ht="14.25" hidden="1" customHeight="1" x14ac:dyDescent="0.25">
      <c r="A141" s="567" t="s">
        <v>99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81"/>
      <c r="B144" s="566"/>
      <c r="C144" s="566"/>
      <c r="D144" s="566"/>
      <c r="E144" s="566"/>
      <c r="F144" s="566"/>
      <c r="G144" s="566"/>
      <c r="H144" s="566"/>
      <c r="I144" s="566"/>
      <c r="J144" s="566"/>
      <c r="K144" s="566"/>
      <c r="L144" s="566"/>
      <c r="M144" s="566"/>
      <c r="N144" s="566"/>
      <c r="O144" s="582"/>
      <c r="P144" s="562" t="s">
        <v>75</v>
      </c>
      <c r="Q144" s="563"/>
      <c r="R144" s="563"/>
      <c r="S144" s="563"/>
      <c r="T144" s="563"/>
      <c r="U144" s="563"/>
      <c r="V144" s="564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6"/>
      <c r="B145" s="566"/>
      <c r="C145" s="566"/>
      <c r="D145" s="566"/>
      <c r="E145" s="566"/>
      <c r="F145" s="566"/>
      <c r="G145" s="566"/>
      <c r="H145" s="566"/>
      <c r="I145" s="566"/>
      <c r="J145" s="566"/>
      <c r="K145" s="566"/>
      <c r="L145" s="566"/>
      <c r="M145" s="566"/>
      <c r="N145" s="566"/>
      <c r="O145" s="582"/>
      <c r="P145" s="562" t="s">
        <v>75</v>
      </c>
      <c r="Q145" s="563"/>
      <c r="R145" s="563"/>
      <c r="S145" s="563"/>
      <c r="T145" s="563"/>
      <c r="U145" s="563"/>
      <c r="V145" s="564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7" t="s">
        <v>64</v>
      </c>
      <c r="B146" s="566"/>
      <c r="C146" s="566"/>
      <c r="D146" s="566"/>
      <c r="E146" s="566"/>
      <c r="F146" s="566"/>
      <c r="G146" s="566"/>
      <c r="H146" s="566"/>
      <c r="I146" s="566"/>
      <c r="J146" s="566"/>
      <c r="K146" s="566"/>
      <c r="L146" s="566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81"/>
      <c r="B153" s="566"/>
      <c r="C153" s="566"/>
      <c r="D153" s="566"/>
      <c r="E153" s="566"/>
      <c r="F153" s="566"/>
      <c r="G153" s="566"/>
      <c r="H153" s="566"/>
      <c r="I153" s="566"/>
      <c r="J153" s="566"/>
      <c r="K153" s="566"/>
      <c r="L153" s="566"/>
      <c r="M153" s="566"/>
      <c r="N153" s="566"/>
      <c r="O153" s="582"/>
      <c r="P153" s="562" t="s">
        <v>75</v>
      </c>
      <c r="Q153" s="563"/>
      <c r="R153" s="563"/>
      <c r="S153" s="563"/>
      <c r="T153" s="563"/>
      <c r="U153" s="563"/>
      <c r="V153" s="564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6"/>
      <c r="B154" s="566"/>
      <c r="C154" s="566"/>
      <c r="D154" s="566"/>
      <c r="E154" s="566"/>
      <c r="F154" s="566"/>
      <c r="G154" s="566"/>
      <c r="H154" s="566"/>
      <c r="I154" s="566"/>
      <c r="J154" s="566"/>
      <c r="K154" s="566"/>
      <c r="L154" s="566"/>
      <c r="M154" s="566"/>
      <c r="N154" s="566"/>
      <c r="O154" s="582"/>
      <c r="P154" s="562" t="s">
        <v>75</v>
      </c>
      <c r="Q154" s="563"/>
      <c r="R154" s="563"/>
      <c r="S154" s="563"/>
      <c r="T154" s="563"/>
      <c r="U154" s="563"/>
      <c r="V154" s="564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67" t="s">
        <v>77</v>
      </c>
      <c r="B155" s="566"/>
      <c r="C155" s="566"/>
      <c r="D155" s="566"/>
      <c r="E155" s="566"/>
      <c r="F155" s="566"/>
      <c r="G155" s="566"/>
      <c r="H155" s="566"/>
      <c r="I155" s="566"/>
      <c r="J155" s="566"/>
      <c r="K155" s="566"/>
      <c r="L155" s="566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81"/>
      <c r="B157" s="566"/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82"/>
      <c r="P157" s="562" t="s">
        <v>75</v>
      </c>
      <c r="Q157" s="563"/>
      <c r="R157" s="563"/>
      <c r="S157" s="563"/>
      <c r="T157" s="563"/>
      <c r="U157" s="563"/>
      <c r="V157" s="564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6"/>
      <c r="B158" s="566"/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82"/>
      <c r="P158" s="562" t="s">
        <v>75</v>
      </c>
      <c r="Q158" s="563"/>
      <c r="R158" s="563"/>
      <c r="S158" s="563"/>
      <c r="T158" s="563"/>
      <c r="U158" s="563"/>
      <c r="V158" s="564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65" t="s">
        <v>267</v>
      </c>
      <c r="B160" s="566"/>
      <c r="C160" s="566"/>
      <c r="D160" s="566"/>
      <c r="E160" s="566"/>
      <c r="F160" s="566"/>
      <c r="G160" s="566"/>
      <c r="H160" s="566"/>
      <c r="I160" s="566"/>
      <c r="J160" s="566"/>
      <c r="K160" s="566"/>
      <c r="L160" s="566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44"/>
      <c r="AB160" s="544"/>
      <c r="AC160" s="544"/>
    </row>
    <row r="161" spans="1:68" ht="14.25" hidden="1" customHeight="1" x14ac:dyDescent="0.25">
      <c r="A161" s="567" t="s">
        <v>135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81"/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6"/>
      <c r="N163" s="566"/>
      <c r="O163" s="582"/>
      <c r="P163" s="562" t="s">
        <v>75</v>
      </c>
      <c r="Q163" s="563"/>
      <c r="R163" s="563"/>
      <c r="S163" s="563"/>
      <c r="T163" s="563"/>
      <c r="U163" s="563"/>
      <c r="V163" s="564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6"/>
      <c r="B164" s="566"/>
      <c r="C164" s="566"/>
      <c r="D164" s="566"/>
      <c r="E164" s="566"/>
      <c r="F164" s="566"/>
      <c r="G164" s="566"/>
      <c r="H164" s="566"/>
      <c r="I164" s="566"/>
      <c r="J164" s="566"/>
      <c r="K164" s="566"/>
      <c r="L164" s="566"/>
      <c r="M164" s="566"/>
      <c r="N164" s="566"/>
      <c r="O164" s="582"/>
      <c r="P164" s="562" t="s">
        <v>75</v>
      </c>
      <c r="Q164" s="563"/>
      <c r="R164" s="563"/>
      <c r="S164" s="563"/>
      <c r="T164" s="563"/>
      <c r="U164" s="563"/>
      <c r="V164" s="564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7" t="s">
        <v>64</v>
      </c>
      <c r="B165" s="566"/>
      <c r="C165" s="566"/>
      <c r="D165" s="566"/>
      <c r="E165" s="566"/>
      <c r="F165" s="566"/>
      <c r="G165" s="566"/>
      <c r="H165" s="566"/>
      <c r="I165" s="566"/>
      <c r="J165" s="566"/>
      <c r="K165" s="566"/>
      <c r="L165" s="566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5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6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idden="1" x14ac:dyDescent="0.2">
      <c r="A180" s="581"/>
      <c r="B180" s="566"/>
      <c r="C180" s="566"/>
      <c r="D180" s="566"/>
      <c r="E180" s="566"/>
      <c r="F180" s="566"/>
      <c r="G180" s="566"/>
      <c r="H180" s="566"/>
      <c r="I180" s="566"/>
      <c r="J180" s="566"/>
      <c r="K180" s="566"/>
      <c r="L180" s="566"/>
      <c r="M180" s="566"/>
      <c r="N180" s="566"/>
      <c r="O180" s="582"/>
      <c r="P180" s="562" t="s">
        <v>75</v>
      </c>
      <c r="Q180" s="563"/>
      <c r="R180" s="563"/>
      <c r="S180" s="563"/>
      <c r="T180" s="563"/>
      <c r="U180" s="563"/>
      <c r="V180" s="564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2"/>
      <c r="AB180" s="552"/>
      <c r="AC180" s="552"/>
    </row>
    <row r="181" spans="1:68" hidden="1" x14ac:dyDescent="0.2">
      <c r="A181" s="566"/>
      <c r="B181" s="566"/>
      <c r="C181" s="566"/>
      <c r="D181" s="566"/>
      <c r="E181" s="566"/>
      <c r="F181" s="566"/>
      <c r="G181" s="566"/>
      <c r="H181" s="566"/>
      <c r="I181" s="566"/>
      <c r="J181" s="566"/>
      <c r="K181" s="566"/>
      <c r="L181" s="566"/>
      <c r="M181" s="566"/>
      <c r="N181" s="566"/>
      <c r="O181" s="582"/>
      <c r="P181" s="562" t="s">
        <v>75</v>
      </c>
      <c r="Q181" s="563"/>
      <c r="R181" s="563"/>
      <c r="S181" s="563"/>
      <c r="T181" s="563"/>
      <c r="U181" s="563"/>
      <c r="V181" s="564"/>
      <c r="W181" s="37" t="s">
        <v>69</v>
      </c>
      <c r="X181" s="551">
        <f>IFERROR(SUM(X166:X179),"0")</f>
        <v>0</v>
      </c>
      <c r="Y181" s="551">
        <f>IFERROR(SUM(Y166:Y179),"0")</f>
        <v>0</v>
      </c>
      <c r="Z181" s="37"/>
      <c r="AA181" s="552"/>
      <c r="AB181" s="552"/>
      <c r="AC181" s="552"/>
    </row>
    <row r="182" spans="1:68" ht="14.25" hidden="1" customHeight="1" x14ac:dyDescent="0.25">
      <c r="A182" s="567" t="s">
        <v>91</v>
      </c>
      <c r="B182" s="566"/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81"/>
      <c r="B186" s="566"/>
      <c r="C186" s="566"/>
      <c r="D186" s="566"/>
      <c r="E186" s="566"/>
      <c r="F186" s="566"/>
      <c r="G186" s="566"/>
      <c r="H186" s="566"/>
      <c r="I186" s="566"/>
      <c r="J186" s="566"/>
      <c r="K186" s="566"/>
      <c r="L186" s="566"/>
      <c r="M186" s="566"/>
      <c r="N186" s="566"/>
      <c r="O186" s="582"/>
      <c r="P186" s="562" t="s">
        <v>75</v>
      </c>
      <c r="Q186" s="563"/>
      <c r="R186" s="563"/>
      <c r="S186" s="563"/>
      <c r="T186" s="563"/>
      <c r="U186" s="563"/>
      <c r="V186" s="564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6"/>
      <c r="B187" s="566"/>
      <c r="C187" s="566"/>
      <c r="D187" s="566"/>
      <c r="E187" s="566"/>
      <c r="F187" s="566"/>
      <c r="G187" s="566"/>
      <c r="H187" s="566"/>
      <c r="I187" s="566"/>
      <c r="J187" s="566"/>
      <c r="K187" s="566"/>
      <c r="L187" s="566"/>
      <c r="M187" s="566"/>
      <c r="N187" s="566"/>
      <c r="O187" s="582"/>
      <c r="P187" s="562" t="s">
        <v>75</v>
      </c>
      <c r="Q187" s="563"/>
      <c r="R187" s="563"/>
      <c r="S187" s="563"/>
      <c r="T187" s="563"/>
      <c r="U187" s="563"/>
      <c r="V187" s="564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67" t="s">
        <v>319</v>
      </c>
      <c r="B188" s="566"/>
      <c r="C188" s="566"/>
      <c r="D188" s="566"/>
      <c r="E188" s="566"/>
      <c r="F188" s="566"/>
      <c r="G188" s="566"/>
      <c r="H188" s="566"/>
      <c r="I188" s="566"/>
      <c r="J188" s="566"/>
      <c r="K188" s="566"/>
      <c r="L188" s="566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81"/>
      <c r="B190" s="566"/>
      <c r="C190" s="566"/>
      <c r="D190" s="566"/>
      <c r="E190" s="566"/>
      <c r="F190" s="566"/>
      <c r="G190" s="566"/>
      <c r="H190" s="566"/>
      <c r="I190" s="566"/>
      <c r="J190" s="566"/>
      <c r="K190" s="566"/>
      <c r="L190" s="566"/>
      <c r="M190" s="566"/>
      <c r="N190" s="566"/>
      <c r="O190" s="582"/>
      <c r="P190" s="562" t="s">
        <v>75</v>
      </c>
      <c r="Q190" s="563"/>
      <c r="R190" s="563"/>
      <c r="S190" s="563"/>
      <c r="T190" s="563"/>
      <c r="U190" s="563"/>
      <c r="V190" s="564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6"/>
      <c r="B191" s="566"/>
      <c r="C191" s="566"/>
      <c r="D191" s="566"/>
      <c r="E191" s="566"/>
      <c r="F191" s="566"/>
      <c r="G191" s="566"/>
      <c r="H191" s="566"/>
      <c r="I191" s="566"/>
      <c r="J191" s="566"/>
      <c r="K191" s="566"/>
      <c r="L191" s="566"/>
      <c r="M191" s="566"/>
      <c r="N191" s="566"/>
      <c r="O191" s="582"/>
      <c r="P191" s="562" t="s">
        <v>75</v>
      </c>
      <c r="Q191" s="563"/>
      <c r="R191" s="563"/>
      <c r="S191" s="563"/>
      <c r="T191" s="563"/>
      <c r="U191" s="563"/>
      <c r="V191" s="564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65" t="s">
        <v>322</v>
      </c>
      <c r="B192" s="566"/>
      <c r="C192" s="566"/>
      <c r="D192" s="566"/>
      <c r="E192" s="566"/>
      <c r="F192" s="566"/>
      <c r="G192" s="566"/>
      <c r="H192" s="566"/>
      <c r="I192" s="566"/>
      <c r="J192" s="566"/>
      <c r="K192" s="566"/>
      <c r="L192" s="566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44"/>
      <c r="AB192" s="544"/>
      <c r="AC192" s="544"/>
    </row>
    <row r="193" spans="1:68" ht="14.25" hidden="1" customHeight="1" x14ac:dyDescent="0.25">
      <c r="A193" s="567" t="s">
        <v>99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4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 t="s">
        <v>186</v>
      </c>
      <c r="M195" s="33" t="s">
        <v>104</v>
      </c>
      <c r="N195" s="33"/>
      <c r="O195" s="32">
        <v>55</v>
      </c>
      <c r="P195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106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81"/>
      <c r="B196" s="566"/>
      <c r="C196" s="566"/>
      <c r="D196" s="566"/>
      <c r="E196" s="566"/>
      <c r="F196" s="566"/>
      <c r="G196" s="566"/>
      <c r="H196" s="566"/>
      <c r="I196" s="566"/>
      <c r="J196" s="566"/>
      <c r="K196" s="566"/>
      <c r="L196" s="566"/>
      <c r="M196" s="566"/>
      <c r="N196" s="566"/>
      <c r="O196" s="582"/>
      <c r="P196" s="562" t="s">
        <v>75</v>
      </c>
      <c r="Q196" s="563"/>
      <c r="R196" s="563"/>
      <c r="S196" s="563"/>
      <c r="T196" s="563"/>
      <c r="U196" s="563"/>
      <c r="V196" s="564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6"/>
      <c r="B197" s="566"/>
      <c r="C197" s="566"/>
      <c r="D197" s="566"/>
      <c r="E197" s="566"/>
      <c r="F197" s="566"/>
      <c r="G197" s="566"/>
      <c r="H197" s="566"/>
      <c r="I197" s="566"/>
      <c r="J197" s="566"/>
      <c r="K197" s="566"/>
      <c r="L197" s="566"/>
      <c r="M197" s="566"/>
      <c r="N197" s="566"/>
      <c r="O197" s="582"/>
      <c r="P197" s="562" t="s">
        <v>75</v>
      </c>
      <c r="Q197" s="563"/>
      <c r="R197" s="563"/>
      <c r="S197" s="563"/>
      <c r="T197" s="563"/>
      <c r="U197" s="563"/>
      <c r="V197" s="564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7" t="s">
        <v>135</v>
      </c>
      <c r="B198" s="566"/>
      <c r="C198" s="566"/>
      <c r="D198" s="566"/>
      <c r="E198" s="56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81"/>
      <c r="B201" s="566"/>
      <c r="C201" s="566"/>
      <c r="D201" s="566"/>
      <c r="E201" s="566"/>
      <c r="F201" s="566"/>
      <c r="G201" s="566"/>
      <c r="H201" s="566"/>
      <c r="I201" s="566"/>
      <c r="J201" s="566"/>
      <c r="K201" s="566"/>
      <c r="L201" s="566"/>
      <c r="M201" s="566"/>
      <c r="N201" s="566"/>
      <c r="O201" s="582"/>
      <c r="P201" s="562" t="s">
        <v>75</v>
      </c>
      <c r="Q201" s="563"/>
      <c r="R201" s="563"/>
      <c r="S201" s="563"/>
      <c r="T201" s="563"/>
      <c r="U201" s="563"/>
      <c r="V201" s="564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6"/>
      <c r="B202" s="566"/>
      <c r="C202" s="566"/>
      <c r="D202" s="566"/>
      <c r="E202" s="566"/>
      <c r="F202" s="566"/>
      <c r="G202" s="566"/>
      <c r="H202" s="566"/>
      <c r="I202" s="566"/>
      <c r="J202" s="566"/>
      <c r="K202" s="566"/>
      <c r="L202" s="566"/>
      <c r="M202" s="566"/>
      <c r="N202" s="566"/>
      <c r="O202" s="582"/>
      <c r="P202" s="562" t="s">
        <v>75</v>
      </c>
      <c r="Q202" s="563"/>
      <c r="R202" s="563"/>
      <c r="S202" s="563"/>
      <c r="T202" s="563"/>
      <c r="U202" s="563"/>
      <c r="V202" s="564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7" t="s">
        <v>64</v>
      </c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idden="1" x14ac:dyDescent="0.2">
      <c r="A212" s="581"/>
      <c r="B212" s="566"/>
      <c r="C212" s="566"/>
      <c r="D212" s="566"/>
      <c r="E212" s="566"/>
      <c r="F212" s="566"/>
      <c r="G212" s="566"/>
      <c r="H212" s="566"/>
      <c r="I212" s="566"/>
      <c r="J212" s="566"/>
      <c r="K212" s="566"/>
      <c r="L212" s="566"/>
      <c r="M212" s="566"/>
      <c r="N212" s="566"/>
      <c r="O212" s="582"/>
      <c r="P212" s="562" t="s">
        <v>75</v>
      </c>
      <c r="Q212" s="563"/>
      <c r="R212" s="563"/>
      <c r="S212" s="563"/>
      <c r="T212" s="563"/>
      <c r="U212" s="563"/>
      <c r="V212" s="564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hidden="1" x14ac:dyDescent="0.2">
      <c r="A213" s="566"/>
      <c r="B213" s="566"/>
      <c r="C213" s="566"/>
      <c r="D213" s="566"/>
      <c r="E213" s="566"/>
      <c r="F213" s="566"/>
      <c r="G213" s="566"/>
      <c r="H213" s="566"/>
      <c r="I213" s="566"/>
      <c r="J213" s="566"/>
      <c r="K213" s="566"/>
      <c r="L213" s="566"/>
      <c r="M213" s="566"/>
      <c r="N213" s="566"/>
      <c r="O213" s="582"/>
      <c r="P213" s="562" t="s">
        <v>75</v>
      </c>
      <c r="Q213" s="563"/>
      <c r="R213" s="563"/>
      <c r="S213" s="563"/>
      <c r="T213" s="563"/>
      <c r="U213" s="563"/>
      <c r="V213" s="564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hidden="1" customHeight="1" x14ac:dyDescent="0.25">
      <c r="A214" s="567" t="s">
        <v>77</v>
      </c>
      <c r="B214" s="566"/>
      <c r="C214" s="566"/>
      <c r="D214" s="566"/>
      <c r="E214" s="566"/>
      <c r="F214" s="566"/>
      <c r="G214" s="566"/>
      <c r="H214" s="566"/>
      <c r="I214" s="566"/>
      <c r="J214" s="566"/>
      <c r="K214" s="566"/>
      <c r="L214" s="566"/>
      <c r="M214" s="566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566"/>
      <c r="Z214" s="566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6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125</v>
      </c>
      <c r="Y220" s="550">
        <f t="shared" si="20"/>
        <v>127.19999999999999</v>
      </c>
      <c r="Z220" s="36">
        <f t="shared" si="25"/>
        <v>0.34503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138.125</v>
      </c>
      <c r="BN220" s="64">
        <f t="shared" si="22"/>
        <v>140.55599999999998</v>
      </c>
      <c r="BO220" s="64">
        <f t="shared" si="23"/>
        <v>0.28617216117216121</v>
      </c>
      <c r="BP220" s="64">
        <f t="shared" si="24"/>
        <v>0.29120879120879123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115</v>
      </c>
      <c r="Y221" s="550">
        <f t="shared" si="20"/>
        <v>115.19999999999999</v>
      </c>
      <c r="Z221" s="36">
        <f t="shared" si="25"/>
        <v>0.31247999999999998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127.07500000000002</v>
      </c>
      <c r="BN221" s="64">
        <f t="shared" si="22"/>
        <v>127.29600000000001</v>
      </c>
      <c r="BO221" s="64">
        <f t="shared" si="23"/>
        <v>0.26327838827838834</v>
      </c>
      <c r="BP221" s="64">
        <f t="shared" si="24"/>
        <v>0.26373626373626374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81"/>
      <c r="B224" s="566"/>
      <c r="C224" s="566"/>
      <c r="D224" s="566"/>
      <c r="E224" s="566"/>
      <c r="F224" s="566"/>
      <c r="G224" s="566"/>
      <c r="H224" s="566"/>
      <c r="I224" s="566"/>
      <c r="J224" s="566"/>
      <c r="K224" s="566"/>
      <c r="L224" s="566"/>
      <c r="M224" s="566"/>
      <c r="N224" s="566"/>
      <c r="O224" s="582"/>
      <c r="P224" s="562" t="s">
        <v>75</v>
      </c>
      <c r="Q224" s="563"/>
      <c r="R224" s="563"/>
      <c r="S224" s="563"/>
      <c r="T224" s="563"/>
      <c r="U224" s="563"/>
      <c r="V224" s="564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100</v>
      </c>
      <c r="Y224" s="551">
        <f>IFERROR(Y215/H215,"0")+IFERROR(Y216/H216,"0")+IFERROR(Y217/H217,"0")+IFERROR(Y218/H218,"0")+IFERROR(Y219/H219,"0")+IFERROR(Y220/H220,"0")+IFERROR(Y221/H221,"0")+IFERROR(Y222/H222,"0")+IFERROR(Y223/H223,"0")</f>
        <v>101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0.65751000000000004</v>
      </c>
      <c r="AA224" s="552"/>
      <c r="AB224" s="552"/>
      <c r="AC224" s="552"/>
    </row>
    <row r="225" spans="1:68" x14ac:dyDescent="0.2">
      <c r="A225" s="566"/>
      <c r="B225" s="566"/>
      <c r="C225" s="566"/>
      <c r="D225" s="566"/>
      <c r="E225" s="566"/>
      <c r="F225" s="566"/>
      <c r="G225" s="566"/>
      <c r="H225" s="566"/>
      <c r="I225" s="566"/>
      <c r="J225" s="566"/>
      <c r="K225" s="566"/>
      <c r="L225" s="566"/>
      <c r="M225" s="566"/>
      <c r="N225" s="566"/>
      <c r="O225" s="582"/>
      <c r="P225" s="562" t="s">
        <v>75</v>
      </c>
      <c r="Q225" s="563"/>
      <c r="R225" s="563"/>
      <c r="S225" s="563"/>
      <c r="T225" s="563"/>
      <c r="U225" s="563"/>
      <c r="V225" s="564"/>
      <c r="W225" s="37" t="s">
        <v>69</v>
      </c>
      <c r="X225" s="551">
        <f>IFERROR(SUM(X215:X223),"0")</f>
        <v>240</v>
      </c>
      <c r="Y225" s="551">
        <f>IFERROR(SUM(Y215:Y223),"0")</f>
        <v>242.39999999999998</v>
      </c>
      <c r="Z225" s="37"/>
      <c r="AA225" s="552"/>
      <c r="AB225" s="552"/>
      <c r="AC225" s="552"/>
    </row>
    <row r="226" spans="1:68" ht="14.25" hidden="1" customHeight="1" x14ac:dyDescent="0.25">
      <c r="A226" s="567" t="s">
        <v>160</v>
      </c>
      <c r="B226" s="566"/>
      <c r="C226" s="566"/>
      <c r="D226" s="566"/>
      <c r="E226" s="566"/>
      <c r="F226" s="566"/>
      <c r="G226" s="566"/>
      <c r="H226" s="566"/>
      <c r="I226" s="566"/>
      <c r="J226" s="566"/>
      <c r="K226" s="566"/>
      <c r="L226" s="566"/>
      <c r="M226" s="566"/>
      <c r="N226" s="566"/>
      <c r="O226" s="566"/>
      <c r="P226" s="566"/>
      <c r="Q226" s="566"/>
      <c r="R226" s="566"/>
      <c r="S226" s="566"/>
      <c r="T226" s="566"/>
      <c r="U226" s="566"/>
      <c r="V226" s="566"/>
      <c r="W226" s="566"/>
      <c r="X226" s="566"/>
      <c r="Y226" s="566"/>
      <c r="Z226" s="566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81"/>
      <c r="B229" s="566"/>
      <c r="C229" s="566"/>
      <c r="D229" s="566"/>
      <c r="E229" s="566"/>
      <c r="F229" s="566"/>
      <c r="G229" s="566"/>
      <c r="H229" s="566"/>
      <c r="I229" s="566"/>
      <c r="J229" s="566"/>
      <c r="K229" s="566"/>
      <c r="L229" s="566"/>
      <c r="M229" s="566"/>
      <c r="N229" s="566"/>
      <c r="O229" s="582"/>
      <c r="P229" s="562" t="s">
        <v>75</v>
      </c>
      <c r="Q229" s="563"/>
      <c r="R229" s="563"/>
      <c r="S229" s="563"/>
      <c r="T229" s="563"/>
      <c r="U229" s="563"/>
      <c r="V229" s="564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6"/>
      <c r="B230" s="566"/>
      <c r="C230" s="566"/>
      <c r="D230" s="566"/>
      <c r="E230" s="566"/>
      <c r="F230" s="566"/>
      <c r="G230" s="566"/>
      <c r="H230" s="566"/>
      <c r="I230" s="566"/>
      <c r="J230" s="566"/>
      <c r="K230" s="566"/>
      <c r="L230" s="566"/>
      <c r="M230" s="566"/>
      <c r="N230" s="566"/>
      <c r="O230" s="582"/>
      <c r="P230" s="562" t="s">
        <v>75</v>
      </c>
      <c r="Q230" s="563"/>
      <c r="R230" s="563"/>
      <c r="S230" s="563"/>
      <c r="T230" s="563"/>
      <c r="U230" s="563"/>
      <c r="V230" s="564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65" t="s">
        <v>382</v>
      </c>
      <c r="B231" s="566"/>
      <c r="C231" s="566"/>
      <c r="D231" s="566"/>
      <c r="E231" s="56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566"/>
      <c r="Z231" s="566"/>
      <c r="AA231" s="544"/>
      <c r="AB231" s="544"/>
      <c r="AC231" s="544"/>
    </row>
    <row r="232" spans="1:68" ht="14.25" hidden="1" customHeight="1" x14ac:dyDescent="0.25">
      <c r="A232" s="567" t="s">
        <v>99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7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81"/>
      <c r="B242" s="566"/>
      <c r="C242" s="566"/>
      <c r="D242" s="566"/>
      <c r="E242" s="566"/>
      <c r="F242" s="566"/>
      <c r="G242" s="566"/>
      <c r="H242" s="566"/>
      <c r="I242" s="566"/>
      <c r="J242" s="566"/>
      <c r="K242" s="566"/>
      <c r="L242" s="566"/>
      <c r="M242" s="566"/>
      <c r="N242" s="566"/>
      <c r="O242" s="582"/>
      <c r="P242" s="562" t="s">
        <v>75</v>
      </c>
      <c r="Q242" s="563"/>
      <c r="R242" s="563"/>
      <c r="S242" s="563"/>
      <c r="T242" s="563"/>
      <c r="U242" s="563"/>
      <c r="V242" s="564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6"/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6"/>
      <c r="N243" s="566"/>
      <c r="O243" s="582"/>
      <c r="P243" s="562" t="s">
        <v>75</v>
      </c>
      <c r="Q243" s="563"/>
      <c r="R243" s="563"/>
      <c r="S243" s="563"/>
      <c r="T243" s="563"/>
      <c r="U243" s="563"/>
      <c r="V243" s="564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67" t="s">
        <v>135</v>
      </c>
      <c r="B244" s="566"/>
      <c r="C244" s="566"/>
      <c r="D244" s="566"/>
      <c r="E244" s="566"/>
      <c r="F244" s="566"/>
      <c r="G244" s="566"/>
      <c r="H244" s="566"/>
      <c r="I244" s="566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566"/>
      <c r="Z244" s="566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81"/>
      <c r="B246" s="566"/>
      <c r="C246" s="566"/>
      <c r="D246" s="566"/>
      <c r="E246" s="566"/>
      <c r="F246" s="566"/>
      <c r="G246" s="566"/>
      <c r="H246" s="566"/>
      <c r="I246" s="566"/>
      <c r="J246" s="566"/>
      <c r="K246" s="566"/>
      <c r="L246" s="566"/>
      <c r="M246" s="566"/>
      <c r="N246" s="566"/>
      <c r="O246" s="582"/>
      <c r="P246" s="562" t="s">
        <v>75</v>
      </c>
      <c r="Q246" s="563"/>
      <c r="R246" s="563"/>
      <c r="S246" s="563"/>
      <c r="T246" s="563"/>
      <c r="U246" s="563"/>
      <c r="V246" s="564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6"/>
      <c r="B247" s="566"/>
      <c r="C247" s="566"/>
      <c r="D247" s="566"/>
      <c r="E247" s="566"/>
      <c r="F247" s="566"/>
      <c r="G247" s="566"/>
      <c r="H247" s="566"/>
      <c r="I247" s="566"/>
      <c r="J247" s="566"/>
      <c r="K247" s="566"/>
      <c r="L247" s="566"/>
      <c r="M247" s="566"/>
      <c r="N247" s="566"/>
      <c r="O247" s="582"/>
      <c r="P247" s="562" t="s">
        <v>75</v>
      </c>
      <c r="Q247" s="563"/>
      <c r="R247" s="563"/>
      <c r="S247" s="563"/>
      <c r="T247" s="563"/>
      <c r="U247" s="563"/>
      <c r="V247" s="564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7" t="s">
        <v>407</v>
      </c>
      <c r="B248" s="566"/>
      <c r="C248" s="566"/>
      <c r="D248" s="566"/>
      <c r="E248" s="566"/>
      <c r="F248" s="566"/>
      <c r="G248" s="566"/>
      <c r="H248" s="566"/>
      <c r="I248" s="566"/>
      <c r="J248" s="566"/>
      <c r="K248" s="566"/>
      <c r="L248" s="566"/>
      <c r="M248" s="566"/>
      <c r="N248" s="566"/>
      <c r="O248" s="566"/>
      <c r="P248" s="566"/>
      <c r="Q248" s="566"/>
      <c r="R248" s="566"/>
      <c r="S248" s="566"/>
      <c r="T248" s="566"/>
      <c r="U248" s="566"/>
      <c r="V248" s="566"/>
      <c r="W248" s="566"/>
      <c r="X248" s="566"/>
      <c r="Y248" s="566"/>
      <c r="Z248" s="566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6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81"/>
      <c r="B250" s="566"/>
      <c r="C250" s="566"/>
      <c r="D250" s="566"/>
      <c r="E250" s="566"/>
      <c r="F250" s="566"/>
      <c r="G250" s="566"/>
      <c r="H250" s="566"/>
      <c r="I250" s="566"/>
      <c r="J250" s="566"/>
      <c r="K250" s="566"/>
      <c r="L250" s="566"/>
      <c r="M250" s="566"/>
      <c r="N250" s="566"/>
      <c r="O250" s="582"/>
      <c r="P250" s="562" t="s">
        <v>75</v>
      </c>
      <c r="Q250" s="563"/>
      <c r="R250" s="563"/>
      <c r="S250" s="563"/>
      <c r="T250" s="563"/>
      <c r="U250" s="563"/>
      <c r="V250" s="564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6"/>
      <c r="B251" s="566"/>
      <c r="C251" s="566"/>
      <c r="D251" s="566"/>
      <c r="E251" s="566"/>
      <c r="F251" s="566"/>
      <c r="G251" s="566"/>
      <c r="H251" s="566"/>
      <c r="I251" s="566"/>
      <c r="J251" s="566"/>
      <c r="K251" s="566"/>
      <c r="L251" s="566"/>
      <c r="M251" s="566"/>
      <c r="N251" s="566"/>
      <c r="O251" s="582"/>
      <c r="P251" s="562" t="s">
        <v>75</v>
      </c>
      <c r="Q251" s="563"/>
      <c r="R251" s="563"/>
      <c r="S251" s="563"/>
      <c r="T251" s="563"/>
      <c r="U251" s="563"/>
      <c r="V251" s="564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67" t="s">
        <v>411</v>
      </c>
      <c r="B252" s="566"/>
      <c r="C252" s="566"/>
      <c r="D252" s="566"/>
      <c r="E252" s="566"/>
      <c r="F252" s="566"/>
      <c r="G252" s="566"/>
      <c r="H252" s="566"/>
      <c r="I252" s="566"/>
      <c r="J252" s="566"/>
      <c r="K252" s="566"/>
      <c r="L252" s="566"/>
      <c r="M252" s="566"/>
      <c r="N252" s="566"/>
      <c r="O252" s="566"/>
      <c r="P252" s="566"/>
      <c r="Q252" s="566"/>
      <c r="R252" s="566"/>
      <c r="S252" s="566"/>
      <c r="T252" s="566"/>
      <c r="U252" s="566"/>
      <c r="V252" s="566"/>
      <c r="W252" s="566"/>
      <c r="X252" s="566"/>
      <c r="Y252" s="566"/>
      <c r="Z252" s="566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81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81"/>
      <c r="B258" s="566"/>
      <c r="C258" s="566"/>
      <c r="D258" s="566"/>
      <c r="E258" s="566"/>
      <c r="F258" s="566"/>
      <c r="G258" s="566"/>
      <c r="H258" s="566"/>
      <c r="I258" s="566"/>
      <c r="J258" s="566"/>
      <c r="K258" s="566"/>
      <c r="L258" s="566"/>
      <c r="M258" s="566"/>
      <c r="N258" s="566"/>
      <c r="O258" s="582"/>
      <c r="P258" s="562" t="s">
        <v>75</v>
      </c>
      <c r="Q258" s="563"/>
      <c r="R258" s="563"/>
      <c r="S258" s="563"/>
      <c r="T258" s="563"/>
      <c r="U258" s="563"/>
      <c r="V258" s="564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6"/>
      <c r="B259" s="566"/>
      <c r="C259" s="566"/>
      <c r="D259" s="566"/>
      <c r="E259" s="566"/>
      <c r="F259" s="566"/>
      <c r="G259" s="566"/>
      <c r="H259" s="566"/>
      <c r="I259" s="566"/>
      <c r="J259" s="566"/>
      <c r="K259" s="566"/>
      <c r="L259" s="566"/>
      <c r="M259" s="566"/>
      <c r="N259" s="566"/>
      <c r="O259" s="582"/>
      <c r="P259" s="562" t="s">
        <v>75</v>
      </c>
      <c r="Q259" s="563"/>
      <c r="R259" s="563"/>
      <c r="S259" s="563"/>
      <c r="T259" s="563"/>
      <c r="U259" s="563"/>
      <c r="V259" s="564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65" t="s">
        <v>423</v>
      </c>
      <c r="B260" s="566"/>
      <c r="C260" s="566"/>
      <c r="D260" s="566"/>
      <c r="E260" s="566"/>
      <c r="F260" s="566"/>
      <c r="G260" s="566"/>
      <c r="H260" s="566"/>
      <c r="I260" s="566"/>
      <c r="J260" s="566"/>
      <c r="K260" s="566"/>
      <c r="L260" s="566"/>
      <c r="M260" s="566"/>
      <c r="N260" s="566"/>
      <c r="O260" s="566"/>
      <c r="P260" s="566"/>
      <c r="Q260" s="566"/>
      <c r="R260" s="566"/>
      <c r="S260" s="566"/>
      <c r="T260" s="566"/>
      <c r="U260" s="566"/>
      <c r="V260" s="566"/>
      <c r="W260" s="566"/>
      <c r="X260" s="566"/>
      <c r="Y260" s="566"/>
      <c r="Z260" s="566"/>
      <c r="AA260" s="544"/>
      <c r="AB260" s="544"/>
      <c r="AC260" s="544"/>
    </row>
    <row r="261" spans="1:68" ht="14.25" hidden="1" customHeight="1" x14ac:dyDescent="0.25">
      <c r="A261" s="567" t="s">
        <v>99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 t="s">
        <v>103</v>
      </c>
      <c r="M264" s="33" t="s">
        <v>104</v>
      </c>
      <c r="N264" s="33"/>
      <c r="O264" s="32">
        <v>55</v>
      </c>
      <c r="P264" s="7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106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81"/>
      <c r="B267" s="566"/>
      <c r="C267" s="566"/>
      <c r="D267" s="566"/>
      <c r="E267" s="566"/>
      <c r="F267" s="566"/>
      <c r="G267" s="566"/>
      <c r="H267" s="566"/>
      <c r="I267" s="566"/>
      <c r="J267" s="566"/>
      <c r="K267" s="566"/>
      <c r="L267" s="566"/>
      <c r="M267" s="566"/>
      <c r="N267" s="566"/>
      <c r="O267" s="582"/>
      <c r="P267" s="562" t="s">
        <v>75</v>
      </c>
      <c r="Q267" s="563"/>
      <c r="R267" s="563"/>
      <c r="S267" s="563"/>
      <c r="T267" s="563"/>
      <c r="U267" s="563"/>
      <c r="V267" s="564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6"/>
      <c r="B268" s="566"/>
      <c r="C268" s="566"/>
      <c r="D268" s="566"/>
      <c r="E268" s="566"/>
      <c r="F268" s="566"/>
      <c r="G268" s="566"/>
      <c r="H268" s="566"/>
      <c r="I268" s="566"/>
      <c r="J268" s="566"/>
      <c r="K268" s="566"/>
      <c r="L268" s="566"/>
      <c r="M268" s="566"/>
      <c r="N268" s="566"/>
      <c r="O268" s="582"/>
      <c r="P268" s="562" t="s">
        <v>75</v>
      </c>
      <c r="Q268" s="563"/>
      <c r="R268" s="563"/>
      <c r="S268" s="563"/>
      <c r="T268" s="563"/>
      <c r="U268" s="563"/>
      <c r="V268" s="564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65" t="s">
        <v>439</v>
      </c>
      <c r="B269" s="566"/>
      <c r="C269" s="566"/>
      <c r="D269" s="566"/>
      <c r="E269" s="566"/>
      <c r="F269" s="566"/>
      <c r="G269" s="566"/>
      <c r="H269" s="566"/>
      <c r="I269" s="566"/>
      <c r="J269" s="566"/>
      <c r="K269" s="566"/>
      <c r="L269" s="566"/>
      <c r="M269" s="566"/>
      <c r="N269" s="566"/>
      <c r="O269" s="566"/>
      <c r="P269" s="566"/>
      <c r="Q269" s="566"/>
      <c r="R269" s="566"/>
      <c r="S269" s="566"/>
      <c r="T269" s="566"/>
      <c r="U269" s="566"/>
      <c r="V269" s="566"/>
      <c r="W269" s="566"/>
      <c r="X269" s="566"/>
      <c r="Y269" s="566"/>
      <c r="Z269" s="566"/>
      <c r="AA269" s="544"/>
      <c r="AB269" s="544"/>
      <c r="AC269" s="544"/>
    </row>
    <row r="270" spans="1:68" ht="14.25" hidden="1" customHeight="1" x14ac:dyDescent="0.25">
      <c r="A270" s="567" t="s">
        <v>99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6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9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81"/>
      <c r="B275" s="566"/>
      <c r="C275" s="566"/>
      <c r="D275" s="566"/>
      <c r="E275" s="566"/>
      <c r="F275" s="566"/>
      <c r="G275" s="566"/>
      <c r="H275" s="566"/>
      <c r="I275" s="566"/>
      <c r="J275" s="566"/>
      <c r="K275" s="566"/>
      <c r="L275" s="566"/>
      <c r="M275" s="566"/>
      <c r="N275" s="566"/>
      <c r="O275" s="582"/>
      <c r="P275" s="562" t="s">
        <v>75</v>
      </c>
      <c r="Q275" s="563"/>
      <c r="R275" s="563"/>
      <c r="S275" s="563"/>
      <c r="T275" s="563"/>
      <c r="U275" s="563"/>
      <c r="V275" s="564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6"/>
      <c r="B276" s="566"/>
      <c r="C276" s="566"/>
      <c r="D276" s="566"/>
      <c r="E276" s="566"/>
      <c r="F276" s="566"/>
      <c r="G276" s="566"/>
      <c r="H276" s="566"/>
      <c r="I276" s="566"/>
      <c r="J276" s="566"/>
      <c r="K276" s="566"/>
      <c r="L276" s="566"/>
      <c r="M276" s="566"/>
      <c r="N276" s="566"/>
      <c r="O276" s="582"/>
      <c r="P276" s="562" t="s">
        <v>75</v>
      </c>
      <c r="Q276" s="563"/>
      <c r="R276" s="563"/>
      <c r="S276" s="563"/>
      <c r="T276" s="563"/>
      <c r="U276" s="563"/>
      <c r="V276" s="564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65" t="s">
        <v>450</v>
      </c>
      <c r="B277" s="566"/>
      <c r="C277" s="566"/>
      <c r="D277" s="566"/>
      <c r="E277" s="566"/>
      <c r="F277" s="566"/>
      <c r="G277" s="566"/>
      <c r="H277" s="566"/>
      <c r="I277" s="566"/>
      <c r="J277" s="566"/>
      <c r="K277" s="566"/>
      <c r="L277" s="566"/>
      <c r="M277" s="566"/>
      <c r="N277" s="566"/>
      <c r="O277" s="566"/>
      <c r="P277" s="566"/>
      <c r="Q277" s="566"/>
      <c r="R277" s="566"/>
      <c r="S277" s="566"/>
      <c r="T277" s="566"/>
      <c r="U277" s="566"/>
      <c r="V277" s="566"/>
      <c r="W277" s="566"/>
      <c r="X277" s="566"/>
      <c r="Y277" s="566"/>
      <c r="Z277" s="566"/>
      <c r="AA277" s="544"/>
      <c r="AB277" s="544"/>
      <c r="AC277" s="544"/>
    </row>
    <row r="278" spans="1:68" ht="14.25" hidden="1" customHeight="1" x14ac:dyDescent="0.25">
      <c r="A278" s="567" t="s">
        <v>77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57</v>
      </c>
      <c r="Y280" s="550">
        <f>IFERROR(IF(X280="",0,CEILING((X280/$H280),1)*$H280),"")</f>
        <v>57.599999999999994</v>
      </c>
      <c r="Z280" s="36">
        <f>IFERROR(IF(Y280=0,"",ROUNDUP(Y280/H280,0)*0.00651),"")</f>
        <v>0.15623999999999999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62.985000000000007</v>
      </c>
      <c r="BN280" s="64">
        <f>IFERROR(Y280*I280/H280,"0")</f>
        <v>63.648000000000003</v>
      </c>
      <c r="BO280" s="64">
        <f>IFERROR(1/J280*(X280/H280),"0")</f>
        <v>0.1304945054945055</v>
      </c>
      <c r="BP280" s="64">
        <f>IFERROR(1/J280*(Y280/H280),"0")</f>
        <v>0.13186813186813187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67</v>
      </c>
      <c r="Y281" s="550">
        <f>IFERROR(IF(X281="",0,CEILING((X281/$H281),1)*$H281),"")</f>
        <v>67.2</v>
      </c>
      <c r="Z281" s="36">
        <f>IFERROR(IF(Y281=0,"",ROUNDUP(Y281/H281,0)*0.00651),"")</f>
        <v>0.18228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72.025000000000006</v>
      </c>
      <c r="BN281" s="64">
        <f>IFERROR(Y281*I281/H281,"0")</f>
        <v>72.240000000000009</v>
      </c>
      <c r="BO281" s="64">
        <f>IFERROR(1/J281*(X281/H281),"0")</f>
        <v>0.1533882783882784</v>
      </c>
      <c r="BP281" s="64">
        <f>IFERROR(1/J281*(Y281/H281),"0")</f>
        <v>0.15384615384615388</v>
      </c>
    </row>
    <row r="282" spans="1:68" x14ac:dyDescent="0.2">
      <c r="A282" s="581"/>
      <c r="B282" s="566"/>
      <c r="C282" s="566"/>
      <c r="D282" s="566"/>
      <c r="E282" s="566"/>
      <c r="F282" s="566"/>
      <c r="G282" s="566"/>
      <c r="H282" s="566"/>
      <c r="I282" s="566"/>
      <c r="J282" s="566"/>
      <c r="K282" s="566"/>
      <c r="L282" s="566"/>
      <c r="M282" s="566"/>
      <c r="N282" s="566"/>
      <c r="O282" s="582"/>
      <c r="P282" s="562" t="s">
        <v>75</v>
      </c>
      <c r="Q282" s="563"/>
      <c r="R282" s="563"/>
      <c r="S282" s="563"/>
      <c r="T282" s="563"/>
      <c r="U282" s="563"/>
      <c r="V282" s="564"/>
      <c r="W282" s="37" t="s">
        <v>76</v>
      </c>
      <c r="X282" s="551">
        <f>IFERROR(X279/H279,"0")+IFERROR(X280/H280,"0")+IFERROR(X281/H281,"0")</f>
        <v>51.666666666666671</v>
      </c>
      <c r="Y282" s="551">
        <f>IFERROR(Y279/H279,"0")+IFERROR(Y280/H280,"0")+IFERROR(Y281/H281,"0")</f>
        <v>52</v>
      </c>
      <c r="Z282" s="551">
        <f>IFERROR(IF(Z279="",0,Z279),"0")+IFERROR(IF(Z280="",0,Z280),"0")+IFERROR(IF(Z281="",0,Z281),"0")</f>
        <v>0.33851999999999999</v>
      </c>
      <c r="AA282" s="552"/>
      <c r="AB282" s="552"/>
      <c r="AC282" s="552"/>
    </row>
    <row r="283" spans="1:68" x14ac:dyDescent="0.2">
      <c r="A283" s="566"/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6"/>
      <c r="N283" s="566"/>
      <c r="O283" s="582"/>
      <c r="P283" s="562" t="s">
        <v>75</v>
      </c>
      <c r="Q283" s="563"/>
      <c r="R283" s="563"/>
      <c r="S283" s="563"/>
      <c r="T283" s="563"/>
      <c r="U283" s="563"/>
      <c r="V283" s="564"/>
      <c r="W283" s="37" t="s">
        <v>69</v>
      </c>
      <c r="X283" s="551">
        <f>IFERROR(SUM(X279:X281),"0")</f>
        <v>124</v>
      </c>
      <c r="Y283" s="551">
        <f>IFERROR(SUM(Y279:Y281),"0")</f>
        <v>124.8</v>
      </c>
      <c r="Z283" s="37"/>
      <c r="AA283" s="552"/>
      <c r="AB283" s="552"/>
      <c r="AC283" s="552"/>
    </row>
    <row r="284" spans="1:68" ht="16.5" hidden="1" customHeight="1" x14ac:dyDescent="0.25">
      <c r="A284" s="565" t="s">
        <v>459</v>
      </c>
      <c r="B284" s="566"/>
      <c r="C284" s="566"/>
      <c r="D284" s="566"/>
      <c r="E284" s="566"/>
      <c r="F284" s="566"/>
      <c r="G284" s="566"/>
      <c r="H284" s="566"/>
      <c r="I284" s="566"/>
      <c r="J284" s="566"/>
      <c r="K284" s="566"/>
      <c r="L284" s="566"/>
      <c r="M284" s="566"/>
      <c r="N284" s="566"/>
      <c r="O284" s="566"/>
      <c r="P284" s="566"/>
      <c r="Q284" s="566"/>
      <c r="R284" s="566"/>
      <c r="S284" s="566"/>
      <c r="T284" s="566"/>
      <c r="U284" s="566"/>
      <c r="V284" s="566"/>
      <c r="W284" s="566"/>
      <c r="X284" s="566"/>
      <c r="Y284" s="566"/>
      <c r="Z284" s="566"/>
      <c r="AA284" s="544"/>
      <c r="AB284" s="544"/>
      <c r="AC284" s="544"/>
    </row>
    <row r="285" spans="1:68" ht="14.25" hidden="1" customHeight="1" x14ac:dyDescent="0.25">
      <c r="A285" s="567" t="s">
        <v>64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4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5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81"/>
      <c r="B288" s="566"/>
      <c r="C288" s="566"/>
      <c r="D288" s="566"/>
      <c r="E288" s="566"/>
      <c r="F288" s="566"/>
      <c r="G288" s="566"/>
      <c r="H288" s="566"/>
      <c r="I288" s="566"/>
      <c r="J288" s="566"/>
      <c r="K288" s="566"/>
      <c r="L288" s="566"/>
      <c r="M288" s="566"/>
      <c r="N288" s="566"/>
      <c r="O288" s="582"/>
      <c r="P288" s="562" t="s">
        <v>75</v>
      </c>
      <c r="Q288" s="563"/>
      <c r="R288" s="563"/>
      <c r="S288" s="563"/>
      <c r="T288" s="563"/>
      <c r="U288" s="563"/>
      <c r="V288" s="564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6"/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6"/>
      <c r="N289" s="566"/>
      <c r="O289" s="582"/>
      <c r="P289" s="562" t="s">
        <v>75</v>
      </c>
      <c r="Q289" s="563"/>
      <c r="R289" s="563"/>
      <c r="S289" s="563"/>
      <c r="T289" s="563"/>
      <c r="U289" s="563"/>
      <c r="V289" s="564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7" t="s">
        <v>77</v>
      </c>
      <c r="B290" s="566"/>
      <c r="C290" s="566"/>
      <c r="D290" s="566"/>
      <c r="E290" s="566"/>
      <c r="F290" s="566"/>
      <c r="G290" s="566"/>
      <c r="H290" s="566"/>
      <c r="I290" s="566"/>
      <c r="J290" s="566"/>
      <c r="K290" s="566"/>
      <c r="L290" s="566"/>
      <c r="M290" s="566"/>
      <c r="N290" s="566"/>
      <c r="O290" s="566"/>
      <c r="P290" s="566"/>
      <c r="Q290" s="566"/>
      <c r="R290" s="566"/>
      <c r="S290" s="566"/>
      <c r="T290" s="566"/>
      <c r="U290" s="566"/>
      <c r="V290" s="566"/>
      <c r="W290" s="566"/>
      <c r="X290" s="566"/>
      <c r="Y290" s="566"/>
      <c r="Z290" s="566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81"/>
      <c r="B293" s="566"/>
      <c r="C293" s="566"/>
      <c r="D293" s="566"/>
      <c r="E293" s="566"/>
      <c r="F293" s="566"/>
      <c r="G293" s="566"/>
      <c r="H293" s="566"/>
      <c r="I293" s="566"/>
      <c r="J293" s="566"/>
      <c r="K293" s="566"/>
      <c r="L293" s="566"/>
      <c r="M293" s="566"/>
      <c r="N293" s="566"/>
      <c r="O293" s="582"/>
      <c r="P293" s="562" t="s">
        <v>75</v>
      </c>
      <c r="Q293" s="563"/>
      <c r="R293" s="563"/>
      <c r="S293" s="563"/>
      <c r="T293" s="563"/>
      <c r="U293" s="563"/>
      <c r="V293" s="564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6"/>
      <c r="B294" s="566"/>
      <c r="C294" s="566"/>
      <c r="D294" s="566"/>
      <c r="E294" s="566"/>
      <c r="F294" s="566"/>
      <c r="G294" s="566"/>
      <c r="H294" s="566"/>
      <c r="I294" s="566"/>
      <c r="J294" s="566"/>
      <c r="K294" s="566"/>
      <c r="L294" s="566"/>
      <c r="M294" s="566"/>
      <c r="N294" s="566"/>
      <c r="O294" s="582"/>
      <c r="P294" s="562" t="s">
        <v>75</v>
      </c>
      <c r="Q294" s="563"/>
      <c r="R294" s="563"/>
      <c r="S294" s="563"/>
      <c r="T294" s="563"/>
      <c r="U294" s="563"/>
      <c r="V294" s="564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65" t="s">
        <v>472</v>
      </c>
      <c r="B295" s="566"/>
      <c r="C295" s="566"/>
      <c r="D295" s="566"/>
      <c r="E295" s="566"/>
      <c r="F295" s="566"/>
      <c r="G295" s="566"/>
      <c r="H295" s="566"/>
      <c r="I295" s="566"/>
      <c r="J295" s="566"/>
      <c r="K295" s="566"/>
      <c r="L295" s="566"/>
      <c r="M295" s="566"/>
      <c r="N295" s="566"/>
      <c r="O295" s="566"/>
      <c r="P295" s="566"/>
      <c r="Q295" s="566"/>
      <c r="R295" s="566"/>
      <c r="S295" s="566"/>
      <c r="T295" s="566"/>
      <c r="U295" s="566"/>
      <c r="V295" s="566"/>
      <c r="W295" s="566"/>
      <c r="X295" s="566"/>
      <c r="Y295" s="566"/>
      <c r="Z295" s="566"/>
      <c r="AA295" s="544"/>
      <c r="AB295" s="544"/>
      <c r="AC295" s="544"/>
    </row>
    <row r="296" spans="1:68" ht="14.25" hidden="1" customHeight="1" x14ac:dyDescent="0.25">
      <c r="A296" s="567" t="s">
        <v>99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8">
        <v>4680115885615</v>
      </c>
      <c r="E297" s="559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8">
        <v>4680115885646</v>
      </c>
      <c r="E298" s="559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8">
        <v>4680115885554</v>
      </c>
      <c r="E299" s="559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8">
        <v>4680115885622</v>
      </c>
      <c r="E300" s="559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8">
        <v>4680115885608</v>
      </c>
      <c r="E301" s="559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81"/>
      <c r="B302" s="566"/>
      <c r="C302" s="566"/>
      <c r="D302" s="566"/>
      <c r="E302" s="566"/>
      <c r="F302" s="566"/>
      <c r="G302" s="566"/>
      <c r="H302" s="566"/>
      <c r="I302" s="566"/>
      <c r="J302" s="566"/>
      <c r="K302" s="566"/>
      <c r="L302" s="566"/>
      <c r="M302" s="566"/>
      <c r="N302" s="566"/>
      <c r="O302" s="582"/>
      <c r="P302" s="562" t="s">
        <v>75</v>
      </c>
      <c r="Q302" s="563"/>
      <c r="R302" s="563"/>
      <c r="S302" s="563"/>
      <c r="T302" s="563"/>
      <c r="U302" s="563"/>
      <c r="V302" s="564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6"/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6"/>
      <c r="N303" s="566"/>
      <c r="O303" s="582"/>
      <c r="P303" s="562" t="s">
        <v>75</v>
      </c>
      <c r="Q303" s="563"/>
      <c r="R303" s="563"/>
      <c r="S303" s="563"/>
      <c r="T303" s="563"/>
      <c r="U303" s="563"/>
      <c r="V303" s="564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7" t="s">
        <v>64</v>
      </c>
      <c r="B304" s="566"/>
      <c r="C304" s="566"/>
      <c r="D304" s="566"/>
      <c r="E304" s="566"/>
      <c r="F304" s="566"/>
      <c r="G304" s="566"/>
      <c r="H304" s="566"/>
      <c r="I304" s="566"/>
      <c r="J304" s="566"/>
      <c r="K304" s="566"/>
      <c r="L304" s="566"/>
      <c r="M304" s="566"/>
      <c r="N304" s="566"/>
      <c r="O304" s="566"/>
      <c r="P304" s="566"/>
      <c r="Q304" s="566"/>
      <c r="R304" s="566"/>
      <c r="S304" s="566"/>
      <c r="T304" s="566"/>
      <c r="U304" s="566"/>
      <c r="V304" s="566"/>
      <c r="W304" s="566"/>
      <c r="X304" s="566"/>
      <c r="Y304" s="566"/>
      <c r="Z304" s="566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8">
        <v>4607091387193</v>
      </c>
      <c r="E305" s="559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8">
        <v>4607091387230</v>
      </c>
      <c r="E306" s="559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8">
        <v>4607091387292</v>
      </c>
      <c r="E307" s="559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8">
        <v>4607091387285</v>
      </c>
      <c r="E308" s="559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8">
        <v>4607091389845</v>
      </c>
      <c r="E309" s="559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8">
        <v>4607091383836</v>
      </c>
      <c r="E310" s="559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81"/>
      <c r="B311" s="566"/>
      <c r="C311" s="566"/>
      <c r="D311" s="566"/>
      <c r="E311" s="566"/>
      <c r="F311" s="566"/>
      <c r="G311" s="566"/>
      <c r="H311" s="566"/>
      <c r="I311" s="566"/>
      <c r="J311" s="566"/>
      <c r="K311" s="566"/>
      <c r="L311" s="566"/>
      <c r="M311" s="566"/>
      <c r="N311" s="566"/>
      <c r="O311" s="582"/>
      <c r="P311" s="562" t="s">
        <v>75</v>
      </c>
      <c r="Q311" s="563"/>
      <c r="R311" s="563"/>
      <c r="S311" s="563"/>
      <c r="T311" s="563"/>
      <c r="U311" s="563"/>
      <c r="V311" s="564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6"/>
      <c r="B312" s="566"/>
      <c r="C312" s="566"/>
      <c r="D312" s="566"/>
      <c r="E312" s="566"/>
      <c r="F312" s="566"/>
      <c r="G312" s="566"/>
      <c r="H312" s="566"/>
      <c r="I312" s="566"/>
      <c r="J312" s="566"/>
      <c r="K312" s="566"/>
      <c r="L312" s="566"/>
      <c r="M312" s="566"/>
      <c r="N312" s="566"/>
      <c r="O312" s="582"/>
      <c r="P312" s="562" t="s">
        <v>75</v>
      </c>
      <c r="Q312" s="563"/>
      <c r="R312" s="563"/>
      <c r="S312" s="563"/>
      <c r="T312" s="563"/>
      <c r="U312" s="563"/>
      <c r="V312" s="564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67" t="s">
        <v>77</v>
      </c>
      <c r="B313" s="566"/>
      <c r="C313" s="566"/>
      <c r="D313" s="566"/>
      <c r="E313" s="566"/>
      <c r="F313" s="566"/>
      <c r="G313" s="566"/>
      <c r="H313" s="566"/>
      <c r="I313" s="566"/>
      <c r="J313" s="566"/>
      <c r="K313" s="566"/>
      <c r="L313" s="566"/>
      <c r="M313" s="566"/>
      <c r="N313" s="566"/>
      <c r="O313" s="566"/>
      <c r="P313" s="566"/>
      <c r="Q313" s="566"/>
      <c r="R313" s="566"/>
      <c r="S313" s="566"/>
      <c r="T313" s="566"/>
      <c r="U313" s="566"/>
      <c r="V313" s="566"/>
      <c r="W313" s="566"/>
      <c r="X313" s="566"/>
      <c r="Y313" s="566"/>
      <c r="Z313" s="566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8">
        <v>4607091387766</v>
      </c>
      <c r="E314" s="559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8">
        <v>4607091387957</v>
      </c>
      <c r="E315" s="559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6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8">
        <v>4607091387964</v>
      </c>
      <c r="E316" s="559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8">
        <v>4680115884588</v>
      </c>
      <c r="E317" s="559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81"/>
      <c r="B318" s="566"/>
      <c r="C318" s="566"/>
      <c r="D318" s="566"/>
      <c r="E318" s="566"/>
      <c r="F318" s="566"/>
      <c r="G318" s="566"/>
      <c r="H318" s="566"/>
      <c r="I318" s="566"/>
      <c r="J318" s="566"/>
      <c r="K318" s="566"/>
      <c r="L318" s="566"/>
      <c r="M318" s="566"/>
      <c r="N318" s="566"/>
      <c r="O318" s="582"/>
      <c r="P318" s="562" t="s">
        <v>75</v>
      </c>
      <c r="Q318" s="563"/>
      <c r="R318" s="563"/>
      <c r="S318" s="563"/>
      <c r="T318" s="563"/>
      <c r="U318" s="563"/>
      <c r="V318" s="564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6"/>
      <c r="B319" s="566"/>
      <c r="C319" s="566"/>
      <c r="D319" s="566"/>
      <c r="E319" s="566"/>
      <c r="F319" s="566"/>
      <c r="G319" s="566"/>
      <c r="H319" s="566"/>
      <c r="I319" s="566"/>
      <c r="J319" s="566"/>
      <c r="K319" s="566"/>
      <c r="L319" s="566"/>
      <c r="M319" s="566"/>
      <c r="N319" s="566"/>
      <c r="O319" s="582"/>
      <c r="P319" s="562" t="s">
        <v>75</v>
      </c>
      <c r="Q319" s="563"/>
      <c r="R319" s="563"/>
      <c r="S319" s="563"/>
      <c r="T319" s="563"/>
      <c r="U319" s="563"/>
      <c r="V319" s="564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7" t="s">
        <v>160</v>
      </c>
      <c r="B320" s="566"/>
      <c r="C320" s="566"/>
      <c r="D320" s="566"/>
      <c r="E320" s="566"/>
      <c r="F320" s="566"/>
      <c r="G320" s="566"/>
      <c r="H320" s="566"/>
      <c r="I320" s="566"/>
      <c r="J320" s="566"/>
      <c r="K320" s="566"/>
      <c r="L320" s="566"/>
      <c r="M320" s="566"/>
      <c r="N320" s="566"/>
      <c r="O320" s="566"/>
      <c r="P320" s="566"/>
      <c r="Q320" s="566"/>
      <c r="R320" s="566"/>
      <c r="S320" s="566"/>
      <c r="T320" s="566"/>
      <c r="U320" s="566"/>
      <c r="V320" s="566"/>
      <c r="W320" s="566"/>
      <c r="X320" s="566"/>
      <c r="Y320" s="566"/>
      <c r="Z320" s="566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8">
        <v>4607091380880</v>
      </c>
      <c r="E321" s="559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8">
        <v>4607091384482</v>
      </c>
      <c r="E322" s="559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97</v>
      </c>
      <c r="Y322" s="550">
        <f>IFERROR(IF(X322="",0,CEILING((X322/$H322),1)*$H322),"")</f>
        <v>101.39999999999999</v>
      </c>
      <c r="Z322" s="36">
        <f>IFERROR(IF(Y322=0,"",ROUNDUP(Y322/H322,0)*0.01898),"")</f>
        <v>0.24674000000000001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103.14333333333335</v>
      </c>
      <c r="BN322" s="64">
        <f>IFERROR(Y322*I322/H322,"0")</f>
        <v>107.82199999999999</v>
      </c>
      <c r="BO322" s="64">
        <f>IFERROR(1/J322*(X322/H322),"0")</f>
        <v>0.19431089743589744</v>
      </c>
      <c r="BP322" s="64">
        <f>IFERROR(1/J322*(Y322/H322),"0")</f>
        <v>0.203125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8">
        <v>4607091380897</v>
      </c>
      <c r="E323" s="559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81"/>
      <c r="B324" s="566"/>
      <c r="C324" s="566"/>
      <c r="D324" s="566"/>
      <c r="E324" s="566"/>
      <c r="F324" s="566"/>
      <c r="G324" s="566"/>
      <c r="H324" s="566"/>
      <c r="I324" s="566"/>
      <c r="J324" s="566"/>
      <c r="K324" s="566"/>
      <c r="L324" s="566"/>
      <c r="M324" s="566"/>
      <c r="N324" s="566"/>
      <c r="O324" s="582"/>
      <c r="P324" s="562" t="s">
        <v>75</v>
      </c>
      <c r="Q324" s="563"/>
      <c r="R324" s="563"/>
      <c r="S324" s="563"/>
      <c r="T324" s="563"/>
      <c r="U324" s="563"/>
      <c r="V324" s="564"/>
      <c r="W324" s="37" t="s">
        <v>76</v>
      </c>
      <c r="X324" s="551">
        <f>IFERROR(X321/H321,"0")+IFERROR(X322/H322,"0")+IFERROR(X323/H323,"0")</f>
        <v>12.435897435897436</v>
      </c>
      <c r="Y324" s="551">
        <f>IFERROR(Y321/H321,"0")+IFERROR(Y322/H322,"0")+IFERROR(Y323/H323,"0")</f>
        <v>13</v>
      </c>
      <c r="Z324" s="551">
        <f>IFERROR(IF(Z321="",0,Z321),"0")+IFERROR(IF(Z322="",0,Z322),"0")+IFERROR(IF(Z323="",0,Z323),"0")</f>
        <v>0.24674000000000001</v>
      </c>
      <c r="AA324" s="552"/>
      <c r="AB324" s="552"/>
      <c r="AC324" s="552"/>
    </row>
    <row r="325" spans="1:68" x14ac:dyDescent="0.2">
      <c r="A325" s="566"/>
      <c r="B325" s="566"/>
      <c r="C325" s="566"/>
      <c r="D325" s="566"/>
      <c r="E325" s="566"/>
      <c r="F325" s="566"/>
      <c r="G325" s="566"/>
      <c r="H325" s="566"/>
      <c r="I325" s="566"/>
      <c r="J325" s="566"/>
      <c r="K325" s="566"/>
      <c r="L325" s="566"/>
      <c r="M325" s="566"/>
      <c r="N325" s="566"/>
      <c r="O325" s="582"/>
      <c r="P325" s="562" t="s">
        <v>75</v>
      </c>
      <c r="Q325" s="563"/>
      <c r="R325" s="563"/>
      <c r="S325" s="563"/>
      <c r="T325" s="563"/>
      <c r="U325" s="563"/>
      <c r="V325" s="564"/>
      <c r="W325" s="37" t="s">
        <v>69</v>
      </c>
      <c r="X325" s="551">
        <f>IFERROR(SUM(X321:X323),"0")</f>
        <v>97</v>
      </c>
      <c r="Y325" s="551">
        <f>IFERROR(SUM(Y321:Y323),"0")</f>
        <v>101.39999999999999</v>
      </c>
      <c r="Z325" s="37"/>
      <c r="AA325" s="552"/>
      <c r="AB325" s="552"/>
      <c r="AC325" s="552"/>
    </row>
    <row r="326" spans="1:68" ht="14.25" hidden="1" customHeight="1" x14ac:dyDescent="0.25">
      <c r="A326" s="567" t="s">
        <v>91</v>
      </c>
      <c r="B326" s="566"/>
      <c r="C326" s="566"/>
      <c r="D326" s="566"/>
      <c r="E326" s="566"/>
      <c r="F326" s="566"/>
      <c r="G326" s="566"/>
      <c r="H326" s="566"/>
      <c r="I326" s="566"/>
      <c r="J326" s="566"/>
      <c r="K326" s="566"/>
      <c r="L326" s="566"/>
      <c r="M326" s="566"/>
      <c r="N326" s="566"/>
      <c r="O326" s="566"/>
      <c r="P326" s="566"/>
      <c r="Q326" s="566"/>
      <c r="R326" s="566"/>
      <c r="S326" s="566"/>
      <c r="T326" s="566"/>
      <c r="U326" s="566"/>
      <c r="V326" s="566"/>
      <c r="W326" s="566"/>
      <c r="X326" s="566"/>
      <c r="Y326" s="566"/>
      <c r="Z326" s="566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8">
        <v>4607091388381</v>
      </c>
      <c r="E327" s="559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8">
        <v>4607091388374</v>
      </c>
      <c r="E328" s="559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8">
        <v>4607091383102</v>
      </c>
      <c r="E329" s="559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1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8">
        <v>4607091388404</v>
      </c>
      <c r="E330" s="559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81"/>
      <c r="B331" s="566"/>
      <c r="C331" s="566"/>
      <c r="D331" s="566"/>
      <c r="E331" s="566"/>
      <c r="F331" s="566"/>
      <c r="G331" s="566"/>
      <c r="H331" s="566"/>
      <c r="I331" s="566"/>
      <c r="J331" s="566"/>
      <c r="K331" s="566"/>
      <c r="L331" s="566"/>
      <c r="M331" s="566"/>
      <c r="N331" s="566"/>
      <c r="O331" s="582"/>
      <c r="P331" s="562" t="s">
        <v>75</v>
      </c>
      <c r="Q331" s="563"/>
      <c r="R331" s="563"/>
      <c r="S331" s="563"/>
      <c r="T331" s="563"/>
      <c r="U331" s="563"/>
      <c r="V331" s="564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6"/>
      <c r="B332" s="566"/>
      <c r="C332" s="566"/>
      <c r="D332" s="566"/>
      <c r="E332" s="566"/>
      <c r="F332" s="566"/>
      <c r="G332" s="566"/>
      <c r="H332" s="566"/>
      <c r="I332" s="566"/>
      <c r="J332" s="566"/>
      <c r="K332" s="566"/>
      <c r="L332" s="566"/>
      <c r="M332" s="566"/>
      <c r="N332" s="566"/>
      <c r="O332" s="582"/>
      <c r="P332" s="562" t="s">
        <v>75</v>
      </c>
      <c r="Q332" s="563"/>
      <c r="R332" s="563"/>
      <c r="S332" s="563"/>
      <c r="T332" s="563"/>
      <c r="U332" s="563"/>
      <c r="V332" s="564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67" t="s">
        <v>534</v>
      </c>
      <c r="B333" s="566"/>
      <c r="C333" s="566"/>
      <c r="D333" s="566"/>
      <c r="E333" s="566"/>
      <c r="F333" s="566"/>
      <c r="G333" s="566"/>
      <c r="H333" s="566"/>
      <c r="I333" s="566"/>
      <c r="J333" s="566"/>
      <c r="K333" s="566"/>
      <c r="L333" s="566"/>
      <c r="M333" s="566"/>
      <c r="N333" s="566"/>
      <c r="O333" s="566"/>
      <c r="P333" s="566"/>
      <c r="Q333" s="566"/>
      <c r="R333" s="566"/>
      <c r="S333" s="566"/>
      <c r="T333" s="566"/>
      <c r="U333" s="566"/>
      <c r="V333" s="566"/>
      <c r="W333" s="566"/>
      <c r="X333" s="566"/>
      <c r="Y333" s="566"/>
      <c r="Z333" s="566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8">
        <v>4680115881808</v>
      </c>
      <c r="E334" s="559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8">
        <v>4680115881822</v>
      </c>
      <c r="E335" s="559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8">
        <v>4680115880016</v>
      </c>
      <c r="E336" s="559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81"/>
      <c r="B337" s="566"/>
      <c r="C337" s="566"/>
      <c r="D337" s="566"/>
      <c r="E337" s="566"/>
      <c r="F337" s="566"/>
      <c r="G337" s="566"/>
      <c r="H337" s="566"/>
      <c r="I337" s="566"/>
      <c r="J337" s="566"/>
      <c r="K337" s="566"/>
      <c r="L337" s="566"/>
      <c r="M337" s="566"/>
      <c r="N337" s="566"/>
      <c r="O337" s="582"/>
      <c r="P337" s="562" t="s">
        <v>75</v>
      </c>
      <c r="Q337" s="563"/>
      <c r="R337" s="563"/>
      <c r="S337" s="563"/>
      <c r="T337" s="563"/>
      <c r="U337" s="563"/>
      <c r="V337" s="564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6"/>
      <c r="B338" s="566"/>
      <c r="C338" s="566"/>
      <c r="D338" s="566"/>
      <c r="E338" s="566"/>
      <c r="F338" s="566"/>
      <c r="G338" s="566"/>
      <c r="H338" s="566"/>
      <c r="I338" s="566"/>
      <c r="J338" s="566"/>
      <c r="K338" s="566"/>
      <c r="L338" s="566"/>
      <c r="M338" s="566"/>
      <c r="N338" s="566"/>
      <c r="O338" s="582"/>
      <c r="P338" s="562" t="s">
        <v>75</v>
      </c>
      <c r="Q338" s="563"/>
      <c r="R338" s="563"/>
      <c r="S338" s="563"/>
      <c r="T338" s="563"/>
      <c r="U338" s="563"/>
      <c r="V338" s="564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65" t="s">
        <v>543</v>
      </c>
      <c r="B339" s="566"/>
      <c r="C339" s="566"/>
      <c r="D339" s="566"/>
      <c r="E339" s="566"/>
      <c r="F339" s="566"/>
      <c r="G339" s="566"/>
      <c r="H339" s="566"/>
      <c r="I339" s="566"/>
      <c r="J339" s="566"/>
      <c r="K339" s="566"/>
      <c r="L339" s="566"/>
      <c r="M339" s="566"/>
      <c r="N339" s="566"/>
      <c r="O339" s="566"/>
      <c r="P339" s="566"/>
      <c r="Q339" s="566"/>
      <c r="R339" s="566"/>
      <c r="S339" s="566"/>
      <c r="T339" s="566"/>
      <c r="U339" s="566"/>
      <c r="V339" s="566"/>
      <c r="W339" s="566"/>
      <c r="X339" s="566"/>
      <c r="Y339" s="566"/>
      <c r="Z339" s="566"/>
      <c r="AA339" s="544"/>
      <c r="AB339" s="544"/>
      <c r="AC339" s="544"/>
    </row>
    <row r="340" spans="1:68" ht="14.25" hidden="1" customHeight="1" x14ac:dyDescent="0.25">
      <c r="A340" s="567" t="s">
        <v>77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8">
        <v>4607091387919</v>
      </c>
      <c r="E341" s="559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8">
        <v>4680115883604</v>
      </c>
      <c r="E342" s="559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8">
        <v>4680115883567</v>
      </c>
      <c r="E343" s="559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81"/>
      <c r="B344" s="566"/>
      <c r="C344" s="566"/>
      <c r="D344" s="566"/>
      <c r="E344" s="566"/>
      <c r="F344" s="566"/>
      <c r="G344" s="566"/>
      <c r="H344" s="566"/>
      <c r="I344" s="566"/>
      <c r="J344" s="566"/>
      <c r="K344" s="566"/>
      <c r="L344" s="566"/>
      <c r="M344" s="566"/>
      <c r="N344" s="566"/>
      <c r="O344" s="582"/>
      <c r="P344" s="562" t="s">
        <v>75</v>
      </c>
      <c r="Q344" s="563"/>
      <c r="R344" s="563"/>
      <c r="S344" s="563"/>
      <c r="T344" s="563"/>
      <c r="U344" s="563"/>
      <c r="V344" s="564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6"/>
      <c r="B345" s="566"/>
      <c r="C345" s="566"/>
      <c r="D345" s="566"/>
      <c r="E345" s="566"/>
      <c r="F345" s="566"/>
      <c r="G345" s="566"/>
      <c r="H345" s="566"/>
      <c r="I345" s="566"/>
      <c r="J345" s="566"/>
      <c r="K345" s="566"/>
      <c r="L345" s="566"/>
      <c r="M345" s="566"/>
      <c r="N345" s="566"/>
      <c r="O345" s="582"/>
      <c r="P345" s="562" t="s">
        <v>75</v>
      </c>
      <c r="Q345" s="563"/>
      <c r="R345" s="563"/>
      <c r="S345" s="563"/>
      <c r="T345" s="563"/>
      <c r="U345" s="563"/>
      <c r="V345" s="564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65" t="s">
        <v>554</v>
      </c>
      <c r="B347" s="566"/>
      <c r="C347" s="566"/>
      <c r="D347" s="566"/>
      <c r="E347" s="566"/>
      <c r="F347" s="566"/>
      <c r="G347" s="566"/>
      <c r="H347" s="566"/>
      <c r="I347" s="566"/>
      <c r="J347" s="566"/>
      <c r="K347" s="566"/>
      <c r="L347" s="566"/>
      <c r="M347" s="566"/>
      <c r="N347" s="566"/>
      <c r="O347" s="566"/>
      <c r="P347" s="566"/>
      <c r="Q347" s="566"/>
      <c r="R347" s="566"/>
      <c r="S347" s="566"/>
      <c r="T347" s="566"/>
      <c r="U347" s="566"/>
      <c r="V347" s="566"/>
      <c r="W347" s="566"/>
      <c r="X347" s="566"/>
      <c r="Y347" s="566"/>
      <c r="Z347" s="566"/>
      <c r="AA347" s="544"/>
      <c r="AB347" s="544"/>
      <c r="AC347" s="544"/>
    </row>
    <row r="348" spans="1:68" ht="14.25" hidden="1" customHeight="1" x14ac:dyDescent="0.25">
      <c r="A348" s="567" t="s">
        <v>99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8">
        <v>4680115884847</v>
      </c>
      <c r="E349" s="559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202</v>
      </c>
      <c r="Y349" s="550">
        <f t="shared" ref="Y349:Y355" si="36">IFERROR(IF(X349="",0,CEILING((X349/$H349),1)*$H349),"")</f>
        <v>210</v>
      </c>
      <c r="Z349" s="36">
        <f>IFERROR(IF(Y349=0,"",ROUNDUP(Y349/H349,0)*0.02175),"")</f>
        <v>0.30449999999999999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208.32933333333332</v>
      </c>
      <c r="BN349" s="64">
        <f t="shared" ref="BN349:BN355" si="38">IFERROR(Y349*I349/H349,"0")</f>
        <v>216.58</v>
      </c>
      <c r="BO349" s="64">
        <f t="shared" ref="BO349:BO355" si="39">IFERROR(1/J349*(X349/H349),"0")</f>
        <v>0.28055555555555556</v>
      </c>
      <c r="BP349" s="64">
        <f t="shared" ref="BP349:BP355" si="40">IFERROR(1/J349*(Y349/H349),"0")</f>
        <v>0.29166666666666663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58">
        <v>4680115884854</v>
      </c>
      <c r="E350" s="559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8">
        <v>4680115884830</v>
      </c>
      <c r="E351" s="559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8">
        <v>4680115887046</v>
      </c>
      <c r="E352" s="559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188</v>
      </c>
      <c r="Y352" s="550">
        <f t="shared" si="36"/>
        <v>195</v>
      </c>
      <c r="Z352" s="36">
        <f>IFERROR(IF(Y352=0,"",ROUNDUP(Y352/H352,0)*0.02175),"")</f>
        <v>0.28275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193.89066666666668</v>
      </c>
      <c r="BN352" s="64">
        <f t="shared" si="38"/>
        <v>201.11</v>
      </c>
      <c r="BO352" s="64">
        <f t="shared" si="39"/>
        <v>0.26111111111111107</v>
      </c>
      <c r="BP352" s="64">
        <f t="shared" si="40"/>
        <v>0.27083333333333331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8">
        <v>4680115882638</v>
      </c>
      <c r="E353" s="559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8">
        <v>4680115884922</v>
      </c>
      <c r="E354" s="559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8">
        <v>4680115884861</v>
      </c>
      <c r="E355" s="559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81"/>
      <c r="B356" s="566"/>
      <c r="C356" s="566"/>
      <c r="D356" s="566"/>
      <c r="E356" s="566"/>
      <c r="F356" s="566"/>
      <c r="G356" s="566"/>
      <c r="H356" s="566"/>
      <c r="I356" s="566"/>
      <c r="J356" s="566"/>
      <c r="K356" s="566"/>
      <c r="L356" s="566"/>
      <c r="M356" s="566"/>
      <c r="N356" s="566"/>
      <c r="O356" s="582"/>
      <c r="P356" s="562" t="s">
        <v>75</v>
      </c>
      <c r="Q356" s="563"/>
      <c r="R356" s="563"/>
      <c r="S356" s="563"/>
      <c r="T356" s="563"/>
      <c r="U356" s="563"/>
      <c r="V356" s="564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26</v>
      </c>
      <c r="Y356" s="551">
        <f>IFERROR(Y349/H349,"0")+IFERROR(Y350/H350,"0")+IFERROR(Y351/H351,"0")+IFERROR(Y352/H352,"0")+IFERROR(Y353/H353,"0")+IFERROR(Y354/H354,"0")+IFERROR(Y355/H355,"0")</f>
        <v>27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0.58725000000000005</v>
      </c>
      <c r="AA356" s="552"/>
      <c r="AB356" s="552"/>
      <c r="AC356" s="552"/>
    </row>
    <row r="357" spans="1:68" x14ac:dyDescent="0.2">
      <c r="A357" s="566"/>
      <c r="B357" s="566"/>
      <c r="C357" s="566"/>
      <c r="D357" s="566"/>
      <c r="E357" s="566"/>
      <c r="F357" s="566"/>
      <c r="G357" s="566"/>
      <c r="H357" s="566"/>
      <c r="I357" s="566"/>
      <c r="J357" s="566"/>
      <c r="K357" s="566"/>
      <c r="L357" s="566"/>
      <c r="M357" s="566"/>
      <c r="N357" s="566"/>
      <c r="O357" s="582"/>
      <c r="P357" s="562" t="s">
        <v>75</v>
      </c>
      <c r="Q357" s="563"/>
      <c r="R357" s="563"/>
      <c r="S357" s="563"/>
      <c r="T357" s="563"/>
      <c r="U357" s="563"/>
      <c r="V357" s="564"/>
      <c r="W357" s="37" t="s">
        <v>69</v>
      </c>
      <c r="X357" s="551">
        <f>IFERROR(SUM(X349:X355),"0")</f>
        <v>390</v>
      </c>
      <c r="Y357" s="551">
        <f>IFERROR(SUM(Y349:Y355),"0")</f>
        <v>405</v>
      </c>
      <c r="Z357" s="37"/>
      <c r="AA357" s="552"/>
      <c r="AB357" s="552"/>
      <c r="AC357" s="552"/>
    </row>
    <row r="358" spans="1:68" ht="14.25" hidden="1" customHeight="1" x14ac:dyDescent="0.25">
      <c r="A358" s="567" t="s">
        <v>135</v>
      </c>
      <c r="B358" s="566"/>
      <c r="C358" s="566"/>
      <c r="D358" s="566"/>
      <c r="E358" s="566"/>
      <c r="F358" s="566"/>
      <c r="G358" s="566"/>
      <c r="H358" s="566"/>
      <c r="I358" s="566"/>
      <c r="J358" s="566"/>
      <c r="K358" s="566"/>
      <c r="L358" s="566"/>
      <c r="M358" s="566"/>
      <c r="N358" s="566"/>
      <c r="O358" s="566"/>
      <c r="P358" s="566"/>
      <c r="Q358" s="566"/>
      <c r="R358" s="566"/>
      <c r="S358" s="566"/>
      <c r="T358" s="566"/>
      <c r="U358" s="566"/>
      <c r="V358" s="566"/>
      <c r="W358" s="566"/>
      <c r="X358" s="566"/>
      <c r="Y358" s="566"/>
      <c r="Z358" s="566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8">
        <v>4607091383980</v>
      </c>
      <c r="E359" s="559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198</v>
      </c>
      <c r="Y359" s="550">
        <f>IFERROR(IF(X359="",0,CEILING((X359/$H359),1)*$H359),"")</f>
        <v>210</v>
      </c>
      <c r="Z359" s="36">
        <f>IFERROR(IF(Y359=0,"",ROUNDUP(Y359/H359,0)*0.02175),"")</f>
        <v>0.30449999999999999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204.20400000000001</v>
      </c>
      <c r="BN359" s="64">
        <f>IFERROR(Y359*I359/H359,"0")</f>
        <v>216.58</v>
      </c>
      <c r="BO359" s="64">
        <f>IFERROR(1/J359*(X359/H359),"0")</f>
        <v>0.27499999999999997</v>
      </c>
      <c r="BP359" s="64">
        <f>IFERROR(1/J359*(Y359/H359),"0")</f>
        <v>0.29166666666666663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8">
        <v>4607091384178</v>
      </c>
      <c r="E360" s="559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81"/>
      <c r="B361" s="566"/>
      <c r="C361" s="566"/>
      <c r="D361" s="566"/>
      <c r="E361" s="566"/>
      <c r="F361" s="566"/>
      <c r="G361" s="566"/>
      <c r="H361" s="566"/>
      <c r="I361" s="566"/>
      <c r="J361" s="566"/>
      <c r="K361" s="566"/>
      <c r="L361" s="566"/>
      <c r="M361" s="566"/>
      <c r="N361" s="566"/>
      <c r="O361" s="582"/>
      <c r="P361" s="562" t="s">
        <v>75</v>
      </c>
      <c r="Q361" s="563"/>
      <c r="R361" s="563"/>
      <c r="S361" s="563"/>
      <c r="T361" s="563"/>
      <c r="U361" s="563"/>
      <c r="V361" s="564"/>
      <c r="W361" s="37" t="s">
        <v>76</v>
      </c>
      <c r="X361" s="551">
        <f>IFERROR(X359/H359,"0")+IFERROR(X360/H360,"0")</f>
        <v>13.2</v>
      </c>
      <c r="Y361" s="551">
        <f>IFERROR(Y359/H359,"0")+IFERROR(Y360/H360,"0")</f>
        <v>14</v>
      </c>
      <c r="Z361" s="551">
        <f>IFERROR(IF(Z359="",0,Z359),"0")+IFERROR(IF(Z360="",0,Z360),"0")</f>
        <v>0.30449999999999999</v>
      </c>
      <c r="AA361" s="552"/>
      <c r="AB361" s="552"/>
      <c r="AC361" s="552"/>
    </row>
    <row r="362" spans="1:68" x14ac:dyDescent="0.2">
      <c r="A362" s="566"/>
      <c r="B362" s="566"/>
      <c r="C362" s="566"/>
      <c r="D362" s="566"/>
      <c r="E362" s="566"/>
      <c r="F362" s="566"/>
      <c r="G362" s="566"/>
      <c r="H362" s="566"/>
      <c r="I362" s="566"/>
      <c r="J362" s="566"/>
      <c r="K362" s="566"/>
      <c r="L362" s="566"/>
      <c r="M362" s="566"/>
      <c r="N362" s="566"/>
      <c r="O362" s="582"/>
      <c r="P362" s="562" t="s">
        <v>75</v>
      </c>
      <c r="Q362" s="563"/>
      <c r="R362" s="563"/>
      <c r="S362" s="563"/>
      <c r="T362" s="563"/>
      <c r="U362" s="563"/>
      <c r="V362" s="564"/>
      <c r="W362" s="37" t="s">
        <v>69</v>
      </c>
      <c r="X362" s="551">
        <f>IFERROR(SUM(X359:X360),"0")</f>
        <v>198</v>
      </c>
      <c r="Y362" s="551">
        <f>IFERROR(SUM(Y359:Y360),"0")</f>
        <v>210</v>
      </c>
      <c r="Z362" s="37"/>
      <c r="AA362" s="552"/>
      <c r="AB362" s="552"/>
      <c r="AC362" s="552"/>
    </row>
    <row r="363" spans="1:68" ht="14.25" hidden="1" customHeight="1" x14ac:dyDescent="0.25">
      <c r="A363" s="567" t="s">
        <v>77</v>
      </c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6"/>
      <c r="N363" s="566"/>
      <c r="O363" s="566"/>
      <c r="P363" s="566"/>
      <c r="Q363" s="566"/>
      <c r="R363" s="566"/>
      <c r="S363" s="566"/>
      <c r="T363" s="566"/>
      <c r="U363" s="566"/>
      <c r="V363" s="566"/>
      <c r="W363" s="566"/>
      <c r="X363" s="566"/>
      <c r="Y363" s="566"/>
      <c r="Z363" s="566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8">
        <v>4607091383928</v>
      </c>
      <c r="E364" s="559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8">
        <v>4607091384260</v>
      </c>
      <c r="E365" s="559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81"/>
      <c r="B366" s="566"/>
      <c r="C366" s="566"/>
      <c r="D366" s="566"/>
      <c r="E366" s="566"/>
      <c r="F366" s="566"/>
      <c r="G366" s="566"/>
      <c r="H366" s="566"/>
      <c r="I366" s="566"/>
      <c r="J366" s="566"/>
      <c r="K366" s="566"/>
      <c r="L366" s="566"/>
      <c r="M366" s="566"/>
      <c r="N366" s="566"/>
      <c r="O366" s="582"/>
      <c r="P366" s="562" t="s">
        <v>75</v>
      </c>
      <c r="Q366" s="563"/>
      <c r="R366" s="563"/>
      <c r="S366" s="563"/>
      <c r="T366" s="563"/>
      <c r="U366" s="563"/>
      <c r="V366" s="564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6"/>
      <c r="B367" s="566"/>
      <c r="C367" s="566"/>
      <c r="D367" s="566"/>
      <c r="E367" s="566"/>
      <c r="F367" s="566"/>
      <c r="G367" s="566"/>
      <c r="H367" s="566"/>
      <c r="I367" s="566"/>
      <c r="J367" s="566"/>
      <c r="K367" s="566"/>
      <c r="L367" s="566"/>
      <c r="M367" s="566"/>
      <c r="N367" s="566"/>
      <c r="O367" s="582"/>
      <c r="P367" s="562" t="s">
        <v>75</v>
      </c>
      <c r="Q367" s="563"/>
      <c r="R367" s="563"/>
      <c r="S367" s="563"/>
      <c r="T367" s="563"/>
      <c r="U367" s="563"/>
      <c r="V367" s="564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67" t="s">
        <v>160</v>
      </c>
      <c r="B368" s="566"/>
      <c r="C368" s="566"/>
      <c r="D368" s="566"/>
      <c r="E368" s="566"/>
      <c r="F368" s="566"/>
      <c r="G368" s="566"/>
      <c r="H368" s="566"/>
      <c r="I368" s="566"/>
      <c r="J368" s="566"/>
      <c r="K368" s="566"/>
      <c r="L368" s="566"/>
      <c r="M368" s="566"/>
      <c r="N368" s="566"/>
      <c r="O368" s="566"/>
      <c r="P368" s="566"/>
      <c r="Q368" s="566"/>
      <c r="R368" s="566"/>
      <c r="S368" s="566"/>
      <c r="T368" s="566"/>
      <c r="U368" s="566"/>
      <c r="V368" s="566"/>
      <c r="W368" s="566"/>
      <c r="X368" s="566"/>
      <c r="Y368" s="566"/>
      <c r="Z368" s="566"/>
      <c r="AA368" s="545"/>
      <c r="AB368" s="545"/>
      <c r="AC368" s="545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8">
        <v>4607091384673</v>
      </c>
      <c r="E369" s="559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81"/>
      <c r="B370" s="566"/>
      <c r="C370" s="566"/>
      <c r="D370" s="566"/>
      <c r="E370" s="566"/>
      <c r="F370" s="566"/>
      <c r="G370" s="566"/>
      <c r="H370" s="566"/>
      <c r="I370" s="566"/>
      <c r="J370" s="566"/>
      <c r="K370" s="566"/>
      <c r="L370" s="566"/>
      <c r="M370" s="566"/>
      <c r="N370" s="566"/>
      <c r="O370" s="582"/>
      <c r="P370" s="562" t="s">
        <v>75</v>
      </c>
      <c r="Q370" s="563"/>
      <c r="R370" s="563"/>
      <c r="S370" s="563"/>
      <c r="T370" s="563"/>
      <c r="U370" s="563"/>
      <c r="V370" s="564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6"/>
      <c r="B371" s="566"/>
      <c r="C371" s="566"/>
      <c r="D371" s="566"/>
      <c r="E371" s="566"/>
      <c r="F371" s="566"/>
      <c r="G371" s="566"/>
      <c r="H371" s="566"/>
      <c r="I371" s="566"/>
      <c r="J371" s="566"/>
      <c r="K371" s="566"/>
      <c r="L371" s="566"/>
      <c r="M371" s="566"/>
      <c r="N371" s="566"/>
      <c r="O371" s="582"/>
      <c r="P371" s="562" t="s">
        <v>75</v>
      </c>
      <c r="Q371" s="563"/>
      <c r="R371" s="563"/>
      <c r="S371" s="563"/>
      <c r="T371" s="563"/>
      <c r="U371" s="563"/>
      <c r="V371" s="564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65" t="s">
        <v>589</v>
      </c>
      <c r="B372" s="566"/>
      <c r="C372" s="566"/>
      <c r="D372" s="566"/>
      <c r="E372" s="566"/>
      <c r="F372" s="566"/>
      <c r="G372" s="566"/>
      <c r="H372" s="566"/>
      <c r="I372" s="566"/>
      <c r="J372" s="566"/>
      <c r="K372" s="566"/>
      <c r="L372" s="566"/>
      <c r="M372" s="566"/>
      <c r="N372" s="566"/>
      <c r="O372" s="566"/>
      <c r="P372" s="566"/>
      <c r="Q372" s="566"/>
      <c r="R372" s="566"/>
      <c r="S372" s="566"/>
      <c r="T372" s="566"/>
      <c r="U372" s="566"/>
      <c r="V372" s="566"/>
      <c r="W372" s="566"/>
      <c r="X372" s="566"/>
      <c r="Y372" s="566"/>
      <c r="Z372" s="566"/>
      <c r="AA372" s="544"/>
      <c r="AB372" s="544"/>
      <c r="AC372" s="544"/>
    </row>
    <row r="373" spans="1:68" ht="14.25" hidden="1" customHeight="1" x14ac:dyDescent="0.25">
      <c r="A373" s="567" t="s">
        <v>99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8">
        <v>4680115884885</v>
      </c>
      <c r="E374" s="559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8">
        <v>4680115884908</v>
      </c>
      <c r="E375" s="559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81"/>
      <c r="B376" s="566"/>
      <c r="C376" s="566"/>
      <c r="D376" s="566"/>
      <c r="E376" s="566"/>
      <c r="F376" s="566"/>
      <c r="G376" s="566"/>
      <c r="H376" s="566"/>
      <c r="I376" s="566"/>
      <c r="J376" s="566"/>
      <c r="K376" s="566"/>
      <c r="L376" s="566"/>
      <c r="M376" s="566"/>
      <c r="N376" s="566"/>
      <c r="O376" s="582"/>
      <c r="P376" s="562" t="s">
        <v>75</v>
      </c>
      <c r="Q376" s="563"/>
      <c r="R376" s="563"/>
      <c r="S376" s="563"/>
      <c r="T376" s="563"/>
      <c r="U376" s="563"/>
      <c r="V376" s="564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6"/>
      <c r="B377" s="566"/>
      <c r="C377" s="566"/>
      <c r="D377" s="566"/>
      <c r="E377" s="566"/>
      <c r="F377" s="566"/>
      <c r="G377" s="566"/>
      <c r="H377" s="566"/>
      <c r="I377" s="566"/>
      <c r="J377" s="566"/>
      <c r="K377" s="566"/>
      <c r="L377" s="566"/>
      <c r="M377" s="566"/>
      <c r="N377" s="566"/>
      <c r="O377" s="582"/>
      <c r="P377" s="562" t="s">
        <v>75</v>
      </c>
      <c r="Q377" s="563"/>
      <c r="R377" s="563"/>
      <c r="S377" s="563"/>
      <c r="T377" s="563"/>
      <c r="U377" s="563"/>
      <c r="V377" s="564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67" t="s">
        <v>64</v>
      </c>
      <c r="B378" s="566"/>
      <c r="C378" s="566"/>
      <c r="D378" s="566"/>
      <c r="E378" s="566"/>
      <c r="F378" s="566"/>
      <c r="G378" s="566"/>
      <c r="H378" s="566"/>
      <c r="I378" s="566"/>
      <c r="J378" s="566"/>
      <c r="K378" s="566"/>
      <c r="L378" s="566"/>
      <c r="M378" s="566"/>
      <c r="N378" s="566"/>
      <c r="O378" s="566"/>
      <c r="P378" s="566"/>
      <c r="Q378" s="566"/>
      <c r="R378" s="566"/>
      <c r="S378" s="566"/>
      <c r="T378" s="566"/>
      <c r="U378" s="566"/>
      <c r="V378" s="566"/>
      <c r="W378" s="566"/>
      <c r="X378" s="566"/>
      <c r="Y378" s="566"/>
      <c r="Z378" s="566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8">
        <v>4607091384802</v>
      </c>
      <c r="E379" s="559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8">
        <v>4607091384802</v>
      </c>
      <c r="E380" s="559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81"/>
      <c r="B381" s="566"/>
      <c r="C381" s="566"/>
      <c r="D381" s="566"/>
      <c r="E381" s="566"/>
      <c r="F381" s="566"/>
      <c r="G381" s="566"/>
      <c r="H381" s="566"/>
      <c r="I381" s="566"/>
      <c r="J381" s="566"/>
      <c r="K381" s="566"/>
      <c r="L381" s="566"/>
      <c r="M381" s="566"/>
      <c r="N381" s="566"/>
      <c r="O381" s="582"/>
      <c r="P381" s="562" t="s">
        <v>75</v>
      </c>
      <c r="Q381" s="563"/>
      <c r="R381" s="563"/>
      <c r="S381" s="563"/>
      <c r="T381" s="563"/>
      <c r="U381" s="563"/>
      <c r="V381" s="564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6"/>
      <c r="B382" s="566"/>
      <c r="C382" s="566"/>
      <c r="D382" s="566"/>
      <c r="E382" s="566"/>
      <c r="F382" s="566"/>
      <c r="G382" s="566"/>
      <c r="H382" s="566"/>
      <c r="I382" s="566"/>
      <c r="J382" s="566"/>
      <c r="K382" s="566"/>
      <c r="L382" s="566"/>
      <c r="M382" s="566"/>
      <c r="N382" s="566"/>
      <c r="O382" s="582"/>
      <c r="P382" s="562" t="s">
        <v>75</v>
      </c>
      <c r="Q382" s="563"/>
      <c r="R382" s="563"/>
      <c r="S382" s="563"/>
      <c r="T382" s="563"/>
      <c r="U382" s="563"/>
      <c r="V382" s="564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7" t="s">
        <v>77</v>
      </c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6"/>
      <c r="N383" s="566"/>
      <c r="O383" s="566"/>
      <c r="P383" s="566"/>
      <c r="Q383" s="566"/>
      <c r="R383" s="566"/>
      <c r="S383" s="566"/>
      <c r="T383" s="566"/>
      <c r="U383" s="566"/>
      <c r="V383" s="566"/>
      <c r="W383" s="566"/>
      <c r="X383" s="566"/>
      <c r="Y383" s="566"/>
      <c r="Z383" s="566"/>
      <c r="AA383" s="545"/>
      <c r="AB383" s="545"/>
      <c r="AC383" s="545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8">
        <v>4607091384246</v>
      </c>
      <c r="E384" s="559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8">
        <v>4607091384253</v>
      </c>
      <c r="E385" s="559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8">
        <v>4607091384253</v>
      </c>
      <c r="E386" s="559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81"/>
      <c r="B387" s="566"/>
      <c r="C387" s="566"/>
      <c r="D387" s="566"/>
      <c r="E387" s="566"/>
      <c r="F387" s="566"/>
      <c r="G387" s="566"/>
      <c r="H387" s="566"/>
      <c r="I387" s="566"/>
      <c r="J387" s="566"/>
      <c r="K387" s="566"/>
      <c r="L387" s="566"/>
      <c r="M387" s="566"/>
      <c r="N387" s="566"/>
      <c r="O387" s="582"/>
      <c r="P387" s="562" t="s">
        <v>75</v>
      </c>
      <c r="Q387" s="563"/>
      <c r="R387" s="563"/>
      <c r="S387" s="563"/>
      <c r="T387" s="563"/>
      <c r="U387" s="563"/>
      <c r="V387" s="564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66"/>
      <c r="B388" s="566"/>
      <c r="C388" s="566"/>
      <c r="D388" s="566"/>
      <c r="E388" s="566"/>
      <c r="F388" s="566"/>
      <c r="G388" s="566"/>
      <c r="H388" s="566"/>
      <c r="I388" s="566"/>
      <c r="J388" s="566"/>
      <c r="K388" s="566"/>
      <c r="L388" s="566"/>
      <c r="M388" s="566"/>
      <c r="N388" s="566"/>
      <c r="O388" s="582"/>
      <c r="P388" s="562" t="s">
        <v>75</v>
      </c>
      <c r="Q388" s="563"/>
      <c r="R388" s="563"/>
      <c r="S388" s="563"/>
      <c r="T388" s="563"/>
      <c r="U388" s="563"/>
      <c r="V388" s="564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65" t="s">
        <v>608</v>
      </c>
      <c r="B390" s="566"/>
      <c r="C390" s="566"/>
      <c r="D390" s="566"/>
      <c r="E390" s="566"/>
      <c r="F390" s="566"/>
      <c r="G390" s="566"/>
      <c r="H390" s="566"/>
      <c r="I390" s="566"/>
      <c r="J390" s="566"/>
      <c r="K390" s="566"/>
      <c r="L390" s="566"/>
      <c r="M390" s="566"/>
      <c r="N390" s="566"/>
      <c r="O390" s="566"/>
      <c r="P390" s="566"/>
      <c r="Q390" s="566"/>
      <c r="R390" s="566"/>
      <c r="S390" s="566"/>
      <c r="T390" s="566"/>
      <c r="U390" s="566"/>
      <c r="V390" s="566"/>
      <c r="W390" s="566"/>
      <c r="X390" s="566"/>
      <c r="Y390" s="566"/>
      <c r="Z390" s="566"/>
      <c r="AA390" s="544"/>
      <c r="AB390" s="544"/>
      <c r="AC390" s="544"/>
    </row>
    <row r="391" spans="1:68" ht="14.25" hidden="1" customHeight="1" x14ac:dyDescent="0.25">
      <c r="A391" s="567" t="s">
        <v>64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8">
        <v>4680115886100</v>
      </c>
      <c r="E392" s="559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8">
        <v>4680115886117</v>
      </c>
      <c r="E393" s="559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8">
        <v>4680115886124</v>
      </c>
      <c r="E394" s="559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8">
        <v>4680115883147</v>
      </c>
      <c r="E395" s="559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8">
        <v>4607091384338</v>
      </c>
      <c r="E396" s="559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8">
        <v>4607091389524</v>
      </c>
      <c r="E397" s="559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8">
        <v>4680115883161</v>
      </c>
      <c r="E398" s="559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8">
        <v>4607091389531</v>
      </c>
      <c r="E399" s="559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8">
        <v>4607091384345</v>
      </c>
      <c r="E400" s="559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81"/>
      <c r="B401" s="566"/>
      <c r="C401" s="566"/>
      <c r="D401" s="566"/>
      <c r="E401" s="566"/>
      <c r="F401" s="566"/>
      <c r="G401" s="566"/>
      <c r="H401" s="566"/>
      <c r="I401" s="566"/>
      <c r="J401" s="566"/>
      <c r="K401" s="566"/>
      <c r="L401" s="566"/>
      <c r="M401" s="566"/>
      <c r="N401" s="566"/>
      <c r="O401" s="582"/>
      <c r="P401" s="562" t="s">
        <v>75</v>
      </c>
      <c r="Q401" s="563"/>
      <c r="R401" s="563"/>
      <c r="S401" s="563"/>
      <c r="T401" s="563"/>
      <c r="U401" s="563"/>
      <c r="V401" s="564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6"/>
      <c r="B402" s="566"/>
      <c r="C402" s="566"/>
      <c r="D402" s="566"/>
      <c r="E402" s="566"/>
      <c r="F402" s="566"/>
      <c r="G402" s="566"/>
      <c r="H402" s="566"/>
      <c r="I402" s="566"/>
      <c r="J402" s="566"/>
      <c r="K402" s="566"/>
      <c r="L402" s="566"/>
      <c r="M402" s="566"/>
      <c r="N402" s="566"/>
      <c r="O402" s="582"/>
      <c r="P402" s="562" t="s">
        <v>75</v>
      </c>
      <c r="Q402" s="563"/>
      <c r="R402" s="563"/>
      <c r="S402" s="563"/>
      <c r="T402" s="563"/>
      <c r="U402" s="563"/>
      <c r="V402" s="564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67" t="s">
        <v>77</v>
      </c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6"/>
      <c r="N403" s="566"/>
      <c r="O403" s="566"/>
      <c r="P403" s="566"/>
      <c r="Q403" s="566"/>
      <c r="R403" s="566"/>
      <c r="S403" s="566"/>
      <c r="T403" s="566"/>
      <c r="U403" s="566"/>
      <c r="V403" s="566"/>
      <c r="W403" s="566"/>
      <c r="X403" s="566"/>
      <c r="Y403" s="566"/>
      <c r="Z403" s="566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8">
        <v>4607091384352</v>
      </c>
      <c r="E404" s="559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8">
        <v>4607091389654</v>
      </c>
      <c r="E405" s="559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81"/>
      <c r="B406" s="566"/>
      <c r="C406" s="566"/>
      <c r="D406" s="566"/>
      <c r="E406" s="566"/>
      <c r="F406" s="566"/>
      <c r="G406" s="566"/>
      <c r="H406" s="566"/>
      <c r="I406" s="566"/>
      <c r="J406" s="566"/>
      <c r="K406" s="566"/>
      <c r="L406" s="566"/>
      <c r="M406" s="566"/>
      <c r="N406" s="566"/>
      <c r="O406" s="582"/>
      <c r="P406" s="562" t="s">
        <v>75</v>
      </c>
      <c r="Q406" s="563"/>
      <c r="R406" s="563"/>
      <c r="S406" s="563"/>
      <c r="T406" s="563"/>
      <c r="U406" s="563"/>
      <c r="V406" s="564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6"/>
      <c r="B407" s="566"/>
      <c r="C407" s="566"/>
      <c r="D407" s="566"/>
      <c r="E407" s="566"/>
      <c r="F407" s="566"/>
      <c r="G407" s="566"/>
      <c r="H407" s="566"/>
      <c r="I407" s="566"/>
      <c r="J407" s="566"/>
      <c r="K407" s="566"/>
      <c r="L407" s="566"/>
      <c r="M407" s="566"/>
      <c r="N407" s="566"/>
      <c r="O407" s="582"/>
      <c r="P407" s="562" t="s">
        <v>75</v>
      </c>
      <c r="Q407" s="563"/>
      <c r="R407" s="563"/>
      <c r="S407" s="563"/>
      <c r="T407" s="563"/>
      <c r="U407" s="563"/>
      <c r="V407" s="564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65" t="s">
        <v>639</v>
      </c>
      <c r="B408" s="566"/>
      <c r="C408" s="566"/>
      <c r="D408" s="566"/>
      <c r="E408" s="566"/>
      <c r="F408" s="566"/>
      <c r="G408" s="566"/>
      <c r="H408" s="566"/>
      <c r="I408" s="566"/>
      <c r="J408" s="566"/>
      <c r="K408" s="566"/>
      <c r="L408" s="566"/>
      <c r="M408" s="566"/>
      <c r="N408" s="566"/>
      <c r="O408" s="566"/>
      <c r="P408" s="566"/>
      <c r="Q408" s="566"/>
      <c r="R408" s="566"/>
      <c r="S408" s="566"/>
      <c r="T408" s="566"/>
      <c r="U408" s="566"/>
      <c r="V408" s="566"/>
      <c r="W408" s="566"/>
      <c r="X408" s="566"/>
      <c r="Y408" s="566"/>
      <c r="Z408" s="566"/>
      <c r="AA408" s="544"/>
      <c r="AB408" s="544"/>
      <c r="AC408" s="544"/>
    </row>
    <row r="409" spans="1:68" ht="14.25" hidden="1" customHeight="1" x14ac:dyDescent="0.25">
      <c r="A409" s="567" t="s">
        <v>135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8">
        <v>4680115885240</v>
      </c>
      <c r="E410" s="559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81"/>
      <c r="B411" s="566"/>
      <c r="C411" s="566"/>
      <c r="D411" s="566"/>
      <c r="E411" s="566"/>
      <c r="F411" s="566"/>
      <c r="G411" s="566"/>
      <c r="H411" s="566"/>
      <c r="I411" s="566"/>
      <c r="J411" s="566"/>
      <c r="K411" s="566"/>
      <c r="L411" s="566"/>
      <c r="M411" s="566"/>
      <c r="N411" s="566"/>
      <c r="O411" s="582"/>
      <c r="P411" s="562" t="s">
        <v>75</v>
      </c>
      <c r="Q411" s="563"/>
      <c r="R411" s="563"/>
      <c r="S411" s="563"/>
      <c r="T411" s="563"/>
      <c r="U411" s="563"/>
      <c r="V411" s="564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6"/>
      <c r="B412" s="566"/>
      <c r="C412" s="566"/>
      <c r="D412" s="566"/>
      <c r="E412" s="566"/>
      <c r="F412" s="566"/>
      <c r="G412" s="566"/>
      <c r="H412" s="566"/>
      <c r="I412" s="566"/>
      <c r="J412" s="566"/>
      <c r="K412" s="566"/>
      <c r="L412" s="566"/>
      <c r="M412" s="566"/>
      <c r="N412" s="566"/>
      <c r="O412" s="582"/>
      <c r="P412" s="562" t="s">
        <v>75</v>
      </c>
      <c r="Q412" s="563"/>
      <c r="R412" s="563"/>
      <c r="S412" s="563"/>
      <c r="T412" s="563"/>
      <c r="U412" s="563"/>
      <c r="V412" s="564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7" t="s">
        <v>64</v>
      </c>
      <c r="B413" s="566"/>
      <c r="C413" s="566"/>
      <c r="D413" s="566"/>
      <c r="E413" s="566"/>
      <c r="F413" s="566"/>
      <c r="G413" s="566"/>
      <c r="H413" s="566"/>
      <c r="I413" s="566"/>
      <c r="J413" s="566"/>
      <c r="K413" s="566"/>
      <c r="L413" s="566"/>
      <c r="M413" s="566"/>
      <c r="N413" s="566"/>
      <c r="O413" s="566"/>
      <c r="P413" s="566"/>
      <c r="Q413" s="566"/>
      <c r="R413" s="566"/>
      <c r="S413" s="566"/>
      <c r="T413" s="566"/>
      <c r="U413" s="566"/>
      <c r="V413" s="566"/>
      <c r="W413" s="566"/>
      <c r="X413" s="566"/>
      <c r="Y413" s="566"/>
      <c r="Z413" s="566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8">
        <v>4680115886094</v>
      </c>
      <c r="E414" s="559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8">
        <v>4607091389425</v>
      </c>
      <c r="E415" s="559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8">
        <v>4680115880771</v>
      </c>
      <c r="E416" s="559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8">
        <v>4607091389500</v>
      </c>
      <c r="E417" s="559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81"/>
      <c r="B418" s="566"/>
      <c r="C418" s="566"/>
      <c r="D418" s="566"/>
      <c r="E418" s="566"/>
      <c r="F418" s="566"/>
      <c r="G418" s="566"/>
      <c r="H418" s="566"/>
      <c r="I418" s="566"/>
      <c r="J418" s="566"/>
      <c r="K418" s="566"/>
      <c r="L418" s="566"/>
      <c r="M418" s="566"/>
      <c r="N418" s="566"/>
      <c r="O418" s="582"/>
      <c r="P418" s="562" t="s">
        <v>75</v>
      </c>
      <c r="Q418" s="563"/>
      <c r="R418" s="563"/>
      <c r="S418" s="563"/>
      <c r="T418" s="563"/>
      <c r="U418" s="563"/>
      <c r="V418" s="564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6"/>
      <c r="B419" s="566"/>
      <c r="C419" s="566"/>
      <c r="D419" s="566"/>
      <c r="E419" s="566"/>
      <c r="F419" s="566"/>
      <c r="G419" s="566"/>
      <c r="H419" s="566"/>
      <c r="I419" s="566"/>
      <c r="J419" s="566"/>
      <c r="K419" s="566"/>
      <c r="L419" s="566"/>
      <c r="M419" s="566"/>
      <c r="N419" s="566"/>
      <c r="O419" s="582"/>
      <c r="P419" s="562" t="s">
        <v>75</v>
      </c>
      <c r="Q419" s="563"/>
      <c r="R419" s="563"/>
      <c r="S419" s="563"/>
      <c r="T419" s="563"/>
      <c r="U419" s="563"/>
      <c r="V419" s="564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65" t="s">
        <v>654</v>
      </c>
      <c r="B420" s="566"/>
      <c r="C420" s="566"/>
      <c r="D420" s="566"/>
      <c r="E420" s="566"/>
      <c r="F420" s="566"/>
      <c r="G420" s="566"/>
      <c r="H420" s="566"/>
      <c r="I420" s="566"/>
      <c r="J420" s="566"/>
      <c r="K420" s="566"/>
      <c r="L420" s="566"/>
      <c r="M420" s="566"/>
      <c r="N420" s="566"/>
      <c r="O420" s="566"/>
      <c r="P420" s="566"/>
      <c r="Q420" s="566"/>
      <c r="R420" s="566"/>
      <c r="S420" s="566"/>
      <c r="T420" s="566"/>
      <c r="U420" s="566"/>
      <c r="V420" s="566"/>
      <c r="W420" s="566"/>
      <c r="X420" s="566"/>
      <c r="Y420" s="566"/>
      <c r="Z420" s="566"/>
      <c r="AA420" s="544"/>
      <c r="AB420" s="544"/>
      <c r="AC420" s="544"/>
    </row>
    <row r="421" spans="1:68" ht="14.25" hidden="1" customHeight="1" x14ac:dyDescent="0.25">
      <c r="A421" s="567" t="s">
        <v>64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8">
        <v>4680115885110</v>
      </c>
      <c r="E422" s="559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81"/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6"/>
      <c r="N423" s="566"/>
      <c r="O423" s="582"/>
      <c r="P423" s="562" t="s">
        <v>75</v>
      </c>
      <c r="Q423" s="563"/>
      <c r="R423" s="563"/>
      <c r="S423" s="563"/>
      <c r="T423" s="563"/>
      <c r="U423" s="563"/>
      <c r="V423" s="564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6"/>
      <c r="B424" s="566"/>
      <c r="C424" s="566"/>
      <c r="D424" s="566"/>
      <c r="E424" s="566"/>
      <c r="F424" s="566"/>
      <c r="G424" s="566"/>
      <c r="H424" s="566"/>
      <c r="I424" s="566"/>
      <c r="J424" s="566"/>
      <c r="K424" s="566"/>
      <c r="L424" s="566"/>
      <c r="M424" s="566"/>
      <c r="N424" s="566"/>
      <c r="O424" s="582"/>
      <c r="P424" s="562" t="s">
        <v>75</v>
      </c>
      <c r="Q424" s="563"/>
      <c r="R424" s="563"/>
      <c r="S424" s="563"/>
      <c r="T424" s="563"/>
      <c r="U424" s="563"/>
      <c r="V424" s="564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65" t="s">
        <v>658</v>
      </c>
      <c r="B426" s="566"/>
      <c r="C426" s="566"/>
      <c r="D426" s="566"/>
      <c r="E426" s="566"/>
      <c r="F426" s="566"/>
      <c r="G426" s="566"/>
      <c r="H426" s="566"/>
      <c r="I426" s="566"/>
      <c r="J426" s="566"/>
      <c r="K426" s="566"/>
      <c r="L426" s="566"/>
      <c r="M426" s="566"/>
      <c r="N426" s="566"/>
      <c r="O426" s="566"/>
      <c r="P426" s="566"/>
      <c r="Q426" s="566"/>
      <c r="R426" s="566"/>
      <c r="S426" s="566"/>
      <c r="T426" s="566"/>
      <c r="U426" s="566"/>
      <c r="V426" s="566"/>
      <c r="W426" s="566"/>
      <c r="X426" s="566"/>
      <c r="Y426" s="566"/>
      <c r="Z426" s="566"/>
      <c r="AA426" s="544"/>
      <c r="AB426" s="544"/>
      <c r="AC426" s="544"/>
    </row>
    <row r="427" spans="1:68" ht="14.25" hidden="1" customHeight="1" x14ac:dyDescent="0.25">
      <c r="A427" s="567" t="s">
        <v>99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545"/>
      <c r="AB427" s="545"/>
      <c r="AC427" s="545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8">
        <v>4607091389067</v>
      </c>
      <c r="E428" s="559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8">
        <v>4607091383522</v>
      </c>
      <c r="E429" s="559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8">
        <v>4607091383522</v>
      </c>
      <c r="E430" s="559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8">
        <v>4680115885271</v>
      </c>
      <c r="E431" s="559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8">
        <v>4680115885226</v>
      </c>
      <c r="E432" s="559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8">
        <v>4680115884502</v>
      </c>
      <c r="E433" s="559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8">
        <v>4607091389104</v>
      </c>
      <c r="E434" s="559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377</v>
      </c>
      <c r="Y434" s="550">
        <f t="shared" si="47"/>
        <v>380.16</v>
      </c>
      <c r="Z434" s="36">
        <f t="shared" si="48"/>
        <v>0.86112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401.99053030303025</v>
      </c>
      <c r="BN434" s="64">
        <f t="shared" si="50"/>
        <v>405.35999999999996</v>
      </c>
      <c r="BO434" s="64">
        <f t="shared" si="51"/>
        <v>0.68655303030303028</v>
      </c>
      <c r="BP434" s="64">
        <f t="shared" si="52"/>
        <v>0.69230769230769229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8">
        <v>4680115886391</v>
      </c>
      <c r="E435" s="559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8">
        <v>4680115880603</v>
      </c>
      <c r="E436" s="559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8">
        <v>4680115882782</v>
      </c>
      <c r="E437" s="559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8">
        <v>4680115885479</v>
      </c>
      <c r="E438" s="559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8">
        <v>4607091389982</v>
      </c>
      <c r="E439" s="559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81"/>
      <c r="B440" s="566"/>
      <c r="C440" s="566"/>
      <c r="D440" s="566"/>
      <c r="E440" s="566"/>
      <c r="F440" s="566"/>
      <c r="G440" s="566"/>
      <c r="H440" s="566"/>
      <c r="I440" s="566"/>
      <c r="J440" s="566"/>
      <c r="K440" s="566"/>
      <c r="L440" s="566"/>
      <c r="M440" s="566"/>
      <c r="N440" s="566"/>
      <c r="O440" s="582"/>
      <c r="P440" s="562" t="s">
        <v>75</v>
      </c>
      <c r="Q440" s="563"/>
      <c r="R440" s="563"/>
      <c r="S440" s="563"/>
      <c r="T440" s="563"/>
      <c r="U440" s="563"/>
      <c r="V440" s="564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71.401515151515142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72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0.86112</v>
      </c>
      <c r="AA440" s="552"/>
      <c r="AB440" s="552"/>
      <c r="AC440" s="552"/>
    </row>
    <row r="441" spans="1:68" x14ac:dyDescent="0.2">
      <c r="A441" s="566"/>
      <c r="B441" s="566"/>
      <c r="C441" s="566"/>
      <c r="D441" s="566"/>
      <c r="E441" s="566"/>
      <c r="F441" s="566"/>
      <c r="G441" s="566"/>
      <c r="H441" s="566"/>
      <c r="I441" s="566"/>
      <c r="J441" s="566"/>
      <c r="K441" s="566"/>
      <c r="L441" s="566"/>
      <c r="M441" s="566"/>
      <c r="N441" s="566"/>
      <c r="O441" s="582"/>
      <c r="P441" s="562" t="s">
        <v>75</v>
      </c>
      <c r="Q441" s="563"/>
      <c r="R441" s="563"/>
      <c r="S441" s="563"/>
      <c r="T441" s="563"/>
      <c r="U441" s="563"/>
      <c r="V441" s="564"/>
      <c r="W441" s="37" t="s">
        <v>69</v>
      </c>
      <c r="X441" s="551">
        <f>IFERROR(SUM(X428:X439),"0")</f>
        <v>377</v>
      </c>
      <c r="Y441" s="551">
        <f>IFERROR(SUM(Y428:Y439),"0")</f>
        <v>380.16</v>
      </c>
      <c r="Z441" s="37"/>
      <c r="AA441" s="552"/>
      <c r="AB441" s="552"/>
      <c r="AC441" s="552"/>
    </row>
    <row r="442" spans="1:68" ht="14.25" hidden="1" customHeight="1" x14ac:dyDescent="0.25">
      <c r="A442" s="567" t="s">
        <v>135</v>
      </c>
      <c r="B442" s="566"/>
      <c r="C442" s="566"/>
      <c r="D442" s="566"/>
      <c r="E442" s="566"/>
      <c r="F442" s="566"/>
      <c r="G442" s="566"/>
      <c r="H442" s="566"/>
      <c r="I442" s="566"/>
      <c r="J442" s="566"/>
      <c r="K442" s="566"/>
      <c r="L442" s="566"/>
      <c r="M442" s="566"/>
      <c r="N442" s="566"/>
      <c r="O442" s="566"/>
      <c r="P442" s="566"/>
      <c r="Q442" s="566"/>
      <c r="R442" s="566"/>
      <c r="S442" s="566"/>
      <c r="T442" s="566"/>
      <c r="U442" s="566"/>
      <c r="V442" s="566"/>
      <c r="W442" s="566"/>
      <c r="X442" s="566"/>
      <c r="Y442" s="566"/>
      <c r="Z442" s="566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8">
        <v>4607091388930</v>
      </c>
      <c r="E443" s="559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150</v>
      </c>
      <c r="Y443" s="550">
        <f>IFERROR(IF(X443="",0,CEILING((X443/$H443),1)*$H443),"")</f>
        <v>153.12</v>
      </c>
      <c r="Z443" s="36">
        <f>IFERROR(IF(Y443=0,"",ROUNDUP(Y443/H443,0)*0.01196),"")</f>
        <v>0.34683999999999998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159.94318181818181</v>
      </c>
      <c r="BN443" s="64">
        <f>IFERROR(Y443*I443/H443,"0")</f>
        <v>163.26999999999998</v>
      </c>
      <c r="BO443" s="64">
        <f>IFERROR(1/J443*(X443/H443),"0")</f>
        <v>0.27316433566433568</v>
      </c>
      <c r="BP443" s="64">
        <f>IFERROR(1/J443*(Y443/H443),"0")</f>
        <v>0.27884615384615385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8">
        <v>4680115886407</v>
      </c>
      <c r="E444" s="559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8">
        <v>4680115880054</v>
      </c>
      <c r="E445" s="559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81"/>
      <c r="B446" s="566"/>
      <c r="C446" s="566"/>
      <c r="D446" s="566"/>
      <c r="E446" s="566"/>
      <c r="F446" s="566"/>
      <c r="G446" s="566"/>
      <c r="H446" s="566"/>
      <c r="I446" s="566"/>
      <c r="J446" s="566"/>
      <c r="K446" s="566"/>
      <c r="L446" s="566"/>
      <c r="M446" s="566"/>
      <c r="N446" s="566"/>
      <c r="O446" s="582"/>
      <c r="P446" s="562" t="s">
        <v>75</v>
      </c>
      <c r="Q446" s="563"/>
      <c r="R446" s="563"/>
      <c r="S446" s="563"/>
      <c r="T446" s="563"/>
      <c r="U446" s="563"/>
      <c r="V446" s="564"/>
      <c r="W446" s="37" t="s">
        <v>76</v>
      </c>
      <c r="X446" s="551">
        <f>IFERROR(X443/H443,"0")+IFERROR(X444/H444,"0")+IFERROR(X445/H445,"0")</f>
        <v>28.409090909090907</v>
      </c>
      <c r="Y446" s="551">
        <f>IFERROR(Y443/H443,"0")+IFERROR(Y444/H444,"0")+IFERROR(Y445/H445,"0")</f>
        <v>29</v>
      </c>
      <c r="Z446" s="551">
        <f>IFERROR(IF(Z443="",0,Z443),"0")+IFERROR(IF(Z444="",0,Z444),"0")+IFERROR(IF(Z445="",0,Z445),"0")</f>
        <v>0.34683999999999998</v>
      </c>
      <c r="AA446" s="552"/>
      <c r="AB446" s="552"/>
      <c r="AC446" s="552"/>
    </row>
    <row r="447" spans="1:68" x14ac:dyDescent="0.2">
      <c r="A447" s="566"/>
      <c r="B447" s="566"/>
      <c r="C447" s="566"/>
      <c r="D447" s="566"/>
      <c r="E447" s="566"/>
      <c r="F447" s="566"/>
      <c r="G447" s="566"/>
      <c r="H447" s="566"/>
      <c r="I447" s="566"/>
      <c r="J447" s="566"/>
      <c r="K447" s="566"/>
      <c r="L447" s="566"/>
      <c r="M447" s="566"/>
      <c r="N447" s="566"/>
      <c r="O447" s="582"/>
      <c r="P447" s="562" t="s">
        <v>75</v>
      </c>
      <c r="Q447" s="563"/>
      <c r="R447" s="563"/>
      <c r="S447" s="563"/>
      <c r="T447" s="563"/>
      <c r="U447" s="563"/>
      <c r="V447" s="564"/>
      <c r="W447" s="37" t="s">
        <v>69</v>
      </c>
      <c r="X447" s="551">
        <f>IFERROR(SUM(X443:X445),"0")</f>
        <v>150</v>
      </c>
      <c r="Y447" s="551">
        <f>IFERROR(SUM(Y443:Y445),"0")</f>
        <v>153.12</v>
      </c>
      <c r="Z447" s="37"/>
      <c r="AA447" s="552"/>
      <c r="AB447" s="552"/>
      <c r="AC447" s="552"/>
    </row>
    <row r="448" spans="1:68" ht="14.25" hidden="1" customHeight="1" x14ac:dyDescent="0.25">
      <c r="A448" s="567" t="s">
        <v>64</v>
      </c>
      <c r="B448" s="566"/>
      <c r="C448" s="566"/>
      <c r="D448" s="566"/>
      <c r="E448" s="566"/>
      <c r="F448" s="566"/>
      <c r="G448" s="566"/>
      <c r="H448" s="566"/>
      <c r="I448" s="566"/>
      <c r="J448" s="566"/>
      <c r="K448" s="566"/>
      <c r="L448" s="566"/>
      <c r="M448" s="566"/>
      <c r="N448" s="566"/>
      <c r="O448" s="566"/>
      <c r="P448" s="566"/>
      <c r="Q448" s="566"/>
      <c r="R448" s="566"/>
      <c r="S448" s="566"/>
      <c r="T448" s="566"/>
      <c r="U448" s="566"/>
      <c r="V448" s="566"/>
      <c r="W448" s="566"/>
      <c r="X448" s="566"/>
      <c r="Y448" s="566"/>
      <c r="Z448" s="566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8">
        <v>4680115883116</v>
      </c>
      <c r="E449" s="559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74</v>
      </c>
      <c r="Y449" s="550">
        <f t="shared" ref="Y449:Y454" si="53">IFERROR(IF(X449="",0,CEILING((X449/$H449),1)*$H449),"")</f>
        <v>79.2</v>
      </c>
      <c r="Z449" s="36">
        <f>IFERROR(IF(Y449=0,"",ROUNDUP(Y449/H449,0)*0.01196),"")</f>
        <v>0.1794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78.905303030303031</v>
      </c>
      <c r="BN449" s="64">
        <f t="shared" ref="BN449:BN454" si="55">IFERROR(Y449*I449/H449,"0")</f>
        <v>84.45</v>
      </c>
      <c r="BO449" s="64">
        <f t="shared" ref="BO449:BO454" si="56">IFERROR(1/J449*(X449/H449),"0")</f>
        <v>0.13476107226107226</v>
      </c>
      <c r="BP449" s="64">
        <f t="shared" ref="BP449:BP454" si="57">IFERROR(1/J449*(Y449/H449),"0")</f>
        <v>0.14423076923076925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8">
        <v>4680115883093</v>
      </c>
      <c r="E450" s="559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73</v>
      </c>
      <c r="Y450" s="550">
        <f t="shared" si="53"/>
        <v>73.92</v>
      </c>
      <c r="Z450" s="36">
        <f>IFERROR(IF(Y450=0,"",ROUNDUP(Y450/H450,0)*0.01196),"")</f>
        <v>0.16744000000000001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77.839015151515156</v>
      </c>
      <c r="BN450" s="64">
        <f t="shared" si="55"/>
        <v>78.819999999999993</v>
      </c>
      <c r="BO450" s="64">
        <f t="shared" si="56"/>
        <v>0.13293997668997667</v>
      </c>
      <c r="BP450" s="64">
        <f t="shared" si="57"/>
        <v>0.13461538461538464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8">
        <v>4680115883109</v>
      </c>
      <c r="E451" s="559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103</v>
      </c>
      <c r="Y451" s="550">
        <f t="shared" si="53"/>
        <v>105.60000000000001</v>
      </c>
      <c r="Z451" s="36">
        <f>IFERROR(IF(Y451=0,"",ROUNDUP(Y451/H451,0)*0.01196),"")</f>
        <v>0.2392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109.8276515151515</v>
      </c>
      <c r="BN451" s="64">
        <f t="shared" si="55"/>
        <v>112.6</v>
      </c>
      <c r="BO451" s="64">
        <f t="shared" si="56"/>
        <v>0.18757284382284384</v>
      </c>
      <c r="BP451" s="64">
        <f t="shared" si="57"/>
        <v>0.19230769230769232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8">
        <v>4680115882072</v>
      </c>
      <c r="E452" s="559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8">
        <v>4680115882102</v>
      </c>
      <c r="E453" s="559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8">
        <v>4680115882096</v>
      </c>
      <c r="E454" s="559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81"/>
      <c r="B455" s="566"/>
      <c r="C455" s="566"/>
      <c r="D455" s="566"/>
      <c r="E455" s="566"/>
      <c r="F455" s="566"/>
      <c r="G455" s="566"/>
      <c r="H455" s="566"/>
      <c r="I455" s="566"/>
      <c r="J455" s="566"/>
      <c r="K455" s="566"/>
      <c r="L455" s="566"/>
      <c r="M455" s="566"/>
      <c r="N455" s="566"/>
      <c r="O455" s="582"/>
      <c r="P455" s="562" t="s">
        <v>75</v>
      </c>
      <c r="Q455" s="563"/>
      <c r="R455" s="563"/>
      <c r="S455" s="563"/>
      <c r="T455" s="563"/>
      <c r="U455" s="563"/>
      <c r="V455" s="564"/>
      <c r="W455" s="37" t="s">
        <v>76</v>
      </c>
      <c r="X455" s="551">
        <f>IFERROR(X449/H449,"0")+IFERROR(X450/H450,"0")+IFERROR(X451/H451,"0")+IFERROR(X452/H452,"0")+IFERROR(X453/H453,"0")+IFERROR(X454/H454,"0")</f>
        <v>47.348484848484844</v>
      </c>
      <c r="Y455" s="551">
        <f>IFERROR(Y449/H449,"0")+IFERROR(Y450/H450,"0")+IFERROR(Y451/H451,"0")+IFERROR(Y452/H452,"0")+IFERROR(Y453/H453,"0")+IFERROR(Y454/H454,"0")</f>
        <v>49</v>
      </c>
      <c r="Z455" s="551">
        <f>IFERROR(IF(Z449="",0,Z449),"0")+IFERROR(IF(Z450="",0,Z450),"0")+IFERROR(IF(Z451="",0,Z451),"0")+IFERROR(IF(Z452="",0,Z452),"0")+IFERROR(IF(Z453="",0,Z453),"0")+IFERROR(IF(Z454="",0,Z454),"0")</f>
        <v>0.58604000000000001</v>
      </c>
      <c r="AA455" s="552"/>
      <c r="AB455" s="552"/>
      <c r="AC455" s="552"/>
    </row>
    <row r="456" spans="1:68" x14ac:dyDescent="0.2">
      <c r="A456" s="566"/>
      <c r="B456" s="566"/>
      <c r="C456" s="566"/>
      <c r="D456" s="566"/>
      <c r="E456" s="566"/>
      <c r="F456" s="566"/>
      <c r="G456" s="566"/>
      <c r="H456" s="566"/>
      <c r="I456" s="566"/>
      <c r="J456" s="566"/>
      <c r="K456" s="566"/>
      <c r="L456" s="566"/>
      <c r="M456" s="566"/>
      <c r="N456" s="566"/>
      <c r="O456" s="582"/>
      <c r="P456" s="562" t="s">
        <v>75</v>
      </c>
      <c r="Q456" s="563"/>
      <c r="R456" s="563"/>
      <c r="S456" s="563"/>
      <c r="T456" s="563"/>
      <c r="U456" s="563"/>
      <c r="V456" s="564"/>
      <c r="W456" s="37" t="s">
        <v>69</v>
      </c>
      <c r="X456" s="551">
        <f>IFERROR(SUM(X449:X454),"0")</f>
        <v>250</v>
      </c>
      <c r="Y456" s="551">
        <f>IFERROR(SUM(Y449:Y454),"0")</f>
        <v>258.72000000000003</v>
      </c>
      <c r="Z456" s="37"/>
      <c r="AA456" s="552"/>
      <c r="AB456" s="552"/>
      <c r="AC456" s="552"/>
    </row>
    <row r="457" spans="1:68" ht="14.25" hidden="1" customHeight="1" x14ac:dyDescent="0.25">
      <c r="A457" s="567" t="s">
        <v>77</v>
      </c>
      <c r="B457" s="566"/>
      <c r="C457" s="566"/>
      <c r="D457" s="566"/>
      <c r="E457" s="566"/>
      <c r="F457" s="566"/>
      <c r="G457" s="566"/>
      <c r="H457" s="566"/>
      <c r="I457" s="566"/>
      <c r="J457" s="566"/>
      <c r="K457" s="566"/>
      <c r="L457" s="566"/>
      <c r="M457" s="566"/>
      <c r="N457" s="566"/>
      <c r="O457" s="566"/>
      <c r="P457" s="566"/>
      <c r="Q457" s="566"/>
      <c r="R457" s="566"/>
      <c r="S457" s="566"/>
      <c r="T457" s="566"/>
      <c r="U457" s="566"/>
      <c r="V457" s="566"/>
      <c r="W457" s="566"/>
      <c r="X457" s="566"/>
      <c r="Y457" s="566"/>
      <c r="Z457" s="566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8">
        <v>4680115883536</v>
      </c>
      <c r="E458" s="559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81"/>
      <c r="B459" s="566"/>
      <c r="C459" s="566"/>
      <c r="D459" s="566"/>
      <c r="E459" s="566"/>
      <c r="F459" s="566"/>
      <c r="G459" s="566"/>
      <c r="H459" s="566"/>
      <c r="I459" s="566"/>
      <c r="J459" s="566"/>
      <c r="K459" s="566"/>
      <c r="L459" s="566"/>
      <c r="M459" s="566"/>
      <c r="N459" s="566"/>
      <c r="O459" s="582"/>
      <c r="P459" s="562" t="s">
        <v>75</v>
      </c>
      <c r="Q459" s="563"/>
      <c r="R459" s="563"/>
      <c r="S459" s="563"/>
      <c r="T459" s="563"/>
      <c r="U459" s="563"/>
      <c r="V459" s="564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6"/>
      <c r="B460" s="566"/>
      <c r="C460" s="566"/>
      <c r="D460" s="566"/>
      <c r="E460" s="566"/>
      <c r="F460" s="566"/>
      <c r="G460" s="566"/>
      <c r="H460" s="566"/>
      <c r="I460" s="566"/>
      <c r="J460" s="566"/>
      <c r="K460" s="566"/>
      <c r="L460" s="566"/>
      <c r="M460" s="566"/>
      <c r="N460" s="566"/>
      <c r="O460" s="582"/>
      <c r="P460" s="562" t="s">
        <v>75</v>
      </c>
      <c r="Q460" s="563"/>
      <c r="R460" s="563"/>
      <c r="S460" s="563"/>
      <c r="T460" s="563"/>
      <c r="U460" s="563"/>
      <c r="V460" s="564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65" t="s">
        <v>713</v>
      </c>
      <c r="B462" s="566"/>
      <c r="C462" s="566"/>
      <c r="D462" s="566"/>
      <c r="E462" s="566"/>
      <c r="F462" s="566"/>
      <c r="G462" s="566"/>
      <c r="H462" s="566"/>
      <c r="I462" s="566"/>
      <c r="J462" s="566"/>
      <c r="K462" s="566"/>
      <c r="L462" s="566"/>
      <c r="M462" s="566"/>
      <c r="N462" s="566"/>
      <c r="O462" s="566"/>
      <c r="P462" s="566"/>
      <c r="Q462" s="566"/>
      <c r="R462" s="566"/>
      <c r="S462" s="566"/>
      <c r="T462" s="566"/>
      <c r="U462" s="566"/>
      <c r="V462" s="566"/>
      <c r="W462" s="566"/>
      <c r="X462" s="566"/>
      <c r="Y462" s="566"/>
      <c r="Z462" s="566"/>
      <c r="AA462" s="544"/>
      <c r="AB462" s="544"/>
      <c r="AC462" s="544"/>
    </row>
    <row r="463" spans="1:68" ht="14.25" hidden="1" customHeight="1" x14ac:dyDescent="0.25">
      <c r="A463" s="567" t="s">
        <v>99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8">
        <v>4640242181011</v>
      </c>
      <c r="E464" s="559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5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8">
        <v>4640242180441</v>
      </c>
      <c r="E465" s="559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8">
        <v>4640242180564</v>
      </c>
      <c r="E466" s="559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7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8">
        <v>4640242181189</v>
      </c>
      <c r="E467" s="559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4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81"/>
      <c r="B468" s="566"/>
      <c r="C468" s="566"/>
      <c r="D468" s="566"/>
      <c r="E468" s="566"/>
      <c r="F468" s="566"/>
      <c r="G468" s="566"/>
      <c r="H468" s="566"/>
      <c r="I468" s="566"/>
      <c r="J468" s="566"/>
      <c r="K468" s="566"/>
      <c r="L468" s="566"/>
      <c r="M468" s="566"/>
      <c r="N468" s="566"/>
      <c r="O468" s="582"/>
      <c r="P468" s="562" t="s">
        <v>75</v>
      </c>
      <c r="Q468" s="563"/>
      <c r="R468" s="563"/>
      <c r="S468" s="563"/>
      <c r="T468" s="563"/>
      <c r="U468" s="563"/>
      <c r="V468" s="564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6"/>
      <c r="B469" s="566"/>
      <c r="C469" s="566"/>
      <c r="D469" s="566"/>
      <c r="E469" s="566"/>
      <c r="F469" s="566"/>
      <c r="G469" s="566"/>
      <c r="H469" s="566"/>
      <c r="I469" s="566"/>
      <c r="J469" s="566"/>
      <c r="K469" s="566"/>
      <c r="L469" s="566"/>
      <c r="M469" s="566"/>
      <c r="N469" s="566"/>
      <c r="O469" s="582"/>
      <c r="P469" s="562" t="s">
        <v>75</v>
      </c>
      <c r="Q469" s="563"/>
      <c r="R469" s="563"/>
      <c r="S469" s="563"/>
      <c r="T469" s="563"/>
      <c r="U469" s="563"/>
      <c r="V469" s="564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7" t="s">
        <v>135</v>
      </c>
      <c r="B470" s="566"/>
      <c r="C470" s="566"/>
      <c r="D470" s="566"/>
      <c r="E470" s="566"/>
      <c r="F470" s="566"/>
      <c r="G470" s="566"/>
      <c r="H470" s="566"/>
      <c r="I470" s="566"/>
      <c r="J470" s="566"/>
      <c r="K470" s="566"/>
      <c r="L470" s="566"/>
      <c r="M470" s="566"/>
      <c r="N470" s="566"/>
      <c r="O470" s="566"/>
      <c r="P470" s="566"/>
      <c r="Q470" s="566"/>
      <c r="R470" s="566"/>
      <c r="S470" s="566"/>
      <c r="T470" s="566"/>
      <c r="U470" s="566"/>
      <c r="V470" s="566"/>
      <c r="W470" s="566"/>
      <c r="X470" s="566"/>
      <c r="Y470" s="566"/>
      <c r="Z470" s="566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8">
        <v>4640242180519</v>
      </c>
      <c r="E471" s="559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8">
        <v>4640242180526</v>
      </c>
      <c r="E472" s="559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81"/>
      <c r="B473" s="566"/>
      <c r="C473" s="566"/>
      <c r="D473" s="566"/>
      <c r="E473" s="566"/>
      <c r="F473" s="566"/>
      <c r="G473" s="566"/>
      <c r="H473" s="566"/>
      <c r="I473" s="566"/>
      <c r="J473" s="566"/>
      <c r="K473" s="566"/>
      <c r="L473" s="566"/>
      <c r="M473" s="566"/>
      <c r="N473" s="566"/>
      <c r="O473" s="582"/>
      <c r="P473" s="562" t="s">
        <v>75</v>
      </c>
      <c r="Q473" s="563"/>
      <c r="R473" s="563"/>
      <c r="S473" s="563"/>
      <c r="T473" s="563"/>
      <c r="U473" s="563"/>
      <c r="V473" s="564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6"/>
      <c r="B474" s="566"/>
      <c r="C474" s="566"/>
      <c r="D474" s="566"/>
      <c r="E474" s="566"/>
      <c r="F474" s="566"/>
      <c r="G474" s="566"/>
      <c r="H474" s="566"/>
      <c r="I474" s="566"/>
      <c r="J474" s="566"/>
      <c r="K474" s="566"/>
      <c r="L474" s="566"/>
      <c r="M474" s="566"/>
      <c r="N474" s="566"/>
      <c r="O474" s="582"/>
      <c r="P474" s="562" t="s">
        <v>75</v>
      </c>
      <c r="Q474" s="563"/>
      <c r="R474" s="563"/>
      <c r="S474" s="563"/>
      <c r="T474" s="563"/>
      <c r="U474" s="563"/>
      <c r="V474" s="564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7" t="s">
        <v>64</v>
      </c>
      <c r="B475" s="566"/>
      <c r="C475" s="566"/>
      <c r="D475" s="566"/>
      <c r="E475" s="566"/>
      <c r="F475" s="566"/>
      <c r="G475" s="566"/>
      <c r="H475" s="566"/>
      <c r="I475" s="566"/>
      <c r="J475" s="566"/>
      <c r="K475" s="566"/>
      <c r="L475" s="566"/>
      <c r="M475" s="566"/>
      <c r="N475" s="566"/>
      <c r="O475" s="566"/>
      <c r="P475" s="566"/>
      <c r="Q475" s="566"/>
      <c r="R475" s="566"/>
      <c r="S475" s="566"/>
      <c r="T475" s="566"/>
      <c r="U475" s="566"/>
      <c r="V475" s="566"/>
      <c r="W475" s="566"/>
      <c r="X475" s="566"/>
      <c r="Y475" s="566"/>
      <c r="Z475" s="566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8">
        <v>4640242180595</v>
      </c>
      <c r="E476" s="559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81"/>
      <c r="B477" s="566"/>
      <c r="C477" s="566"/>
      <c r="D477" s="566"/>
      <c r="E477" s="566"/>
      <c r="F477" s="566"/>
      <c r="G477" s="566"/>
      <c r="H477" s="566"/>
      <c r="I477" s="566"/>
      <c r="J477" s="566"/>
      <c r="K477" s="566"/>
      <c r="L477" s="566"/>
      <c r="M477" s="566"/>
      <c r="N477" s="566"/>
      <c r="O477" s="582"/>
      <c r="P477" s="562" t="s">
        <v>75</v>
      </c>
      <c r="Q477" s="563"/>
      <c r="R477" s="563"/>
      <c r="S477" s="563"/>
      <c r="T477" s="563"/>
      <c r="U477" s="563"/>
      <c r="V477" s="564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6"/>
      <c r="B478" s="566"/>
      <c r="C478" s="566"/>
      <c r="D478" s="566"/>
      <c r="E478" s="566"/>
      <c r="F478" s="566"/>
      <c r="G478" s="566"/>
      <c r="H478" s="566"/>
      <c r="I478" s="566"/>
      <c r="J478" s="566"/>
      <c r="K478" s="566"/>
      <c r="L478" s="566"/>
      <c r="M478" s="566"/>
      <c r="N478" s="566"/>
      <c r="O478" s="582"/>
      <c r="P478" s="562" t="s">
        <v>75</v>
      </c>
      <c r="Q478" s="563"/>
      <c r="R478" s="563"/>
      <c r="S478" s="563"/>
      <c r="T478" s="563"/>
      <c r="U478" s="563"/>
      <c r="V478" s="564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7" t="s">
        <v>77</v>
      </c>
      <c r="B479" s="566"/>
      <c r="C479" s="566"/>
      <c r="D479" s="566"/>
      <c r="E479" s="566"/>
      <c r="F479" s="566"/>
      <c r="G479" s="566"/>
      <c r="H479" s="566"/>
      <c r="I479" s="566"/>
      <c r="J479" s="566"/>
      <c r="K479" s="566"/>
      <c r="L479" s="566"/>
      <c r="M479" s="566"/>
      <c r="N479" s="566"/>
      <c r="O479" s="566"/>
      <c r="P479" s="566"/>
      <c r="Q479" s="566"/>
      <c r="R479" s="566"/>
      <c r="S479" s="566"/>
      <c r="T479" s="566"/>
      <c r="U479" s="566"/>
      <c r="V479" s="566"/>
      <c r="W479" s="566"/>
      <c r="X479" s="566"/>
      <c r="Y479" s="566"/>
      <c r="Z479" s="566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8">
        <v>4640242180533</v>
      </c>
      <c r="E480" s="559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81"/>
      <c r="B481" s="566"/>
      <c r="C481" s="566"/>
      <c r="D481" s="566"/>
      <c r="E481" s="566"/>
      <c r="F481" s="566"/>
      <c r="G481" s="566"/>
      <c r="H481" s="566"/>
      <c r="I481" s="566"/>
      <c r="J481" s="566"/>
      <c r="K481" s="566"/>
      <c r="L481" s="566"/>
      <c r="M481" s="566"/>
      <c r="N481" s="566"/>
      <c r="O481" s="582"/>
      <c r="P481" s="562" t="s">
        <v>75</v>
      </c>
      <c r="Q481" s="563"/>
      <c r="R481" s="563"/>
      <c r="S481" s="563"/>
      <c r="T481" s="563"/>
      <c r="U481" s="563"/>
      <c r="V481" s="564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6"/>
      <c r="B482" s="566"/>
      <c r="C482" s="566"/>
      <c r="D482" s="566"/>
      <c r="E482" s="566"/>
      <c r="F482" s="566"/>
      <c r="G482" s="566"/>
      <c r="H482" s="566"/>
      <c r="I482" s="566"/>
      <c r="J482" s="566"/>
      <c r="K482" s="566"/>
      <c r="L482" s="566"/>
      <c r="M482" s="566"/>
      <c r="N482" s="566"/>
      <c r="O482" s="582"/>
      <c r="P482" s="562" t="s">
        <v>75</v>
      </c>
      <c r="Q482" s="563"/>
      <c r="R482" s="563"/>
      <c r="S482" s="563"/>
      <c r="T482" s="563"/>
      <c r="U482" s="563"/>
      <c r="V482" s="564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67" t="s">
        <v>160</v>
      </c>
      <c r="B483" s="566"/>
      <c r="C483" s="566"/>
      <c r="D483" s="566"/>
      <c r="E483" s="566"/>
      <c r="F483" s="566"/>
      <c r="G483" s="566"/>
      <c r="H483" s="566"/>
      <c r="I483" s="566"/>
      <c r="J483" s="566"/>
      <c r="K483" s="566"/>
      <c r="L483" s="566"/>
      <c r="M483" s="566"/>
      <c r="N483" s="566"/>
      <c r="O483" s="566"/>
      <c r="P483" s="566"/>
      <c r="Q483" s="566"/>
      <c r="R483" s="566"/>
      <c r="S483" s="566"/>
      <c r="T483" s="566"/>
      <c r="U483" s="566"/>
      <c r="V483" s="566"/>
      <c r="W483" s="566"/>
      <c r="X483" s="566"/>
      <c r="Y483" s="566"/>
      <c r="Z483" s="566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8">
        <v>4640242180120</v>
      </c>
      <c r="E484" s="559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8">
        <v>4640242180137</v>
      </c>
      <c r="E485" s="559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81"/>
      <c r="B486" s="566"/>
      <c r="C486" s="566"/>
      <c r="D486" s="566"/>
      <c r="E486" s="566"/>
      <c r="F486" s="566"/>
      <c r="G486" s="566"/>
      <c r="H486" s="566"/>
      <c r="I486" s="566"/>
      <c r="J486" s="566"/>
      <c r="K486" s="566"/>
      <c r="L486" s="566"/>
      <c r="M486" s="566"/>
      <c r="N486" s="566"/>
      <c r="O486" s="582"/>
      <c r="P486" s="562" t="s">
        <v>75</v>
      </c>
      <c r="Q486" s="563"/>
      <c r="R486" s="563"/>
      <c r="S486" s="563"/>
      <c r="T486" s="563"/>
      <c r="U486" s="563"/>
      <c r="V486" s="564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6"/>
      <c r="B487" s="566"/>
      <c r="C487" s="566"/>
      <c r="D487" s="566"/>
      <c r="E487" s="566"/>
      <c r="F487" s="566"/>
      <c r="G487" s="566"/>
      <c r="H487" s="566"/>
      <c r="I487" s="566"/>
      <c r="J487" s="566"/>
      <c r="K487" s="566"/>
      <c r="L487" s="566"/>
      <c r="M487" s="566"/>
      <c r="N487" s="566"/>
      <c r="O487" s="582"/>
      <c r="P487" s="562" t="s">
        <v>75</v>
      </c>
      <c r="Q487" s="563"/>
      <c r="R487" s="563"/>
      <c r="S487" s="563"/>
      <c r="T487" s="563"/>
      <c r="U487" s="563"/>
      <c r="V487" s="564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5" t="s">
        <v>743</v>
      </c>
      <c r="B488" s="566"/>
      <c r="C488" s="566"/>
      <c r="D488" s="566"/>
      <c r="E488" s="566"/>
      <c r="F488" s="566"/>
      <c r="G488" s="566"/>
      <c r="H488" s="566"/>
      <c r="I488" s="566"/>
      <c r="J488" s="566"/>
      <c r="K488" s="566"/>
      <c r="L488" s="566"/>
      <c r="M488" s="566"/>
      <c r="N488" s="566"/>
      <c r="O488" s="566"/>
      <c r="P488" s="566"/>
      <c r="Q488" s="566"/>
      <c r="R488" s="566"/>
      <c r="S488" s="566"/>
      <c r="T488" s="566"/>
      <c r="U488" s="566"/>
      <c r="V488" s="566"/>
      <c r="W488" s="566"/>
      <c r="X488" s="566"/>
      <c r="Y488" s="566"/>
      <c r="Z488" s="566"/>
      <c r="AA488" s="544"/>
      <c r="AB488" s="544"/>
      <c r="AC488" s="544"/>
    </row>
    <row r="489" spans="1:68" ht="14.25" hidden="1" customHeight="1" x14ac:dyDescent="0.25">
      <c r="A489" s="567" t="s">
        <v>135</v>
      </c>
      <c r="B489" s="566"/>
      <c r="C489" s="566"/>
      <c r="D489" s="566"/>
      <c r="E489" s="566"/>
      <c r="F489" s="566"/>
      <c r="G489" s="566"/>
      <c r="H489" s="566"/>
      <c r="I489" s="566"/>
      <c r="J489" s="566"/>
      <c r="K489" s="566"/>
      <c r="L489" s="566"/>
      <c r="M489" s="566"/>
      <c r="N489" s="566"/>
      <c r="O489" s="566"/>
      <c r="P489" s="566"/>
      <c r="Q489" s="566"/>
      <c r="R489" s="566"/>
      <c r="S489" s="566"/>
      <c r="T489" s="566"/>
      <c r="U489" s="566"/>
      <c r="V489" s="566"/>
      <c r="W489" s="566"/>
      <c r="X489" s="566"/>
      <c r="Y489" s="566"/>
      <c r="Z489" s="566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8">
        <v>4640242180090</v>
      </c>
      <c r="E490" s="559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8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81"/>
      <c r="B491" s="566"/>
      <c r="C491" s="566"/>
      <c r="D491" s="566"/>
      <c r="E491" s="566"/>
      <c r="F491" s="566"/>
      <c r="G491" s="566"/>
      <c r="H491" s="566"/>
      <c r="I491" s="566"/>
      <c r="J491" s="566"/>
      <c r="K491" s="566"/>
      <c r="L491" s="566"/>
      <c r="M491" s="566"/>
      <c r="N491" s="566"/>
      <c r="O491" s="582"/>
      <c r="P491" s="562" t="s">
        <v>75</v>
      </c>
      <c r="Q491" s="563"/>
      <c r="R491" s="563"/>
      <c r="S491" s="563"/>
      <c r="T491" s="563"/>
      <c r="U491" s="563"/>
      <c r="V491" s="564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6"/>
      <c r="B492" s="566"/>
      <c r="C492" s="566"/>
      <c r="D492" s="566"/>
      <c r="E492" s="566"/>
      <c r="F492" s="566"/>
      <c r="G492" s="566"/>
      <c r="H492" s="566"/>
      <c r="I492" s="566"/>
      <c r="J492" s="566"/>
      <c r="K492" s="566"/>
      <c r="L492" s="566"/>
      <c r="M492" s="566"/>
      <c r="N492" s="566"/>
      <c r="O492" s="582"/>
      <c r="P492" s="562" t="s">
        <v>75</v>
      </c>
      <c r="Q492" s="563"/>
      <c r="R492" s="563"/>
      <c r="S492" s="563"/>
      <c r="T492" s="563"/>
      <c r="U492" s="563"/>
      <c r="V492" s="564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5"/>
      <c r="B493" s="566"/>
      <c r="C493" s="566"/>
      <c r="D493" s="566"/>
      <c r="E493" s="566"/>
      <c r="F493" s="566"/>
      <c r="G493" s="566"/>
      <c r="H493" s="566"/>
      <c r="I493" s="566"/>
      <c r="J493" s="566"/>
      <c r="K493" s="566"/>
      <c r="L493" s="566"/>
      <c r="M493" s="566"/>
      <c r="N493" s="566"/>
      <c r="O493" s="722"/>
      <c r="P493" s="716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2125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2183.4000000000005</v>
      </c>
      <c r="Z493" s="37"/>
      <c r="AA493" s="552"/>
      <c r="AB493" s="552"/>
      <c r="AC493" s="552"/>
    </row>
    <row r="494" spans="1:68" x14ac:dyDescent="0.2">
      <c r="A494" s="566"/>
      <c r="B494" s="566"/>
      <c r="C494" s="566"/>
      <c r="D494" s="566"/>
      <c r="E494" s="566"/>
      <c r="F494" s="566"/>
      <c r="G494" s="566"/>
      <c r="H494" s="566"/>
      <c r="I494" s="566"/>
      <c r="J494" s="566"/>
      <c r="K494" s="566"/>
      <c r="L494" s="566"/>
      <c r="M494" s="566"/>
      <c r="N494" s="566"/>
      <c r="O494" s="722"/>
      <c r="P494" s="716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2255.4072126823789</v>
      </c>
      <c r="Y494" s="551">
        <f>IFERROR(SUM(BN22:BN490),"0")</f>
        <v>2316.79</v>
      </c>
      <c r="Z494" s="37"/>
      <c r="AA494" s="552"/>
      <c r="AB494" s="552"/>
      <c r="AC494" s="552"/>
    </row>
    <row r="495" spans="1:68" x14ac:dyDescent="0.2">
      <c r="A495" s="566"/>
      <c r="B495" s="566"/>
      <c r="C495" s="566"/>
      <c r="D495" s="566"/>
      <c r="E495" s="566"/>
      <c r="F495" s="566"/>
      <c r="G495" s="566"/>
      <c r="H495" s="566"/>
      <c r="I495" s="566"/>
      <c r="J495" s="566"/>
      <c r="K495" s="566"/>
      <c r="L495" s="566"/>
      <c r="M495" s="566"/>
      <c r="N495" s="566"/>
      <c r="O495" s="722"/>
      <c r="P495" s="716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4</v>
      </c>
      <c r="Y495" s="38">
        <f>ROUNDUP(SUM(BP22:BP490),0)</f>
        <v>4</v>
      </c>
      <c r="Z495" s="37"/>
      <c r="AA495" s="552"/>
      <c r="AB495" s="552"/>
      <c r="AC495" s="552"/>
    </row>
    <row r="496" spans="1:68" x14ac:dyDescent="0.2">
      <c r="A496" s="566"/>
      <c r="B496" s="566"/>
      <c r="C496" s="566"/>
      <c r="D496" s="566"/>
      <c r="E496" s="566"/>
      <c r="F496" s="566"/>
      <c r="G496" s="566"/>
      <c r="H496" s="566"/>
      <c r="I496" s="566"/>
      <c r="J496" s="566"/>
      <c r="K496" s="566"/>
      <c r="L496" s="566"/>
      <c r="M496" s="566"/>
      <c r="N496" s="566"/>
      <c r="O496" s="722"/>
      <c r="P496" s="716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2355.4072126823789</v>
      </c>
      <c r="Y496" s="551">
        <f>GrossWeightTotalR+PalletQtyTotalR*25</f>
        <v>2416.79</v>
      </c>
      <c r="Z496" s="37"/>
      <c r="AA496" s="552"/>
      <c r="AB496" s="552"/>
      <c r="AC496" s="552"/>
    </row>
    <row r="497" spans="1:32" x14ac:dyDescent="0.2">
      <c r="A497" s="566"/>
      <c r="B497" s="566"/>
      <c r="C497" s="566"/>
      <c r="D497" s="566"/>
      <c r="E497" s="566"/>
      <c r="F497" s="566"/>
      <c r="G497" s="566"/>
      <c r="H497" s="566"/>
      <c r="I497" s="566"/>
      <c r="J497" s="566"/>
      <c r="K497" s="566"/>
      <c r="L497" s="566"/>
      <c r="M497" s="566"/>
      <c r="N497" s="566"/>
      <c r="O497" s="722"/>
      <c r="P497" s="716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387.37523525856864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395</v>
      </c>
      <c r="Z497" s="37"/>
      <c r="AA497" s="552"/>
      <c r="AB497" s="552"/>
      <c r="AC497" s="552"/>
    </row>
    <row r="498" spans="1:32" ht="14.25" hidden="1" customHeight="1" x14ac:dyDescent="0.2">
      <c r="A498" s="566"/>
      <c r="B498" s="566"/>
      <c r="C498" s="566"/>
      <c r="D498" s="566"/>
      <c r="E498" s="566"/>
      <c r="F498" s="566"/>
      <c r="G498" s="566"/>
      <c r="H498" s="566"/>
      <c r="I498" s="566"/>
      <c r="J498" s="566"/>
      <c r="K498" s="566"/>
      <c r="L498" s="566"/>
      <c r="M498" s="566"/>
      <c r="N498" s="566"/>
      <c r="O498" s="722"/>
      <c r="P498" s="716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4.6497599999999997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91" t="s">
        <v>97</v>
      </c>
      <c r="D500" s="746"/>
      <c r="E500" s="746"/>
      <c r="F500" s="746"/>
      <c r="G500" s="746"/>
      <c r="H500" s="747"/>
      <c r="I500" s="591" t="s">
        <v>266</v>
      </c>
      <c r="J500" s="746"/>
      <c r="K500" s="746"/>
      <c r="L500" s="746"/>
      <c r="M500" s="746"/>
      <c r="N500" s="746"/>
      <c r="O500" s="746"/>
      <c r="P500" s="746"/>
      <c r="Q500" s="746"/>
      <c r="R500" s="747"/>
      <c r="S500" s="591" t="s">
        <v>553</v>
      </c>
      <c r="T500" s="747"/>
      <c r="U500" s="591" t="s">
        <v>607</v>
      </c>
      <c r="V500" s="746"/>
      <c r="W500" s="747"/>
      <c r="X500" s="546" t="s">
        <v>658</v>
      </c>
      <c r="Y500" s="591" t="s">
        <v>713</v>
      </c>
      <c r="Z500" s="747"/>
      <c r="AB500" s="52"/>
      <c r="AC500" s="52"/>
      <c r="AF500" s="547"/>
    </row>
    <row r="501" spans="1:32" ht="14.25" customHeight="1" thickTop="1" x14ac:dyDescent="0.2">
      <c r="A501" s="759" t="s">
        <v>756</v>
      </c>
      <c r="B501" s="591" t="s">
        <v>63</v>
      </c>
      <c r="C501" s="591" t="s">
        <v>98</v>
      </c>
      <c r="D501" s="591" t="s">
        <v>116</v>
      </c>
      <c r="E501" s="591" t="s">
        <v>167</v>
      </c>
      <c r="F501" s="591" t="s">
        <v>190</v>
      </c>
      <c r="G501" s="591" t="s">
        <v>227</v>
      </c>
      <c r="H501" s="591" t="s">
        <v>97</v>
      </c>
      <c r="I501" s="591" t="s">
        <v>267</v>
      </c>
      <c r="J501" s="591" t="s">
        <v>322</v>
      </c>
      <c r="K501" s="591" t="s">
        <v>382</v>
      </c>
      <c r="L501" s="591" t="s">
        <v>423</v>
      </c>
      <c r="M501" s="591" t="s">
        <v>439</v>
      </c>
      <c r="N501" s="547"/>
      <c r="O501" s="591" t="s">
        <v>450</v>
      </c>
      <c r="P501" s="591" t="s">
        <v>459</v>
      </c>
      <c r="Q501" s="591" t="s">
        <v>472</v>
      </c>
      <c r="R501" s="591" t="s">
        <v>543</v>
      </c>
      <c r="S501" s="591" t="s">
        <v>554</v>
      </c>
      <c r="T501" s="591" t="s">
        <v>589</v>
      </c>
      <c r="U501" s="591" t="s">
        <v>608</v>
      </c>
      <c r="V501" s="591" t="s">
        <v>639</v>
      </c>
      <c r="W501" s="591" t="s">
        <v>654</v>
      </c>
      <c r="X501" s="591" t="s">
        <v>658</v>
      </c>
      <c r="Y501" s="591" t="s">
        <v>713</v>
      </c>
      <c r="Z501" s="591" t="s">
        <v>743</v>
      </c>
      <c r="AB501" s="52"/>
      <c r="AC501" s="52"/>
      <c r="AF501" s="547"/>
    </row>
    <row r="502" spans="1:32" ht="13.5" customHeight="1" thickBot="1" x14ac:dyDescent="0.25">
      <c r="A502" s="760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153.9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153.9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242.39999999999998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124.8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101.39999999999999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615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792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03,00"/>
        <filter val="115,00"/>
        <filter val="12,44"/>
        <filter val="124,00"/>
        <filter val="125,00"/>
        <filter val="13,20"/>
        <filter val="149,00"/>
        <filter val="150,00"/>
        <filter val="18,40"/>
        <filter val="18,52"/>
        <filter val="188,00"/>
        <filter val="198,00"/>
        <filter val="2 125,00"/>
        <filter val="2 255,41"/>
        <filter val="2 355,41"/>
        <filter val="202,00"/>
        <filter val="240,00"/>
        <filter val="250,00"/>
        <filter val="26,00"/>
        <filter val="28,41"/>
        <filter val="377,00"/>
        <filter val="387,38"/>
        <filter val="390,00"/>
        <filter val="4"/>
        <filter val="47,35"/>
        <filter val="51,67"/>
        <filter val="57,00"/>
        <filter val="67,00"/>
        <filter val="71,40"/>
        <filter val="73,00"/>
        <filter val="74,00"/>
        <filter val="97,00"/>
      </filters>
    </filterColumn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P491:V491"/>
    <mergeCell ref="P480:T480"/>
    <mergeCell ref="D108:E108"/>
    <mergeCell ref="D375:E375"/>
    <mergeCell ref="P273:T273"/>
    <mergeCell ref="D443:E443"/>
    <mergeCell ref="P487:V487"/>
    <mergeCell ref="P266:T266"/>
    <mergeCell ref="A212:O213"/>
    <mergeCell ref="P236:T236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A486:O487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A418:O419"/>
    <mergeCell ref="P186:V186"/>
    <mergeCell ref="A356:O357"/>
    <mergeCell ref="D169:E169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P52:T52"/>
    <mergeCell ref="P350:T350"/>
    <mergeCell ref="P201:V20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423:O424"/>
    <mergeCell ref="D211:E211"/>
    <mergeCell ref="P168:T168"/>
    <mergeCell ref="P190:V190"/>
    <mergeCell ref="P131:T131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P384:T384"/>
    <mergeCell ref="D78:E78"/>
    <mergeCell ref="A378:Z378"/>
    <mergeCell ref="D205:E205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379:E379"/>
    <mergeCell ref="D208:E208"/>
    <mergeCell ref="A63:O64"/>
    <mergeCell ref="H1:Q1"/>
    <mergeCell ref="P345:V345"/>
    <mergeCell ref="P246:V246"/>
    <mergeCell ref="D28:E28"/>
    <mergeCell ref="D1:F1"/>
    <mergeCell ref="L17:L18"/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2 X168 X170 X177 X195 X204:X209 X211 X215:X218 X220:X223 X240 X262 X264 X280:X281 X306 X314 X322 X329:X330 X342:X343 X349:X351 X359 X374 X379 X384:X385 X394 X428 X431:X432 X434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2026-01-21T13:00:39Z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