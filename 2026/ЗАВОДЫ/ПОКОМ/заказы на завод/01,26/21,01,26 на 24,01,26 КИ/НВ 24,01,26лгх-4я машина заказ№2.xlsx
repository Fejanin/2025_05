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27BD91F-5792-4A4E-A6AA-343E918CB92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X412" i="1"/>
  <c r="Y411" i="1"/>
  <c r="X411" i="1"/>
  <c r="BP410" i="1"/>
  <c r="BO410" i="1"/>
  <c r="BN410" i="1"/>
  <c r="BM410" i="1"/>
  <c r="Z410" i="1"/>
  <c r="Z411" i="1" s="1"/>
  <c r="Y410" i="1"/>
  <c r="P410" i="1"/>
  <c r="X407" i="1"/>
  <c r="Y406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Y376" i="1" s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X362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X293" i="1"/>
  <c r="BO292" i="1"/>
  <c r="BM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O262" i="1"/>
  <c r="BM262" i="1"/>
  <c r="Y262" i="1"/>
  <c r="P262" i="1"/>
  <c r="X259" i="1"/>
  <c r="X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BP254" i="1" s="1"/>
  <c r="P254" i="1"/>
  <c r="BP253" i="1"/>
  <c r="BO253" i="1"/>
  <c r="BN253" i="1"/>
  <c r="BM253" i="1"/>
  <c r="Z253" i="1"/>
  <c r="Y253" i="1"/>
  <c r="P253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Y246" i="1"/>
  <c r="X246" i="1"/>
  <c r="BP245" i="1"/>
  <c r="BO245" i="1"/>
  <c r="BN245" i="1"/>
  <c r="BM245" i="1"/>
  <c r="Z245" i="1"/>
  <c r="Z246" i="1" s="1"/>
  <c r="Y245" i="1"/>
  <c r="Y247" i="1" s="1"/>
  <c r="P245" i="1"/>
  <c r="X243" i="1"/>
  <c r="X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X230" i="1"/>
  <c r="X229" i="1"/>
  <c r="BO228" i="1"/>
  <c r="BM228" i="1"/>
  <c r="Y228" i="1"/>
  <c r="BP228" i="1" s="1"/>
  <c r="P228" i="1"/>
  <c r="BO227" i="1"/>
  <c r="BM227" i="1"/>
  <c r="Y227" i="1"/>
  <c r="Y230" i="1" s="1"/>
  <c r="P227" i="1"/>
  <c r="X225" i="1"/>
  <c r="X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P215" i="1"/>
  <c r="X213" i="1"/>
  <c r="X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Y202" i="1" s="1"/>
  <c r="P199" i="1"/>
  <c r="X197" i="1"/>
  <c r="X196" i="1"/>
  <c r="BO195" i="1"/>
  <c r="BM195" i="1"/>
  <c r="Y195" i="1"/>
  <c r="BP195" i="1" s="1"/>
  <c r="P195" i="1"/>
  <c r="BO194" i="1"/>
  <c r="BM194" i="1"/>
  <c r="Y194" i="1"/>
  <c r="Y196" i="1" s="1"/>
  <c r="P194" i="1"/>
  <c r="X191" i="1"/>
  <c r="X190" i="1"/>
  <c r="BO189" i="1"/>
  <c r="BM189" i="1"/>
  <c r="Y189" i="1"/>
  <c r="Y191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O183" i="1"/>
  <c r="BM183" i="1"/>
  <c r="Y183" i="1"/>
  <c r="Y187" i="1" s="1"/>
  <c r="P183" i="1"/>
  <c r="X181" i="1"/>
  <c r="X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Y157" i="1" s="1"/>
  <c r="P156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O132" i="1"/>
  <c r="BN132" i="1"/>
  <c r="BM132" i="1"/>
  <c r="Z132" i="1"/>
  <c r="Y132" i="1"/>
  <c r="BP132" i="1" s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Y119" i="1" s="1"/>
  <c r="P114" i="1"/>
  <c r="X112" i="1"/>
  <c r="X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49" i="1" l="1"/>
  <c r="BN149" i="1"/>
  <c r="Z149" i="1"/>
  <c r="BP179" i="1"/>
  <c r="BN179" i="1"/>
  <c r="Z179" i="1"/>
  <c r="BP210" i="1"/>
  <c r="BN210" i="1"/>
  <c r="Z210" i="1"/>
  <c r="BP237" i="1"/>
  <c r="BN237" i="1"/>
  <c r="Z237" i="1"/>
  <c r="BP239" i="1"/>
  <c r="BN239" i="1"/>
  <c r="Z239" i="1"/>
  <c r="BP274" i="1"/>
  <c r="BN274" i="1"/>
  <c r="Z274" i="1"/>
  <c r="BP301" i="1"/>
  <c r="BN301" i="1"/>
  <c r="Z301" i="1"/>
  <c r="BP329" i="1"/>
  <c r="BN329" i="1"/>
  <c r="Z329" i="1"/>
  <c r="BP375" i="1"/>
  <c r="BN375" i="1"/>
  <c r="Z375" i="1"/>
  <c r="BP379" i="1"/>
  <c r="BN379" i="1"/>
  <c r="Z379" i="1"/>
  <c r="Y424" i="1"/>
  <c r="Y423" i="1"/>
  <c r="BP422" i="1"/>
  <c r="BN422" i="1"/>
  <c r="Z422" i="1"/>
  <c r="Z423" i="1" s="1"/>
  <c r="BP428" i="1"/>
  <c r="BN428" i="1"/>
  <c r="Z428" i="1"/>
  <c r="BP452" i="1"/>
  <c r="BN452" i="1"/>
  <c r="Z452" i="1"/>
  <c r="Z34" i="1"/>
  <c r="Z35" i="1" s="1"/>
  <c r="BN34" i="1"/>
  <c r="BP34" i="1"/>
  <c r="Y35" i="1"/>
  <c r="Z40" i="1"/>
  <c r="BN40" i="1"/>
  <c r="Z55" i="1"/>
  <c r="BN55" i="1"/>
  <c r="Z73" i="1"/>
  <c r="BN73" i="1"/>
  <c r="Z92" i="1"/>
  <c r="BN92" i="1"/>
  <c r="Z103" i="1"/>
  <c r="BN103" i="1"/>
  <c r="Y111" i="1"/>
  <c r="Z117" i="1"/>
  <c r="BN117" i="1"/>
  <c r="BP171" i="1"/>
  <c r="BN171" i="1"/>
  <c r="Z171" i="1"/>
  <c r="BP200" i="1"/>
  <c r="BN200" i="1"/>
  <c r="Z200" i="1"/>
  <c r="BP222" i="1"/>
  <c r="BN222" i="1"/>
  <c r="Z222" i="1"/>
  <c r="BP257" i="1"/>
  <c r="BN257" i="1"/>
  <c r="Z257" i="1"/>
  <c r="BP286" i="1"/>
  <c r="BN286" i="1"/>
  <c r="Z286" i="1"/>
  <c r="BP315" i="1"/>
  <c r="BN315" i="1"/>
  <c r="Z315" i="1"/>
  <c r="BP352" i="1"/>
  <c r="BN352" i="1"/>
  <c r="Z352" i="1"/>
  <c r="BP397" i="1"/>
  <c r="BN397" i="1"/>
  <c r="Z397" i="1"/>
  <c r="BP436" i="1"/>
  <c r="BN436" i="1"/>
  <c r="Z436" i="1"/>
  <c r="BP472" i="1"/>
  <c r="BN472" i="1"/>
  <c r="Z472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Y212" i="1"/>
  <c r="Y224" i="1"/>
  <c r="J9" i="1"/>
  <c r="BP241" i="1"/>
  <c r="BN241" i="1"/>
  <c r="Z241" i="1"/>
  <c r="BP262" i="1"/>
  <c r="BN262" i="1"/>
  <c r="Z262" i="1"/>
  <c r="Y283" i="1"/>
  <c r="BP279" i="1"/>
  <c r="BN279" i="1"/>
  <c r="Z279" i="1"/>
  <c r="BP299" i="1"/>
  <c r="BN299" i="1"/>
  <c r="Z299" i="1"/>
  <c r="BP309" i="1"/>
  <c r="BN309" i="1"/>
  <c r="Z309" i="1"/>
  <c r="BP323" i="1"/>
  <c r="BN323" i="1"/>
  <c r="Z323" i="1"/>
  <c r="BP327" i="1"/>
  <c r="BN327" i="1"/>
  <c r="Z327" i="1"/>
  <c r="BP350" i="1"/>
  <c r="BN350" i="1"/>
  <c r="Z350" i="1"/>
  <c r="Y366" i="1"/>
  <c r="BP364" i="1"/>
  <c r="BN364" i="1"/>
  <c r="Z364" i="1"/>
  <c r="BP395" i="1"/>
  <c r="BN395" i="1"/>
  <c r="Z395" i="1"/>
  <c r="BP416" i="1"/>
  <c r="BN416" i="1"/>
  <c r="Z416" i="1"/>
  <c r="BP434" i="1"/>
  <c r="BN434" i="1"/>
  <c r="Z434" i="1"/>
  <c r="BP450" i="1"/>
  <c r="BN450" i="1"/>
  <c r="Z450" i="1"/>
  <c r="BP466" i="1"/>
  <c r="BN466" i="1"/>
  <c r="Z466" i="1"/>
  <c r="F9" i="1"/>
  <c r="F10" i="1"/>
  <c r="Z22" i="1"/>
  <c r="BN22" i="1"/>
  <c r="Z30" i="1"/>
  <c r="BN30" i="1"/>
  <c r="Z42" i="1"/>
  <c r="BN42" i="1"/>
  <c r="Z53" i="1"/>
  <c r="BN53" i="1"/>
  <c r="Z61" i="1"/>
  <c r="BN61" i="1"/>
  <c r="Z71" i="1"/>
  <c r="BN71" i="1"/>
  <c r="BP71" i="1"/>
  <c r="Z79" i="1"/>
  <c r="BN79" i="1"/>
  <c r="Z86" i="1"/>
  <c r="BN86" i="1"/>
  <c r="Z94" i="1"/>
  <c r="BN94" i="1"/>
  <c r="F503" i="1"/>
  <c r="Z101" i="1"/>
  <c r="BN101" i="1"/>
  <c r="Z107" i="1"/>
  <c r="BN107" i="1"/>
  <c r="BP107" i="1"/>
  <c r="Z115" i="1"/>
  <c r="BN115" i="1"/>
  <c r="Z121" i="1"/>
  <c r="Z122" i="1" s="1"/>
  <c r="BN121" i="1"/>
  <c r="BP121" i="1"/>
  <c r="Y122" i="1"/>
  <c r="Z126" i="1"/>
  <c r="BN126" i="1"/>
  <c r="Z136" i="1"/>
  <c r="BN136" i="1"/>
  <c r="BP136" i="1"/>
  <c r="H503" i="1"/>
  <c r="Z147" i="1"/>
  <c r="BN147" i="1"/>
  <c r="BP147" i="1"/>
  <c r="Z151" i="1"/>
  <c r="BN151" i="1"/>
  <c r="I503" i="1"/>
  <c r="Y181" i="1"/>
  <c r="Z169" i="1"/>
  <c r="BN169" i="1"/>
  <c r="Z173" i="1"/>
  <c r="BN173" i="1"/>
  <c r="Z177" i="1"/>
  <c r="BN177" i="1"/>
  <c r="Z183" i="1"/>
  <c r="BN183" i="1"/>
  <c r="BP183" i="1"/>
  <c r="Z189" i="1"/>
  <c r="Z190" i="1" s="1"/>
  <c r="BN189" i="1"/>
  <c r="BP189" i="1"/>
  <c r="Y190" i="1"/>
  <c r="Z194" i="1"/>
  <c r="BN194" i="1"/>
  <c r="BP194" i="1"/>
  <c r="Z204" i="1"/>
  <c r="BN204" i="1"/>
  <c r="BP204" i="1"/>
  <c r="Z208" i="1"/>
  <c r="BN208" i="1"/>
  <c r="Z216" i="1"/>
  <c r="BN216" i="1"/>
  <c r="Z220" i="1"/>
  <c r="BN220" i="1"/>
  <c r="Z228" i="1"/>
  <c r="BN228" i="1"/>
  <c r="Z235" i="1"/>
  <c r="BN235" i="1"/>
  <c r="BP255" i="1"/>
  <c r="BN255" i="1"/>
  <c r="Z255" i="1"/>
  <c r="BP272" i="1"/>
  <c r="BN272" i="1"/>
  <c r="Z272" i="1"/>
  <c r="Y282" i="1"/>
  <c r="BP292" i="1"/>
  <c r="BN292" i="1"/>
  <c r="Z292" i="1"/>
  <c r="Y311" i="1"/>
  <c r="BP305" i="1"/>
  <c r="BN305" i="1"/>
  <c r="Z305" i="1"/>
  <c r="BP317" i="1"/>
  <c r="BN317" i="1"/>
  <c r="Z317" i="1"/>
  <c r="BP335" i="1"/>
  <c r="BN335" i="1"/>
  <c r="Z335" i="1"/>
  <c r="BP354" i="1"/>
  <c r="BN354" i="1"/>
  <c r="Z354" i="1"/>
  <c r="BP385" i="1"/>
  <c r="BN385" i="1"/>
  <c r="Z385" i="1"/>
  <c r="BP399" i="1"/>
  <c r="BN399" i="1"/>
  <c r="Z399" i="1"/>
  <c r="BP430" i="1"/>
  <c r="BN430" i="1"/>
  <c r="Z430" i="1"/>
  <c r="BP438" i="1"/>
  <c r="BN438" i="1"/>
  <c r="Z438" i="1"/>
  <c r="BP454" i="1"/>
  <c r="BN454" i="1"/>
  <c r="Z454" i="1"/>
  <c r="Y259" i="1"/>
  <c r="Q503" i="1"/>
  <c r="Y325" i="1"/>
  <c r="Y324" i="1"/>
  <c r="X503" i="1"/>
  <c r="W503" i="1"/>
  <c r="BP23" i="1"/>
  <c r="BN23" i="1"/>
  <c r="Z23" i="1"/>
  <c r="B503" i="1"/>
  <c r="Y25" i="1"/>
  <c r="Y32" i="1"/>
  <c r="BP27" i="1"/>
  <c r="BN27" i="1"/>
  <c r="Z27" i="1"/>
  <c r="Y31" i="1"/>
  <c r="BP41" i="1"/>
  <c r="BN41" i="1"/>
  <c r="Z41" i="1"/>
  <c r="BP54" i="1"/>
  <c r="BN54" i="1"/>
  <c r="Z54" i="1"/>
  <c r="BP62" i="1"/>
  <c r="BN62" i="1"/>
  <c r="Z62" i="1"/>
  <c r="Y64" i="1"/>
  <c r="Y69" i="1"/>
  <c r="BP66" i="1"/>
  <c r="BN66" i="1"/>
  <c r="Z66" i="1"/>
  <c r="Z68" i="1" s="1"/>
  <c r="BP74" i="1"/>
  <c r="BN74" i="1"/>
  <c r="Z74" i="1"/>
  <c r="Y76" i="1"/>
  <c r="Y81" i="1"/>
  <c r="BP78" i="1"/>
  <c r="BN78" i="1"/>
  <c r="Z78" i="1"/>
  <c r="BP87" i="1"/>
  <c r="BN87" i="1"/>
  <c r="Z87" i="1"/>
  <c r="Y89" i="1"/>
  <c r="Y96" i="1"/>
  <c r="BP91" i="1"/>
  <c r="BN91" i="1"/>
  <c r="Z91" i="1"/>
  <c r="Y95" i="1"/>
  <c r="Y24" i="1"/>
  <c r="X497" i="1"/>
  <c r="BP29" i="1"/>
  <c r="BN29" i="1"/>
  <c r="Z29" i="1"/>
  <c r="Y43" i="1"/>
  <c r="BP52" i="1"/>
  <c r="BN52" i="1"/>
  <c r="Z52" i="1"/>
  <c r="BP56" i="1"/>
  <c r="BN56" i="1"/>
  <c r="Z56" i="1"/>
  <c r="Y58" i="1"/>
  <c r="Y63" i="1"/>
  <c r="BP60" i="1"/>
  <c r="BN60" i="1"/>
  <c r="Z60" i="1"/>
  <c r="Y68" i="1"/>
  <c r="BP72" i="1"/>
  <c r="BN72" i="1"/>
  <c r="Z72" i="1"/>
  <c r="Y80" i="1"/>
  <c r="BP85" i="1"/>
  <c r="BN85" i="1"/>
  <c r="Z85" i="1"/>
  <c r="BP93" i="1"/>
  <c r="BN93" i="1"/>
  <c r="Z93" i="1"/>
  <c r="Y104" i="1"/>
  <c r="Y112" i="1"/>
  <c r="Y118" i="1"/>
  <c r="Y129" i="1"/>
  <c r="Y133" i="1"/>
  <c r="Y139" i="1"/>
  <c r="Y144" i="1"/>
  <c r="Y154" i="1"/>
  <c r="Y158" i="1"/>
  <c r="Y164" i="1"/>
  <c r="Y180" i="1"/>
  <c r="Y186" i="1"/>
  <c r="Y197" i="1"/>
  <c r="Y201" i="1"/>
  <c r="Y213" i="1"/>
  <c r="Y225" i="1"/>
  <c r="Y229" i="1"/>
  <c r="Y242" i="1"/>
  <c r="Y258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BP300" i="1"/>
  <c r="BN300" i="1"/>
  <c r="Z300" i="1"/>
  <c r="BP308" i="1"/>
  <c r="BN308" i="1"/>
  <c r="Z308" i="1"/>
  <c r="BP316" i="1"/>
  <c r="BN316" i="1"/>
  <c r="Z316" i="1"/>
  <c r="BP328" i="1"/>
  <c r="BN328" i="1"/>
  <c r="Z328" i="1"/>
  <c r="BP336" i="1"/>
  <c r="BN336" i="1"/>
  <c r="Z336" i="1"/>
  <c r="Y338" i="1"/>
  <c r="R503" i="1"/>
  <c r="Y344" i="1"/>
  <c r="BP341" i="1"/>
  <c r="BN341" i="1"/>
  <c r="Z341" i="1"/>
  <c r="BP351" i="1"/>
  <c r="BN351" i="1"/>
  <c r="Z351" i="1"/>
  <c r="BP355" i="1"/>
  <c r="BN355" i="1"/>
  <c r="Z355" i="1"/>
  <c r="Y357" i="1"/>
  <c r="Y362" i="1"/>
  <c r="BP359" i="1"/>
  <c r="BN359" i="1"/>
  <c r="Z359" i="1"/>
  <c r="Z361" i="1" s="1"/>
  <c r="BP380" i="1"/>
  <c r="BN380" i="1"/>
  <c r="Z380" i="1"/>
  <c r="Y382" i="1"/>
  <c r="Y387" i="1"/>
  <c r="BP384" i="1"/>
  <c r="BN384" i="1"/>
  <c r="Z384" i="1"/>
  <c r="BP394" i="1"/>
  <c r="BN394" i="1"/>
  <c r="Z394" i="1"/>
  <c r="BP398" i="1"/>
  <c r="BN398" i="1"/>
  <c r="Z398" i="1"/>
  <c r="BP415" i="1"/>
  <c r="BN415" i="1"/>
  <c r="Z415" i="1"/>
  <c r="J503" i="1"/>
  <c r="S503" i="1"/>
  <c r="H9" i="1"/>
  <c r="X494" i="1"/>
  <c r="X495" i="1"/>
  <c r="X493" i="1"/>
  <c r="C503" i="1"/>
  <c r="Y44" i="1"/>
  <c r="D503" i="1"/>
  <c r="Y57" i="1"/>
  <c r="E503" i="1"/>
  <c r="Y88" i="1"/>
  <c r="Z100" i="1"/>
  <c r="BN100" i="1"/>
  <c r="Z102" i="1"/>
  <c r="BN102" i="1"/>
  <c r="Y105" i="1"/>
  <c r="Z108" i="1"/>
  <c r="BN108" i="1"/>
  <c r="Z110" i="1"/>
  <c r="BN110" i="1"/>
  <c r="Z114" i="1"/>
  <c r="BN114" i="1"/>
  <c r="BP114" i="1"/>
  <c r="Z116" i="1"/>
  <c r="BN116" i="1"/>
  <c r="G503" i="1"/>
  <c r="Z127" i="1"/>
  <c r="BN127" i="1"/>
  <c r="Y128" i="1"/>
  <c r="Z131" i="1"/>
  <c r="Z133" i="1" s="1"/>
  <c r="BN131" i="1"/>
  <c r="BP131" i="1"/>
  <c r="Z137" i="1"/>
  <c r="BN137" i="1"/>
  <c r="Z142" i="1"/>
  <c r="Z144" i="1" s="1"/>
  <c r="BN142" i="1"/>
  <c r="BP142" i="1"/>
  <c r="Y145" i="1"/>
  <c r="Z148" i="1"/>
  <c r="BN148" i="1"/>
  <c r="Z150" i="1"/>
  <c r="BN150" i="1"/>
  <c r="Z152" i="1"/>
  <c r="BN152" i="1"/>
  <c r="Z156" i="1"/>
  <c r="Z157" i="1" s="1"/>
  <c r="BN156" i="1"/>
  <c r="BP156" i="1"/>
  <c r="Z162" i="1"/>
  <c r="Z163" i="1" s="1"/>
  <c r="BN162" i="1"/>
  <c r="BP162" i="1"/>
  <c r="Y163" i="1"/>
  <c r="Z166" i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4" i="1"/>
  <c r="Z186" i="1" s="1"/>
  <c r="BN184" i="1"/>
  <c r="Z195" i="1"/>
  <c r="BN195" i="1"/>
  <c r="Z199" i="1"/>
  <c r="BN199" i="1"/>
  <c r="BP199" i="1"/>
  <c r="Z205" i="1"/>
  <c r="BN205" i="1"/>
  <c r="Z207" i="1"/>
  <c r="BN207" i="1"/>
  <c r="Z209" i="1"/>
  <c r="BN209" i="1"/>
  <c r="Z211" i="1"/>
  <c r="BN211" i="1"/>
  <c r="Z215" i="1"/>
  <c r="BN215" i="1"/>
  <c r="BP215" i="1"/>
  <c r="Z217" i="1"/>
  <c r="BN217" i="1"/>
  <c r="Z219" i="1"/>
  <c r="BN219" i="1"/>
  <c r="Z221" i="1"/>
  <c r="BN221" i="1"/>
  <c r="Z223" i="1"/>
  <c r="BN223" i="1"/>
  <c r="Z227" i="1"/>
  <c r="BN227" i="1"/>
  <c r="BP227" i="1"/>
  <c r="K503" i="1"/>
  <c r="Z234" i="1"/>
  <c r="BN234" i="1"/>
  <c r="Z236" i="1"/>
  <c r="BN236" i="1"/>
  <c r="Z238" i="1"/>
  <c r="BN238" i="1"/>
  <c r="Z240" i="1"/>
  <c r="BN240" i="1"/>
  <c r="Y243" i="1"/>
  <c r="Z254" i="1"/>
  <c r="BN254" i="1"/>
  <c r="Z256" i="1"/>
  <c r="BN256" i="1"/>
  <c r="L503" i="1"/>
  <c r="Y267" i="1"/>
  <c r="Z263" i="1"/>
  <c r="BN263" i="1"/>
  <c r="Z265" i="1"/>
  <c r="BN265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Z282" i="1" s="1"/>
  <c r="Y293" i="1"/>
  <c r="BP298" i="1"/>
  <c r="BN298" i="1"/>
  <c r="Z298" i="1"/>
  <c r="Z302" i="1" s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Z318" i="1" s="1"/>
  <c r="Y318" i="1"/>
  <c r="Z324" i="1"/>
  <c r="BP322" i="1"/>
  <c r="BN322" i="1"/>
  <c r="Z322" i="1"/>
  <c r="Y331" i="1"/>
  <c r="BP330" i="1"/>
  <c r="BN330" i="1"/>
  <c r="Z330" i="1"/>
  <c r="Y332" i="1"/>
  <c r="Y337" i="1"/>
  <c r="BP334" i="1"/>
  <c r="BN334" i="1"/>
  <c r="Z334" i="1"/>
  <c r="Z337" i="1" s="1"/>
  <c r="BP343" i="1"/>
  <c r="BN343" i="1"/>
  <c r="Z343" i="1"/>
  <c r="Y345" i="1"/>
  <c r="Y356" i="1"/>
  <c r="BP349" i="1"/>
  <c r="BN349" i="1"/>
  <c r="Z349" i="1"/>
  <c r="Z356" i="1" s="1"/>
  <c r="BP353" i="1"/>
  <c r="BN353" i="1"/>
  <c r="Z353" i="1"/>
  <c r="Y361" i="1"/>
  <c r="BP365" i="1"/>
  <c r="BN365" i="1"/>
  <c r="Z365" i="1"/>
  <c r="Y367" i="1"/>
  <c r="Y370" i="1"/>
  <c r="BP369" i="1"/>
  <c r="BN369" i="1"/>
  <c r="Z369" i="1"/>
  <c r="Z370" i="1" s="1"/>
  <c r="Y371" i="1"/>
  <c r="T503" i="1"/>
  <c r="Y377" i="1"/>
  <c r="BP374" i="1"/>
  <c r="BN374" i="1"/>
  <c r="Z374" i="1"/>
  <c r="Z376" i="1" s="1"/>
  <c r="Y381" i="1"/>
  <c r="BP386" i="1"/>
  <c r="BN386" i="1"/>
  <c r="Z386" i="1"/>
  <c r="Y388" i="1"/>
  <c r="U503" i="1"/>
  <c r="Y401" i="1"/>
  <c r="BP392" i="1"/>
  <c r="BN392" i="1"/>
  <c r="Z392" i="1"/>
  <c r="BP396" i="1"/>
  <c r="BN396" i="1"/>
  <c r="Z396" i="1"/>
  <c r="BP400" i="1"/>
  <c r="BN400" i="1"/>
  <c r="Z400" i="1"/>
  <c r="Y402" i="1"/>
  <c r="Y407" i="1"/>
  <c r="BP404" i="1"/>
  <c r="BN404" i="1"/>
  <c r="Z404" i="1"/>
  <c r="Z406" i="1" s="1"/>
  <c r="BP417" i="1"/>
  <c r="BN417" i="1"/>
  <c r="Z417" i="1"/>
  <c r="Z418" i="1" s="1"/>
  <c r="BP431" i="1"/>
  <c r="BN431" i="1"/>
  <c r="Z431" i="1"/>
  <c r="BP435" i="1"/>
  <c r="BN435" i="1"/>
  <c r="Z435" i="1"/>
  <c r="BP439" i="1"/>
  <c r="BN439" i="1"/>
  <c r="Z439" i="1"/>
  <c r="Y441" i="1"/>
  <c r="Y446" i="1"/>
  <c r="BP443" i="1"/>
  <c r="BN443" i="1"/>
  <c r="Z443" i="1"/>
  <c r="Y447" i="1"/>
  <c r="BP451" i="1"/>
  <c r="BN451" i="1"/>
  <c r="Z451" i="1"/>
  <c r="Y455" i="1"/>
  <c r="BP465" i="1"/>
  <c r="BN465" i="1"/>
  <c r="Z465" i="1"/>
  <c r="Y503" i="1"/>
  <c r="Y469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O503" i="1"/>
  <c r="P503" i="1"/>
  <c r="Y288" i="1"/>
  <c r="Y303" i="1"/>
  <c r="V503" i="1"/>
  <c r="Y412" i="1"/>
  <c r="Y419" i="1"/>
  <c r="Y418" i="1"/>
  <c r="BP429" i="1"/>
  <c r="BN429" i="1"/>
  <c r="Z429" i="1"/>
  <c r="BP433" i="1"/>
  <c r="BN433" i="1"/>
  <c r="Z433" i="1"/>
  <c r="BP437" i="1"/>
  <c r="BN437" i="1"/>
  <c r="Z437" i="1"/>
  <c r="BP445" i="1"/>
  <c r="BN445" i="1"/>
  <c r="Z445" i="1"/>
  <c r="Y456" i="1"/>
  <c r="BP449" i="1"/>
  <c r="BN449" i="1"/>
  <c r="Z449" i="1"/>
  <c r="BP453" i="1"/>
  <c r="BN453" i="1"/>
  <c r="Z453" i="1"/>
  <c r="Y468" i="1"/>
  <c r="BP467" i="1"/>
  <c r="BN467" i="1"/>
  <c r="Z467" i="1"/>
  <c r="Y474" i="1"/>
  <c r="BP471" i="1"/>
  <c r="BN471" i="1"/>
  <c r="Z471" i="1"/>
  <c r="Y486" i="1"/>
  <c r="Y440" i="1"/>
  <c r="Z473" i="1" l="1"/>
  <c r="Z331" i="1"/>
  <c r="Z229" i="1"/>
  <c r="Z201" i="1"/>
  <c r="Z196" i="1"/>
  <c r="Z138" i="1"/>
  <c r="Z128" i="1"/>
  <c r="Z381" i="1"/>
  <c r="Z88" i="1"/>
  <c r="Z75" i="1"/>
  <c r="Z63" i="1"/>
  <c r="Z57" i="1"/>
  <c r="Z80" i="1"/>
  <c r="Z446" i="1"/>
  <c r="Z242" i="1"/>
  <c r="Z153" i="1"/>
  <c r="Z111" i="1"/>
  <c r="Y495" i="1"/>
  <c r="Y496" i="1" s="1"/>
  <c r="Y494" i="1"/>
  <c r="Z468" i="1"/>
  <c r="Z440" i="1"/>
  <c r="Z366" i="1"/>
  <c r="Z275" i="1"/>
  <c r="Z267" i="1"/>
  <c r="Z258" i="1"/>
  <c r="Z224" i="1"/>
  <c r="Z212" i="1"/>
  <c r="Z180" i="1"/>
  <c r="Z104" i="1"/>
  <c r="Z293" i="1"/>
  <c r="Z43" i="1"/>
  <c r="Z24" i="1"/>
  <c r="Z344" i="1"/>
  <c r="Y497" i="1"/>
  <c r="Z401" i="1"/>
  <c r="Z455" i="1"/>
  <c r="Z118" i="1"/>
  <c r="X496" i="1"/>
  <c r="Z387" i="1"/>
  <c r="Z95" i="1"/>
  <c r="Z31" i="1"/>
  <c r="Y493" i="1"/>
  <c r="Z498" i="1" l="1"/>
</calcChain>
</file>

<file path=xl/sharedStrings.xml><?xml version="1.0" encoding="utf-8"?>
<sst xmlns="http://schemas.openxmlformats.org/spreadsheetml/2006/main" count="2275" uniqueCount="774">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</sst>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0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7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3" t="s">
        <v>0</v>
      </c>
      <c r="E1" s="574"/>
      <c r="F1" s="574"/>
      <c r="G1" s="12" t="s">
        <v>1</v>
      </c>
      <c r="H1" s="623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6"/>
      <c r="R2" s="566"/>
      <c r="S2" s="566"/>
      <c r="T2" s="566"/>
      <c r="U2" s="566"/>
      <c r="V2" s="566"/>
      <c r="W2" s="566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6"/>
      <c r="Q3" s="566"/>
      <c r="R3" s="566"/>
      <c r="S3" s="566"/>
      <c r="T3" s="566"/>
      <c r="U3" s="566"/>
      <c r="V3" s="566"/>
      <c r="W3" s="566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69" t="s">
        <v>8</v>
      </c>
      <c r="B5" s="670"/>
      <c r="C5" s="671"/>
      <c r="D5" s="627"/>
      <c r="E5" s="628"/>
      <c r="F5" s="840" t="s">
        <v>9</v>
      </c>
      <c r="G5" s="671"/>
      <c r="H5" s="627" t="s">
        <v>773</v>
      </c>
      <c r="I5" s="776"/>
      <c r="J5" s="776"/>
      <c r="K5" s="776"/>
      <c r="L5" s="776"/>
      <c r="M5" s="628"/>
      <c r="N5" s="58"/>
      <c r="P5" s="24" t="s">
        <v>10</v>
      </c>
      <c r="Q5" s="852">
        <v>46046</v>
      </c>
      <c r="R5" s="666"/>
      <c r="T5" s="721" t="s">
        <v>11</v>
      </c>
      <c r="U5" s="722"/>
      <c r="V5" s="723" t="s">
        <v>12</v>
      </c>
      <c r="W5" s="666"/>
      <c r="AB5" s="51"/>
      <c r="AC5" s="51"/>
      <c r="AD5" s="51"/>
      <c r="AE5" s="51"/>
    </row>
    <row r="6" spans="1:32" s="543" customFormat="1" ht="24" customHeight="1" x14ac:dyDescent="0.2">
      <c r="A6" s="669" t="s">
        <v>13</v>
      </c>
      <c r="B6" s="670"/>
      <c r="C6" s="671"/>
      <c r="D6" s="778" t="s">
        <v>14</v>
      </c>
      <c r="E6" s="779"/>
      <c r="F6" s="779"/>
      <c r="G6" s="779"/>
      <c r="H6" s="779"/>
      <c r="I6" s="779"/>
      <c r="J6" s="779"/>
      <c r="K6" s="779"/>
      <c r="L6" s="779"/>
      <c r="M6" s="666"/>
      <c r="N6" s="59"/>
      <c r="P6" s="24" t="s">
        <v>15</v>
      </c>
      <c r="Q6" s="862" t="str">
        <f>IF(Q5=0," ",CHOOSE(WEEKDAY(Q5,2),"Понедельник","Вторник","Среда","Четверг","Пятница","Суббота","Воскресенье"))</f>
        <v>Суббота</v>
      </c>
      <c r="R6" s="559"/>
      <c r="T6" s="726" t="s">
        <v>16</v>
      </c>
      <c r="U6" s="722"/>
      <c r="V6" s="805" t="s">
        <v>17</v>
      </c>
      <c r="W6" s="586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31" t="str">
        <f>IFERROR(VLOOKUP(DeliveryAddress,Table,3,0),1)</f>
        <v>1</v>
      </c>
      <c r="E7" s="632"/>
      <c r="F7" s="632"/>
      <c r="G7" s="632"/>
      <c r="H7" s="632"/>
      <c r="I7" s="632"/>
      <c r="J7" s="632"/>
      <c r="K7" s="632"/>
      <c r="L7" s="632"/>
      <c r="M7" s="633"/>
      <c r="N7" s="60"/>
      <c r="P7" s="24"/>
      <c r="Q7" s="42"/>
      <c r="R7" s="42"/>
      <c r="T7" s="566"/>
      <c r="U7" s="722"/>
      <c r="V7" s="806"/>
      <c r="W7" s="807"/>
      <c r="AB7" s="51"/>
      <c r="AC7" s="51"/>
      <c r="AD7" s="51"/>
      <c r="AE7" s="51"/>
    </row>
    <row r="8" spans="1:32" s="543" customFormat="1" ht="25.5" customHeight="1" x14ac:dyDescent="0.2">
      <c r="A8" s="875" t="s">
        <v>18</v>
      </c>
      <c r="B8" s="563"/>
      <c r="C8" s="564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99">
        <v>0.5</v>
      </c>
      <c r="R8" s="633"/>
      <c r="T8" s="566"/>
      <c r="U8" s="722"/>
      <c r="V8" s="806"/>
      <c r="W8" s="807"/>
      <c r="AB8" s="51"/>
      <c r="AC8" s="51"/>
      <c r="AD8" s="51"/>
      <c r="AE8" s="51"/>
    </row>
    <row r="9" spans="1:32" s="543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6"/>
      <c r="C9" s="566"/>
      <c r="D9" s="690"/>
      <c r="E9" s="561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6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41"/>
      <c r="P9" s="26" t="s">
        <v>21</v>
      </c>
      <c r="Q9" s="659"/>
      <c r="R9" s="660"/>
      <c r="T9" s="566"/>
      <c r="U9" s="722"/>
      <c r="V9" s="808"/>
      <c r="W9" s="809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6"/>
      <c r="C10" s="566"/>
      <c r="D10" s="690"/>
      <c r="E10" s="561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6"/>
      <c r="H10" s="758" t="str">
        <f>IFERROR(VLOOKUP($D$10,Proxy,2,FALSE),"")</f>
        <v/>
      </c>
      <c r="I10" s="566"/>
      <c r="J10" s="566"/>
      <c r="K10" s="566"/>
      <c r="L10" s="566"/>
      <c r="M10" s="566"/>
      <c r="N10" s="542"/>
      <c r="P10" s="26" t="s">
        <v>22</v>
      </c>
      <c r="Q10" s="727"/>
      <c r="R10" s="72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5"/>
      <c r="R11" s="666"/>
      <c r="U11" s="24" t="s">
        <v>27</v>
      </c>
      <c r="V11" s="794" t="s">
        <v>28</v>
      </c>
      <c r="W11" s="660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7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99"/>
      <c r="R12" s="633"/>
      <c r="S12" s="23"/>
      <c r="U12" s="24"/>
      <c r="V12" s="574"/>
      <c r="W12" s="566"/>
      <c r="AB12" s="51"/>
      <c r="AC12" s="51"/>
      <c r="AD12" s="51"/>
      <c r="AE12" s="51"/>
    </row>
    <row r="13" spans="1:32" s="543" customFormat="1" ht="23.25" customHeight="1" x14ac:dyDescent="0.2">
      <c r="A13" s="717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794"/>
      <c r="R13" s="6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7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2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694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5"/>
      <c r="Q16" s="695"/>
      <c r="R16" s="695"/>
      <c r="S16" s="695"/>
      <c r="T16" s="6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703" t="s">
        <v>38</v>
      </c>
      <c r="D17" s="589" t="s">
        <v>39</v>
      </c>
      <c r="E17" s="643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2"/>
      <c r="R17" s="642"/>
      <c r="S17" s="642"/>
      <c r="T17" s="643"/>
      <c r="U17" s="870" t="s">
        <v>51</v>
      </c>
      <c r="V17" s="671"/>
      <c r="W17" s="589" t="s">
        <v>52</v>
      </c>
      <c r="X17" s="589" t="s">
        <v>53</v>
      </c>
      <c r="Y17" s="873" t="s">
        <v>54</v>
      </c>
      <c r="Z17" s="766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35"/>
      <c r="AF17" s="836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44"/>
      <c r="E18" s="646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44"/>
      <c r="Q18" s="645"/>
      <c r="R18" s="645"/>
      <c r="S18" s="645"/>
      <c r="T18" s="646"/>
      <c r="U18" s="67" t="s">
        <v>61</v>
      </c>
      <c r="V18" s="67" t="s">
        <v>62</v>
      </c>
      <c r="W18" s="590"/>
      <c r="X18" s="590"/>
      <c r="Y18" s="874"/>
      <c r="Z18" s="767"/>
      <c r="AA18" s="757"/>
      <c r="AB18" s="757"/>
      <c r="AC18" s="757"/>
      <c r="AD18" s="837"/>
      <c r="AE18" s="838"/>
      <c r="AF18" s="839"/>
      <c r="AG18" s="66"/>
      <c r="BD18" s="65"/>
    </row>
    <row r="19" spans="1:68" ht="27.75" hidden="1" customHeight="1" x14ac:dyDescent="0.2">
      <c r="A19" s="661" t="s">
        <v>63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565" t="s">
        <v>63</v>
      </c>
      <c r="B20" s="566"/>
      <c r="C20" s="566"/>
      <c r="D20" s="566"/>
      <c r="E20" s="566"/>
      <c r="F20" s="566"/>
      <c r="G20" s="566"/>
      <c r="H20" s="566"/>
      <c r="I20" s="566"/>
      <c r="J20" s="566"/>
      <c r="K20" s="566"/>
      <c r="L20" s="566"/>
      <c r="M20" s="566"/>
      <c r="N20" s="566"/>
      <c r="O20" s="566"/>
      <c r="P20" s="566"/>
      <c r="Q20" s="566"/>
      <c r="R20" s="566"/>
      <c r="S20" s="566"/>
      <c r="T20" s="566"/>
      <c r="U20" s="566"/>
      <c r="V20" s="566"/>
      <c r="W20" s="566"/>
      <c r="X20" s="566"/>
      <c r="Y20" s="566"/>
      <c r="Z20" s="566"/>
      <c r="AA20" s="544"/>
      <c r="AB20" s="544"/>
      <c r="AC20" s="544"/>
    </row>
    <row r="21" spans="1:68" ht="14.25" hidden="1" customHeight="1" x14ac:dyDescent="0.25">
      <c r="A21" s="567" t="s">
        <v>64</v>
      </c>
      <c r="B21" s="566"/>
      <c r="C21" s="566"/>
      <c r="D21" s="566"/>
      <c r="E21" s="566"/>
      <c r="F21" s="566"/>
      <c r="G21" s="566"/>
      <c r="H21" s="566"/>
      <c r="I21" s="566"/>
      <c r="J21" s="566"/>
      <c r="K21" s="566"/>
      <c r="L21" s="566"/>
      <c r="M21" s="566"/>
      <c r="N21" s="566"/>
      <c r="O21" s="566"/>
      <c r="P21" s="566"/>
      <c r="Q21" s="566"/>
      <c r="R21" s="566"/>
      <c r="S21" s="566"/>
      <c r="T21" s="566"/>
      <c r="U21" s="566"/>
      <c r="V21" s="566"/>
      <c r="W21" s="566"/>
      <c r="X21" s="566"/>
      <c r="Y21" s="566"/>
      <c r="Z21" s="566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1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81"/>
      <c r="B24" s="566"/>
      <c r="C24" s="566"/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82"/>
      <c r="P24" s="562" t="s">
        <v>75</v>
      </c>
      <c r="Q24" s="563"/>
      <c r="R24" s="563"/>
      <c r="S24" s="563"/>
      <c r="T24" s="563"/>
      <c r="U24" s="563"/>
      <c r="V24" s="564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66"/>
      <c r="B25" s="566"/>
      <c r="C25" s="566"/>
      <c r="D25" s="566"/>
      <c r="E25" s="566"/>
      <c r="F25" s="566"/>
      <c r="G25" s="566"/>
      <c r="H25" s="566"/>
      <c r="I25" s="566"/>
      <c r="J25" s="566"/>
      <c r="K25" s="566"/>
      <c r="L25" s="566"/>
      <c r="M25" s="566"/>
      <c r="N25" s="566"/>
      <c r="O25" s="582"/>
      <c r="P25" s="562" t="s">
        <v>75</v>
      </c>
      <c r="Q25" s="563"/>
      <c r="R25" s="563"/>
      <c r="S25" s="563"/>
      <c r="T25" s="563"/>
      <c r="U25" s="563"/>
      <c r="V25" s="564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67" t="s">
        <v>77</v>
      </c>
      <c r="B26" s="566"/>
      <c r="C26" s="566"/>
      <c r="D26" s="566"/>
      <c r="E26" s="566"/>
      <c r="F26" s="566"/>
      <c r="G26" s="566"/>
      <c r="H26" s="566"/>
      <c r="I26" s="566"/>
      <c r="J26" s="566"/>
      <c r="K26" s="566"/>
      <c r="L26" s="566"/>
      <c r="M26" s="566"/>
      <c r="N26" s="566"/>
      <c r="O26" s="566"/>
      <c r="P26" s="566"/>
      <c r="Q26" s="566"/>
      <c r="R26" s="566"/>
      <c r="S26" s="566"/>
      <c r="T26" s="566"/>
      <c r="U26" s="566"/>
      <c r="V26" s="566"/>
      <c r="W26" s="566"/>
      <c r="X26" s="566"/>
      <c r="Y26" s="566"/>
      <c r="Z26" s="566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81"/>
      <c r="B31" s="566"/>
      <c r="C31" s="566"/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6"/>
      <c r="O31" s="582"/>
      <c r="P31" s="562" t="s">
        <v>75</v>
      </c>
      <c r="Q31" s="563"/>
      <c r="R31" s="563"/>
      <c r="S31" s="563"/>
      <c r="T31" s="563"/>
      <c r="U31" s="563"/>
      <c r="V31" s="564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hidden="1" x14ac:dyDescent="0.2">
      <c r="A32" s="566"/>
      <c r="B32" s="566"/>
      <c r="C32" s="566"/>
      <c r="D32" s="566"/>
      <c r="E32" s="566"/>
      <c r="F32" s="566"/>
      <c r="G32" s="566"/>
      <c r="H32" s="566"/>
      <c r="I32" s="566"/>
      <c r="J32" s="566"/>
      <c r="K32" s="566"/>
      <c r="L32" s="566"/>
      <c r="M32" s="566"/>
      <c r="N32" s="566"/>
      <c r="O32" s="582"/>
      <c r="P32" s="562" t="s">
        <v>75</v>
      </c>
      <c r="Q32" s="563"/>
      <c r="R32" s="563"/>
      <c r="S32" s="563"/>
      <c r="T32" s="563"/>
      <c r="U32" s="563"/>
      <c r="V32" s="564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hidden="1" customHeight="1" x14ac:dyDescent="0.25">
      <c r="A33" s="567" t="s">
        <v>91</v>
      </c>
      <c r="B33" s="566"/>
      <c r="C33" s="566"/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6"/>
      <c r="Q33" s="566"/>
      <c r="R33" s="566"/>
      <c r="S33" s="566"/>
      <c r="T33" s="566"/>
      <c r="U33" s="566"/>
      <c r="V33" s="566"/>
      <c r="W33" s="566"/>
      <c r="X33" s="566"/>
      <c r="Y33" s="566"/>
      <c r="Z33" s="566"/>
      <c r="AA33" s="545"/>
      <c r="AB33" s="545"/>
      <c r="AC33" s="54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8">
        <v>4607091388503</v>
      </c>
      <c r="E34" s="559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63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81"/>
      <c r="B35" s="566"/>
      <c r="C35" s="566"/>
      <c r="D35" s="566"/>
      <c r="E35" s="566"/>
      <c r="F35" s="566"/>
      <c r="G35" s="566"/>
      <c r="H35" s="566"/>
      <c r="I35" s="566"/>
      <c r="J35" s="566"/>
      <c r="K35" s="566"/>
      <c r="L35" s="566"/>
      <c r="M35" s="566"/>
      <c r="N35" s="566"/>
      <c r="O35" s="582"/>
      <c r="P35" s="562" t="s">
        <v>75</v>
      </c>
      <c r="Q35" s="563"/>
      <c r="R35" s="563"/>
      <c r="S35" s="563"/>
      <c r="T35" s="563"/>
      <c r="U35" s="563"/>
      <c r="V35" s="564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hidden="1" x14ac:dyDescent="0.2">
      <c r="A36" s="566"/>
      <c r="B36" s="566"/>
      <c r="C36" s="566"/>
      <c r="D36" s="566"/>
      <c r="E36" s="566"/>
      <c r="F36" s="566"/>
      <c r="G36" s="566"/>
      <c r="H36" s="566"/>
      <c r="I36" s="566"/>
      <c r="J36" s="566"/>
      <c r="K36" s="566"/>
      <c r="L36" s="566"/>
      <c r="M36" s="566"/>
      <c r="N36" s="566"/>
      <c r="O36" s="582"/>
      <c r="P36" s="562" t="s">
        <v>75</v>
      </c>
      <c r="Q36" s="563"/>
      <c r="R36" s="563"/>
      <c r="S36" s="563"/>
      <c r="T36" s="563"/>
      <c r="U36" s="563"/>
      <c r="V36" s="564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hidden="1" customHeight="1" x14ac:dyDescent="0.2">
      <c r="A37" s="661" t="s">
        <v>97</v>
      </c>
      <c r="B37" s="662"/>
      <c r="C37" s="662"/>
      <c r="D37" s="662"/>
      <c r="E37" s="662"/>
      <c r="F37" s="662"/>
      <c r="G37" s="662"/>
      <c r="H37" s="662"/>
      <c r="I37" s="662"/>
      <c r="J37" s="662"/>
      <c r="K37" s="662"/>
      <c r="L37" s="662"/>
      <c r="M37" s="662"/>
      <c r="N37" s="662"/>
      <c r="O37" s="662"/>
      <c r="P37" s="662"/>
      <c r="Q37" s="662"/>
      <c r="R37" s="662"/>
      <c r="S37" s="662"/>
      <c r="T37" s="662"/>
      <c r="U37" s="662"/>
      <c r="V37" s="662"/>
      <c r="W37" s="662"/>
      <c r="X37" s="662"/>
      <c r="Y37" s="662"/>
      <c r="Z37" s="662"/>
      <c r="AA37" s="48"/>
      <c r="AB37" s="48"/>
      <c r="AC37" s="48"/>
    </row>
    <row r="38" spans="1:68" ht="16.5" hidden="1" customHeight="1" x14ac:dyDescent="0.25">
      <c r="A38" s="565" t="s">
        <v>98</v>
      </c>
      <c r="B38" s="566"/>
      <c r="C38" s="566"/>
      <c r="D38" s="566"/>
      <c r="E38" s="566"/>
      <c r="F38" s="566"/>
      <c r="G38" s="566"/>
      <c r="H38" s="566"/>
      <c r="I38" s="566"/>
      <c r="J38" s="566"/>
      <c r="K38" s="566"/>
      <c r="L38" s="566"/>
      <c r="M38" s="566"/>
      <c r="N38" s="566"/>
      <c r="O38" s="566"/>
      <c r="P38" s="566"/>
      <c r="Q38" s="566"/>
      <c r="R38" s="566"/>
      <c r="S38" s="566"/>
      <c r="T38" s="566"/>
      <c r="U38" s="566"/>
      <c r="V38" s="566"/>
      <c r="W38" s="566"/>
      <c r="X38" s="566"/>
      <c r="Y38" s="566"/>
      <c r="Z38" s="566"/>
      <c r="AA38" s="544"/>
      <c r="AB38" s="544"/>
      <c r="AC38" s="544"/>
    </row>
    <row r="39" spans="1:68" ht="14.25" hidden="1" customHeight="1" x14ac:dyDescent="0.25">
      <c r="A39" s="567" t="s">
        <v>99</v>
      </c>
      <c r="B39" s="566"/>
      <c r="C39" s="566"/>
      <c r="D39" s="566"/>
      <c r="E39" s="566"/>
      <c r="F39" s="566"/>
      <c r="G39" s="566"/>
      <c r="H39" s="566"/>
      <c r="I39" s="566"/>
      <c r="J39" s="566"/>
      <c r="K39" s="566"/>
      <c r="L39" s="566"/>
      <c r="M39" s="566"/>
      <c r="N39" s="566"/>
      <c r="O39" s="566"/>
      <c r="P39" s="566"/>
      <c r="Q39" s="566"/>
      <c r="R39" s="566"/>
      <c r="S39" s="566"/>
      <c r="T39" s="566"/>
      <c r="U39" s="566"/>
      <c r="V39" s="566"/>
      <c r="W39" s="566"/>
      <c r="X39" s="566"/>
      <c r="Y39" s="566"/>
      <c r="Z39" s="566"/>
      <c r="AA39" s="545"/>
      <c r="AB39" s="545"/>
      <c r="AC39" s="545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58">
        <v>4607091385670</v>
      </c>
      <c r="E40" s="559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81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0</v>
      </c>
      <c r="Y40" s="55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8">
        <v>4607091385687</v>
      </c>
      <c r="E41" s="559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79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58">
        <v>4680115882539</v>
      </c>
      <c r="E42" s="559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6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464</v>
      </c>
      <c r="Y42" s="550">
        <f>IFERROR(IF(X42="",0,CEILING((X42/$H42),1)*$H42),"")</f>
        <v>466.20000000000005</v>
      </c>
      <c r="Z42" s="36">
        <f>IFERROR(IF(Y42=0,"",ROUNDUP(Y42/H42,0)*0.00902),"")</f>
        <v>1.13652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487.82702702702699</v>
      </c>
      <c r="BN42" s="64">
        <f>IFERROR(Y42*I42/H42,"0")</f>
        <v>490.14000000000004</v>
      </c>
      <c r="BO42" s="64">
        <f>IFERROR(1/J42*(X42/H42),"0")</f>
        <v>0.95004095004095002</v>
      </c>
      <c r="BP42" s="64">
        <f>IFERROR(1/J42*(Y42/H42),"0")</f>
        <v>0.95454545454545459</v>
      </c>
    </row>
    <row r="43" spans="1:68" x14ac:dyDescent="0.2">
      <c r="A43" s="581"/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6"/>
      <c r="N43" s="566"/>
      <c r="O43" s="582"/>
      <c r="P43" s="562" t="s">
        <v>75</v>
      </c>
      <c r="Q43" s="563"/>
      <c r="R43" s="563"/>
      <c r="S43" s="563"/>
      <c r="T43" s="563"/>
      <c r="U43" s="563"/>
      <c r="V43" s="564"/>
      <c r="W43" s="37" t="s">
        <v>76</v>
      </c>
      <c r="X43" s="551">
        <f>IFERROR(X40/H40,"0")+IFERROR(X41/H41,"0")+IFERROR(X42/H42,"0")</f>
        <v>125.4054054054054</v>
      </c>
      <c r="Y43" s="551">
        <f>IFERROR(Y40/H40,"0")+IFERROR(Y41/H41,"0")+IFERROR(Y42/H42,"0")</f>
        <v>126</v>
      </c>
      <c r="Z43" s="551">
        <f>IFERROR(IF(Z40="",0,Z40),"0")+IFERROR(IF(Z41="",0,Z41),"0")+IFERROR(IF(Z42="",0,Z42),"0")</f>
        <v>1.13652</v>
      </c>
      <c r="AA43" s="552"/>
      <c r="AB43" s="552"/>
      <c r="AC43" s="552"/>
    </row>
    <row r="44" spans="1:68" x14ac:dyDescent="0.2">
      <c r="A44" s="566"/>
      <c r="B44" s="566"/>
      <c r="C44" s="566"/>
      <c r="D44" s="566"/>
      <c r="E44" s="566"/>
      <c r="F44" s="566"/>
      <c r="G44" s="566"/>
      <c r="H44" s="566"/>
      <c r="I44" s="566"/>
      <c r="J44" s="566"/>
      <c r="K44" s="566"/>
      <c r="L44" s="566"/>
      <c r="M44" s="566"/>
      <c r="N44" s="566"/>
      <c r="O44" s="582"/>
      <c r="P44" s="562" t="s">
        <v>75</v>
      </c>
      <c r="Q44" s="563"/>
      <c r="R44" s="563"/>
      <c r="S44" s="563"/>
      <c r="T44" s="563"/>
      <c r="U44" s="563"/>
      <c r="V44" s="564"/>
      <c r="W44" s="37" t="s">
        <v>69</v>
      </c>
      <c r="X44" s="551">
        <f>IFERROR(SUM(X40:X42),"0")</f>
        <v>464</v>
      </c>
      <c r="Y44" s="551">
        <f>IFERROR(SUM(Y40:Y42),"0")</f>
        <v>466.20000000000005</v>
      </c>
      <c r="Z44" s="37"/>
      <c r="AA44" s="552"/>
      <c r="AB44" s="552"/>
      <c r="AC44" s="552"/>
    </row>
    <row r="45" spans="1:68" ht="14.25" hidden="1" customHeight="1" x14ac:dyDescent="0.25">
      <c r="A45" s="567" t="s">
        <v>77</v>
      </c>
      <c r="B45" s="566"/>
      <c r="C45" s="566"/>
      <c r="D45" s="566"/>
      <c r="E45" s="566"/>
      <c r="F45" s="566"/>
      <c r="G45" s="566"/>
      <c r="H45" s="566"/>
      <c r="I45" s="566"/>
      <c r="J45" s="566"/>
      <c r="K45" s="566"/>
      <c r="L45" s="566"/>
      <c r="M45" s="566"/>
      <c r="N45" s="566"/>
      <c r="O45" s="566"/>
      <c r="P45" s="566"/>
      <c r="Q45" s="566"/>
      <c r="R45" s="566"/>
      <c r="S45" s="566"/>
      <c r="T45" s="566"/>
      <c r="U45" s="566"/>
      <c r="V45" s="566"/>
      <c r="W45" s="566"/>
      <c r="X45" s="566"/>
      <c r="Y45" s="566"/>
      <c r="Z45" s="566"/>
      <c r="AA45" s="545"/>
      <c r="AB45" s="545"/>
      <c r="AC45" s="54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8">
        <v>4680115884915</v>
      </c>
      <c r="E46" s="559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81"/>
      <c r="B47" s="566"/>
      <c r="C47" s="566"/>
      <c r="D47" s="566"/>
      <c r="E47" s="566"/>
      <c r="F47" s="566"/>
      <c r="G47" s="566"/>
      <c r="H47" s="566"/>
      <c r="I47" s="566"/>
      <c r="J47" s="566"/>
      <c r="K47" s="566"/>
      <c r="L47" s="566"/>
      <c r="M47" s="566"/>
      <c r="N47" s="566"/>
      <c r="O47" s="582"/>
      <c r="P47" s="562" t="s">
        <v>75</v>
      </c>
      <c r="Q47" s="563"/>
      <c r="R47" s="563"/>
      <c r="S47" s="563"/>
      <c r="T47" s="563"/>
      <c r="U47" s="563"/>
      <c r="V47" s="564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hidden="1" x14ac:dyDescent="0.2">
      <c r="A48" s="566"/>
      <c r="B48" s="566"/>
      <c r="C48" s="566"/>
      <c r="D48" s="566"/>
      <c r="E48" s="566"/>
      <c r="F48" s="566"/>
      <c r="G48" s="566"/>
      <c r="H48" s="566"/>
      <c r="I48" s="566"/>
      <c r="J48" s="566"/>
      <c r="K48" s="566"/>
      <c r="L48" s="566"/>
      <c r="M48" s="566"/>
      <c r="N48" s="566"/>
      <c r="O48" s="582"/>
      <c r="P48" s="562" t="s">
        <v>75</v>
      </c>
      <c r="Q48" s="563"/>
      <c r="R48" s="563"/>
      <c r="S48" s="563"/>
      <c r="T48" s="563"/>
      <c r="U48" s="563"/>
      <c r="V48" s="564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hidden="1" customHeight="1" x14ac:dyDescent="0.25">
      <c r="A49" s="565" t="s">
        <v>116</v>
      </c>
      <c r="B49" s="566"/>
      <c r="C49" s="566"/>
      <c r="D49" s="566"/>
      <c r="E49" s="566"/>
      <c r="F49" s="566"/>
      <c r="G49" s="566"/>
      <c r="H49" s="566"/>
      <c r="I49" s="566"/>
      <c r="J49" s="566"/>
      <c r="K49" s="566"/>
      <c r="L49" s="566"/>
      <c r="M49" s="566"/>
      <c r="N49" s="566"/>
      <c r="O49" s="566"/>
      <c r="P49" s="566"/>
      <c r="Q49" s="566"/>
      <c r="R49" s="566"/>
      <c r="S49" s="566"/>
      <c r="T49" s="566"/>
      <c r="U49" s="566"/>
      <c r="V49" s="566"/>
      <c r="W49" s="566"/>
      <c r="X49" s="566"/>
      <c r="Y49" s="566"/>
      <c r="Z49" s="566"/>
      <c r="AA49" s="544"/>
      <c r="AB49" s="544"/>
      <c r="AC49" s="544"/>
    </row>
    <row r="50" spans="1:68" ht="14.25" hidden="1" customHeight="1" x14ac:dyDescent="0.25">
      <c r="A50" s="567" t="s">
        <v>99</v>
      </c>
      <c r="B50" s="566"/>
      <c r="C50" s="566"/>
      <c r="D50" s="566"/>
      <c r="E50" s="566"/>
      <c r="F50" s="566"/>
      <c r="G50" s="566"/>
      <c r="H50" s="566"/>
      <c r="I50" s="566"/>
      <c r="J50" s="566"/>
      <c r="K50" s="566"/>
      <c r="L50" s="566"/>
      <c r="M50" s="566"/>
      <c r="N50" s="566"/>
      <c r="O50" s="566"/>
      <c r="P50" s="566"/>
      <c r="Q50" s="566"/>
      <c r="R50" s="566"/>
      <c r="S50" s="566"/>
      <c r="T50" s="566"/>
      <c r="U50" s="566"/>
      <c r="V50" s="566"/>
      <c r="W50" s="566"/>
      <c r="X50" s="566"/>
      <c r="Y50" s="566"/>
      <c r="Z50" s="566"/>
      <c r="AA50" s="545"/>
      <c r="AB50" s="545"/>
      <c r="AC50" s="54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8">
        <v>4680115885882</v>
      </c>
      <c r="E51" s="559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66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8">
        <v>4680115881426</v>
      </c>
      <c r="E52" s="559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8">
        <v>4680115880283</v>
      </c>
      <c r="E53" s="559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8">
        <v>4680115881525</v>
      </c>
      <c r="E54" s="559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8">
        <v>4680115885899</v>
      </c>
      <c r="E55" s="559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8">
        <v>4680115881419</v>
      </c>
      <c r="E56" s="559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81"/>
      <c r="B57" s="566"/>
      <c r="C57" s="566"/>
      <c r="D57" s="566"/>
      <c r="E57" s="566"/>
      <c r="F57" s="566"/>
      <c r="G57" s="566"/>
      <c r="H57" s="566"/>
      <c r="I57" s="566"/>
      <c r="J57" s="566"/>
      <c r="K57" s="566"/>
      <c r="L57" s="566"/>
      <c r="M57" s="566"/>
      <c r="N57" s="566"/>
      <c r="O57" s="582"/>
      <c r="P57" s="562" t="s">
        <v>75</v>
      </c>
      <c r="Q57" s="563"/>
      <c r="R57" s="563"/>
      <c r="S57" s="563"/>
      <c r="T57" s="563"/>
      <c r="U57" s="563"/>
      <c r="V57" s="564"/>
      <c r="W57" s="37" t="s">
        <v>76</v>
      </c>
      <c r="X57" s="551">
        <f>IFERROR(X51/H51,"0")+IFERROR(X52/H52,"0")+IFERROR(X53/H53,"0")+IFERROR(X54/H54,"0")+IFERROR(X55/H55,"0")+IFERROR(X56/H56,"0")</f>
        <v>0</v>
      </c>
      <c r="Y57" s="551">
        <f>IFERROR(Y51/H51,"0")+IFERROR(Y52/H52,"0")+IFERROR(Y53/H53,"0")+IFERROR(Y54/H54,"0")+IFERROR(Y55/H55,"0")+IFERROR(Y56/H56,"0")</f>
        <v>0</v>
      </c>
      <c r="Z57" s="551">
        <f>IFERROR(IF(Z51="",0,Z51),"0")+IFERROR(IF(Z52="",0,Z52),"0")+IFERROR(IF(Z53="",0,Z53),"0")+IFERROR(IF(Z54="",0,Z54),"0")+IFERROR(IF(Z55="",0,Z55),"0")+IFERROR(IF(Z56="",0,Z56),"0")</f>
        <v>0</v>
      </c>
      <c r="AA57" s="552"/>
      <c r="AB57" s="552"/>
      <c r="AC57" s="552"/>
    </row>
    <row r="58" spans="1:68" hidden="1" x14ac:dyDescent="0.2">
      <c r="A58" s="566"/>
      <c r="B58" s="566"/>
      <c r="C58" s="566"/>
      <c r="D58" s="566"/>
      <c r="E58" s="566"/>
      <c r="F58" s="566"/>
      <c r="G58" s="566"/>
      <c r="H58" s="566"/>
      <c r="I58" s="566"/>
      <c r="J58" s="566"/>
      <c r="K58" s="566"/>
      <c r="L58" s="566"/>
      <c r="M58" s="566"/>
      <c r="N58" s="566"/>
      <c r="O58" s="582"/>
      <c r="P58" s="562" t="s">
        <v>75</v>
      </c>
      <c r="Q58" s="563"/>
      <c r="R58" s="563"/>
      <c r="S58" s="563"/>
      <c r="T58" s="563"/>
      <c r="U58" s="563"/>
      <c r="V58" s="564"/>
      <c r="W58" s="37" t="s">
        <v>69</v>
      </c>
      <c r="X58" s="551">
        <f>IFERROR(SUM(X51:X56),"0")</f>
        <v>0</v>
      </c>
      <c r="Y58" s="551">
        <f>IFERROR(SUM(Y51:Y56),"0")</f>
        <v>0</v>
      </c>
      <c r="Z58" s="37"/>
      <c r="AA58" s="552"/>
      <c r="AB58" s="552"/>
      <c r="AC58" s="552"/>
    </row>
    <row r="59" spans="1:68" ht="14.25" hidden="1" customHeight="1" x14ac:dyDescent="0.25">
      <c r="A59" s="567" t="s">
        <v>135</v>
      </c>
      <c r="B59" s="566"/>
      <c r="C59" s="566"/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6"/>
      <c r="O59" s="566"/>
      <c r="P59" s="566"/>
      <c r="Q59" s="566"/>
      <c r="R59" s="566"/>
      <c r="S59" s="566"/>
      <c r="T59" s="566"/>
      <c r="U59" s="566"/>
      <c r="V59" s="566"/>
      <c r="W59" s="566"/>
      <c r="X59" s="566"/>
      <c r="Y59" s="566"/>
      <c r="Z59" s="566"/>
      <c r="AA59" s="545"/>
      <c r="AB59" s="545"/>
      <c r="AC59" s="545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58">
        <v>4680115881440</v>
      </c>
      <c r="E60" s="559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0</v>
      </c>
      <c r="Y60" s="55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8">
        <v>4680115885950</v>
      </c>
      <c r="E61" s="559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8">
        <v>4680115881433</v>
      </c>
      <c r="E62" s="559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81"/>
      <c r="B63" s="566"/>
      <c r="C63" s="566"/>
      <c r="D63" s="566"/>
      <c r="E63" s="566"/>
      <c r="F63" s="566"/>
      <c r="G63" s="566"/>
      <c r="H63" s="566"/>
      <c r="I63" s="566"/>
      <c r="J63" s="566"/>
      <c r="K63" s="566"/>
      <c r="L63" s="566"/>
      <c r="M63" s="566"/>
      <c r="N63" s="566"/>
      <c r="O63" s="582"/>
      <c r="P63" s="562" t="s">
        <v>75</v>
      </c>
      <c r="Q63" s="563"/>
      <c r="R63" s="563"/>
      <c r="S63" s="563"/>
      <c r="T63" s="563"/>
      <c r="U63" s="563"/>
      <c r="V63" s="564"/>
      <c r="W63" s="37" t="s">
        <v>76</v>
      </c>
      <c r="X63" s="551">
        <f>IFERROR(X60/H60,"0")+IFERROR(X61/H61,"0")+IFERROR(X62/H62,"0")</f>
        <v>0</v>
      </c>
      <c r="Y63" s="551">
        <f>IFERROR(Y60/H60,"0")+IFERROR(Y61/H61,"0")+IFERROR(Y62/H62,"0")</f>
        <v>0</v>
      </c>
      <c r="Z63" s="551">
        <f>IFERROR(IF(Z60="",0,Z60),"0")+IFERROR(IF(Z61="",0,Z61),"0")+IFERROR(IF(Z62="",0,Z62),"0")</f>
        <v>0</v>
      </c>
      <c r="AA63" s="552"/>
      <c r="AB63" s="552"/>
      <c r="AC63" s="552"/>
    </row>
    <row r="64" spans="1:68" hidden="1" x14ac:dyDescent="0.2">
      <c r="A64" s="566"/>
      <c r="B64" s="566"/>
      <c r="C64" s="566"/>
      <c r="D64" s="566"/>
      <c r="E64" s="566"/>
      <c r="F64" s="566"/>
      <c r="G64" s="566"/>
      <c r="H64" s="566"/>
      <c r="I64" s="566"/>
      <c r="J64" s="566"/>
      <c r="K64" s="566"/>
      <c r="L64" s="566"/>
      <c r="M64" s="566"/>
      <c r="N64" s="566"/>
      <c r="O64" s="582"/>
      <c r="P64" s="562" t="s">
        <v>75</v>
      </c>
      <c r="Q64" s="563"/>
      <c r="R64" s="563"/>
      <c r="S64" s="563"/>
      <c r="T64" s="563"/>
      <c r="U64" s="563"/>
      <c r="V64" s="564"/>
      <c r="W64" s="37" t="s">
        <v>69</v>
      </c>
      <c r="X64" s="551">
        <f>IFERROR(SUM(X60:X62),"0")</f>
        <v>0</v>
      </c>
      <c r="Y64" s="551">
        <f>IFERROR(SUM(Y60:Y62),"0")</f>
        <v>0</v>
      </c>
      <c r="Z64" s="37"/>
      <c r="AA64" s="552"/>
      <c r="AB64" s="552"/>
      <c r="AC64" s="552"/>
    </row>
    <row r="65" spans="1:68" ht="14.25" hidden="1" customHeight="1" x14ac:dyDescent="0.25">
      <c r="A65" s="567" t="s">
        <v>64</v>
      </c>
      <c r="B65" s="566"/>
      <c r="C65" s="566"/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6"/>
      <c r="S65" s="566"/>
      <c r="T65" s="566"/>
      <c r="U65" s="566"/>
      <c r="V65" s="566"/>
      <c r="W65" s="566"/>
      <c r="X65" s="566"/>
      <c r="Y65" s="566"/>
      <c r="Z65" s="566"/>
      <c r="AA65" s="545"/>
      <c r="AB65" s="545"/>
      <c r="AC65" s="54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8">
        <v>4680115885073</v>
      </c>
      <c r="E66" s="559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0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8">
        <v>4680115885097</v>
      </c>
      <c r="E67" s="559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81"/>
      <c r="B68" s="566"/>
      <c r="C68" s="566"/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6"/>
      <c r="O68" s="582"/>
      <c r="P68" s="562" t="s">
        <v>75</v>
      </c>
      <c r="Q68" s="563"/>
      <c r="R68" s="563"/>
      <c r="S68" s="563"/>
      <c r="T68" s="563"/>
      <c r="U68" s="563"/>
      <c r="V68" s="564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hidden="1" x14ac:dyDescent="0.2">
      <c r="A69" s="566"/>
      <c r="B69" s="566"/>
      <c r="C69" s="566"/>
      <c r="D69" s="566"/>
      <c r="E69" s="566"/>
      <c r="F69" s="566"/>
      <c r="G69" s="566"/>
      <c r="H69" s="566"/>
      <c r="I69" s="566"/>
      <c r="J69" s="566"/>
      <c r="K69" s="566"/>
      <c r="L69" s="566"/>
      <c r="M69" s="566"/>
      <c r="N69" s="566"/>
      <c r="O69" s="582"/>
      <c r="P69" s="562" t="s">
        <v>75</v>
      </c>
      <c r="Q69" s="563"/>
      <c r="R69" s="563"/>
      <c r="S69" s="563"/>
      <c r="T69" s="563"/>
      <c r="U69" s="563"/>
      <c r="V69" s="564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hidden="1" customHeight="1" x14ac:dyDescent="0.25">
      <c r="A70" s="567" t="s">
        <v>77</v>
      </c>
      <c r="B70" s="566"/>
      <c r="C70" s="566"/>
      <c r="D70" s="566"/>
      <c r="E70" s="566"/>
      <c r="F70" s="566"/>
      <c r="G70" s="566"/>
      <c r="H70" s="566"/>
      <c r="I70" s="566"/>
      <c r="J70" s="566"/>
      <c r="K70" s="566"/>
      <c r="L70" s="566"/>
      <c r="M70" s="566"/>
      <c r="N70" s="566"/>
      <c r="O70" s="566"/>
      <c r="P70" s="566"/>
      <c r="Q70" s="566"/>
      <c r="R70" s="566"/>
      <c r="S70" s="566"/>
      <c r="T70" s="566"/>
      <c r="U70" s="566"/>
      <c r="V70" s="566"/>
      <c r="W70" s="566"/>
      <c r="X70" s="566"/>
      <c r="Y70" s="566"/>
      <c r="Z70" s="566"/>
      <c r="AA70" s="545"/>
      <c r="AB70" s="545"/>
      <c r="AC70" s="545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8">
        <v>4680115885769</v>
      </c>
      <c r="E71" s="559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1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8">
        <v>4680115884311</v>
      </c>
      <c r="E72" s="559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8">
        <v>4680115885929</v>
      </c>
      <c r="E73" s="559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9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8">
        <v>4680115884403</v>
      </c>
      <c r="E74" s="559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81"/>
      <c r="B75" s="566"/>
      <c r="C75" s="566"/>
      <c r="D75" s="566"/>
      <c r="E75" s="566"/>
      <c r="F75" s="566"/>
      <c r="G75" s="566"/>
      <c r="H75" s="566"/>
      <c r="I75" s="566"/>
      <c r="J75" s="566"/>
      <c r="K75" s="566"/>
      <c r="L75" s="566"/>
      <c r="M75" s="566"/>
      <c r="N75" s="566"/>
      <c r="O75" s="582"/>
      <c r="P75" s="562" t="s">
        <v>75</v>
      </c>
      <c r="Q75" s="563"/>
      <c r="R75" s="563"/>
      <c r="S75" s="563"/>
      <c r="T75" s="563"/>
      <c r="U75" s="563"/>
      <c r="V75" s="564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hidden="1" x14ac:dyDescent="0.2">
      <c r="A76" s="566"/>
      <c r="B76" s="566"/>
      <c r="C76" s="566"/>
      <c r="D76" s="566"/>
      <c r="E76" s="566"/>
      <c r="F76" s="566"/>
      <c r="G76" s="566"/>
      <c r="H76" s="566"/>
      <c r="I76" s="566"/>
      <c r="J76" s="566"/>
      <c r="K76" s="566"/>
      <c r="L76" s="566"/>
      <c r="M76" s="566"/>
      <c r="N76" s="566"/>
      <c r="O76" s="582"/>
      <c r="P76" s="562" t="s">
        <v>75</v>
      </c>
      <c r="Q76" s="563"/>
      <c r="R76" s="563"/>
      <c r="S76" s="563"/>
      <c r="T76" s="563"/>
      <c r="U76" s="563"/>
      <c r="V76" s="564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hidden="1" customHeight="1" x14ac:dyDescent="0.25">
      <c r="A77" s="567" t="s">
        <v>160</v>
      </c>
      <c r="B77" s="566"/>
      <c r="C77" s="566"/>
      <c r="D77" s="566"/>
      <c r="E77" s="566"/>
      <c r="F77" s="566"/>
      <c r="G77" s="566"/>
      <c r="H77" s="566"/>
      <c r="I77" s="566"/>
      <c r="J77" s="566"/>
      <c r="K77" s="566"/>
      <c r="L77" s="566"/>
      <c r="M77" s="566"/>
      <c r="N77" s="566"/>
      <c r="O77" s="566"/>
      <c r="P77" s="566"/>
      <c r="Q77" s="566"/>
      <c r="R77" s="566"/>
      <c r="S77" s="566"/>
      <c r="T77" s="566"/>
      <c r="U77" s="566"/>
      <c r="V77" s="566"/>
      <c r="W77" s="566"/>
      <c r="X77" s="566"/>
      <c r="Y77" s="566"/>
      <c r="Z77" s="566"/>
      <c r="AA77" s="545"/>
      <c r="AB77" s="545"/>
      <c r="AC77" s="545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8">
        <v>4680115881532</v>
      </c>
      <c r="E78" s="559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8">
        <v>4680115881464</v>
      </c>
      <c r="E79" s="559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7</v>
      </c>
      <c r="Y79" s="550">
        <f>IFERROR(IF(X79="",0,CEILING((X79/$H79),1)*$H79),"")</f>
        <v>7.1999999999999993</v>
      </c>
      <c r="Z79" s="36">
        <f>IFERROR(IF(Y79=0,"",ROUNDUP(Y79/H79,0)*0.00902),"")</f>
        <v>2.7060000000000001E-2</v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7.5541666666666663</v>
      </c>
      <c r="BN79" s="64">
        <f>IFERROR(Y79*I79/H79,"0")</f>
        <v>7.7699999999999987</v>
      </c>
      <c r="BO79" s="64">
        <f>IFERROR(1/J79*(X79/H79),"0")</f>
        <v>2.2095959595959599E-2</v>
      </c>
      <c r="BP79" s="64">
        <f>IFERROR(1/J79*(Y79/H79),"0")</f>
        <v>2.2727272727272728E-2</v>
      </c>
    </row>
    <row r="80" spans="1:68" x14ac:dyDescent="0.2">
      <c r="A80" s="581"/>
      <c r="B80" s="566"/>
      <c r="C80" s="566"/>
      <c r="D80" s="566"/>
      <c r="E80" s="566"/>
      <c r="F80" s="566"/>
      <c r="G80" s="566"/>
      <c r="H80" s="566"/>
      <c r="I80" s="566"/>
      <c r="J80" s="566"/>
      <c r="K80" s="566"/>
      <c r="L80" s="566"/>
      <c r="M80" s="566"/>
      <c r="N80" s="566"/>
      <c r="O80" s="582"/>
      <c r="P80" s="562" t="s">
        <v>75</v>
      </c>
      <c r="Q80" s="563"/>
      <c r="R80" s="563"/>
      <c r="S80" s="563"/>
      <c r="T80" s="563"/>
      <c r="U80" s="563"/>
      <c r="V80" s="564"/>
      <c r="W80" s="37" t="s">
        <v>76</v>
      </c>
      <c r="X80" s="551">
        <f>IFERROR(X78/H78,"0")+IFERROR(X79/H79,"0")</f>
        <v>2.916666666666667</v>
      </c>
      <c r="Y80" s="551">
        <f>IFERROR(Y78/H78,"0")+IFERROR(Y79/H79,"0")</f>
        <v>3</v>
      </c>
      <c r="Z80" s="551">
        <f>IFERROR(IF(Z78="",0,Z78),"0")+IFERROR(IF(Z79="",0,Z79),"0")</f>
        <v>2.7060000000000001E-2</v>
      </c>
      <c r="AA80" s="552"/>
      <c r="AB80" s="552"/>
      <c r="AC80" s="552"/>
    </row>
    <row r="81" spans="1:68" x14ac:dyDescent="0.2">
      <c r="A81" s="566"/>
      <c r="B81" s="566"/>
      <c r="C81" s="566"/>
      <c r="D81" s="566"/>
      <c r="E81" s="566"/>
      <c r="F81" s="566"/>
      <c r="G81" s="566"/>
      <c r="H81" s="566"/>
      <c r="I81" s="566"/>
      <c r="J81" s="566"/>
      <c r="K81" s="566"/>
      <c r="L81" s="566"/>
      <c r="M81" s="566"/>
      <c r="N81" s="566"/>
      <c r="O81" s="582"/>
      <c r="P81" s="562" t="s">
        <v>75</v>
      </c>
      <c r="Q81" s="563"/>
      <c r="R81" s="563"/>
      <c r="S81" s="563"/>
      <c r="T81" s="563"/>
      <c r="U81" s="563"/>
      <c r="V81" s="564"/>
      <c r="W81" s="37" t="s">
        <v>69</v>
      </c>
      <c r="X81" s="551">
        <f>IFERROR(SUM(X78:X79),"0")</f>
        <v>7</v>
      </c>
      <c r="Y81" s="551">
        <f>IFERROR(SUM(Y78:Y79),"0")</f>
        <v>7.1999999999999993</v>
      </c>
      <c r="Z81" s="37"/>
      <c r="AA81" s="552"/>
      <c r="AB81" s="552"/>
      <c r="AC81" s="552"/>
    </row>
    <row r="82" spans="1:68" ht="16.5" hidden="1" customHeight="1" x14ac:dyDescent="0.25">
      <c r="A82" s="565" t="s">
        <v>167</v>
      </c>
      <c r="B82" s="566"/>
      <c r="C82" s="566"/>
      <c r="D82" s="566"/>
      <c r="E82" s="566"/>
      <c r="F82" s="566"/>
      <c r="G82" s="566"/>
      <c r="H82" s="566"/>
      <c r="I82" s="566"/>
      <c r="J82" s="566"/>
      <c r="K82" s="566"/>
      <c r="L82" s="566"/>
      <c r="M82" s="566"/>
      <c r="N82" s="566"/>
      <c r="O82" s="566"/>
      <c r="P82" s="566"/>
      <c r="Q82" s="566"/>
      <c r="R82" s="566"/>
      <c r="S82" s="566"/>
      <c r="T82" s="566"/>
      <c r="U82" s="566"/>
      <c r="V82" s="566"/>
      <c r="W82" s="566"/>
      <c r="X82" s="566"/>
      <c r="Y82" s="566"/>
      <c r="Z82" s="566"/>
      <c r="AA82" s="544"/>
      <c r="AB82" s="544"/>
      <c r="AC82" s="544"/>
    </row>
    <row r="83" spans="1:68" ht="14.25" hidden="1" customHeight="1" x14ac:dyDescent="0.25">
      <c r="A83" s="567" t="s">
        <v>99</v>
      </c>
      <c r="B83" s="566"/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6"/>
      <c r="N83" s="566"/>
      <c r="O83" s="566"/>
      <c r="P83" s="566"/>
      <c r="Q83" s="566"/>
      <c r="R83" s="566"/>
      <c r="S83" s="566"/>
      <c r="T83" s="566"/>
      <c r="U83" s="566"/>
      <c r="V83" s="566"/>
      <c r="W83" s="566"/>
      <c r="X83" s="566"/>
      <c r="Y83" s="566"/>
      <c r="Z83" s="566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8">
        <v>4680115881327</v>
      </c>
      <c r="E84" s="559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8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296</v>
      </c>
      <c r="Y84" s="550">
        <f>IFERROR(IF(X84="",0,CEILING((X84/$H84),1)*$H84),"")</f>
        <v>302.40000000000003</v>
      </c>
      <c r="Z84" s="36">
        <f>IFERROR(IF(Y84=0,"",ROUNDUP(Y84/H84,0)*0.01898),"")</f>
        <v>0.53144000000000002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307.23703703703706</v>
      </c>
      <c r="BN84" s="64">
        <f>IFERROR(Y84*I84/H84,"0")</f>
        <v>313.88</v>
      </c>
      <c r="BO84" s="64">
        <f>IFERROR(1/J84*(X84/H84),"0")</f>
        <v>0.4282407407407407</v>
      </c>
      <c r="BP84" s="64">
        <f>IFERROR(1/J84*(Y84/H84),"0")</f>
        <v>0.4375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8">
        <v>4680115887732</v>
      </c>
      <c r="E85" s="559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8">
        <v>4680115881518</v>
      </c>
      <c r="E86" s="559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8">
        <v>4680115881303</v>
      </c>
      <c r="E87" s="559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67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349</v>
      </c>
      <c r="Y87" s="550">
        <f>IFERROR(IF(X87="",0,CEILING((X87/$H87),1)*$H87),"")</f>
        <v>351</v>
      </c>
      <c r="Z87" s="36">
        <f>IFERROR(IF(Y87=0,"",ROUNDUP(Y87/H87,0)*0.00902),"")</f>
        <v>0.70355999999999996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363.73555555555561</v>
      </c>
      <c r="BN87" s="64">
        <f>IFERROR(Y87*I87/H87,"0")</f>
        <v>365.82</v>
      </c>
      <c r="BO87" s="64">
        <f>IFERROR(1/J87*(X87/H87),"0")</f>
        <v>0.58754208754208759</v>
      </c>
      <c r="BP87" s="64">
        <f>IFERROR(1/J87*(Y87/H87),"0")</f>
        <v>0.59090909090909094</v>
      </c>
    </row>
    <row r="88" spans="1:68" x14ac:dyDescent="0.2">
      <c r="A88" s="581"/>
      <c r="B88" s="566"/>
      <c r="C88" s="566"/>
      <c r="D88" s="566"/>
      <c r="E88" s="566"/>
      <c r="F88" s="566"/>
      <c r="G88" s="566"/>
      <c r="H88" s="566"/>
      <c r="I88" s="566"/>
      <c r="J88" s="566"/>
      <c r="K88" s="566"/>
      <c r="L88" s="566"/>
      <c r="M88" s="566"/>
      <c r="N88" s="566"/>
      <c r="O88" s="582"/>
      <c r="P88" s="562" t="s">
        <v>75</v>
      </c>
      <c r="Q88" s="563"/>
      <c r="R88" s="563"/>
      <c r="S88" s="563"/>
      <c r="T88" s="563"/>
      <c r="U88" s="563"/>
      <c r="V88" s="564"/>
      <c r="W88" s="37" t="s">
        <v>76</v>
      </c>
      <c r="X88" s="551">
        <f>IFERROR(X84/H84,"0")+IFERROR(X85/H85,"0")+IFERROR(X86/H86,"0")+IFERROR(X87/H87,"0")</f>
        <v>104.96296296296296</v>
      </c>
      <c r="Y88" s="551">
        <f>IFERROR(Y84/H84,"0")+IFERROR(Y85/H85,"0")+IFERROR(Y86/H86,"0")+IFERROR(Y87/H87,"0")</f>
        <v>106</v>
      </c>
      <c r="Z88" s="551">
        <f>IFERROR(IF(Z84="",0,Z84),"0")+IFERROR(IF(Z85="",0,Z85),"0")+IFERROR(IF(Z86="",0,Z86),"0")+IFERROR(IF(Z87="",0,Z87),"0")</f>
        <v>1.2349999999999999</v>
      </c>
      <c r="AA88" s="552"/>
      <c r="AB88" s="552"/>
      <c r="AC88" s="552"/>
    </row>
    <row r="89" spans="1:68" x14ac:dyDescent="0.2">
      <c r="A89" s="566"/>
      <c r="B89" s="566"/>
      <c r="C89" s="566"/>
      <c r="D89" s="566"/>
      <c r="E89" s="566"/>
      <c r="F89" s="566"/>
      <c r="G89" s="566"/>
      <c r="H89" s="566"/>
      <c r="I89" s="566"/>
      <c r="J89" s="566"/>
      <c r="K89" s="566"/>
      <c r="L89" s="566"/>
      <c r="M89" s="566"/>
      <c r="N89" s="566"/>
      <c r="O89" s="582"/>
      <c r="P89" s="562" t="s">
        <v>75</v>
      </c>
      <c r="Q89" s="563"/>
      <c r="R89" s="563"/>
      <c r="S89" s="563"/>
      <c r="T89" s="563"/>
      <c r="U89" s="563"/>
      <c r="V89" s="564"/>
      <c r="W89" s="37" t="s">
        <v>69</v>
      </c>
      <c r="X89" s="551">
        <f>IFERROR(SUM(X84:X87),"0")</f>
        <v>645</v>
      </c>
      <c r="Y89" s="551">
        <f>IFERROR(SUM(Y84:Y87),"0")</f>
        <v>653.40000000000009</v>
      </c>
      <c r="Z89" s="37"/>
      <c r="AA89" s="552"/>
      <c r="AB89" s="552"/>
      <c r="AC89" s="552"/>
    </row>
    <row r="90" spans="1:68" ht="14.25" hidden="1" customHeight="1" x14ac:dyDescent="0.25">
      <c r="A90" s="567" t="s">
        <v>77</v>
      </c>
      <c r="B90" s="566"/>
      <c r="C90" s="566"/>
      <c r="D90" s="566"/>
      <c r="E90" s="566"/>
      <c r="F90" s="566"/>
      <c r="G90" s="566"/>
      <c r="H90" s="566"/>
      <c r="I90" s="566"/>
      <c r="J90" s="566"/>
      <c r="K90" s="566"/>
      <c r="L90" s="566"/>
      <c r="M90" s="566"/>
      <c r="N90" s="566"/>
      <c r="O90" s="566"/>
      <c r="P90" s="566"/>
      <c r="Q90" s="566"/>
      <c r="R90" s="566"/>
      <c r="S90" s="566"/>
      <c r="T90" s="566"/>
      <c r="U90" s="566"/>
      <c r="V90" s="566"/>
      <c r="W90" s="566"/>
      <c r="X90" s="566"/>
      <c r="Y90" s="566"/>
      <c r="Z90" s="566"/>
      <c r="AA90" s="545"/>
      <c r="AB90" s="545"/>
      <c r="AC90" s="545"/>
    </row>
    <row r="91" spans="1:68" ht="27" hidden="1" customHeight="1" x14ac:dyDescent="0.25">
      <c r="A91" s="54" t="s">
        <v>179</v>
      </c>
      <c r="B91" s="54" t="s">
        <v>180</v>
      </c>
      <c r="C91" s="31">
        <v>4301051712</v>
      </c>
      <c r="D91" s="558">
        <v>4607091386967</v>
      </c>
      <c r="E91" s="559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0</v>
      </c>
      <c r="Y91" s="55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8">
        <v>4680115884953</v>
      </c>
      <c r="E92" s="559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8">
        <v>4607091385731</v>
      </c>
      <c r="E93" s="559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71</v>
      </c>
      <c r="Y93" s="550">
        <f>IFERROR(IF(X93="",0,CEILING((X93/$H93),1)*$H93),"")</f>
        <v>72.900000000000006</v>
      </c>
      <c r="Z93" s="36">
        <f>IFERROR(IF(Y93=0,"",ROUNDUP(Y93/H93,0)*0.00651),"")</f>
        <v>0.17577000000000001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77.626666666666651</v>
      </c>
      <c r="BN93" s="64">
        <f>IFERROR(Y93*I93/H93,"0")</f>
        <v>79.703999999999994</v>
      </c>
      <c r="BO93" s="64">
        <f>IFERROR(1/J93*(X93/H93),"0")</f>
        <v>0.14448514448514449</v>
      </c>
      <c r="BP93" s="64">
        <f>IFERROR(1/J93*(Y93/H93),"0")</f>
        <v>0.14835164835164835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58">
        <v>4680115880894</v>
      </c>
      <c r="E94" s="559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2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81"/>
      <c r="B95" s="566"/>
      <c r="C95" s="566"/>
      <c r="D95" s="566"/>
      <c r="E95" s="566"/>
      <c r="F95" s="566"/>
      <c r="G95" s="566"/>
      <c r="H95" s="566"/>
      <c r="I95" s="566"/>
      <c r="J95" s="566"/>
      <c r="K95" s="566"/>
      <c r="L95" s="566"/>
      <c r="M95" s="566"/>
      <c r="N95" s="566"/>
      <c r="O95" s="582"/>
      <c r="P95" s="562" t="s">
        <v>75</v>
      </c>
      <c r="Q95" s="563"/>
      <c r="R95" s="563"/>
      <c r="S95" s="563"/>
      <c r="T95" s="563"/>
      <c r="U95" s="563"/>
      <c r="V95" s="564"/>
      <c r="W95" s="37" t="s">
        <v>76</v>
      </c>
      <c r="X95" s="551">
        <f>IFERROR(X91/H91,"0")+IFERROR(X92/H92,"0")+IFERROR(X93/H93,"0")+IFERROR(X94/H94,"0")</f>
        <v>26.296296296296294</v>
      </c>
      <c r="Y95" s="551">
        <f>IFERROR(Y91/H91,"0")+IFERROR(Y92/H92,"0")+IFERROR(Y93/H93,"0")+IFERROR(Y94/H94,"0")</f>
        <v>27</v>
      </c>
      <c r="Z95" s="551">
        <f>IFERROR(IF(Z91="",0,Z91),"0")+IFERROR(IF(Z92="",0,Z92),"0")+IFERROR(IF(Z93="",0,Z93),"0")+IFERROR(IF(Z94="",0,Z94),"0")</f>
        <v>0.17577000000000001</v>
      </c>
      <c r="AA95" s="552"/>
      <c r="AB95" s="552"/>
      <c r="AC95" s="552"/>
    </row>
    <row r="96" spans="1:68" x14ac:dyDescent="0.2">
      <c r="A96" s="566"/>
      <c r="B96" s="566"/>
      <c r="C96" s="566"/>
      <c r="D96" s="566"/>
      <c r="E96" s="566"/>
      <c r="F96" s="566"/>
      <c r="G96" s="566"/>
      <c r="H96" s="566"/>
      <c r="I96" s="566"/>
      <c r="J96" s="566"/>
      <c r="K96" s="566"/>
      <c r="L96" s="566"/>
      <c r="M96" s="566"/>
      <c r="N96" s="566"/>
      <c r="O96" s="582"/>
      <c r="P96" s="562" t="s">
        <v>75</v>
      </c>
      <c r="Q96" s="563"/>
      <c r="R96" s="563"/>
      <c r="S96" s="563"/>
      <c r="T96" s="563"/>
      <c r="U96" s="563"/>
      <c r="V96" s="564"/>
      <c r="W96" s="37" t="s">
        <v>69</v>
      </c>
      <c r="X96" s="551">
        <f>IFERROR(SUM(X91:X94),"0")</f>
        <v>71</v>
      </c>
      <c r="Y96" s="551">
        <f>IFERROR(SUM(Y91:Y94),"0")</f>
        <v>72.900000000000006</v>
      </c>
      <c r="Z96" s="37"/>
      <c r="AA96" s="552"/>
      <c r="AB96" s="552"/>
      <c r="AC96" s="552"/>
    </row>
    <row r="97" spans="1:68" ht="16.5" hidden="1" customHeight="1" x14ac:dyDescent="0.25">
      <c r="A97" s="565" t="s">
        <v>189</v>
      </c>
      <c r="B97" s="566"/>
      <c r="C97" s="566"/>
      <c r="D97" s="566"/>
      <c r="E97" s="566"/>
      <c r="F97" s="566"/>
      <c r="G97" s="566"/>
      <c r="H97" s="566"/>
      <c r="I97" s="566"/>
      <c r="J97" s="566"/>
      <c r="K97" s="566"/>
      <c r="L97" s="566"/>
      <c r="M97" s="566"/>
      <c r="N97" s="566"/>
      <c r="O97" s="566"/>
      <c r="P97" s="566"/>
      <c r="Q97" s="566"/>
      <c r="R97" s="566"/>
      <c r="S97" s="566"/>
      <c r="T97" s="566"/>
      <c r="U97" s="566"/>
      <c r="V97" s="566"/>
      <c r="W97" s="566"/>
      <c r="X97" s="566"/>
      <c r="Y97" s="566"/>
      <c r="Z97" s="566"/>
      <c r="AA97" s="544"/>
      <c r="AB97" s="544"/>
      <c r="AC97" s="544"/>
    </row>
    <row r="98" spans="1:68" ht="14.25" hidden="1" customHeight="1" x14ac:dyDescent="0.25">
      <c r="A98" s="567" t="s">
        <v>99</v>
      </c>
      <c r="B98" s="566"/>
      <c r="C98" s="566"/>
      <c r="D98" s="566"/>
      <c r="E98" s="566"/>
      <c r="F98" s="566"/>
      <c r="G98" s="566"/>
      <c r="H98" s="566"/>
      <c r="I98" s="566"/>
      <c r="J98" s="566"/>
      <c r="K98" s="566"/>
      <c r="L98" s="566"/>
      <c r="M98" s="566"/>
      <c r="N98" s="566"/>
      <c r="O98" s="566"/>
      <c r="P98" s="566"/>
      <c r="Q98" s="566"/>
      <c r="R98" s="566"/>
      <c r="S98" s="566"/>
      <c r="T98" s="566"/>
      <c r="U98" s="566"/>
      <c r="V98" s="566"/>
      <c r="W98" s="566"/>
      <c r="X98" s="566"/>
      <c r="Y98" s="566"/>
      <c r="Z98" s="566"/>
      <c r="AA98" s="545"/>
      <c r="AB98" s="545"/>
      <c r="AC98" s="545"/>
    </row>
    <row r="99" spans="1:68" ht="37.5" hidden="1" customHeight="1" x14ac:dyDescent="0.25">
      <c r="A99" s="54" t="s">
        <v>190</v>
      </c>
      <c r="B99" s="54" t="s">
        <v>191</v>
      </c>
      <c r="C99" s="31">
        <v>4301011514</v>
      </c>
      <c r="D99" s="558">
        <v>4680115882133</v>
      </c>
      <c r="E99" s="559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0</v>
      </c>
      <c r="Y99" s="55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193</v>
      </c>
      <c r="B100" s="54" t="s">
        <v>194</v>
      </c>
      <c r="C100" s="31">
        <v>4301012051</v>
      </c>
      <c r="D100" s="558">
        <v>4680115887718</v>
      </c>
      <c r="E100" s="559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58">
        <v>4680115880269</v>
      </c>
      <c r="E101" s="559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6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8">
        <v>4680115880429</v>
      </c>
      <c r="E102" s="559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8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337</v>
      </c>
      <c r="Y102" s="550">
        <f>IFERROR(IF(X102="",0,CEILING((X102/$H102),1)*$H102),"")</f>
        <v>337.5</v>
      </c>
      <c r="Z102" s="36">
        <f>IFERROR(IF(Y102=0,"",ROUNDUP(Y102/H102,0)*0.00902),"")</f>
        <v>0.67649999999999999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351.22888888888895</v>
      </c>
      <c r="BN102" s="64">
        <f>IFERROR(Y102*I102/H102,"0")</f>
        <v>351.75000000000006</v>
      </c>
      <c r="BO102" s="64">
        <f>IFERROR(1/J102*(X102/H102),"0")</f>
        <v>0.56734006734006737</v>
      </c>
      <c r="BP102" s="64">
        <f>IFERROR(1/J102*(Y102/H102),"0")</f>
        <v>0.56818181818181823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8">
        <v>4680115881457</v>
      </c>
      <c r="E103" s="559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81"/>
      <c r="B104" s="566"/>
      <c r="C104" s="566"/>
      <c r="D104" s="566"/>
      <c r="E104" s="566"/>
      <c r="F104" s="566"/>
      <c r="G104" s="566"/>
      <c r="H104" s="566"/>
      <c r="I104" s="566"/>
      <c r="J104" s="566"/>
      <c r="K104" s="566"/>
      <c r="L104" s="566"/>
      <c r="M104" s="566"/>
      <c r="N104" s="566"/>
      <c r="O104" s="582"/>
      <c r="P104" s="562" t="s">
        <v>75</v>
      </c>
      <c r="Q104" s="563"/>
      <c r="R104" s="563"/>
      <c r="S104" s="563"/>
      <c r="T104" s="563"/>
      <c r="U104" s="563"/>
      <c r="V104" s="564"/>
      <c r="W104" s="37" t="s">
        <v>76</v>
      </c>
      <c r="X104" s="551">
        <f>IFERROR(X99/H99,"0")+IFERROR(X100/H100,"0")+IFERROR(X101/H101,"0")+IFERROR(X102/H102,"0")+IFERROR(X103/H103,"0")</f>
        <v>74.888888888888886</v>
      </c>
      <c r="Y104" s="551">
        <f>IFERROR(Y99/H99,"0")+IFERROR(Y100/H100,"0")+IFERROR(Y101/H101,"0")+IFERROR(Y102/H102,"0")+IFERROR(Y103/H103,"0")</f>
        <v>75</v>
      </c>
      <c r="Z104" s="551">
        <f>IFERROR(IF(Z99="",0,Z99),"0")+IFERROR(IF(Z100="",0,Z100),"0")+IFERROR(IF(Z101="",0,Z101),"0")+IFERROR(IF(Z102="",0,Z102),"0")+IFERROR(IF(Z103="",0,Z103),"0")</f>
        <v>0.67649999999999999</v>
      </c>
      <c r="AA104" s="552"/>
      <c r="AB104" s="552"/>
      <c r="AC104" s="552"/>
    </row>
    <row r="105" spans="1:68" x14ac:dyDescent="0.2">
      <c r="A105" s="566"/>
      <c r="B105" s="566"/>
      <c r="C105" s="566"/>
      <c r="D105" s="566"/>
      <c r="E105" s="566"/>
      <c r="F105" s="566"/>
      <c r="G105" s="566"/>
      <c r="H105" s="566"/>
      <c r="I105" s="566"/>
      <c r="J105" s="566"/>
      <c r="K105" s="566"/>
      <c r="L105" s="566"/>
      <c r="M105" s="566"/>
      <c r="N105" s="566"/>
      <c r="O105" s="582"/>
      <c r="P105" s="562" t="s">
        <v>75</v>
      </c>
      <c r="Q105" s="563"/>
      <c r="R105" s="563"/>
      <c r="S105" s="563"/>
      <c r="T105" s="563"/>
      <c r="U105" s="563"/>
      <c r="V105" s="564"/>
      <c r="W105" s="37" t="s">
        <v>69</v>
      </c>
      <c r="X105" s="551">
        <f>IFERROR(SUM(X99:X103),"0")</f>
        <v>337</v>
      </c>
      <c r="Y105" s="551">
        <f>IFERROR(SUM(Y99:Y103),"0")</f>
        <v>337.5</v>
      </c>
      <c r="Z105" s="37"/>
      <c r="AA105" s="552"/>
      <c r="AB105" s="552"/>
      <c r="AC105" s="552"/>
    </row>
    <row r="106" spans="1:68" ht="14.25" hidden="1" customHeight="1" x14ac:dyDescent="0.25">
      <c r="A106" s="567" t="s">
        <v>135</v>
      </c>
      <c r="B106" s="566"/>
      <c r="C106" s="566"/>
      <c r="D106" s="566"/>
      <c r="E106" s="566"/>
      <c r="F106" s="566"/>
      <c r="G106" s="566"/>
      <c r="H106" s="566"/>
      <c r="I106" s="566"/>
      <c r="J106" s="566"/>
      <c r="K106" s="566"/>
      <c r="L106" s="566"/>
      <c r="M106" s="566"/>
      <c r="N106" s="566"/>
      <c r="O106" s="566"/>
      <c r="P106" s="566"/>
      <c r="Q106" s="566"/>
      <c r="R106" s="566"/>
      <c r="S106" s="566"/>
      <c r="T106" s="566"/>
      <c r="U106" s="566"/>
      <c r="V106" s="566"/>
      <c r="W106" s="566"/>
      <c r="X106" s="566"/>
      <c r="Y106" s="566"/>
      <c r="Z106" s="566"/>
      <c r="AA106" s="545"/>
      <c r="AB106" s="545"/>
      <c r="AC106" s="545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8">
        <v>4680115881488</v>
      </c>
      <c r="E107" s="559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59</v>
      </c>
      <c r="Y107" s="550">
        <f>IFERROR(IF(X107="",0,CEILING((X107/$H107),1)*$H107),"")</f>
        <v>64.800000000000011</v>
      </c>
      <c r="Z107" s="36">
        <f>IFERROR(IF(Y107=0,"",ROUNDUP(Y107/H107,0)*0.01898),"")</f>
        <v>0.11388000000000001</v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61.239814814814821</v>
      </c>
      <c r="BN107" s="64">
        <f>IFERROR(Y107*I107/H107,"0")</f>
        <v>67.260000000000005</v>
      </c>
      <c r="BO107" s="64">
        <f>IFERROR(1/J107*(X107/H107),"0")</f>
        <v>8.5358796296296294E-2</v>
      </c>
      <c r="BP107" s="64">
        <f>IFERROR(1/J107*(Y107/H107),"0")</f>
        <v>9.3750000000000014E-2</v>
      </c>
    </row>
    <row r="108" spans="1:68" ht="27" hidden="1" customHeight="1" x14ac:dyDescent="0.25">
      <c r="A108" s="54" t="s">
        <v>205</v>
      </c>
      <c r="B108" s="54" t="s">
        <v>206</v>
      </c>
      <c r="C108" s="31">
        <v>4301020186</v>
      </c>
      <c r="D108" s="558">
        <v>4680115887664</v>
      </c>
      <c r="E108" s="559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8">
        <v>4680115882775</v>
      </c>
      <c r="E109" s="559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81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8">
        <v>4680115880658</v>
      </c>
      <c r="E110" s="559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8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88</v>
      </c>
      <c r="Y110" s="550">
        <f>IFERROR(IF(X110="",0,CEILING((X110/$H110),1)*$H110),"")</f>
        <v>88.8</v>
      </c>
      <c r="Z110" s="36">
        <f>IFERROR(IF(Y110=0,"",ROUNDUP(Y110/H110,0)*0.00651),"")</f>
        <v>0.24087</v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94.600000000000009</v>
      </c>
      <c r="BN110" s="64">
        <f>IFERROR(Y110*I110/H110,"0")</f>
        <v>95.46</v>
      </c>
      <c r="BO110" s="64">
        <f>IFERROR(1/J110*(X110/H110),"0")</f>
        <v>0.2014652014652015</v>
      </c>
      <c r="BP110" s="64">
        <f>IFERROR(1/J110*(Y110/H110),"0")</f>
        <v>0.20329670329670332</v>
      </c>
    </row>
    <row r="111" spans="1:68" x14ac:dyDescent="0.2">
      <c r="A111" s="581"/>
      <c r="B111" s="566"/>
      <c r="C111" s="566"/>
      <c r="D111" s="566"/>
      <c r="E111" s="566"/>
      <c r="F111" s="566"/>
      <c r="G111" s="566"/>
      <c r="H111" s="566"/>
      <c r="I111" s="566"/>
      <c r="J111" s="566"/>
      <c r="K111" s="566"/>
      <c r="L111" s="566"/>
      <c r="M111" s="566"/>
      <c r="N111" s="566"/>
      <c r="O111" s="582"/>
      <c r="P111" s="562" t="s">
        <v>75</v>
      </c>
      <c r="Q111" s="563"/>
      <c r="R111" s="563"/>
      <c r="S111" s="563"/>
      <c r="T111" s="563"/>
      <c r="U111" s="563"/>
      <c r="V111" s="564"/>
      <c r="W111" s="37" t="s">
        <v>76</v>
      </c>
      <c r="X111" s="551">
        <f>IFERROR(X107/H107,"0")+IFERROR(X108/H108,"0")+IFERROR(X109/H109,"0")+IFERROR(X110/H110,"0")</f>
        <v>42.129629629629633</v>
      </c>
      <c r="Y111" s="551">
        <f>IFERROR(Y107/H107,"0")+IFERROR(Y108/H108,"0")+IFERROR(Y109/H109,"0")+IFERROR(Y110/H110,"0")</f>
        <v>43</v>
      </c>
      <c r="Z111" s="551">
        <f>IFERROR(IF(Z107="",0,Z107),"0")+IFERROR(IF(Z108="",0,Z108),"0")+IFERROR(IF(Z109="",0,Z109),"0")+IFERROR(IF(Z110="",0,Z110),"0")</f>
        <v>0.35475000000000001</v>
      </c>
      <c r="AA111" s="552"/>
      <c r="AB111" s="552"/>
      <c r="AC111" s="552"/>
    </row>
    <row r="112" spans="1:68" x14ac:dyDescent="0.2">
      <c r="A112" s="566"/>
      <c r="B112" s="566"/>
      <c r="C112" s="566"/>
      <c r="D112" s="566"/>
      <c r="E112" s="566"/>
      <c r="F112" s="566"/>
      <c r="G112" s="566"/>
      <c r="H112" s="566"/>
      <c r="I112" s="566"/>
      <c r="J112" s="566"/>
      <c r="K112" s="566"/>
      <c r="L112" s="566"/>
      <c r="M112" s="566"/>
      <c r="N112" s="566"/>
      <c r="O112" s="582"/>
      <c r="P112" s="562" t="s">
        <v>75</v>
      </c>
      <c r="Q112" s="563"/>
      <c r="R112" s="563"/>
      <c r="S112" s="563"/>
      <c r="T112" s="563"/>
      <c r="U112" s="563"/>
      <c r="V112" s="564"/>
      <c r="W112" s="37" t="s">
        <v>69</v>
      </c>
      <c r="X112" s="551">
        <f>IFERROR(SUM(X107:X110),"0")</f>
        <v>147</v>
      </c>
      <c r="Y112" s="551">
        <f>IFERROR(SUM(Y107:Y110),"0")</f>
        <v>153.60000000000002</v>
      </c>
      <c r="Z112" s="37"/>
      <c r="AA112" s="552"/>
      <c r="AB112" s="552"/>
      <c r="AC112" s="552"/>
    </row>
    <row r="113" spans="1:68" ht="14.25" hidden="1" customHeight="1" x14ac:dyDescent="0.25">
      <c r="A113" s="567" t="s">
        <v>77</v>
      </c>
      <c r="B113" s="566"/>
      <c r="C113" s="566"/>
      <c r="D113" s="566"/>
      <c r="E113" s="566"/>
      <c r="F113" s="566"/>
      <c r="G113" s="566"/>
      <c r="H113" s="566"/>
      <c r="I113" s="566"/>
      <c r="J113" s="566"/>
      <c r="K113" s="566"/>
      <c r="L113" s="566"/>
      <c r="M113" s="566"/>
      <c r="N113" s="566"/>
      <c r="O113" s="566"/>
      <c r="P113" s="566"/>
      <c r="Q113" s="566"/>
      <c r="R113" s="566"/>
      <c r="S113" s="566"/>
      <c r="T113" s="566"/>
      <c r="U113" s="566"/>
      <c r="V113" s="566"/>
      <c r="W113" s="566"/>
      <c r="X113" s="566"/>
      <c r="Y113" s="566"/>
      <c r="Z113" s="566"/>
      <c r="AA113" s="545"/>
      <c r="AB113" s="545"/>
      <c r="AC113" s="545"/>
    </row>
    <row r="114" spans="1:68" ht="27" hidden="1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7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0</v>
      </c>
      <c r="Y114" s="550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64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315</v>
      </c>
      <c r="Y116" s="550">
        <f>IFERROR(IF(X116="",0,CEILING((X116/$H116),1)*$H116),"")</f>
        <v>315.90000000000003</v>
      </c>
      <c r="Z116" s="36">
        <f>IFERROR(IF(Y116=0,"",ROUNDUP(Y116/H116,0)*0.00651),"")</f>
        <v>0.76167000000000007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344.4</v>
      </c>
      <c r="BN116" s="64">
        <f>IFERROR(Y116*I116/H116,"0")</f>
        <v>345.38400000000001</v>
      </c>
      <c r="BO116" s="64">
        <f>IFERROR(1/J116*(X116/H116),"0")</f>
        <v>0.64102564102564097</v>
      </c>
      <c r="BP116" s="64">
        <f>IFERROR(1/J116*(Y116/H116),"0")</f>
        <v>0.6428571428571429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81"/>
      <c r="B118" s="566"/>
      <c r="C118" s="566"/>
      <c r="D118" s="566"/>
      <c r="E118" s="566"/>
      <c r="F118" s="566"/>
      <c r="G118" s="566"/>
      <c r="H118" s="566"/>
      <c r="I118" s="566"/>
      <c r="J118" s="566"/>
      <c r="K118" s="566"/>
      <c r="L118" s="566"/>
      <c r="M118" s="566"/>
      <c r="N118" s="566"/>
      <c r="O118" s="582"/>
      <c r="P118" s="562" t="s">
        <v>75</v>
      </c>
      <c r="Q118" s="563"/>
      <c r="R118" s="563"/>
      <c r="S118" s="563"/>
      <c r="T118" s="563"/>
      <c r="U118" s="563"/>
      <c r="V118" s="564"/>
      <c r="W118" s="37" t="s">
        <v>76</v>
      </c>
      <c r="X118" s="551">
        <f>IFERROR(X114/H114,"0")+IFERROR(X115/H115,"0")+IFERROR(X116/H116,"0")+IFERROR(X117/H117,"0")</f>
        <v>116.66666666666666</v>
      </c>
      <c r="Y118" s="551">
        <f>IFERROR(Y114/H114,"0")+IFERROR(Y115/H115,"0")+IFERROR(Y116/H116,"0")+IFERROR(Y117/H117,"0")</f>
        <v>117</v>
      </c>
      <c r="Z118" s="551">
        <f>IFERROR(IF(Z114="",0,Z114),"0")+IFERROR(IF(Z115="",0,Z115),"0")+IFERROR(IF(Z116="",0,Z116),"0")+IFERROR(IF(Z117="",0,Z117),"0")</f>
        <v>0.76167000000000007</v>
      </c>
      <c r="AA118" s="552"/>
      <c r="AB118" s="552"/>
      <c r="AC118" s="552"/>
    </row>
    <row r="119" spans="1:68" x14ac:dyDescent="0.2">
      <c r="A119" s="566"/>
      <c r="B119" s="566"/>
      <c r="C119" s="566"/>
      <c r="D119" s="566"/>
      <c r="E119" s="566"/>
      <c r="F119" s="566"/>
      <c r="G119" s="566"/>
      <c r="H119" s="566"/>
      <c r="I119" s="566"/>
      <c r="J119" s="566"/>
      <c r="K119" s="566"/>
      <c r="L119" s="566"/>
      <c r="M119" s="566"/>
      <c r="N119" s="566"/>
      <c r="O119" s="582"/>
      <c r="P119" s="562" t="s">
        <v>75</v>
      </c>
      <c r="Q119" s="563"/>
      <c r="R119" s="563"/>
      <c r="S119" s="563"/>
      <c r="T119" s="563"/>
      <c r="U119" s="563"/>
      <c r="V119" s="564"/>
      <c r="W119" s="37" t="s">
        <v>69</v>
      </c>
      <c r="X119" s="551">
        <f>IFERROR(SUM(X114:X117),"0")</f>
        <v>315</v>
      </c>
      <c r="Y119" s="551">
        <f>IFERROR(SUM(Y114:Y117),"0")</f>
        <v>315.90000000000003</v>
      </c>
      <c r="Z119" s="37"/>
      <c r="AA119" s="552"/>
      <c r="AB119" s="552"/>
      <c r="AC119" s="552"/>
    </row>
    <row r="120" spans="1:68" ht="14.25" hidden="1" customHeight="1" x14ac:dyDescent="0.25">
      <c r="A120" s="567" t="s">
        <v>160</v>
      </c>
      <c r="B120" s="566"/>
      <c r="C120" s="566"/>
      <c r="D120" s="566"/>
      <c r="E120" s="566"/>
      <c r="F120" s="566"/>
      <c r="G120" s="566"/>
      <c r="H120" s="566"/>
      <c r="I120" s="566"/>
      <c r="J120" s="566"/>
      <c r="K120" s="566"/>
      <c r="L120" s="566"/>
      <c r="M120" s="566"/>
      <c r="N120" s="566"/>
      <c r="O120" s="566"/>
      <c r="P120" s="566"/>
      <c r="Q120" s="566"/>
      <c r="R120" s="566"/>
      <c r="S120" s="566"/>
      <c r="T120" s="566"/>
      <c r="U120" s="566"/>
      <c r="V120" s="566"/>
      <c r="W120" s="566"/>
      <c r="X120" s="566"/>
      <c r="Y120" s="566"/>
      <c r="Z120" s="566"/>
      <c r="AA120" s="545"/>
      <c r="AB120" s="545"/>
      <c r="AC120" s="545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2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81"/>
      <c r="B122" s="566"/>
      <c r="C122" s="566"/>
      <c r="D122" s="566"/>
      <c r="E122" s="566"/>
      <c r="F122" s="566"/>
      <c r="G122" s="566"/>
      <c r="H122" s="566"/>
      <c r="I122" s="566"/>
      <c r="J122" s="566"/>
      <c r="K122" s="566"/>
      <c r="L122" s="566"/>
      <c r="M122" s="566"/>
      <c r="N122" s="566"/>
      <c r="O122" s="582"/>
      <c r="P122" s="562" t="s">
        <v>75</v>
      </c>
      <c r="Q122" s="563"/>
      <c r="R122" s="563"/>
      <c r="S122" s="563"/>
      <c r="T122" s="563"/>
      <c r="U122" s="563"/>
      <c r="V122" s="564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hidden="1" x14ac:dyDescent="0.2">
      <c r="A123" s="566"/>
      <c r="B123" s="566"/>
      <c r="C123" s="566"/>
      <c r="D123" s="566"/>
      <c r="E123" s="566"/>
      <c r="F123" s="566"/>
      <c r="G123" s="566"/>
      <c r="H123" s="566"/>
      <c r="I123" s="566"/>
      <c r="J123" s="566"/>
      <c r="K123" s="566"/>
      <c r="L123" s="566"/>
      <c r="M123" s="566"/>
      <c r="N123" s="566"/>
      <c r="O123" s="582"/>
      <c r="P123" s="562" t="s">
        <v>75</v>
      </c>
      <c r="Q123" s="563"/>
      <c r="R123" s="563"/>
      <c r="S123" s="563"/>
      <c r="T123" s="563"/>
      <c r="U123" s="563"/>
      <c r="V123" s="564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hidden="1" customHeight="1" x14ac:dyDescent="0.25">
      <c r="A124" s="565" t="s">
        <v>227</v>
      </c>
      <c r="B124" s="566"/>
      <c r="C124" s="566"/>
      <c r="D124" s="566"/>
      <c r="E124" s="566"/>
      <c r="F124" s="566"/>
      <c r="G124" s="566"/>
      <c r="H124" s="566"/>
      <c r="I124" s="566"/>
      <c r="J124" s="566"/>
      <c r="K124" s="566"/>
      <c r="L124" s="566"/>
      <c r="M124" s="566"/>
      <c r="N124" s="566"/>
      <c r="O124" s="566"/>
      <c r="P124" s="566"/>
      <c r="Q124" s="566"/>
      <c r="R124" s="566"/>
      <c r="S124" s="566"/>
      <c r="T124" s="566"/>
      <c r="U124" s="566"/>
      <c r="V124" s="566"/>
      <c r="W124" s="566"/>
      <c r="X124" s="566"/>
      <c r="Y124" s="566"/>
      <c r="Z124" s="566"/>
      <c r="AA124" s="544"/>
      <c r="AB124" s="544"/>
      <c r="AC124" s="544"/>
    </row>
    <row r="125" spans="1:68" ht="14.25" hidden="1" customHeight="1" x14ac:dyDescent="0.25">
      <c r="A125" s="567" t="s">
        <v>99</v>
      </c>
      <c r="B125" s="566"/>
      <c r="C125" s="566"/>
      <c r="D125" s="566"/>
      <c r="E125" s="566"/>
      <c r="F125" s="566"/>
      <c r="G125" s="566"/>
      <c r="H125" s="566"/>
      <c r="I125" s="566"/>
      <c r="J125" s="566"/>
      <c r="K125" s="566"/>
      <c r="L125" s="566"/>
      <c r="M125" s="566"/>
      <c r="N125" s="566"/>
      <c r="O125" s="566"/>
      <c r="P125" s="566"/>
      <c r="Q125" s="566"/>
      <c r="R125" s="566"/>
      <c r="S125" s="566"/>
      <c r="T125" s="566"/>
      <c r="U125" s="566"/>
      <c r="V125" s="566"/>
      <c r="W125" s="566"/>
      <c r="X125" s="566"/>
      <c r="Y125" s="566"/>
      <c r="Z125" s="566"/>
      <c r="AA125" s="545"/>
      <c r="AB125" s="545"/>
      <c r="AC125" s="545"/>
    </row>
    <row r="126" spans="1:68" ht="27" hidden="1" customHeight="1" x14ac:dyDescent="0.25">
      <c r="A126" s="54" t="s">
        <v>228</v>
      </c>
      <c r="B126" s="54" t="s">
        <v>229</v>
      </c>
      <c r="C126" s="31">
        <v>4301011562</v>
      </c>
      <c r="D126" s="558">
        <v>4680115882577</v>
      </c>
      <c r="E126" s="559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4301011564</v>
      </c>
      <c r="D127" s="558">
        <v>4680115882577</v>
      </c>
      <c r="E127" s="559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3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81"/>
      <c r="B128" s="566"/>
      <c r="C128" s="566"/>
      <c r="D128" s="566"/>
      <c r="E128" s="566"/>
      <c r="F128" s="566"/>
      <c r="G128" s="566"/>
      <c r="H128" s="566"/>
      <c r="I128" s="566"/>
      <c r="J128" s="566"/>
      <c r="K128" s="566"/>
      <c r="L128" s="566"/>
      <c r="M128" s="566"/>
      <c r="N128" s="566"/>
      <c r="O128" s="582"/>
      <c r="P128" s="562" t="s">
        <v>75</v>
      </c>
      <c r="Q128" s="563"/>
      <c r="R128" s="563"/>
      <c r="S128" s="563"/>
      <c r="T128" s="563"/>
      <c r="U128" s="563"/>
      <c r="V128" s="564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hidden="1" x14ac:dyDescent="0.2">
      <c r="A129" s="566"/>
      <c r="B129" s="566"/>
      <c r="C129" s="566"/>
      <c r="D129" s="566"/>
      <c r="E129" s="566"/>
      <c r="F129" s="566"/>
      <c r="G129" s="566"/>
      <c r="H129" s="566"/>
      <c r="I129" s="566"/>
      <c r="J129" s="566"/>
      <c r="K129" s="566"/>
      <c r="L129" s="566"/>
      <c r="M129" s="566"/>
      <c r="N129" s="566"/>
      <c r="O129" s="582"/>
      <c r="P129" s="562" t="s">
        <v>75</v>
      </c>
      <c r="Q129" s="563"/>
      <c r="R129" s="563"/>
      <c r="S129" s="563"/>
      <c r="T129" s="563"/>
      <c r="U129" s="563"/>
      <c r="V129" s="564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hidden="1" customHeight="1" x14ac:dyDescent="0.25">
      <c r="A130" s="567" t="s">
        <v>64</v>
      </c>
      <c r="B130" s="566"/>
      <c r="C130" s="566"/>
      <c r="D130" s="566"/>
      <c r="E130" s="566"/>
      <c r="F130" s="566"/>
      <c r="G130" s="566"/>
      <c r="H130" s="566"/>
      <c r="I130" s="566"/>
      <c r="J130" s="566"/>
      <c r="K130" s="566"/>
      <c r="L130" s="566"/>
      <c r="M130" s="566"/>
      <c r="N130" s="566"/>
      <c r="O130" s="566"/>
      <c r="P130" s="566"/>
      <c r="Q130" s="566"/>
      <c r="R130" s="566"/>
      <c r="S130" s="566"/>
      <c r="T130" s="566"/>
      <c r="U130" s="566"/>
      <c r="V130" s="566"/>
      <c r="W130" s="566"/>
      <c r="X130" s="566"/>
      <c r="Y130" s="566"/>
      <c r="Z130" s="566"/>
      <c r="AA130" s="545"/>
      <c r="AB130" s="545"/>
      <c r="AC130" s="545"/>
    </row>
    <row r="131" spans="1:68" ht="27" hidden="1" customHeight="1" x14ac:dyDescent="0.25">
      <c r="A131" s="54" t="s">
        <v>232</v>
      </c>
      <c r="B131" s="54" t="s">
        <v>233</v>
      </c>
      <c r="C131" s="31">
        <v>4301031235</v>
      </c>
      <c r="D131" s="558">
        <v>4680115883444</v>
      </c>
      <c r="E131" s="559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4301031234</v>
      </c>
      <c r="D132" s="558">
        <v>4680115883444</v>
      </c>
      <c r="E132" s="559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6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81"/>
      <c r="B133" s="566"/>
      <c r="C133" s="566"/>
      <c r="D133" s="566"/>
      <c r="E133" s="566"/>
      <c r="F133" s="566"/>
      <c r="G133" s="566"/>
      <c r="H133" s="566"/>
      <c r="I133" s="566"/>
      <c r="J133" s="566"/>
      <c r="K133" s="566"/>
      <c r="L133" s="566"/>
      <c r="M133" s="566"/>
      <c r="N133" s="566"/>
      <c r="O133" s="582"/>
      <c r="P133" s="562" t="s">
        <v>75</v>
      </c>
      <c r="Q133" s="563"/>
      <c r="R133" s="563"/>
      <c r="S133" s="563"/>
      <c r="T133" s="563"/>
      <c r="U133" s="563"/>
      <c r="V133" s="564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hidden="1" x14ac:dyDescent="0.2">
      <c r="A134" s="566"/>
      <c r="B134" s="566"/>
      <c r="C134" s="566"/>
      <c r="D134" s="566"/>
      <c r="E134" s="566"/>
      <c r="F134" s="566"/>
      <c r="G134" s="566"/>
      <c r="H134" s="566"/>
      <c r="I134" s="566"/>
      <c r="J134" s="566"/>
      <c r="K134" s="566"/>
      <c r="L134" s="566"/>
      <c r="M134" s="566"/>
      <c r="N134" s="566"/>
      <c r="O134" s="582"/>
      <c r="P134" s="562" t="s">
        <v>75</v>
      </c>
      <c r="Q134" s="563"/>
      <c r="R134" s="563"/>
      <c r="S134" s="563"/>
      <c r="T134" s="563"/>
      <c r="U134" s="563"/>
      <c r="V134" s="564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hidden="1" customHeight="1" x14ac:dyDescent="0.25">
      <c r="A135" s="567" t="s">
        <v>77</v>
      </c>
      <c r="B135" s="566"/>
      <c r="C135" s="566"/>
      <c r="D135" s="566"/>
      <c r="E135" s="566"/>
      <c r="F135" s="566"/>
      <c r="G135" s="566"/>
      <c r="H135" s="566"/>
      <c r="I135" s="566"/>
      <c r="J135" s="566"/>
      <c r="K135" s="566"/>
      <c r="L135" s="566"/>
      <c r="M135" s="566"/>
      <c r="N135" s="566"/>
      <c r="O135" s="566"/>
      <c r="P135" s="566"/>
      <c r="Q135" s="566"/>
      <c r="R135" s="566"/>
      <c r="S135" s="566"/>
      <c r="T135" s="566"/>
      <c r="U135" s="566"/>
      <c r="V135" s="566"/>
      <c r="W135" s="566"/>
      <c r="X135" s="566"/>
      <c r="Y135" s="566"/>
      <c r="Z135" s="566"/>
      <c r="AA135" s="545"/>
      <c r="AB135" s="545"/>
      <c r="AC135" s="545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70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81"/>
      <c r="B138" s="566"/>
      <c r="C138" s="566"/>
      <c r="D138" s="566"/>
      <c r="E138" s="566"/>
      <c r="F138" s="566"/>
      <c r="G138" s="566"/>
      <c r="H138" s="566"/>
      <c r="I138" s="566"/>
      <c r="J138" s="566"/>
      <c r="K138" s="566"/>
      <c r="L138" s="566"/>
      <c r="M138" s="566"/>
      <c r="N138" s="566"/>
      <c r="O138" s="582"/>
      <c r="P138" s="562" t="s">
        <v>75</v>
      </c>
      <c r="Q138" s="563"/>
      <c r="R138" s="563"/>
      <c r="S138" s="563"/>
      <c r="T138" s="563"/>
      <c r="U138" s="563"/>
      <c r="V138" s="564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hidden="1" x14ac:dyDescent="0.2">
      <c r="A139" s="566"/>
      <c r="B139" s="566"/>
      <c r="C139" s="566"/>
      <c r="D139" s="566"/>
      <c r="E139" s="566"/>
      <c r="F139" s="566"/>
      <c r="G139" s="566"/>
      <c r="H139" s="566"/>
      <c r="I139" s="566"/>
      <c r="J139" s="566"/>
      <c r="K139" s="566"/>
      <c r="L139" s="566"/>
      <c r="M139" s="566"/>
      <c r="N139" s="566"/>
      <c r="O139" s="582"/>
      <c r="P139" s="562" t="s">
        <v>75</v>
      </c>
      <c r="Q139" s="563"/>
      <c r="R139" s="563"/>
      <c r="S139" s="563"/>
      <c r="T139" s="563"/>
      <c r="U139" s="563"/>
      <c r="V139" s="564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hidden="1" customHeight="1" x14ac:dyDescent="0.25">
      <c r="A140" s="565" t="s">
        <v>97</v>
      </c>
      <c r="B140" s="566"/>
      <c r="C140" s="566"/>
      <c r="D140" s="566"/>
      <c r="E140" s="566"/>
      <c r="F140" s="566"/>
      <c r="G140" s="566"/>
      <c r="H140" s="566"/>
      <c r="I140" s="566"/>
      <c r="J140" s="566"/>
      <c r="K140" s="566"/>
      <c r="L140" s="566"/>
      <c r="M140" s="566"/>
      <c r="N140" s="566"/>
      <c r="O140" s="566"/>
      <c r="P140" s="566"/>
      <c r="Q140" s="566"/>
      <c r="R140" s="566"/>
      <c r="S140" s="566"/>
      <c r="T140" s="566"/>
      <c r="U140" s="566"/>
      <c r="V140" s="566"/>
      <c r="W140" s="566"/>
      <c r="X140" s="566"/>
      <c r="Y140" s="566"/>
      <c r="Z140" s="566"/>
      <c r="AA140" s="544"/>
      <c r="AB140" s="544"/>
      <c r="AC140" s="544"/>
    </row>
    <row r="141" spans="1:68" ht="14.25" hidden="1" customHeight="1" x14ac:dyDescent="0.25">
      <c r="A141" s="567" t="s">
        <v>99</v>
      </c>
      <c r="B141" s="566"/>
      <c r="C141" s="566"/>
      <c r="D141" s="566"/>
      <c r="E141" s="566"/>
      <c r="F141" s="566"/>
      <c r="G141" s="566"/>
      <c r="H141" s="566"/>
      <c r="I141" s="566"/>
      <c r="J141" s="566"/>
      <c r="K141" s="566"/>
      <c r="L141" s="566"/>
      <c r="M141" s="566"/>
      <c r="N141" s="566"/>
      <c r="O141" s="566"/>
      <c r="P141" s="566"/>
      <c r="Q141" s="566"/>
      <c r="R141" s="566"/>
      <c r="S141" s="566"/>
      <c r="T141" s="566"/>
      <c r="U141" s="566"/>
      <c r="V141" s="566"/>
      <c r="W141" s="566"/>
      <c r="X141" s="566"/>
      <c r="Y141" s="566"/>
      <c r="Z141" s="566"/>
      <c r="AA141" s="545"/>
      <c r="AB141" s="545"/>
      <c r="AC141" s="545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5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81"/>
      <c r="B144" s="566"/>
      <c r="C144" s="566"/>
      <c r="D144" s="566"/>
      <c r="E144" s="566"/>
      <c r="F144" s="566"/>
      <c r="G144" s="566"/>
      <c r="H144" s="566"/>
      <c r="I144" s="566"/>
      <c r="J144" s="566"/>
      <c r="K144" s="566"/>
      <c r="L144" s="566"/>
      <c r="M144" s="566"/>
      <c r="N144" s="566"/>
      <c r="O144" s="582"/>
      <c r="P144" s="562" t="s">
        <v>75</v>
      </c>
      <c r="Q144" s="563"/>
      <c r="R144" s="563"/>
      <c r="S144" s="563"/>
      <c r="T144" s="563"/>
      <c r="U144" s="563"/>
      <c r="V144" s="564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hidden="1" x14ac:dyDescent="0.2">
      <c r="A145" s="566"/>
      <c r="B145" s="566"/>
      <c r="C145" s="566"/>
      <c r="D145" s="566"/>
      <c r="E145" s="566"/>
      <c r="F145" s="566"/>
      <c r="G145" s="566"/>
      <c r="H145" s="566"/>
      <c r="I145" s="566"/>
      <c r="J145" s="566"/>
      <c r="K145" s="566"/>
      <c r="L145" s="566"/>
      <c r="M145" s="566"/>
      <c r="N145" s="566"/>
      <c r="O145" s="582"/>
      <c r="P145" s="562" t="s">
        <v>75</v>
      </c>
      <c r="Q145" s="563"/>
      <c r="R145" s="563"/>
      <c r="S145" s="563"/>
      <c r="T145" s="563"/>
      <c r="U145" s="563"/>
      <c r="V145" s="564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hidden="1" customHeight="1" x14ac:dyDescent="0.25">
      <c r="A146" s="567" t="s">
        <v>64</v>
      </c>
      <c r="B146" s="566"/>
      <c r="C146" s="566"/>
      <c r="D146" s="566"/>
      <c r="E146" s="566"/>
      <c r="F146" s="566"/>
      <c r="G146" s="566"/>
      <c r="H146" s="566"/>
      <c r="I146" s="566"/>
      <c r="J146" s="566"/>
      <c r="K146" s="566"/>
      <c r="L146" s="566"/>
      <c r="M146" s="566"/>
      <c r="N146" s="566"/>
      <c r="O146" s="566"/>
      <c r="P146" s="566"/>
      <c r="Q146" s="566"/>
      <c r="R146" s="566"/>
      <c r="S146" s="566"/>
      <c r="T146" s="566"/>
      <c r="U146" s="566"/>
      <c r="V146" s="566"/>
      <c r="W146" s="566"/>
      <c r="X146" s="566"/>
      <c r="Y146" s="566"/>
      <c r="Z146" s="566"/>
      <c r="AA146" s="545"/>
      <c r="AB146" s="545"/>
      <c r="AC146" s="545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1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7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81"/>
      <c r="B153" s="566"/>
      <c r="C153" s="566"/>
      <c r="D153" s="566"/>
      <c r="E153" s="566"/>
      <c r="F153" s="566"/>
      <c r="G153" s="566"/>
      <c r="H153" s="566"/>
      <c r="I153" s="566"/>
      <c r="J153" s="566"/>
      <c r="K153" s="566"/>
      <c r="L153" s="566"/>
      <c r="M153" s="566"/>
      <c r="N153" s="566"/>
      <c r="O153" s="582"/>
      <c r="P153" s="562" t="s">
        <v>75</v>
      </c>
      <c r="Q153" s="563"/>
      <c r="R153" s="563"/>
      <c r="S153" s="563"/>
      <c r="T153" s="563"/>
      <c r="U153" s="563"/>
      <c r="V153" s="564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hidden="1" x14ac:dyDescent="0.2">
      <c r="A154" s="566"/>
      <c r="B154" s="566"/>
      <c r="C154" s="566"/>
      <c r="D154" s="566"/>
      <c r="E154" s="566"/>
      <c r="F154" s="566"/>
      <c r="G154" s="566"/>
      <c r="H154" s="566"/>
      <c r="I154" s="566"/>
      <c r="J154" s="566"/>
      <c r="K154" s="566"/>
      <c r="L154" s="566"/>
      <c r="M154" s="566"/>
      <c r="N154" s="566"/>
      <c r="O154" s="582"/>
      <c r="P154" s="562" t="s">
        <v>75</v>
      </c>
      <c r="Q154" s="563"/>
      <c r="R154" s="563"/>
      <c r="S154" s="563"/>
      <c r="T154" s="563"/>
      <c r="U154" s="563"/>
      <c r="V154" s="564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hidden="1" customHeight="1" x14ac:dyDescent="0.25">
      <c r="A155" s="567" t="s">
        <v>77</v>
      </c>
      <c r="B155" s="566"/>
      <c r="C155" s="566"/>
      <c r="D155" s="566"/>
      <c r="E155" s="566"/>
      <c r="F155" s="566"/>
      <c r="G155" s="566"/>
      <c r="H155" s="566"/>
      <c r="I155" s="566"/>
      <c r="J155" s="566"/>
      <c r="K155" s="566"/>
      <c r="L155" s="566"/>
      <c r="M155" s="566"/>
      <c r="N155" s="566"/>
      <c r="O155" s="566"/>
      <c r="P155" s="566"/>
      <c r="Q155" s="566"/>
      <c r="R155" s="566"/>
      <c r="S155" s="566"/>
      <c r="T155" s="566"/>
      <c r="U155" s="566"/>
      <c r="V155" s="566"/>
      <c r="W155" s="566"/>
      <c r="X155" s="566"/>
      <c r="Y155" s="566"/>
      <c r="Z155" s="566"/>
      <c r="AA155" s="545"/>
      <c r="AB155" s="545"/>
      <c r="AC155" s="545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81"/>
      <c r="B157" s="566"/>
      <c r="C157" s="566"/>
      <c r="D157" s="566"/>
      <c r="E157" s="566"/>
      <c r="F157" s="566"/>
      <c r="G157" s="566"/>
      <c r="H157" s="566"/>
      <c r="I157" s="566"/>
      <c r="J157" s="566"/>
      <c r="K157" s="566"/>
      <c r="L157" s="566"/>
      <c r="M157" s="566"/>
      <c r="N157" s="566"/>
      <c r="O157" s="582"/>
      <c r="P157" s="562" t="s">
        <v>75</v>
      </c>
      <c r="Q157" s="563"/>
      <c r="R157" s="563"/>
      <c r="S157" s="563"/>
      <c r="T157" s="563"/>
      <c r="U157" s="563"/>
      <c r="V157" s="564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hidden="1" x14ac:dyDescent="0.2">
      <c r="A158" s="566"/>
      <c r="B158" s="566"/>
      <c r="C158" s="566"/>
      <c r="D158" s="566"/>
      <c r="E158" s="566"/>
      <c r="F158" s="566"/>
      <c r="G158" s="566"/>
      <c r="H158" s="566"/>
      <c r="I158" s="566"/>
      <c r="J158" s="566"/>
      <c r="K158" s="566"/>
      <c r="L158" s="566"/>
      <c r="M158" s="566"/>
      <c r="N158" s="566"/>
      <c r="O158" s="582"/>
      <c r="P158" s="562" t="s">
        <v>75</v>
      </c>
      <c r="Q158" s="563"/>
      <c r="R158" s="563"/>
      <c r="S158" s="563"/>
      <c r="T158" s="563"/>
      <c r="U158" s="563"/>
      <c r="V158" s="564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hidden="1" customHeight="1" x14ac:dyDescent="0.2">
      <c r="A159" s="661" t="s">
        <v>266</v>
      </c>
      <c r="B159" s="662"/>
      <c r="C159" s="662"/>
      <c r="D159" s="662"/>
      <c r="E159" s="662"/>
      <c r="F159" s="662"/>
      <c r="G159" s="662"/>
      <c r="H159" s="662"/>
      <c r="I159" s="662"/>
      <c r="J159" s="662"/>
      <c r="K159" s="662"/>
      <c r="L159" s="662"/>
      <c r="M159" s="662"/>
      <c r="N159" s="662"/>
      <c r="O159" s="662"/>
      <c r="P159" s="662"/>
      <c r="Q159" s="662"/>
      <c r="R159" s="662"/>
      <c r="S159" s="662"/>
      <c r="T159" s="662"/>
      <c r="U159" s="662"/>
      <c r="V159" s="662"/>
      <c r="W159" s="662"/>
      <c r="X159" s="662"/>
      <c r="Y159" s="662"/>
      <c r="Z159" s="662"/>
      <c r="AA159" s="48"/>
      <c r="AB159" s="48"/>
      <c r="AC159" s="48"/>
    </row>
    <row r="160" spans="1:68" ht="16.5" hidden="1" customHeight="1" x14ac:dyDescent="0.25">
      <c r="A160" s="565" t="s">
        <v>267</v>
      </c>
      <c r="B160" s="566"/>
      <c r="C160" s="566"/>
      <c r="D160" s="566"/>
      <c r="E160" s="566"/>
      <c r="F160" s="566"/>
      <c r="G160" s="566"/>
      <c r="H160" s="566"/>
      <c r="I160" s="566"/>
      <c r="J160" s="566"/>
      <c r="K160" s="566"/>
      <c r="L160" s="566"/>
      <c r="M160" s="566"/>
      <c r="N160" s="566"/>
      <c r="O160" s="566"/>
      <c r="P160" s="566"/>
      <c r="Q160" s="566"/>
      <c r="R160" s="566"/>
      <c r="S160" s="566"/>
      <c r="T160" s="566"/>
      <c r="U160" s="566"/>
      <c r="V160" s="566"/>
      <c r="W160" s="566"/>
      <c r="X160" s="566"/>
      <c r="Y160" s="566"/>
      <c r="Z160" s="566"/>
      <c r="AA160" s="544"/>
      <c r="AB160" s="544"/>
      <c r="AC160" s="544"/>
    </row>
    <row r="161" spans="1:68" ht="14.25" hidden="1" customHeight="1" x14ac:dyDescent="0.25">
      <c r="A161" s="567" t="s">
        <v>135</v>
      </c>
      <c r="B161" s="566"/>
      <c r="C161" s="566"/>
      <c r="D161" s="566"/>
      <c r="E161" s="566"/>
      <c r="F161" s="566"/>
      <c r="G161" s="566"/>
      <c r="H161" s="566"/>
      <c r="I161" s="566"/>
      <c r="J161" s="566"/>
      <c r="K161" s="566"/>
      <c r="L161" s="566"/>
      <c r="M161" s="566"/>
      <c r="N161" s="566"/>
      <c r="O161" s="566"/>
      <c r="P161" s="566"/>
      <c r="Q161" s="566"/>
      <c r="R161" s="566"/>
      <c r="S161" s="566"/>
      <c r="T161" s="566"/>
      <c r="U161" s="566"/>
      <c r="V161" s="566"/>
      <c r="W161" s="566"/>
      <c r="X161" s="566"/>
      <c r="Y161" s="566"/>
      <c r="Z161" s="566"/>
      <c r="AA161" s="545"/>
      <c r="AB161" s="545"/>
      <c r="AC161" s="545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81"/>
      <c r="B163" s="566"/>
      <c r="C163" s="566"/>
      <c r="D163" s="566"/>
      <c r="E163" s="566"/>
      <c r="F163" s="566"/>
      <c r="G163" s="566"/>
      <c r="H163" s="566"/>
      <c r="I163" s="566"/>
      <c r="J163" s="566"/>
      <c r="K163" s="566"/>
      <c r="L163" s="566"/>
      <c r="M163" s="566"/>
      <c r="N163" s="566"/>
      <c r="O163" s="582"/>
      <c r="P163" s="562" t="s">
        <v>75</v>
      </c>
      <c r="Q163" s="563"/>
      <c r="R163" s="563"/>
      <c r="S163" s="563"/>
      <c r="T163" s="563"/>
      <c r="U163" s="563"/>
      <c r="V163" s="564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hidden="1" x14ac:dyDescent="0.2">
      <c r="A164" s="566"/>
      <c r="B164" s="566"/>
      <c r="C164" s="566"/>
      <c r="D164" s="566"/>
      <c r="E164" s="566"/>
      <c r="F164" s="566"/>
      <c r="G164" s="566"/>
      <c r="H164" s="566"/>
      <c r="I164" s="566"/>
      <c r="J164" s="566"/>
      <c r="K164" s="566"/>
      <c r="L164" s="566"/>
      <c r="M164" s="566"/>
      <c r="N164" s="566"/>
      <c r="O164" s="582"/>
      <c r="P164" s="562" t="s">
        <v>75</v>
      </c>
      <c r="Q164" s="563"/>
      <c r="R164" s="563"/>
      <c r="S164" s="563"/>
      <c r="T164" s="563"/>
      <c r="U164" s="563"/>
      <c r="V164" s="564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hidden="1" customHeight="1" x14ac:dyDescent="0.25">
      <c r="A165" s="567" t="s">
        <v>64</v>
      </c>
      <c r="B165" s="566"/>
      <c r="C165" s="566"/>
      <c r="D165" s="566"/>
      <c r="E165" s="566"/>
      <c r="F165" s="566"/>
      <c r="G165" s="566"/>
      <c r="H165" s="566"/>
      <c r="I165" s="566"/>
      <c r="J165" s="566"/>
      <c r="K165" s="566"/>
      <c r="L165" s="566"/>
      <c r="M165" s="566"/>
      <c r="N165" s="566"/>
      <c r="O165" s="566"/>
      <c r="P165" s="566"/>
      <c r="Q165" s="566"/>
      <c r="R165" s="566"/>
      <c r="S165" s="566"/>
      <c r="T165" s="566"/>
      <c r="U165" s="566"/>
      <c r="V165" s="566"/>
      <c r="W165" s="566"/>
      <c r="X165" s="566"/>
      <c r="Y165" s="566"/>
      <c r="Z165" s="566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112</v>
      </c>
      <c r="M166" s="33" t="s">
        <v>68</v>
      </c>
      <c r="N166" s="33"/>
      <c r="O166" s="32">
        <v>40</v>
      </c>
      <c r="P166" s="5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53</v>
      </c>
      <c r="Y166" s="550">
        <f t="shared" ref="Y166:Y179" si="10">IFERROR(IF(X166="",0,CEILING((X166/$H166),1)*$H166),"")</f>
        <v>54.6</v>
      </c>
      <c r="Z166" s="36">
        <f>IFERROR(IF(Y166=0,"",ROUNDUP(Y166/H166,0)*0.00902),"")</f>
        <v>0.11726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56.154761904761905</v>
      </c>
      <c r="BN166" s="64">
        <f t="shared" ref="BN166:BN179" si="12">IFERROR(Y166*I166/H166,"0")</f>
        <v>57.85</v>
      </c>
      <c r="BO166" s="64">
        <f t="shared" ref="BO166:BO179" si="13">IFERROR(1/J166*(X166/H166),"0")</f>
        <v>9.55988455988456E-2</v>
      </c>
      <c r="BP166" s="64">
        <f t="shared" ref="BP166:BP179" si="14">IFERROR(1/J166*(Y166/H166),"0")</f>
        <v>9.8484848484848481E-2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112</v>
      </c>
      <c r="M168" s="33" t="s">
        <v>68</v>
      </c>
      <c r="N168" s="33"/>
      <c r="O168" s="32">
        <v>40</v>
      </c>
      <c r="P168" s="6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0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114</v>
      </c>
      <c r="Y170" s="550">
        <f t="shared" si="10"/>
        <v>115.5</v>
      </c>
      <c r="Z170" s="36">
        <f>IFERROR(IF(Y170=0,"",ROUNDUP(Y170/H170,0)*0.00502),"")</f>
        <v>0.27610000000000001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121.05714285714285</v>
      </c>
      <c r="BN170" s="64">
        <f t="shared" si="12"/>
        <v>122.64999999999999</v>
      </c>
      <c r="BO170" s="64">
        <f t="shared" si="13"/>
        <v>0.231990231990232</v>
      </c>
      <c r="BP170" s="64">
        <f t="shared" si="14"/>
        <v>0.23504273504273507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6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7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 t="s">
        <v>285</v>
      </c>
      <c r="M175" s="33" t="s">
        <v>68</v>
      </c>
      <c r="N175" s="33"/>
      <c r="O175" s="32">
        <v>40</v>
      </c>
      <c r="P175" s="78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107</v>
      </c>
      <c r="Y175" s="550">
        <f t="shared" si="10"/>
        <v>108</v>
      </c>
      <c r="Z175" s="36">
        <f>IFERROR(IF(Y175=0,"",ROUNDUP(Y175/H175,0)*0.00502),"")</f>
        <v>0.30120000000000002</v>
      </c>
      <c r="AA175" s="56"/>
      <c r="AB175" s="57"/>
      <c r="AC175" s="219" t="s">
        <v>299</v>
      </c>
      <c r="AG175" s="64"/>
      <c r="AJ175" s="68" t="s">
        <v>106</v>
      </c>
      <c r="AK175" s="68">
        <v>32.4</v>
      </c>
      <c r="BB175" s="220" t="s">
        <v>1</v>
      </c>
      <c r="BM175" s="64">
        <f t="shared" si="11"/>
        <v>114.72777777777777</v>
      </c>
      <c r="BN175" s="64">
        <f t="shared" si="12"/>
        <v>115.8</v>
      </c>
      <c r="BO175" s="64">
        <f t="shared" si="13"/>
        <v>0.25403608736942074</v>
      </c>
      <c r="BP175" s="64">
        <f t="shared" si="14"/>
        <v>0.25641025641025644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8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184</v>
      </c>
      <c r="Y177" s="550">
        <f t="shared" si="10"/>
        <v>184.8</v>
      </c>
      <c r="Z177" s="36">
        <f>IFERROR(IF(Y177=0,"",ROUNDUP(Y177/H177,0)*0.00502),"")</f>
        <v>0.44176000000000004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192.76190476190476</v>
      </c>
      <c r="BN177" s="64">
        <f t="shared" si="12"/>
        <v>193.60000000000002</v>
      </c>
      <c r="BO177" s="64">
        <f t="shared" si="13"/>
        <v>0.37444037444037448</v>
      </c>
      <c r="BP177" s="64">
        <f t="shared" si="14"/>
        <v>0.37606837606837612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81"/>
      <c r="B180" s="566"/>
      <c r="C180" s="566"/>
      <c r="D180" s="566"/>
      <c r="E180" s="566"/>
      <c r="F180" s="566"/>
      <c r="G180" s="566"/>
      <c r="H180" s="566"/>
      <c r="I180" s="566"/>
      <c r="J180" s="566"/>
      <c r="K180" s="566"/>
      <c r="L180" s="566"/>
      <c r="M180" s="566"/>
      <c r="N180" s="566"/>
      <c r="O180" s="582"/>
      <c r="P180" s="562" t="s">
        <v>75</v>
      </c>
      <c r="Q180" s="563"/>
      <c r="R180" s="563"/>
      <c r="S180" s="563"/>
      <c r="T180" s="563"/>
      <c r="U180" s="563"/>
      <c r="V180" s="564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213.96825396825398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216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1.13632</v>
      </c>
      <c r="AA180" s="552"/>
      <c r="AB180" s="552"/>
      <c r="AC180" s="552"/>
    </row>
    <row r="181" spans="1:68" x14ac:dyDescent="0.2">
      <c r="A181" s="566"/>
      <c r="B181" s="566"/>
      <c r="C181" s="566"/>
      <c r="D181" s="566"/>
      <c r="E181" s="566"/>
      <c r="F181" s="566"/>
      <c r="G181" s="566"/>
      <c r="H181" s="566"/>
      <c r="I181" s="566"/>
      <c r="J181" s="566"/>
      <c r="K181" s="566"/>
      <c r="L181" s="566"/>
      <c r="M181" s="566"/>
      <c r="N181" s="566"/>
      <c r="O181" s="582"/>
      <c r="P181" s="562" t="s">
        <v>75</v>
      </c>
      <c r="Q181" s="563"/>
      <c r="R181" s="563"/>
      <c r="S181" s="563"/>
      <c r="T181" s="563"/>
      <c r="U181" s="563"/>
      <c r="V181" s="564"/>
      <c r="W181" s="37" t="s">
        <v>69</v>
      </c>
      <c r="X181" s="551">
        <f>IFERROR(SUM(X166:X179),"0")</f>
        <v>458</v>
      </c>
      <c r="Y181" s="551">
        <f>IFERROR(SUM(Y166:Y179),"0")</f>
        <v>462.90000000000003</v>
      </c>
      <c r="Z181" s="37"/>
      <c r="AA181" s="552"/>
      <c r="AB181" s="552"/>
      <c r="AC181" s="552"/>
    </row>
    <row r="182" spans="1:68" ht="14.25" hidden="1" customHeight="1" x14ac:dyDescent="0.25">
      <c r="A182" s="567" t="s">
        <v>91</v>
      </c>
      <c r="B182" s="566"/>
      <c r="C182" s="566"/>
      <c r="D182" s="566"/>
      <c r="E182" s="566"/>
      <c r="F182" s="566"/>
      <c r="G182" s="566"/>
      <c r="H182" s="566"/>
      <c r="I182" s="566"/>
      <c r="J182" s="566"/>
      <c r="K182" s="566"/>
      <c r="L182" s="566"/>
      <c r="M182" s="566"/>
      <c r="N182" s="566"/>
      <c r="O182" s="566"/>
      <c r="P182" s="566"/>
      <c r="Q182" s="566"/>
      <c r="R182" s="566"/>
      <c r="S182" s="566"/>
      <c r="T182" s="566"/>
      <c r="U182" s="566"/>
      <c r="V182" s="566"/>
      <c r="W182" s="566"/>
      <c r="X182" s="566"/>
      <c r="Y182" s="566"/>
      <c r="Z182" s="566"/>
      <c r="AA182" s="545"/>
      <c r="AB182" s="545"/>
      <c r="AC182" s="545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68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581"/>
      <c r="B186" s="566"/>
      <c r="C186" s="566"/>
      <c r="D186" s="566"/>
      <c r="E186" s="566"/>
      <c r="F186" s="566"/>
      <c r="G186" s="566"/>
      <c r="H186" s="566"/>
      <c r="I186" s="566"/>
      <c r="J186" s="566"/>
      <c r="K186" s="566"/>
      <c r="L186" s="566"/>
      <c r="M186" s="566"/>
      <c r="N186" s="566"/>
      <c r="O186" s="582"/>
      <c r="P186" s="562" t="s">
        <v>75</v>
      </c>
      <c r="Q186" s="563"/>
      <c r="R186" s="563"/>
      <c r="S186" s="563"/>
      <c r="T186" s="563"/>
      <c r="U186" s="563"/>
      <c r="V186" s="564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hidden="1" x14ac:dyDescent="0.2">
      <c r="A187" s="566"/>
      <c r="B187" s="566"/>
      <c r="C187" s="566"/>
      <c r="D187" s="566"/>
      <c r="E187" s="566"/>
      <c r="F187" s="566"/>
      <c r="G187" s="566"/>
      <c r="H187" s="566"/>
      <c r="I187" s="566"/>
      <c r="J187" s="566"/>
      <c r="K187" s="566"/>
      <c r="L187" s="566"/>
      <c r="M187" s="566"/>
      <c r="N187" s="566"/>
      <c r="O187" s="582"/>
      <c r="P187" s="562" t="s">
        <v>75</v>
      </c>
      <c r="Q187" s="563"/>
      <c r="R187" s="563"/>
      <c r="S187" s="563"/>
      <c r="T187" s="563"/>
      <c r="U187" s="563"/>
      <c r="V187" s="564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hidden="1" customHeight="1" x14ac:dyDescent="0.25">
      <c r="A188" s="567" t="s">
        <v>319</v>
      </c>
      <c r="B188" s="566"/>
      <c r="C188" s="566"/>
      <c r="D188" s="566"/>
      <c r="E188" s="566"/>
      <c r="F188" s="566"/>
      <c r="G188" s="566"/>
      <c r="H188" s="566"/>
      <c r="I188" s="566"/>
      <c r="J188" s="566"/>
      <c r="K188" s="566"/>
      <c r="L188" s="566"/>
      <c r="M188" s="566"/>
      <c r="N188" s="566"/>
      <c r="O188" s="566"/>
      <c r="P188" s="566"/>
      <c r="Q188" s="566"/>
      <c r="R188" s="566"/>
      <c r="S188" s="566"/>
      <c r="T188" s="566"/>
      <c r="U188" s="566"/>
      <c r="V188" s="566"/>
      <c r="W188" s="566"/>
      <c r="X188" s="566"/>
      <c r="Y188" s="566"/>
      <c r="Z188" s="566"/>
      <c r="AA188" s="545"/>
      <c r="AB188" s="545"/>
      <c r="AC188" s="545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81"/>
      <c r="B190" s="566"/>
      <c r="C190" s="566"/>
      <c r="D190" s="566"/>
      <c r="E190" s="566"/>
      <c r="F190" s="566"/>
      <c r="G190" s="566"/>
      <c r="H190" s="566"/>
      <c r="I190" s="566"/>
      <c r="J190" s="566"/>
      <c r="K190" s="566"/>
      <c r="L190" s="566"/>
      <c r="M190" s="566"/>
      <c r="N190" s="566"/>
      <c r="O190" s="582"/>
      <c r="P190" s="562" t="s">
        <v>75</v>
      </c>
      <c r="Q190" s="563"/>
      <c r="R190" s="563"/>
      <c r="S190" s="563"/>
      <c r="T190" s="563"/>
      <c r="U190" s="563"/>
      <c r="V190" s="564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hidden="1" x14ac:dyDescent="0.2">
      <c r="A191" s="566"/>
      <c r="B191" s="566"/>
      <c r="C191" s="566"/>
      <c r="D191" s="566"/>
      <c r="E191" s="566"/>
      <c r="F191" s="566"/>
      <c r="G191" s="566"/>
      <c r="H191" s="566"/>
      <c r="I191" s="566"/>
      <c r="J191" s="566"/>
      <c r="K191" s="566"/>
      <c r="L191" s="566"/>
      <c r="M191" s="566"/>
      <c r="N191" s="566"/>
      <c r="O191" s="582"/>
      <c r="P191" s="562" t="s">
        <v>75</v>
      </c>
      <c r="Q191" s="563"/>
      <c r="R191" s="563"/>
      <c r="S191" s="563"/>
      <c r="T191" s="563"/>
      <c r="U191" s="563"/>
      <c r="V191" s="564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hidden="1" customHeight="1" x14ac:dyDescent="0.25">
      <c r="A192" s="565" t="s">
        <v>322</v>
      </c>
      <c r="B192" s="566"/>
      <c r="C192" s="566"/>
      <c r="D192" s="566"/>
      <c r="E192" s="566"/>
      <c r="F192" s="566"/>
      <c r="G192" s="566"/>
      <c r="H192" s="566"/>
      <c r="I192" s="566"/>
      <c r="J192" s="566"/>
      <c r="K192" s="566"/>
      <c r="L192" s="566"/>
      <c r="M192" s="566"/>
      <c r="N192" s="566"/>
      <c r="O192" s="566"/>
      <c r="P192" s="566"/>
      <c r="Q192" s="566"/>
      <c r="R192" s="566"/>
      <c r="S192" s="566"/>
      <c r="T192" s="566"/>
      <c r="U192" s="566"/>
      <c r="V192" s="566"/>
      <c r="W192" s="566"/>
      <c r="X192" s="566"/>
      <c r="Y192" s="566"/>
      <c r="Z192" s="566"/>
      <c r="AA192" s="544"/>
      <c r="AB192" s="544"/>
      <c r="AC192" s="544"/>
    </row>
    <row r="193" spans="1:68" ht="14.25" hidden="1" customHeight="1" x14ac:dyDescent="0.25">
      <c r="A193" s="567" t="s">
        <v>99</v>
      </c>
      <c r="B193" s="566"/>
      <c r="C193" s="566"/>
      <c r="D193" s="566"/>
      <c r="E193" s="566"/>
      <c r="F193" s="566"/>
      <c r="G193" s="566"/>
      <c r="H193" s="566"/>
      <c r="I193" s="566"/>
      <c r="J193" s="566"/>
      <c r="K193" s="566"/>
      <c r="L193" s="566"/>
      <c r="M193" s="566"/>
      <c r="N193" s="566"/>
      <c r="O193" s="566"/>
      <c r="P193" s="566"/>
      <c r="Q193" s="566"/>
      <c r="R193" s="566"/>
      <c r="S193" s="566"/>
      <c r="T193" s="566"/>
      <c r="U193" s="566"/>
      <c r="V193" s="566"/>
      <c r="W193" s="566"/>
      <c r="X193" s="566"/>
      <c r="Y193" s="566"/>
      <c r="Z193" s="566"/>
      <c r="AA193" s="545"/>
      <c r="AB193" s="545"/>
      <c r="AC193" s="545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4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7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81"/>
      <c r="B196" s="566"/>
      <c r="C196" s="566"/>
      <c r="D196" s="566"/>
      <c r="E196" s="566"/>
      <c r="F196" s="566"/>
      <c r="G196" s="566"/>
      <c r="H196" s="566"/>
      <c r="I196" s="566"/>
      <c r="J196" s="566"/>
      <c r="K196" s="566"/>
      <c r="L196" s="566"/>
      <c r="M196" s="566"/>
      <c r="N196" s="566"/>
      <c r="O196" s="582"/>
      <c r="P196" s="562" t="s">
        <v>75</v>
      </c>
      <c r="Q196" s="563"/>
      <c r="R196" s="563"/>
      <c r="S196" s="563"/>
      <c r="T196" s="563"/>
      <c r="U196" s="563"/>
      <c r="V196" s="564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hidden="1" x14ac:dyDescent="0.2">
      <c r="A197" s="566"/>
      <c r="B197" s="566"/>
      <c r="C197" s="566"/>
      <c r="D197" s="566"/>
      <c r="E197" s="566"/>
      <c r="F197" s="566"/>
      <c r="G197" s="566"/>
      <c r="H197" s="566"/>
      <c r="I197" s="566"/>
      <c r="J197" s="566"/>
      <c r="K197" s="566"/>
      <c r="L197" s="566"/>
      <c r="M197" s="566"/>
      <c r="N197" s="566"/>
      <c r="O197" s="582"/>
      <c r="P197" s="562" t="s">
        <v>75</v>
      </c>
      <c r="Q197" s="563"/>
      <c r="R197" s="563"/>
      <c r="S197" s="563"/>
      <c r="T197" s="563"/>
      <c r="U197" s="563"/>
      <c r="V197" s="564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hidden="1" customHeight="1" x14ac:dyDescent="0.25">
      <c r="A198" s="567" t="s">
        <v>135</v>
      </c>
      <c r="B198" s="566"/>
      <c r="C198" s="566"/>
      <c r="D198" s="566"/>
      <c r="E198" s="566"/>
      <c r="F198" s="566"/>
      <c r="G198" s="566"/>
      <c r="H198" s="566"/>
      <c r="I198" s="566"/>
      <c r="J198" s="566"/>
      <c r="K198" s="566"/>
      <c r="L198" s="566"/>
      <c r="M198" s="566"/>
      <c r="N198" s="566"/>
      <c r="O198" s="566"/>
      <c r="P198" s="566"/>
      <c r="Q198" s="566"/>
      <c r="R198" s="566"/>
      <c r="S198" s="566"/>
      <c r="T198" s="566"/>
      <c r="U198" s="566"/>
      <c r="V198" s="566"/>
      <c r="W198" s="566"/>
      <c r="X198" s="566"/>
      <c r="Y198" s="566"/>
      <c r="Z198" s="566"/>
      <c r="AA198" s="545"/>
      <c r="AB198" s="545"/>
      <c r="AC198" s="545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 t="s">
        <v>213</v>
      </c>
      <c r="M200" s="33" t="s">
        <v>104</v>
      </c>
      <c r="N200" s="33"/>
      <c r="O200" s="32">
        <v>50</v>
      </c>
      <c r="P200" s="8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 t="s">
        <v>106</v>
      </c>
      <c r="AK200" s="68">
        <v>29.4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81"/>
      <c r="B201" s="566"/>
      <c r="C201" s="566"/>
      <c r="D201" s="566"/>
      <c r="E201" s="566"/>
      <c r="F201" s="566"/>
      <c r="G201" s="566"/>
      <c r="H201" s="566"/>
      <c r="I201" s="566"/>
      <c r="J201" s="566"/>
      <c r="K201" s="566"/>
      <c r="L201" s="566"/>
      <c r="M201" s="566"/>
      <c r="N201" s="566"/>
      <c r="O201" s="582"/>
      <c r="P201" s="562" t="s">
        <v>75</v>
      </c>
      <c r="Q201" s="563"/>
      <c r="R201" s="563"/>
      <c r="S201" s="563"/>
      <c r="T201" s="563"/>
      <c r="U201" s="563"/>
      <c r="V201" s="564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hidden="1" x14ac:dyDescent="0.2">
      <c r="A202" s="566"/>
      <c r="B202" s="566"/>
      <c r="C202" s="566"/>
      <c r="D202" s="566"/>
      <c r="E202" s="566"/>
      <c r="F202" s="566"/>
      <c r="G202" s="566"/>
      <c r="H202" s="566"/>
      <c r="I202" s="566"/>
      <c r="J202" s="566"/>
      <c r="K202" s="566"/>
      <c r="L202" s="566"/>
      <c r="M202" s="566"/>
      <c r="N202" s="566"/>
      <c r="O202" s="582"/>
      <c r="P202" s="562" t="s">
        <v>75</v>
      </c>
      <c r="Q202" s="563"/>
      <c r="R202" s="563"/>
      <c r="S202" s="563"/>
      <c r="T202" s="563"/>
      <c r="U202" s="563"/>
      <c r="V202" s="564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hidden="1" customHeight="1" x14ac:dyDescent="0.25">
      <c r="A203" s="567" t="s">
        <v>64</v>
      </c>
      <c r="B203" s="566"/>
      <c r="C203" s="566"/>
      <c r="D203" s="566"/>
      <c r="E203" s="566"/>
      <c r="F203" s="566"/>
      <c r="G203" s="566"/>
      <c r="H203" s="566"/>
      <c r="I203" s="566"/>
      <c r="J203" s="566"/>
      <c r="K203" s="566"/>
      <c r="L203" s="566"/>
      <c r="M203" s="566"/>
      <c r="N203" s="566"/>
      <c r="O203" s="566"/>
      <c r="P203" s="566"/>
      <c r="Q203" s="566"/>
      <c r="R203" s="566"/>
      <c r="S203" s="566"/>
      <c r="T203" s="566"/>
      <c r="U203" s="566"/>
      <c r="V203" s="566"/>
      <c r="W203" s="566"/>
      <c r="X203" s="566"/>
      <c r="Y203" s="566"/>
      <c r="Z203" s="566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3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147</v>
      </c>
      <c r="Y204" s="550">
        <f t="shared" ref="Y204:Y211" si="15">IFERROR(IF(X204="",0,CEILING((X204/$H204),1)*$H204),"")</f>
        <v>151.20000000000002</v>
      </c>
      <c r="Z204" s="36">
        <f>IFERROR(IF(Y204=0,"",ROUNDUP(Y204/H204,0)*0.00902),"")</f>
        <v>0.25256000000000001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152.17222222222222</v>
      </c>
      <c r="BN204" s="64">
        <f t="shared" ref="BN204:BN211" si="17">IFERROR(Y204*I204/H204,"0")</f>
        <v>156.52000000000001</v>
      </c>
      <c r="BO204" s="64">
        <f t="shared" ref="BO204:BO211" si="18">IFERROR(1/J204*(X204/H204),"0")</f>
        <v>0.20622895622895623</v>
      </c>
      <c r="BP204" s="64">
        <f t="shared" ref="BP204:BP211" si="19">IFERROR(1/J204*(Y204/H204),"0")</f>
        <v>0.21212121212121213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112</v>
      </c>
      <c r="M205" s="33" t="s">
        <v>68</v>
      </c>
      <c r="N205" s="33"/>
      <c r="O205" s="32">
        <v>40</v>
      </c>
      <c r="P205" s="6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155</v>
      </c>
      <c r="Y205" s="550">
        <f t="shared" si="15"/>
        <v>156.60000000000002</v>
      </c>
      <c r="Z205" s="36">
        <f>IFERROR(IF(Y205=0,"",ROUNDUP(Y205/H205,0)*0.00902),"")</f>
        <v>0.26158000000000003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160.45370370370367</v>
      </c>
      <c r="BN205" s="64">
        <f t="shared" si="17"/>
        <v>162.11000000000001</v>
      </c>
      <c r="BO205" s="64">
        <f t="shared" si="18"/>
        <v>0.21745230078563413</v>
      </c>
      <c r="BP205" s="64">
        <f t="shared" si="19"/>
        <v>0.21969696969696972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/>
      <c r="M206" s="33" t="s">
        <v>68</v>
      </c>
      <c r="N206" s="33"/>
      <c r="O206" s="32">
        <v>40</v>
      </c>
      <c r="P206" s="7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/>
      <c r="AK206" s="68">
        <v>0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112</v>
      </c>
      <c r="M207" s="33" t="s">
        <v>68</v>
      </c>
      <c r="N207" s="33"/>
      <c r="O207" s="32">
        <v>40</v>
      </c>
      <c r="P207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295</v>
      </c>
      <c r="Y207" s="550">
        <f t="shared" si="15"/>
        <v>297</v>
      </c>
      <c r="Z207" s="36">
        <f>IFERROR(IF(Y207=0,"",ROUNDUP(Y207/H207,0)*0.00902),"")</f>
        <v>0.49609999999999999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305.37962962962962</v>
      </c>
      <c r="BN207" s="64">
        <f t="shared" si="17"/>
        <v>307.45</v>
      </c>
      <c r="BO207" s="64">
        <f t="shared" si="18"/>
        <v>0.41386083052749717</v>
      </c>
      <c r="BP207" s="64">
        <f t="shared" si="19"/>
        <v>0.41666666666666663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56</v>
      </c>
      <c r="Y208" s="550">
        <f t="shared" si="15"/>
        <v>57.6</v>
      </c>
      <c r="Z208" s="36">
        <f>IFERROR(IF(Y208=0,"",ROUNDUP(Y208/H208,0)*0.00502),"")</f>
        <v>0.16064000000000001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60.044444444444444</v>
      </c>
      <c r="BN208" s="64">
        <f t="shared" si="17"/>
        <v>61.759999999999991</v>
      </c>
      <c r="BO208" s="64">
        <f t="shared" si="18"/>
        <v>0.13295346628679963</v>
      </c>
      <c r="BP208" s="64">
        <f t="shared" si="19"/>
        <v>0.13675213675213677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28</v>
      </c>
      <c r="Y209" s="550">
        <f t="shared" si="15"/>
        <v>28.8</v>
      </c>
      <c r="Z209" s="36">
        <f>IFERROR(IF(Y209=0,"",ROUNDUP(Y209/H209,0)*0.00502),"")</f>
        <v>8.0320000000000003E-2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29.555555555555554</v>
      </c>
      <c r="BN209" s="64">
        <f t="shared" si="17"/>
        <v>30.4</v>
      </c>
      <c r="BO209" s="64">
        <f t="shared" si="18"/>
        <v>6.6476733143399816E-2</v>
      </c>
      <c r="BP209" s="64">
        <f t="shared" si="19"/>
        <v>6.8376068376068383E-2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68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6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34</v>
      </c>
      <c r="Y211" s="550">
        <f t="shared" si="15"/>
        <v>34.200000000000003</v>
      </c>
      <c r="Z211" s="36">
        <f>IFERROR(IF(Y211=0,"",ROUNDUP(Y211/H211,0)*0.00502),"")</f>
        <v>9.5380000000000006E-2</v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35.888888888888886</v>
      </c>
      <c r="BN211" s="64">
        <f t="shared" si="17"/>
        <v>36.1</v>
      </c>
      <c r="BO211" s="64">
        <f t="shared" si="18"/>
        <v>8.0721747388414061E-2</v>
      </c>
      <c r="BP211" s="64">
        <f t="shared" si="19"/>
        <v>8.11965811965812E-2</v>
      </c>
    </row>
    <row r="212" spans="1:68" x14ac:dyDescent="0.2">
      <c r="A212" s="581"/>
      <c r="B212" s="566"/>
      <c r="C212" s="566"/>
      <c r="D212" s="566"/>
      <c r="E212" s="566"/>
      <c r="F212" s="566"/>
      <c r="G212" s="566"/>
      <c r="H212" s="566"/>
      <c r="I212" s="566"/>
      <c r="J212" s="566"/>
      <c r="K212" s="566"/>
      <c r="L212" s="566"/>
      <c r="M212" s="566"/>
      <c r="N212" s="566"/>
      <c r="O212" s="582"/>
      <c r="P212" s="562" t="s">
        <v>75</v>
      </c>
      <c r="Q212" s="563"/>
      <c r="R212" s="563"/>
      <c r="S212" s="563"/>
      <c r="T212" s="563"/>
      <c r="U212" s="563"/>
      <c r="V212" s="564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176.11111111111109</v>
      </c>
      <c r="Y212" s="551">
        <f>IFERROR(Y204/H204,"0")+IFERROR(Y205/H205,"0")+IFERROR(Y206/H206,"0")+IFERROR(Y207/H207,"0")+IFERROR(Y208/H208,"0")+IFERROR(Y209/H209,"0")+IFERROR(Y210/H210,"0")+IFERROR(Y211/H211,"0")</f>
        <v>179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1.3465799999999999</v>
      </c>
      <c r="AA212" s="552"/>
      <c r="AB212" s="552"/>
      <c r="AC212" s="552"/>
    </row>
    <row r="213" spans="1:68" x14ac:dyDescent="0.2">
      <c r="A213" s="566"/>
      <c r="B213" s="566"/>
      <c r="C213" s="566"/>
      <c r="D213" s="566"/>
      <c r="E213" s="566"/>
      <c r="F213" s="566"/>
      <c r="G213" s="566"/>
      <c r="H213" s="566"/>
      <c r="I213" s="566"/>
      <c r="J213" s="566"/>
      <c r="K213" s="566"/>
      <c r="L213" s="566"/>
      <c r="M213" s="566"/>
      <c r="N213" s="566"/>
      <c r="O213" s="582"/>
      <c r="P213" s="562" t="s">
        <v>75</v>
      </c>
      <c r="Q213" s="563"/>
      <c r="R213" s="563"/>
      <c r="S213" s="563"/>
      <c r="T213" s="563"/>
      <c r="U213" s="563"/>
      <c r="V213" s="564"/>
      <c r="W213" s="37" t="s">
        <v>69</v>
      </c>
      <c r="X213" s="551">
        <f>IFERROR(SUM(X204:X211),"0")</f>
        <v>715</v>
      </c>
      <c r="Y213" s="551">
        <f>IFERROR(SUM(Y204:Y211),"0")</f>
        <v>725.40000000000009</v>
      </c>
      <c r="Z213" s="37"/>
      <c r="AA213" s="552"/>
      <c r="AB213" s="552"/>
      <c r="AC213" s="552"/>
    </row>
    <row r="214" spans="1:68" ht="14.25" hidden="1" customHeight="1" x14ac:dyDescent="0.25">
      <c r="A214" s="567" t="s">
        <v>77</v>
      </c>
      <c r="B214" s="566"/>
      <c r="C214" s="566"/>
      <c r="D214" s="566"/>
      <c r="E214" s="566"/>
      <c r="F214" s="566"/>
      <c r="G214" s="566"/>
      <c r="H214" s="566"/>
      <c r="I214" s="566"/>
      <c r="J214" s="566"/>
      <c r="K214" s="566"/>
      <c r="L214" s="566"/>
      <c r="M214" s="566"/>
      <c r="N214" s="566"/>
      <c r="O214" s="566"/>
      <c r="P214" s="566"/>
      <c r="Q214" s="566"/>
      <c r="R214" s="566"/>
      <c r="S214" s="566"/>
      <c r="T214" s="566"/>
      <c r="U214" s="566"/>
      <c r="V214" s="566"/>
      <c r="W214" s="566"/>
      <c r="X214" s="566"/>
      <c r="Y214" s="566"/>
      <c r="Z214" s="566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30</v>
      </c>
      <c r="Y215" s="550">
        <f t="shared" ref="Y215:Y223" si="20">IFERROR(IF(X215="",0,CEILING((X215/$H215),1)*$H215),"")</f>
        <v>32.4</v>
      </c>
      <c r="Z215" s="36">
        <f>IFERROR(IF(Y215=0,"",ROUNDUP(Y215/H215,0)*0.01898),"")</f>
        <v>7.5920000000000001E-2</v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31.829629629629629</v>
      </c>
      <c r="BN215" s="64">
        <f t="shared" ref="BN215:BN223" si="22">IFERROR(Y215*I215/H215,"0")</f>
        <v>34.375999999999998</v>
      </c>
      <c r="BO215" s="64">
        <f t="shared" ref="BO215:BO223" si="23">IFERROR(1/J215*(X215/H215),"0")</f>
        <v>5.7870370370370371E-2</v>
      </c>
      <c r="BP215" s="64">
        <f t="shared" ref="BP215:BP223" si="24">IFERROR(1/J215*(Y215/H215),"0")</f>
        <v>6.25E-2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6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10</v>
      </c>
      <c r="Y216" s="550">
        <f t="shared" si="20"/>
        <v>16.2</v>
      </c>
      <c r="Z216" s="36">
        <f>IFERROR(IF(Y216=0,"",ROUNDUP(Y216/H216,0)*0.01898),"")</f>
        <v>3.7960000000000001E-2</v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10.587654320987655</v>
      </c>
      <c r="BN216" s="64">
        <f t="shared" si="22"/>
        <v>17.152000000000001</v>
      </c>
      <c r="BO216" s="64">
        <f t="shared" si="23"/>
        <v>1.9290123456790126E-2</v>
      </c>
      <c r="BP216" s="64">
        <f t="shared" si="24"/>
        <v>3.125E-2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6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73</v>
      </c>
      <c r="Y217" s="550">
        <f t="shared" si="20"/>
        <v>78.3</v>
      </c>
      <c r="Z217" s="36">
        <f>IFERROR(IF(Y217=0,"",ROUNDUP(Y217/H217,0)*0.01898),"")</f>
        <v>0.17082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77.14505747126438</v>
      </c>
      <c r="BN217" s="64">
        <f t="shared" si="22"/>
        <v>82.746000000000009</v>
      </c>
      <c r="BO217" s="64">
        <f t="shared" si="23"/>
        <v>0.13110632183908047</v>
      </c>
      <c r="BP217" s="64">
        <f t="shared" si="24"/>
        <v>0.140625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213</v>
      </c>
      <c r="M218" s="33" t="s">
        <v>80</v>
      </c>
      <c r="N218" s="33"/>
      <c r="O218" s="32">
        <v>40</v>
      </c>
      <c r="P218" s="88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181</v>
      </c>
      <c r="Y218" s="550">
        <f t="shared" si="20"/>
        <v>182.4</v>
      </c>
      <c r="Z218" s="36">
        <f t="shared" ref="Z218:Z223" si="25">IFERROR(IF(Y218=0,"",ROUNDUP(Y218/H218,0)*0.00651),"")</f>
        <v>0.49476000000000003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201.36250000000001</v>
      </c>
      <c r="BN218" s="64">
        <f t="shared" si="22"/>
        <v>202.92</v>
      </c>
      <c r="BO218" s="64">
        <f t="shared" si="23"/>
        <v>0.41437728937728946</v>
      </c>
      <c r="BP218" s="64">
        <f t="shared" si="24"/>
        <v>0.4175824175824176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1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5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773</v>
      </c>
      <c r="Y220" s="550">
        <f t="shared" si="20"/>
        <v>775.19999999999993</v>
      </c>
      <c r="Z220" s="36">
        <f t="shared" si="25"/>
        <v>2.1027300000000002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854.16500000000008</v>
      </c>
      <c r="BN220" s="64">
        <f t="shared" si="22"/>
        <v>856.596</v>
      </c>
      <c r="BO220" s="64">
        <f t="shared" si="23"/>
        <v>1.7696886446886451</v>
      </c>
      <c r="BP220" s="64">
        <f t="shared" si="24"/>
        <v>1.7747252747252749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213</v>
      </c>
      <c r="M221" s="33" t="s">
        <v>80</v>
      </c>
      <c r="N221" s="33"/>
      <c r="O221" s="32">
        <v>45</v>
      </c>
      <c r="P221" s="5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619</v>
      </c>
      <c r="Y221" s="550">
        <f t="shared" si="20"/>
        <v>619.19999999999993</v>
      </c>
      <c r="Z221" s="36">
        <f t="shared" si="25"/>
        <v>1.6795800000000001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683.99500000000012</v>
      </c>
      <c r="BN221" s="64">
        <f t="shared" si="22"/>
        <v>684.21600000000001</v>
      </c>
      <c r="BO221" s="64">
        <f t="shared" si="23"/>
        <v>1.4171245421245424</v>
      </c>
      <c r="BP221" s="64">
        <f t="shared" si="24"/>
        <v>1.4175824175824177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213</v>
      </c>
      <c r="M222" s="33" t="s">
        <v>86</v>
      </c>
      <c r="N222" s="33"/>
      <c r="O222" s="32">
        <v>40</v>
      </c>
      <c r="P222" s="81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90</v>
      </c>
      <c r="Y222" s="550">
        <f t="shared" si="20"/>
        <v>91.2</v>
      </c>
      <c r="Z222" s="36">
        <f t="shared" si="25"/>
        <v>0.24738000000000002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99.45</v>
      </c>
      <c r="BN222" s="64">
        <f t="shared" si="22"/>
        <v>100.77600000000001</v>
      </c>
      <c r="BO222" s="64">
        <f t="shared" si="23"/>
        <v>0.20604395604395606</v>
      </c>
      <c r="BP222" s="64">
        <f t="shared" si="24"/>
        <v>0.2087912087912088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213</v>
      </c>
      <c r="M223" s="33" t="s">
        <v>80</v>
      </c>
      <c r="N223" s="33"/>
      <c r="O223" s="32">
        <v>40</v>
      </c>
      <c r="P223" s="6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163</v>
      </c>
      <c r="Y223" s="550">
        <f t="shared" si="20"/>
        <v>163.19999999999999</v>
      </c>
      <c r="Z223" s="36">
        <f t="shared" si="25"/>
        <v>0.44268000000000002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180.52249999999998</v>
      </c>
      <c r="BN223" s="64">
        <f t="shared" si="22"/>
        <v>180.74399999999997</v>
      </c>
      <c r="BO223" s="64">
        <f t="shared" si="23"/>
        <v>0.37316849816849823</v>
      </c>
      <c r="BP223" s="64">
        <f t="shared" si="24"/>
        <v>0.37362637362637363</v>
      </c>
    </row>
    <row r="224" spans="1:68" x14ac:dyDescent="0.2">
      <c r="A224" s="581"/>
      <c r="B224" s="566"/>
      <c r="C224" s="566"/>
      <c r="D224" s="566"/>
      <c r="E224" s="566"/>
      <c r="F224" s="566"/>
      <c r="G224" s="566"/>
      <c r="H224" s="566"/>
      <c r="I224" s="566"/>
      <c r="J224" s="566"/>
      <c r="K224" s="566"/>
      <c r="L224" s="566"/>
      <c r="M224" s="566"/>
      <c r="N224" s="566"/>
      <c r="O224" s="582"/>
      <c r="P224" s="562" t="s">
        <v>75</v>
      </c>
      <c r="Q224" s="563"/>
      <c r="R224" s="563"/>
      <c r="S224" s="563"/>
      <c r="T224" s="563"/>
      <c r="U224" s="563"/>
      <c r="V224" s="564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774.16240953597287</v>
      </c>
      <c r="Y224" s="551">
        <f>IFERROR(Y215/H215,"0")+IFERROR(Y216/H216,"0")+IFERROR(Y217/H217,"0")+IFERROR(Y218/H218,"0")+IFERROR(Y219/H219,"0")+IFERROR(Y220/H220,"0")+IFERROR(Y221/H221,"0")+IFERROR(Y222/H222,"0")+IFERROR(Y223/H223,"0")</f>
        <v>778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5.2518300000000009</v>
      </c>
      <c r="AA224" s="552"/>
      <c r="AB224" s="552"/>
      <c r="AC224" s="552"/>
    </row>
    <row r="225" spans="1:68" x14ac:dyDescent="0.2">
      <c r="A225" s="566"/>
      <c r="B225" s="566"/>
      <c r="C225" s="566"/>
      <c r="D225" s="566"/>
      <c r="E225" s="566"/>
      <c r="F225" s="566"/>
      <c r="G225" s="566"/>
      <c r="H225" s="566"/>
      <c r="I225" s="566"/>
      <c r="J225" s="566"/>
      <c r="K225" s="566"/>
      <c r="L225" s="566"/>
      <c r="M225" s="566"/>
      <c r="N225" s="566"/>
      <c r="O225" s="582"/>
      <c r="P225" s="562" t="s">
        <v>75</v>
      </c>
      <c r="Q225" s="563"/>
      <c r="R225" s="563"/>
      <c r="S225" s="563"/>
      <c r="T225" s="563"/>
      <c r="U225" s="563"/>
      <c r="V225" s="564"/>
      <c r="W225" s="37" t="s">
        <v>69</v>
      </c>
      <c r="X225" s="551">
        <f>IFERROR(SUM(X215:X223),"0")</f>
        <v>1939</v>
      </c>
      <c r="Y225" s="551">
        <f>IFERROR(SUM(Y215:Y223),"0")</f>
        <v>1958.1</v>
      </c>
      <c r="Z225" s="37"/>
      <c r="AA225" s="552"/>
      <c r="AB225" s="552"/>
      <c r="AC225" s="552"/>
    </row>
    <row r="226" spans="1:68" ht="14.25" hidden="1" customHeight="1" x14ac:dyDescent="0.25">
      <c r="A226" s="567" t="s">
        <v>160</v>
      </c>
      <c r="B226" s="566"/>
      <c r="C226" s="566"/>
      <c r="D226" s="566"/>
      <c r="E226" s="566"/>
      <c r="F226" s="566"/>
      <c r="G226" s="566"/>
      <c r="H226" s="566"/>
      <c r="I226" s="566"/>
      <c r="J226" s="566"/>
      <c r="K226" s="566"/>
      <c r="L226" s="566"/>
      <c r="M226" s="566"/>
      <c r="N226" s="566"/>
      <c r="O226" s="566"/>
      <c r="P226" s="566"/>
      <c r="Q226" s="566"/>
      <c r="R226" s="566"/>
      <c r="S226" s="566"/>
      <c r="T226" s="566"/>
      <c r="U226" s="566"/>
      <c r="V226" s="566"/>
      <c r="W226" s="566"/>
      <c r="X226" s="566"/>
      <c r="Y226" s="566"/>
      <c r="Z226" s="566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7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30</v>
      </c>
      <c r="Y227" s="550">
        <f>IFERROR(IF(X227="",0,CEILING((X227/$H227),1)*$H227),"")</f>
        <v>31.2</v>
      </c>
      <c r="Z227" s="36">
        <f>IFERROR(IF(Y227=0,"",ROUNDUP(Y227/H227,0)*0.00651),"")</f>
        <v>8.4629999999999997E-2</v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33.150000000000006</v>
      </c>
      <c r="BN227" s="64">
        <f>IFERROR(Y227*I227/H227,"0")</f>
        <v>34.476000000000006</v>
      </c>
      <c r="BO227" s="64">
        <f>IFERROR(1/J227*(X227/H227),"0")</f>
        <v>6.8681318681318687E-2</v>
      </c>
      <c r="BP227" s="64">
        <f>IFERROR(1/J227*(Y227/H227),"0")</f>
        <v>7.1428571428571438E-2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213</v>
      </c>
      <c r="M228" s="33" t="s">
        <v>80</v>
      </c>
      <c r="N228" s="33"/>
      <c r="O228" s="32">
        <v>40</v>
      </c>
      <c r="P228" s="86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21</v>
      </c>
      <c r="Y228" s="550">
        <f>IFERROR(IF(X228="",0,CEILING((X228/$H228),1)*$H228),"")</f>
        <v>21.599999999999998</v>
      </c>
      <c r="Z228" s="36">
        <f>IFERROR(IF(Y228=0,"",ROUNDUP(Y228/H228,0)*0.00651),"")</f>
        <v>5.8590000000000003E-2</v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23.205000000000002</v>
      </c>
      <c r="BN228" s="64">
        <f>IFERROR(Y228*I228/H228,"0")</f>
        <v>23.868000000000002</v>
      </c>
      <c r="BO228" s="64">
        <f>IFERROR(1/J228*(X228/H228),"0")</f>
        <v>4.807692307692308E-2</v>
      </c>
      <c r="BP228" s="64">
        <f>IFERROR(1/J228*(Y228/H228),"0")</f>
        <v>4.9450549450549455E-2</v>
      </c>
    </row>
    <row r="229" spans="1:68" x14ac:dyDescent="0.2">
      <c r="A229" s="581"/>
      <c r="B229" s="566"/>
      <c r="C229" s="566"/>
      <c r="D229" s="566"/>
      <c r="E229" s="566"/>
      <c r="F229" s="566"/>
      <c r="G229" s="566"/>
      <c r="H229" s="566"/>
      <c r="I229" s="566"/>
      <c r="J229" s="566"/>
      <c r="K229" s="566"/>
      <c r="L229" s="566"/>
      <c r="M229" s="566"/>
      <c r="N229" s="566"/>
      <c r="O229" s="582"/>
      <c r="P229" s="562" t="s">
        <v>75</v>
      </c>
      <c r="Q229" s="563"/>
      <c r="R229" s="563"/>
      <c r="S229" s="563"/>
      <c r="T229" s="563"/>
      <c r="U229" s="563"/>
      <c r="V229" s="564"/>
      <c r="W229" s="37" t="s">
        <v>76</v>
      </c>
      <c r="X229" s="551">
        <f>IFERROR(X227/H227,"0")+IFERROR(X228/H228,"0")</f>
        <v>21.25</v>
      </c>
      <c r="Y229" s="551">
        <f>IFERROR(Y227/H227,"0")+IFERROR(Y228/H228,"0")</f>
        <v>22</v>
      </c>
      <c r="Z229" s="551">
        <f>IFERROR(IF(Z227="",0,Z227),"0")+IFERROR(IF(Z228="",0,Z228),"0")</f>
        <v>0.14322000000000001</v>
      </c>
      <c r="AA229" s="552"/>
      <c r="AB229" s="552"/>
      <c r="AC229" s="552"/>
    </row>
    <row r="230" spans="1:68" x14ac:dyDescent="0.2">
      <c r="A230" s="566"/>
      <c r="B230" s="566"/>
      <c r="C230" s="566"/>
      <c r="D230" s="566"/>
      <c r="E230" s="566"/>
      <c r="F230" s="566"/>
      <c r="G230" s="566"/>
      <c r="H230" s="566"/>
      <c r="I230" s="566"/>
      <c r="J230" s="566"/>
      <c r="K230" s="566"/>
      <c r="L230" s="566"/>
      <c r="M230" s="566"/>
      <c r="N230" s="566"/>
      <c r="O230" s="582"/>
      <c r="P230" s="562" t="s">
        <v>75</v>
      </c>
      <c r="Q230" s="563"/>
      <c r="R230" s="563"/>
      <c r="S230" s="563"/>
      <c r="T230" s="563"/>
      <c r="U230" s="563"/>
      <c r="V230" s="564"/>
      <c r="W230" s="37" t="s">
        <v>69</v>
      </c>
      <c r="X230" s="551">
        <f>IFERROR(SUM(X227:X228),"0")</f>
        <v>51</v>
      </c>
      <c r="Y230" s="551">
        <f>IFERROR(SUM(Y227:Y228),"0")</f>
        <v>52.8</v>
      </c>
      <c r="Z230" s="37"/>
      <c r="AA230" s="552"/>
      <c r="AB230" s="552"/>
      <c r="AC230" s="552"/>
    </row>
    <row r="231" spans="1:68" ht="16.5" hidden="1" customHeight="1" x14ac:dyDescent="0.25">
      <c r="A231" s="565" t="s">
        <v>382</v>
      </c>
      <c r="B231" s="566"/>
      <c r="C231" s="566"/>
      <c r="D231" s="566"/>
      <c r="E231" s="566"/>
      <c r="F231" s="566"/>
      <c r="G231" s="566"/>
      <c r="H231" s="566"/>
      <c r="I231" s="566"/>
      <c r="J231" s="566"/>
      <c r="K231" s="566"/>
      <c r="L231" s="566"/>
      <c r="M231" s="566"/>
      <c r="N231" s="566"/>
      <c r="O231" s="566"/>
      <c r="P231" s="566"/>
      <c r="Q231" s="566"/>
      <c r="R231" s="566"/>
      <c r="S231" s="566"/>
      <c r="T231" s="566"/>
      <c r="U231" s="566"/>
      <c r="V231" s="566"/>
      <c r="W231" s="566"/>
      <c r="X231" s="566"/>
      <c r="Y231" s="566"/>
      <c r="Z231" s="566"/>
      <c r="AA231" s="544"/>
      <c r="AB231" s="544"/>
      <c r="AC231" s="544"/>
    </row>
    <row r="232" spans="1:68" ht="14.25" hidden="1" customHeight="1" x14ac:dyDescent="0.25">
      <c r="A232" s="567" t="s">
        <v>99</v>
      </c>
      <c r="B232" s="566"/>
      <c r="C232" s="566"/>
      <c r="D232" s="566"/>
      <c r="E232" s="566"/>
      <c r="F232" s="566"/>
      <c r="G232" s="566"/>
      <c r="H232" s="566"/>
      <c r="I232" s="566"/>
      <c r="J232" s="566"/>
      <c r="K232" s="566"/>
      <c r="L232" s="566"/>
      <c r="M232" s="566"/>
      <c r="N232" s="566"/>
      <c r="O232" s="566"/>
      <c r="P232" s="566"/>
      <c r="Q232" s="566"/>
      <c r="R232" s="566"/>
      <c r="S232" s="566"/>
      <c r="T232" s="566"/>
      <c r="U232" s="566"/>
      <c r="V232" s="566"/>
      <c r="W232" s="566"/>
      <c r="X232" s="566"/>
      <c r="Y232" s="566"/>
      <c r="Z232" s="566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649</v>
      </c>
      <c r="Y233" s="550">
        <f t="shared" ref="Y233:Y241" si="26">IFERROR(IF(X233="",0,CEILING((X233/$H233),1)*$H233),"")</f>
        <v>649.6</v>
      </c>
      <c r="Z233" s="36">
        <f>IFERROR(IF(Y233=0,"",ROUNDUP(Y233/H233,0)*0.01898),"")</f>
        <v>1.06288</v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671.93879310344823</v>
      </c>
      <c r="BN233" s="64">
        <f t="shared" ref="BN233:BN241" si="28">IFERROR(Y233*I233/H233,"0")</f>
        <v>672.56000000000006</v>
      </c>
      <c r="BO233" s="64">
        <f t="shared" ref="BO233:BO241" si="29">IFERROR(1/J233*(X233/H233),"0")</f>
        <v>0.87419181034482762</v>
      </c>
      <c r="BP233" s="64">
        <f t="shared" ref="BP233:BP241" si="30">IFERROR(1/J233*(Y233/H233),"0")</f>
        <v>0.87500000000000011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1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3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4301012196</v>
      </c>
      <c r="D236" s="558">
        <v>4680115884144</v>
      </c>
      <c r="E236" s="559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75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4301011824</v>
      </c>
      <c r="D237" s="558">
        <v>4680115884144</v>
      </c>
      <c r="E237" s="559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7</v>
      </c>
      <c r="Y237" s="550">
        <f t="shared" si="26"/>
        <v>8</v>
      </c>
      <c r="Z237" s="36">
        <f>IFERROR(IF(Y237=0,"",ROUNDUP(Y237/H237,0)*0.00902),"")</f>
        <v>1.804E-2</v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7.3325000000000005</v>
      </c>
      <c r="BN237" s="64">
        <f t="shared" si="28"/>
        <v>8.3800000000000008</v>
      </c>
      <c r="BO237" s="64">
        <f t="shared" si="29"/>
        <v>1.3257575757575758E-2</v>
      </c>
      <c r="BP237" s="64">
        <f t="shared" si="30"/>
        <v>1.5151515151515152E-2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71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4301012195</v>
      </c>
      <c r="D240" s="558">
        <v>4680115884205</v>
      </c>
      <c r="E240" s="559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4301011722</v>
      </c>
      <c r="D241" s="558">
        <v>4680115884205</v>
      </c>
      <c r="E241" s="559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81"/>
      <c r="B242" s="566"/>
      <c r="C242" s="566"/>
      <c r="D242" s="566"/>
      <c r="E242" s="566"/>
      <c r="F242" s="566"/>
      <c r="G242" s="566"/>
      <c r="H242" s="566"/>
      <c r="I242" s="566"/>
      <c r="J242" s="566"/>
      <c r="K242" s="566"/>
      <c r="L242" s="566"/>
      <c r="M242" s="566"/>
      <c r="N242" s="566"/>
      <c r="O242" s="582"/>
      <c r="P242" s="562" t="s">
        <v>75</v>
      </c>
      <c r="Q242" s="563"/>
      <c r="R242" s="563"/>
      <c r="S242" s="563"/>
      <c r="T242" s="563"/>
      <c r="U242" s="563"/>
      <c r="V242" s="564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57.698275862068968</v>
      </c>
      <c r="Y242" s="551">
        <f>IFERROR(Y233/H233,"0")+IFERROR(Y234/H234,"0")+IFERROR(Y235/H235,"0")+IFERROR(Y236/H236,"0")+IFERROR(Y237/H237,"0")+IFERROR(Y238/H238,"0")+IFERROR(Y239/H239,"0")+IFERROR(Y240/H240,"0")+IFERROR(Y241/H241,"0")</f>
        <v>58.000000000000007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1.0809200000000001</v>
      </c>
      <c r="AA242" s="552"/>
      <c r="AB242" s="552"/>
      <c r="AC242" s="552"/>
    </row>
    <row r="243" spans="1:68" x14ac:dyDescent="0.2">
      <c r="A243" s="566"/>
      <c r="B243" s="566"/>
      <c r="C243" s="566"/>
      <c r="D243" s="566"/>
      <c r="E243" s="566"/>
      <c r="F243" s="566"/>
      <c r="G243" s="566"/>
      <c r="H243" s="566"/>
      <c r="I243" s="566"/>
      <c r="J243" s="566"/>
      <c r="K243" s="566"/>
      <c r="L243" s="566"/>
      <c r="M243" s="566"/>
      <c r="N243" s="566"/>
      <c r="O243" s="582"/>
      <c r="P243" s="562" t="s">
        <v>75</v>
      </c>
      <c r="Q243" s="563"/>
      <c r="R243" s="563"/>
      <c r="S243" s="563"/>
      <c r="T243" s="563"/>
      <c r="U243" s="563"/>
      <c r="V243" s="564"/>
      <c r="W243" s="37" t="s">
        <v>69</v>
      </c>
      <c r="X243" s="551">
        <f>IFERROR(SUM(X233:X241),"0")</f>
        <v>656</v>
      </c>
      <c r="Y243" s="551">
        <f>IFERROR(SUM(Y233:Y241),"0")</f>
        <v>657.6</v>
      </c>
      <c r="Z243" s="37"/>
      <c r="AA243" s="552"/>
      <c r="AB243" s="552"/>
      <c r="AC243" s="552"/>
    </row>
    <row r="244" spans="1:68" ht="14.25" hidden="1" customHeight="1" x14ac:dyDescent="0.25">
      <c r="A244" s="567" t="s">
        <v>135</v>
      </c>
      <c r="B244" s="566"/>
      <c r="C244" s="566"/>
      <c r="D244" s="566"/>
      <c r="E244" s="566"/>
      <c r="F244" s="566"/>
      <c r="G244" s="566"/>
      <c r="H244" s="566"/>
      <c r="I244" s="566"/>
      <c r="J244" s="566"/>
      <c r="K244" s="566"/>
      <c r="L244" s="566"/>
      <c r="M244" s="566"/>
      <c r="N244" s="566"/>
      <c r="O244" s="566"/>
      <c r="P244" s="566"/>
      <c r="Q244" s="566"/>
      <c r="R244" s="566"/>
      <c r="S244" s="566"/>
      <c r="T244" s="566"/>
      <c r="U244" s="566"/>
      <c r="V244" s="566"/>
      <c r="W244" s="566"/>
      <c r="X244" s="566"/>
      <c r="Y244" s="566"/>
      <c r="Z244" s="566"/>
      <c r="AA244" s="545"/>
      <c r="AB244" s="545"/>
      <c r="AC244" s="545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6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81"/>
      <c r="B246" s="566"/>
      <c r="C246" s="566"/>
      <c r="D246" s="566"/>
      <c r="E246" s="566"/>
      <c r="F246" s="566"/>
      <c r="G246" s="566"/>
      <c r="H246" s="566"/>
      <c r="I246" s="566"/>
      <c r="J246" s="566"/>
      <c r="K246" s="566"/>
      <c r="L246" s="566"/>
      <c r="M246" s="566"/>
      <c r="N246" s="566"/>
      <c r="O246" s="582"/>
      <c r="P246" s="562" t="s">
        <v>75</v>
      </c>
      <c r="Q246" s="563"/>
      <c r="R246" s="563"/>
      <c r="S246" s="563"/>
      <c r="T246" s="563"/>
      <c r="U246" s="563"/>
      <c r="V246" s="564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hidden="1" x14ac:dyDescent="0.2">
      <c r="A247" s="566"/>
      <c r="B247" s="566"/>
      <c r="C247" s="566"/>
      <c r="D247" s="566"/>
      <c r="E247" s="566"/>
      <c r="F247" s="566"/>
      <c r="G247" s="566"/>
      <c r="H247" s="566"/>
      <c r="I247" s="566"/>
      <c r="J247" s="566"/>
      <c r="K247" s="566"/>
      <c r="L247" s="566"/>
      <c r="M247" s="566"/>
      <c r="N247" s="566"/>
      <c r="O247" s="582"/>
      <c r="P247" s="562" t="s">
        <v>75</v>
      </c>
      <c r="Q247" s="563"/>
      <c r="R247" s="563"/>
      <c r="S247" s="563"/>
      <c r="T247" s="563"/>
      <c r="U247" s="563"/>
      <c r="V247" s="564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hidden="1" customHeight="1" x14ac:dyDescent="0.25">
      <c r="A248" s="567" t="s">
        <v>407</v>
      </c>
      <c r="B248" s="566"/>
      <c r="C248" s="566"/>
      <c r="D248" s="566"/>
      <c r="E248" s="566"/>
      <c r="F248" s="566"/>
      <c r="G248" s="566"/>
      <c r="H248" s="566"/>
      <c r="I248" s="566"/>
      <c r="J248" s="566"/>
      <c r="K248" s="566"/>
      <c r="L248" s="566"/>
      <c r="M248" s="566"/>
      <c r="N248" s="566"/>
      <c r="O248" s="566"/>
      <c r="P248" s="566"/>
      <c r="Q248" s="566"/>
      <c r="R248" s="566"/>
      <c r="S248" s="566"/>
      <c r="T248" s="566"/>
      <c r="U248" s="566"/>
      <c r="V248" s="566"/>
      <c r="W248" s="566"/>
      <c r="X248" s="566"/>
      <c r="Y248" s="566"/>
      <c r="Z248" s="566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6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4</v>
      </c>
      <c r="Y249" s="550">
        <f>IFERROR(IF(X249="",0,CEILING((X249/$H249),1)*$H249),"")</f>
        <v>5.4</v>
      </c>
      <c r="Z249" s="36">
        <f>IFERROR(IF(Y249=0,"",ROUNDUP(Y249/H249,0)*0.0059),"")</f>
        <v>1.77E-2</v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4.3888888888888893</v>
      </c>
      <c r="BN249" s="64">
        <f>IFERROR(Y249*I249/H249,"0")</f>
        <v>5.9250000000000007</v>
      </c>
      <c r="BO249" s="64">
        <f>IFERROR(1/J249*(X249/H249),"0")</f>
        <v>1.0288065843621399E-2</v>
      </c>
      <c r="BP249" s="64">
        <f>IFERROR(1/J249*(Y249/H249),"0")</f>
        <v>1.3888888888888888E-2</v>
      </c>
    </row>
    <row r="250" spans="1:68" x14ac:dyDescent="0.2">
      <c r="A250" s="581"/>
      <c r="B250" s="566"/>
      <c r="C250" s="566"/>
      <c r="D250" s="566"/>
      <c r="E250" s="566"/>
      <c r="F250" s="566"/>
      <c r="G250" s="566"/>
      <c r="H250" s="566"/>
      <c r="I250" s="566"/>
      <c r="J250" s="566"/>
      <c r="K250" s="566"/>
      <c r="L250" s="566"/>
      <c r="M250" s="566"/>
      <c r="N250" s="566"/>
      <c r="O250" s="582"/>
      <c r="P250" s="562" t="s">
        <v>75</v>
      </c>
      <c r="Q250" s="563"/>
      <c r="R250" s="563"/>
      <c r="S250" s="563"/>
      <c r="T250" s="563"/>
      <c r="U250" s="563"/>
      <c r="V250" s="564"/>
      <c r="W250" s="37" t="s">
        <v>76</v>
      </c>
      <c r="X250" s="551">
        <f>IFERROR(X249/H249,"0")</f>
        <v>2.2222222222222223</v>
      </c>
      <c r="Y250" s="551">
        <f>IFERROR(Y249/H249,"0")</f>
        <v>3</v>
      </c>
      <c r="Z250" s="551">
        <f>IFERROR(IF(Z249="",0,Z249),"0")</f>
        <v>1.77E-2</v>
      </c>
      <c r="AA250" s="552"/>
      <c r="AB250" s="552"/>
      <c r="AC250" s="552"/>
    </row>
    <row r="251" spans="1:68" x14ac:dyDescent="0.2">
      <c r="A251" s="566"/>
      <c r="B251" s="566"/>
      <c r="C251" s="566"/>
      <c r="D251" s="566"/>
      <c r="E251" s="566"/>
      <c r="F251" s="566"/>
      <c r="G251" s="566"/>
      <c r="H251" s="566"/>
      <c r="I251" s="566"/>
      <c r="J251" s="566"/>
      <c r="K251" s="566"/>
      <c r="L251" s="566"/>
      <c r="M251" s="566"/>
      <c r="N251" s="566"/>
      <c r="O251" s="582"/>
      <c r="P251" s="562" t="s">
        <v>75</v>
      </c>
      <c r="Q251" s="563"/>
      <c r="R251" s="563"/>
      <c r="S251" s="563"/>
      <c r="T251" s="563"/>
      <c r="U251" s="563"/>
      <c r="V251" s="564"/>
      <c r="W251" s="37" t="s">
        <v>69</v>
      </c>
      <c r="X251" s="551">
        <f>IFERROR(SUM(X249:X249),"0")</f>
        <v>4</v>
      </c>
      <c r="Y251" s="551">
        <f>IFERROR(SUM(Y249:Y249),"0")</f>
        <v>5.4</v>
      </c>
      <c r="Z251" s="37"/>
      <c r="AA251" s="552"/>
      <c r="AB251" s="552"/>
      <c r="AC251" s="552"/>
    </row>
    <row r="252" spans="1:68" ht="14.25" hidden="1" customHeight="1" x14ac:dyDescent="0.25">
      <c r="A252" s="567" t="s">
        <v>411</v>
      </c>
      <c r="B252" s="566"/>
      <c r="C252" s="566"/>
      <c r="D252" s="566"/>
      <c r="E252" s="566"/>
      <c r="F252" s="566"/>
      <c r="G252" s="566"/>
      <c r="H252" s="566"/>
      <c r="I252" s="566"/>
      <c r="J252" s="566"/>
      <c r="K252" s="566"/>
      <c r="L252" s="566"/>
      <c r="M252" s="566"/>
      <c r="N252" s="566"/>
      <c r="O252" s="566"/>
      <c r="P252" s="566"/>
      <c r="Q252" s="566"/>
      <c r="R252" s="566"/>
      <c r="S252" s="566"/>
      <c r="T252" s="566"/>
      <c r="U252" s="566"/>
      <c r="V252" s="566"/>
      <c r="W252" s="566"/>
      <c r="X252" s="566"/>
      <c r="Y252" s="566"/>
      <c r="Z252" s="566"/>
      <c r="AA252" s="545"/>
      <c r="AB252" s="545"/>
      <c r="AC252" s="545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81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581"/>
      <c r="B258" s="566"/>
      <c r="C258" s="566"/>
      <c r="D258" s="566"/>
      <c r="E258" s="566"/>
      <c r="F258" s="566"/>
      <c r="G258" s="566"/>
      <c r="H258" s="566"/>
      <c r="I258" s="566"/>
      <c r="J258" s="566"/>
      <c r="K258" s="566"/>
      <c r="L258" s="566"/>
      <c r="M258" s="566"/>
      <c r="N258" s="566"/>
      <c r="O258" s="582"/>
      <c r="P258" s="562" t="s">
        <v>75</v>
      </c>
      <c r="Q258" s="563"/>
      <c r="R258" s="563"/>
      <c r="S258" s="563"/>
      <c r="T258" s="563"/>
      <c r="U258" s="563"/>
      <c r="V258" s="564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hidden="1" x14ac:dyDescent="0.2">
      <c r="A259" s="566"/>
      <c r="B259" s="566"/>
      <c r="C259" s="566"/>
      <c r="D259" s="566"/>
      <c r="E259" s="566"/>
      <c r="F259" s="566"/>
      <c r="G259" s="566"/>
      <c r="H259" s="566"/>
      <c r="I259" s="566"/>
      <c r="J259" s="566"/>
      <c r="K259" s="566"/>
      <c r="L259" s="566"/>
      <c r="M259" s="566"/>
      <c r="N259" s="566"/>
      <c r="O259" s="582"/>
      <c r="P259" s="562" t="s">
        <v>75</v>
      </c>
      <c r="Q259" s="563"/>
      <c r="R259" s="563"/>
      <c r="S259" s="563"/>
      <c r="T259" s="563"/>
      <c r="U259" s="563"/>
      <c r="V259" s="564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hidden="1" customHeight="1" x14ac:dyDescent="0.25">
      <c r="A260" s="565" t="s">
        <v>423</v>
      </c>
      <c r="B260" s="566"/>
      <c r="C260" s="566"/>
      <c r="D260" s="566"/>
      <c r="E260" s="566"/>
      <c r="F260" s="566"/>
      <c r="G260" s="566"/>
      <c r="H260" s="566"/>
      <c r="I260" s="566"/>
      <c r="J260" s="566"/>
      <c r="K260" s="566"/>
      <c r="L260" s="566"/>
      <c r="M260" s="566"/>
      <c r="N260" s="566"/>
      <c r="O260" s="566"/>
      <c r="P260" s="566"/>
      <c r="Q260" s="566"/>
      <c r="R260" s="566"/>
      <c r="S260" s="566"/>
      <c r="T260" s="566"/>
      <c r="U260" s="566"/>
      <c r="V260" s="566"/>
      <c r="W260" s="566"/>
      <c r="X260" s="566"/>
      <c r="Y260" s="566"/>
      <c r="Z260" s="566"/>
      <c r="AA260" s="544"/>
      <c r="AB260" s="544"/>
      <c r="AC260" s="544"/>
    </row>
    <row r="261" spans="1:68" ht="14.25" hidden="1" customHeight="1" x14ac:dyDescent="0.25">
      <c r="A261" s="567" t="s">
        <v>99</v>
      </c>
      <c r="B261" s="566"/>
      <c r="C261" s="566"/>
      <c r="D261" s="566"/>
      <c r="E261" s="566"/>
      <c r="F261" s="566"/>
      <c r="G261" s="566"/>
      <c r="H261" s="566"/>
      <c r="I261" s="566"/>
      <c r="J261" s="566"/>
      <c r="K261" s="566"/>
      <c r="L261" s="566"/>
      <c r="M261" s="566"/>
      <c r="N261" s="566"/>
      <c r="O261" s="566"/>
      <c r="P261" s="566"/>
      <c r="Q261" s="566"/>
      <c r="R261" s="566"/>
      <c r="S261" s="566"/>
      <c r="T261" s="566"/>
      <c r="U261" s="566"/>
      <c r="V261" s="566"/>
      <c r="W261" s="566"/>
      <c r="X261" s="566"/>
      <c r="Y261" s="566"/>
      <c r="Z261" s="566"/>
      <c r="AA261" s="545"/>
      <c r="AB261" s="545"/>
      <c r="AC261" s="545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71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7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81"/>
      <c r="B267" s="566"/>
      <c r="C267" s="566"/>
      <c r="D267" s="566"/>
      <c r="E267" s="566"/>
      <c r="F267" s="566"/>
      <c r="G267" s="566"/>
      <c r="H267" s="566"/>
      <c r="I267" s="566"/>
      <c r="J267" s="566"/>
      <c r="K267" s="566"/>
      <c r="L267" s="566"/>
      <c r="M267" s="566"/>
      <c r="N267" s="566"/>
      <c r="O267" s="582"/>
      <c r="P267" s="562" t="s">
        <v>75</v>
      </c>
      <c r="Q267" s="563"/>
      <c r="R267" s="563"/>
      <c r="S267" s="563"/>
      <c r="T267" s="563"/>
      <c r="U267" s="563"/>
      <c r="V267" s="564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hidden="1" x14ac:dyDescent="0.2">
      <c r="A268" s="566"/>
      <c r="B268" s="566"/>
      <c r="C268" s="566"/>
      <c r="D268" s="566"/>
      <c r="E268" s="566"/>
      <c r="F268" s="566"/>
      <c r="G268" s="566"/>
      <c r="H268" s="566"/>
      <c r="I268" s="566"/>
      <c r="J268" s="566"/>
      <c r="K268" s="566"/>
      <c r="L268" s="566"/>
      <c r="M268" s="566"/>
      <c r="N268" s="566"/>
      <c r="O268" s="582"/>
      <c r="P268" s="562" t="s">
        <v>75</v>
      </c>
      <c r="Q268" s="563"/>
      <c r="R268" s="563"/>
      <c r="S268" s="563"/>
      <c r="T268" s="563"/>
      <c r="U268" s="563"/>
      <c r="V268" s="564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hidden="1" customHeight="1" x14ac:dyDescent="0.25">
      <c r="A269" s="565" t="s">
        <v>439</v>
      </c>
      <c r="B269" s="566"/>
      <c r="C269" s="566"/>
      <c r="D269" s="566"/>
      <c r="E269" s="566"/>
      <c r="F269" s="566"/>
      <c r="G269" s="566"/>
      <c r="H269" s="566"/>
      <c r="I269" s="566"/>
      <c r="J269" s="566"/>
      <c r="K269" s="566"/>
      <c r="L269" s="566"/>
      <c r="M269" s="566"/>
      <c r="N269" s="566"/>
      <c r="O269" s="566"/>
      <c r="P269" s="566"/>
      <c r="Q269" s="566"/>
      <c r="R269" s="566"/>
      <c r="S269" s="566"/>
      <c r="T269" s="566"/>
      <c r="U269" s="566"/>
      <c r="V269" s="566"/>
      <c r="W269" s="566"/>
      <c r="X269" s="566"/>
      <c r="Y269" s="566"/>
      <c r="Z269" s="566"/>
      <c r="AA269" s="544"/>
      <c r="AB269" s="544"/>
      <c r="AC269" s="544"/>
    </row>
    <row r="270" spans="1:68" ht="14.25" hidden="1" customHeight="1" x14ac:dyDescent="0.25">
      <c r="A270" s="567" t="s">
        <v>99</v>
      </c>
      <c r="B270" s="566"/>
      <c r="C270" s="566"/>
      <c r="D270" s="566"/>
      <c r="E270" s="566"/>
      <c r="F270" s="566"/>
      <c r="G270" s="566"/>
      <c r="H270" s="566"/>
      <c r="I270" s="566"/>
      <c r="J270" s="566"/>
      <c r="K270" s="566"/>
      <c r="L270" s="566"/>
      <c r="M270" s="566"/>
      <c r="N270" s="566"/>
      <c r="O270" s="566"/>
      <c r="P270" s="566"/>
      <c r="Q270" s="566"/>
      <c r="R270" s="566"/>
      <c r="S270" s="566"/>
      <c r="T270" s="566"/>
      <c r="U270" s="566"/>
      <c r="V270" s="566"/>
      <c r="W270" s="566"/>
      <c r="X270" s="566"/>
      <c r="Y270" s="566"/>
      <c r="Z270" s="566"/>
      <c r="AA270" s="545"/>
      <c r="AB270" s="545"/>
      <c r="AC270" s="545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69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75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9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81"/>
      <c r="B275" s="566"/>
      <c r="C275" s="566"/>
      <c r="D275" s="566"/>
      <c r="E275" s="566"/>
      <c r="F275" s="566"/>
      <c r="G275" s="566"/>
      <c r="H275" s="566"/>
      <c r="I275" s="566"/>
      <c r="J275" s="566"/>
      <c r="K275" s="566"/>
      <c r="L275" s="566"/>
      <c r="M275" s="566"/>
      <c r="N275" s="566"/>
      <c r="O275" s="582"/>
      <c r="P275" s="562" t="s">
        <v>75</v>
      </c>
      <c r="Q275" s="563"/>
      <c r="R275" s="563"/>
      <c r="S275" s="563"/>
      <c r="T275" s="563"/>
      <c r="U275" s="563"/>
      <c r="V275" s="564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hidden="1" x14ac:dyDescent="0.2">
      <c r="A276" s="566"/>
      <c r="B276" s="566"/>
      <c r="C276" s="566"/>
      <c r="D276" s="566"/>
      <c r="E276" s="566"/>
      <c r="F276" s="566"/>
      <c r="G276" s="566"/>
      <c r="H276" s="566"/>
      <c r="I276" s="566"/>
      <c r="J276" s="566"/>
      <c r="K276" s="566"/>
      <c r="L276" s="566"/>
      <c r="M276" s="566"/>
      <c r="N276" s="566"/>
      <c r="O276" s="582"/>
      <c r="P276" s="562" t="s">
        <v>75</v>
      </c>
      <c r="Q276" s="563"/>
      <c r="R276" s="563"/>
      <c r="S276" s="563"/>
      <c r="T276" s="563"/>
      <c r="U276" s="563"/>
      <c r="V276" s="564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hidden="1" customHeight="1" x14ac:dyDescent="0.25">
      <c r="A277" s="565" t="s">
        <v>450</v>
      </c>
      <c r="B277" s="566"/>
      <c r="C277" s="566"/>
      <c r="D277" s="566"/>
      <c r="E277" s="566"/>
      <c r="F277" s="566"/>
      <c r="G277" s="566"/>
      <c r="H277" s="566"/>
      <c r="I277" s="566"/>
      <c r="J277" s="566"/>
      <c r="K277" s="566"/>
      <c r="L277" s="566"/>
      <c r="M277" s="566"/>
      <c r="N277" s="566"/>
      <c r="O277" s="566"/>
      <c r="P277" s="566"/>
      <c r="Q277" s="566"/>
      <c r="R277" s="566"/>
      <c r="S277" s="566"/>
      <c r="T277" s="566"/>
      <c r="U277" s="566"/>
      <c r="V277" s="566"/>
      <c r="W277" s="566"/>
      <c r="X277" s="566"/>
      <c r="Y277" s="566"/>
      <c r="Z277" s="566"/>
      <c r="AA277" s="544"/>
      <c r="AB277" s="544"/>
      <c r="AC277" s="544"/>
    </row>
    <row r="278" spans="1:68" ht="14.25" hidden="1" customHeight="1" x14ac:dyDescent="0.25">
      <c r="A278" s="567" t="s">
        <v>77</v>
      </c>
      <c r="B278" s="566"/>
      <c r="C278" s="566"/>
      <c r="D278" s="566"/>
      <c r="E278" s="566"/>
      <c r="F278" s="566"/>
      <c r="G278" s="566"/>
      <c r="H278" s="566"/>
      <c r="I278" s="566"/>
      <c r="J278" s="566"/>
      <c r="K278" s="566"/>
      <c r="L278" s="566"/>
      <c r="M278" s="566"/>
      <c r="N278" s="566"/>
      <c r="O278" s="566"/>
      <c r="P278" s="566"/>
      <c r="Q278" s="566"/>
      <c r="R278" s="566"/>
      <c r="S278" s="566"/>
      <c r="T278" s="566"/>
      <c r="U278" s="566"/>
      <c r="V278" s="566"/>
      <c r="W278" s="566"/>
      <c r="X278" s="566"/>
      <c r="Y278" s="566"/>
      <c r="Z278" s="566"/>
      <c r="AA278" s="545"/>
      <c r="AB278" s="545"/>
      <c r="AC278" s="545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213</v>
      </c>
      <c r="M280" s="33" t="s">
        <v>86</v>
      </c>
      <c r="N280" s="33"/>
      <c r="O280" s="32">
        <v>40</v>
      </c>
      <c r="P280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58</v>
      </c>
      <c r="Y280" s="550">
        <f>IFERROR(IF(X280="",0,CEILING((X280/$H280),1)*$H280),"")</f>
        <v>60</v>
      </c>
      <c r="Z280" s="36">
        <f>IFERROR(IF(Y280=0,"",ROUNDUP(Y280/H280,0)*0.00651),"")</f>
        <v>0.16275000000000001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64.09</v>
      </c>
      <c r="BN280" s="64">
        <f>IFERROR(Y280*I280/H280,"0")</f>
        <v>66.300000000000011</v>
      </c>
      <c r="BO280" s="64">
        <f>IFERROR(1/J280*(X280/H280),"0")</f>
        <v>0.13278388278388281</v>
      </c>
      <c r="BP280" s="64">
        <f>IFERROR(1/J280*(Y280/H280),"0")</f>
        <v>0.13736263736263737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213</v>
      </c>
      <c r="M281" s="33" t="s">
        <v>80</v>
      </c>
      <c r="N281" s="33"/>
      <c r="O281" s="32">
        <v>45</v>
      </c>
      <c r="P281" s="6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93</v>
      </c>
      <c r="Y281" s="550">
        <f>IFERROR(IF(X281="",0,CEILING((X281/$H281),1)*$H281),"")</f>
        <v>93.6</v>
      </c>
      <c r="Z281" s="36">
        <f>IFERROR(IF(Y281=0,"",ROUNDUP(Y281/H281,0)*0.00651),"")</f>
        <v>0.25389</v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99.975000000000009</v>
      </c>
      <c r="BN281" s="64">
        <f>IFERROR(Y281*I281/H281,"0")</f>
        <v>100.62</v>
      </c>
      <c r="BO281" s="64">
        <f>IFERROR(1/J281*(X281/H281),"0")</f>
        <v>0.21291208791208793</v>
      </c>
      <c r="BP281" s="64">
        <f>IFERROR(1/J281*(Y281/H281),"0")</f>
        <v>0.2142857142857143</v>
      </c>
    </row>
    <row r="282" spans="1:68" x14ac:dyDescent="0.2">
      <c r="A282" s="581"/>
      <c r="B282" s="566"/>
      <c r="C282" s="566"/>
      <c r="D282" s="566"/>
      <c r="E282" s="566"/>
      <c r="F282" s="566"/>
      <c r="G282" s="566"/>
      <c r="H282" s="566"/>
      <c r="I282" s="566"/>
      <c r="J282" s="566"/>
      <c r="K282" s="566"/>
      <c r="L282" s="566"/>
      <c r="M282" s="566"/>
      <c r="N282" s="566"/>
      <c r="O282" s="582"/>
      <c r="P282" s="562" t="s">
        <v>75</v>
      </c>
      <c r="Q282" s="563"/>
      <c r="R282" s="563"/>
      <c r="S282" s="563"/>
      <c r="T282" s="563"/>
      <c r="U282" s="563"/>
      <c r="V282" s="564"/>
      <c r="W282" s="37" t="s">
        <v>76</v>
      </c>
      <c r="X282" s="551">
        <f>IFERROR(X279/H279,"0")+IFERROR(X280/H280,"0")+IFERROR(X281/H281,"0")</f>
        <v>62.916666666666671</v>
      </c>
      <c r="Y282" s="551">
        <f>IFERROR(Y279/H279,"0")+IFERROR(Y280/H280,"0")+IFERROR(Y281/H281,"0")</f>
        <v>64</v>
      </c>
      <c r="Z282" s="551">
        <f>IFERROR(IF(Z279="",0,Z279),"0")+IFERROR(IF(Z280="",0,Z280),"0")+IFERROR(IF(Z281="",0,Z281),"0")</f>
        <v>0.41664000000000001</v>
      </c>
      <c r="AA282" s="552"/>
      <c r="AB282" s="552"/>
      <c r="AC282" s="552"/>
    </row>
    <row r="283" spans="1:68" x14ac:dyDescent="0.2">
      <c r="A283" s="566"/>
      <c r="B283" s="566"/>
      <c r="C283" s="566"/>
      <c r="D283" s="566"/>
      <c r="E283" s="566"/>
      <c r="F283" s="566"/>
      <c r="G283" s="566"/>
      <c r="H283" s="566"/>
      <c r="I283" s="566"/>
      <c r="J283" s="566"/>
      <c r="K283" s="566"/>
      <c r="L283" s="566"/>
      <c r="M283" s="566"/>
      <c r="N283" s="566"/>
      <c r="O283" s="582"/>
      <c r="P283" s="562" t="s">
        <v>75</v>
      </c>
      <c r="Q283" s="563"/>
      <c r="R283" s="563"/>
      <c r="S283" s="563"/>
      <c r="T283" s="563"/>
      <c r="U283" s="563"/>
      <c r="V283" s="564"/>
      <c r="W283" s="37" t="s">
        <v>69</v>
      </c>
      <c r="X283" s="551">
        <f>IFERROR(SUM(X279:X281),"0")</f>
        <v>151</v>
      </c>
      <c r="Y283" s="551">
        <f>IFERROR(SUM(Y279:Y281),"0")</f>
        <v>153.6</v>
      </c>
      <c r="Z283" s="37"/>
      <c r="AA283" s="552"/>
      <c r="AB283" s="552"/>
      <c r="AC283" s="552"/>
    </row>
    <row r="284" spans="1:68" ht="16.5" hidden="1" customHeight="1" x14ac:dyDescent="0.25">
      <c r="A284" s="565" t="s">
        <v>459</v>
      </c>
      <c r="B284" s="566"/>
      <c r="C284" s="566"/>
      <c r="D284" s="566"/>
      <c r="E284" s="566"/>
      <c r="F284" s="566"/>
      <c r="G284" s="566"/>
      <c r="H284" s="566"/>
      <c r="I284" s="566"/>
      <c r="J284" s="566"/>
      <c r="K284" s="566"/>
      <c r="L284" s="566"/>
      <c r="M284" s="566"/>
      <c r="N284" s="566"/>
      <c r="O284" s="566"/>
      <c r="P284" s="566"/>
      <c r="Q284" s="566"/>
      <c r="R284" s="566"/>
      <c r="S284" s="566"/>
      <c r="T284" s="566"/>
      <c r="U284" s="566"/>
      <c r="V284" s="566"/>
      <c r="W284" s="566"/>
      <c r="X284" s="566"/>
      <c r="Y284" s="566"/>
      <c r="Z284" s="566"/>
      <c r="AA284" s="544"/>
      <c r="AB284" s="544"/>
      <c r="AC284" s="544"/>
    </row>
    <row r="285" spans="1:68" ht="14.25" hidden="1" customHeight="1" x14ac:dyDescent="0.25">
      <c r="A285" s="567" t="s">
        <v>64</v>
      </c>
      <c r="B285" s="566"/>
      <c r="C285" s="566"/>
      <c r="D285" s="566"/>
      <c r="E285" s="566"/>
      <c r="F285" s="566"/>
      <c r="G285" s="566"/>
      <c r="H285" s="566"/>
      <c r="I285" s="566"/>
      <c r="J285" s="566"/>
      <c r="K285" s="566"/>
      <c r="L285" s="566"/>
      <c r="M285" s="566"/>
      <c r="N285" s="566"/>
      <c r="O285" s="566"/>
      <c r="P285" s="566"/>
      <c r="Q285" s="566"/>
      <c r="R285" s="566"/>
      <c r="S285" s="566"/>
      <c r="T285" s="566"/>
      <c r="U285" s="566"/>
      <c r="V285" s="566"/>
      <c r="W285" s="566"/>
      <c r="X285" s="566"/>
      <c r="Y285" s="566"/>
      <c r="Z285" s="566"/>
      <c r="AA285" s="545"/>
      <c r="AB285" s="545"/>
      <c r="AC285" s="545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4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5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81"/>
      <c r="B288" s="566"/>
      <c r="C288" s="566"/>
      <c r="D288" s="566"/>
      <c r="E288" s="566"/>
      <c r="F288" s="566"/>
      <c r="G288" s="566"/>
      <c r="H288" s="566"/>
      <c r="I288" s="566"/>
      <c r="J288" s="566"/>
      <c r="K288" s="566"/>
      <c r="L288" s="566"/>
      <c r="M288" s="566"/>
      <c r="N288" s="566"/>
      <c r="O288" s="582"/>
      <c r="P288" s="562" t="s">
        <v>75</v>
      </c>
      <c r="Q288" s="563"/>
      <c r="R288" s="563"/>
      <c r="S288" s="563"/>
      <c r="T288" s="563"/>
      <c r="U288" s="563"/>
      <c r="V288" s="564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hidden="1" x14ac:dyDescent="0.2">
      <c r="A289" s="566"/>
      <c r="B289" s="566"/>
      <c r="C289" s="566"/>
      <c r="D289" s="566"/>
      <c r="E289" s="566"/>
      <c r="F289" s="566"/>
      <c r="G289" s="566"/>
      <c r="H289" s="566"/>
      <c r="I289" s="566"/>
      <c r="J289" s="566"/>
      <c r="K289" s="566"/>
      <c r="L289" s="566"/>
      <c r="M289" s="566"/>
      <c r="N289" s="566"/>
      <c r="O289" s="582"/>
      <c r="P289" s="562" t="s">
        <v>75</v>
      </c>
      <c r="Q289" s="563"/>
      <c r="R289" s="563"/>
      <c r="S289" s="563"/>
      <c r="T289" s="563"/>
      <c r="U289" s="563"/>
      <c r="V289" s="564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hidden="1" customHeight="1" x14ac:dyDescent="0.25">
      <c r="A290" s="567" t="s">
        <v>77</v>
      </c>
      <c r="B290" s="566"/>
      <c r="C290" s="566"/>
      <c r="D290" s="566"/>
      <c r="E290" s="566"/>
      <c r="F290" s="566"/>
      <c r="G290" s="566"/>
      <c r="H290" s="566"/>
      <c r="I290" s="566"/>
      <c r="J290" s="566"/>
      <c r="K290" s="566"/>
      <c r="L290" s="566"/>
      <c r="M290" s="566"/>
      <c r="N290" s="566"/>
      <c r="O290" s="566"/>
      <c r="P290" s="566"/>
      <c r="Q290" s="566"/>
      <c r="R290" s="566"/>
      <c r="S290" s="566"/>
      <c r="T290" s="566"/>
      <c r="U290" s="566"/>
      <c r="V290" s="566"/>
      <c r="W290" s="566"/>
      <c r="X290" s="566"/>
      <c r="Y290" s="566"/>
      <c r="Z290" s="566"/>
      <c r="AA290" s="545"/>
      <c r="AB290" s="545"/>
      <c r="AC290" s="545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81"/>
      <c r="B293" s="566"/>
      <c r="C293" s="566"/>
      <c r="D293" s="566"/>
      <c r="E293" s="566"/>
      <c r="F293" s="566"/>
      <c r="G293" s="566"/>
      <c r="H293" s="566"/>
      <c r="I293" s="566"/>
      <c r="J293" s="566"/>
      <c r="K293" s="566"/>
      <c r="L293" s="566"/>
      <c r="M293" s="566"/>
      <c r="N293" s="566"/>
      <c r="O293" s="582"/>
      <c r="P293" s="562" t="s">
        <v>75</v>
      </c>
      <c r="Q293" s="563"/>
      <c r="R293" s="563"/>
      <c r="S293" s="563"/>
      <c r="T293" s="563"/>
      <c r="U293" s="563"/>
      <c r="V293" s="564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hidden="1" x14ac:dyDescent="0.2">
      <c r="A294" s="566"/>
      <c r="B294" s="566"/>
      <c r="C294" s="566"/>
      <c r="D294" s="566"/>
      <c r="E294" s="566"/>
      <c r="F294" s="566"/>
      <c r="G294" s="566"/>
      <c r="H294" s="566"/>
      <c r="I294" s="566"/>
      <c r="J294" s="566"/>
      <c r="K294" s="566"/>
      <c r="L294" s="566"/>
      <c r="M294" s="566"/>
      <c r="N294" s="566"/>
      <c r="O294" s="582"/>
      <c r="P294" s="562" t="s">
        <v>75</v>
      </c>
      <c r="Q294" s="563"/>
      <c r="R294" s="563"/>
      <c r="S294" s="563"/>
      <c r="T294" s="563"/>
      <c r="U294" s="563"/>
      <c r="V294" s="564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hidden="1" customHeight="1" x14ac:dyDescent="0.25">
      <c r="A295" s="565" t="s">
        <v>472</v>
      </c>
      <c r="B295" s="566"/>
      <c r="C295" s="566"/>
      <c r="D295" s="566"/>
      <c r="E295" s="566"/>
      <c r="F295" s="566"/>
      <c r="G295" s="566"/>
      <c r="H295" s="566"/>
      <c r="I295" s="566"/>
      <c r="J295" s="566"/>
      <c r="K295" s="566"/>
      <c r="L295" s="566"/>
      <c r="M295" s="566"/>
      <c r="N295" s="566"/>
      <c r="O295" s="566"/>
      <c r="P295" s="566"/>
      <c r="Q295" s="566"/>
      <c r="R295" s="566"/>
      <c r="S295" s="566"/>
      <c r="T295" s="566"/>
      <c r="U295" s="566"/>
      <c r="V295" s="566"/>
      <c r="W295" s="566"/>
      <c r="X295" s="566"/>
      <c r="Y295" s="566"/>
      <c r="Z295" s="566"/>
      <c r="AA295" s="544"/>
      <c r="AB295" s="544"/>
      <c r="AC295" s="544"/>
    </row>
    <row r="296" spans="1:68" ht="14.25" hidden="1" customHeight="1" x14ac:dyDescent="0.25">
      <c r="A296" s="567" t="s">
        <v>99</v>
      </c>
      <c r="B296" s="566"/>
      <c r="C296" s="566"/>
      <c r="D296" s="566"/>
      <c r="E296" s="566"/>
      <c r="F296" s="566"/>
      <c r="G296" s="566"/>
      <c r="H296" s="566"/>
      <c r="I296" s="566"/>
      <c r="J296" s="566"/>
      <c r="K296" s="566"/>
      <c r="L296" s="566"/>
      <c r="M296" s="566"/>
      <c r="N296" s="566"/>
      <c r="O296" s="566"/>
      <c r="P296" s="566"/>
      <c r="Q296" s="566"/>
      <c r="R296" s="566"/>
      <c r="S296" s="566"/>
      <c r="T296" s="566"/>
      <c r="U296" s="566"/>
      <c r="V296" s="566"/>
      <c r="W296" s="566"/>
      <c r="X296" s="566"/>
      <c r="Y296" s="566"/>
      <c r="Z296" s="566"/>
      <c r="AA296" s="545"/>
      <c r="AB296" s="545"/>
      <c r="AC296" s="545"/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8">
        <v>4680115885615</v>
      </c>
      <c r="E297" s="559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8">
        <v>4680115885646</v>
      </c>
      <c r="E298" s="559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8">
        <v>4680115885554</v>
      </c>
      <c r="E299" s="559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8">
        <v>4680115885622</v>
      </c>
      <c r="E300" s="559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0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8">
        <v>4680115885608</v>
      </c>
      <c r="E301" s="559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7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581"/>
      <c r="B302" s="566"/>
      <c r="C302" s="566"/>
      <c r="D302" s="566"/>
      <c r="E302" s="566"/>
      <c r="F302" s="566"/>
      <c r="G302" s="566"/>
      <c r="H302" s="566"/>
      <c r="I302" s="566"/>
      <c r="J302" s="566"/>
      <c r="K302" s="566"/>
      <c r="L302" s="566"/>
      <c r="M302" s="566"/>
      <c r="N302" s="566"/>
      <c r="O302" s="582"/>
      <c r="P302" s="562" t="s">
        <v>75</v>
      </c>
      <c r="Q302" s="563"/>
      <c r="R302" s="563"/>
      <c r="S302" s="563"/>
      <c r="T302" s="563"/>
      <c r="U302" s="563"/>
      <c r="V302" s="564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66"/>
      <c r="B303" s="566"/>
      <c r="C303" s="566"/>
      <c r="D303" s="566"/>
      <c r="E303" s="566"/>
      <c r="F303" s="566"/>
      <c r="G303" s="566"/>
      <c r="H303" s="566"/>
      <c r="I303" s="566"/>
      <c r="J303" s="566"/>
      <c r="K303" s="566"/>
      <c r="L303" s="566"/>
      <c r="M303" s="566"/>
      <c r="N303" s="566"/>
      <c r="O303" s="582"/>
      <c r="P303" s="562" t="s">
        <v>75</v>
      </c>
      <c r="Q303" s="563"/>
      <c r="R303" s="563"/>
      <c r="S303" s="563"/>
      <c r="T303" s="563"/>
      <c r="U303" s="563"/>
      <c r="V303" s="564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67" t="s">
        <v>64</v>
      </c>
      <c r="B304" s="566"/>
      <c r="C304" s="566"/>
      <c r="D304" s="566"/>
      <c r="E304" s="566"/>
      <c r="F304" s="566"/>
      <c r="G304" s="566"/>
      <c r="H304" s="566"/>
      <c r="I304" s="566"/>
      <c r="J304" s="566"/>
      <c r="K304" s="566"/>
      <c r="L304" s="566"/>
      <c r="M304" s="566"/>
      <c r="N304" s="566"/>
      <c r="O304" s="566"/>
      <c r="P304" s="566"/>
      <c r="Q304" s="566"/>
      <c r="R304" s="566"/>
      <c r="S304" s="566"/>
      <c r="T304" s="566"/>
      <c r="U304" s="566"/>
      <c r="V304" s="566"/>
      <c r="W304" s="566"/>
      <c r="X304" s="566"/>
      <c r="Y304" s="566"/>
      <c r="Z304" s="566"/>
      <c r="AA304" s="545"/>
      <c r="AB304" s="545"/>
      <c r="AC304" s="545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8">
        <v>4607091387193</v>
      </c>
      <c r="E305" s="559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8">
        <v>4607091387230</v>
      </c>
      <c r="E306" s="559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8">
        <v>4607091387292</v>
      </c>
      <c r="E307" s="559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8">
        <v>4607091387285</v>
      </c>
      <c r="E308" s="559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8">
        <v>4607091389845</v>
      </c>
      <c r="E309" s="559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8">
        <v>4607091383836</v>
      </c>
      <c r="E310" s="559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idden="1" x14ac:dyDescent="0.2">
      <c r="A311" s="581"/>
      <c r="B311" s="566"/>
      <c r="C311" s="566"/>
      <c r="D311" s="566"/>
      <c r="E311" s="566"/>
      <c r="F311" s="566"/>
      <c r="G311" s="566"/>
      <c r="H311" s="566"/>
      <c r="I311" s="566"/>
      <c r="J311" s="566"/>
      <c r="K311" s="566"/>
      <c r="L311" s="566"/>
      <c r="M311" s="566"/>
      <c r="N311" s="566"/>
      <c r="O311" s="582"/>
      <c r="P311" s="562" t="s">
        <v>75</v>
      </c>
      <c r="Q311" s="563"/>
      <c r="R311" s="563"/>
      <c r="S311" s="563"/>
      <c r="T311" s="563"/>
      <c r="U311" s="563"/>
      <c r="V311" s="564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hidden="1" x14ac:dyDescent="0.2">
      <c r="A312" s="566"/>
      <c r="B312" s="566"/>
      <c r="C312" s="566"/>
      <c r="D312" s="566"/>
      <c r="E312" s="566"/>
      <c r="F312" s="566"/>
      <c r="G312" s="566"/>
      <c r="H312" s="566"/>
      <c r="I312" s="566"/>
      <c r="J312" s="566"/>
      <c r="K312" s="566"/>
      <c r="L312" s="566"/>
      <c r="M312" s="566"/>
      <c r="N312" s="566"/>
      <c r="O312" s="582"/>
      <c r="P312" s="562" t="s">
        <v>75</v>
      </c>
      <c r="Q312" s="563"/>
      <c r="R312" s="563"/>
      <c r="S312" s="563"/>
      <c r="T312" s="563"/>
      <c r="U312" s="563"/>
      <c r="V312" s="564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hidden="1" customHeight="1" x14ac:dyDescent="0.25">
      <c r="A313" s="567" t="s">
        <v>77</v>
      </c>
      <c r="B313" s="566"/>
      <c r="C313" s="566"/>
      <c r="D313" s="566"/>
      <c r="E313" s="566"/>
      <c r="F313" s="566"/>
      <c r="G313" s="566"/>
      <c r="H313" s="566"/>
      <c r="I313" s="566"/>
      <c r="J313" s="566"/>
      <c r="K313" s="566"/>
      <c r="L313" s="566"/>
      <c r="M313" s="566"/>
      <c r="N313" s="566"/>
      <c r="O313" s="566"/>
      <c r="P313" s="566"/>
      <c r="Q313" s="566"/>
      <c r="R313" s="566"/>
      <c r="S313" s="566"/>
      <c r="T313" s="566"/>
      <c r="U313" s="566"/>
      <c r="V313" s="566"/>
      <c r="W313" s="566"/>
      <c r="X313" s="566"/>
      <c r="Y313" s="566"/>
      <c r="Z313" s="566"/>
      <c r="AA313" s="545"/>
      <c r="AB313" s="545"/>
      <c r="AC313" s="545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8">
        <v>4607091387766</v>
      </c>
      <c r="E314" s="559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9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8">
        <v>4607091387957</v>
      </c>
      <c r="E315" s="559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60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8">
        <v>4607091387964</v>
      </c>
      <c r="E316" s="559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5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8">
        <v>4680115884588</v>
      </c>
      <c r="E317" s="559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81"/>
      <c r="B318" s="566"/>
      <c r="C318" s="566"/>
      <c r="D318" s="566"/>
      <c r="E318" s="566"/>
      <c r="F318" s="566"/>
      <c r="G318" s="566"/>
      <c r="H318" s="566"/>
      <c r="I318" s="566"/>
      <c r="J318" s="566"/>
      <c r="K318" s="566"/>
      <c r="L318" s="566"/>
      <c r="M318" s="566"/>
      <c r="N318" s="566"/>
      <c r="O318" s="582"/>
      <c r="P318" s="562" t="s">
        <v>75</v>
      </c>
      <c r="Q318" s="563"/>
      <c r="R318" s="563"/>
      <c r="S318" s="563"/>
      <c r="T318" s="563"/>
      <c r="U318" s="563"/>
      <c r="V318" s="564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66"/>
      <c r="B319" s="566"/>
      <c r="C319" s="566"/>
      <c r="D319" s="566"/>
      <c r="E319" s="566"/>
      <c r="F319" s="566"/>
      <c r="G319" s="566"/>
      <c r="H319" s="566"/>
      <c r="I319" s="566"/>
      <c r="J319" s="566"/>
      <c r="K319" s="566"/>
      <c r="L319" s="566"/>
      <c r="M319" s="566"/>
      <c r="N319" s="566"/>
      <c r="O319" s="582"/>
      <c r="P319" s="562" t="s">
        <v>75</v>
      </c>
      <c r="Q319" s="563"/>
      <c r="R319" s="563"/>
      <c r="S319" s="563"/>
      <c r="T319" s="563"/>
      <c r="U319" s="563"/>
      <c r="V319" s="564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67" t="s">
        <v>160</v>
      </c>
      <c r="B320" s="566"/>
      <c r="C320" s="566"/>
      <c r="D320" s="566"/>
      <c r="E320" s="566"/>
      <c r="F320" s="566"/>
      <c r="G320" s="566"/>
      <c r="H320" s="566"/>
      <c r="I320" s="566"/>
      <c r="J320" s="566"/>
      <c r="K320" s="566"/>
      <c r="L320" s="566"/>
      <c r="M320" s="566"/>
      <c r="N320" s="566"/>
      <c r="O320" s="566"/>
      <c r="P320" s="566"/>
      <c r="Q320" s="566"/>
      <c r="R320" s="566"/>
      <c r="S320" s="566"/>
      <c r="T320" s="566"/>
      <c r="U320" s="566"/>
      <c r="V320" s="566"/>
      <c r="W320" s="566"/>
      <c r="X320" s="566"/>
      <c r="Y320" s="566"/>
      <c r="Z320" s="566"/>
      <c r="AA320" s="545"/>
      <c r="AB320" s="545"/>
      <c r="AC320" s="545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8">
        <v>4607091380880</v>
      </c>
      <c r="E321" s="559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7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33</v>
      </c>
      <c r="Y321" s="550">
        <f>IFERROR(IF(X321="",0,CEILING((X321/$H321),1)*$H321),"")</f>
        <v>33.6</v>
      </c>
      <c r="Z321" s="36">
        <f>IFERROR(IF(Y321=0,"",ROUNDUP(Y321/H321,0)*0.01898),"")</f>
        <v>7.5920000000000001E-2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34.940714285714286</v>
      </c>
      <c r="BN321" s="64">
        <f>IFERROR(Y321*I321/H321,"0")</f>
        <v>35.576000000000001</v>
      </c>
      <c r="BO321" s="64">
        <f>IFERROR(1/J321*(X321/H321),"0")</f>
        <v>6.1383928571428568E-2</v>
      </c>
      <c r="BP321" s="64">
        <f>IFERROR(1/J321*(Y321/H321),"0")</f>
        <v>6.25E-2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8">
        <v>4607091384482</v>
      </c>
      <c r="E322" s="559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6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314</v>
      </c>
      <c r="Y322" s="550">
        <f>IFERROR(IF(X322="",0,CEILING((X322/$H322),1)*$H322),"")</f>
        <v>319.8</v>
      </c>
      <c r="Z322" s="36">
        <f>IFERROR(IF(Y322=0,"",ROUNDUP(Y322/H322,0)*0.01898),"")</f>
        <v>0.77817999999999998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333.88666666666671</v>
      </c>
      <c r="BN322" s="64">
        <f>IFERROR(Y322*I322/H322,"0")</f>
        <v>340.05400000000003</v>
      </c>
      <c r="BO322" s="64">
        <f>IFERROR(1/J322*(X322/H322),"0")</f>
        <v>0.62900641025641024</v>
      </c>
      <c r="BP322" s="64">
        <f>IFERROR(1/J322*(Y322/H322),"0")</f>
        <v>0.640625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8">
        <v>4607091380897</v>
      </c>
      <c r="E323" s="559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8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46</v>
      </c>
      <c r="Y323" s="550">
        <f>IFERROR(IF(X323="",0,CEILING((X323/$H323),1)*$H323),"")</f>
        <v>50.400000000000006</v>
      </c>
      <c r="Z323" s="36">
        <f>IFERROR(IF(Y323=0,"",ROUNDUP(Y323/H323,0)*0.01898),"")</f>
        <v>0.11388000000000001</v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48.705238095238094</v>
      </c>
      <c r="BN323" s="64">
        <f>IFERROR(Y323*I323/H323,"0")</f>
        <v>53.364000000000004</v>
      </c>
      <c r="BO323" s="64">
        <f>IFERROR(1/J323*(X323/H323),"0")</f>
        <v>8.5565476190476192E-2</v>
      </c>
      <c r="BP323" s="64">
        <f>IFERROR(1/J323*(Y323/H323),"0")</f>
        <v>9.375E-2</v>
      </c>
    </row>
    <row r="324" spans="1:68" x14ac:dyDescent="0.2">
      <c r="A324" s="581"/>
      <c r="B324" s="566"/>
      <c r="C324" s="566"/>
      <c r="D324" s="566"/>
      <c r="E324" s="566"/>
      <c r="F324" s="566"/>
      <c r="G324" s="566"/>
      <c r="H324" s="566"/>
      <c r="I324" s="566"/>
      <c r="J324" s="566"/>
      <c r="K324" s="566"/>
      <c r="L324" s="566"/>
      <c r="M324" s="566"/>
      <c r="N324" s="566"/>
      <c r="O324" s="582"/>
      <c r="P324" s="562" t="s">
        <v>75</v>
      </c>
      <c r="Q324" s="563"/>
      <c r="R324" s="563"/>
      <c r="S324" s="563"/>
      <c r="T324" s="563"/>
      <c r="U324" s="563"/>
      <c r="V324" s="564"/>
      <c r="W324" s="37" t="s">
        <v>76</v>
      </c>
      <c r="X324" s="551">
        <f>IFERROR(X321/H321,"0")+IFERROR(X322/H322,"0")+IFERROR(X323/H323,"0")</f>
        <v>49.661172161172161</v>
      </c>
      <c r="Y324" s="551">
        <f>IFERROR(Y321/H321,"0")+IFERROR(Y322/H322,"0")+IFERROR(Y323/H323,"0")</f>
        <v>51</v>
      </c>
      <c r="Z324" s="551">
        <f>IFERROR(IF(Z321="",0,Z321),"0")+IFERROR(IF(Z322="",0,Z322),"0")+IFERROR(IF(Z323="",0,Z323),"0")</f>
        <v>0.96797999999999995</v>
      </c>
      <c r="AA324" s="552"/>
      <c r="AB324" s="552"/>
      <c r="AC324" s="552"/>
    </row>
    <row r="325" spans="1:68" x14ac:dyDescent="0.2">
      <c r="A325" s="566"/>
      <c r="B325" s="566"/>
      <c r="C325" s="566"/>
      <c r="D325" s="566"/>
      <c r="E325" s="566"/>
      <c r="F325" s="566"/>
      <c r="G325" s="566"/>
      <c r="H325" s="566"/>
      <c r="I325" s="566"/>
      <c r="J325" s="566"/>
      <c r="K325" s="566"/>
      <c r="L325" s="566"/>
      <c r="M325" s="566"/>
      <c r="N325" s="566"/>
      <c r="O325" s="582"/>
      <c r="P325" s="562" t="s">
        <v>75</v>
      </c>
      <c r="Q325" s="563"/>
      <c r="R325" s="563"/>
      <c r="S325" s="563"/>
      <c r="T325" s="563"/>
      <c r="U325" s="563"/>
      <c r="V325" s="564"/>
      <c r="W325" s="37" t="s">
        <v>69</v>
      </c>
      <c r="X325" s="551">
        <f>IFERROR(SUM(X321:X323),"0")</f>
        <v>393</v>
      </c>
      <c r="Y325" s="551">
        <f>IFERROR(SUM(Y321:Y323),"0")</f>
        <v>403.80000000000007</v>
      </c>
      <c r="Z325" s="37"/>
      <c r="AA325" s="552"/>
      <c r="AB325" s="552"/>
      <c r="AC325" s="552"/>
    </row>
    <row r="326" spans="1:68" ht="14.25" hidden="1" customHeight="1" x14ac:dyDescent="0.25">
      <c r="A326" s="567" t="s">
        <v>91</v>
      </c>
      <c r="B326" s="566"/>
      <c r="C326" s="566"/>
      <c r="D326" s="566"/>
      <c r="E326" s="566"/>
      <c r="F326" s="566"/>
      <c r="G326" s="566"/>
      <c r="H326" s="566"/>
      <c r="I326" s="566"/>
      <c r="J326" s="566"/>
      <c r="K326" s="566"/>
      <c r="L326" s="566"/>
      <c r="M326" s="566"/>
      <c r="N326" s="566"/>
      <c r="O326" s="566"/>
      <c r="P326" s="566"/>
      <c r="Q326" s="566"/>
      <c r="R326" s="566"/>
      <c r="S326" s="566"/>
      <c r="T326" s="566"/>
      <c r="U326" s="566"/>
      <c r="V326" s="566"/>
      <c r="W326" s="566"/>
      <c r="X326" s="566"/>
      <c r="Y326" s="566"/>
      <c r="Z326" s="566"/>
      <c r="AA326" s="545"/>
      <c r="AB326" s="545"/>
      <c r="AC326" s="545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8">
        <v>4607091388381</v>
      </c>
      <c r="E327" s="559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8">
        <v>4607091388374</v>
      </c>
      <c r="E328" s="559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8">
        <v>4607091383102</v>
      </c>
      <c r="E329" s="559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94</v>
      </c>
      <c r="N329" s="33"/>
      <c r="O329" s="32">
        <v>180</v>
      </c>
      <c r="P329" s="61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58">
        <v>4607091388404</v>
      </c>
      <c r="E330" s="559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213</v>
      </c>
      <c r="M330" s="33" t="s">
        <v>94</v>
      </c>
      <c r="N330" s="33"/>
      <c r="O330" s="32">
        <v>180</v>
      </c>
      <c r="P330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81"/>
      <c r="B331" s="566"/>
      <c r="C331" s="566"/>
      <c r="D331" s="566"/>
      <c r="E331" s="566"/>
      <c r="F331" s="566"/>
      <c r="G331" s="566"/>
      <c r="H331" s="566"/>
      <c r="I331" s="566"/>
      <c r="J331" s="566"/>
      <c r="K331" s="566"/>
      <c r="L331" s="566"/>
      <c r="M331" s="566"/>
      <c r="N331" s="566"/>
      <c r="O331" s="582"/>
      <c r="P331" s="562" t="s">
        <v>75</v>
      </c>
      <c r="Q331" s="563"/>
      <c r="R331" s="563"/>
      <c r="S331" s="563"/>
      <c r="T331" s="563"/>
      <c r="U331" s="563"/>
      <c r="V331" s="564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hidden="1" x14ac:dyDescent="0.2">
      <c r="A332" s="566"/>
      <c r="B332" s="566"/>
      <c r="C332" s="566"/>
      <c r="D332" s="566"/>
      <c r="E332" s="566"/>
      <c r="F332" s="566"/>
      <c r="G332" s="566"/>
      <c r="H332" s="566"/>
      <c r="I332" s="566"/>
      <c r="J332" s="566"/>
      <c r="K332" s="566"/>
      <c r="L332" s="566"/>
      <c r="M332" s="566"/>
      <c r="N332" s="566"/>
      <c r="O332" s="582"/>
      <c r="P332" s="562" t="s">
        <v>75</v>
      </c>
      <c r="Q332" s="563"/>
      <c r="R332" s="563"/>
      <c r="S332" s="563"/>
      <c r="T332" s="563"/>
      <c r="U332" s="563"/>
      <c r="V332" s="564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hidden="1" customHeight="1" x14ac:dyDescent="0.25">
      <c r="A333" s="567" t="s">
        <v>534</v>
      </c>
      <c r="B333" s="566"/>
      <c r="C333" s="566"/>
      <c r="D333" s="566"/>
      <c r="E333" s="566"/>
      <c r="F333" s="566"/>
      <c r="G333" s="566"/>
      <c r="H333" s="566"/>
      <c r="I333" s="566"/>
      <c r="J333" s="566"/>
      <c r="K333" s="566"/>
      <c r="L333" s="566"/>
      <c r="M333" s="566"/>
      <c r="N333" s="566"/>
      <c r="O333" s="566"/>
      <c r="P333" s="566"/>
      <c r="Q333" s="566"/>
      <c r="R333" s="566"/>
      <c r="S333" s="566"/>
      <c r="T333" s="566"/>
      <c r="U333" s="566"/>
      <c r="V333" s="566"/>
      <c r="W333" s="566"/>
      <c r="X333" s="566"/>
      <c r="Y333" s="566"/>
      <c r="Z333" s="566"/>
      <c r="AA333" s="545"/>
      <c r="AB333" s="545"/>
      <c r="AC333" s="545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8">
        <v>4680115881808</v>
      </c>
      <c r="E334" s="559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8">
        <v>4680115881822</v>
      </c>
      <c r="E335" s="559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1</v>
      </c>
      <c r="Y335" s="550">
        <f>IFERROR(IF(X335="",0,CEILING((X335/$H335),1)*$H335),"")</f>
        <v>2</v>
      </c>
      <c r="Z335" s="36">
        <f>IFERROR(IF(Y335=0,"",ROUNDUP(Y335/H335,0)*0.00474),"")</f>
        <v>4.7400000000000003E-3</v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1.1200000000000001</v>
      </c>
      <c r="BN335" s="64">
        <f>IFERROR(Y335*I335/H335,"0")</f>
        <v>2.2400000000000002</v>
      </c>
      <c r="BO335" s="64">
        <f>IFERROR(1/J335*(X335/H335),"0")</f>
        <v>2.1008403361344537E-3</v>
      </c>
      <c r="BP335" s="64">
        <f>IFERROR(1/J335*(Y335/H335),"0")</f>
        <v>4.2016806722689074E-3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8">
        <v>4680115880016</v>
      </c>
      <c r="E336" s="559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20</v>
      </c>
      <c r="Y336" s="550">
        <f>IFERROR(IF(X336="",0,CEILING((X336/$H336),1)*$H336),"")</f>
        <v>20</v>
      </c>
      <c r="Z336" s="36">
        <f>IFERROR(IF(Y336=0,"",ROUNDUP(Y336/H336,0)*0.00474),"")</f>
        <v>4.7400000000000005E-2</v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22.400000000000002</v>
      </c>
      <c r="BN336" s="64">
        <f>IFERROR(Y336*I336/H336,"0")</f>
        <v>22.400000000000002</v>
      </c>
      <c r="BO336" s="64">
        <f>IFERROR(1/J336*(X336/H336),"0")</f>
        <v>4.2016806722689072E-2</v>
      </c>
      <c r="BP336" s="64">
        <f>IFERROR(1/J336*(Y336/H336),"0")</f>
        <v>4.2016806722689072E-2</v>
      </c>
    </row>
    <row r="337" spans="1:68" x14ac:dyDescent="0.2">
      <c r="A337" s="581"/>
      <c r="B337" s="566"/>
      <c r="C337" s="566"/>
      <c r="D337" s="566"/>
      <c r="E337" s="566"/>
      <c r="F337" s="566"/>
      <c r="G337" s="566"/>
      <c r="H337" s="566"/>
      <c r="I337" s="566"/>
      <c r="J337" s="566"/>
      <c r="K337" s="566"/>
      <c r="L337" s="566"/>
      <c r="M337" s="566"/>
      <c r="N337" s="566"/>
      <c r="O337" s="582"/>
      <c r="P337" s="562" t="s">
        <v>75</v>
      </c>
      <c r="Q337" s="563"/>
      <c r="R337" s="563"/>
      <c r="S337" s="563"/>
      <c r="T337" s="563"/>
      <c r="U337" s="563"/>
      <c r="V337" s="564"/>
      <c r="W337" s="37" t="s">
        <v>76</v>
      </c>
      <c r="X337" s="551">
        <f>IFERROR(X334/H334,"0")+IFERROR(X335/H335,"0")+IFERROR(X336/H336,"0")</f>
        <v>10.5</v>
      </c>
      <c r="Y337" s="551">
        <f>IFERROR(Y334/H334,"0")+IFERROR(Y335/H335,"0")+IFERROR(Y336/H336,"0")</f>
        <v>11</v>
      </c>
      <c r="Z337" s="551">
        <f>IFERROR(IF(Z334="",0,Z334),"0")+IFERROR(IF(Z335="",0,Z335),"0")+IFERROR(IF(Z336="",0,Z336),"0")</f>
        <v>5.2140000000000006E-2</v>
      </c>
      <c r="AA337" s="552"/>
      <c r="AB337" s="552"/>
      <c r="AC337" s="552"/>
    </row>
    <row r="338" spans="1:68" x14ac:dyDescent="0.2">
      <c r="A338" s="566"/>
      <c r="B338" s="566"/>
      <c r="C338" s="566"/>
      <c r="D338" s="566"/>
      <c r="E338" s="566"/>
      <c r="F338" s="566"/>
      <c r="G338" s="566"/>
      <c r="H338" s="566"/>
      <c r="I338" s="566"/>
      <c r="J338" s="566"/>
      <c r="K338" s="566"/>
      <c r="L338" s="566"/>
      <c r="M338" s="566"/>
      <c r="N338" s="566"/>
      <c r="O338" s="582"/>
      <c r="P338" s="562" t="s">
        <v>75</v>
      </c>
      <c r="Q338" s="563"/>
      <c r="R338" s="563"/>
      <c r="S338" s="563"/>
      <c r="T338" s="563"/>
      <c r="U338" s="563"/>
      <c r="V338" s="564"/>
      <c r="W338" s="37" t="s">
        <v>69</v>
      </c>
      <c r="X338" s="551">
        <f>IFERROR(SUM(X334:X336),"0")</f>
        <v>21</v>
      </c>
      <c r="Y338" s="551">
        <f>IFERROR(SUM(Y334:Y336),"0")</f>
        <v>22</v>
      </c>
      <c r="Z338" s="37"/>
      <c r="AA338" s="552"/>
      <c r="AB338" s="552"/>
      <c r="AC338" s="552"/>
    </row>
    <row r="339" spans="1:68" ht="16.5" hidden="1" customHeight="1" x14ac:dyDescent="0.25">
      <c r="A339" s="565" t="s">
        <v>543</v>
      </c>
      <c r="B339" s="566"/>
      <c r="C339" s="566"/>
      <c r="D339" s="566"/>
      <c r="E339" s="566"/>
      <c r="F339" s="566"/>
      <c r="G339" s="566"/>
      <c r="H339" s="566"/>
      <c r="I339" s="566"/>
      <c r="J339" s="566"/>
      <c r="K339" s="566"/>
      <c r="L339" s="566"/>
      <c r="M339" s="566"/>
      <c r="N339" s="566"/>
      <c r="O339" s="566"/>
      <c r="P339" s="566"/>
      <c r="Q339" s="566"/>
      <c r="R339" s="566"/>
      <c r="S339" s="566"/>
      <c r="T339" s="566"/>
      <c r="U339" s="566"/>
      <c r="V339" s="566"/>
      <c r="W339" s="566"/>
      <c r="X339" s="566"/>
      <c r="Y339" s="566"/>
      <c r="Z339" s="566"/>
      <c r="AA339" s="544"/>
      <c r="AB339" s="544"/>
      <c r="AC339" s="544"/>
    </row>
    <row r="340" spans="1:68" ht="14.25" hidden="1" customHeight="1" x14ac:dyDescent="0.25">
      <c r="A340" s="567" t="s">
        <v>77</v>
      </c>
      <c r="B340" s="566"/>
      <c r="C340" s="566"/>
      <c r="D340" s="566"/>
      <c r="E340" s="566"/>
      <c r="F340" s="566"/>
      <c r="G340" s="566"/>
      <c r="H340" s="566"/>
      <c r="I340" s="566"/>
      <c r="J340" s="566"/>
      <c r="K340" s="566"/>
      <c r="L340" s="566"/>
      <c r="M340" s="566"/>
      <c r="N340" s="566"/>
      <c r="O340" s="566"/>
      <c r="P340" s="566"/>
      <c r="Q340" s="566"/>
      <c r="R340" s="566"/>
      <c r="S340" s="566"/>
      <c r="T340" s="566"/>
      <c r="U340" s="566"/>
      <c r="V340" s="566"/>
      <c r="W340" s="566"/>
      <c r="X340" s="566"/>
      <c r="Y340" s="566"/>
      <c r="Z340" s="566"/>
      <c r="AA340" s="545"/>
      <c r="AB340" s="545"/>
      <c r="AC340" s="545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8">
        <v>4607091387919</v>
      </c>
      <c r="E341" s="559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 t="s">
        <v>103</v>
      </c>
      <c r="M341" s="33" t="s">
        <v>86</v>
      </c>
      <c r="N341" s="33"/>
      <c r="O341" s="32">
        <v>45</v>
      </c>
      <c r="P341" s="79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4301051461</v>
      </c>
      <c r="D342" s="558">
        <v>4680115883604</v>
      </c>
      <c r="E342" s="559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/>
      <c r="M342" s="33" t="s">
        <v>80</v>
      </c>
      <c r="N342" s="33"/>
      <c r="O342" s="32">
        <v>45</v>
      </c>
      <c r="P342" s="84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4301051864</v>
      </c>
      <c r="D343" s="558">
        <v>4680115883567</v>
      </c>
      <c r="E343" s="559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/>
      <c r="M343" s="33" t="s">
        <v>86</v>
      </c>
      <c r="N343" s="33"/>
      <c r="O343" s="32">
        <v>40</v>
      </c>
      <c r="P343" s="77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81"/>
      <c r="B344" s="566"/>
      <c r="C344" s="566"/>
      <c r="D344" s="566"/>
      <c r="E344" s="566"/>
      <c r="F344" s="566"/>
      <c r="G344" s="566"/>
      <c r="H344" s="566"/>
      <c r="I344" s="566"/>
      <c r="J344" s="566"/>
      <c r="K344" s="566"/>
      <c r="L344" s="566"/>
      <c r="M344" s="566"/>
      <c r="N344" s="566"/>
      <c r="O344" s="582"/>
      <c r="P344" s="562" t="s">
        <v>75</v>
      </c>
      <c r="Q344" s="563"/>
      <c r="R344" s="563"/>
      <c r="S344" s="563"/>
      <c r="T344" s="563"/>
      <c r="U344" s="563"/>
      <c r="V344" s="564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hidden="1" x14ac:dyDescent="0.2">
      <c r="A345" s="566"/>
      <c r="B345" s="566"/>
      <c r="C345" s="566"/>
      <c r="D345" s="566"/>
      <c r="E345" s="566"/>
      <c r="F345" s="566"/>
      <c r="G345" s="566"/>
      <c r="H345" s="566"/>
      <c r="I345" s="566"/>
      <c r="J345" s="566"/>
      <c r="K345" s="566"/>
      <c r="L345" s="566"/>
      <c r="M345" s="566"/>
      <c r="N345" s="566"/>
      <c r="O345" s="582"/>
      <c r="P345" s="562" t="s">
        <v>75</v>
      </c>
      <c r="Q345" s="563"/>
      <c r="R345" s="563"/>
      <c r="S345" s="563"/>
      <c r="T345" s="563"/>
      <c r="U345" s="563"/>
      <c r="V345" s="564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hidden="1" customHeight="1" x14ac:dyDescent="0.2">
      <c r="A346" s="661" t="s">
        <v>553</v>
      </c>
      <c r="B346" s="662"/>
      <c r="C346" s="662"/>
      <c r="D346" s="662"/>
      <c r="E346" s="662"/>
      <c r="F346" s="662"/>
      <c r="G346" s="662"/>
      <c r="H346" s="662"/>
      <c r="I346" s="662"/>
      <c r="J346" s="662"/>
      <c r="K346" s="662"/>
      <c r="L346" s="662"/>
      <c r="M346" s="662"/>
      <c r="N346" s="662"/>
      <c r="O346" s="662"/>
      <c r="P346" s="662"/>
      <c r="Q346" s="662"/>
      <c r="R346" s="662"/>
      <c r="S346" s="662"/>
      <c r="T346" s="662"/>
      <c r="U346" s="662"/>
      <c r="V346" s="662"/>
      <c r="W346" s="662"/>
      <c r="X346" s="662"/>
      <c r="Y346" s="662"/>
      <c r="Z346" s="662"/>
      <c r="AA346" s="48"/>
      <c r="AB346" s="48"/>
      <c r="AC346" s="48"/>
    </row>
    <row r="347" spans="1:68" ht="16.5" hidden="1" customHeight="1" x14ac:dyDescent="0.25">
      <c r="A347" s="565" t="s">
        <v>554</v>
      </c>
      <c r="B347" s="566"/>
      <c r="C347" s="566"/>
      <c r="D347" s="566"/>
      <c r="E347" s="566"/>
      <c r="F347" s="566"/>
      <c r="G347" s="566"/>
      <c r="H347" s="566"/>
      <c r="I347" s="566"/>
      <c r="J347" s="566"/>
      <c r="K347" s="566"/>
      <c r="L347" s="566"/>
      <c r="M347" s="566"/>
      <c r="N347" s="566"/>
      <c r="O347" s="566"/>
      <c r="P347" s="566"/>
      <c r="Q347" s="566"/>
      <c r="R347" s="566"/>
      <c r="S347" s="566"/>
      <c r="T347" s="566"/>
      <c r="U347" s="566"/>
      <c r="V347" s="566"/>
      <c r="W347" s="566"/>
      <c r="X347" s="566"/>
      <c r="Y347" s="566"/>
      <c r="Z347" s="566"/>
      <c r="AA347" s="544"/>
      <c r="AB347" s="544"/>
      <c r="AC347" s="544"/>
    </row>
    <row r="348" spans="1:68" ht="14.25" hidden="1" customHeight="1" x14ac:dyDescent="0.25">
      <c r="A348" s="567" t="s">
        <v>99</v>
      </c>
      <c r="B348" s="566"/>
      <c r="C348" s="566"/>
      <c r="D348" s="566"/>
      <c r="E348" s="566"/>
      <c r="F348" s="566"/>
      <c r="G348" s="566"/>
      <c r="H348" s="566"/>
      <c r="I348" s="566"/>
      <c r="J348" s="566"/>
      <c r="K348" s="566"/>
      <c r="L348" s="566"/>
      <c r="M348" s="566"/>
      <c r="N348" s="566"/>
      <c r="O348" s="566"/>
      <c r="P348" s="566"/>
      <c r="Q348" s="566"/>
      <c r="R348" s="566"/>
      <c r="S348" s="566"/>
      <c r="T348" s="566"/>
      <c r="U348" s="566"/>
      <c r="V348" s="566"/>
      <c r="W348" s="566"/>
      <c r="X348" s="566"/>
      <c r="Y348" s="566"/>
      <c r="Z348" s="566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8">
        <v>4680115884847</v>
      </c>
      <c r="E349" s="559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3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1208</v>
      </c>
      <c r="Y349" s="550">
        <f t="shared" ref="Y349:Y355" si="36">IFERROR(IF(X349="",0,CEILING((X349/$H349),1)*$H349),"")</f>
        <v>1215</v>
      </c>
      <c r="Z349" s="36">
        <f>IFERROR(IF(Y349=0,"",ROUNDUP(Y349/H349,0)*0.02175),"")</f>
        <v>1.7617499999999999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1245.8506666666667</v>
      </c>
      <c r="BN349" s="64">
        <f t="shared" ref="BN349:BN355" si="38">IFERROR(Y349*I349/H349,"0")</f>
        <v>1253.07</v>
      </c>
      <c r="BO349" s="64">
        <f t="shared" ref="BO349:BO355" si="39">IFERROR(1/J349*(X349/H349),"0")</f>
        <v>1.6777777777777776</v>
      </c>
      <c r="BP349" s="64">
        <f t="shared" ref="BP349:BP355" si="40">IFERROR(1/J349*(Y349/H349),"0")</f>
        <v>1.6875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8">
        <v>4680115884854</v>
      </c>
      <c r="E350" s="559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8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548</v>
      </c>
      <c r="Y350" s="550">
        <f t="shared" si="36"/>
        <v>555</v>
      </c>
      <c r="Z350" s="36">
        <f>IFERROR(IF(Y350=0,"",ROUNDUP(Y350/H350,0)*0.02175),"")</f>
        <v>0.80474999999999997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565.17066666666665</v>
      </c>
      <c r="BN350" s="64">
        <f t="shared" si="38"/>
        <v>572.39</v>
      </c>
      <c r="BO350" s="64">
        <f t="shared" si="39"/>
        <v>0.76111111111111107</v>
      </c>
      <c r="BP350" s="64">
        <f t="shared" si="40"/>
        <v>0.77083333333333326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4301012215</v>
      </c>
      <c r="D351" s="558">
        <v>4680115887046</v>
      </c>
      <c r="E351" s="559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70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hidden="1" customHeight="1" x14ac:dyDescent="0.25">
      <c r="A352" s="54" t="s">
        <v>564</v>
      </c>
      <c r="B352" s="54" t="s">
        <v>565</v>
      </c>
      <c r="C352" s="31">
        <v>4301011867</v>
      </c>
      <c r="D352" s="558">
        <v>4680115884830</v>
      </c>
      <c r="E352" s="559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 t="s">
        <v>103</v>
      </c>
      <c r="M352" s="33" t="s">
        <v>68</v>
      </c>
      <c r="N352" s="33"/>
      <c r="O352" s="32">
        <v>60</v>
      </c>
      <c r="P352" s="6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 t="s">
        <v>106</v>
      </c>
      <c r="AK352" s="68">
        <v>120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8">
        <v>4680115882638</v>
      </c>
      <c r="E353" s="559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8">
        <v>4680115884922</v>
      </c>
      <c r="E354" s="559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8">
        <v>4680115884861</v>
      </c>
      <c r="E355" s="559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81"/>
      <c r="B356" s="566"/>
      <c r="C356" s="566"/>
      <c r="D356" s="566"/>
      <c r="E356" s="566"/>
      <c r="F356" s="566"/>
      <c r="G356" s="566"/>
      <c r="H356" s="566"/>
      <c r="I356" s="566"/>
      <c r="J356" s="566"/>
      <c r="K356" s="566"/>
      <c r="L356" s="566"/>
      <c r="M356" s="566"/>
      <c r="N356" s="566"/>
      <c r="O356" s="582"/>
      <c r="P356" s="562" t="s">
        <v>75</v>
      </c>
      <c r="Q356" s="563"/>
      <c r="R356" s="563"/>
      <c r="S356" s="563"/>
      <c r="T356" s="563"/>
      <c r="U356" s="563"/>
      <c r="V356" s="564"/>
      <c r="W356" s="37" t="s">
        <v>76</v>
      </c>
      <c r="X356" s="551">
        <f>IFERROR(X349/H349,"0")+IFERROR(X350/H350,"0")+IFERROR(X351/H351,"0")+IFERROR(X352/H352,"0")+IFERROR(X353/H353,"0")+IFERROR(X354/H354,"0")+IFERROR(X355/H355,"0")</f>
        <v>117.06666666666666</v>
      </c>
      <c r="Y356" s="551">
        <f>IFERROR(Y349/H349,"0")+IFERROR(Y350/H350,"0")+IFERROR(Y351/H351,"0")+IFERROR(Y352/H352,"0")+IFERROR(Y353/H353,"0")+IFERROR(Y354/H354,"0")+IFERROR(Y355/H355,"0")</f>
        <v>118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2.5665</v>
      </c>
      <c r="AA356" s="552"/>
      <c r="AB356" s="552"/>
      <c r="AC356" s="552"/>
    </row>
    <row r="357" spans="1:68" x14ac:dyDescent="0.2">
      <c r="A357" s="566"/>
      <c r="B357" s="566"/>
      <c r="C357" s="566"/>
      <c r="D357" s="566"/>
      <c r="E357" s="566"/>
      <c r="F357" s="566"/>
      <c r="G357" s="566"/>
      <c r="H357" s="566"/>
      <c r="I357" s="566"/>
      <c r="J357" s="566"/>
      <c r="K357" s="566"/>
      <c r="L357" s="566"/>
      <c r="M357" s="566"/>
      <c r="N357" s="566"/>
      <c r="O357" s="582"/>
      <c r="P357" s="562" t="s">
        <v>75</v>
      </c>
      <c r="Q357" s="563"/>
      <c r="R357" s="563"/>
      <c r="S357" s="563"/>
      <c r="T357" s="563"/>
      <c r="U357" s="563"/>
      <c r="V357" s="564"/>
      <c r="W357" s="37" t="s">
        <v>69</v>
      </c>
      <c r="X357" s="551">
        <f>IFERROR(SUM(X349:X355),"0")</f>
        <v>1756</v>
      </c>
      <c r="Y357" s="551">
        <f>IFERROR(SUM(Y349:Y355),"0")</f>
        <v>1770</v>
      </c>
      <c r="Z357" s="37"/>
      <c r="AA357" s="552"/>
      <c r="AB357" s="552"/>
      <c r="AC357" s="552"/>
    </row>
    <row r="358" spans="1:68" ht="14.25" hidden="1" customHeight="1" x14ac:dyDescent="0.25">
      <c r="A358" s="567" t="s">
        <v>135</v>
      </c>
      <c r="B358" s="566"/>
      <c r="C358" s="566"/>
      <c r="D358" s="566"/>
      <c r="E358" s="566"/>
      <c r="F358" s="566"/>
      <c r="G358" s="566"/>
      <c r="H358" s="566"/>
      <c r="I358" s="566"/>
      <c r="J358" s="566"/>
      <c r="K358" s="566"/>
      <c r="L358" s="566"/>
      <c r="M358" s="566"/>
      <c r="N358" s="566"/>
      <c r="O358" s="566"/>
      <c r="P358" s="566"/>
      <c r="Q358" s="566"/>
      <c r="R358" s="566"/>
      <c r="S358" s="566"/>
      <c r="T358" s="566"/>
      <c r="U358" s="566"/>
      <c r="V358" s="566"/>
      <c r="W358" s="566"/>
      <c r="X358" s="566"/>
      <c r="Y358" s="566"/>
      <c r="Z358" s="566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8">
        <v>4607091383980</v>
      </c>
      <c r="E359" s="559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7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1511</v>
      </c>
      <c r="Y359" s="550">
        <f>IFERROR(IF(X359="",0,CEILING((X359/$H359),1)*$H359),"")</f>
        <v>1515</v>
      </c>
      <c r="Z359" s="36">
        <f>IFERROR(IF(Y359=0,"",ROUNDUP(Y359/H359,0)*0.02175),"")</f>
        <v>2.1967499999999998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1558.3446666666669</v>
      </c>
      <c r="BN359" s="64">
        <f>IFERROR(Y359*I359/H359,"0")</f>
        <v>1562.47</v>
      </c>
      <c r="BO359" s="64">
        <f>IFERROR(1/J359*(X359/H359),"0")</f>
        <v>2.098611111111111</v>
      </c>
      <c r="BP359" s="64">
        <f>IFERROR(1/J359*(Y359/H359),"0")</f>
        <v>2.1041666666666665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8">
        <v>4607091384178</v>
      </c>
      <c r="E360" s="559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81"/>
      <c r="B361" s="566"/>
      <c r="C361" s="566"/>
      <c r="D361" s="566"/>
      <c r="E361" s="566"/>
      <c r="F361" s="566"/>
      <c r="G361" s="566"/>
      <c r="H361" s="566"/>
      <c r="I361" s="566"/>
      <c r="J361" s="566"/>
      <c r="K361" s="566"/>
      <c r="L361" s="566"/>
      <c r="M361" s="566"/>
      <c r="N361" s="566"/>
      <c r="O361" s="582"/>
      <c r="P361" s="562" t="s">
        <v>75</v>
      </c>
      <c r="Q361" s="563"/>
      <c r="R361" s="563"/>
      <c r="S361" s="563"/>
      <c r="T361" s="563"/>
      <c r="U361" s="563"/>
      <c r="V361" s="564"/>
      <c r="W361" s="37" t="s">
        <v>76</v>
      </c>
      <c r="X361" s="551">
        <f>IFERROR(X359/H359,"0")+IFERROR(X360/H360,"0")</f>
        <v>100.73333333333333</v>
      </c>
      <c r="Y361" s="551">
        <f>IFERROR(Y359/H359,"0")+IFERROR(Y360/H360,"0")</f>
        <v>101</v>
      </c>
      <c r="Z361" s="551">
        <f>IFERROR(IF(Z359="",0,Z359),"0")+IFERROR(IF(Z360="",0,Z360),"0")</f>
        <v>2.1967499999999998</v>
      </c>
      <c r="AA361" s="552"/>
      <c r="AB361" s="552"/>
      <c r="AC361" s="552"/>
    </row>
    <row r="362" spans="1:68" x14ac:dyDescent="0.2">
      <c r="A362" s="566"/>
      <c r="B362" s="566"/>
      <c r="C362" s="566"/>
      <c r="D362" s="566"/>
      <c r="E362" s="566"/>
      <c r="F362" s="566"/>
      <c r="G362" s="566"/>
      <c r="H362" s="566"/>
      <c r="I362" s="566"/>
      <c r="J362" s="566"/>
      <c r="K362" s="566"/>
      <c r="L362" s="566"/>
      <c r="M362" s="566"/>
      <c r="N362" s="566"/>
      <c r="O362" s="582"/>
      <c r="P362" s="562" t="s">
        <v>75</v>
      </c>
      <c r="Q362" s="563"/>
      <c r="R362" s="563"/>
      <c r="S362" s="563"/>
      <c r="T362" s="563"/>
      <c r="U362" s="563"/>
      <c r="V362" s="564"/>
      <c r="W362" s="37" t="s">
        <v>69</v>
      </c>
      <c r="X362" s="551">
        <f>IFERROR(SUM(X359:X360),"0")</f>
        <v>1511</v>
      </c>
      <c r="Y362" s="551">
        <f>IFERROR(SUM(Y359:Y360),"0")</f>
        <v>1515</v>
      </c>
      <c r="Z362" s="37"/>
      <c r="AA362" s="552"/>
      <c r="AB362" s="552"/>
      <c r="AC362" s="552"/>
    </row>
    <row r="363" spans="1:68" ht="14.25" hidden="1" customHeight="1" x14ac:dyDescent="0.25">
      <c r="A363" s="567" t="s">
        <v>77</v>
      </c>
      <c r="B363" s="566"/>
      <c r="C363" s="566"/>
      <c r="D363" s="566"/>
      <c r="E363" s="566"/>
      <c r="F363" s="566"/>
      <c r="G363" s="566"/>
      <c r="H363" s="566"/>
      <c r="I363" s="566"/>
      <c r="J363" s="566"/>
      <c r="K363" s="566"/>
      <c r="L363" s="566"/>
      <c r="M363" s="566"/>
      <c r="N363" s="566"/>
      <c r="O363" s="566"/>
      <c r="P363" s="566"/>
      <c r="Q363" s="566"/>
      <c r="R363" s="566"/>
      <c r="S363" s="566"/>
      <c r="T363" s="566"/>
      <c r="U363" s="566"/>
      <c r="V363" s="566"/>
      <c r="W363" s="566"/>
      <c r="X363" s="566"/>
      <c r="Y363" s="566"/>
      <c r="Z363" s="566"/>
      <c r="AA363" s="545"/>
      <c r="AB363" s="545"/>
      <c r="AC363" s="545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8">
        <v>4607091383928</v>
      </c>
      <c r="E364" s="559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583</v>
      </c>
      <c r="B365" s="54" t="s">
        <v>584</v>
      </c>
      <c r="C365" s="31">
        <v>4301051897</v>
      </c>
      <c r="D365" s="558">
        <v>4607091384260</v>
      </c>
      <c r="E365" s="559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81"/>
      <c r="B366" s="566"/>
      <c r="C366" s="566"/>
      <c r="D366" s="566"/>
      <c r="E366" s="566"/>
      <c r="F366" s="566"/>
      <c r="G366" s="566"/>
      <c r="H366" s="566"/>
      <c r="I366" s="566"/>
      <c r="J366" s="566"/>
      <c r="K366" s="566"/>
      <c r="L366" s="566"/>
      <c r="M366" s="566"/>
      <c r="N366" s="566"/>
      <c r="O366" s="582"/>
      <c r="P366" s="562" t="s">
        <v>75</v>
      </c>
      <c r="Q366" s="563"/>
      <c r="R366" s="563"/>
      <c r="S366" s="563"/>
      <c r="T366" s="563"/>
      <c r="U366" s="563"/>
      <c r="V366" s="564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hidden="1" x14ac:dyDescent="0.2">
      <c r="A367" s="566"/>
      <c r="B367" s="566"/>
      <c r="C367" s="566"/>
      <c r="D367" s="566"/>
      <c r="E367" s="566"/>
      <c r="F367" s="566"/>
      <c r="G367" s="566"/>
      <c r="H367" s="566"/>
      <c r="I367" s="566"/>
      <c r="J367" s="566"/>
      <c r="K367" s="566"/>
      <c r="L367" s="566"/>
      <c r="M367" s="566"/>
      <c r="N367" s="566"/>
      <c r="O367" s="582"/>
      <c r="P367" s="562" t="s">
        <v>75</v>
      </c>
      <c r="Q367" s="563"/>
      <c r="R367" s="563"/>
      <c r="S367" s="563"/>
      <c r="T367" s="563"/>
      <c r="U367" s="563"/>
      <c r="V367" s="564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hidden="1" customHeight="1" x14ac:dyDescent="0.25">
      <c r="A368" s="567" t="s">
        <v>160</v>
      </c>
      <c r="B368" s="566"/>
      <c r="C368" s="566"/>
      <c r="D368" s="566"/>
      <c r="E368" s="566"/>
      <c r="F368" s="566"/>
      <c r="G368" s="566"/>
      <c r="H368" s="566"/>
      <c r="I368" s="566"/>
      <c r="J368" s="566"/>
      <c r="K368" s="566"/>
      <c r="L368" s="566"/>
      <c r="M368" s="566"/>
      <c r="N368" s="566"/>
      <c r="O368" s="566"/>
      <c r="P368" s="566"/>
      <c r="Q368" s="566"/>
      <c r="R368" s="566"/>
      <c r="S368" s="566"/>
      <c r="T368" s="566"/>
      <c r="U368" s="566"/>
      <c r="V368" s="566"/>
      <c r="W368" s="566"/>
      <c r="X368" s="566"/>
      <c r="Y368" s="566"/>
      <c r="Z368" s="566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8">
        <v>4607091384673</v>
      </c>
      <c r="E369" s="559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45</v>
      </c>
      <c r="Y369" s="550">
        <f>IFERROR(IF(X369="",0,CEILING((X369/$H369),1)*$H369),"")</f>
        <v>45</v>
      </c>
      <c r="Z369" s="36">
        <f>IFERROR(IF(Y369=0,"",ROUNDUP(Y369/H369,0)*0.01898),"")</f>
        <v>9.4899999999999998E-2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47.47</v>
      </c>
      <c r="BN369" s="64">
        <f>IFERROR(Y369*I369/H369,"0")</f>
        <v>47.47</v>
      </c>
      <c r="BO369" s="64">
        <f>IFERROR(1/J369*(X369/H369),"0")</f>
        <v>7.8125E-2</v>
      </c>
      <c r="BP369" s="64">
        <f>IFERROR(1/J369*(Y369/H369),"0")</f>
        <v>7.8125E-2</v>
      </c>
    </row>
    <row r="370" spans="1:68" x14ac:dyDescent="0.2">
      <c r="A370" s="581"/>
      <c r="B370" s="566"/>
      <c r="C370" s="566"/>
      <c r="D370" s="566"/>
      <c r="E370" s="566"/>
      <c r="F370" s="566"/>
      <c r="G370" s="566"/>
      <c r="H370" s="566"/>
      <c r="I370" s="566"/>
      <c r="J370" s="566"/>
      <c r="K370" s="566"/>
      <c r="L370" s="566"/>
      <c r="M370" s="566"/>
      <c r="N370" s="566"/>
      <c r="O370" s="582"/>
      <c r="P370" s="562" t="s">
        <v>75</v>
      </c>
      <c r="Q370" s="563"/>
      <c r="R370" s="563"/>
      <c r="S370" s="563"/>
      <c r="T370" s="563"/>
      <c r="U370" s="563"/>
      <c r="V370" s="564"/>
      <c r="W370" s="37" t="s">
        <v>76</v>
      </c>
      <c r="X370" s="551">
        <f>IFERROR(X369/H369,"0")</f>
        <v>5</v>
      </c>
      <c r="Y370" s="551">
        <f>IFERROR(Y369/H369,"0")</f>
        <v>5</v>
      </c>
      <c r="Z370" s="551">
        <f>IFERROR(IF(Z369="",0,Z369),"0")</f>
        <v>9.4899999999999998E-2</v>
      </c>
      <c r="AA370" s="552"/>
      <c r="AB370" s="552"/>
      <c r="AC370" s="552"/>
    </row>
    <row r="371" spans="1:68" x14ac:dyDescent="0.2">
      <c r="A371" s="566"/>
      <c r="B371" s="566"/>
      <c r="C371" s="566"/>
      <c r="D371" s="566"/>
      <c r="E371" s="566"/>
      <c r="F371" s="566"/>
      <c r="G371" s="566"/>
      <c r="H371" s="566"/>
      <c r="I371" s="566"/>
      <c r="J371" s="566"/>
      <c r="K371" s="566"/>
      <c r="L371" s="566"/>
      <c r="M371" s="566"/>
      <c r="N371" s="566"/>
      <c r="O371" s="582"/>
      <c r="P371" s="562" t="s">
        <v>75</v>
      </c>
      <c r="Q371" s="563"/>
      <c r="R371" s="563"/>
      <c r="S371" s="563"/>
      <c r="T371" s="563"/>
      <c r="U371" s="563"/>
      <c r="V371" s="564"/>
      <c r="W371" s="37" t="s">
        <v>69</v>
      </c>
      <c r="X371" s="551">
        <f>IFERROR(SUM(X369:X369),"0")</f>
        <v>45</v>
      </c>
      <c r="Y371" s="551">
        <f>IFERROR(SUM(Y369:Y369),"0")</f>
        <v>45</v>
      </c>
      <c r="Z371" s="37"/>
      <c r="AA371" s="552"/>
      <c r="AB371" s="552"/>
      <c r="AC371" s="552"/>
    </row>
    <row r="372" spans="1:68" ht="16.5" hidden="1" customHeight="1" x14ac:dyDescent="0.25">
      <c r="A372" s="565" t="s">
        <v>589</v>
      </c>
      <c r="B372" s="566"/>
      <c r="C372" s="566"/>
      <c r="D372" s="566"/>
      <c r="E372" s="566"/>
      <c r="F372" s="566"/>
      <c r="G372" s="566"/>
      <c r="H372" s="566"/>
      <c r="I372" s="566"/>
      <c r="J372" s="566"/>
      <c r="K372" s="566"/>
      <c r="L372" s="566"/>
      <c r="M372" s="566"/>
      <c r="N372" s="566"/>
      <c r="O372" s="566"/>
      <c r="P372" s="566"/>
      <c r="Q372" s="566"/>
      <c r="R372" s="566"/>
      <c r="S372" s="566"/>
      <c r="T372" s="566"/>
      <c r="U372" s="566"/>
      <c r="V372" s="566"/>
      <c r="W372" s="566"/>
      <c r="X372" s="566"/>
      <c r="Y372" s="566"/>
      <c r="Z372" s="566"/>
      <c r="AA372" s="544"/>
      <c r="AB372" s="544"/>
      <c r="AC372" s="544"/>
    </row>
    <row r="373" spans="1:68" ht="14.25" hidden="1" customHeight="1" x14ac:dyDescent="0.25">
      <c r="A373" s="567" t="s">
        <v>99</v>
      </c>
      <c r="B373" s="566"/>
      <c r="C373" s="566"/>
      <c r="D373" s="566"/>
      <c r="E373" s="566"/>
      <c r="F373" s="566"/>
      <c r="G373" s="566"/>
      <c r="H373" s="566"/>
      <c r="I373" s="566"/>
      <c r="J373" s="566"/>
      <c r="K373" s="566"/>
      <c r="L373" s="566"/>
      <c r="M373" s="566"/>
      <c r="N373" s="566"/>
      <c r="O373" s="566"/>
      <c r="P373" s="566"/>
      <c r="Q373" s="566"/>
      <c r="R373" s="566"/>
      <c r="S373" s="566"/>
      <c r="T373" s="566"/>
      <c r="U373" s="566"/>
      <c r="V373" s="566"/>
      <c r="W373" s="566"/>
      <c r="X373" s="566"/>
      <c r="Y373" s="566"/>
      <c r="Z373" s="566"/>
      <c r="AA373" s="545"/>
      <c r="AB373" s="545"/>
      <c r="AC373" s="545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8">
        <v>4680115884885</v>
      </c>
      <c r="E374" s="559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/>
      <c r="M374" s="33" t="s">
        <v>68</v>
      </c>
      <c r="N374" s="33"/>
      <c r="O374" s="32">
        <v>60</v>
      </c>
      <c r="P374" s="7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8">
        <v>4680115884908</v>
      </c>
      <c r="E375" s="559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81"/>
      <c r="B376" s="566"/>
      <c r="C376" s="566"/>
      <c r="D376" s="566"/>
      <c r="E376" s="566"/>
      <c r="F376" s="566"/>
      <c r="G376" s="566"/>
      <c r="H376" s="566"/>
      <c r="I376" s="566"/>
      <c r="J376" s="566"/>
      <c r="K376" s="566"/>
      <c r="L376" s="566"/>
      <c r="M376" s="566"/>
      <c r="N376" s="566"/>
      <c r="O376" s="582"/>
      <c r="P376" s="562" t="s">
        <v>75</v>
      </c>
      <c r="Q376" s="563"/>
      <c r="R376" s="563"/>
      <c r="S376" s="563"/>
      <c r="T376" s="563"/>
      <c r="U376" s="563"/>
      <c r="V376" s="564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66"/>
      <c r="B377" s="566"/>
      <c r="C377" s="566"/>
      <c r="D377" s="566"/>
      <c r="E377" s="566"/>
      <c r="F377" s="566"/>
      <c r="G377" s="566"/>
      <c r="H377" s="566"/>
      <c r="I377" s="566"/>
      <c r="J377" s="566"/>
      <c r="K377" s="566"/>
      <c r="L377" s="566"/>
      <c r="M377" s="566"/>
      <c r="N377" s="566"/>
      <c r="O377" s="582"/>
      <c r="P377" s="562" t="s">
        <v>75</v>
      </c>
      <c r="Q377" s="563"/>
      <c r="R377" s="563"/>
      <c r="S377" s="563"/>
      <c r="T377" s="563"/>
      <c r="U377" s="563"/>
      <c r="V377" s="564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67" t="s">
        <v>64</v>
      </c>
      <c r="B378" s="566"/>
      <c r="C378" s="566"/>
      <c r="D378" s="566"/>
      <c r="E378" s="566"/>
      <c r="F378" s="566"/>
      <c r="G378" s="566"/>
      <c r="H378" s="566"/>
      <c r="I378" s="566"/>
      <c r="J378" s="566"/>
      <c r="K378" s="566"/>
      <c r="L378" s="566"/>
      <c r="M378" s="566"/>
      <c r="N378" s="566"/>
      <c r="O378" s="566"/>
      <c r="P378" s="566"/>
      <c r="Q378" s="566"/>
      <c r="R378" s="566"/>
      <c r="S378" s="566"/>
      <c r="T378" s="566"/>
      <c r="U378" s="566"/>
      <c r="V378" s="566"/>
      <c r="W378" s="566"/>
      <c r="X378" s="566"/>
      <c r="Y378" s="566"/>
      <c r="Z378" s="566"/>
      <c r="AA378" s="545"/>
      <c r="AB378" s="545"/>
      <c r="AC378" s="545"/>
    </row>
    <row r="379" spans="1:68" ht="27" hidden="1" customHeight="1" x14ac:dyDescent="0.25">
      <c r="A379" s="54" t="s">
        <v>595</v>
      </c>
      <c r="B379" s="54" t="s">
        <v>596</v>
      </c>
      <c r="C379" s="31">
        <v>4301031457</v>
      </c>
      <c r="D379" s="558">
        <v>4607091384802</v>
      </c>
      <c r="E379" s="559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4301031303</v>
      </c>
      <c r="D380" s="558">
        <v>4607091384802</v>
      </c>
      <c r="E380" s="559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35</v>
      </c>
      <c r="P380" s="72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81"/>
      <c r="B381" s="566"/>
      <c r="C381" s="566"/>
      <c r="D381" s="566"/>
      <c r="E381" s="566"/>
      <c r="F381" s="566"/>
      <c r="G381" s="566"/>
      <c r="H381" s="566"/>
      <c r="I381" s="566"/>
      <c r="J381" s="566"/>
      <c r="K381" s="566"/>
      <c r="L381" s="566"/>
      <c r="M381" s="566"/>
      <c r="N381" s="566"/>
      <c r="O381" s="582"/>
      <c r="P381" s="562" t="s">
        <v>75</v>
      </c>
      <c r="Q381" s="563"/>
      <c r="R381" s="563"/>
      <c r="S381" s="563"/>
      <c r="T381" s="563"/>
      <c r="U381" s="563"/>
      <c r="V381" s="564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66"/>
      <c r="B382" s="566"/>
      <c r="C382" s="566"/>
      <c r="D382" s="566"/>
      <c r="E382" s="566"/>
      <c r="F382" s="566"/>
      <c r="G382" s="566"/>
      <c r="H382" s="566"/>
      <c r="I382" s="566"/>
      <c r="J382" s="566"/>
      <c r="K382" s="566"/>
      <c r="L382" s="566"/>
      <c r="M382" s="566"/>
      <c r="N382" s="566"/>
      <c r="O382" s="582"/>
      <c r="P382" s="562" t="s">
        <v>75</v>
      </c>
      <c r="Q382" s="563"/>
      <c r="R382" s="563"/>
      <c r="S382" s="563"/>
      <c r="T382" s="563"/>
      <c r="U382" s="563"/>
      <c r="V382" s="564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67" t="s">
        <v>77</v>
      </c>
      <c r="B383" s="566"/>
      <c r="C383" s="566"/>
      <c r="D383" s="566"/>
      <c r="E383" s="566"/>
      <c r="F383" s="566"/>
      <c r="G383" s="566"/>
      <c r="H383" s="566"/>
      <c r="I383" s="566"/>
      <c r="J383" s="566"/>
      <c r="K383" s="566"/>
      <c r="L383" s="566"/>
      <c r="M383" s="566"/>
      <c r="N383" s="566"/>
      <c r="O383" s="566"/>
      <c r="P383" s="566"/>
      <c r="Q383" s="566"/>
      <c r="R383" s="566"/>
      <c r="S383" s="566"/>
      <c r="T383" s="566"/>
      <c r="U383" s="566"/>
      <c r="V383" s="566"/>
      <c r="W383" s="566"/>
      <c r="X383" s="566"/>
      <c r="Y383" s="566"/>
      <c r="Z383" s="566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8">
        <v>4607091384246</v>
      </c>
      <c r="E384" s="559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257</v>
      </c>
      <c r="Y384" s="550">
        <f>IFERROR(IF(X384="",0,CEILING((X384/$H384),1)*$H384),"")</f>
        <v>261</v>
      </c>
      <c r="Z384" s="36">
        <f>IFERROR(IF(Y384=0,"",ROUNDUP(Y384/H384,0)*0.01898),"")</f>
        <v>0.55042000000000002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271.10644444444443</v>
      </c>
      <c r="BN384" s="64">
        <f>IFERROR(Y384*I384/H384,"0")</f>
        <v>275.32599999999996</v>
      </c>
      <c r="BO384" s="64">
        <f>IFERROR(1/J384*(X384/H384),"0")</f>
        <v>0.44618055555555558</v>
      </c>
      <c r="BP384" s="64">
        <f>IFERROR(1/J384*(Y384/H384),"0")</f>
        <v>0.453125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4301052069</v>
      </c>
      <c r="D385" s="558">
        <v>4607091384253</v>
      </c>
      <c r="E385" s="559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7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605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606</v>
      </c>
      <c r="C386" s="31">
        <v>4301051660</v>
      </c>
      <c r="D386" s="558">
        <v>4607091384253</v>
      </c>
      <c r="E386" s="559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 t="s">
        <v>213</v>
      </c>
      <c r="M386" s="33" t="s">
        <v>80</v>
      </c>
      <c r="N386" s="33"/>
      <c r="O386" s="32">
        <v>40</v>
      </c>
      <c r="P386" s="57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602</v>
      </c>
      <c r="AG386" s="64"/>
      <c r="AJ386" s="68" t="s">
        <v>106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81"/>
      <c r="B387" s="566"/>
      <c r="C387" s="566"/>
      <c r="D387" s="566"/>
      <c r="E387" s="566"/>
      <c r="F387" s="566"/>
      <c r="G387" s="566"/>
      <c r="H387" s="566"/>
      <c r="I387" s="566"/>
      <c r="J387" s="566"/>
      <c r="K387" s="566"/>
      <c r="L387" s="566"/>
      <c r="M387" s="566"/>
      <c r="N387" s="566"/>
      <c r="O387" s="582"/>
      <c r="P387" s="562" t="s">
        <v>75</v>
      </c>
      <c r="Q387" s="563"/>
      <c r="R387" s="563"/>
      <c r="S387" s="563"/>
      <c r="T387" s="563"/>
      <c r="U387" s="563"/>
      <c r="V387" s="564"/>
      <c r="W387" s="37" t="s">
        <v>76</v>
      </c>
      <c r="X387" s="551">
        <f>IFERROR(X384/H384,"0")+IFERROR(X385/H385,"0")+IFERROR(X386/H386,"0")</f>
        <v>28.555555555555557</v>
      </c>
      <c r="Y387" s="551">
        <f>IFERROR(Y384/H384,"0")+IFERROR(Y385/H385,"0")+IFERROR(Y386/H386,"0")</f>
        <v>29</v>
      </c>
      <c r="Z387" s="551">
        <f>IFERROR(IF(Z384="",0,Z384),"0")+IFERROR(IF(Z385="",0,Z385),"0")+IFERROR(IF(Z386="",0,Z386),"0")</f>
        <v>0.55042000000000002</v>
      </c>
      <c r="AA387" s="552"/>
      <c r="AB387" s="552"/>
      <c r="AC387" s="552"/>
    </row>
    <row r="388" spans="1:68" x14ac:dyDescent="0.2">
      <c r="A388" s="566"/>
      <c r="B388" s="566"/>
      <c r="C388" s="566"/>
      <c r="D388" s="566"/>
      <c r="E388" s="566"/>
      <c r="F388" s="566"/>
      <c r="G388" s="566"/>
      <c r="H388" s="566"/>
      <c r="I388" s="566"/>
      <c r="J388" s="566"/>
      <c r="K388" s="566"/>
      <c r="L388" s="566"/>
      <c r="M388" s="566"/>
      <c r="N388" s="566"/>
      <c r="O388" s="582"/>
      <c r="P388" s="562" t="s">
        <v>75</v>
      </c>
      <c r="Q388" s="563"/>
      <c r="R388" s="563"/>
      <c r="S388" s="563"/>
      <c r="T388" s="563"/>
      <c r="U388" s="563"/>
      <c r="V388" s="564"/>
      <c r="W388" s="37" t="s">
        <v>69</v>
      </c>
      <c r="X388" s="551">
        <f>IFERROR(SUM(X384:X386),"0")</f>
        <v>257</v>
      </c>
      <c r="Y388" s="551">
        <f>IFERROR(SUM(Y384:Y386),"0")</f>
        <v>261</v>
      </c>
      <c r="Z388" s="37"/>
      <c r="AA388" s="552"/>
      <c r="AB388" s="552"/>
      <c r="AC388" s="552"/>
    </row>
    <row r="389" spans="1:68" ht="27.75" hidden="1" customHeight="1" x14ac:dyDescent="0.2">
      <c r="A389" s="661" t="s">
        <v>607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48"/>
      <c r="AB389" s="48"/>
      <c r="AC389" s="48"/>
    </row>
    <row r="390" spans="1:68" ht="16.5" hidden="1" customHeight="1" x14ac:dyDescent="0.25">
      <c r="A390" s="565" t="s">
        <v>608</v>
      </c>
      <c r="B390" s="566"/>
      <c r="C390" s="566"/>
      <c r="D390" s="566"/>
      <c r="E390" s="566"/>
      <c r="F390" s="566"/>
      <c r="G390" s="566"/>
      <c r="H390" s="566"/>
      <c r="I390" s="566"/>
      <c r="J390" s="566"/>
      <c r="K390" s="566"/>
      <c r="L390" s="566"/>
      <c r="M390" s="566"/>
      <c r="N390" s="566"/>
      <c r="O390" s="566"/>
      <c r="P390" s="566"/>
      <c r="Q390" s="566"/>
      <c r="R390" s="566"/>
      <c r="S390" s="566"/>
      <c r="T390" s="566"/>
      <c r="U390" s="566"/>
      <c r="V390" s="566"/>
      <c r="W390" s="566"/>
      <c r="X390" s="566"/>
      <c r="Y390" s="566"/>
      <c r="Z390" s="566"/>
      <c r="AA390" s="544"/>
      <c r="AB390" s="544"/>
      <c r="AC390" s="544"/>
    </row>
    <row r="391" spans="1:68" ht="14.25" hidden="1" customHeight="1" x14ac:dyDescent="0.25">
      <c r="A391" s="567" t="s">
        <v>64</v>
      </c>
      <c r="B391" s="566"/>
      <c r="C391" s="566"/>
      <c r="D391" s="566"/>
      <c r="E391" s="566"/>
      <c r="F391" s="566"/>
      <c r="G391" s="566"/>
      <c r="H391" s="566"/>
      <c r="I391" s="566"/>
      <c r="J391" s="566"/>
      <c r="K391" s="566"/>
      <c r="L391" s="566"/>
      <c r="M391" s="566"/>
      <c r="N391" s="566"/>
      <c r="O391" s="566"/>
      <c r="P391" s="566"/>
      <c r="Q391" s="566"/>
      <c r="R391" s="566"/>
      <c r="S391" s="566"/>
      <c r="T391" s="566"/>
      <c r="U391" s="566"/>
      <c r="V391" s="566"/>
      <c r="W391" s="566"/>
      <c r="X391" s="566"/>
      <c r="Y391" s="566"/>
      <c r="Z391" s="566"/>
      <c r="AA391" s="545"/>
      <c r="AB391" s="545"/>
      <c r="AC391" s="545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8">
        <v>4680115886100</v>
      </c>
      <c r="E392" s="559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8">
        <v>4680115886117</v>
      </c>
      <c r="E393" s="559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8">
        <v>4680115886124</v>
      </c>
      <c r="E394" s="559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8">
        <v>4680115883147</v>
      </c>
      <c r="E395" s="559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6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8">
        <v>4607091384338</v>
      </c>
      <c r="E396" s="559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8">
        <v>4607091389524</v>
      </c>
      <c r="E397" s="559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8">
        <v>4680115883161</v>
      </c>
      <c r="E398" s="559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8">
        <v>4607091389531</v>
      </c>
      <c r="E399" s="559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8">
        <v>4607091384345</v>
      </c>
      <c r="E400" s="559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3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idden="1" x14ac:dyDescent="0.2">
      <c r="A401" s="581"/>
      <c r="B401" s="566"/>
      <c r="C401" s="566"/>
      <c r="D401" s="566"/>
      <c r="E401" s="566"/>
      <c r="F401" s="566"/>
      <c r="G401" s="566"/>
      <c r="H401" s="566"/>
      <c r="I401" s="566"/>
      <c r="J401" s="566"/>
      <c r="K401" s="566"/>
      <c r="L401" s="566"/>
      <c r="M401" s="566"/>
      <c r="N401" s="566"/>
      <c r="O401" s="582"/>
      <c r="P401" s="562" t="s">
        <v>75</v>
      </c>
      <c r="Q401" s="563"/>
      <c r="R401" s="563"/>
      <c r="S401" s="563"/>
      <c r="T401" s="563"/>
      <c r="U401" s="563"/>
      <c r="V401" s="564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hidden="1" x14ac:dyDescent="0.2">
      <c r="A402" s="566"/>
      <c r="B402" s="566"/>
      <c r="C402" s="566"/>
      <c r="D402" s="566"/>
      <c r="E402" s="566"/>
      <c r="F402" s="566"/>
      <c r="G402" s="566"/>
      <c r="H402" s="566"/>
      <c r="I402" s="566"/>
      <c r="J402" s="566"/>
      <c r="K402" s="566"/>
      <c r="L402" s="566"/>
      <c r="M402" s="566"/>
      <c r="N402" s="566"/>
      <c r="O402" s="582"/>
      <c r="P402" s="562" t="s">
        <v>75</v>
      </c>
      <c r="Q402" s="563"/>
      <c r="R402" s="563"/>
      <c r="S402" s="563"/>
      <c r="T402" s="563"/>
      <c r="U402" s="563"/>
      <c r="V402" s="564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hidden="1" customHeight="1" x14ac:dyDescent="0.25">
      <c r="A403" s="567" t="s">
        <v>77</v>
      </c>
      <c r="B403" s="566"/>
      <c r="C403" s="566"/>
      <c r="D403" s="566"/>
      <c r="E403" s="566"/>
      <c r="F403" s="566"/>
      <c r="G403" s="566"/>
      <c r="H403" s="566"/>
      <c r="I403" s="566"/>
      <c r="J403" s="566"/>
      <c r="K403" s="566"/>
      <c r="L403" s="566"/>
      <c r="M403" s="566"/>
      <c r="N403" s="566"/>
      <c r="O403" s="566"/>
      <c r="P403" s="566"/>
      <c r="Q403" s="566"/>
      <c r="R403" s="566"/>
      <c r="S403" s="566"/>
      <c r="T403" s="566"/>
      <c r="U403" s="566"/>
      <c r="V403" s="566"/>
      <c r="W403" s="566"/>
      <c r="X403" s="566"/>
      <c r="Y403" s="566"/>
      <c r="Z403" s="566"/>
      <c r="AA403" s="545"/>
      <c r="AB403" s="545"/>
      <c r="AC403" s="545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8">
        <v>4607091384352</v>
      </c>
      <c r="E404" s="559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8">
        <v>4607091389654</v>
      </c>
      <c r="E405" s="559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81"/>
      <c r="B406" s="566"/>
      <c r="C406" s="566"/>
      <c r="D406" s="566"/>
      <c r="E406" s="566"/>
      <c r="F406" s="566"/>
      <c r="G406" s="566"/>
      <c r="H406" s="566"/>
      <c r="I406" s="566"/>
      <c r="J406" s="566"/>
      <c r="K406" s="566"/>
      <c r="L406" s="566"/>
      <c r="M406" s="566"/>
      <c r="N406" s="566"/>
      <c r="O406" s="582"/>
      <c r="P406" s="562" t="s">
        <v>75</v>
      </c>
      <c r="Q406" s="563"/>
      <c r="R406" s="563"/>
      <c r="S406" s="563"/>
      <c r="T406" s="563"/>
      <c r="U406" s="563"/>
      <c r="V406" s="564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66"/>
      <c r="B407" s="566"/>
      <c r="C407" s="566"/>
      <c r="D407" s="566"/>
      <c r="E407" s="566"/>
      <c r="F407" s="566"/>
      <c r="G407" s="566"/>
      <c r="H407" s="566"/>
      <c r="I407" s="566"/>
      <c r="J407" s="566"/>
      <c r="K407" s="566"/>
      <c r="L407" s="566"/>
      <c r="M407" s="566"/>
      <c r="N407" s="566"/>
      <c r="O407" s="582"/>
      <c r="P407" s="562" t="s">
        <v>75</v>
      </c>
      <c r="Q407" s="563"/>
      <c r="R407" s="563"/>
      <c r="S407" s="563"/>
      <c r="T407" s="563"/>
      <c r="U407" s="563"/>
      <c r="V407" s="564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65" t="s">
        <v>639</v>
      </c>
      <c r="B408" s="566"/>
      <c r="C408" s="566"/>
      <c r="D408" s="566"/>
      <c r="E408" s="566"/>
      <c r="F408" s="566"/>
      <c r="G408" s="566"/>
      <c r="H408" s="566"/>
      <c r="I408" s="566"/>
      <c r="J408" s="566"/>
      <c r="K408" s="566"/>
      <c r="L408" s="566"/>
      <c r="M408" s="566"/>
      <c r="N408" s="566"/>
      <c r="O408" s="566"/>
      <c r="P408" s="566"/>
      <c r="Q408" s="566"/>
      <c r="R408" s="566"/>
      <c r="S408" s="566"/>
      <c r="T408" s="566"/>
      <c r="U408" s="566"/>
      <c r="V408" s="566"/>
      <c r="W408" s="566"/>
      <c r="X408" s="566"/>
      <c r="Y408" s="566"/>
      <c r="Z408" s="566"/>
      <c r="AA408" s="544"/>
      <c r="AB408" s="544"/>
      <c r="AC408" s="544"/>
    </row>
    <row r="409" spans="1:68" ht="14.25" hidden="1" customHeight="1" x14ac:dyDescent="0.25">
      <c r="A409" s="567" t="s">
        <v>135</v>
      </c>
      <c r="B409" s="566"/>
      <c r="C409" s="566"/>
      <c r="D409" s="566"/>
      <c r="E409" s="566"/>
      <c r="F409" s="566"/>
      <c r="G409" s="566"/>
      <c r="H409" s="566"/>
      <c r="I409" s="566"/>
      <c r="J409" s="566"/>
      <c r="K409" s="566"/>
      <c r="L409" s="566"/>
      <c r="M409" s="566"/>
      <c r="N409" s="566"/>
      <c r="O409" s="566"/>
      <c r="P409" s="566"/>
      <c r="Q409" s="566"/>
      <c r="R409" s="566"/>
      <c r="S409" s="566"/>
      <c r="T409" s="566"/>
      <c r="U409" s="566"/>
      <c r="V409" s="566"/>
      <c r="W409" s="566"/>
      <c r="X409" s="566"/>
      <c r="Y409" s="566"/>
      <c r="Z409" s="566"/>
      <c r="AA409" s="545"/>
      <c r="AB409" s="545"/>
      <c r="AC409" s="545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8">
        <v>4680115885240</v>
      </c>
      <c r="E410" s="559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81"/>
      <c r="B411" s="566"/>
      <c r="C411" s="566"/>
      <c r="D411" s="566"/>
      <c r="E411" s="566"/>
      <c r="F411" s="566"/>
      <c r="G411" s="566"/>
      <c r="H411" s="566"/>
      <c r="I411" s="566"/>
      <c r="J411" s="566"/>
      <c r="K411" s="566"/>
      <c r="L411" s="566"/>
      <c r="M411" s="566"/>
      <c r="N411" s="566"/>
      <c r="O411" s="582"/>
      <c r="P411" s="562" t="s">
        <v>75</v>
      </c>
      <c r="Q411" s="563"/>
      <c r="R411" s="563"/>
      <c r="S411" s="563"/>
      <c r="T411" s="563"/>
      <c r="U411" s="563"/>
      <c r="V411" s="564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66"/>
      <c r="B412" s="566"/>
      <c r="C412" s="566"/>
      <c r="D412" s="566"/>
      <c r="E412" s="566"/>
      <c r="F412" s="566"/>
      <c r="G412" s="566"/>
      <c r="H412" s="566"/>
      <c r="I412" s="566"/>
      <c r="J412" s="566"/>
      <c r="K412" s="566"/>
      <c r="L412" s="566"/>
      <c r="M412" s="566"/>
      <c r="N412" s="566"/>
      <c r="O412" s="582"/>
      <c r="P412" s="562" t="s">
        <v>75</v>
      </c>
      <c r="Q412" s="563"/>
      <c r="R412" s="563"/>
      <c r="S412" s="563"/>
      <c r="T412" s="563"/>
      <c r="U412" s="563"/>
      <c r="V412" s="564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67" t="s">
        <v>64</v>
      </c>
      <c r="B413" s="566"/>
      <c r="C413" s="566"/>
      <c r="D413" s="566"/>
      <c r="E413" s="566"/>
      <c r="F413" s="566"/>
      <c r="G413" s="566"/>
      <c r="H413" s="566"/>
      <c r="I413" s="566"/>
      <c r="J413" s="566"/>
      <c r="K413" s="566"/>
      <c r="L413" s="566"/>
      <c r="M413" s="566"/>
      <c r="N413" s="566"/>
      <c r="O413" s="566"/>
      <c r="P413" s="566"/>
      <c r="Q413" s="566"/>
      <c r="R413" s="566"/>
      <c r="S413" s="566"/>
      <c r="T413" s="566"/>
      <c r="U413" s="566"/>
      <c r="V413" s="566"/>
      <c r="W413" s="566"/>
      <c r="X413" s="566"/>
      <c r="Y413" s="566"/>
      <c r="Z413" s="566"/>
      <c r="AA413" s="545"/>
      <c r="AB413" s="545"/>
      <c r="AC413" s="545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8">
        <v>4680115886094</v>
      </c>
      <c r="E414" s="559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65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8">
        <v>4607091389425</v>
      </c>
      <c r="E415" s="559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8">
        <v>4680115880771</v>
      </c>
      <c r="E416" s="559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8">
        <v>4607091389500</v>
      </c>
      <c r="E417" s="559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81"/>
      <c r="B418" s="566"/>
      <c r="C418" s="566"/>
      <c r="D418" s="566"/>
      <c r="E418" s="566"/>
      <c r="F418" s="566"/>
      <c r="G418" s="566"/>
      <c r="H418" s="566"/>
      <c r="I418" s="566"/>
      <c r="J418" s="566"/>
      <c r="K418" s="566"/>
      <c r="L418" s="566"/>
      <c r="M418" s="566"/>
      <c r="N418" s="566"/>
      <c r="O418" s="582"/>
      <c r="P418" s="562" t="s">
        <v>75</v>
      </c>
      <c r="Q418" s="563"/>
      <c r="R418" s="563"/>
      <c r="S418" s="563"/>
      <c r="T418" s="563"/>
      <c r="U418" s="563"/>
      <c r="V418" s="564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hidden="1" x14ac:dyDescent="0.2">
      <c r="A419" s="566"/>
      <c r="B419" s="566"/>
      <c r="C419" s="566"/>
      <c r="D419" s="566"/>
      <c r="E419" s="566"/>
      <c r="F419" s="566"/>
      <c r="G419" s="566"/>
      <c r="H419" s="566"/>
      <c r="I419" s="566"/>
      <c r="J419" s="566"/>
      <c r="K419" s="566"/>
      <c r="L419" s="566"/>
      <c r="M419" s="566"/>
      <c r="N419" s="566"/>
      <c r="O419" s="582"/>
      <c r="P419" s="562" t="s">
        <v>75</v>
      </c>
      <c r="Q419" s="563"/>
      <c r="R419" s="563"/>
      <c r="S419" s="563"/>
      <c r="T419" s="563"/>
      <c r="U419" s="563"/>
      <c r="V419" s="564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hidden="1" customHeight="1" x14ac:dyDescent="0.25">
      <c r="A420" s="565" t="s">
        <v>654</v>
      </c>
      <c r="B420" s="566"/>
      <c r="C420" s="566"/>
      <c r="D420" s="566"/>
      <c r="E420" s="566"/>
      <c r="F420" s="566"/>
      <c r="G420" s="566"/>
      <c r="H420" s="566"/>
      <c r="I420" s="566"/>
      <c r="J420" s="566"/>
      <c r="K420" s="566"/>
      <c r="L420" s="566"/>
      <c r="M420" s="566"/>
      <c r="N420" s="566"/>
      <c r="O420" s="566"/>
      <c r="P420" s="566"/>
      <c r="Q420" s="566"/>
      <c r="R420" s="566"/>
      <c r="S420" s="566"/>
      <c r="T420" s="566"/>
      <c r="U420" s="566"/>
      <c r="V420" s="566"/>
      <c r="W420" s="566"/>
      <c r="X420" s="566"/>
      <c r="Y420" s="566"/>
      <c r="Z420" s="566"/>
      <c r="AA420" s="544"/>
      <c r="AB420" s="544"/>
      <c r="AC420" s="544"/>
    </row>
    <row r="421" spans="1:68" ht="14.25" hidden="1" customHeight="1" x14ac:dyDescent="0.25">
      <c r="A421" s="567" t="s">
        <v>64</v>
      </c>
      <c r="B421" s="566"/>
      <c r="C421" s="566"/>
      <c r="D421" s="566"/>
      <c r="E421" s="566"/>
      <c r="F421" s="566"/>
      <c r="G421" s="566"/>
      <c r="H421" s="566"/>
      <c r="I421" s="566"/>
      <c r="J421" s="566"/>
      <c r="K421" s="566"/>
      <c r="L421" s="566"/>
      <c r="M421" s="566"/>
      <c r="N421" s="566"/>
      <c r="O421" s="566"/>
      <c r="P421" s="566"/>
      <c r="Q421" s="566"/>
      <c r="R421" s="566"/>
      <c r="S421" s="566"/>
      <c r="T421" s="566"/>
      <c r="U421" s="566"/>
      <c r="V421" s="566"/>
      <c r="W421" s="566"/>
      <c r="X421" s="566"/>
      <c r="Y421" s="566"/>
      <c r="Z421" s="566"/>
      <c r="AA421" s="545"/>
      <c r="AB421" s="545"/>
      <c r="AC421" s="545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8">
        <v>4680115885110</v>
      </c>
      <c r="E422" s="559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0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81"/>
      <c r="B423" s="566"/>
      <c r="C423" s="566"/>
      <c r="D423" s="566"/>
      <c r="E423" s="566"/>
      <c r="F423" s="566"/>
      <c r="G423" s="566"/>
      <c r="H423" s="566"/>
      <c r="I423" s="566"/>
      <c r="J423" s="566"/>
      <c r="K423" s="566"/>
      <c r="L423" s="566"/>
      <c r="M423" s="566"/>
      <c r="N423" s="566"/>
      <c r="O423" s="582"/>
      <c r="P423" s="562" t="s">
        <v>75</v>
      </c>
      <c r="Q423" s="563"/>
      <c r="R423" s="563"/>
      <c r="S423" s="563"/>
      <c r="T423" s="563"/>
      <c r="U423" s="563"/>
      <c r="V423" s="564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66"/>
      <c r="B424" s="566"/>
      <c r="C424" s="566"/>
      <c r="D424" s="566"/>
      <c r="E424" s="566"/>
      <c r="F424" s="566"/>
      <c r="G424" s="566"/>
      <c r="H424" s="566"/>
      <c r="I424" s="566"/>
      <c r="J424" s="566"/>
      <c r="K424" s="566"/>
      <c r="L424" s="566"/>
      <c r="M424" s="566"/>
      <c r="N424" s="566"/>
      <c r="O424" s="582"/>
      <c r="P424" s="562" t="s">
        <v>75</v>
      </c>
      <c r="Q424" s="563"/>
      <c r="R424" s="563"/>
      <c r="S424" s="563"/>
      <c r="T424" s="563"/>
      <c r="U424" s="563"/>
      <c r="V424" s="564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61" t="s">
        <v>658</v>
      </c>
      <c r="B425" s="662"/>
      <c r="C425" s="662"/>
      <c r="D425" s="662"/>
      <c r="E425" s="662"/>
      <c r="F425" s="662"/>
      <c r="G425" s="662"/>
      <c r="H425" s="662"/>
      <c r="I425" s="662"/>
      <c r="J425" s="662"/>
      <c r="K425" s="662"/>
      <c r="L425" s="662"/>
      <c r="M425" s="662"/>
      <c r="N425" s="662"/>
      <c r="O425" s="662"/>
      <c r="P425" s="662"/>
      <c r="Q425" s="662"/>
      <c r="R425" s="662"/>
      <c r="S425" s="662"/>
      <c r="T425" s="662"/>
      <c r="U425" s="662"/>
      <c r="V425" s="662"/>
      <c r="W425" s="662"/>
      <c r="X425" s="662"/>
      <c r="Y425" s="662"/>
      <c r="Z425" s="662"/>
      <c r="AA425" s="48"/>
      <c r="AB425" s="48"/>
      <c r="AC425" s="48"/>
    </row>
    <row r="426" spans="1:68" ht="16.5" hidden="1" customHeight="1" x14ac:dyDescent="0.25">
      <c r="A426" s="565" t="s">
        <v>658</v>
      </c>
      <c r="B426" s="566"/>
      <c r="C426" s="566"/>
      <c r="D426" s="566"/>
      <c r="E426" s="566"/>
      <c r="F426" s="566"/>
      <c r="G426" s="566"/>
      <c r="H426" s="566"/>
      <c r="I426" s="566"/>
      <c r="J426" s="566"/>
      <c r="K426" s="566"/>
      <c r="L426" s="566"/>
      <c r="M426" s="566"/>
      <c r="N426" s="566"/>
      <c r="O426" s="566"/>
      <c r="P426" s="566"/>
      <c r="Q426" s="566"/>
      <c r="R426" s="566"/>
      <c r="S426" s="566"/>
      <c r="T426" s="566"/>
      <c r="U426" s="566"/>
      <c r="V426" s="566"/>
      <c r="W426" s="566"/>
      <c r="X426" s="566"/>
      <c r="Y426" s="566"/>
      <c r="Z426" s="566"/>
      <c r="AA426" s="544"/>
      <c r="AB426" s="544"/>
      <c r="AC426" s="544"/>
    </row>
    <row r="427" spans="1:68" ht="14.25" hidden="1" customHeight="1" x14ac:dyDescent="0.25">
      <c r="A427" s="567" t="s">
        <v>99</v>
      </c>
      <c r="B427" s="566"/>
      <c r="C427" s="566"/>
      <c r="D427" s="566"/>
      <c r="E427" s="566"/>
      <c r="F427" s="566"/>
      <c r="G427" s="566"/>
      <c r="H427" s="566"/>
      <c r="I427" s="566"/>
      <c r="J427" s="566"/>
      <c r="K427" s="566"/>
      <c r="L427" s="566"/>
      <c r="M427" s="566"/>
      <c r="N427" s="566"/>
      <c r="O427" s="566"/>
      <c r="P427" s="566"/>
      <c r="Q427" s="566"/>
      <c r="R427" s="566"/>
      <c r="S427" s="566"/>
      <c r="T427" s="566"/>
      <c r="U427" s="566"/>
      <c r="V427" s="566"/>
      <c r="W427" s="566"/>
      <c r="X427" s="566"/>
      <c r="Y427" s="566"/>
      <c r="Z427" s="566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8">
        <v>4607091389067</v>
      </c>
      <c r="E428" s="559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7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52</v>
      </c>
      <c r="Y428" s="550">
        <f t="shared" ref="Y428:Y439" si="47">IFERROR(IF(X428="",0,CEILING((X428/$H428),1)*$H428),"")</f>
        <v>52.800000000000004</v>
      </c>
      <c r="Z428" s="36">
        <f t="shared" ref="Z428:Z434" si="48">IFERROR(IF(Y428=0,"",ROUNDUP(Y428/H428,0)*0.01196),"")</f>
        <v>0.1196</v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55.446969696969695</v>
      </c>
      <c r="BN428" s="64">
        <f t="shared" ref="BN428:BN439" si="50">IFERROR(Y428*I428/H428,"0")</f>
        <v>56.3</v>
      </c>
      <c r="BO428" s="64">
        <f t="shared" ref="BO428:BO439" si="51">IFERROR(1/J428*(X428/H428),"0")</f>
        <v>9.4696969696969696E-2</v>
      </c>
      <c r="BP428" s="64">
        <f t="shared" ref="BP428:BP439" si="52">IFERROR(1/J428*(Y428/H428),"0")</f>
        <v>9.6153846153846159E-2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8">
        <v>4607091383522</v>
      </c>
      <c r="E429" s="559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8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8">
        <v>4607091383522</v>
      </c>
      <c r="E430" s="559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2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8">
        <v>4680115885271</v>
      </c>
      <c r="E431" s="559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7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29</v>
      </c>
      <c r="Y431" s="550">
        <f t="shared" si="47"/>
        <v>31.68</v>
      </c>
      <c r="Z431" s="36">
        <f t="shared" si="48"/>
        <v>7.1760000000000004E-2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30.922348484848484</v>
      </c>
      <c r="BN431" s="64">
        <f t="shared" si="50"/>
        <v>33.779999999999994</v>
      </c>
      <c r="BO431" s="64">
        <f t="shared" si="51"/>
        <v>5.281177156177156E-2</v>
      </c>
      <c r="BP431" s="64">
        <f t="shared" si="52"/>
        <v>5.7692307692307696E-2</v>
      </c>
    </row>
    <row r="432" spans="1:68" ht="27" hidden="1" customHeight="1" x14ac:dyDescent="0.25">
      <c r="A432" s="54" t="s">
        <v>668</v>
      </c>
      <c r="B432" s="54" t="s">
        <v>669</v>
      </c>
      <c r="C432" s="31">
        <v>4301011376</v>
      </c>
      <c r="D432" s="558">
        <v>4680115885226</v>
      </c>
      <c r="E432" s="559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6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8">
        <v>4680115884502</v>
      </c>
      <c r="E433" s="559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4301011771</v>
      </c>
      <c r="D434" s="558">
        <v>4607091389104</v>
      </c>
      <c r="E434" s="559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0</v>
      </c>
      <c r="Y434" s="550">
        <f t="shared" si="47"/>
        <v>0</v>
      </c>
      <c r="Z434" s="36" t="str">
        <f t="shared" si="48"/>
        <v/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8">
        <v>4680115886391</v>
      </c>
      <c r="E435" s="559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8">
        <v>4680115880603</v>
      </c>
      <c r="E436" s="559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14</v>
      </c>
      <c r="Y436" s="550">
        <f t="shared" si="47"/>
        <v>14.399999999999999</v>
      </c>
      <c r="Z436" s="36">
        <f>IFERROR(IF(Y436=0,"",ROUNDUP(Y436/H436,0)*0.00902),"")</f>
        <v>2.7060000000000001E-2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20.154166666666669</v>
      </c>
      <c r="BN436" s="64">
        <f t="shared" si="50"/>
        <v>20.73</v>
      </c>
      <c r="BO436" s="64">
        <f t="shared" si="51"/>
        <v>2.2095959595959599E-2</v>
      </c>
      <c r="BP436" s="64">
        <f t="shared" si="52"/>
        <v>2.2727272727272728E-2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8">
        <v>4680115882782</v>
      </c>
      <c r="E437" s="559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9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8">
        <v>4680115885479</v>
      </c>
      <c r="E438" s="559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4301012034</v>
      </c>
      <c r="D439" s="558">
        <v>4607091389982</v>
      </c>
      <c r="E439" s="559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81"/>
      <c r="B440" s="566"/>
      <c r="C440" s="566"/>
      <c r="D440" s="566"/>
      <c r="E440" s="566"/>
      <c r="F440" s="566"/>
      <c r="G440" s="566"/>
      <c r="H440" s="566"/>
      <c r="I440" s="566"/>
      <c r="J440" s="566"/>
      <c r="K440" s="566"/>
      <c r="L440" s="566"/>
      <c r="M440" s="566"/>
      <c r="N440" s="566"/>
      <c r="O440" s="582"/>
      <c r="P440" s="562" t="s">
        <v>75</v>
      </c>
      <c r="Q440" s="563"/>
      <c r="R440" s="563"/>
      <c r="S440" s="563"/>
      <c r="T440" s="563"/>
      <c r="U440" s="563"/>
      <c r="V440" s="564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18.257575757575758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19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0.21842</v>
      </c>
      <c r="AA440" s="552"/>
      <c r="AB440" s="552"/>
      <c r="AC440" s="552"/>
    </row>
    <row r="441" spans="1:68" x14ac:dyDescent="0.2">
      <c r="A441" s="566"/>
      <c r="B441" s="566"/>
      <c r="C441" s="566"/>
      <c r="D441" s="566"/>
      <c r="E441" s="566"/>
      <c r="F441" s="566"/>
      <c r="G441" s="566"/>
      <c r="H441" s="566"/>
      <c r="I441" s="566"/>
      <c r="J441" s="566"/>
      <c r="K441" s="566"/>
      <c r="L441" s="566"/>
      <c r="M441" s="566"/>
      <c r="N441" s="566"/>
      <c r="O441" s="582"/>
      <c r="P441" s="562" t="s">
        <v>75</v>
      </c>
      <c r="Q441" s="563"/>
      <c r="R441" s="563"/>
      <c r="S441" s="563"/>
      <c r="T441" s="563"/>
      <c r="U441" s="563"/>
      <c r="V441" s="564"/>
      <c r="W441" s="37" t="s">
        <v>69</v>
      </c>
      <c r="X441" s="551">
        <f>IFERROR(SUM(X428:X439),"0")</f>
        <v>95</v>
      </c>
      <c r="Y441" s="551">
        <f>IFERROR(SUM(Y428:Y439),"0")</f>
        <v>98.88</v>
      </c>
      <c r="Z441" s="37"/>
      <c r="AA441" s="552"/>
      <c r="AB441" s="552"/>
      <c r="AC441" s="552"/>
    </row>
    <row r="442" spans="1:68" ht="14.25" hidden="1" customHeight="1" x14ac:dyDescent="0.25">
      <c r="A442" s="567" t="s">
        <v>135</v>
      </c>
      <c r="B442" s="566"/>
      <c r="C442" s="566"/>
      <c r="D442" s="566"/>
      <c r="E442" s="566"/>
      <c r="F442" s="566"/>
      <c r="G442" s="566"/>
      <c r="H442" s="566"/>
      <c r="I442" s="566"/>
      <c r="J442" s="566"/>
      <c r="K442" s="566"/>
      <c r="L442" s="566"/>
      <c r="M442" s="566"/>
      <c r="N442" s="566"/>
      <c r="O442" s="566"/>
      <c r="P442" s="566"/>
      <c r="Q442" s="566"/>
      <c r="R442" s="566"/>
      <c r="S442" s="566"/>
      <c r="T442" s="566"/>
      <c r="U442" s="566"/>
      <c r="V442" s="566"/>
      <c r="W442" s="566"/>
      <c r="X442" s="566"/>
      <c r="Y442" s="566"/>
      <c r="Z442" s="566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8">
        <v>4607091388930</v>
      </c>
      <c r="E443" s="559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5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389</v>
      </c>
      <c r="Y443" s="550">
        <f>IFERROR(IF(X443="",0,CEILING((X443/$H443),1)*$H443),"")</f>
        <v>390.72</v>
      </c>
      <c r="Z443" s="36">
        <f>IFERROR(IF(Y443=0,"",ROUNDUP(Y443/H443,0)*0.01196),"")</f>
        <v>0.88504000000000005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414.78598484848487</v>
      </c>
      <c r="BN443" s="64">
        <f>IFERROR(Y443*I443/H443,"0")</f>
        <v>416.62</v>
      </c>
      <c r="BO443" s="64">
        <f>IFERROR(1/J443*(X443/H443),"0")</f>
        <v>0.70840617715617715</v>
      </c>
      <c r="BP443" s="64">
        <f>IFERROR(1/J443*(Y443/H443),"0")</f>
        <v>0.71153846153846156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8">
        <v>4680115886407</v>
      </c>
      <c r="E444" s="559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4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8">
        <v>4680115880054</v>
      </c>
      <c r="E445" s="559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112</v>
      </c>
      <c r="M445" s="33" t="s">
        <v>104</v>
      </c>
      <c r="N445" s="33"/>
      <c r="O445" s="32">
        <v>70</v>
      </c>
      <c r="P445" s="6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36</v>
      </c>
      <c r="Y445" s="550">
        <f>IFERROR(IF(X445="",0,CEILING((X445/$H445),1)*$H445),"")</f>
        <v>38.4</v>
      </c>
      <c r="Z445" s="36">
        <f>IFERROR(IF(Y445=0,"",ROUNDUP(Y445/H445,0)*0.00902),"")</f>
        <v>7.2160000000000002E-2</v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51.825000000000003</v>
      </c>
      <c r="BN445" s="64">
        <f>IFERROR(Y445*I445/H445,"0")</f>
        <v>55.28</v>
      </c>
      <c r="BO445" s="64">
        <f>IFERROR(1/J445*(X445/H445),"0")</f>
        <v>5.6818181818181823E-2</v>
      </c>
      <c r="BP445" s="64">
        <f>IFERROR(1/J445*(Y445/H445),"0")</f>
        <v>6.0606060606060608E-2</v>
      </c>
    </row>
    <row r="446" spans="1:68" x14ac:dyDescent="0.2">
      <c r="A446" s="581"/>
      <c r="B446" s="566"/>
      <c r="C446" s="566"/>
      <c r="D446" s="566"/>
      <c r="E446" s="566"/>
      <c r="F446" s="566"/>
      <c r="G446" s="566"/>
      <c r="H446" s="566"/>
      <c r="I446" s="566"/>
      <c r="J446" s="566"/>
      <c r="K446" s="566"/>
      <c r="L446" s="566"/>
      <c r="M446" s="566"/>
      <c r="N446" s="566"/>
      <c r="O446" s="582"/>
      <c r="P446" s="562" t="s">
        <v>75</v>
      </c>
      <c r="Q446" s="563"/>
      <c r="R446" s="563"/>
      <c r="S446" s="563"/>
      <c r="T446" s="563"/>
      <c r="U446" s="563"/>
      <c r="V446" s="564"/>
      <c r="W446" s="37" t="s">
        <v>76</v>
      </c>
      <c r="X446" s="551">
        <f>IFERROR(X443/H443,"0")+IFERROR(X444/H444,"0")+IFERROR(X445/H445,"0")</f>
        <v>81.174242424242422</v>
      </c>
      <c r="Y446" s="551">
        <f>IFERROR(Y443/H443,"0")+IFERROR(Y444/H444,"0")+IFERROR(Y445/H445,"0")</f>
        <v>82</v>
      </c>
      <c r="Z446" s="551">
        <f>IFERROR(IF(Z443="",0,Z443),"0")+IFERROR(IF(Z444="",0,Z444),"0")+IFERROR(IF(Z445="",0,Z445),"0")</f>
        <v>0.95720000000000005</v>
      </c>
      <c r="AA446" s="552"/>
      <c r="AB446" s="552"/>
      <c r="AC446" s="552"/>
    </row>
    <row r="447" spans="1:68" x14ac:dyDescent="0.2">
      <c r="A447" s="566"/>
      <c r="B447" s="566"/>
      <c r="C447" s="566"/>
      <c r="D447" s="566"/>
      <c r="E447" s="566"/>
      <c r="F447" s="566"/>
      <c r="G447" s="566"/>
      <c r="H447" s="566"/>
      <c r="I447" s="566"/>
      <c r="J447" s="566"/>
      <c r="K447" s="566"/>
      <c r="L447" s="566"/>
      <c r="M447" s="566"/>
      <c r="N447" s="566"/>
      <c r="O447" s="582"/>
      <c r="P447" s="562" t="s">
        <v>75</v>
      </c>
      <c r="Q447" s="563"/>
      <c r="R447" s="563"/>
      <c r="S447" s="563"/>
      <c r="T447" s="563"/>
      <c r="U447" s="563"/>
      <c r="V447" s="564"/>
      <c r="W447" s="37" t="s">
        <v>69</v>
      </c>
      <c r="X447" s="551">
        <f>IFERROR(SUM(X443:X445),"0")</f>
        <v>425</v>
      </c>
      <c r="Y447" s="551">
        <f>IFERROR(SUM(Y443:Y445),"0")</f>
        <v>429.12</v>
      </c>
      <c r="Z447" s="37"/>
      <c r="AA447" s="552"/>
      <c r="AB447" s="552"/>
      <c r="AC447" s="552"/>
    </row>
    <row r="448" spans="1:68" ht="14.25" hidden="1" customHeight="1" x14ac:dyDescent="0.25">
      <c r="A448" s="567" t="s">
        <v>64</v>
      </c>
      <c r="B448" s="566"/>
      <c r="C448" s="566"/>
      <c r="D448" s="566"/>
      <c r="E448" s="566"/>
      <c r="F448" s="566"/>
      <c r="G448" s="566"/>
      <c r="H448" s="566"/>
      <c r="I448" s="566"/>
      <c r="J448" s="566"/>
      <c r="K448" s="566"/>
      <c r="L448" s="566"/>
      <c r="M448" s="566"/>
      <c r="N448" s="566"/>
      <c r="O448" s="566"/>
      <c r="P448" s="566"/>
      <c r="Q448" s="566"/>
      <c r="R448" s="566"/>
      <c r="S448" s="566"/>
      <c r="T448" s="566"/>
      <c r="U448" s="566"/>
      <c r="V448" s="566"/>
      <c r="W448" s="566"/>
      <c r="X448" s="566"/>
      <c r="Y448" s="566"/>
      <c r="Z448" s="566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8">
        <v>4680115883116</v>
      </c>
      <c r="E449" s="559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35</v>
      </c>
      <c r="Y449" s="550">
        <f t="shared" ref="Y449:Y454" si="53">IFERROR(IF(X449="",0,CEILING((X449/$H449),1)*$H449),"")</f>
        <v>36.96</v>
      </c>
      <c r="Z449" s="36">
        <f>IFERROR(IF(Y449=0,"",ROUNDUP(Y449/H449,0)*0.01196),"")</f>
        <v>8.3720000000000003E-2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37.320075757575751</v>
      </c>
      <c r="BN449" s="64">
        <f t="shared" ref="BN449:BN454" si="55">IFERROR(Y449*I449/H449,"0")</f>
        <v>39.409999999999997</v>
      </c>
      <c r="BO449" s="64">
        <f t="shared" ref="BO449:BO454" si="56">IFERROR(1/J449*(X449/H449),"0")</f>
        <v>6.3738344988344992E-2</v>
      </c>
      <c r="BP449" s="64">
        <f t="shared" ref="BP449:BP454" si="57">IFERROR(1/J449*(Y449/H449),"0")</f>
        <v>6.7307692307692318E-2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8">
        <v>4680115883093</v>
      </c>
      <c r="E450" s="559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1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68</v>
      </c>
      <c r="Y450" s="550">
        <f t="shared" si="53"/>
        <v>68.64</v>
      </c>
      <c r="Z450" s="36">
        <f>IFERROR(IF(Y450=0,"",ROUNDUP(Y450/H450,0)*0.01196),"")</f>
        <v>0.15548000000000001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72.507575757575751</v>
      </c>
      <c r="BN450" s="64">
        <f t="shared" si="55"/>
        <v>73.19</v>
      </c>
      <c r="BO450" s="64">
        <f t="shared" si="56"/>
        <v>0.12383449883449885</v>
      </c>
      <c r="BP450" s="64">
        <f t="shared" si="57"/>
        <v>0.125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8">
        <v>4680115883109</v>
      </c>
      <c r="E451" s="559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6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364</v>
      </c>
      <c r="Y451" s="550">
        <f t="shared" si="53"/>
        <v>364.32</v>
      </c>
      <c r="Z451" s="36">
        <f>IFERROR(IF(Y451=0,"",ROUNDUP(Y451/H451,0)*0.01196),"")</f>
        <v>0.82523999999999997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388.12878787878788</v>
      </c>
      <c r="BN451" s="64">
        <f t="shared" si="55"/>
        <v>388.46999999999997</v>
      </c>
      <c r="BO451" s="64">
        <f t="shared" si="56"/>
        <v>0.66287878787878785</v>
      </c>
      <c r="BP451" s="64">
        <f t="shared" si="57"/>
        <v>0.66346153846153855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8">
        <v>4680115882072</v>
      </c>
      <c r="E452" s="559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8">
        <v>4680115882102</v>
      </c>
      <c r="E453" s="559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8">
        <v>4680115882096</v>
      </c>
      <c r="E454" s="559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6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81"/>
      <c r="B455" s="566"/>
      <c r="C455" s="566"/>
      <c r="D455" s="566"/>
      <c r="E455" s="566"/>
      <c r="F455" s="566"/>
      <c r="G455" s="566"/>
      <c r="H455" s="566"/>
      <c r="I455" s="566"/>
      <c r="J455" s="566"/>
      <c r="K455" s="566"/>
      <c r="L455" s="566"/>
      <c r="M455" s="566"/>
      <c r="N455" s="566"/>
      <c r="O455" s="582"/>
      <c r="P455" s="562" t="s">
        <v>75</v>
      </c>
      <c r="Q455" s="563"/>
      <c r="R455" s="563"/>
      <c r="S455" s="563"/>
      <c r="T455" s="563"/>
      <c r="U455" s="563"/>
      <c r="V455" s="564"/>
      <c r="W455" s="37" t="s">
        <v>76</v>
      </c>
      <c r="X455" s="551">
        <f>IFERROR(X449/H449,"0")+IFERROR(X450/H450,"0")+IFERROR(X451/H451,"0")+IFERROR(X452/H452,"0")+IFERROR(X453/H453,"0")+IFERROR(X454/H454,"0")</f>
        <v>88.446969696969688</v>
      </c>
      <c r="Y455" s="551">
        <f>IFERROR(Y449/H449,"0")+IFERROR(Y450/H450,"0")+IFERROR(Y451/H451,"0")+IFERROR(Y452/H452,"0")+IFERROR(Y453/H453,"0")+IFERROR(Y454/H454,"0")</f>
        <v>89</v>
      </c>
      <c r="Z455" s="551">
        <f>IFERROR(IF(Z449="",0,Z449),"0")+IFERROR(IF(Z450="",0,Z450),"0")+IFERROR(IF(Z451="",0,Z451),"0")+IFERROR(IF(Z452="",0,Z452),"0")+IFERROR(IF(Z453="",0,Z453),"0")+IFERROR(IF(Z454="",0,Z454),"0")</f>
        <v>1.0644400000000001</v>
      </c>
      <c r="AA455" s="552"/>
      <c r="AB455" s="552"/>
      <c r="AC455" s="552"/>
    </row>
    <row r="456" spans="1:68" x14ac:dyDescent="0.2">
      <c r="A456" s="566"/>
      <c r="B456" s="566"/>
      <c r="C456" s="566"/>
      <c r="D456" s="566"/>
      <c r="E456" s="566"/>
      <c r="F456" s="566"/>
      <c r="G456" s="566"/>
      <c r="H456" s="566"/>
      <c r="I456" s="566"/>
      <c r="J456" s="566"/>
      <c r="K456" s="566"/>
      <c r="L456" s="566"/>
      <c r="M456" s="566"/>
      <c r="N456" s="566"/>
      <c r="O456" s="582"/>
      <c r="P456" s="562" t="s">
        <v>75</v>
      </c>
      <c r="Q456" s="563"/>
      <c r="R456" s="563"/>
      <c r="S456" s="563"/>
      <c r="T456" s="563"/>
      <c r="U456" s="563"/>
      <c r="V456" s="564"/>
      <c r="W456" s="37" t="s">
        <v>69</v>
      </c>
      <c r="X456" s="551">
        <f>IFERROR(SUM(X449:X454),"0")</f>
        <v>467</v>
      </c>
      <c r="Y456" s="551">
        <f>IFERROR(SUM(Y449:Y454),"0")</f>
        <v>469.91999999999996</v>
      </c>
      <c r="Z456" s="37"/>
      <c r="AA456" s="552"/>
      <c r="AB456" s="552"/>
      <c r="AC456" s="552"/>
    </row>
    <row r="457" spans="1:68" ht="14.25" hidden="1" customHeight="1" x14ac:dyDescent="0.25">
      <c r="A457" s="567" t="s">
        <v>77</v>
      </c>
      <c r="B457" s="566"/>
      <c r="C457" s="566"/>
      <c r="D457" s="566"/>
      <c r="E457" s="566"/>
      <c r="F457" s="566"/>
      <c r="G457" s="566"/>
      <c r="H457" s="566"/>
      <c r="I457" s="566"/>
      <c r="J457" s="566"/>
      <c r="K457" s="566"/>
      <c r="L457" s="566"/>
      <c r="M457" s="566"/>
      <c r="N457" s="566"/>
      <c r="O457" s="566"/>
      <c r="P457" s="566"/>
      <c r="Q457" s="566"/>
      <c r="R457" s="566"/>
      <c r="S457" s="566"/>
      <c r="T457" s="566"/>
      <c r="U457" s="566"/>
      <c r="V457" s="566"/>
      <c r="W457" s="566"/>
      <c r="X457" s="566"/>
      <c r="Y457" s="566"/>
      <c r="Z457" s="566"/>
      <c r="AA457" s="545"/>
      <c r="AB457" s="545"/>
      <c r="AC457" s="545"/>
    </row>
    <row r="458" spans="1:68" ht="27" hidden="1" customHeight="1" x14ac:dyDescent="0.25">
      <c r="A458" s="54" t="s">
        <v>710</v>
      </c>
      <c r="B458" s="54" t="s">
        <v>711</v>
      </c>
      <c r="C458" s="31">
        <v>4301051064</v>
      </c>
      <c r="D458" s="558">
        <v>4680115883536</v>
      </c>
      <c r="E458" s="559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0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81"/>
      <c r="B459" s="566"/>
      <c r="C459" s="566"/>
      <c r="D459" s="566"/>
      <c r="E459" s="566"/>
      <c r="F459" s="566"/>
      <c r="G459" s="566"/>
      <c r="H459" s="566"/>
      <c r="I459" s="566"/>
      <c r="J459" s="566"/>
      <c r="K459" s="566"/>
      <c r="L459" s="566"/>
      <c r="M459" s="566"/>
      <c r="N459" s="566"/>
      <c r="O459" s="582"/>
      <c r="P459" s="562" t="s">
        <v>75</v>
      </c>
      <c r="Q459" s="563"/>
      <c r="R459" s="563"/>
      <c r="S459" s="563"/>
      <c r="T459" s="563"/>
      <c r="U459" s="563"/>
      <c r="V459" s="564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66"/>
      <c r="B460" s="566"/>
      <c r="C460" s="566"/>
      <c r="D460" s="566"/>
      <c r="E460" s="566"/>
      <c r="F460" s="566"/>
      <c r="G460" s="566"/>
      <c r="H460" s="566"/>
      <c r="I460" s="566"/>
      <c r="J460" s="566"/>
      <c r="K460" s="566"/>
      <c r="L460" s="566"/>
      <c r="M460" s="566"/>
      <c r="N460" s="566"/>
      <c r="O460" s="582"/>
      <c r="P460" s="562" t="s">
        <v>75</v>
      </c>
      <c r="Q460" s="563"/>
      <c r="R460" s="563"/>
      <c r="S460" s="563"/>
      <c r="T460" s="563"/>
      <c r="U460" s="563"/>
      <c r="V460" s="564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61" t="s">
        <v>713</v>
      </c>
      <c r="B461" s="662"/>
      <c r="C461" s="662"/>
      <c r="D461" s="662"/>
      <c r="E461" s="662"/>
      <c r="F461" s="662"/>
      <c r="G461" s="662"/>
      <c r="H461" s="662"/>
      <c r="I461" s="662"/>
      <c r="J461" s="662"/>
      <c r="K461" s="662"/>
      <c r="L461" s="662"/>
      <c r="M461" s="662"/>
      <c r="N461" s="662"/>
      <c r="O461" s="662"/>
      <c r="P461" s="662"/>
      <c r="Q461" s="662"/>
      <c r="R461" s="662"/>
      <c r="S461" s="662"/>
      <c r="T461" s="662"/>
      <c r="U461" s="662"/>
      <c r="V461" s="662"/>
      <c r="W461" s="662"/>
      <c r="X461" s="662"/>
      <c r="Y461" s="662"/>
      <c r="Z461" s="662"/>
      <c r="AA461" s="48"/>
      <c r="AB461" s="48"/>
      <c r="AC461" s="48"/>
    </row>
    <row r="462" spans="1:68" ht="16.5" hidden="1" customHeight="1" x14ac:dyDescent="0.25">
      <c r="A462" s="565" t="s">
        <v>713</v>
      </c>
      <c r="B462" s="566"/>
      <c r="C462" s="566"/>
      <c r="D462" s="566"/>
      <c r="E462" s="566"/>
      <c r="F462" s="566"/>
      <c r="G462" s="566"/>
      <c r="H462" s="566"/>
      <c r="I462" s="566"/>
      <c r="J462" s="566"/>
      <c r="K462" s="566"/>
      <c r="L462" s="566"/>
      <c r="M462" s="566"/>
      <c r="N462" s="566"/>
      <c r="O462" s="566"/>
      <c r="P462" s="566"/>
      <c r="Q462" s="566"/>
      <c r="R462" s="566"/>
      <c r="S462" s="566"/>
      <c r="T462" s="566"/>
      <c r="U462" s="566"/>
      <c r="V462" s="566"/>
      <c r="W462" s="566"/>
      <c r="X462" s="566"/>
      <c r="Y462" s="566"/>
      <c r="Z462" s="566"/>
      <c r="AA462" s="544"/>
      <c r="AB462" s="544"/>
      <c r="AC462" s="544"/>
    </row>
    <row r="463" spans="1:68" ht="14.25" hidden="1" customHeight="1" x14ac:dyDescent="0.25">
      <c r="A463" s="567" t="s">
        <v>99</v>
      </c>
      <c r="B463" s="566"/>
      <c r="C463" s="566"/>
      <c r="D463" s="566"/>
      <c r="E463" s="566"/>
      <c r="F463" s="566"/>
      <c r="G463" s="566"/>
      <c r="H463" s="566"/>
      <c r="I463" s="566"/>
      <c r="J463" s="566"/>
      <c r="K463" s="566"/>
      <c r="L463" s="566"/>
      <c r="M463" s="566"/>
      <c r="N463" s="566"/>
      <c r="O463" s="566"/>
      <c r="P463" s="566"/>
      <c r="Q463" s="566"/>
      <c r="R463" s="566"/>
      <c r="S463" s="566"/>
      <c r="T463" s="566"/>
      <c r="U463" s="566"/>
      <c r="V463" s="566"/>
      <c r="W463" s="566"/>
      <c r="X463" s="566"/>
      <c r="Y463" s="566"/>
      <c r="Z463" s="566"/>
      <c r="AA463" s="545"/>
      <c r="AB463" s="545"/>
      <c r="AC463" s="545"/>
    </row>
    <row r="464" spans="1:68" ht="27" hidden="1" customHeight="1" x14ac:dyDescent="0.25">
      <c r="A464" s="54" t="s">
        <v>714</v>
      </c>
      <c r="B464" s="54" t="s">
        <v>715</v>
      </c>
      <c r="C464" s="31">
        <v>4301011763</v>
      </c>
      <c r="D464" s="558">
        <v>4640242181011</v>
      </c>
      <c r="E464" s="559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5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4301011585</v>
      </c>
      <c r="D465" s="558">
        <v>4640242180441</v>
      </c>
      <c r="E465" s="559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4301011584</v>
      </c>
      <c r="D466" s="558">
        <v>4640242180564</v>
      </c>
      <c r="E466" s="559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7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4301011764</v>
      </c>
      <c r="D467" s="558">
        <v>4640242181189</v>
      </c>
      <c r="E467" s="559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74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81"/>
      <c r="B468" s="566"/>
      <c r="C468" s="566"/>
      <c r="D468" s="566"/>
      <c r="E468" s="566"/>
      <c r="F468" s="566"/>
      <c r="G468" s="566"/>
      <c r="H468" s="566"/>
      <c r="I468" s="566"/>
      <c r="J468" s="566"/>
      <c r="K468" s="566"/>
      <c r="L468" s="566"/>
      <c r="M468" s="566"/>
      <c r="N468" s="566"/>
      <c r="O468" s="582"/>
      <c r="P468" s="562" t="s">
        <v>75</v>
      </c>
      <c r="Q468" s="563"/>
      <c r="R468" s="563"/>
      <c r="S468" s="563"/>
      <c r="T468" s="563"/>
      <c r="U468" s="563"/>
      <c r="V468" s="564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66"/>
      <c r="B469" s="566"/>
      <c r="C469" s="566"/>
      <c r="D469" s="566"/>
      <c r="E469" s="566"/>
      <c r="F469" s="566"/>
      <c r="G469" s="566"/>
      <c r="H469" s="566"/>
      <c r="I469" s="566"/>
      <c r="J469" s="566"/>
      <c r="K469" s="566"/>
      <c r="L469" s="566"/>
      <c r="M469" s="566"/>
      <c r="N469" s="566"/>
      <c r="O469" s="582"/>
      <c r="P469" s="562" t="s">
        <v>75</v>
      </c>
      <c r="Q469" s="563"/>
      <c r="R469" s="563"/>
      <c r="S469" s="563"/>
      <c r="T469" s="563"/>
      <c r="U469" s="563"/>
      <c r="V469" s="564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67" t="s">
        <v>135</v>
      </c>
      <c r="B470" s="566"/>
      <c r="C470" s="566"/>
      <c r="D470" s="566"/>
      <c r="E470" s="566"/>
      <c r="F470" s="566"/>
      <c r="G470" s="566"/>
      <c r="H470" s="566"/>
      <c r="I470" s="566"/>
      <c r="J470" s="566"/>
      <c r="K470" s="566"/>
      <c r="L470" s="566"/>
      <c r="M470" s="566"/>
      <c r="N470" s="566"/>
      <c r="O470" s="566"/>
      <c r="P470" s="566"/>
      <c r="Q470" s="566"/>
      <c r="R470" s="566"/>
      <c r="S470" s="566"/>
      <c r="T470" s="566"/>
      <c r="U470" s="566"/>
      <c r="V470" s="566"/>
      <c r="W470" s="566"/>
      <c r="X470" s="566"/>
      <c r="Y470" s="566"/>
      <c r="Z470" s="566"/>
      <c r="AA470" s="545"/>
      <c r="AB470" s="545"/>
      <c r="AC470" s="545"/>
    </row>
    <row r="471" spans="1:68" ht="27" hidden="1" customHeight="1" x14ac:dyDescent="0.25">
      <c r="A471" s="54" t="s">
        <v>725</v>
      </c>
      <c r="B471" s="54" t="s">
        <v>726</v>
      </c>
      <c r="C471" s="31">
        <v>4301020400</v>
      </c>
      <c r="D471" s="558">
        <v>4640242180519</v>
      </c>
      <c r="E471" s="559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728</v>
      </c>
      <c r="B472" s="54" t="s">
        <v>729</v>
      </c>
      <c r="C472" s="31">
        <v>4301020260</v>
      </c>
      <c r="D472" s="558">
        <v>4640242180526</v>
      </c>
      <c r="E472" s="559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7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81"/>
      <c r="B473" s="566"/>
      <c r="C473" s="566"/>
      <c r="D473" s="566"/>
      <c r="E473" s="566"/>
      <c r="F473" s="566"/>
      <c r="G473" s="566"/>
      <c r="H473" s="566"/>
      <c r="I473" s="566"/>
      <c r="J473" s="566"/>
      <c r="K473" s="566"/>
      <c r="L473" s="566"/>
      <c r="M473" s="566"/>
      <c r="N473" s="566"/>
      <c r="O473" s="582"/>
      <c r="P473" s="562" t="s">
        <v>75</v>
      </c>
      <c r="Q473" s="563"/>
      <c r="R473" s="563"/>
      <c r="S473" s="563"/>
      <c r="T473" s="563"/>
      <c r="U473" s="563"/>
      <c r="V473" s="564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66"/>
      <c r="B474" s="566"/>
      <c r="C474" s="566"/>
      <c r="D474" s="566"/>
      <c r="E474" s="566"/>
      <c r="F474" s="566"/>
      <c r="G474" s="566"/>
      <c r="H474" s="566"/>
      <c r="I474" s="566"/>
      <c r="J474" s="566"/>
      <c r="K474" s="566"/>
      <c r="L474" s="566"/>
      <c r="M474" s="566"/>
      <c r="N474" s="566"/>
      <c r="O474" s="582"/>
      <c r="P474" s="562" t="s">
        <v>75</v>
      </c>
      <c r="Q474" s="563"/>
      <c r="R474" s="563"/>
      <c r="S474" s="563"/>
      <c r="T474" s="563"/>
      <c r="U474" s="563"/>
      <c r="V474" s="564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67" t="s">
        <v>64</v>
      </c>
      <c r="B475" s="566"/>
      <c r="C475" s="566"/>
      <c r="D475" s="566"/>
      <c r="E475" s="566"/>
      <c r="F475" s="566"/>
      <c r="G475" s="566"/>
      <c r="H475" s="566"/>
      <c r="I475" s="566"/>
      <c r="J475" s="566"/>
      <c r="K475" s="566"/>
      <c r="L475" s="566"/>
      <c r="M475" s="566"/>
      <c r="N475" s="566"/>
      <c r="O475" s="566"/>
      <c r="P475" s="566"/>
      <c r="Q475" s="566"/>
      <c r="R475" s="566"/>
      <c r="S475" s="566"/>
      <c r="T475" s="566"/>
      <c r="U475" s="566"/>
      <c r="V475" s="566"/>
      <c r="W475" s="566"/>
      <c r="X475" s="566"/>
      <c r="Y475" s="566"/>
      <c r="Z475" s="566"/>
      <c r="AA475" s="545"/>
      <c r="AB475" s="545"/>
      <c r="AC475" s="545"/>
    </row>
    <row r="476" spans="1:68" ht="27" hidden="1" customHeight="1" x14ac:dyDescent="0.25">
      <c r="A476" s="54" t="s">
        <v>731</v>
      </c>
      <c r="B476" s="54" t="s">
        <v>732</v>
      </c>
      <c r="C476" s="31">
        <v>4301031467</v>
      </c>
      <c r="D476" s="558">
        <v>4640242180595</v>
      </c>
      <c r="E476" s="559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81"/>
      <c r="B477" s="566"/>
      <c r="C477" s="566"/>
      <c r="D477" s="566"/>
      <c r="E477" s="566"/>
      <c r="F477" s="566"/>
      <c r="G477" s="566"/>
      <c r="H477" s="566"/>
      <c r="I477" s="566"/>
      <c r="J477" s="566"/>
      <c r="K477" s="566"/>
      <c r="L477" s="566"/>
      <c r="M477" s="566"/>
      <c r="N477" s="566"/>
      <c r="O477" s="582"/>
      <c r="P477" s="562" t="s">
        <v>75</v>
      </c>
      <c r="Q477" s="563"/>
      <c r="R477" s="563"/>
      <c r="S477" s="563"/>
      <c r="T477" s="563"/>
      <c r="U477" s="563"/>
      <c r="V477" s="564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66"/>
      <c r="B478" s="566"/>
      <c r="C478" s="566"/>
      <c r="D478" s="566"/>
      <c r="E478" s="566"/>
      <c r="F478" s="566"/>
      <c r="G478" s="566"/>
      <c r="H478" s="566"/>
      <c r="I478" s="566"/>
      <c r="J478" s="566"/>
      <c r="K478" s="566"/>
      <c r="L478" s="566"/>
      <c r="M478" s="566"/>
      <c r="N478" s="566"/>
      <c r="O478" s="582"/>
      <c r="P478" s="562" t="s">
        <v>75</v>
      </c>
      <c r="Q478" s="563"/>
      <c r="R478" s="563"/>
      <c r="S478" s="563"/>
      <c r="T478" s="563"/>
      <c r="U478" s="563"/>
      <c r="V478" s="564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67" t="s">
        <v>77</v>
      </c>
      <c r="B479" s="566"/>
      <c r="C479" s="566"/>
      <c r="D479" s="566"/>
      <c r="E479" s="566"/>
      <c r="F479" s="566"/>
      <c r="G479" s="566"/>
      <c r="H479" s="566"/>
      <c r="I479" s="566"/>
      <c r="J479" s="566"/>
      <c r="K479" s="566"/>
      <c r="L479" s="566"/>
      <c r="M479" s="566"/>
      <c r="N479" s="566"/>
      <c r="O479" s="566"/>
      <c r="P479" s="566"/>
      <c r="Q479" s="566"/>
      <c r="R479" s="566"/>
      <c r="S479" s="566"/>
      <c r="T479" s="566"/>
      <c r="U479" s="566"/>
      <c r="V479" s="566"/>
      <c r="W479" s="566"/>
      <c r="X479" s="566"/>
      <c r="Y479" s="566"/>
      <c r="Z479" s="566"/>
      <c r="AA479" s="545"/>
      <c r="AB479" s="545"/>
      <c r="AC479" s="545"/>
    </row>
    <row r="480" spans="1:68" ht="27" hidden="1" customHeight="1" x14ac:dyDescent="0.25">
      <c r="A480" s="54" t="s">
        <v>734</v>
      </c>
      <c r="B480" s="54" t="s">
        <v>735</v>
      </c>
      <c r="C480" s="31">
        <v>4301052046</v>
      </c>
      <c r="D480" s="558">
        <v>4640242180533</v>
      </c>
      <c r="E480" s="559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/>
      <c r="M480" s="33" t="s">
        <v>86</v>
      </c>
      <c r="N480" s="33"/>
      <c r="O480" s="32">
        <v>45</v>
      </c>
      <c r="P480" s="75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81"/>
      <c r="B481" s="566"/>
      <c r="C481" s="566"/>
      <c r="D481" s="566"/>
      <c r="E481" s="566"/>
      <c r="F481" s="566"/>
      <c r="G481" s="566"/>
      <c r="H481" s="566"/>
      <c r="I481" s="566"/>
      <c r="J481" s="566"/>
      <c r="K481" s="566"/>
      <c r="L481" s="566"/>
      <c r="M481" s="566"/>
      <c r="N481" s="566"/>
      <c r="O481" s="582"/>
      <c r="P481" s="562" t="s">
        <v>75</v>
      </c>
      <c r="Q481" s="563"/>
      <c r="R481" s="563"/>
      <c r="S481" s="563"/>
      <c r="T481" s="563"/>
      <c r="U481" s="563"/>
      <c r="V481" s="564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hidden="1" x14ac:dyDescent="0.2">
      <c r="A482" s="566"/>
      <c r="B482" s="566"/>
      <c r="C482" s="566"/>
      <c r="D482" s="566"/>
      <c r="E482" s="566"/>
      <c r="F482" s="566"/>
      <c r="G482" s="566"/>
      <c r="H482" s="566"/>
      <c r="I482" s="566"/>
      <c r="J482" s="566"/>
      <c r="K482" s="566"/>
      <c r="L482" s="566"/>
      <c r="M482" s="566"/>
      <c r="N482" s="566"/>
      <c r="O482" s="582"/>
      <c r="P482" s="562" t="s">
        <v>75</v>
      </c>
      <c r="Q482" s="563"/>
      <c r="R482" s="563"/>
      <c r="S482" s="563"/>
      <c r="T482" s="563"/>
      <c r="U482" s="563"/>
      <c r="V482" s="564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hidden="1" customHeight="1" x14ac:dyDescent="0.25">
      <c r="A483" s="567" t="s">
        <v>160</v>
      </c>
      <c r="B483" s="566"/>
      <c r="C483" s="566"/>
      <c r="D483" s="566"/>
      <c r="E483" s="566"/>
      <c r="F483" s="566"/>
      <c r="G483" s="566"/>
      <c r="H483" s="566"/>
      <c r="I483" s="566"/>
      <c r="J483" s="566"/>
      <c r="K483" s="566"/>
      <c r="L483" s="566"/>
      <c r="M483" s="566"/>
      <c r="N483" s="566"/>
      <c r="O483" s="566"/>
      <c r="P483" s="566"/>
      <c r="Q483" s="566"/>
      <c r="R483" s="566"/>
      <c r="S483" s="566"/>
      <c r="T483" s="566"/>
      <c r="U483" s="566"/>
      <c r="V483" s="566"/>
      <c r="W483" s="566"/>
      <c r="X483" s="566"/>
      <c r="Y483" s="566"/>
      <c r="Z483" s="566"/>
      <c r="AA483" s="545"/>
      <c r="AB483" s="545"/>
      <c r="AC483" s="545"/>
    </row>
    <row r="484" spans="1:68" ht="27" hidden="1" customHeight="1" x14ac:dyDescent="0.25">
      <c r="A484" s="54" t="s">
        <v>737</v>
      </c>
      <c r="B484" s="54" t="s">
        <v>738</v>
      </c>
      <c r="C484" s="31">
        <v>4301060491</v>
      </c>
      <c r="D484" s="558">
        <v>4640242180120</v>
      </c>
      <c r="E484" s="559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740</v>
      </c>
      <c r="B485" s="54" t="s">
        <v>741</v>
      </c>
      <c r="C485" s="31">
        <v>4301060493</v>
      </c>
      <c r="D485" s="558">
        <v>4640242180137</v>
      </c>
      <c r="E485" s="559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81"/>
      <c r="B486" s="566"/>
      <c r="C486" s="566"/>
      <c r="D486" s="566"/>
      <c r="E486" s="566"/>
      <c r="F486" s="566"/>
      <c r="G486" s="566"/>
      <c r="H486" s="566"/>
      <c r="I486" s="566"/>
      <c r="J486" s="566"/>
      <c r="K486" s="566"/>
      <c r="L486" s="566"/>
      <c r="M486" s="566"/>
      <c r="N486" s="566"/>
      <c r="O486" s="582"/>
      <c r="P486" s="562" t="s">
        <v>75</v>
      </c>
      <c r="Q486" s="563"/>
      <c r="R486" s="563"/>
      <c r="S486" s="563"/>
      <c r="T486" s="563"/>
      <c r="U486" s="563"/>
      <c r="V486" s="564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66"/>
      <c r="B487" s="566"/>
      <c r="C487" s="566"/>
      <c r="D487" s="566"/>
      <c r="E487" s="566"/>
      <c r="F487" s="566"/>
      <c r="G487" s="566"/>
      <c r="H487" s="566"/>
      <c r="I487" s="566"/>
      <c r="J487" s="566"/>
      <c r="K487" s="566"/>
      <c r="L487" s="566"/>
      <c r="M487" s="566"/>
      <c r="N487" s="566"/>
      <c r="O487" s="582"/>
      <c r="P487" s="562" t="s">
        <v>75</v>
      </c>
      <c r="Q487" s="563"/>
      <c r="R487" s="563"/>
      <c r="S487" s="563"/>
      <c r="T487" s="563"/>
      <c r="U487" s="563"/>
      <c r="V487" s="564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65" t="s">
        <v>743</v>
      </c>
      <c r="B488" s="566"/>
      <c r="C488" s="566"/>
      <c r="D488" s="566"/>
      <c r="E488" s="566"/>
      <c r="F488" s="566"/>
      <c r="G488" s="566"/>
      <c r="H488" s="566"/>
      <c r="I488" s="566"/>
      <c r="J488" s="566"/>
      <c r="K488" s="566"/>
      <c r="L488" s="566"/>
      <c r="M488" s="566"/>
      <c r="N488" s="566"/>
      <c r="O488" s="566"/>
      <c r="P488" s="566"/>
      <c r="Q488" s="566"/>
      <c r="R488" s="566"/>
      <c r="S488" s="566"/>
      <c r="T488" s="566"/>
      <c r="U488" s="566"/>
      <c r="V488" s="566"/>
      <c r="W488" s="566"/>
      <c r="X488" s="566"/>
      <c r="Y488" s="566"/>
      <c r="Z488" s="566"/>
      <c r="AA488" s="544"/>
      <c r="AB488" s="544"/>
      <c r="AC488" s="544"/>
    </row>
    <row r="489" spans="1:68" ht="14.25" hidden="1" customHeight="1" x14ac:dyDescent="0.25">
      <c r="A489" s="567" t="s">
        <v>135</v>
      </c>
      <c r="B489" s="566"/>
      <c r="C489" s="566"/>
      <c r="D489" s="566"/>
      <c r="E489" s="566"/>
      <c r="F489" s="566"/>
      <c r="G489" s="566"/>
      <c r="H489" s="566"/>
      <c r="I489" s="566"/>
      <c r="J489" s="566"/>
      <c r="K489" s="566"/>
      <c r="L489" s="566"/>
      <c r="M489" s="566"/>
      <c r="N489" s="566"/>
      <c r="O489" s="566"/>
      <c r="P489" s="566"/>
      <c r="Q489" s="566"/>
      <c r="R489" s="566"/>
      <c r="S489" s="566"/>
      <c r="T489" s="566"/>
      <c r="U489" s="566"/>
      <c r="V489" s="566"/>
      <c r="W489" s="566"/>
      <c r="X489" s="566"/>
      <c r="Y489" s="566"/>
      <c r="Z489" s="566"/>
      <c r="AA489" s="545"/>
      <c r="AB489" s="545"/>
      <c r="AC489" s="545"/>
    </row>
    <row r="490" spans="1:68" ht="27" hidden="1" customHeight="1" x14ac:dyDescent="0.25">
      <c r="A490" s="54" t="s">
        <v>744</v>
      </c>
      <c r="B490" s="54" t="s">
        <v>745</v>
      </c>
      <c r="C490" s="31">
        <v>4301020314</v>
      </c>
      <c r="D490" s="558">
        <v>4640242180090</v>
      </c>
      <c r="E490" s="559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78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81"/>
      <c r="B491" s="566"/>
      <c r="C491" s="566"/>
      <c r="D491" s="566"/>
      <c r="E491" s="566"/>
      <c r="F491" s="566"/>
      <c r="G491" s="566"/>
      <c r="H491" s="566"/>
      <c r="I491" s="566"/>
      <c r="J491" s="566"/>
      <c r="K491" s="566"/>
      <c r="L491" s="566"/>
      <c r="M491" s="566"/>
      <c r="N491" s="566"/>
      <c r="O491" s="582"/>
      <c r="P491" s="562" t="s">
        <v>75</v>
      </c>
      <c r="Q491" s="563"/>
      <c r="R491" s="563"/>
      <c r="S491" s="563"/>
      <c r="T491" s="563"/>
      <c r="U491" s="563"/>
      <c r="V491" s="564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66"/>
      <c r="B492" s="566"/>
      <c r="C492" s="566"/>
      <c r="D492" s="566"/>
      <c r="E492" s="566"/>
      <c r="F492" s="566"/>
      <c r="G492" s="566"/>
      <c r="H492" s="566"/>
      <c r="I492" s="566"/>
      <c r="J492" s="566"/>
      <c r="K492" s="566"/>
      <c r="L492" s="566"/>
      <c r="M492" s="566"/>
      <c r="N492" s="566"/>
      <c r="O492" s="582"/>
      <c r="P492" s="562" t="s">
        <v>75</v>
      </c>
      <c r="Q492" s="563"/>
      <c r="R492" s="563"/>
      <c r="S492" s="563"/>
      <c r="T492" s="563"/>
      <c r="U492" s="563"/>
      <c r="V492" s="564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795"/>
      <c r="B493" s="566"/>
      <c r="C493" s="566"/>
      <c r="D493" s="566"/>
      <c r="E493" s="566"/>
      <c r="F493" s="566"/>
      <c r="G493" s="566"/>
      <c r="H493" s="566"/>
      <c r="I493" s="566"/>
      <c r="J493" s="566"/>
      <c r="K493" s="566"/>
      <c r="L493" s="566"/>
      <c r="M493" s="566"/>
      <c r="N493" s="566"/>
      <c r="O493" s="722"/>
      <c r="P493" s="716" t="s">
        <v>747</v>
      </c>
      <c r="Q493" s="670"/>
      <c r="R493" s="670"/>
      <c r="S493" s="670"/>
      <c r="T493" s="670"/>
      <c r="U493" s="670"/>
      <c r="V493" s="6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10930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11037.220000000001</v>
      </c>
      <c r="Z493" s="37"/>
      <c r="AA493" s="552"/>
      <c r="AB493" s="552"/>
      <c r="AC493" s="552"/>
    </row>
    <row r="494" spans="1:68" x14ac:dyDescent="0.2">
      <c r="A494" s="566"/>
      <c r="B494" s="566"/>
      <c r="C494" s="566"/>
      <c r="D494" s="566"/>
      <c r="E494" s="566"/>
      <c r="F494" s="566"/>
      <c r="G494" s="566"/>
      <c r="H494" s="566"/>
      <c r="I494" s="566"/>
      <c r="J494" s="566"/>
      <c r="K494" s="566"/>
      <c r="L494" s="566"/>
      <c r="M494" s="566"/>
      <c r="N494" s="566"/>
      <c r="O494" s="722"/>
      <c r="P494" s="716" t="s">
        <v>748</v>
      </c>
      <c r="Q494" s="670"/>
      <c r="R494" s="670"/>
      <c r="S494" s="670"/>
      <c r="T494" s="670"/>
      <c r="U494" s="670"/>
      <c r="V494" s="671"/>
      <c r="W494" s="37" t="s">
        <v>69</v>
      </c>
      <c r="X494" s="551">
        <f>IFERROR(SUM(BM22:BM490),"0")</f>
        <v>11566.868684399878</v>
      </c>
      <c r="Y494" s="551">
        <f>IFERROR(SUM(BN22:BN490),"0")</f>
        <v>11681.202999999998</v>
      </c>
      <c r="Z494" s="37"/>
      <c r="AA494" s="552"/>
      <c r="AB494" s="552"/>
      <c r="AC494" s="552"/>
    </row>
    <row r="495" spans="1:68" x14ac:dyDescent="0.2">
      <c r="A495" s="566"/>
      <c r="B495" s="566"/>
      <c r="C495" s="566"/>
      <c r="D495" s="566"/>
      <c r="E495" s="566"/>
      <c r="F495" s="566"/>
      <c r="G495" s="566"/>
      <c r="H495" s="566"/>
      <c r="I495" s="566"/>
      <c r="J495" s="566"/>
      <c r="K495" s="566"/>
      <c r="L495" s="566"/>
      <c r="M495" s="566"/>
      <c r="N495" s="566"/>
      <c r="O495" s="722"/>
      <c r="P495" s="716" t="s">
        <v>749</v>
      </c>
      <c r="Q495" s="670"/>
      <c r="R495" s="670"/>
      <c r="S495" s="670"/>
      <c r="T495" s="670"/>
      <c r="U495" s="670"/>
      <c r="V495" s="671"/>
      <c r="W495" s="37" t="s">
        <v>750</v>
      </c>
      <c r="X495" s="38">
        <f>ROUNDUP(SUM(BO22:BO490),0)</f>
        <v>20</v>
      </c>
      <c r="Y495" s="38">
        <f>ROUNDUP(SUM(BP22:BP490),0)</f>
        <v>20</v>
      </c>
      <c r="Z495" s="37"/>
      <c r="AA495" s="552"/>
      <c r="AB495" s="552"/>
      <c r="AC495" s="552"/>
    </row>
    <row r="496" spans="1:68" x14ac:dyDescent="0.2">
      <c r="A496" s="566"/>
      <c r="B496" s="566"/>
      <c r="C496" s="566"/>
      <c r="D496" s="566"/>
      <c r="E496" s="566"/>
      <c r="F496" s="566"/>
      <c r="G496" s="566"/>
      <c r="H496" s="566"/>
      <c r="I496" s="566"/>
      <c r="J496" s="566"/>
      <c r="K496" s="566"/>
      <c r="L496" s="566"/>
      <c r="M496" s="566"/>
      <c r="N496" s="566"/>
      <c r="O496" s="722"/>
      <c r="P496" s="716" t="s">
        <v>751</v>
      </c>
      <c r="Q496" s="670"/>
      <c r="R496" s="670"/>
      <c r="S496" s="670"/>
      <c r="T496" s="670"/>
      <c r="U496" s="670"/>
      <c r="V496" s="671"/>
      <c r="W496" s="37" t="s">
        <v>69</v>
      </c>
      <c r="X496" s="551">
        <f>GrossWeightTotal+PalletQtyTotal*25</f>
        <v>12066.868684399878</v>
      </c>
      <c r="Y496" s="551">
        <f>GrossWeightTotalR+PalletQtyTotalR*25</f>
        <v>12181.202999999998</v>
      </c>
      <c r="Z496" s="37"/>
      <c r="AA496" s="552"/>
      <c r="AB496" s="552"/>
      <c r="AC496" s="552"/>
    </row>
    <row r="497" spans="1:32" x14ac:dyDescent="0.2">
      <c r="A497" s="566"/>
      <c r="B497" s="566"/>
      <c r="C497" s="566"/>
      <c r="D497" s="566"/>
      <c r="E497" s="566"/>
      <c r="F497" s="566"/>
      <c r="G497" s="566"/>
      <c r="H497" s="566"/>
      <c r="I497" s="566"/>
      <c r="J497" s="566"/>
      <c r="K497" s="566"/>
      <c r="L497" s="566"/>
      <c r="M497" s="566"/>
      <c r="N497" s="566"/>
      <c r="O497" s="722"/>
      <c r="P497" s="716" t="s">
        <v>752</v>
      </c>
      <c r="Q497" s="670"/>
      <c r="R497" s="670"/>
      <c r="S497" s="670"/>
      <c r="T497" s="670"/>
      <c r="U497" s="670"/>
      <c r="V497" s="671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2300.990971478328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2322</v>
      </c>
      <c r="Z497" s="37"/>
      <c r="AA497" s="552"/>
      <c r="AB497" s="552"/>
      <c r="AC497" s="552"/>
    </row>
    <row r="498" spans="1:32" ht="14.25" hidden="1" customHeight="1" x14ac:dyDescent="0.2">
      <c r="A498" s="566"/>
      <c r="B498" s="566"/>
      <c r="C498" s="566"/>
      <c r="D498" s="566"/>
      <c r="E498" s="566"/>
      <c r="F498" s="566"/>
      <c r="G498" s="566"/>
      <c r="H498" s="566"/>
      <c r="I498" s="566"/>
      <c r="J498" s="566"/>
      <c r="K498" s="566"/>
      <c r="L498" s="566"/>
      <c r="M498" s="566"/>
      <c r="N498" s="566"/>
      <c r="O498" s="722"/>
      <c r="P498" s="716" t="s">
        <v>753</v>
      </c>
      <c r="Q498" s="670"/>
      <c r="R498" s="670"/>
      <c r="S498" s="670"/>
      <c r="T498" s="670"/>
      <c r="U498" s="670"/>
      <c r="V498" s="671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22.429229999999997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91" t="s">
        <v>97</v>
      </c>
      <c r="D500" s="746"/>
      <c r="E500" s="746"/>
      <c r="F500" s="746"/>
      <c r="G500" s="746"/>
      <c r="H500" s="747"/>
      <c r="I500" s="591" t="s">
        <v>266</v>
      </c>
      <c r="J500" s="746"/>
      <c r="K500" s="746"/>
      <c r="L500" s="746"/>
      <c r="M500" s="746"/>
      <c r="N500" s="746"/>
      <c r="O500" s="746"/>
      <c r="P500" s="746"/>
      <c r="Q500" s="746"/>
      <c r="R500" s="747"/>
      <c r="S500" s="591" t="s">
        <v>553</v>
      </c>
      <c r="T500" s="747"/>
      <c r="U500" s="591" t="s">
        <v>607</v>
      </c>
      <c r="V500" s="746"/>
      <c r="W500" s="747"/>
      <c r="X500" s="546" t="s">
        <v>658</v>
      </c>
      <c r="Y500" s="591" t="s">
        <v>713</v>
      </c>
      <c r="Z500" s="747"/>
      <c r="AB500" s="52"/>
      <c r="AC500" s="52"/>
      <c r="AF500" s="547"/>
    </row>
    <row r="501" spans="1:32" ht="14.25" customHeight="1" thickTop="1" x14ac:dyDescent="0.2">
      <c r="A501" s="759" t="s">
        <v>756</v>
      </c>
      <c r="B501" s="591" t="s">
        <v>63</v>
      </c>
      <c r="C501" s="591" t="s">
        <v>98</v>
      </c>
      <c r="D501" s="591" t="s">
        <v>116</v>
      </c>
      <c r="E501" s="591" t="s">
        <v>167</v>
      </c>
      <c r="F501" s="591" t="s">
        <v>189</v>
      </c>
      <c r="G501" s="591" t="s">
        <v>227</v>
      </c>
      <c r="H501" s="591" t="s">
        <v>97</v>
      </c>
      <c r="I501" s="591" t="s">
        <v>267</v>
      </c>
      <c r="J501" s="591" t="s">
        <v>322</v>
      </c>
      <c r="K501" s="591" t="s">
        <v>382</v>
      </c>
      <c r="L501" s="591" t="s">
        <v>423</v>
      </c>
      <c r="M501" s="591" t="s">
        <v>439</v>
      </c>
      <c r="N501" s="547"/>
      <c r="O501" s="591" t="s">
        <v>450</v>
      </c>
      <c r="P501" s="591" t="s">
        <v>459</v>
      </c>
      <c r="Q501" s="591" t="s">
        <v>472</v>
      </c>
      <c r="R501" s="591" t="s">
        <v>543</v>
      </c>
      <c r="S501" s="591" t="s">
        <v>554</v>
      </c>
      <c r="T501" s="591" t="s">
        <v>589</v>
      </c>
      <c r="U501" s="591" t="s">
        <v>608</v>
      </c>
      <c r="V501" s="591" t="s">
        <v>639</v>
      </c>
      <c r="W501" s="591" t="s">
        <v>654</v>
      </c>
      <c r="X501" s="591" t="s">
        <v>658</v>
      </c>
      <c r="Y501" s="591" t="s">
        <v>713</v>
      </c>
      <c r="Z501" s="591" t="s">
        <v>743</v>
      </c>
      <c r="AB501" s="52"/>
      <c r="AC501" s="52"/>
      <c r="AF501" s="547"/>
    </row>
    <row r="502" spans="1:32" ht="13.5" customHeight="1" thickBot="1" x14ac:dyDescent="0.25">
      <c r="A502" s="760"/>
      <c r="B502" s="592"/>
      <c r="C502" s="592"/>
      <c r="D502" s="592"/>
      <c r="E502" s="592"/>
      <c r="F502" s="592"/>
      <c r="G502" s="592"/>
      <c r="H502" s="592"/>
      <c r="I502" s="592"/>
      <c r="J502" s="592"/>
      <c r="K502" s="592"/>
      <c r="L502" s="592"/>
      <c r="M502" s="592"/>
      <c r="N502" s="547"/>
      <c r="O502" s="592"/>
      <c r="P502" s="592"/>
      <c r="Q502" s="592"/>
      <c r="R502" s="592"/>
      <c r="S502" s="592"/>
      <c r="T502" s="592"/>
      <c r="U502" s="592"/>
      <c r="V502" s="592"/>
      <c r="W502" s="592"/>
      <c r="X502" s="592"/>
      <c r="Y502" s="592"/>
      <c r="Z502" s="592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466.20000000000005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7.1999999999999993</v>
      </c>
      <c r="E503" s="46">
        <f>IFERROR(Y84*1,"0")+IFERROR(Y85*1,"0")+IFERROR(Y86*1,"0")+IFERROR(Y87*1,"0")+IFERROR(Y91*1,"0")+IFERROR(Y92*1,"0")+IFERROR(Y93*1,"0")+IFERROR(Y94*1,"0")</f>
        <v>726.30000000000007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807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462.90000000000003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2736.2999999999993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663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153.6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425.80000000000007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3330</v>
      </c>
      <c r="T503" s="46">
        <f>IFERROR(Y374*1,"0")+IFERROR(Y375*1,"0")+IFERROR(Y379*1,"0")+IFERROR(Y380*1,"0")+IFERROR(Y384*1,"0")+IFERROR(Y385*1,"0")+IFERROR(Y386*1,"0")</f>
        <v>261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997.92000000000007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T3j4FOcqTTbYk+xIPxmji/U0V5k1CXxmy3blgFbsUaIIU42FEvYjoIP65Kg1z9XKx/kLhGPf4WYlOZH8a0OOxA==" saltValue="JxUYyh/CL5X/UXWfoJJklQ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8,00"/>
        <filter val="1 511,00"/>
        <filter val="1 756,00"/>
        <filter val="1 939,00"/>
        <filter val="1,00"/>
        <filter val="10 930,00"/>
        <filter val="10,00"/>
        <filter val="10,50"/>
        <filter val="100,73"/>
        <filter val="104,96"/>
        <filter val="107,00"/>
        <filter val="11 566,87"/>
        <filter val="114,00"/>
        <filter val="116,67"/>
        <filter val="117,07"/>
        <filter val="12 066,87"/>
        <filter val="125,41"/>
        <filter val="14,00"/>
        <filter val="147,00"/>
        <filter val="151,00"/>
        <filter val="155,00"/>
        <filter val="163,00"/>
        <filter val="176,11"/>
        <filter val="18,26"/>
        <filter val="181,00"/>
        <filter val="184,00"/>
        <filter val="2 300,99"/>
        <filter val="2,22"/>
        <filter val="2,92"/>
        <filter val="20"/>
        <filter val="20,00"/>
        <filter val="21,00"/>
        <filter val="21,25"/>
        <filter val="213,97"/>
        <filter val="257,00"/>
        <filter val="26,30"/>
        <filter val="28,00"/>
        <filter val="28,56"/>
        <filter val="29,00"/>
        <filter val="295,00"/>
        <filter val="296,00"/>
        <filter val="30,00"/>
        <filter val="314,00"/>
        <filter val="315,00"/>
        <filter val="33,00"/>
        <filter val="337,00"/>
        <filter val="34,00"/>
        <filter val="349,00"/>
        <filter val="35,00"/>
        <filter val="36,00"/>
        <filter val="364,00"/>
        <filter val="389,00"/>
        <filter val="393,00"/>
        <filter val="4,00"/>
        <filter val="42,13"/>
        <filter val="425,00"/>
        <filter val="45,00"/>
        <filter val="458,00"/>
        <filter val="46,00"/>
        <filter val="464,00"/>
        <filter val="467,00"/>
        <filter val="49,66"/>
        <filter val="5,00"/>
        <filter val="51,00"/>
        <filter val="52,00"/>
        <filter val="53,00"/>
        <filter val="548,00"/>
        <filter val="56,00"/>
        <filter val="57,70"/>
        <filter val="58,00"/>
        <filter val="59,00"/>
        <filter val="619,00"/>
        <filter val="62,92"/>
        <filter val="645,00"/>
        <filter val="649,00"/>
        <filter val="656,00"/>
        <filter val="68,00"/>
        <filter val="7,00"/>
        <filter val="71,00"/>
        <filter val="715,00"/>
        <filter val="73,00"/>
        <filter val="74,89"/>
        <filter val="773,00"/>
        <filter val="774,16"/>
        <filter val="81,17"/>
        <filter val="88,00"/>
        <filter val="88,45"/>
        <filter val="90,00"/>
        <filter val="93,00"/>
        <filter val="95,00"/>
      </filters>
    </filterColumn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P492:V492"/>
    <mergeCell ref="D449:E449"/>
    <mergeCell ref="D150:E150"/>
    <mergeCell ref="P129:V129"/>
    <mergeCell ref="P474:V474"/>
    <mergeCell ref="D194:E194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321:E321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A155:Z155"/>
    <mergeCell ref="V6:W9"/>
    <mergeCell ref="P109:T109"/>
    <mergeCell ref="A59:Z59"/>
    <mergeCell ref="D217:E217"/>
    <mergeCell ref="P84:T84"/>
    <mergeCell ref="P222:T222"/>
    <mergeCell ref="P22:T22"/>
    <mergeCell ref="P40:T40"/>
    <mergeCell ref="A455:O456"/>
    <mergeCell ref="P257:T257"/>
    <mergeCell ref="A346:Z346"/>
    <mergeCell ref="P63:V63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D149:E149"/>
    <mergeCell ref="P178:T178"/>
    <mergeCell ref="D86:E86"/>
    <mergeCell ref="D151:E151"/>
    <mergeCell ref="D199:E199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Y500:Z500"/>
    <mergeCell ref="D385:E385"/>
    <mergeCell ref="P301:T301"/>
    <mergeCell ref="D257:E257"/>
    <mergeCell ref="D384:E384"/>
    <mergeCell ref="P341:T341"/>
    <mergeCell ref="A457:Z457"/>
    <mergeCell ref="A387:O388"/>
    <mergeCell ref="D364:E364"/>
    <mergeCell ref="D435:E435"/>
    <mergeCell ref="P274:T274"/>
    <mergeCell ref="D484:E484"/>
    <mergeCell ref="P314:T314"/>
    <mergeCell ref="D428:E428"/>
    <mergeCell ref="D415:E415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P107:T107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Z17:Z18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P491:V491"/>
    <mergeCell ref="P480:T480"/>
    <mergeCell ref="D108:E108"/>
    <mergeCell ref="D375:E375"/>
    <mergeCell ref="P273:T273"/>
    <mergeCell ref="D443:E443"/>
    <mergeCell ref="P487:V487"/>
    <mergeCell ref="P266:T266"/>
    <mergeCell ref="A212:O213"/>
    <mergeCell ref="P236:T236"/>
    <mergeCell ref="D79:E79"/>
    <mergeCell ref="P92:T92"/>
    <mergeCell ref="D314:E314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D464:E464"/>
    <mergeCell ref="P440:V440"/>
    <mergeCell ref="P467:T467"/>
    <mergeCell ref="P196:V196"/>
    <mergeCell ref="P466:T466"/>
    <mergeCell ref="P428:T428"/>
    <mergeCell ref="P415:T415"/>
    <mergeCell ref="A486:O487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P447:V447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P501:P502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A418:O419"/>
    <mergeCell ref="P186:V186"/>
    <mergeCell ref="A356:O357"/>
    <mergeCell ref="D169:E169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D327:E327"/>
    <mergeCell ref="P280:T280"/>
    <mergeCell ref="Q12:R12"/>
    <mergeCell ref="P169:T169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D369:E369"/>
    <mergeCell ref="P223:T223"/>
    <mergeCell ref="P52:T52"/>
    <mergeCell ref="P350:T350"/>
    <mergeCell ref="P201:V20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9:E9"/>
    <mergeCell ref="F9:G9"/>
    <mergeCell ref="P353:T353"/>
    <mergeCell ref="P132:T132"/>
    <mergeCell ref="P367:V367"/>
    <mergeCell ref="A122:O123"/>
    <mergeCell ref="D52:E52"/>
    <mergeCell ref="D27:E27"/>
    <mergeCell ref="P15:T16"/>
    <mergeCell ref="P23:T23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A43:O44"/>
    <mergeCell ref="P133:V133"/>
    <mergeCell ref="P210:T210"/>
    <mergeCell ref="D398:E398"/>
    <mergeCell ref="D454:E454"/>
    <mergeCell ref="A267:O268"/>
    <mergeCell ref="P308:T308"/>
    <mergeCell ref="A423:O424"/>
    <mergeCell ref="D211:E211"/>
    <mergeCell ref="P168:T168"/>
    <mergeCell ref="P190:V190"/>
    <mergeCell ref="P131:T131"/>
    <mergeCell ref="Q9:R9"/>
    <mergeCell ref="P267:V267"/>
    <mergeCell ref="D451:E451"/>
    <mergeCell ref="D255:E255"/>
    <mergeCell ref="A113:Z113"/>
    <mergeCell ref="P36:V36"/>
    <mergeCell ref="J9:M9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P429:T429"/>
    <mergeCell ref="A111:O112"/>
    <mergeCell ref="D301:E301"/>
    <mergeCell ref="D245:E245"/>
    <mergeCell ref="P116:T116"/>
    <mergeCell ref="P103:T103"/>
    <mergeCell ref="A26:Z26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D334:E334"/>
    <mergeCell ref="D329:E329"/>
    <mergeCell ref="D400:E400"/>
    <mergeCell ref="D240:E240"/>
    <mergeCell ref="A244:Z244"/>
    <mergeCell ref="P255:T255"/>
    <mergeCell ref="P48:V48"/>
    <mergeCell ref="A165:Z165"/>
    <mergeCell ref="A293:O294"/>
    <mergeCell ref="P112:V112"/>
    <mergeCell ref="D100:E100"/>
    <mergeCell ref="P17:T18"/>
    <mergeCell ref="A77:Z77"/>
    <mergeCell ref="P194:T194"/>
    <mergeCell ref="A180:O181"/>
    <mergeCell ref="P286:T286"/>
    <mergeCell ref="P272:T272"/>
    <mergeCell ref="A275:O276"/>
    <mergeCell ref="P219:T219"/>
    <mergeCell ref="D162:E162"/>
    <mergeCell ref="D62:E62"/>
    <mergeCell ref="D51:E51"/>
    <mergeCell ref="P235:T235"/>
    <mergeCell ref="A82:Z82"/>
    <mergeCell ref="A68:O69"/>
    <mergeCell ref="P139:V139"/>
    <mergeCell ref="P156:T156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A313:Z313"/>
    <mergeCell ref="P282:V282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34:T34"/>
    <mergeCell ref="P101:T101"/>
    <mergeCell ref="P111:V111"/>
    <mergeCell ref="J17:J18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334:T334"/>
    <mergeCell ref="P394:T394"/>
    <mergeCell ref="D315:E315"/>
    <mergeCell ref="P173:T173"/>
    <mergeCell ref="P29:T29"/>
    <mergeCell ref="P271:T271"/>
    <mergeCell ref="P100:T100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D300:E300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P79:T79"/>
    <mergeCell ref="D60:E60"/>
    <mergeCell ref="P73:T73"/>
    <mergeCell ref="P437:T437"/>
    <mergeCell ref="P315:T315"/>
    <mergeCell ref="A361:O362"/>
    <mergeCell ref="A190:O191"/>
    <mergeCell ref="P458:T458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P237:T237"/>
    <mergeCell ref="A226:Z226"/>
    <mergeCell ref="P329:T329"/>
    <mergeCell ref="P180:V180"/>
    <mergeCell ref="P86:T86"/>
    <mergeCell ref="P328:T328"/>
    <mergeCell ref="P384:T384"/>
    <mergeCell ref="D78:E78"/>
    <mergeCell ref="A378:Z378"/>
    <mergeCell ref="D205:E205"/>
    <mergeCell ref="R1:T1"/>
    <mergeCell ref="P150:T150"/>
    <mergeCell ref="D71:E71"/>
    <mergeCell ref="V10:W10"/>
    <mergeCell ref="B17:B18"/>
    <mergeCell ref="D8:M8"/>
    <mergeCell ref="P251:V251"/>
    <mergeCell ref="P265:T265"/>
    <mergeCell ref="P94:T94"/>
    <mergeCell ref="D379:E379"/>
    <mergeCell ref="D208:E208"/>
    <mergeCell ref="A63:O64"/>
    <mergeCell ref="H1:Q1"/>
    <mergeCell ref="P345:V345"/>
    <mergeCell ref="P246:V246"/>
    <mergeCell ref="D28:E28"/>
    <mergeCell ref="D1:F1"/>
    <mergeCell ref="L17:L18"/>
    <mergeCell ref="P443:T443"/>
    <mergeCell ref="P166:T166"/>
    <mergeCell ref="P464:T464"/>
    <mergeCell ref="D147:E147"/>
    <mergeCell ref="D445:E445"/>
    <mergeCell ref="D274:E274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6 X168 X170 X175 X177 X200 X204:X205 X207:X209 X211 X217:X218 X220:X223 X228 X233 X280:X281 X321:X323 X330 X341 X349:X350 X352 X359 X384 X386 X428 X431:X432 X434 X443 X445 X449:X45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c3bqZnElXrDRbK8B6b+LO2JaWKJqMrgW5L6HwUopIJWd4f2bzhY+JP05H3q129FYDdP30999Y09lhaYsXt0gSg==" saltValue="w08IHyr5laNrZEryylie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2026-01-21T13:09:02Z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