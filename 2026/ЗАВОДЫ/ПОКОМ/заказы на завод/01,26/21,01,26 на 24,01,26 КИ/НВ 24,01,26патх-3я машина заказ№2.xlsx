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80A61A0-D094-4A99-992A-67EABBB6A34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BP194" i="1" s="1"/>
  <c r="P194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P34" i="1"/>
  <c r="BO34" i="1"/>
  <c r="BN34" i="1"/>
  <c r="BM34" i="1"/>
  <c r="Z34" i="1"/>
  <c r="Z35" i="1" s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40" i="1" l="1"/>
  <c r="BN40" i="1"/>
  <c r="Z40" i="1"/>
  <c r="BP79" i="1"/>
  <c r="BN79" i="1"/>
  <c r="Z79" i="1"/>
  <c r="BP84" i="1"/>
  <c r="BN84" i="1"/>
  <c r="Z84" i="1"/>
  <c r="BP177" i="1"/>
  <c r="BN177" i="1"/>
  <c r="Z177" i="1"/>
  <c r="BP209" i="1"/>
  <c r="BN209" i="1"/>
  <c r="Z209" i="1"/>
  <c r="BP215" i="1"/>
  <c r="BN215" i="1"/>
  <c r="Z215" i="1"/>
  <c r="BP254" i="1"/>
  <c r="BN254" i="1"/>
  <c r="Z254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X497" i="1"/>
  <c r="Z28" i="1"/>
  <c r="BN28" i="1"/>
  <c r="Y36" i="1"/>
  <c r="Y35" i="1"/>
  <c r="BP55" i="1"/>
  <c r="BN55" i="1"/>
  <c r="Z55" i="1"/>
  <c r="BP169" i="1"/>
  <c r="BN169" i="1"/>
  <c r="Z169" i="1"/>
  <c r="BP200" i="1"/>
  <c r="BN200" i="1"/>
  <c r="Z200" i="1"/>
  <c r="BP223" i="1"/>
  <c r="BN223" i="1"/>
  <c r="Z223" i="1"/>
  <c r="BP234" i="1"/>
  <c r="BN234" i="1"/>
  <c r="Z234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Z486" i="1" s="1"/>
  <c r="J9" i="1"/>
  <c r="F9" i="1"/>
  <c r="F10" i="1"/>
  <c r="Z22" i="1"/>
  <c r="BN22" i="1"/>
  <c r="Y32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Z101" i="1"/>
  <c r="BN101" i="1"/>
  <c r="Z107" i="1"/>
  <c r="BN107" i="1"/>
  <c r="BP107" i="1"/>
  <c r="Z115" i="1"/>
  <c r="BN115" i="1"/>
  <c r="Z121" i="1"/>
  <c r="Z122" i="1" s="1"/>
  <c r="BN121" i="1"/>
  <c r="BP121" i="1"/>
  <c r="Y122" i="1"/>
  <c r="Z126" i="1"/>
  <c r="BN126" i="1"/>
  <c r="Z136" i="1"/>
  <c r="BN136" i="1"/>
  <c r="BP136" i="1"/>
  <c r="Z149" i="1"/>
  <c r="BN149" i="1"/>
  <c r="Z167" i="1"/>
  <c r="BN167" i="1"/>
  <c r="Z171" i="1"/>
  <c r="BN171" i="1"/>
  <c r="Z175" i="1"/>
  <c r="BN175" i="1"/>
  <c r="Z179" i="1"/>
  <c r="BN179" i="1"/>
  <c r="Y187" i="1"/>
  <c r="Z185" i="1"/>
  <c r="BN185" i="1"/>
  <c r="Y186" i="1"/>
  <c r="Z189" i="1"/>
  <c r="Z190" i="1" s="1"/>
  <c r="BN189" i="1"/>
  <c r="BP189" i="1"/>
  <c r="Y190" i="1"/>
  <c r="Z194" i="1"/>
  <c r="BN194" i="1"/>
  <c r="Z207" i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56" i="1"/>
  <c r="BN256" i="1"/>
  <c r="Z265" i="1"/>
  <c r="BN265" i="1"/>
  <c r="Z274" i="1"/>
  <c r="BN274" i="1"/>
  <c r="Z281" i="1"/>
  <c r="BN281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Z99" i="1"/>
  <c r="BN99" i="1"/>
  <c r="Z103" i="1"/>
  <c r="BN103" i="1"/>
  <c r="Z109" i="1"/>
  <c r="BN109" i="1"/>
  <c r="Z117" i="1"/>
  <c r="BN117" i="1"/>
  <c r="Z132" i="1"/>
  <c r="BN132" i="1"/>
  <c r="Z143" i="1"/>
  <c r="BN143" i="1"/>
  <c r="Z147" i="1"/>
  <c r="BN147" i="1"/>
  <c r="Z151" i="1"/>
  <c r="BN151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Z43" i="1" s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Z75" i="1" s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68" i="1" l="1"/>
  <c r="Z446" i="1"/>
  <c r="Z440" i="1"/>
  <c r="Z473" i="1"/>
  <c r="Z401" i="1"/>
  <c r="Z212" i="1"/>
  <c r="Z406" i="1"/>
  <c r="Z104" i="1"/>
  <c r="Z80" i="1"/>
  <c r="Z24" i="1"/>
  <c r="Z356" i="1"/>
  <c r="Z267" i="1"/>
  <c r="Z224" i="1"/>
  <c r="Y494" i="1"/>
  <c r="Y495" i="1"/>
  <c r="Z31" i="1"/>
  <c r="X496" i="1"/>
  <c r="Z302" i="1"/>
  <c r="Z455" i="1"/>
  <c r="Z57" i="1"/>
  <c r="Z311" i="1"/>
  <c r="Z153" i="1"/>
  <c r="Z88" i="1"/>
  <c r="Z337" i="1"/>
  <c r="Z275" i="1"/>
  <c r="Z258" i="1"/>
  <c r="Z318" i="1"/>
  <c r="Z180" i="1"/>
  <c r="Z418" i="1"/>
  <c r="Z242" i="1"/>
  <c r="Y497" i="1"/>
  <c r="Z118" i="1"/>
  <c r="Z63" i="1"/>
  <c r="Y493" i="1"/>
  <c r="Z498" i="1" l="1"/>
  <c r="Y496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<sst xmlns="http://schemas.openxmlformats.org/spreadsheetml/2006/main" count="2339" uniqueCount="774">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</sst>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46046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Суббота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0.45833333333333331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50</v>
      </c>
      <c r="Y40" s="55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4.6296296296296298</v>
      </c>
      <c r="Y43" s="551">
        <f>IFERROR(Y40/H40,"0")+IFERROR(Y41/H41,"0")+IFERROR(Y42/H42,"0")</f>
        <v>5</v>
      </c>
      <c r="Z43" s="551">
        <f>IFERROR(IF(Z40="",0,Z40),"0")+IFERROR(IF(Z41="",0,Z41),"0")+IFERROR(IF(Z42="",0,Z42),"0")</f>
        <v>9.4899999999999998E-2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50</v>
      </c>
      <c r="Y44" s="551">
        <f>IFERROR(SUM(Y40:Y42),"0")</f>
        <v>54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30</v>
      </c>
      <c r="Y60" s="550">
        <f>IFERROR(IF(X60="",0,CEILING((X60/$H60),1)*$H60),"")</f>
        <v>32.400000000000006</v>
      </c>
      <c r="Z60" s="36">
        <f>IFERROR(IF(Y60=0,"",ROUNDUP(Y60/H60,0)*0.01898),"")</f>
        <v>5.6940000000000004E-2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31.138888888888889</v>
      </c>
      <c r="BN60" s="64">
        <f>IFERROR(Y60*I60/H60,"0")</f>
        <v>33.630000000000003</v>
      </c>
      <c r="BO60" s="64">
        <f>IFERROR(1/J60*(X60/H60),"0")</f>
        <v>4.3402777777777776E-2</v>
      </c>
      <c r="BP60" s="64">
        <f>IFERROR(1/J60*(Y60/H60),"0")</f>
        <v>4.6875000000000007E-2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2.7777777777777777</v>
      </c>
      <c r="Y63" s="551">
        <f>IFERROR(Y60/H60,"0")+IFERROR(Y61/H61,"0")+IFERROR(Y62/H62,"0")</f>
        <v>3.0000000000000004</v>
      </c>
      <c r="Z63" s="551">
        <f>IFERROR(IF(Z60="",0,Z60),"0")+IFERROR(IF(Z61="",0,Z61),"0")+IFERROR(IF(Z62="",0,Z62),"0")</f>
        <v>5.6940000000000004E-2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30</v>
      </c>
      <c r="Y64" s="551">
        <f>IFERROR(SUM(Y60:Y62),"0")</f>
        <v>32.400000000000006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150</v>
      </c>
      <c r="Y84" s="550">
        <f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155.69444444444446</v>
      </c>
      <c r="BN84" s="64">
        <f>IFERROR(Y84*I84/H84,"0")</f>
        <v>156.94</v>
      </c>
      <c r="BO84" s="64">
        <f>IFERROR(1/J84*(X84/H84),"0")</f>
        <v>0.21701388888888887</v>
      </c>
      <c r="BP84" s="64">
        <f>IFERROR(1/J84*(Y84/H84),"0")</f>
        <v>0.21875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13.888888888888888</v>
      </c>
      <c r="Y88" s="551">
        <f>IFERROR(Y84/H84,"0")+IFERROR(Y85/H85,"0")+IFERROR(Y86/H86,"0")+IFERROR(Y87/H87,"0")</f>
        <v>14</v>
      </c>
      <c r="Z88" s="551">
        <f>IFERROR(IF(Z84="",0,Z84),"0")+IFERROR(IF(Z85="",0,Z85),"0")+IFERROR(IF(Z86="",0,Z86),"0")+IFERROR(IF(Z87="",0,Z87),"0")</f>
        <v>0.26572000000000001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150</v>
      </c>
      <c r="Y89" s="551">
        <f>IFERROR(SUM(Y84:Y87),"0")</f>
        <v>151.20000000000002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100</v>
      </c>
      <c r="Y91" s="55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27</v>
      </c>
      <c r="Y93" s="550">
        <f>IFERROR(IF(X93="",0,CEILING((X93/$H93),1)*$H93),"")</f>
        <v>27</v>
      </c>
      <c r="Z93" s="36">
        <f>IFERROR(IF(Y93=0,"",ROUNDUP(Y93/H93,0)*0.00651),"")</f>
        <v>6.5100000000000005E-2</v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29.519999999999996</v>
      </c>
      <c r="BN93" s="64">
        <f>IFERROR(Y93*I93/H93,"0")</f>
        <v>29.519999999999996</v>
      </c>
      <c r="BO93" s="64">
        <f>IFERROR(1/J93*(X93/H93),"0")</f>
        <v>5.4945054945054951E-2</v>
      </c>
      <c r="BP93" s="64">
        <f>IFERROR(1/J93*(Y93/H93),"0")</f>
        <v>5.4945054945054951E-2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22.345679012345677</v>
      </c>
      <c r="Y95" s="551">
        <f>IFERROR(Y91/H91,"0")+IFERROR(Y92/H92,"0")+IFERROR(Y93/H93,"0")+IFERROR(Y94/H94,"0")</f>
        <v>23</v>
      </c>
      <c r="Z95" s="551">
        <f>IFERROR(IF(Z91="",0,Z91),"0")+IFERROR(IF(Z92="",0,Z92),"0")+IFERROR(IF(Z93="",0,Z93),"0")+IFERROR(IF(Z94="",0,Z94),"0")</f>
        <v>0.31184000000000001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127</v>
      </c>
      <c r="Y96" s="551">
        <f>IFERROR(SUM(Y91:Y94),"0")</f>
        <v>132.30000000000001</v>
      </c>
      <c r="Z96" s="37"/>
      <c r="AA96" s="552"/>
      <c r="AB96" s="552"/>
      <c r="AC96" s="552"/>
    </row>
    <row r="97" spans="1:68" ht="16.5" hidden="1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60</v>
      </c>
      <c r="Y99" s="550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5.5555555555555554</v>
      </c>
      <c r="Y104" s="551">
        <f>IFERROR(Y99/H99,"0")+IFERROR(Y100/H100,"0")+IFERROR(Y101/H101,"0")+IFERROR(Y102/H102,"0")+IFERROR(Y103/H103,"0")</f>
        <v>6.0000000000000009</v>
      </c>
      <c r="Z104" s="551">
        <f>IFERROR(IF(Z99="",0,Z99),"0")+IFERROR(IF(Z100="",0,Z100),"0")+IFERROR(IF(Z101="",0,Z101),"0")+IFERROR(IF(Z102="",0,Z102),"0")+IFERROR(IF(Z103="",0,Z103),"0")</f>
        <v>0.11388000000000001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60</v>
      </c>
      <c r="Y105" s="551">
        <f>IFERROR(SUM(Y99:Y103),"0")</f>
        <v>64.800000000000011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0</v>
      </c>
      <c r="Y118" s="551">
        <f>IFERROR(Y114/H114,"0")+IFERROR(Y115/H115,"0")+IFERROR(Y116/H116,"0")+IFERROR(Y117/H117,"0")</f>
        <v>0</v>
      </c>
      <c r="Z118" s="551">
        <f>IFERROR(IF(Z114="",0,Z114),"0")+IFERROR(IF(Z115="",0,Z115),"0")+IFERROR(IF(Z116="",0,Z116),"0")+IFERROR(IF(Z117="",0,Z117),"0")</f>
        <v>0</v>
      </c>
      <c r="AA118" s="552"/>
      <c r="AB118" s="552"/>
      <c r="AC118" s="552"/>
    </row>
    <row r="119" spans="1:68" hidden="1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0</v>
      </c>
      <c r="Y119" s="551">
        <f>IFERROR(SUM(Y114:Y117),"0")</f>
        <v>0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100</v>
      </c>
      <c r="Y166" s="550">
        <f t="shared" ref="Y166:Y179" si="10">IFERROR(IF(X166="",0,CEILING((X166/$H166),1)*$H166),"")</f>
        <v>100.80000000000001</v>
      </c>
      <c r="Z166" s="36">
        <f>IFERROR(IF(Y166=0,"",ROUNDUP(Y166/H166,0)*0.00902),"")</f>
        <v>0.21648000000000001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105.95238095238095</v>
      </c>
      <c r="BN166" s="64">
        <f t="shared" ref="BN166:BN179" si="12">IFERROR(Y166*I166/H166,"0")</f>
        <v>106.80000000000001</v>
      </c>
      <c r="BO166" s="64">
        <f t="shared" ref="BO166:BO179" si="13">IFERROR(1/J166*(X166/H166),"0")</f>
        <v>0.18037518037518038</v>
      </c>
      <c r="BP166" s="64">
        <f t="shared" ref="BP166:BP179" si="14">IFERROR(1/J166*(Y166/H166),"0")</f>
        <v>0.18181818181818182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15</v>
      </c>
      <c r="Y167" s="550">
        <f t="shared" si="10"/>
        <v>16.8</v>
      </c>
      <c r="Z167" s="36">
        <f>IFERROR(IF(Y167=0,"",ROUNDUP(Y167/H167,0)*0.00902),"")</f>
        <v>3.6080000000000001E-2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15.892857142857142</v>
      </c>
      <c r="BN167" s="64">
        <f t="shared" si="12"/>
        <v>17.8</v>
      </c>
      <c r="BO167" s="64">
        <f t="shared" si="13"/>
        <v>2.7056277056277056E-2</v>
      </c>
      <c r="BP167" s="64">
        <f t="shared" si="14"/>
        <v>3.0303030303030304E-2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45</v>
      </c>
      <c r="Y168" s="550">
        <f t="shared" si="10"/>
        <v>46.2</v>
      </c>
      <c r="Z168" s="36">
        <f>IFERROR(IF(Y168=0,"",ROUNDUP(Y168/H168,0)*0.00902),"")</f>
        <v>9.9220000000000003E-2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47.035714285714278</v>
      </c>
      <c r="BN168" s="64">
        <f t="shared" si="12"/>
        <v>48.289999999999992</v>
      </c>
      <c r="BO168" s="64">
        <f t="shared" si="13"/>
        <v>8.1168831168831168E-2</v>
      </c>
      <c r="BP168" s="64">
        <f t="shared" si="14"/>
        <v>8.3333333333333343E-2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8.3999999999999986</v>
      </c>
      <c r="Y177" s="550">
        <f t="shared" si="10"/>
        <v>8.4</v>
      </c>
      <c r="Z177" s="36">
        <f>IFERROR(IF(Y177=0,"",ROUNDUP(Y177/H177,0)*0.00502),"")</f>
        <v>2.0080000000000001E-2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8.7999999999999989</v>
      </c>
      <c r="BN177" s="64">
        <f t="shared" si="12"/>
        <v>8.8000000000000007</v>
      </c>
      <c r="BO177" s="64">
        <f t="shared" si="13"/>
        <v>1.7094017094017092E-2</v>
      </c>
      <c r="BP177" s="64">
        <f t="shared" si="14"/>
        <v>1.7094017094017096E-2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42.095238095238095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43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0.37185999999999997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168.4</v>
      </c>
      <c r="Y181" s="551">
        <f>IFERROR(SUM(Y166:Y179),"0")</f>
        <v>172.20000000000002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50</v>
      </c>
      <c r="Y204" s="550">
        <f t="shared" ref="Y204:Y211" si="15">IFERROR(IF(X204="",0,CEILING((X204/$H204),1)*$H204),"")</f>
        <v>54</v>
      </c>
      <c r="Z204" s="36">
        <f>IFERROR(IF(Y204=0,"",ROUNDUP(Y204/H204,0)*0.00902),"")</f>
        <v>9.0200000000000002E-2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51.759259259259252</v>
      </c>
      <c r="BN204" s="64">
        <f t="shared" ref="BN204:BN211" si="17">IFERROR(Y204*I204/H204,"0")</f>
        <v>55.9</v>
      </c>
      <c r="BO204" s="64">
        <f t="shared" ref="BO204:BO211" si="18">IFERROR(1/J204*(X204/H204),"0")</f>
        <v>7.0145903479236812E-2</v>
      </c>
      <c r="BP204" s="64">
        <f t="shared" ref="BP204:BP211" si="19">IFERROR(1/J204*(Y204/H204),"0")</f>
        <v>7.575757575757576E-2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100</v>
      </c>
      <c r="Y205" s="550">
        <f t="shared" si="15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103.5185185185185</v>
      </c>
      <c r="BN205" s="64">
        <f t="shared" si="17"/>
        <v>106.21</v>
      </c>
      <c r="BO205" s="64">
        <f t="shared" si="18"/>
        <v>0.14029180695847362</v>
      </c>
      <c r="BP205" s="64">
        <f t="shared" si="19"/>
        <v>0.14393939393939395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100</v>
      </c>
      <c r="Y206" s="550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100</v>
      </c>
      <c r="Y207" s="550">
        <f t="shared" si="15"/>
        <v>102.60000000000001</v>
      </c>
      <c r="Z207" s="36">
        <f>IFERROR(IF(Y207=0,"",ROUNDUP(Y207/H207,0)*0.00902),"")</f>
        <v>0.17138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103.5185185185185</v>
      </c>
      <c r="BN207" s="64">
        <f t="shared" si="17"/>
        <v>106.21</v>
      </c>
      <c r="BO207" s="64">
        <f t="shared" si="18"/>
        <v>0.14029180695847362</v>
      </c>
      <c r="BP207" s="64">
        <f t="shared" si="19"/>
        <v>0.14393939393939395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64.81481481481481</v>
      </c>
      <c r="Y212" s="551">
        <f>IFERROR(Y204/H204,"0")+IFERROR(Y205/H205,"0")+IFERROR(Y206/H206,"0")+IFERROR(Y207/H207,"0")+IFERROR(Y208/H208,"0")+IFERROR(Y209/H209,"0")+IFERROR(Y210/H210,"0")+IFERROR(Y211/H211,"0")</f>
        <v>67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0.60433999999999999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350</v>
      </c>
      <c r="Y213" s="551">
        <f>IFERROR(SUM(Y204:Y211),"0")</f>
        <v>361.80000000000007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20</v>
      </c>
      <c r="Y217" s="550">
        <f t="shared" si="20"/>
        <v>26.099999999999998</v>
      </c>
      <c r="Z217" s="36">
        <f>IFERROR(IF(Y217=0,"",ROUNDUP(Y217/H217,0)*0.01898),"")</f>
        <v>5.6940000000000004E-2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21.135632183908051</v>
      </c>
      <c r="BN217" s="64">
        <f t="shared" si="22"/>
        <v>27.582000000000004</v>
      </c>
      <c r="BO217" s="64">
        <f t="shared" si="23"/>
        <v>3.5919540229885062E-2</v>
      </c>
      <c r="BP217" s="64">
        <f t="shared" si="24"/>
        <v>4.6875E-2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240</v>
      </c>
      <c r="Y218" s="550">
        <f t="shared" si="20"/>
        <v>240</v>
      </c>
      <c r="Z218" s="36">
        <f t="shared" ref="Z218:Z223" si="25">IFERROR(IF(Y218=0,"",ROUNDUP(Y218/H218,0)*0.00651),"")</f>
        <v>0.65100000000000002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267</v>
      </c>
      <c r="BN218" s="64">
        <f t="shared" si="22"/>
        <v>267</v>
      </c>
      <c r="BO218" s="64">
        <f t="shared" si="23"/>
        <v>0.5494505494505495</v>
      </c>
      <c r="BP218" s="64">
        <f t="shared" si="24"/>
        <v>0.5494505494505495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192</v>
      </c>
      <c r="Y220" s="550">
        <f t="shared" si="20"/>
        <v>192</v>
      </c>
      <c r="Z220" s="36">
        <f t="shared" si="25"/>
        <v>0.52080000000000004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212.16000000000003</v>
      </c>
      <c r="BN220" s="64">
        <f t="shared" si="22"/>
        <v>212.16000000000003</v>
      </c>
      <c r="BO220" s="64">
        <f t="shared" si="23"/>
        <v>0.43956043956043961</v>
      </c>
      <c r="BP220" s="64">
        <f t="shared" si="24"/>
        <v>0.43956043956043961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192</v>
      </c>
      <c r="Y221" s="550">
        <f t="shared" si="20"/>
        <v>192</v>
      </c>
      <c r="Z221" s="36">
        <f t="shared" si="25"/>
        <v>0.52080000000000004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212.16000000000003</v>
      </c>
      <c r="BN221" s="64">
        <f t="shared" si="22"/>
        <v>212.16000000000003</v>
      </c>
      <c r="BO221" s="64">
        <f t="shared" si="23"/>
        <v>0.43956043956043961</v>
      </c>
      <c r="BP221" s="64">
        <f t="shared" si="24"/>
        <v>0.43956043956043961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192</v>
      </c>
      <c r="Y222" s="550">
        <f t="shared" si="20"/>
        <v>192</v>
      </c>
      <c r="Z222" s="36">
        <f t="shared" si="25"/>
        <v>0.52080000000000004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212.16000000000003</v>
      </c>
      <c r="BN222" s="64">
        <f t="shared" si="22"/>
        <v>212.16000000000003</v>
      </c>
      <c r="BO222" s="64">
        <f t="shared" si="23"/>
        <v>0.43956043956043961</v>
      </c>
      <c r="BP222" s="64">
        <f t="shared" si="24"/>
        <v>0.43956043956043961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192</v>
      </c>
      <c r="Y223" s="550">
        <f t="shared" si="20"/>
        <v>192</v>
      </c>
      <c r="Z223" s="36">
        <f t="shared" si="25"/>
        <v>0.52080000000000004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212.64000000000001</v>
      </c>
      <c r="BN223" s="64">
        <f t="shared" si="22"/>
        <v>212.64000000000001</v>
      </c>
      <c r="BO223" s="64">
        <f t="shared" si="23"/>
        <v>0.43956043956043961</v>
      </c>
      <c r="BP223" s="64">
        <f t="shared" si="24"/>
        <v>0.43956043956043961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422.29885057471267</v>
      </c>
      <c r="Y224" s="551">
        <f>IFERROR(Y215/H215,"0")+IFERROR(Y216/H216,"0")+IFERROR(Y217/H217,"0")+IFERROR(Y218/H218,"0")+IFERROR(Y219/H219,"0")+IFERROR(Y220/H220,"0")+IFERROR(Y221/H221,"0")+IFERROR(Y222/H222,"0")+IFERROR(Y223/H223,"0")</f>
        <v>423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2.79114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1028</v>
      </c>
      <c r="Y225" s="551">
        <f>IFERROR(SUM(Y215:Y223),"0")</f>
        <v>1034.0999999999999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80</v>
      </c>
      <c r="Y321" s="550">
        <f>IFERROR(IF(X321="",0,CEILING((X321/$H321),1)*$H321),"")</f>
        <v>84</v>
      </c>
      <c r="Z321" s="36">
        <f>IFERROR(IF(Y321=0,"",ROUNDUP(Y321/H321,0)*0.01898),"")</f>
        <v>0.1898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84.704761904761895</v>
      </c>
      <c r="BN321" s="64">
        <f>IFERROR(Y321*I321/H321,"0")</f>
        <v>88.94</v>
      </c>
      <c r="BO321" s="64">
        <f>IFERROR(1/J321*(X321/H321),"0")</f>
        <v>0.14880952380952381</v>
      </c>
      <c r="BP321" s="64">
        <f>IFERROR(1/J321*(Y321/H321),"0")</f>
        <v>0.15625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40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42.352380952380948</v>
      </c>
      <c r="BN323" s="64">
        <f>IFERROR(Y323*I323/H323,"0")</f>
        <v>44.47</v>
      </c>
      <c r="BO323" s="64">
        <f>IFERROR(1/J323*(X323/H323),"0")</f>
        <v>7.4404761904761904E-2</v>
      </c>
      <c r="BP323" s="64">
        <f>IFERROR(1/J323*(Y323/H323),"0")</f>
        <v>7.8125E-2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14.285714285714285</v>
      </c>
      <c r="Y324" s="551">
        <f>IFERROR(Y321/H321,"0")+IFERROR(Y322/H322,"0")+IFERROR(Y323/H323,"0")</f>
        <v>15</v>
      </c>
      <c r="Z324" s="551">
        <f>IFERROR(IF(Z321="",0,Z321),"0")+IFERROR(IF(Z322="",0,Z322),"0")+IFERROR(IF(Z323="",0,Z323),"0")</f>
        <v>0.28470000000000001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120</v>
      </c>
      <c r="Y325" s="551">
        <f>IFERROR(SUM(Y321:Y323),"0")</f>
        <v>126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1000</v>
      </c>
      <c r="Y349" s="550">
        <f t="shared" ref="Y349:Y355" si="36">IFERROR(IF(X349="",0,CEILING((X349/$H349),1)*$H349),"")</f>
        <v>1005</v>
      </c>
      <c r="Z349" s="36">
        <f>IFERROR(IF(Y349=0,"",ROUNDUP(Y349/H349,0)*0.02175),"")</f>
        <v>1.4572499999999999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1031.3333333333333</v>
      </c>
      <c r="BN349" s="64">
        <f t="shared" ref="BN349:BN355" si="38">IFERROR(Y349*I349/H349,"0")</f>
        <v>1036.49</v>
      </c>
      <c r="BO349" s="64">
        <f t="shared" ref="BO349:BO355" si="39">IFERROR(1/J349*(X349/H349),"0")</f>
        <v>1.3888888888888888</v>
      </c>
      <c r="BP349" s="64">
        <f t="shared" ref="BP349:BP355" si="40">IFERROR(1/J349*(Y349/H349),"0")</f>
        <v>1.3958333333333333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66.666666666666671</v>
      </c>
      <c r="Y356" s="551">
        <f>IFERROR(Y349/H349,"0")+IFERROR(Y350/H350,"0")+IFERROR(Y351/H351,"0")+IFERROR(Y352/H352,"0")+IFERROR(Y353/H353,"0")+IFERROR(Y354/H354,"0")+IFERROR(Y355/H355,"0")</f>
        <v>67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1.4572499999999999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1000</v>
      </c>
      <c r="Y357" s="551">
        <f>IFERROR(SUM(Y349:Y355),"0")</f>
        <v>1005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1000</v>
      </c>
      <c r="Y359" s="550">
        <f>IFERROR(IF(X359="",0,CEILING((X359/$H359),1)*$H359),"")</f>
        <v>1005</v>
      </c>
      <c r="Z359" s="36">
        <f>IFERROR(IF(Y359=0,"",ROUNDUP(Y359/H359,0)*0.02175),"")</f>
        <v>1.4572499999999999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1031.3333333333333</v>
      </c>
      <c r="BN359" s="64">
        <f>IFERROR(Y359*I359/H359,"0")</f>
        <v>1036.49</v>
      </c>
      <c r="BO359" s="64">
        <f>IFERROR(1/J359*(X359/H359),"0")</f>
        <v>1.3888888888888888</v>
      </c>
      <c r="BP359" s="64">
        <f>IFERROR(1/J359*(Y359/H359),"0")</f>
        <v>1.3958333333333333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66.666666666666671</v>
      </c>
      <c r="Y361" s="551">
        <f>IFERROR(Y359/H359,"0")+IFERROR(Y360/H360,"0")</f>
        <v>67</v>
      </c>
      <c r="Z361" s="551">
        <f>IFERROR(IF(Z359="",0,Z359),"0")+IFERROR(IF(Z360="",0,Z360),"0")</f>
        <v>1.4572499999999999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1000</v>
      </c>
      <c r="Y362" s="551">
        <f>IFERROR(SUM(Y359:Y360),"0")</f>
        <v>1005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60</v>
      </c>
      <c r="Y365" s="550">
        <f>IFERROR(IF(X365="",0,CEILING((X365/$H365),1)*$H365),"")</f>
        <v>63</v>
      </c>
      <c r="Z365" s="36">
        <f>IFERROR(IF(Y365=0,"",ROUNDUP(Y365/H365,0)*0.01898),"")</f>
        <v>0.13286000000000001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63.293333333333329</v>
      </c>
      <c r="BN365" s="64">
        <f>IFERROR(Y365*I365/H365,"0")</f>
        <v>66.457999999999998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6.666666666666667</v>
      </c>
      <c r="Y366" s="551">
        <f>IFERROR(Y364/H364,"0")+IFERROR(Y365/H365,"0")</f>
        <v>7</v>
      </c>
      <c r="Z366" s="551">
        <f>IFERROR(IF(Z364="",0,Z364),"0")+IFERROR(IF(Z365="",0,Z365),"0")</f>
        <v>0.13286000000000001</v>
      </c>
      <c r="AA366" s="552"/>
      <c r="AB366" s="552"/>
      <c r="AC366" s="552"/>
    </row>
    <row r="367" spans="1:68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60</v>
      </c>
      <c r="Y367" s="551">
        <f>IFERROR(SUM(Y364:Y365),"0")</f>
        <v>63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400</v>
      </c>
      <c r="Y369" s="550">
        <f>IFERROR(IF(X369="",0,CEILING((X369/$H369),1)*$H369),"")</f>
        <v>405</v>
      </c>
      <c r="Z369" s="36">
        <f>IFERROR(IF(Y369=0,"",ROUNDUP(Y369/H369,0)*0.01898),"")</f>
        <v>0.85409999999999997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421.95555555555552</v>
      </c>
      <c r="BN369" s="64">
        <f>IFERROR(Y369*I369/H369,"0")</f>
        <v>427.22999999999996</v>
      </c>
      <c r="BO369" s="64">
        <f>IFERROR(1/J369*(X369/H369),"0")</f>
        <v>0.69444444444444442</v>
      </c>
      <c r="BP369" s="64">
        <f>IFERROR(1/J369*(Y369/H369),"0")</f>
        <v>0.703125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44.444444444444443</v>
      </c>
      <c r="Y370" s="551">
        <f>IFERROR(Y369/H369,"0")</f>
        <v>45</v>
      </c>
      <c r="Z370" s="551">
        <f>IFERROR(IF(Z369="",0,Z369),"0")</f>
        <v>0.85409999999999997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400</v>
      </c>
      <c r="Y371" s="551">
        <f>IFERROR(SUM(Y369:Y369),"0")</f>
        <v>405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8.3999999999999986</v>
      </c>
      <c r="Y400" s="550">
        <f t="shared" si="41"/>
        <v>8.4</v>
      </c>
      <c r="Z400" s="36">
        <f t="shared" si="46"/>
        <v>2.0080000000000001E-2</v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8.9199999999999982</v>
      </c>
      <c r="BN400" s="64">
        <f t="shared" si="43"/>
        <v>8.92</v>
      </c>
      <c r="BO400" s="64">
        <f t="shared" si="44"/>
        <v>1.7094017094017092E-2</v>
      </c>
      <c r="BP400" s="64">
        <f t="shared" si="45"/>
        <v>1.7094017094017096E-2</v>
      </c>
    </row>
    <row r="401" spans="1:68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3.9999999999999991</v>
      </c>
      <c r="Y401" s="551">
        <f>IFERROR(Y392/H392,"0")+IFERROR(Y393/H393,"0")+IFERROR(Y394/H394,"0")+IFERROR(Y395/H395,"0")+IFERROR(Y396/H396,"0")+IFERROR(Y397/H397,"0")+IFERROR(Y398/H398,"0")+IFERROR(Y399/H399,"0")+IFERROR(Y400/H400,"0")</f>
        <v>4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2.0080000000000001E-2</v>
      </c>
      <c r="AA401" s="552"/>
      <c r="AB401" s="552"/>
      <c r="AC401" s="552"/>
    </row>
    <row r="402" spans="1:68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8.3999999999999986</v>
      </c>
      <c r="Y402" s="551">
        <f>IFERROR(SUM(Y392:Y400),"0")</f>
        <v>8.4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8.3999999999999986</v>
      </c>
      <c r="Y415" s="550">
        <f>IFERROR(IF(X415="",0,CEILING((X415/$H415),1)*$H415),"")</f>
        <v>8.4</v>
      </c>
      <c r="Z415" s="36">
        <f>IFERROR(IF(Y415=0,"",ROUNDUP(Y415/H415,0)*0.00502),"")</f>
        <v>2.0080000000000001E-2</v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8.9199999999999982</v>
      </c>
      <c r="BN415" s="64">
        <f>IFERROR(Y415*I415/H415,"0")</f>
        <v>8.92</v>
      </c>
      <c r="BO415" s="64">
        <f>IFERROR(1/J415*(X415/H415),"0")</f>
        <v>1.7094017094017092E-2</v>
      </c>
      <c r="BP415" s="64">
        <f>IFERROR(1/J415*(Y415/H415),"0")</f>
        <v>1.7094017094017096E-2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3.9999999999999991</v>
      </c>
      <c r="Y418" s="551">
        <f>IFERROR(Y414/H414,"0")+IFERROR(Y415/H415,"0")+IFERROR(Y416/H416,"0")+IFERROR(Y417/H417,"0")</f>
        <v>4</v>
      </c>
      <c r="Z418" s="551">
        <f>IFERROR(IF(Z414="",0,Z414),"0")+IFERROR(IF(Z415="",0,Z415),"0")+IFERROR(IF(Z416="",0,Z416),"0")+IFERROR(IF(Z417="",0,Z417),"0")</f>
        <v>2.0080000000000001E-2</v>
      </c>
      <c r="AA418" s="552"/>
      <c r="AB418" s="552"/>
      <c r="AC418" s="552"/>
    </row>
    <row r="419" spans="1:68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8.3999999999999986</v>
      </c>
      <c r="Y419" s="551">
        <f>IFERROR(SUM(Y414:Y417),"0")</f>
        <v>8.4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50</v>
      </c>
      <c r="Y432" s="550">
        <f t="shared" si="47"/>
        <v>52.800000000000004</v>
      </c>
      <c r="Z432" s="36">
        <f t="shared" si="48"/>
        <v>0.1196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9.4696969696969688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0.1196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50</v>
      </c>
      <c r="Y441" s="551">
        <f>IFERROR(SUM(Y428:Y439),"0")</f>
        <v>52.800000000000004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100</v>
      </c>
      <c r="Y476" s="550">
        <f>IFERROR(IF(X476="",0,CEILING((X476/$H476),1)*$H476),"")</f>
        <v>100.8</v>
      </c>
      <c r="Z476" s="36">
        <f>IFERROR(IF(Y476=0,"",ROUNDUP(Y476/H476,0)*0.00902),"")</f>
        <v>0.18942000000000001</v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105.20833333333334</v>
      </c>
      <c r="BN476" s="64">
        <f>IFERROR(Y476*I476/H476,"0")</f>
        <v>106.05</v>
      </c>
      <c r="BO476" s="64">
        <f>IFERROR(1/J476*(X476/H476),"0")</f>
        <v>0.15782828282828285</v>
      </c>
      <c r="BP476" s="64">
        <f>IFERROR(1/J476*(Y476/H476),"0")</f>
        <v>0.15909090909090909</v>
      </c>
    </row>
    <row r="477" spans="1:68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20.833333333333336</v>
      </c>
      <c r="Y477" s="551">
        <f>IFERROR(Y476/H476,"0")</f>
        <v>21</v>
      </c>
      <c r="Z477" s="551">
        <f>IFERROR(IF(Z476="",0,Z476),"0")</f>
        <v>0.18942000000000001</v>
      </c>
      <c r="AA477" s="552"/>
      <c r="AB477" s="552"/>
      <c r="AC477" s="552"/>
    </row>
    <row r="478" spans="1:68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100</v>
      </c>
      <c r="Y478" s="551">
        <f>IFERROR(SUM(Y476:Y476),"0")</f>
        <v>100.8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1000</v>
      </c>
      <c r="Y480" s="550">
        <f>IFERROR(IF(X480="",0,CEILING((X480/$H480),1)*$H480),"")</f>
        <v>1008</v>
      </c>
      <c r="Z480" s="36">
        <f>IFERROR(IF(Y480=0,"",ROUNDUP(Y480/H480,0)*0.01898),"")</f>
        <v>2.1257600000000001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1054.8888888888889</v>
      </c>
      <c r="BN480" s="64">
        <f>IFERROR(Y480*I480/H480,"0")</f>
        <v>1063.328</v>
      </c>
      <c r="BO480" s="64">
        <f>IFERROR(1/J480*(X480/H480),"0")</f>
        <v>1.7361111111111112</v>
      </c>
      <c r="BP480" s="64">
        <f>IFERROR(1/J480*(Y480/H480),"0")</f>
        <v>1.75</v>
      </c>
    </row>
    <row r="481" spans="1:68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111.11111111111111</v>
      </c>
      <c r="Y481" s="551">
        <f>IFERROR(Y480/H480,"0")</f>
        <v>112</v>
      </c>
      <c r="Z481" s="551">
        <f>IFERROR(IF(Z480="",0,Z480),"0")</f>
        <v>2.1257600000000001</v>
      </c>
      <c r="AA481" s="552"/>
      <c r="AB481" s="552"/>
      <c r="AC481" s="552"/>
    </row>
    <row r="482" spans="1:68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1000</v>
      </c>
      <c r="Y482" s="551">
        <f>IFERROR(SUM(Y480:Y480),"0")</f>
        <v>1008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5710.1999999999989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5785.2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6020.1037386453463</v>
      </c>
      <c r="Y494" s="551">
        <f>IFERROR(SUM(BN22:BN490),"0")</f>
        <v>6098.6399999999994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10</v>
      </c>
      <c r="Y495" s="38">
        <f>ROUNDUP(SUM(BP22:BP490),0)</f>
        <v>10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6270.1037386453463</v>
      </c>
      <c r="Y496" s="551">
        <f>GrossWeightTotalR+PalletQtyTotalR*25</f>
        <v>6348.6399999999994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926.55073449326323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936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11.27172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54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32.400000000000006</v>
      </c>
      <c r="E503" s="46">
        <f>IFERROR(Y84*1,"0")+IFERROR(Y85*1,"0")+IFERROR(Y86*1,"0")+IFERROR(Y87*1,"0")+IFERROR(Y91*1,"0")+IFERROR(Y92*1,"0")+IFERROR(Y93*1,"0")+IFERROR(Y94*1,"0")</f>
        <v>283.5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64.800000000000011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172.20000000000002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1395.9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126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2478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8.4</v>
      </c>
      <c r="V503" s="46">
        <f>IFERROR(Y410*1,"0")+IFERROR(Y414*1,"0")+IFERROR(Y415*1,"0")+IFERROR(Y416*1,"0")+IFERROR(Y417*1,"0")</f>
        <v>8.4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52.800000000000004</v>
      </c>
      <c r="Y503" s="46">
        <f>IFERROR(Y464*1,"0")+IFERROR(Y465*1,"0")+IFERROR(Y466*1,"0")+IFERROR(Y467*1,"0")+IFERROR(Y471*1,"0")+IFERROR(Y472*1,"0")+IFERROR(Y476*1,"0")+IFERROR(Y480*1,"0")+IFERROR(Y484*1,"0")+IFERROR(Y485*1,"0")</f>
        <v>1108.8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28,00"/>
        <filter val="10"/>
        <filter val="100,00"/>
        <filter val="111,11"/>
        <filter val="120,00"/>
        <filter val="127,00"/>
        <filter val="13,89"/>
        <filter val="14,29"/>
        <filter val="15,00"/>
        <filter val="150,00"/>
        <filter val="168,40"/>
        <filter val="192,00"/>
        <filter val="2,78"/>
        <filter val="20,00"/>
        <filter val="20,83"/>
        <filter val="22,35"/>
        <filter val="240,00"/>
        <filter val="27,00"/>
        <filter val="30,00"/>
        <filter val="350,00"/>
        <filter val="4,00"/>
        <filter val="4,63"/>
        <filter val="40,00"/>
        <filter val="400,00"/>
        <filter val="42,10"/>
        <filter val="422,30"/>
        <filter val="44,44"/>
        <filter val="45,00"/>
        <filter val="5 710,20"/>
        <filter val="5,56"/>
        <filter val="50,00"/>
        <filter val="6 020,10"/>
        <filter val="6 270,10"/>
        <filter val="6,67"/>
        <filter val="60,00"/>
        <filter val="64,81"/>
        <filter val="66,67"/>
        <filter val="8,40"/>
        <filter val="80,00"/>
        <filter val="9,47"/>
        <filter val="926,55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