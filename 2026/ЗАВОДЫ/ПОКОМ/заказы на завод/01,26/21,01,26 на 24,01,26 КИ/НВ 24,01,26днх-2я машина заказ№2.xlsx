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7CAB82-AC69-4E48-B626-7674797043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Y282" i="1" s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3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32" i="1" l="1"/>
  <c r="BN132" i="1"/>
  <c r="Z132" i="1"/>
  <c r="BP171" i="1"/>
  <c r="BN171" i="1"/>
  <c r="Z171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X494" i="1"/>
  <c r="Z23" i="1"/>
  <c r="BN23" i="1"/>
  <c r="X493" i="1"/>
  <c r="Y32" i="1"/>
  <c r="Z55" i="1"/>
  <c r="BN55" i="1"/>
  <c r="Z73" i="1"/>
  <c r="BN73" i="1"/>
  <c r="Z92" i="1"/>
  <c r="BN92" i="1"/>
  <c r="Z103" i="1"/>
  <c r="BN103" i="1"/>
  <c r="BP109" i="1"/>
  <c r="BN109" i="1"/>
  <c r="Z109" i="1"/>
  <c r="BP149" i="1"/>
  <c r="BN149" i="1"/>
  <c r="Z149" i="1"/>
  <c r="BP179" i="1"/>
  <c r="BN179" i="1"/>
  <c r="Z179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292" i="1"/>
  <c r="BN292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B503" i="1"/>
  <c r="X495" i="1"/>
  <c r="X496" i="1" s="1"/>
  <c r="X497" i="1"/>
  <c r="Z27" i="1"/>
  <c r="BN27" i="1"/>
  <c r="BP27" i="1"/>
  <c r="Z53" i="1"/>
  <c r="BN53" i="1"/>
  <c r="Z61" i="1"/>
  <c r="BN61" i="1"/>
  <c r="Z71" i="1"/>
  <c r="BN71" i="1"/>
  <c r="BP71" i="1"/>
  <c r="Z79" i="1"/>
  <c r="BN79" i="1"/>
  <c r="Z86" i="1"/>
  <c r="BN86" i="1"/>
  <c r="Y95" i="1"/>
  <c r="Z94" i="1"/>
  <c r="BN94" i="1"/>
  <c r="Z101" i="1"/>
  <c r="BN101" i="1"/>
  <c r="Z107" i="1"/>
  <c r="BN107" i="1"/>
  <c r="BP107" i="1"/>
  <c r="Y112" i="1"/>
  <c r="Z115" i="1"/>
  <c r="BN115" i="1"/>
  <c r="Z121" i="1"/>
  <c r="Z122" i="1" s="1"/>
  <c r="BN121" i="1"/>
  <c r="BP121" i="1"/>
  <c r="Y122" i="1"/>
  <c r="Z126" i="1"/>
  <c r="BN126" i="1"/>
  <c r="Y129" i="1"/>
  <c r="Z136" i="1"/>
  <c r="BN136" i="1"/>
  <c r="BP136" i="1"/>
  <c r="Y139" i="1"/>
  <c r="H503" i="1"/>
  <c r="Z147" i="1"/>
  <c r="BN147" i="1"/>
  <c r="BP147" i="1"/>
  <c r="Y154" i="1"/>
  <c r="Z151" i="1"/>
  <c r="BN151" i="1"/>
  <c r="I503" i="1"/>
  <c r="Y180" i="1"/>
  <c r="Z169" i="1"/>
  <c r="BN169" i="1"/>
  <c r="Z173" i="1"/>
  <c r="BN173" i="1"/>
  <c r="Z177" i="1"/>
  <c r="BN177" i="1"/>
  <c r="Z183" i="1"/>
  <c r="BN183" i="1"/>
  <c r="BP183" i="1"/>
  <c r="Y186" i="1"/>
  <c r="Z189" i="1"/>
  <c r="Z190" i="1" s="1"/>
  <c r="BN189" i="1"/>
  <c r="BP189" i="1"/>
  <c r="Y190" i="1"/>
  <c r="Z194" i="1"/>
  <c r="BN194" i="1"/>
  <c r="Y197" i="1"/>
  <c r="Z207" i="1"/>
  <c r="Z212" i="1" s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56" i="1"/>
  <c r="BN256" i="1"/>
  <c r="Z265" i="1"/>
  <c r="BN265" i="1"/>
  <c r="Z274" i="1"/>
  <c r="BN274" i="1"/>
  <c r="Z281" i="1"/>
  <c r="BN281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24" i="1"/>
  <c r="Y388" i="1"/>
  <c r="Y387" i="1"/>
  <c r="Y486" i="1"/>
  <c r="F9" i="1"/>
  <c r="J9" i="1"/>
  <c r="F10" i="1"/>
  <c r="Z22" i="1"/>
  <c r="Z24" i="1" s="1"/>
  <c r="BN22" i="1"/>
  <c r="BP22" i="1"/>
  <c r="Y25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BP56" i="1"/>
  <c r="BN56" i="1"/>
  <c r="Z56" i="1"/>
  <c r="Y63" i="1"/>
  <c r="BP60" i="1"/>
  <c r="BN60" i="1"/>
  <c r="Z60" i="1"/>
  <c r="BP72" i="1"/>
  <c r="BN72" i="1"/>
  <c r="Z72" i="1"/>
  <c r="Y89" i="1"/>
  <c r="BP85" i="1"/>
  <c r="BN85" i="1"/>
  <c r="Z85" i="1"/>
  <c r="H9" i="1"/>
  <c r="Y24" i="1"/>
  <c r="Z41" i="1"/>
  <c r="BN41" i="1"/>
  <c r="Y44" i="1"/>
  <c r="D503" i="1"/>
  <c r="Y57" i="1"/>
  <c r="Z52" i="1"/>
  <c r="BN52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E503" i="1"/>
  <c r="Z87" i="1"/>
  <c r="BN87" i="1"/>
  <c r="Y88" i="1"/>
  <c r="Z91" i="1"/>
  <c r="BN91" i="1"/>
  <c r="BP91" i="1"/>
  <c r="Z93" i="1"/>
  <c r="BN93" i="1"/>
  <c r="Y96" i="1"/>
  <c r="F503" i="1"/>
  <c r="Z100" i="1"/>
  <c r="BN100" i="1"/>
  <c r="BP100" i="1"/>
  <c r="Z102" i="1"/>
  <c r="BN102" i="1"/>
  <c r="Y105" i="1"/>
  <c r="Z108" i="1"/>
  <c r="BN108" i="1"/>
  <c r="BP108" i="1"/>
  <c r="Z110" i="1"/>
  <c r="BN110" i="1"/>
  <c r="Z114" i="1"/>
  <c r="BN114" i="1"/>
  <c r="BP114" i="1"/>
  <c r="Z116" i="1"/>
  <c r="BN116" i="1"/>
  <c r="Y119" i="1"/>
  <c r="G503" i="1"/>
  <c r="Z127" i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BN148" i="1"/>
  <c r="BP148" i="1"/>
  <c r="Z150" i="1"/>
  <c r="BN150" i="1"/>
  <c r="Z152" i="1"/>
  <c r="BN152" i="1"/>
  <c r="Z156" i="1"/>
  <c r="Z157" i="1" s="1"/>
  <c r="BN156" i="1"/>
  <c r="BP156" i="1"/>
  <c r="Y157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81" i="1"/>
  <c r="Z184" i="1"/>
  <c r="BN184" i="1"/>
  <c r="BP184" i="1"/>
  <c r="J503" i="1"/>
  <c r="Z195" i="1"/>
  <c r="BN195" i="1"/>
  <c r="BP195" i="1"/>
  <c r="Y196" i="1"/>
  <c r="Z199" i="1"/>
  <c r="Z201" i="1" s="1"/>
  <c r="BN199" i="1"/>
  <c r="BP199" i="1"/>
  <c r="Y202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Y144" i="1"/>
  <c r="Y16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Z318" i="1" s="1"/>
  <c r="Y318" i="1"/>
  <c r="BP322" i="1"/>
  <c r="BN322" i="1"/>
  <c r="Z322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473" i="1"/>
  <c r="Z406" i="1"/>
  <c r="Z229" i="1"/>
  <c r="Z381" i="1"/>
  <c r="Z293" i="1"/>
  <c r="Z153" i="1"/>
  <c r="Z118" i="1"/>
  <c r="Z95" i="1"/>
  <c r="Z324" i="1"/>
  <c r="Z302" i="1"/>
  <c r="Z440" i="1"/>
  <c r="Z356" i="1"/>
  <c r="Z31" i="1"/>
  <c r="Z311" i="1"/>
  <c r="Z275" i="1"/>
  <c r="Z258" i="1"/>
  <c r="Z224" i="1"/>
  <c r="Z196" i="1"/>
  <c r="Z186" i="1"/>
  <c r="Z128" i="1"/>
  <c r="Z111" i="1"/>
  <c r="Z104" i="1"/>
  <c r="Z88" i="1"/>
  <c r="Z75" i="1"/>
  <c r="Z468" i="1"/>
  <c r="Z267" i="1"/>
  <c r="Z242" i="1"/>
  <c r="Z331" i="1"/>
  <c r="Z180" i="1"/>
  <c r="Z63" i="1"/>
  <c r="Y495" i="1"/>
  <c r="Z455" i="1"/>
  <c r="Z418" i="1"/>
  <c r="Z344" i="1"/>
  <c r="Y497" i="1"/>
  <c r="Z57" i="1"/>
  <c r="Z43" i="1"/>
  <c r="Y493" i="1"/>
  <c r="Y494" i="1"/>
  <c r="Y496" i="1" s="1"/>
  <c r="Z498" i="1" l="1"/>
</calcChain>
</file>

<file path=xl/sharedStrings.xml><?xml version="1.0" encoding="utf-8"?>
<sst xmlns="http://schemas.openxmlformats.org/spreadsheetml/2006/main" count="2303" uniqueCount="774">
  <si>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</si>
  <si>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</si>
  <si>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</si>
  <si>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</si>
  <si>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</si>
  <si>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</si>
  <si>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</si>
  <si>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</si>
  <si>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</si>
  <si>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</si>
  <si>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</si>
  <si>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</si>
  <si>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</si>
  <si>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</si>
  <si>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</si>
  <si>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</si>
  <si>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</si>
  <si>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</si>
  <si>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</si>
  <si>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</si>
  <si>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</si>
  <si>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</si>
  <si>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</si>
  <si>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</si>
  <si>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</si>
  <si>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</si>
  <si>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</si>
  <si>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</si>
  <si>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</si>
  <si>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</si>
  <si>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</si>
  <si>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</si>
  <si>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</si>
  <si>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</si>
  <si>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</si>
  <si>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</si>
  <si>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</si>
  <si>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</si>
  <si>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</si>
  <si>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</si>
  <si>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</si>
  <si>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</si>
  <si>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</si>
  <si>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</si>
  <si>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</si>
  <si>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</si>
  <si>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</si>
  <si>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</si>
  <si>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</si>
  <si>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</si>
  <si>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</si>
  <si>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</si>
  <si>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</si>
  <si>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</si>
  <si>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</si>
  <si>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</si>
  <si>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</si>
  <si>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</si>
  <si>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</si>
  <si>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</si>
  <si>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</si>
  <si>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</si>
  <si>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</si>
  <si>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</si>
  <si>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</si>
  <si>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</si>
  <si>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</si>
  <si>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</si>
  <si>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</si>
  <si>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</si>
  <si>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</si>
  <si>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</si>
  <si>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</si>
  <si>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</si>
  <si>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</si>
  <si>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</si>
  <si>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</si>
  <si>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</si>
  <si>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</si>
  <si>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</si>
  <si>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</si>
  <si>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</si>
  <si>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</si>
  <si>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</si>
  <si>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</si>
  <si>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</si>
  <si>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</si>
  <si>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</si>
  <si>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</si>
  <si>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</si>
  <si>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</si>
  <si>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</si>
  <si>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</si>
  <si>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</si>
  <si>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</si>
  <si>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</si>
  <si>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</si>
  <si>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</si>
  <si>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</si>
  <si>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</si>
  <si>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</si>
  <si>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</si>
  <si>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</si>
  <si>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</si>
  <si>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</si>
  <si>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</si>
  <si>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</si>
  <si>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</si>
  <si>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</si>
  <si>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</si>
  <si>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</si>
  <si>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</si>
  <si>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</si>
  <si>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</si>
  <si>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</si>
  <si>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</si>
  <si>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</si>
  <si>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</si>
  <si>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</si>
  <si>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</si>
  <si>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</si>
  <si>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</si>
  <si>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</si>
  <si>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</si>
  <si>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</si>
  <si>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</si>
  <si>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</si>
  <si>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</si>
  <si>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</si>
  <si>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</si>
  <si>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</si>
  <si>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</si>
  <si>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</si>
  <si>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</si>
  <si>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</si>
  <si>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</si>
  <si>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</si>
  <si>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</si>
  <si>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</si>
  <si>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</si>
  <si>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</si>
  <si>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</si>
  <si>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</si>
  <si>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</si>
  <si>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</si>
  <si>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</si>
  <si>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</si>
  <si>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</si>
  <si>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</si>
  <si>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</si>
  <si>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</si>
  <si>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</si>
  <si>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</si>
  <si>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</si>
  <si>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</si>
  <si>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</si>
  <si>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</si>
  <si>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</si>
  <si>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</si>
  <si>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</si>
  <si>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</si>
  <si>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</si>
  <si>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</si>
  <si>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</si>
  <si>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</si>
  <si>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</si>
  <si>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</si>
  <si>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</si>
  <si>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</si>
  <si>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</si>
  <si>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</si>
  <si>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</si>
  <si>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</si>
  <si>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</si>
  <si>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</si>
  <si>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</si>
  <si>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</si>
  <si>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</si>
  <si>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</si>
  <si>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</si>
  <si>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</si>
  <si>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</si>
  <si>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</si>
  <si>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</si>
  <si>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</si>
  <si>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</si>
  <si>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</si>
  <si>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</si>
  <si>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</si>
  <si>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</si>
  <si>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</si>
  <si>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</si>
  <si>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</si>
  <si>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</si>
  <si>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</si>
  <si>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</si>
  <si>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</si>
  <si>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</si>
  <si>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</si>
  <si>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</si>
  <si>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</si>
  <si>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</si>
  <si>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</si>
  <si>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</si>
  <si>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</si>
  <si>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</si>
  <si>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</si>
  <si>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</si>
  <si>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</si>
  <si>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</si>
  <si>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</si>
  <si>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</si>
  <si>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</si>
  <si>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</si>
  <si>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</si>
  <si>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</si>
  <si>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</si>
  <si>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</si>
  <si>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</si>
  <si>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</si>
  <si>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</si>
  <si>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</si>
  <si>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</si>
  <si>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</si>
  <si>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</si>
  <si>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</si>
  <si>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</si>
  <si>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</si>
  <si>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</si>
  <si>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</si>
  <si>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</si>
  <si>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</si>
  <si>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</si>
  <si>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</si>
  <si>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</si>
  <si>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</si>
  <si>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</si>
  <si>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</si>
  <si>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</si>
  <si>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</si>
  <si>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</si>
  <si>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</si>
  <si>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</si>
  <si>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</si>
  <si>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</si>
  <si>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</si>
  <si>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</si>
  <si>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</si>
  <si>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</si>
  <si>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</si>
  <si>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</si>
  <si>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</si>
  <si>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</si>
  <si>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</si>
  <si>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</si>
  <si>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</si>
  <si>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</si>
  <si>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</si>
  <si>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</si>
  <si>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</si>
  <si>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</si>
  <si>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</si>
  <si>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</si>
  <si>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</si>
  <si>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</si>
  <si>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</si>
  <si>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</si>
  <si>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</si>
  <si>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</si>
  <si>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</si>
  <si>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</si>
  <si>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</si>
  <si>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</si>
  <si>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</si>
  <si>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</si>
  <si>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</si>
  <si>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</si>
  <si>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</si>
  <si>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</si>
  <si>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</si>
  <si>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</si>
  <si>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</si>
  <si>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</si>
  <si>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</si>
  <si>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</si>
  <si>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</si>
  <si>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</si>
  <si>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</si>
  <si>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</si>
  <si>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</si>
  <si>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</si>
  <si>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</si>
  <si>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</si>
  <si>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</si>
  <si>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</si>
  <si>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</si>
  <si>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</si>
  <si>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</si>
  <si>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</si>
  <si>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</si>
  <si>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</si>
  <si>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</si>
  <si>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</si>
  <si>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</si>
  <si>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</si>
  <si>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</si>
  <si>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</si>
  <si>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</si>
  <si>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</si>
  <si>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</si>
  <si>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</si>
  <si>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</si>
  <si>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</si>
  <si>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</si>
  <si>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</si>
  <si>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</si>
  <si>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</si>
  <si>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</si>
  <si>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</si>
  <si>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</si>
  <si>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</si>
  <si>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</si>
  <si>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</si>
  <si>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</si>
  <si>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</si>
  <si>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</si>
  <si>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</si>
  <si>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</si>
  <si>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</si>
  <si>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</si>
  <si>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</si>
  <si>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</si>
  <si>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</si>
  <si>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</si>
  <si>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</si>
  <si>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</si>
  <si>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</si>
  <si>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</si>
  <si>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</si>
  <si>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</si>
  <si>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</si>
  <si>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</si>
  <si>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</si>
  <si>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</si>
  <si>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</si>
  <si>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</si>
  <si>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</si>
  <si>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</si>
  <si>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</si>
  <si>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</si>
  <si>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</si>
  <si>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</si>
  <si>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</si>
  <si>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</si>
  <si>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</si>
  <si>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</si>
  <si>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</si>
  <si>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</si>
  <si>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</si>
  <si>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</si>
  <si>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</si>
  <si>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</si>
  <si>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</si>
  <si>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</si>
  <si>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</si>
  <si>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</si>
  <si>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</si>
  <si>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</si>
  <si>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</si>
  <si>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</si>
  <si>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</si>
  <si>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</si>
  <si>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</si>
  <si>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</si>
  <si>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</si>
  <si>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</si>
  <si>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</si>
  <si>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</si>
  <si>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</si>
  <si>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</si>
  <si>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</si>
  <si>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</si>
  <si>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</si>
  <si>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</si>
  <si>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</si>
  <si>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</si>
  <si>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</si>
  <si>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</si>
  <si>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</si>
  <si>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</si>
  <si>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</si>
  <si>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</si>
  <si>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</si>
  <si>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</si>
  <si>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</si>
  <si>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</si>
  <si>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</si>
  <si>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</si>
  <si>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</si>
  <si>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</si>
  <si>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</si>
  <si>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</si>
  <si>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</si>
  <si>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</si>
  <si>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</si>
  <si>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</si>
  <si>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</si>
  <si>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</si>
  <si>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</si>
  <si>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</si>
  <si>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</si>
  <si>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</si>
  <si>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</si>
  <si>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</si>
  <si>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</si>
  <si>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</si>
  <si>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</si>
  <si>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</si>
  <si>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</si>
  <si>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</si>
  <si>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</si>
  <si>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</si>
  <si>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</si>
  <si>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</si>
  <si>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</si>
  <si>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</si>
  <si>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</si>
  <si>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</si>
  <si>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</si>
  <si>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</si>
  <si>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</si>
  <si>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</si>
  <si>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</si>
  <si>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</si>
  <si>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</si>
  <si>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</si>
  <si>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</si>
  <si>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</si>
  <si>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</si>
  <si>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</si>
  <si>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</si>
  <si>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</si>
  <si>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</si>
  <si>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</si>
  <si>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</si>
  <si>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</si>
  <si>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</si>
  <si>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</si>
  <si>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</si>
  <si>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</si>
  <si>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</si>
  <si>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</si>
  <si>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</si>
  <si>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</si>
  <si>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</si>
  <si>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</si>
  <si>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</si>
  <si>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</si>
  <si>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</si>
  <si>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</si>
  <si>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</si>
  <si>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</si>
  <si>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</si>
  <si>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</si>
  <si>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</si>
  <si>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</si>
  <si>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</si>
  <si>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</si>
  <si>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</si>
  <si>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</si>
  <si>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</si>
  <si>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</si>
  <si>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</si>
  <si>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</si>
  <si>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</si>
  <si>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</si>
  <si>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</si>
  <si>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</si>
  <si>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</si>
  <si>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</si>
  <si>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</si>
  <si>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</si>
  <si>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</si>
  <si>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</si>
  <si>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</si>
  <si>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</si>
  <si>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</si>
  <si>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</si>
  <si>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</si>
  <si>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</si>
  <si>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</si>
  <si>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</si>
  <si>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</si>
  <si>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</si>
  <si>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</si>
  <si>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</si>
  <si>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</si>
  <si>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</si>
  <si>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</si>
  <si>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</si>
  <si>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</si>
  <si>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</si>
  <si>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</si>
  <si>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</si>
  <si>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</si>
  <si>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</si>
  <si>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</si>
  <si>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</si>
  <si>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</si>
  <si>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</si>
  <si>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</si>
  <si>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</si>
  <si>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</si>
  <si>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</si>
  <si>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</si>
  <si>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</si>
  <si>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</si>
  <si>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</si>
  <si>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</si>
  <si>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</si>
  <si>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</si>
  <si>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</si>
  <si>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</si>
  <si>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</si>
  <si>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</si>
  <si>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</si>
  <si>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</si>
  <si>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</si>
  <si>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</si>
  <si>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</si>
  <si>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</si>
  <si>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</si>
  <si>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</si>
  <si>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</si>
  <si>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</si>
  <si>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</si>
  <si>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</si>
  <si>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</si>
  <si>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</si>
  <si>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</si>
  <si>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</si>
  <si>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</si>
  <si>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</si>
  <si>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</si>
  <si>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</si>
  <si>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</si>
  <si>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</si>
  <si>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</si>
  <si>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</si>
  <si>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</si>
  <si>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</si>
  <si>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</si>
  <si>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</si>
  <si>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</si>
  <si>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</si>
  <si>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</si>
  <si>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</si>
  <si>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</si>
  <si>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</si>
  <si>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</si>
  <si>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</si>
  <si>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</si>
  <si>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</si>
  <si>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</si>
  <si>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</si>
  <si>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</si>
  <si>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</si>
  <si>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</si>
  <si>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</si>
  <si>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</si>
  <si>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</si>
  <si>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</si>
  <si>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</si>
  <si>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</si>
  <si>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</si>
  <si>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</si>
  <si>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</si>
  <si>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</si>
  <si>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</si>
  <si>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</si>
  <si>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</si>
  <si>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</si>
  <si>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</si>
  <si>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</si>
  <si>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</si>
  <si>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</si>
  <si>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</si>
  <si>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</si>
  <si>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</si>
  <si>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</si>
  <si>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</si>
  <si>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</si>
  <si>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</si>
  <si>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</si>
  <si>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</si>
  <si>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</si>
  <si>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</si>
  <si>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</si>
  <si>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</si>
  <si>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</si>
  <si>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</si>
  <si>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</si>
  <si>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</si>
  <si>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</si>
  <si>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</si>
  <si>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</si>
  <si>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</si>
  <si>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</si>
  <si>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</si>
  <si>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</si>
  <si>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</si>
  <si>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</si>
  <si>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</si>
  <si>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</si>
  <si>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</si>
  <si>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</si>
  <si>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</si>
  <si>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</si>
  <si>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</si>
  <si>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</si>
  <si>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</si>
  <si>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</si>
  <si>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</si>
  <si>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</si>
  <si>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</si>
  <si>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</si>
  <si>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</si>
  <si>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</si>
  <si>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</si>
  <si>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</si>
  <si>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</si>
  <si>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</si>
  <si>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</si>
  <si>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</si>
  <si>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</si>
  <si>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</si>
  <si>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</si>
  <si>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</si>
  <si>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</si>
  <si>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</si>
  <si>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</si>
  <si>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</si>
  <si>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</si>
  <si>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</si>
  <si>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</si>
  <si>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</si>
  <si>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</si>
  <si>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</si>
  <si>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</si>
  <si>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</si>
  <si>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</si>
  <si>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</si>
  <si>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</si>
  <si>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</si>
  <si>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</si>
  <si>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</si>
  <si>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</si>
  <si>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</si>
  <si>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</si>
  <si>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</si>
  <si>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</si>
  <si>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</si>
  <si>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</si>
  <si>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</si>
  <si>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</si>
  <si>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</si>
  <si>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</si>
  <si>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</si>
  <si>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</si>
  <si>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</si>
  <si>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</si>
  <si>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</si>
  <si>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</si>
  <si>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</si>
  <si>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</si>
  <si>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</si>
  <si>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</si>
  <si>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</si>
  <si>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</si>
  <si>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</si>
  <si>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</si>
  <si>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</si>
  <si>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</si>
  <si>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</si>
  <si>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</si>
  <si>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</si>
  <si>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</si>
  <si>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</si>
  <si>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</si>
  <si>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</si>
  <si>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</si>
  <si>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</si>
  <si>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</si>
  <si>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</si>
  <si>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</si>
  <si>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</si>
  <si>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</si>
  <si>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</si>
  <si>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</si>
  <si>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</si>
  <si>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</si>
  <si>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</si>
  <si>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</si>
  <si>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</si>
  <si>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</si>
  <si>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</si>
  <si>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</si>
  <si>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</si>
  <si>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</si>
  <si>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</si>
  <si>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</si>
  <si>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</si>
  <si>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</si>
  <si>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</si>
  <si>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</si>
  <si>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</si>
  <si>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</si>
  <si>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</si>
  <si>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</si>
  <si>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</si>
  <si>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</si>
  <si>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</si>
  <si>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</si>
  <si>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</si>
  <si>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</si>
  <si>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</si>
  <si>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</si>
  <si>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</si>
  <si>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</si>
  <si>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</si>
  <si>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</si>
  <si>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</si>
  <si>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</si>
  <si>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</si>
  <si>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</si>
  <si>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</si>
  <si>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</si>
  <si>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</si>
  <si>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</si>
  <si>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</si>
  <si>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</si>
  <si>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</si>
  <si>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</si>
  <si>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</si>
  <si>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</si>
  <si>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</si>
  <si>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</si>
  <si>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</si>
  <si>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</si>
  <si>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</si>
  <si>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</si>
  <si>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</si>
  <si>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</si>
  <si>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</si>
  <si>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</si>
  <si>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</si>
  <si>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</si>
  <si>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</si>
  <si>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</si>
  <si>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</si>
  <si>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</si>
  <si>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</si>
  <si>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</si>
  <si>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</si>
  <si>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</si>
  <si>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</si>
  <si>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</si>
  <si>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</si>
  <si>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</si>
  <si>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</si>
  <si>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</si>
  <si>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</si>
  <si>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</si>
  <si>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подписатоь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</si>
</sst>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46046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Суббота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393</v>
      </c>
      <c r="Y40" s="550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407.91944444444448</v>
      </c>
      <c r="BN40" s="64">
        <f>IFERROR(Y40*I40/H40,"0")</f>
        <v>414.77000000000004</v>
      </c>
      <c r="BO40" s="64">
        <f>IFERROR(1/J40*(X40/H40),"0")</f>
        <v>0.56857638888888884</v>
      </c>
      <c r="BP40" s="64">
        <f>IFERROR(1/J40*(Y40/H40),"0")</f>
        <v>0.578125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36.388888888888886</v>
      </c>
      <c r="Y43" s="551">
        <f>IFERROR(Y40/H40,"0")+IFERROR(Y41/H41,"0")+IFERROR(Y42/H42,"0")</f>
        <v>37</v>
      </c>
      <c r="Z43" s="551">
        <f>IFERROR(IF(Z40="",0,Z40),"0")+IFERROR(IF(Z41="",0,Z41),"0")+IFERROR(IF(Z42="",0,Z42),"0")</f>
        <v>0.70226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393</v>
      </c>
      <c r="Y44" s="551">
        <f>IFERROR(SUM(Y40:Y42),"0")</f>
        <v>399.6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223</v>
      </c>
      <c r="Y52" s="550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231.46574074074076</v>
      </c>
      <c r="BN52" s="64">
        <f t="shared" si="2"/>
        <v>235.41000000000003</v>
      </c>
      <c r="BO52" s="64">
        <f t="shared" si="3"/>
        <v>0.32262731481481477</v>
      </c>
      <c r="BP52" s="64">
        <f t="shared" si="4"/>
        <v>0.328125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62</v>
      </c>
      <c r="Y54" s="550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64.945000000000007</v>
      </c>
      <c r="BN54" s="64">
        <f t="shared" si="2"/>
        <v>67.040000000000006</v>
      </c>
      <c r="BO54" s="64">
        <f t="shared" si="3"/>
        <v>0.11742424242424243</v>
      </c>
      <c r="BP54" s="64">
        <f t="shared" si="4"/>
        <v>0.12121212121212122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36.148148148148145</v>
      </c>
      <c r="Y57" s="551">
        <f>IFERROR(Y51/H51,"0")+IFERROR(Y52/H52,"0")+IFERROR(Y53/H53,"0")+IFERROR(Y54/H54,"0")+IFERROR(Y55/H55,"0")+IFERROR(Y56/H56,"0")</f>
        <v>37</v>
      </c>
      <c r="Z57" s="551">
        <f>IFERROR(IF(Z51="",0,Z51),"0")+IFERROR(IF(Z52="",0,Z52),"0")+IFERROR(IF(Z53="",0,Z53),"0")+IFERROR(IF(Z54="",0,Z54),"0")+IFERROR(IF(Z55="",0,Z55),"0")+IFERROR(IF(Z56="",0,Z56),"0")</f>
        <v>0.54289999999999994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285</v>
      </c>
      <c r="Y58" s="551">
        <f>IFERROR(SUM(Y51:Y56),"0")</f>
        <v>290.8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85</v>
      </c>
      <c r="Y60" s="550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88.226851851851848</v>
      </c>
      <c r="BN60" s="64">
        <f>IFERROR(Y60*I60/H60,"0")</f>
        <v>89.68</v>
      </c>
      <c r="BO60" s="64">
        <f>IFERROR(1/J60*(X60/H60),"0")</f>
        <v>0.12297453703703703</v>
      </c>
      <c r="BP60" s="64">
        <f>IFERROR(1/J60*(Y60/H60),"0")</f>
        <v>0.125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7.8703703703703702</v>
      </c>
      <c r="Y63" s="551">
        <f>IFERROR(Y60/H60,"0")+IFERROR(Y61/H61,"0")+IFERROR(Y62/H62,"0")</f>
        <v>8</v>
      </c>
      <c r="Z63" s="551">
        <f>IFERROR(IF(Z60="",0,Z60),"0")+IFERROR(IF(Z61="",0,Z61),"0")+IFERROR(IF(Z62="",0,Z62),"0")</f>
        <v>0.15184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85</v>
      </c>
      <c r="Y64" s="551">
        <f>IFERROR(SUM(Y60:Y62),"0")</f>
        <v>86.4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125</v>
      </c>
      <c r="Y78" s="550">
        <f>IFERROR(IF(X78="",0,CEILING((X78/$H78),1)*$H78),"")</f>
        <v>132.6</v>
      </c>
      <c r="Z78" s="36">
        <f>IFERROR(IF(Y78=0,"",ROUNDUP(Y78/H78,0)*0.01898),"")</f>
        <v>0.32266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131.57051282051282</v>
      </c>
      <c r="BN78" s="64">
        <f>IFERROR(Y78*I78/H78,"0")</f>
        <v>139.57</v>
      </c>
      <c r="BO78" s="64">
        <f>IFERROR(1/J78*(X78/H78),"0")</f>
        <v>0.25040064102564102</v>
      </c>
      <c r="BP78" s="64">
        <f>IFERROR(1/J78*(Y78/H78),"0")</f>
        <v>0.265625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16.025641025641026</v>
      </c>
      <c r="Y80" s="551">
        <f>IFERROR(Y78/H78,"0")+IFERROR(Y79/H79,"0")</f>
        <v>17</v>
      </c>
      <c r="Z80" s="551">
        <f>IFERROR(IF(Z78="",0,Z78),"0")+IFERROR(IF(Z79="",0,Z79),"0")</f>
        <v>0.32266</v>
      </c>
      <c r="AA80" s="552"/>
      <c r="AB80" s="552"/>
      <c r="AC80" s="552"/>
    </row>
    <row r="81" spans="1:68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125</v>
      </c>
      <c r="Y81" s="551">
        <f>IFERROR(SUM(Y78:Y79),"0")</f>
        <v>132.6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427</v>
      </c>
      <c r="Y84" s="550">
        <f>IFERROR(IF(X84="",0,CEILING((X84/$H84),1)*$H84),"")</f>
        <v>432</v>
      </c>
      <c r="Z84" s="36">
        <f>IFERROR(IF(Y84=0,"",ROUNDUP(Y84/H84,0)*0.01898),"")</f>
        <v>0.75919999999999999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443.21018518518514</v>
      </c>
      <c r="BN84" s="64">
        <f>IFERROR(Y84*I84/H84,"0")</f>
        <v>448.4</v>
      </c>
      <c r="BO84" s="64">
        <f>IFERROR(1/J84*(X84/H84),"0")</f>
        <v>0.61776620370370361</v>
      </c>
      <c r="BP84" s="64">
        <f>IFERROR(1/J84*(Y84/H84),"0")</f>
        <v>0.625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134</v>
      </c>
      <c r="Y87" s="550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139.6577777777778</v>
      </c>
      <c r="BN87" s="64">
        <f>IFERROR(Y87*I87/H87,"0")</f>
        <v>140.70000000000002</v>
      </c>
      <c r="BO87" s="64">
        <f>IFERROR(1/J87*(X87/H87),"0")</f>
        <v>0.22558922558922559</v>
      </c>
      <c r="BP87" s="64">
        <f>IFERROR(1/J87*(Y87/H87),"0")</f>
        <v>0.22727272727272729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69.31481481481481</v>
      </c>
      <c r="Y88" s="551">
        <f>IFERROR(Y84/H84,"0")+IFERROR(Y85/H85,"0")+IFERROR(Y86/H86,"0")+IFERROR(Y87/H87,"0")</f>
        <v>70</v>
      </c>
      <c r="Z88" s="551">
        <f>IFERROR(IF(Z84="",0,Z84),"0")+IFERROR(IF(Z85="",0,Z85),"0")+IFERROR(IF(Z86="",0,Z86),"0")+IFERROR(IF(Z87="",0,Z87),"0")</f>
        <v>1.0298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561</v>
      </c>
      <c r="Y89" s="551">
        <f>IFERROR(SUM(Y84:Y87),"0")</f>
        <v>567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8</v>
      </c>
      <c r="Y91" s="550">
        <f>IFERROR(IF(X91="",0,CEILING((X91/$H91),1)*$H91),"")</f>
        <v>8.1</v>
      </c>
      <c r="Z91" s="36">
        <f>IFERROR(IF(Y91=0,"",ROUNDUP(Y91/H91,0)*0.01898),"")</f>
        <v>1.898E-2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8.4879012345679019</v>
      </c>
      <c r="BN91" s="64">
        <f>IFERROR(Y91*I91/H91,"0")</f>
        <v>8.5939999999999994</v>
      </c>
      <c r="BO91" s="64">
        <f>IFERROR(1/J91*(X91/H91),"0")</f>
        <v>1.54320987654321E-2</v>
      </c>
      <c r="BP91" s="64">
        <f>IFERROR(1/J91*(Y91/H91),"0")</f>
        <v>1.5625E-2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130</v>
      </c>
      <c r="Y93" s="550">
        <f>IFERROR(IF(X93="",0,CEILING((X93/$H93),1)*$H93),"")</f>
        <v>132.30000000000001</v>
      </c>
      <c r="Z93" s="36">
        <f>IFERROR(IF(Y93=0,"",ROUNDUP(Y93/H93,0)*0.00651),"")</f>
        <v>0.31899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142.13333333333333</v>
      </c>
      <c r="BN93" s="64">
        <f>IFERROR(Y93*I93/H93,"0")</f>
        <v>144.64800000000002</v>
      </c>
      <c r="BO93" s="64">
        <f>IFERROR(1/J93*(X93/H93),"0")</f>
        <v>0.26455026455026454</v>
      </c>
      <c r="BP93" s="64">
        <f>IFERROR(1/J93*(Y93/H93),"0")</f>
        <v>0.26923076923076927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49.135802469135797</v>
      </c>
      <c r="Y95" s="551">
        <f>IFERROR(Y91/H91,"0")+IFERROR(Y92/H92,"0")+IFERROR(Y93/H93,"0")+IFERROR(Y94/H94,"0")</f>
        <v>50</v>
      </c>
      <c r="Z95" s="551">
        <f>IFERROR(IF(Z91="",0,Z91),"0")+IFERROR(IF(Z92="",0,Z92),"0")+IFERROR(IF(Z93="",0,Z93),"0")+IFERROR(IF(Z94="",0,Z94),"0")</f>
        <v>0.33796999999999999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138</v>
      </c>
      <c r="Y96" s="551">
        <f>IFERROR(SUM(Y91:Y94),"0")</f>
        <v>140.4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228</v>
      </c>
      <c r="Y102" s="550">
        <f>IFERROR(IF(X102="",0,CEILING((X102/$H102),1)*$H102),"")</f>
        <v>229.5</v>
      </c>
      <c r="Z102" s="36">
        <f>IFERROR(IF(Y102=0,"",ROUNDUP(Y102/H102,0)*0.00902),"")</f>
        <v>0.46001999999999998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237.62666666666669</v>
      </c>
      <c r="BN102" s="64">
        <f>IFERROR(Y102*I102/H102,"0")</f>
        <v>239.19</v>
      </c>
      <c r="BO102" s="64">
        <f>IFERROR(1/J102*(X102/H102),"0")</f>
        <v>0.38383838383838381</v>
      </c>
      <c r="BP102" s="64">
        <f>IFERROR(1/J102*(Y102/H102),"0")</f>
        <v>0.38636363636363635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50.666666666666664</v>
      </c>
      <c r="Y104" s="551">
        <f>IFERROR(Y99/H99,"0")+IFERROR(Y100/H100,"0")+IFERROR(Y101/H101,"0")+IFERROR(Y102/H102,"0")+IFERROR(Y103/H103,"0")</f>
        <v>51</v>
      </c>
      <c r="Z104" s="551">
        <f>IFERROR(IF(Z99="",0,Z99),"0")+IFERROR(IF(Z100="",0,Z100),"0")+IFERROR(IF(Z101="",0,Z101),"0")+IFERROR(IF(Z102="",0,Z102),"0")+IFERROR(IF(Z103="",0,Z103),"0")</f>
        <v>0.46001999999999998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228</v>
      </c>
      <c r="Y105" s="551">
        <f>IFERROR(SUM(Y99:Y103),"0")</f>
        <v>229.5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9</v>
      </c>
      <c r="Y110" s="550">
        <f>IFERROR(IF(X110="",0,CEILING((X110/$H110),1)*$H110),"")</f>
        <v>9.6</v>
      </c>
      <c r="Z110" s="36">
        <f>IFERROR(IF(Y110=0,"",ROUNDUP(Y110/H110,0)*0.00651),"")</f>
        <v>2.6040000000000001E-2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9.6750000000000007</v>
      </c>
      <c r="BN110" s="64">
        <f>IFERROR(Y110*I110/H110,"0")</f>
        <v>10.32</v>
      </c>
      <c r="BO110" s="64">
        <f>IFERROR(1/J110*(X110/H110),"0")</f>
        <v>2.0604395604395608E-2</v>
      </c>
      <c r="BP110" s="64">
        <f>IFERROR(1/J110*(Y110/H110),"0")</f>
        <v>2.197802197802198E-2</v>
      </c>
    </row>
    <row r="111" spans="1:68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3.75</v>
      </c>
      <c r="Y111" s="551">
        <f>IFERROR(Y107/H107,"0")+IFERROR(Y108/H108,"0")+IFERROR(Y109/H109,"0")+IFERROR(Y110/H110,"0")</f>
        <v>4</v>
      </c>
      <c r="Z111" s="551">
        <f>IFERROR(IF(Z107="",0,Z107),"0")+IFERROR(IF(Z108="",0,Z108),"0")+IFERROR(IF(Z109="",0,Z109),"0")+IFERROR(IF(Z110="",0,Z110),"0")</f>
        <v>2.6040000000000001E-2</v>
      </c>
      <c r="AA111" s="552"/>
      <c r="AB111" s="552"/>
      <c r="AC111" s="552"/>
    </row>
    <row r="112" spans="1:68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9</v>
      </c>
      <c r="Y112" s="551">
        <f>IFERROR(SUM(Y107:Y110),"0")</f>
        <v>9.6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8</v>
      </c>
      <c r="Y114" s="550">
        <f>IFERROR(IF(X114="",0,CEILING((X114/$H114),1)*$H114),"")</f>
        <v>8.1</v>
      </c>
      <c r="Z114" s="36">
        <f>IFERROR(IF(Y114=0,"",ROUNDUP(Y114/H114,0)*0.01898),"")</f>
        <v>1.898E-2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8.4819753086419745</v>
      </c>
      <c r="BN114" s="64">
        <f>IFERROR(Y114*I114/H114,"0")</f>
        <v>8.5879999999999992</v>
      </c>
      <c r="BO114" s="64">
        <f>IFERROR(1/J114*(X114/H114),"0")</f>
        <v>1.54320987654321E-2</v>
      </c>
      <c r="BP114" s="64">
        <f>IFERROR(1/J114*(Y114/H114),"0")</f>
        <v>1.5625E-2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403</v>
      </c>
      <c r="Y116" s="550">
        <f>IFERROR(IF(X116="",0,CEILING((X116/$H116),1)*$H116),"")</f>
        <v>405</v>
      </c>
      <c r="Z116" s="36">
        <f>IFERROR(IF(Y116=0,"",ROUNDUP(Y116/H116,0)*0.00651),"")</f>
        <v>0.97650000000000003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440.61333333333329</v>
      </c>
      <c r="BN116" s="64">
        <f>IFERROR(Y116*I116/H116,"0")</f>
        <v>442.79999999999995</v>
      </c>
      <c r="BO116" s="64">
        <f>IFERROR(1/J116*(X116/H116),"0")</f>
        <v>0.82010582010582</v>
      </c>
      <c r="BP116" s="64">
        <f>IFERROR(1/J116*(Y116/H116),"0")</f>
        <v>0.82417582417582425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150.24691358024688</v>
      </c>
      <c r="Y118" s="551">
        <f>IFERROR(Y114/H114,"0")+IFERROR(Y115/H115,"0")+IFERROR(Y116/H116,"0")+IFERROR(Y117/H117,"0")</f>
        <v>151</v>
      </c>
      <c r="Z118" s="551">
        <f>IFERROR(IF(Z114="",0,Z114),"0")+IFERROR(IF(Z115="",0,Z115),"0")+IFERROR(IF(Z116="",0,Z116),"0")+IFERROR(IF(Z117="",0,Z117),"0")</f>
        <v>0.99548000000000003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411</v>
      </c>
      <c r="Y119" s="551">
        <f>IFERROR(SUM(Y114:Y117),"0")</f>
        <v>413.1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95</v>
      </c>
      <c r="Y170" s="550">
        <f t="shared" si="10"/>
        <v>96.600000000000009</v>
      </c>
      <c r="Z170" s="36">
        <f>IFERROR(IF(Y170=0,"",ROUNDUP(Y170/H170,0)*0.00502),"")</f>
        <v>0.23092000000000001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100.88095238095238</v>
      </c>
      <c r="BN170" s="64">
        <f t="shared" si="12"/>
        <v>102.58</v>
      </c>
      <c r="BO170" s="64">
        <f t="shared" si="13"/>
        <v>0.19332519332519332</v>
      </c>
      <c r="BP170" s="64">
        <f t="shared" si="14"/>
        <v>0.1965811965811966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1</v>
      </c>
      <c r="Y175" s="550">
        <f t="shared" si="10"/>
        <v>1.8</v>
      </c>
      <c r="Z175" s="36">
        <f>IFERROR(IF(Y175=0,"",ROUNDUP(Y175/H175,0)*0.00502),"")</f>
        <v>5.0200000000000002E-3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1.0722222222222222</v>
      </c>
      <c r="BN175" s="64">
        <f t="shared" si="12"/>
        <v>1.9299999999999997</v>
      </c>
      <c r="BO175" s="64">
        <f t="shared" si="13"/>
        <v>2.3741690408357078E-3</v>
      </c>
      <c r="BP175" s="64">
        <f t="shared" si="14"/>
        <v>4.2735042735042739E-3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172</v>
      </c>
      <c r="Y177" s="550">
        <f t="shared" si="10"/>
        <v>172.20000000000002</v>
      </c>
      <c r="Z177" s="36">
        <f>IFERROR(IF(Y177=0,"",ROUNDUP(Y177/H177,0)*0.00502),"")</f>
        <v>0.41164000000000001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180.1904761904762</v>
      </c>
      <c r="BN177" s="64">
        <f t="shared" si="12"/>
        <v>180.40000000000003</v>
      </c>
      <c r="BO177" s="64">
        <f t="shared" si="13"/>
        <v>0.35002035002035004</v>
      </c>
      <c r="BP177" s="64">
        <f t="shared" si="14"/>
        <v>0.35042735042735046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139.60317460317458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141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0.75582000000000005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318</v>
      </c>
      <c r="Y181" s="551">
        <f>IFERROR(SUM(Y166:Y179),"0")</f>
        <v>321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2</v>
      </c>
      <c r="Y184" s="550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7</v>
      </c>
      <c r="Y185" s="550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7.1428571428571423</v>
      </c>
      <c r="Y186" s="551">
        <f>IFERROR(Y183/H183,"0")+IFERROR(Y184/H184,"0")+IFERROR(Y185/H185,"0")</f>
        <v>8</v>
      </c>
      <c r="Z186" s="551">
        <f>IFERROR(IF(Z183="",0,Z183),"0")+IFERROR(IF(Z184="",0,Z184),"0")+IFERROR(IF(Z185="",0,Z185),"0")</f>
        <v>4.7199999999999999E-2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9</v>
      </c>
      <c r="Y187" s="551">
        <f>IFERROR(SUM(Y183:Y185),"0")</f>
        <v>10.08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45</v>
      </c>
      <c r="Y205" s="550">
        <f t="shared" si="15"/>
        <v>48.6</v>
      </c>
      <c r="Z205" s="36">
        <f>IFERROR(IF(Y205=0,"",ROUNDUP(Y205/H205,0)*0.00902),"")</f>
        <v>8.1180000000000002E-2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46.583333333333329</v>
      </c>
      <c r="BN205" s="64">
        <f t="shared" si="17"/>
        <v>50.309999999999995</v>
      </c>
      <c r="BO205" s="64">
        <f t="shared" si="18"/>
        <v>6.3131313131313122E-2</v>
      </c>
      <c r="BP205" s="64">
        <f t="shared" si="19"/>
        <v>6.8181818181818177E-2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46</v>
      </c>
      <c r="Y207" s="550">
        <f t="shared" si="15"/>
        <v>48.6</v>
      </c>
      <c r="Z207" s="36">
        <f>IFERROR(IF(Y207=0,"",ROUNDUP(Y207/H207,0)*0.00902),"")</f>
        <v>8.1180000000000002E-2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47.618518518518513</v>
      </c>
      <c r="BN207" s="64">
        <f t="shared" si="17"/>
        <v>50.309999999999995</v>
      </c>
      <c r="BO207" s="64">
        <f t="shared" si="18"/>
        <v>6.4534231200897865E-2</v>
      </c>
      <c r="BP207" s="64">
        <f t="shared" si="19"/>
        <v>6.8181818181818177E-2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18</v>
      </c>
      <c r="Y208" s="550">
        <f t="shared" si="15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19.3</v>
      </c>
      <c r="BN208" s="64">
        <f t="shared" si="17"/>
        <v>19.3</v>
      </c>
      <c r="BO208" s="64">
        <f t="shared" si="18"/>
        <v>4.2735042735042736E-2</v>
      </c>
      <c r="BP208" s="64">
        <f t="shared" si="19"/>
        <v>4.2735042735042736E-2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14</v>
      </c>
      <c r="Y209" s="550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14.777777777777777</v>
      </c>
      <c r="BN209" s="64">
        <f t="shared" si="17"/>
        <v>15.2</v>
      </c>
      <c r="BO209" s="64">
        <f t="shared" si="18"/>
        <v>3.3238366571699908E-2</v>
      </c>
      <c r="BP209" s="64">
        <f t="shared" si="19"/>
        <v>3.4188034188034191E-2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17</v>
      </c>
      <c r="Y211" s="550">
        <f t="shared" si="15"/>
        <v>18</v>
      </c>
      <c r="Z211" s="36">
        <f>IFERROR(IF(Y211=0,"",ROUNDUP(Y211/H211,0)*0.00502),"")</f>
        <v>5.0200000000000002E-2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17.944444444444443</v>
      </c>
      <c r="BN211" s="64">
        <f t="shared" si="17"/>
        <v>18.999999999999996</v>
      </c>
      <c r="BO211" s="64">
        <f t="shared" si="18"/>
        <v>4.0360873694207031E-2</v>
      </c>
      <c r="BP211" s="64">
        <f t="shared" si="19"/>
        <v>4.2735042735042736E-2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44.074074074074069</v>
      </c>
      <c r="Y212" s="551">
        <f>IFERROR(Y204/H204,"0")+IFERROR(Y205/H205,"0")+IFERROR(Y206/H206,"0")+IFERROR(Y207/H207,"0")+IFERROR(Y208/H208,"0")+IFERROR(Y209/H209,"0")+IFERROR(Y210/H210,"0")+IFERROR(Y211/H211,"0")</f>
        <v>46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0.30292000000000002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140</v>
      </c>
      <c r="Y213" s="551">
        <f>IFERROR(SUM(Y204:Y211),"0")</f>
        <v>147.6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63</v>
      </c>
      <c r="Y215" s="550">
        <f t="shared" ref="Y215:Y223" si="20">IFERROR(IF(X215="",0,CEILING((X215/$H215),1)*$H215),"")</f>
        <v>64.8</v>
      </c>
      <c r="Z215" s="36">
        <f>IFERROR(IF(Y215=0,"",ROUNDUP(Y215/H215,0)*0.01898),"")</f>
        <v>0.15184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66.842222222222219</v>
      </c>
      <c r="BN215" s="64">
        <f t="shared" ref="BN215:BN223" si="22">IFERROR(Y215*I215/H215,"0")</f>
        <v>68.751999999999995</v>
      </c>
      <c r="BO215" s="64">
        <f t="shared" ref="BO215:BO223" si="23">IFERROR(1/J215*(X215/H215),"0")</f>
        <v>0.12152777777777778</v>
      </c>
      <c r="BP215" s="64">
        <f t="shared" ref="BP215:BP223" si="24">IFERROR(1/J215*(Y215/H215),"0")</f>
        <v>0.125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56</v>
      </c>
      <c r="Y216" s="550">
        <f t="shared" si="20"/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59.290864197530873</v>
      </c>
      <c r="BN216" s="64">
        <f t="shared" si="22"/>
        <v>60.031999999999996</v>
      </c>
      <c r="BO216" s="64">
        <f t="shared" si="23"/>
        <v>0.1080246913580247</v>
      </c>
      <c r="BP216" s="64">
        <f t="shared" si="24"/>
        <v>0.109375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176</v>
      </c>
      <c r="Y218" s="550">
        <f t="shared" si="20"/>
        <v>177.6</v>
      </c>
      <c r="Z218" s="36">
        <f t="shared" ref="Z218:Z223" si="25">IFERROR(IF(Y218=0,"",ROUNDUP(Y218/H218,0)*0.00651),"")</f>
        <v>0.48174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195.79999999999998</v>
      </c>
      <c r="BN218" s="64">
        <f t="shared" si="22"/>
        <v>197.57999999999998</v>
      </c>
      <c r="BO218" s="64">
        <f t="shared" si="23"/>
        <v>0.402930402930403</v>
      </c>
      <c r="BP218" s="64">
        <f t="shared" si="24"/>
        <v>0.40659340659340665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132</v>
      </c>
      <c r="Y220" s="550">
        <f t="shared" si="20"/>
        <v>132</v>
      </c>
      <c r="Z220" s="36">
        <f t="shared" si="25"/>
        <v>0.35805000000000003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145.86000000000001</v>
      </c>
      <c r="BN220" s="64">
        <f t="shared" si="22"/>
        <v>145.86000000000001</v>
      </c>
      <c r="BO220" s="64">
        <f t="shared" si="23"/>
        <v>0.30219780219780223</v>
      </c>
      <c r="BP220" s="64">
        <f t="shared" si="24"/>
        <v>0.30219780219780223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155</v>
      </c>
      <c r="Y221" s="550">
        <f t="shared" si="20"/>
        <v>156</v>
      </c>
      <c r="Z221" s="36">
        <f t="shared" si="25"/>
        <v>0.42315000000000003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171.27500000000001</v>
      </c>
      <c r="BN221" s="64">
        <f t="shared" si="22"/>
        <v>172.38000000000002</v>
      </c>
      <c r="BO221" s="64">
        <f t="shared" si="23"/>
        <v>0.35485347985347993</v>
      </c>
      <c r="BP221" s="64">
        <f t="shared" si="24"/>
        <v>0.35714285714285715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40</v>
      </c>
      <c r="Y222" s="550">
        <f t="shared" si="20"/>
        <v>40.799999999999997</v>
      </c>
      <c r="Z222" s="36">
        <f t="shared" si="25"/>
        <v>0.11067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44.20000000000001</v>
      </c>
      <c r="BN222" s="64">
        <f t="shared" si="22"/>
        <v>45.084000000000003</v>
      </c>
      <c r="BO222" s="64">
        <f t="shared" si="23"/>
        <v>9.1575091575091583E-2</v>
      </c>
      <c r="BP222" s="64">
        <f t="shared" si="24"/>
        <v>9.3406593406593408E-2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122</v>
      </c>
      <c r="Y223" s="550">
        <f t="shared" si="20"/>
        <v>122.39999999999999</v>
      </c>
      <c r="Z223" s="36">
        <f t="shared" si="25"/>
        <v>0.33201000000000003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135.11500000000001</v>
      </c>
      <c r="BN223" s="64">
        <f t="shared" si="22"/>
        <v>135.55799999999999</v>
      </c>
      <c r="BO223" s="64">
        <f t="shared" si="23"/>
        <v>0.27930402930402937</v>
      </c>
      <c r="BP223" s="64">
        <f t="shared" si="24"/>
        <v>0.28021978021978022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275.10802469135803</v>
      </c>
      <c r="Y224" s="551">
        <f>IFERROR(Y215/H215,"0")+IFERROR(Y216/H216,"0")+IFERROR(Y217/H217,"0")+IFERROR(Y218/H218,"0")+IFERROR(Y219/H219,"0")+IFERROR(Y220/H220,"0")+IFERROR(Y221/H221,"0")+IFERROR(Y222/H222,"0")+IFERROR(Y223/H223,"0")</f>
        <v>277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1.9903200000000001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744</v>
      </c>
      <c r="Y225" s="551">
        <f>IFERROR(SUM(Y215:Y223),"0")</f>
        <v>750.3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28</v>
      </c>
      <c r="Y227" s="550">
        <f>IFERROR(IF(X227="",0,CEILING((X227/$H227),1)*$H227),"")</f>
        <v>28.799999999999997</v>
      </c>
      <c r="Z227" s="36">
        <f>IFERROR(IF(Y227=0,"",ROUNDUP(Y227/H227,0)*0.00651),"")</f>
        <v>7.8119999999999995E-2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30.94</v>
      </c>
      <c r="BN227" s="64">
        <f>IFERROR(Y227*I227/H227,"0")</f>
        <v>31.824000000000002</v>
      </c>
      <c r="BO227" s="64">
        <f>IFERROR(1/J227*(X227/H227),"0")</f>
        <v>6.4102564102564111E-2</v>
      </c>
      <c r="BP227" s="64">
        <f>IFERROR(1/J227*(Y227/H227),"0")</f>
        <v>6.5934065934065936E-2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11.666666666666668</v>
      </c>
      <c r="Y229" s="551">
        <f>IFERROR(Y227/H227,"0")+IFERROR(Y228/H228,"0")</f>
        <v>12</v>
      </c>
      <c r="Z229" s="551">
        <f>IFERROR(IF(Z227="",0,Z227),"0")+IFERROR(IF(Z228="",0,Z228),"0")</f>
        <v>7.8119999999999995E-2</v>
      </c>
      <c r="AA229" s="552"/>
      <c r="AB229" s="552"/>
      <c r="AC229" s="552"/>
    </row>
    <row r="230" spans="1:68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28</v>
      </c>
      <c r="Y230" s="551">
        <f>IFERROR(SUM(Y227:Y228),"0")</f>
        <v>28.799999999999997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13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13.459482758620689</v>
      </c>
      <c r="BN233" s="64">
        <f t="shared" ref="BN233:BN241" si="28">IFERROR(Y233*I233/H233,"0")</f>
        <v>24.02</v>
      </c>
      <c r="BO233" s="64">
        <f t="shared" ref="BO233:BO241" si="29">IFERROR(1/J233*(X233/H233),"0")</f>
        <v>1.7510775862068968E-2</v>
      </c>
      <c r="BP233" s="64">
        <f t="shared" ref="BP233:BP241" si="30">IFERROR(1/J233*(Y233/H233),"0")</f>
        <v>3.125E-2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1.1206896551724139</v>
      </c>
      <c r="Y242" s="551">
        <f>IFERROR(Y233/H233,"0")+IFERROR(Y234/H234,"0")+IFERROR(Y235/H235,"0")+IFERROR(Y236/H236,"0")+IFERROR(Y237/H237,"0")+IFERROR(Y238/H238,"0")+IFERROR(Y239/H239,"0")+IFERROR(Y240/H240,"0")+IFERROR(Y241/H241,"0")</f>
        <v>2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3.7960000000000001E-2</v>
      </c>
      <c r="AA242" s="552"/>
      <c r="AB242" s="552"/>
      <c r="AC242" s="552"/>
    </row>
    <row r="243" spans="1:68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13</v>
      </c>
      <c r="Y243" s="551">
        <f>IFERROR(SUM(Y233:Y241),"0")</f>
        <v>23.2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6</v>
      </c>
      <c r="Y249" s="550">
        <f>IFERROR(IF(X249="",0,CEILING((X249/$H249),1)*$H249),"")</f>
        <v>7.2</v>
      </c>
      <c r="Z249" s="36">
        <f>IFERROR(IF(Y249=0,"",ROUNDUP(Y249/H249,0)*0.0059),"")</f>
        <v>2.3599999999999999E-2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6.5833333333333339</v>
      </c>
      <c r="BN249" s="64">
        <f>IFERROR(Y249*I249/H249,"0")</f>
        <v>7.9</v>
      </c>
      <c r="BO249" s="64">
        <f>IFERROR(1/J249*(X249/H249),"0")</f>
        <v>1.5432098765432096E-2</v>
      </c>
      <c r="BP249" s="64">
        <f>IFERROR(1/J249*(Y249/H249),"0")</f>
        <v>1.8518518518518517E-2</v>
      </c>
    </row>
    <row r="250" spans="1:68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3.333333333333333</v>
      </c>
      <c r="Y250" s="551">
        <f>IFERROR(Y249/H249,"0")</f>
        <v>4</v>
      </c>
      <c r="Z250" s="551">
        <f>IFERROR(IF(Z249="",0,Z249),"0")</f>
        <v>2.3599999999999999E-2</v>
      </c>
      <c r="AA250" s="552"/>
      <c r="AB250" s="552"/>
      <c r="AC250" s="552"/>
    </row>
    <row r="251" spans="1:68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6</v>
      </c>
      <c r="Y251" s="551">
        <f>IFERROR(SUM(Y249:Y249),"0")</f>
        <v>7.2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75</v>
      </c>
      <c r="Y280" s="550">
        <f>IFERROR(IF(X280="",0,CEILING((X280/$H280),1)*$H280),"")</f>
        <v>76.8</v>
      </c>
      <c r="Z280" s="36">
        <f>IFERROR(IF(Y280=0,"",ROUNDUP(Y280/H280,0)*0.00651),"")</f>
        <v>0.20832000000000001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82.875</v>
      </c>
      <c r="BN280" s="64">
        <f>IFERROR(Y280*I280/H280,"0")</f>
        <v>84.864000000000004</v>
      </c>
      <c r="BO280" s="64">
        <f>IFERROR(1/J280*(X280/H280),"0")</f>
        <v>0.1717032967032967</v>
      </c>
      <c r="BP280" s="64">
        <f>IFERROR(1/J280*(Y280/H280),"0")</f>
        <v>0.17582417582417584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192</v>
      </c>
      <c r="Y281" s="550">
        <f>IFERROR(IF(X281="",0,CEILING((X281/$H281),1)*$H281),"")</f>
        <v>192</v>
      </c>
      <c r="Z281" s="36">
        <f>IFERROR(IF(Y281=0,"",ROUNDUP(Y281/H281,0)*0.00651),"")</f>
        <v>0.52080000000000004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206.4</v>
      </c>
      <c r="BN281" s="64">
        <f>IFERROR(Y281*I281/H281,"0")</f>
        <v>206.4</v>
      </c>
      <c r="BO281" s="64">
        <f>IFERROR(1/J281*(X281/H281),"0")</f>
        <v>0.43956043956043961</v>
      </c>
      <c r="BP281" s="64">
        <f>IFERROR(1/J281*(Y281/H281),"0")</f>
        <v>0.43956043956043961</v>
      </c>
    </row>
    <row r="282" spans="1:68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111.25</v>
      </c>
      <c r="Y282" s="551">
        <f>IFERROR(Y279/H279,"0")+IFERROR(Y280/H280,"0")+IFERROR(Y281/H281,"0")</f>
        <v>112</v>
      </c>
      <c r="Z282" s="551">
        <f>IFERROR(IF(Z279="",0,Z279),"0")+IFERROR(IF(Z280="",0,Z280),"0")+IFERROR(IF(Z281="",0,Z281),"0")</f>
        <v>0.72911999999999999</v>
      </c>
      <c r="AA282" s="552"/>
      <c r="AB282" s="552"/>
      <c r="AC282" s="552"/>
    </row>
    <row r="283" spans="1:68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267</v>
      </c>
      <c r="Y283" s="551">
        <f>IFERROR(SUM(Y279:Y281),"0")</f>
        <v>268.8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100</v>
      </c>
      <c r="Y323" s="550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105.88095238095238</v>
      </c>
      <c r="BN323" s="64">
        <f>IFERROR(Y323*I323/H323,"0")</f>
        <v>106.72800000000001</v>
      </c>
      <c r="BO323" s="64">
        <f>IFERROR(1/J323*(X323/H323),"0")</f>
        <v>0.18601190476190477</v>
      </c>
      <c r="BP323" s="64">
        <f>IFERROR(1/J323*(Y323/H323),"0")</f>
        <v>0.1875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11.904761904761905</v>
      </c>
      <c r="Y324" s="551">
        <f>IFERROR(Y321/H321,"0")+IFERROR(Y322/H322,"0")+IFERROR(Y323/H323,"0")</f>
        <v>12</v>
      </c>
      <c r="Z324" s="551">
        <f>IFERROR(IF(Z321="",0,Z321),"0")+IFERROR(IF(Z322="",0,Z322),"0")+IFERROR(IF(Z323="",0,Z323),"0")</f>
        <v>0.22776000000000002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100</v>
      </c>
      <c r="Y325" s="551">
        <f>IFERROR(SUM(Y321:Y323),"0")</f>
        <v>100.80000000000001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1</v>
      </c>
      <c r="Y329" s="550">
        <f>IFERROR(IF(X329="",0,CEILING((X329/$H329),1)*$H329),"")</f>
        <v>2.5499999999999998</v>
      </c>
      <c r="Z329" s="36">
        <f>IFERROR(IF(Y329=0,"",ROUNDUP(Y329/H329,0)*0.00651),"")</f>
        <v>6.5100000000000002E-3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1.1588235294117648</v>
      </c>
      <c r="BN329" s="64">
        <f>IFERROR(Y329*I329/H329,"0")</f>
        <v>2.9550000000000001</v>
      </c>
      <c r="BO329" s="64">
        <f>IFERROR(1/J329*(X329/H329),"0")</f>
        <v>2.1547080370609788E-3</v>
      </c>
      <c r="BP329" s="64">
        <f>IFERROR(1/J329*(Y329/H329),"0")</f>
        <v>5.4945054945054949E-3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0.39215686274509809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1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1</v>
      </c>
      <c r="Y336" s="550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1.1200000000000001</v>
      </c>
      <c r="BN336" s="64">
        <f>IFERROR(Y336*I336/H336,"0")</f>
        <v>2.2400000000000002</v>
      </c>
      <c r="BO336" s="64">
        <f>IFERROR(1/J336*(X336/H336),"0")</f>
        <v>2.1008403361344537E-3</v>
      </c>
      <c r="BP336" s="64">
        <f>IFERROR(1/J336*(Y336/H336),"0")</f>
        <v>4.2016806722689074E-3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2.5</v>
      </c>
      <c r="Y337" s="551">
        <f>IFERROR(Y334/H334,"0")+IFERROR(Y335/H335,"0")+IFERROR(Y336/H336,"0")</f>
        <v>3</v>
      </c>
      <c r="Z337" s="551">
        <f>IFERROR(IF(Z334="",0,Z334),"0")+IFERROR(IF(Z335="",0,Z335),"0")+IFERROR(IF(Z336="",0,Z336),"0")</f>
        <v>1.422E-2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5</v>
      </c>
      <c r="Y338" s="551">
        <f>IFERROR(SUM(Y334:Y336),"0")</f>
        <v>6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490</v>
      </c>
      <c r="Y350" s="550">
        <f t="shared" si="36"/>
        <v>495</v>
      </c>
      <c r="Z350" s="36">
        <f>IFERROR(IF(Y350=0,"",ROUNDUP(Y350/H350,0)*0.02175),"")</f>
        <v>0.71775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505.35333333333335</v>
      </c>
      <c r="BN350" s="64">
        <f t="shared" si="38"/>
        <v>510.51000000000005</v>
      </c>
      <c r="BO350" s="64">
        <f t="shared" si="39"/>
        <v>0.68055555555555547</v>
      </c>
      <c r="BP350" s="64">
        <f t="shared" si="40"/>
        <v>0.6875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32.666666666666664</v>
      </c>
      <c r="Y356" s="551">
        <f>IFERROR(Y349/H349,"0")+IFERROR(Y350/H350,"0")+IFERROR(Y351/H351,"0")+IFERROR(Y352/H352,"0")+IFERROR(Y353/H353,"0")+IFERROR(Y354/H354,"0")+IFERROR(Y355/H355,"0")</f>
        <v>33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0.71775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490</v>
      </c>
      <c r="Y357" s="551">
        <f>IFERROR(SUM(Y349:Y355),"0")</f>
        <v>495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302</v>
      </c>
      <c r="Y359" s="550">
        <f>IFERROR(IF(X359="",0,CEILING((X359/$H359),1)*$H359),"")</f>
        <v>315</v>
      </c>
      <c r="Z359" s="36">
        <f>IFERROR(IF(Y359=0,"",ROUNDUP(Y359/H359,0)*0.02175),"")</f>
        <v>0.45674999999999999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311.46266666666668</v>
      </c>
      <c r="BN359" s="64">
        <f>IFERROR(Y359*I359/H359,"0")</f>
        <v>324.87</v>
      </c>
      <c r="BO359" s="64">
        <f>IFERROR(1/J359*(X359/H359),"0")</f>
        <v>0.4194444444444444</v>
      </c>
      <c r="BP359" s="64">
        <f>IFERROR(1/J359*(Y359/H359),"0")</f>
        <v>0.4375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20.133333333333333</v>
      </c>
      <c r="Y361" s="551">
        <f>IFERROR(Y359/H359,"0")+IFERROR(Y360/H360,"0")</f>
        <v>21</v>
      </c>
      <c r="Z361" s="551">
        <f>IFERROR(IF(Z359="",0,Z359),"0")+IFERROR(IF(Z360="",0,Z360),"0")</f>
        <v>0.45674999999999999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302</v>
      </c>
      <c r="Y362" s="551">
        <f>IFERROR(SUM(Y359:Y360),"0")</f>
        <v>315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4</v>
      </c>
      <c r="Y374" s="550">
        <f>IFERROR(IF(X374="",0,CEILING((X374/$H374),1)*$H374),"")</f>
        <v>12</v>
      </c>
      <c r="Z374" s="36">
        <f>IFERROR(IF(Y374=0,"",ROUNDUP(Y374/H374,0)*0.01898),"")</f>
        <v>1.898E-2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4.1366666666666667</v>
      </c>
      <c r="BN374" s="64">
        <f>IFERROR(Y374*I374/H374,"0")</f>
        <v>12.410000000000002</v>
      </c>
      <c r="BO374" s="64">
        <f>IFERROR(1/J374*(X374/H374),"0")</f>
        <v>5.208333333333333E-3</v>
      </c>
      <c r="BP374" s="64">
        <f>IFERROR(1/J374*(Y374/H374),"0")</f>
        <v>1.5625E-2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0.33333333333333331</v>
      </c>
      <c r="Y376" s="551">
        <f>IFERROR(Y374/H374,"0")+IFERROR(Y375/H375,"0")</f>
        <v>1</v>
      </c>
      <c r="Z376" s="551">
        <f>IFERROR(IF(Z374="",0,Z374),"0")+IFERROR(IF(Z375="",0,Z375),"0")</f>
        <v>1.898E-2</v>
      </c>
      <c r="AA376" s="552"/>
      <c r="AB376" s="552"/>
      <c r="AC376" s="552"/>
    </row>
    <row r="377" spans="1:68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4</v>
      </c>
      <c r="Y377" s="551">
        <f>IFERROR(SUM(Y374:Y375),"0")</f>
        <v>12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510</v>
      </c>
      <c r="Y384" s="550">
        <f>IFERROR(IF(X384="",0,CEILING((X384/$H384),1)*$H384),"")</f>
        <v>513</v>
      </c>
      <c r="Z384" s="36">
        <f>IFERROR(IF(Y384=0,"",ROUNDUP(Y384/H384,0)*0.01898),"")</f>
        <v>1.08186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537.99333333333334</v>
      </c>
      <c r="BN384" s="64">
        <f>IFERROR(Y384*I384/H384,"0")</f>
        <v>541.1579999999999</v>
      </c>
      <c r="BO384" s="64">
        <f>IFERROR(1/J384*(X384/H384),"0")</f>
        <v>0.88541666666666663</v>
      </c>
      <c r="BP384" s="64">
        <f>IFERROR(1/J384*(Y384/H384),"0")</f>
        <v>0.890625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56.666666666666664</v>
      </c>
      <c r="Y387" s="551">
        <f>IFERROR(Y384/H384,"0")+IFERROR(Y385/H385,"0")+IFERROR(Y386/H386,"0")</f>
        <v>57</v>
      </c>
      <c r="Z387" s="551">
        <f>IFERROR(IF(Z384="",0,Z384),"0")+IFERROR(IF(Z385="",0,Z385),"0")+IFERROR(IF(Z386="",0,Z386),"0")</f>
        <v>1.08186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510</v>
      </c>
      <c r="Y388" s="551">
        <f>IFERROR(SUM(Y384:Y386),"0")</f>
        <v>513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132</v>
      </c>
      <c r="Y428" s="550">
        <f t="shared" ref="Y428:Y439" si="47">IFERROR(IF(X428="",0,CEILING((X428/$H428),1)*$H428),"")</f>
        <v>132</v>
      </c>
      <c r="Z428" s="36">
        <f t="shared" ref="Z428:Z434" si="48">IFERROR(IF(Y428=0,"",ROUNDUP(Y428/H428,0)*0.01196),"")</f>
        <v>0.29899999999999999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140.75</v>
      </c>
      <c r="BN428" s="64">
        <f t="shared" ref="BN428:BN439" si="50">IFERROR(Y428*I428/H428,"0")</f>
        <v>140.75</v>
      </c>
      <c r="BO428" s="64">
        <f t="shared" ref="BO428:BO439" si="51">IFERROR(1/J428*(X428/H428),"0")</f>
        <v>0.24038461538461539</v>
      </c>
      <c r="BP428" s="64">
        <f t="shared" ref="BP428:BP439" si="52">IFERROR(1/J428*(Y428/H428),"0")</f>
        <v>0.24038461538461539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483</v>
      </c>
      <c r="Y432" s="550">
        <f t="shared" si="47"/>
        <v>485.76000000000005</v>
      </c>
      <c r="Z432" s="36">
        <f t="shared" si="48"/>
        <v>1.10032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515.01704545454538</v>
      </c>
      <c r="BN432" s="64">
        <f t="shared" si="50"/>
        <v>517.96</v>
      </c>
      <c r="BO432" s="64">
        <f t="shared" si="51"/>
        <v>0.87958916083916083</v>
      </c>
      <c r="BP432" s="64">
        <f t="shared" si="52"/>
        <v>0.88461538461538469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404</v>
      </c>
      <c r="Y434" s="550">
        <f t="shared" si="47"/>
        <v>406.56</v>
      </c>
      <c r="Z434" s="36">
        <f t="shared" si="48"/>
        <v>0.92091999999999996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430.780303030303</v>
      </c>
      <c r="BN434" s="64">
        <f t="shared" si="50"/>
        <v>433.51</v>
      </c>
      <c r="BO434" s="64">
        <f t="shared" si="51"/>
        <v>0.7357226107226108</v>
      </c>
      <c r="BP434" s="64">
        <f t="shared" si="52"/>
        <v>0.74038461538461542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45</v>
      </c>
      <c r="Y436" s="550">
        <f t="shared" si="47"/>
        <v>48</v>
      </c>
      <c r="Z436" s="36">
        <f>IFERROR(IF(Y436=0,"",ROUNDUP(Y436/H436,0)*0.00902),"")</f>
        <v>9.0200000000000002E-2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64.78125</v>
      </c>
      <c r="BN436" s="64">
        <f t="shared" si="50"/>
        <v>69.100000000000009</v>
      </c>
      <c r="BO436" s="64">
        <f t="shared" si="51"/>
        <v>7.1022727272727279E-2</v>
      </c>
      <c r="BP436" s="64">
        <f t="shared" si="52"/>
        <v>7.575757575757576E-2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10</v>
      </c>
      <c r="Y439" s="550">
        <f t="shared" si="47"/>
        <v>14.399999999999999</v>
      </c>
      <c r="Z439" s="36">
        <f>IFERROR(IF(Y439=0,"",ROUNDUP(Y439/H439,0)*0.00902),"")</f>
        <v>2.7060000000000001E-2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14.395833333333332</v>
      </c>
      <c r="BN439" s="64">
        <f t="shared" si="50"/>
        <v>20.73</v>
      </c>
      <c r="BO439" s="64">
        <f t="shared" si="51"/>
        <v>1.5782828282828284E-2</v>
      </c>
      <c r="BP439" s="64">
        <f t="shared" si="52"/>
        <v>2.2727272727272728E-2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204.45075757575759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2.4375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1074</v>
      </c>
      <c r="Y441" s="551">
        <f>IFERROR(SUM(Y428:Y439),"0")</f>
        <v>1086.72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251</v>
      </c>
      <c r="Y443" s="550">
        <f>IFERROR(IF(X443="",0,CEILING((X443/$H443),1)*$H443),"")</f>
        <v>253.44</v>
      </c>
      <c r="Z443" s="36">
        <f>IFERROR(IF(Y443=0,"",ROUNDUP(Y443/H443,0)*0.01196),"")</f>
        <v>0.57408000000000003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267.63825757575756</v>
      </c>
      <c r="BN443" s="64">
        <f>IFERROR(Y443*I443/H443,"0")</f>
        <v>270.23999999999995</v>
      </c>
      <c r="BO443" s="64">
        <f>IFERROR(1/J443*(X443/H443),"0")</f>
        <v>0.45709498834498841</v>
      </c>
      <c r="BP443" s="64">
        <f>IFERROR(1/J443*(Y443/H443),"0")</f>
        <v>0.46153846153846156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82</v>
      </c>
      <c r="Y445" s="550">
        <f>IFERROR(IF(X445="",0,CEILING((X445/$H445),1)*$H445),"")</f>
        <v>86.399999999999991</v>
      </c>
      <c r="Z445" s="36">
        <f>IFERROR(IF(Y445=0,"",ROUNDUP(Y445/H445,0)*0.00902),"")</f>
        <v>0.16236</v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118.04583333333333</v>
      </c>
      <c r="BN445" s="64">
        <f>IFERROR(Y445*I445/H445,"0")</f>
        <v>124.38000000000001</v>
      </c>
      <c r="BO445" s="64">
        <f>IFERROR(1/J445*(X445/H445),"0")</f>
        <v>0.12941919191919193</v>
      </c>
      <c r="BP445" s="64">
        <f>IFERROR(1/J445*(Y445/H445),"0")</f>
        <v>0.13636363636363635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64.621212121212125</v>
      </c>
      <c r="Y446" s="551">
        <f>IFERROR(Y443/H443,"0")+IFERROR(Y444/H444,"0")+IFERROR(Y445/H445,"0")</f>
        <v>66</v>
      </c>
      <c r="Z446" s="551">
        <f>IFERROR(IF(Z443="",0,Z443),"0")+IFERROR(IF(Z444="",0,Z444),"0")+IFERROR(IF(Z445="",0,Z445),"0")</f>
        <v>0.73643999999999998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333</v>
      </c>
      <c r="Y447" s="551">
        <f>IFERROR(SUM(Y443:Y445),"0")</f>
        <v>339.84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465</v>
      </c>
      <c r="Y449" s="550">
        <f t="shared" ref="Y449:Y454" si="53">IFERROR(IF(X449="",0,CEILING((X449/$H449),1)*$H449),"")</f>
        <v>469.92</v>
      </c>
      <c r="Z449" s="36">
        <f>IFERROR(IF(Y449=0,"",ROUNDUP(Y449/H449,0)*0.01196),"")</f>
        <v>1.0644400000000001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495.82386363636357</v>
      </c>
      <c r="BN449" s="64">
        <f t="shared" ref="BN449:BN454" si="55">IFERROR(Y449*I449/H449,"0")</f>
        <v>501.07</v>
      </c>
      <c r="BO449" s="64">
        <f t="shared" ref="BO449:BO454" si="56">IFERROR(1/J449*(X449/H449),"0")</f>
        <v>0.84680944055944052</v>
      </c>
      <c r="BP449" s="64">
        <f t="shared" ref="BP449:BP454" si="57">IFERROR(1/J449*(Y449/H449),"0")</f>
        <v>0.85576923076923084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193</v>
      </c>
      <c r="Y450" s="550">
        <f t="shared" si="53"/>
        <v>195.36</v>
      </c>
      <c r="Z450" s="36">
        <f>IFERROR(IF(Y450=0,"",ROUNDUP(Y450/H450,0)*0.01196),"")</f>
        <v>0.44252000000000002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205.79356060606059</v>
      </c>
      <c r="BN450" s="64">
        <f t="shared" si="55"/>
        <v>208.31</v>
      </c>
      <c r="BO450" s="64">
        <f t="shared" si="56"/>
        <v>0.35147144522144524</v>
      </c>
      <c r="BP450" s="64">
        <f t="shared" si="57"/>
        <v>0.35576923076923078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467</v>
      </c>
      <c r="Y451" s="550">
        <f t="shared" si="53"/>
        <v>469.92</v>
      </c>
      <c r="Z451" s="36">
        <f>IFERROR(IF(Y451=0,"",ROUNDUP(Y451/H451,0)*0.01196),"")</f>
        <v>1.0644400000000001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497.95643939393938</v>
      </c>
      <c r="BN451" s="64">
        <f t="shared" si="55"/>
        <v>501.07</v>
      </c>
      <c r="BO451" s="64">
        <f t="shared" si="56"/>
        <v>0.85045163170163163</v>
      </c>
      <c r="BP451" s="64">
        <f t="shared" si="57"/>
        <v>0.85576923076923084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213.06818181818181</v>
      </c>
      <c r="Y455" s="551">
        <f>IFERROR(Y449/H449,"0")+IFERROR(Y450/H450,"0")+IFERROR(Y451/H451,"0")+IFERROR(Y452/H452,"0")+IFERROR(Y453/H453,"0")+IFERROR(Y454/H454,"0")</f>
        <v>215</v>
      </c>
      <c r="Z455" s="551">
        <f>IFERROR(IF(Z449="",0,Z449),"0")+IFERROR(IF(Z450="",0,Z450),"0")+IFERROR(IF(Z451="",0,Z451),"0")+IFERROR(IF(Z452="",0,Z452),"0")+IFERROR(IF(Z453="",0,Z453),"0")+IFERROR(IF(Z454="",0,Z454),"0")</f>
        <v>2.5714000000000001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1125</v>
      </c>
      <c r="Y456" s="551">
        <f>IFERROR(SUM(Y449:Y454),"0")</f>
        <v>1135.2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200</v>
      </c>
      <c r="Y480" s="550">
        <f>IFERROR(IF(X480="",0,CEILING((X480/$H480),1)*$H480),"")</f>
        <v>207</v>
      </c>
      <c r="Z480" s="36">
        <f>IFERROR(IF(Y480=0,"",ROUNDUP(Y480/H480,0)*0.01898),"")</f>
        <v>0.43653999999999998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210.97777777777776</v>
      </c>
      <c r="BN480" s="64">
        <f>IFERROR(Y480*I480/H480,"0")</f>
        <v>218.36199999999999</v>
      </c>
      <c r="BO480" s="64">
        <f>IFERROR(1/J480*(X480/H480),"0")</f>
        <v>0.34722222222222221</v>
      </c>
      <c r="BP480" s="64">
        <f>IFERROR(1/J480*(Y480/H480),"0")</f>
        <v>0.359375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22.222222222222221</v>
      </c>
      <c r="Y481" s="551">
        <f>IFERROR(Y480/H480,"0")</f>
        <v>23</v>
      </c>
      <c r="Z481" s="551">
        <f>IFERROR(IF(Z480="",0,Z480),"0")</f>
        <v>0.43653999999999998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200</v>
      </c>
      <c r="Y482" s="551">
        <f>IFERROR(SUM(Y480:Y480),"0")</f>
        <v>207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7904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8039.09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8437.1873377473166</v>
      </c>
      <c r="Y494" s="551">
        <f>IFERROR(SUM(BN22:BN490),"0")</f>
        <v>8584.1069999999982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15</v>
      </c>
      <c r="Y495" s="38">
        <f>ROUNDUP(SUM(BP22:BP490),0)</f>
        <v>15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8812.1873377473166</v>
      </c>
      <c r="Y496" s="551">
        <f>GrossWeightTotalR+PalletQtyTotalR*25</f>
        <v>8959.1069999999982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1641.8053586354297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1666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17.239740000000005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399.6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509.80000000000007</v>
      </c>
      <c r="E503" s="46">
        <f>IFERROR(Y84*1,"0")+IFERROR(Y85*1,"0")+IFERROR(Y86*1,"0")+IFERROR(Y87*1,"0")+IFERROR(Y91*1,"0")+IFERROR(Y92*1,"0")+IFERROR(Y93*1,"0")+IFERROR(Y94*1,"0")</f>
        <v>707.40000000000009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652.20000000000005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331.08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926.69999999999982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30.4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268.8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109.35000000000001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810</v>
      </c>
      <c r="T503" s="46">
        <f>IFERROR(Y374*1,"0")+IFERROR(Y375*1,"0")+IFERROR(Y379*1,"0")+IFERROR(Y380*1,"0")+IFERROR(Y384*1,"0")+IFERROR(Y385*1,"0")+IFERROR(Y386*1,"0")</f>
        <v>525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2561.7600000000002</v>
      </c>
      <c r="Y503" s="46">
        <f>IFERROR(Y464*1,"0")+IFERROR(Y465*1,"0")+IFERROR(Y466*1,"0")+IFERROR(Y467*1,"0")+IFERROR(Y471*1,"0")+IFERROR(Y472*1,"0")+IFERROR(Y476*1,"0")+IFERROR(Y480*1,"0")+IFERROR(Y484*1,"0")+IFERROR(Y485*1,"0")</f>
        <v>207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3"/>
        <filter val="0,39"/>
        <filter val="1 074,00"/>
        <filter val="1 125,00"/>
        <filter val="1 641,81"/>
        <filter val="1,00"/>
        <filter val="1,12"/>
        <filter val="10,00"/>
        <filter val="100,00"/>
        <filter val="11,67"/>
        <filter val="11,90"/>
        <filter val="111,25"/>
        <filter val="122,00"/>
        <filter val="125,00"/>
        <filter val="13,00"/>
        <filter val="130,00"/>
        <filter val="132,00"/>
        <filter val="134,00"/>
        <filter val="138,00"/>
        <filter val="139,60"/>
        <filter val="14,00"/>
        <filter val="140,00"/>
        <filter val="15"/>
        <filter val="150,25"/>
        <filter val="155,00"/>
        <filter val="16,03"/>
        <filter val="17,00"/>
        <filter val="172,00"/>
        <filter val="176,00"/>
        <filter val="18,00"/>
        <filter val="192,00"/>
        <filter val="193,00"/>
        <filter val="2,00"/>
        <filter val="2,50"/>
        <filter val="20,13"/>
        <filter val="200,00"/>
        <filter val="204,45"/>
        <filter val="213,07"/>
        <filter val="22,22"/>
        <filter val="223,00"/>
        <filter val="228,00"/>
        <filter val="251,00"/>
        <filter val="267,00"/>
        <filter val="275,11"/>
        <filter val="28,00"/>
        <filter val="285,00"/>
        <filter val="3,33"/>
        <filter val="3,75"/>
        <filter val="302,00"/>
        <filter val="318,00"/>
        <filter val="32,67"/>
        <filter val="333,00"/>
        <filter val="36,15"/>
        <filter val="36,39"/>
        <filter val="393,00"/>
        <filter val="4,00"/>
        <filter val="40,00"/>
        <filter val="403,00"/>
        <filter val="404,00"/>
        <filter val="411,00"/>
        <filter val="427,00"/>
        <filter val="44,07"/>
        <filter val="45,00"/>
        <filter val="46,00"/>
        <filter val="465,00"/>
        <filter val="467,00"/>
        <filter val="483,00"/>
        <filter val="49,14"/>
        <filter val="490,00"/>
        <filter val="5,00"/>
        <filter val="50,00"/>
        <filter val="50,67"/>
        <filter val="510,00"/>
        <filter val="56,00"/>
        <filter val="56,67"/>
        <filter val="561,00"/>
        <filter val="6,00"/>
        <filter val="62,00"/>
        <filter val="63,00"/>
        <filter val="64,62"/>
        <filter val="69,31"/>
        <filter val="7 904,00"/>
        <filter val="7,00"/>
        <filter val="7,14"/>
        <filter val="7,87"/>
        <filter val="744,00"/>
        <filter val="75,00"/>
        <filter val="8 437,19"/>
        <filter val="8 812,19"/>
        <filter val="8,00"/>
        <filter val="82,00"/>
        <filter val="85,00"/>
        <filter val="9,00"/>
        <filter val="95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