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6422BD-F403-447C-A664-1FBB093333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N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2" i="1" l="1"/>
  <c r="BN102" i="1"/>
  <c r="Z102" i="1"/>
  <c r="BP148" i="1"/>
  <c r="BN148" i="1"/>
  <c r="Z148" i="1"/>
  <c r="BP178" i="1"/>
  <c r="BN178" i="1"/>
  <c r="Z178" i="1"/>
  <c r="BP214" i="1"/>
  <c r="BN214" i="1"/>
  <c r="Z214" i="1"/>
  <c r="BP237" i="1"/>
  <c r="BN237" i="1"/>
  <c r="Z237" i="1"/>
  <c r="BP278" i="1"/>
  <c r="BN278" i="1"/>
  <c r="Z278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X492" i="1"/>
  <c r="Z28" i="1"/>
  <c r="BN28" i="1"/>
  <c r="Z46" i="1"/>
  <c r="Z47" i="1" s="1"/>
  <c r="BN46" i="1"/>
  <c r="BP46" i="1"/>
  <c r="Y47" i="1"/>
  <c r="Z60" i="1"/>
  <c r="BN60" i="1"/>
  <c r="Z78" i="1"/>
  <c r="BN78" i="1"/>
  <c r="BP116" i="1"/>
  <c r="BN116" i="1"/>
  <c r="Z116" i="1"/>
  <c r="BP170" i="1"/>
  <c r="BN170" i="1"/>
  <c r="Z170" i="1"/>
  <c r="BP204" i="1"/>
  <c r="BN204" i="1"/>
  <c r="Z204" i="1"/>
  <c r="BP222" i="1"/>
  <c r="BN222" i="1"/>
  <c r="Z222" i="1"/>
  <c r="BP262" i="1"/>
  <c r="BN262" i="1"/>
  <c r="Z262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J9" i="1"/>
  <c r="BP66" i="1"/>
  <c r="BN66" i="1"/>
  <c r="Z66" i="1"/>
  <c r="BP85" i="1"/>
  <c r="BN85" i="1"/>
  <c r="Z85" i="1"/>
  <c r="BP100" i="1"/>
  <c r="BN100" i="1"/>
  <c r="Z100" i="1"/>
  <c r="Y118" i="1"/>
  <c r="BP114" i="1"/>
  <c r="BN114" i="1"/>
  <c r="Z114" i="1"/>
  <c r="BP137" i="1"/>
  <c r="BN137" i="1"/>
  <c r="Z137" i="1"/>
  <c r="BP142" i="1"/>
  <c r="BN142" i="1"/>
  <c r="Z142" i="1"/>
  <c r="BP168" i="1"/>
  <c r="BN168" i="1"/>
  <c r="Z168" i="1"/>
  <c r="BP176" i="1"/>
  <c r="BN176" i="1"/>
  <c r="Z17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F9" i="1"/>
  <c r="F10" i="1"/>
  <c r="Z22" i="1"/>
  <c r="BN22" i="1"/>
  <c r="Y32" i="1"/>
  <c r="Z30" i="1"/>
  <c r="BN30" i="1"/>
  <c r="Z42" i="1"/>
  <c r="BN42" i="1"/>
  <c r="Z52" i="1"/>
  <c r="BN52" i="1"/>
  <c r="Z56" i="1"/>
  <c r="BN56" i="1"/>
  <c r="Y64" i="1"/>
  <c r="Y63" i="1"/>
  <c r="Z62" i="1"/>
  <c r="BN62" i="1"/>
  <c r="BP74" i="1"/>
  <c r="BN74" i="1"/>
  <c r="Z74" i="1"/>
  <c r="BP91" i="1"/>
  <c r="BN91" i="1"/>
  <c r="Z91" i="1"/>
  <c r="BP108" i="1"/>
  <c r="BN108" i="1"/>
  <c r="Z108" i="1"/>
  <c r="BP127" i="1"/>
  <c r="BN127" i="1"/>
  <c r="Z127" i="1"/>
  <c r="BP150" i="1"/>
  <c r="BN150" i="1"/>
  <c r="Z150" i="1"/>
  <c r="BP172" i="1"/>
  <c r="BN172" i="1"/>
  <c r="Z172" i="1"/>
  <c r="Y186" i="1"/>
  <c r="BP182" i="1"/>
  <c r="BN182" i="1"/>
  <c r="Z182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13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01" i="1" l="1"/>
  <c r="Z445" i="1"/>
  <c r="Z360" i="1"/>
  <c r="Z343" i="1"/>
  <c r="Z330" i="1"/>
  <c r="Z287" i="1"/>
  <c r="Z223" i="1"/>
  <c r="Z405" i="1"/>
  <c r="Z281" i="1"/>
  <c r="Z185" i="1"/>
  <c r="Z118" i="1"/>
  <c r="Z63" i="1"/>
  <c r="Z80" i="1"/>
  <c r="Z400" i="1"/>
  <c r="Y490" i="1"/>
  <c r="Z355" i="1"/>
  <c r="Z439" i="1"/>
  <c r="Y489" i="1"/>
  <c r="Z310" i="1"/>
  <c r="Z128" i="1"/>
  <c r="Z95" i="1"/>
  <c r="Z454" i="1"/>
  <c r="Z417" i="1"/>
  <c r="Z274" i="1"/>
  <c r="Z257" i="1"/>
  <c r="Z211" i="1"/>
  <c r="Z104" i="1"/>
  <c r="Z31" i="1"/>
  <c r="Y492" i="1"/>
  <c r="X491" i="1"/>
  <c r="Z317" i="1"/>
  <c r="Z179" i="1"/>
  <c r="Z336" i="1"/>
  <c r="Z266" i="1"/>
  <c r="Z241" i="1"/>
  <c r="Z152" i="1"/>
  <c r="Z88" i="1"/>
  <c r="Z75" i="1"/>
  <c r="Y488" i="1"/>
  <c r="Y491" i="1" l="1"/>
  <c r="Z493" i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<sst xmlns="http://schemas.openxmlformats.org/spreadsheetml/2006/main" count="2256" uniqueCount="768">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</sst>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200</v>
      </c>
      <c r="Y40" s="546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18.518518518518519</v>
      </c>
      <c r="Y43" s="547">
        <f>IFERROR(Y40/H40,"0")+IFERROR(Y41/H41,"0")+IFERROR(Y42/H42,"0")</f>
        <v>19</v>
      </c>
      <c r="Z43" s="547">
        <f>IFERROR(IF(Z40="",0,Z40),"0")+IFERROR(IF(Z41="",0,Z41),"0")+IFERROR(IF(Z42="",0,Z42),"0")</f>
        <v>0.36062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200</v>
      </c>
      <c r="Y44" s="547">
        <f>IFERROR(SUM(Y40:Y42),"0")</f>
        <v>205.20000000000002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100</v>
      </c>
      <c r="Y91" s="546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12.345679012345679</v>
      </c>
      <c r="Y95" s="547">
        <f>IFERROR(Y91/H91,"0")+IFERROR(Y92/H92,"0")+IFERROR(Y93/H93,"0")+IFERROR(Y94/H94,"0")</f>
        <v>13</v>
      </c>
      <c r="Z95" s="547">
        <f>IFERROR(IF(Z91="",0,Z91),"0")+IFERROR(IF(Z92="",0,Z92),"0")+IFERROR(IF(Z93="",0,Z93),"0")+IFERROR(IF(Z94="",0,Z94),"0")</f>
        <v>0.24674000000000001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100</v>
      </c>
      <c r="Y96" s="547">
        <f>IFERROR(SUM(Y91:Y94),"0")</f>
        <v>105.3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100</v>
      </c>
      <c r="Y114" s="546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360</v>
      </c>
      <c r="Y116" s="546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145.67901234567898</v>
      </c>
      <c r="Y118" s="547">
        <f>IFERROR(Y114/H114,"0")+IFERROR(Y115/H115,"0")+IFERROR(Y116/H116,"0")+IFERROR(Y117/H117,"0")</f>
        <v>147</v>
      </c>
      <c r="Z118" s="547">
        <f>IFERROR(IF(Z114="",0,Z114),"0")+IFERROR(IF(Z115="",0,Z115),"0")+IFERROR(IF(Z116="",0,Z116),"0")+IFERROR(IF(Z117="",0,Z117),"0")</f>
        <v>1.1190800000000001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460</v>
      </c>
      <c r="Y119" s="547">
        <f>IFERROR(SUM(Y114:Y117),"0")</f>
        <v>467.1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ref="Z217:Z222" si="20">IFERROR(IF(Y217=0,"",ROUNDUP(Y217/H217,0)*0.00651),"")</f>
        <v>0.54683999999999999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222.5</v>
      </c>
      <c r="BN217" s="64">
        <f t="shared" si="17"/>
        <v>224.27999999999997</v>
      </c>
      <c r="BO217" s="64">
        <f t="shared" si="18"/>
        <v>0.45787545787545797</v>
      </c>
      <c r="BP217" s="64">
        <f t="shared" si="19"/>
        <v>0.46153846153846156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400</v>
      </c>
      <c r="Y219" s="546">
        <f t="shared" si="15"/>
        <v>400.8</v>
      </c>
      <c r="Z219" s="36">
        <f t="shared" si="20"/>
        <v>1.08717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442</v>
      </c>
      <c r="BN219" s="64">
        <f t="shared" si="17"/>
        <v>442.88400000000007</v>
      </c>
      <c r="BO219" s="64">
        <f t="shared" si="18"/>
        <v>0.91575091575091594</v>
      </c>
      <c r="BP219" s="64">
        <f t="shared" si="19"/>
        <v>0.91758241758241765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400</v>
      </c>
      <c r="Y220" s="546">
        <f t="shared" si="15"/>
        <v>400.8</v>
      </c>
      <c r="Z220" s="36">
        <f t="shared" si="20"/>
        <v>1.08717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442</v>
      </c>
      <c r="BN220" s="64">
        <f t="shared" si="17"/>
        <v>442.88400000000007</v>
      </c>
      <c r="BO220" s="64">
        <f t="shared" si="18"/>
        <v>0.91575091575091594</v>
      </c>
      <c r="BP220" s="64">
        <f t="shared" si="19"/>
        <v>0.91758241758241765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416.66666666666674</v>
      </c>
      <c r="Y223" s="547">
        <f>IFERROR(Y214/H214,"0")+IFERROR(Y215/H215,"0")+IFERROR(Y216/H216,"0")+IFERROR(Y217/H217,"0")+IFERROR(Y218/H218,"0")+IFERROR(Y219/H219,"0")+IFERROR(Y220/H220,"0")+IFERROR(Y221/H221,"0")+IFERROR(Y222/H222,"0")</f>
        <v>418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2.7211799999999999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1000</v>
      </c>
      <c r="Y224" s="547">
        <f>IFERROR(SUM(Y214:Y222),"0")</f>
        <v>1003.2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200</v>
      </c>
      <c r="Y232" s="546">
        <f t="shared" ref="Y232:Y240" si="21">IFERROR(IF(X232="",0,CEILING((X232/$H232),1)*$H232),"")</f>
        <v>208.79999999999998</v>
      </c>
      <c r="Z232" s="36">
        <f>IFERROR(IF(Y232=0,"",ROUNDUP(Y232/H232,0)*0.01898),"")</f>
        <v>0.34164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207.06896551724139</v>
      </c>
      <c r="BN232" s="64">
        <f t="shared" ref="BN232:BN240" si="23">IFERROR(Y232*I232/H232,"0")</f>
        <v>216.17999999999998</v>
      </c>
      <c r="BO232" s="64">
        <f t="shared" ref="BO232:BO240" si="24">IFERROR(1/J232*(X232/H232),"0")</f>
        <v>0.26939655172413796</v>
      </c>
      <c r="BP232" s="64">
        <f t="shared" ref="BP232:BP240" si="25">IFERROR(1/J232*(Y232/H232),"0")</f>
        <v>0.28125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17.241379310344829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0.34164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200</v>
      </c>
      <c r="Y242" s="547">
        <f>IFERROR(SUM(Y232:Y240),"0")</f>
        <v>208.79999999999998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300</v>
      </c>
      <c r="Y348" s="546">
        <f t="shared" ref="Y348:Y354" si="31">IFERROR(IF(X348="",0,CEILING((X348/$H348),1)*$H348),"")</f>
        <v>300</v>
      </c>
      <c r="Z348" s="36">
        <f>IFERROR(IF(Y348=0,"",ROUNDUP(Y348/H348,0)*0.02175),"")</f>
        <v>0.43499999999999994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309.39999999999998</v>
      </c>
      <c r="BN348" s="64">
        <f t="shared" ref="BN348:BN354" si="33">IFERROR(Y348*I348/H348,"0")</f>
        <v>309.39999999999998</v>
      </c>
      <c r="BO348" s="64">
        <f t="shared" ref="BO348:BO354" si="34">IFERROR(1/J348*(X348/H348),"0")</f>
        <v>0.41666666666666663</v>
      </c>
      <c r="BP348" s="64">
        <f t="shared" ref="BP348:BP354" si="35">IFERROR(1/J348*(Y348/H348),"0")</f>
        <v>0.41666666666666663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250</v>
      </c>
      <c r="Y349" s="546">
        <f t="shared" si="31"/>
        <v>255</v>
      </c>
      <c r="Z349" s="36">
        <f>IFERROR(IF(Y349=0,"",ROUNDUP(Y349/H349,0)*0.02175),"")</f>
        <v>0.36974999999999997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257.83333333333331</v>
      </c>
      <c r="BN349" s="64">
        <f t="shared" si="33"/>
        <v>262.99</v>
      </c>
      <c r="BO349" s="64">
        <f t="shared" si="34"/>
        <v>0.34722222222222221</v>
      </c>
      <c r="BP349" s="64">
        <f t="shared" si="35"/>
        <v>0.35416666666666663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800</v>
      </c>
      <c r="Y350" s="546">
        <f t="shared" si="31"/>
        <v>810</v>
      </c>
      <c r="Z350" s="36">
        <f>IFERROR(IF(Y350=0,"",ROUNDUP(Y350/H350,0)*0.02175),"")</f>
        <v>1.1744999999999999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825.06666666666672</v>
      </c>
      <c r="BN350" s="64">
        <f t="shared" si="33"/>
        <v>835.38</v>
      </c>
      <c r="BO350" s="64">
        <f t="shared" si="34"/>
        <v>1.1111111111111112</v>
      </c>
      <c r="BP350" s="64">
        <f t="shared" si="35"/>
        <v>1.125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90</v>
      </c>
      <c r="Y355" s="547">
        <f>IFERROR(Y348/H348,"0")+IFERROR(Y349/H349,"0")+IFERROR(Y350/H350,"0")+IFERROR(Y351/H351,"0")+IFERROR(Y352/H352,"0")+IFERROR(Y353/H353,"0")+IFERROR(Y354/H354,"0")</f>
        <v>91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1.9792499999999997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1350</v>
      </c>
      <c r="Y356" s="547">
        <f>IFERROR(SUM(Y348:Y354),"0")</f>
        <v>1365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700</v>
      </c>
      <c r="Y358" s="546">
        <f>IFERROR(IF(X358="",0,CEILING((X358/$H358),1)*$H358),"")</f>
        <v>705</v>
      </c>
      <c r="Z358" s="36">
        <f>IFERROR(IF(Y358=0,"",ROUNDUP(Y358/H358,0)*0.02175),"")</f>
        <v>1.0222499999999999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721.93333333333328</v>
      </c>
      <c r="BN358" s="64">
        <f>IFERROR(Y358*I358/H358,"0")</f>
        <v>727.09</v>
      </c>
      <c r="BO358" s="64">
        <f>IFERROR(1/J358*(X358/H358),"0")</f>
        <v>0.9722222222222221</v>
      </c>
      <c r="BP358" s="64">
        <f>IFERROR(1/J358*(Y358/H358),"0")</f>
        <v>0.97916666666666663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46.666666666666664</v>
      </c>
      <c r="Y360" s="547">
        <f>IFERROR(Y358/H358,"0")+IFERROR(Y359/H359,"0")</f>
        <v>47</v>
      </c>
      <c r="Z360" s="547">
        <f>IFERROR(IF(Z358="",0,Z358),"0")+IFERROR(IF(Z359="",0,Z359),"0")</f>
        <v>1.0222499999999999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700</v>
      </c>
      <c r="Y361" s="547">
        <f>IFERROR(SUM(Y358:Y359),"0")</f>
        <v>705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1000</v>
      </c>
      <c r="Y383" s="546">
        <f>IFERROR(IF(X383="",0,CEILING((X383/$H383),1)*$H383),"")</f>
        <v>1008</v>
      </c>
      <c r="Z383" s="36">
        <f>IFERROR(IF(Y383=0,"",ROUNDUP(Y383/H383,0)*0.01898),"")</f>
        <v>2.1257600000000001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1054.8888888888889</v>
      </c>
      <c r="BN383" s="64">
        <f>IFERROR(Y383*I383/H383,"0")</f>
        <v>1063.328</v>
      </c>
      <c r="BO383" s="64">
        <f>IFERROR(1/J383*(X383/H383),"0")</f>
        <v>1.7361111111111112</v>
      </c>
      <c r="BP383" s="64">
        <f>IFERROR(1/J383*(Y383/H383),"0")</f>
        <v>1.75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111.11111111111111</v>
      </c>
      <c r="Y386" s="547">
        <f>IFERROR(Y383/H383,"0")+IFERROR(Y384/H384,"0")+IFERROR(Y385/H385,"0")</f>
        <v>112</v>
      </c>
      <c r="Z386" s="547">
        <f>IFERROR(IF(Z383="",0,Z383),"0")+IFERROR(IF(Z384="",0,Z384),"0")+IFERROR(IF(Z385="",0,Z385),"0")</f>
        <v>2.1257600000000001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1000</v>
      </c>
      <c r="Y387" s="547">
        <f>IFERROR(SUM(Y383:Y385),"0")</f>
        <v>1008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200</v>
      </c>
      <c r="Y433" s="546">
        <f t="shared" si="42"/>
        <v>200.64000000000001</v>
      </c>
      <c r="Z433" s="36">
        <f t="shared" si="43"/>
        <v>0.45448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213.25757575757575</v>
      </c>
      <c r="BN433" s="64">
        <f t="shared" si="45"/>
        <v>213.94</v>
      </c>
      <c r="BO433" s="64">
        <f t="shared" si="46"/>
        <v>0.36421911421911418</v>
      </c>
      <c r="BP433" s="64">
        <f t="shared" si="47"/>
        <v>0.36538461538461542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94.696969696969688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1.1362000000000001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500</v>
      </c>
      <c r="Y440" s="547">
        <f>IFERROR(SUM(Y427:Y438),"0")</f>
        <v>501.6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300</v>
      </c>
      <c r="Y442" s="546">
        <f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319.88636363636363</v>
      </c>
      <c r="BN442" s="64">
        <f>IFERROR(Y442*I442/H442,"0")</f>
        <v>320.91000000000003</v>
      </c>
      <c r="BO442" s="64">
        <f>IFERROR(1/J442*(X442/H442),"0")</f>
        <v>0.54632867132867136</v>
      </c>
      <c r="BP442" s="64">
        <f>IFERROR(1/J442*(Y442/H442),"0")</f>
        <v>0.54807692307692313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56.818181818181813</v>
      </c>
      <c r="Y445" s="547">
        <f>IFERROR(Y442/H442,"0")+IFERROR(Y443/H443,"0")+IFERROR(Y444/H444,"0")</f>
        <v>57.000000000000007</v>
      </c>
      <c r="Z445" s="547">
        <f>IFERROR(IF(Z442="",0,Z442),"0")+IFERROR(IF(Z443="",0,Z443),"0")+IFERROR(IF(Z444="",0,Z444),"0")</f>
        <v>0.68171999999999999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300</v>
      </c>
      <c r="Y446" s="547">
        <f>IFERROR(SUM(Y442:Y444),"0")</f>
        <v>300.96000000000004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hidden="1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hidden="1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5810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5870.1600000000008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6149.0375401524834</v>
      </c>
      <c r="Y489" s="547">
        <f>IFERROR(SUM(BN22:BN485),"0")</f>
        <v>6212.0999999999995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11</v>
      </c>
      <c r="Y490" s="38">
        <f>ROUNDUP(SUM(BP22:BP485),0)</f>
        <v>11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6424.0375401524834</v>
      </c>
      <c r="Y491" s="547">
        <f>GrossWeightTotalR+PalletQtyTotalR*25</f>
        <v>6487.0999999999995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1009.7441851464839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1017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11.734440000000001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205.20000000000002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105.3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467.1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1003.2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208.79999999999998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2070</v>
      </c>
      <c r="T498" s="46">
        <f>IFERROR(Y373*1,"0")+IFERROR(Y374*1,"0")+IFERROR(Y378*1,"0")+IFERROR(Y379*1,"0")+IFERROR(Y383*1,"0")+IFERROR(Y384*1,"0")+IFERROR(Y385*1,"0")</f>
        <v>1008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802.56000000000006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9,74"/>
        <filter val="1 350,00"/>
        <filter val="100,00"/>
        <filter val="11"/>
        <filter val="111,11"/>
        <filter val="12,35"/>
        <filter val="145,68"/>
        <filter val="17,24"/>
        <filter val="18,52"/>
        <filter val="200,00"/>
        <filter val="250,00"/>
        <filter val="300,00"/>
        <filter val="360,00"/>
        <filter val="400,00"/>
        <filter val="416,67"/>
        <filter val="46,67"/>
        <filter val="460,00"/>
        <filter val="5 810,00"/>
        <filter val="500,00"/>
        <filter val="56,82"/>
        <filter val="6 149,04"/>
        <filter val="6 424,04"/>
        <filter val="700,00"/>
        <filter val="800,00"/>
        <filter val="90,00"/>
        <filter val="94,7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