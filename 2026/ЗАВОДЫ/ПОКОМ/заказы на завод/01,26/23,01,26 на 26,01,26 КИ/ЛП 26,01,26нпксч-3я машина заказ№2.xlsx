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6952F9-56EF-4522-8B4C-669860A09B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Y212" i="1" s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3" i="1" s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A10" i="1" s="1"/>
  <c r="D7" i="1"/>
  <c r="Q6" i="1"/>
  <c r="P2" i="1"/>
  <c r="BP99" i="1" l="1"/>
  <c r="BN99" i="1"/>
  <c r="BP109" i="1"/>
  <c r="BN109" i="1"/>
  <c r="Z109" i="1"/>
  <c r="BP149" i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P132" i="1"/>
  <c r="BN132" i="1"/>
  <c r="Z132" i="1"/>
  <c r="Y180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Y104" i="1"/>
  <c r="Y111" i="1"/>
  <c r="BP107" i="1"/>
  <c r="Y123" i="1"/>
  <c r="Y122" i="1"/>
  <c r="BP121" i="1"/>
  <c r="BN121" i="1"/>
  <c r="Z121" i="1"/>
  <c r="Z122" i="1" s="1"/>
  <c r="BP126" i="1"/>
  <c r="BN126" i="1"/>
  <c r="Z126" i="1"/>
  <c r="Y153" i="1"/>
  <c r="BP147" i="1"/>
  <c r="BN147" i="1"/>
  <c r="Z147" i="1"/>
  <c r="BP167" i="1"/>
  <c r="BN167" i="1"/>
  <c r="Z167" i="1"/>
  <c r="BP175" i="1"/>
  <c r="BN175" i="1"/>
  <c r="Z175" i="1"/>
  <c r="BP205" i="1"/>
  <c r="BN205" i="1"/>
  <c r="Z205" i="1"/>
  <c r="BP217" i="1"/>
  <c r="BN217" i="1"/>
  <c r="Z217" i="1"/>
  <c r="BP234" i="1"/>
  <c r="BN234" i="1"/>
  <c r="Z234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63" i="1"/>
  <c r="BN263" i="1"/>
  <c r="Z263" i="1"/>
  <c r="BP279" i="1"/>
  <c r="BN279" i="1"/>
  <c r="Z279" i="1"/>
  <c r="Z22" i="1"/>
  <c r="BN22" i="1"/>
  <c r="BP22" i="1"/>
  <c r="X489" i="1"/>
  <c r="Y32" i="1"/>
  <c r="Z30" i="1"/>
  <c r="BN30" i="1"/>
  <c r="Z42" i="1"/>
  <c r="BN42" i="1"/>
  <c r="Y58" i="1"/>
  <c r="Z53" i="1"/>
  <c r="BN53" i="1"/>
  <c r="Z61" i="1"/>
  <c r="BN61" i="1"/>
  <c r="Z73" i="1"/>
  <c r="BN73" i="1"/>
  <c r="Z86" i="1"/>
  <c r="BN86" i="1"/>
  <c r="Z94" i="1"/>
  <c r="BN94" i="1"/>
  <c r="Z101" i="1"/>
  <c r="BN101" i="1"/>
  <c r="Z107" i="1"/>
  <c r="BN107" i="1"/>
  <c r="BP115" i="1"/>
  <c r="BN115" i="1"/>
  <c r="Z115" i="1"/>
  <c r="Y138" i="1"/>
  <c r="BP136" i="1"/>
  <c r="BN136" i="1"/>
  <c r="Z136" i="1"/>
  <c r="BP151" i="1"/>
  <c r="BN151" i="1"/>
  <c r="Z151" i="1"/>
  <c r="BP171" i="1"/>
  <c r="BN171" i="1"/>
  <c r="Z171" i="1"/>
  <c r="BP183" i="1"/>
  <c r="BN183" i="1"/>
  <c r="Z183" i="1"/>
  <c r="BP209" i="1"/>
  <c r="BN209" i="1"/>
  <c r="Z209" i="1"/>
  <c r="BP221" i="1"/>
  <c r="BN221" i="1"/>
  <c r="Z221" i="1"/>
  <c r="BP238" i="1"/>
  <c r="BN238" i="1"/>
  <c r="Z238" i="1"/>
  <c r="BP256" i="1"/>
  <c r="BN256" i="1"/>
  <c r="Z256" i="1"/>
  <c r="BP270" i="1"/>
  <c r="BN270" i="1"/>
  <c r="Z270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112" i="1"/>
  <c r="Y129" i="1"/>
  <c r="Y139" i="1"/>
  <c r="H499" i="1"/>
  <c r="Y152" i="1"/>
  <c r="Y179" i="1"/>
  <c r="Y275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Y331" i="1"/>
  <c r="Y338" i="1"/>
  <c r="Y388" i="1"/>
  <c r="Y387" i="1"/>
  <c r="Y482" i="1"/>
  <c r="F9" i="1"/>
  <c r="J9" i="1"/>
  <c r="F10" i="1"/>
  <c r="Y31" i="1"/>
  <c r="Y43" i="1"/>
  <c r="BP56" i="1"/>
  <c r="BN56" i="1"/>
  <c r="Z56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H9" i="1"/>
  <c r="B499" i="1"/>
  <c r="X490" i="1"/>
  <c r="X491" i="1"/>
  <c r="Z23" i="1"/>
  <c r="Z24" i="1" s="1"/>
  <c r="BN23" i="1"/>
  <c r="Y24" i="1"/>
  <c r="Z27" i="1"/>
  <c r="BN27" i="1"/>
  <c r="BP27" i="1"/>
  <c r="Z29" i="1"/>
  <c r="BN29" i="1"/>
  <c r="C499" i="1"/>
  <c r="Z41" i="1"/>
  <c r="BN41" i="1"/>
  <c r="Y44" i="1"/>
  <c r="D499" i="1"/>
  <c r="Y57" i="1"/>
  <c r="Z52" i="1"/>
  <c r="BN52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5" i="1"/>
  <c r="Y96" i="1"/>
  <c r="BP91" i="1"/>
  <c r="BN91" i="1"/>
  <c r="Z91" i="1"/>
  <c r="E499" i="1"/>
  <c r="Y88" i="1"/>
  <c r="F499" i="1"/>
  <c r="Z100" i="1"/>
  <c r="BN100" i="1"/>
  <c r="BP100" i="1"/>
  <c r="Z102" i="1"/>
  <c r="BN102" i="1"/>
  <c r="Y105" i="1"/>
  <c r="Z108" i="1"/>
  <c r="BN108" i="1"/>
  <c r="BP108" i="1"/>
  <c r="Z110" i="1"/>
  <c r="BN110" i="1"/>
  <c r="Z114" i="1"/>
  <c r="BN114" i="1"/>
  <c r="BP114" i="1"/>
  <c r="Z116" i="1"/>
  <c r="BN116" i="1"/>
  <c r="Y119" i="1"/>
  <c r="G499" i="1"/>
  <c r="Z127" i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BN148" i="1"/>
  <c r="BP148" i="1"/>
  <c r="Z150" i="1"/>
  <c r="BN150" i="1"/>
  <c r="I499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Q499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Y144" i="1"/>
  <c r="J499" i="1"/>
  <c r="Y195" i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Z266" i="1" s="1"/>
  <c r="Y266" i="1"/>
  <c r="BP271" i="1"/>
  <c r="BN271" i="1"/>
  <c r="Z271" i="1"/>
  <c r="Z274" i="1" s="1"/>
  <c r="BP280" i="1"/>
  <c r="BN280" i="1"/>
  <c r="Z280" i="1"/>
  <c r="Y282" i="1"/>
  <c r="P499" i="1"/>
  <c r="Y288" i="1"/>
  <c r="BP285" i="1"/>
  <c r="BN285" i="1"/>
  <c r="Z285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Z318" i="1" s="1"/>
  <c r="Y318" i="1"/>
  <c r="BP322" i="1"/>
  <c r="BN322" i="1"/>
  <c r="Z322" i="1"/>
  <c r="BP330" i="1"/>
  <c r="BN330" i="1"/>
  <c r="Z330" i="1"/>
  <c r="Y332" i="1"/>
  <c r="Y337" i="1"/>
  <c r="BP334" i="1"/>
  <c r="BN334" i="1"/>
  <c r="Z334" i="1"/>
  <c r="BP350" i="1"/>
  <c r="BN350" i="1"/>
  <c r="Z350" i="1"/>
  <c r="Y356" i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BP393" i="1"/>
  <c r="BN393" i="1"/>
  <c r="Z393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Y381" i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Y469" i="1"/>
  <c r="U49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361" i="1" l="1"/>
  <c r="Z406" i="1"/>
  <c r="Z287" i="1"/>
  <c r="Z185" i="1"/>
  <c r="Z152" i="1"/>
  <c r="Z118" i="1"/>
  <c r="Z80" i="1"/>
  <c r="Z43" i="1"/>
  <c r="Z75" i="1"/>
  <c r="Z356" i="1"/>
  <c r="Y489" i="1"/>
  <c r="Y491" i="1"/>
  <c r="Y492" i="1" s="1"/>
  <c r="Y490" i="1"/>
  <c r="Z464" i="1"/>
  <c r="Z446" i="1"/>
  <c r="Z469" i="1"/>
  <c r="Z440" i="1"/>
  <c r="Z337" i="1"/>
  <c r="Z324" i="1"/>
  <c r="Z311" i="1"/>
  <c r="Z241" i="1"/>
  <c r="Z211" i="1"/>
  <c r="Z344" i="1"/>
  <c r="Z179" i="1"/>
  <c r="Z128" i="1"/>
  <c r="Z111" i="1"/>
  <c r="Z104" i="1"/>
  <c r="Z95" i="1"/>
  <c r="Z57" i="1"/>
  <c r="Z88" i="1"/>
  <c r="Z455" i="1"/>
  <c r="Z418" i="1"/>
  <c r="Z331" i="1"/>
  <c r="Z223" i="1"/>
  <c r="Z31" i="1"/>
  <c r="Z63" i="1"/>
  <c r="Z302" i="1"/>
  <c r="Z281" i="1"/>
  <c r="Y493" i="1"/>
  <c r="X492" i="1"/>
  <c r="Z494" i="1" l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<sst xmlns="http://schemas.openxmlformats.org/spreadsheetml/2006/main" count="2343" uniqueCount="771">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</sst>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9" t="s">
        <v>0</v>
      </c>
      <c r="E1" s="628"/>
      <c r="F1" s="628"/>
      <c r="G1" s="12" t="s">
        <v>1</v>
      </c>
      <c r="H1" s="799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846" t="s">
        <v>3</v>
      </c>
      <c r="S1" s="628"/>
      <c r="T1" s="62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2"/>
      <c r="Q3" s="552"/>
      <c r="R3" s="552"/>
      <c r="S3" s="552"/>
      <c r="T3" s="552"/>
      <c r="U3" s="552"/>
      <c r="V3" s="552"/>
      <c r="W3" s="55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8" t="s">
        <v>8</v>
      </c>
      <c r="B5" s="598"/>
      <c r="C5" s="599"/>
      <c r="D5" s="665"/>
      <c r="E5" s="667"/>
      <c r="F5" s="622" t="s">
        <v>9</v>
      </c>
      <c r="G5" s="599"/>
      <c r="H5" s="665" t="s">
        <v>770</v>
      </c>
      <c r="I5" s="666"/>
      <c r="J5" s="666"/>
      <c r="K5" s="666"/>
      <c r="L5" s="666"/>
      <c r="M5" s="667"/>
      <c r="N5" s="58"/>
      <c r="P5" s="24" t="s">
        <v>10</v>
      </c>
      <c r="Q5" s="625">
        <v>46048</v>
      </c>
      <c r="R5" s="626"/>
      <c r="T5" s="740" t="s">
        <v>11</v>
      </c>
      <c r="U5" s="581"/>
      <c r="V5" s="729" t="s">
        <v>12</v>
      </c>
      <c r="W5" s="626"/>
      <c r="AB5" s="51"/>
      <c r="AC5" s="51"/>
      <c r="AD5" s="51"/>
      <c r="AE5" s="51"/>
    </row>
    <row r="6" spans="1:32" s="541" customFormat="1" ht="24" customHeight="1" x14ac:dyDescent="0.2">
      <c r="A6" s="768" t="s">
        <v>13</v>
      </c>
      <c r="B6" s="598"/>
      <c r="C6" s="599"/>
      <c r="D6" s="670" t="s">
        <v>14</v>
      </c>
      <c r="E6" s="671"/>
      <c r="F6" s="671"/>
      <c r="G6" s="671"/>
      <c r="H6" s="671"/>
      <c r="I6" s="671"/>
      <c r="J6" s="671"/>
      <c r="K6" s="671"/>
      <c r="L6" s="671"/>
      <c r="M6" s="626"/>
      <c r="N6" s="59"/>
      <c r="P6" s="24" t="s">
        <v>15</v>
      </c>
      <c r="Q6" s="627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734" t="s">
        <v>16</v>
      </c>
      <c r="U6" s="581"/>
      <c r="V6" s="682" t="s">
        <v>17</v>
      </c>
      <c r="W6" s="683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18" t="str">
        <f>IFERROR(VLOOKUP(DeliveryAddress,Table,3,0),1)</f>
        <v>1</v>
      </c>
      <c r="E7" s="819"/>
      <c r="F7" s="819"/>
      <c r="G7" s="819"/>
      <c r="H7" s="819"/>
      <c r="I7" s="819"/>
      <c r="J7" s="819"/>
      <c r="K7" s="819"/>
      <c r="L7" s="819"/>
      <c r="M7" s="733"/>
      <c r="N7" s="60"/>
      <c r="P7" s="24"/>
      <c r="Q7" s="42"/>
      <c r="R7" s="42"/>
      <c r="T7" s="552"/>
      <c r="U7" s="581"/>
      <c r="V7" s="684"/>
      <c r="W7" s="685"/>
      <c r="AB7" s="51"/>
      <c r="AC7" s="51"/>
      <c r="AD7" s="51"/>
      <c r="AE7" s="51"/>
    </row>
    <row r="8" spans="1:32" s="541" customFormat="1" ht="25.5" customHeight="1" x14ac:dyDescent="0.2">
      <c r="A8" s="632" t="s">
        <v>18</v>
      </c>
      <c r="B8" s="557"/>
      <c r="C8" s="558"/>
      <c r="D8" s="830" t="s">
        <v>19</v>
      </c>
      <c r="E8" s="831"/>
      <c r="F8" s="831"/>
      <c r="G8" s="831"/>
      <c r="H8" s="831"/>
      <c r="I8" s="831"/>
      <c r="J8" s="831"/>
      <c r="K8" s="831"/>
      <c r="L8" s="831"/>
      <c r="M8" s="832"/>
      <c r="N8" s="61"/>
      <c r="P8" s="24" t="s">
        <v>20</v>
      </c>
      <c r="Q8" s="732">
        <v>0.45833333333333331</v>
      </c>
      <c r="R8" s="733"/>
      <c r="T8" s="552"/>
      <c r="U8" s="581"/>
      <c r="V8" s="684"/>
      <c r="W8" s="685"/>
      <c r="AB8" s="51"/>
      <c r="AC8" s="51"/>
      <c r="AD8" s="51"/>
      <c r="AE8" s="51"/>
    </row>
    <row r="9" spans="1:32" s="541" customFormat="1" ht="39.950000000000003" customHeight="1" x14ac:dyDescent="0.2">
      <c r="A9" s="5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2"/>
      <c r="C9" s="552"/>
      <c r="D9" s="641"/>
      <c r="E9" s="642"/>
      <c r="F9" s="5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2"/>
      <c r="H9" s="72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7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539"/>
      <c r="P9" s="26" t="s">
        <v>21</v>
      </c>
      <c r="Q9" s="800"/>
      <c r="R9" s="610"/>
      <c r="T9" s="552"/>
      <c r="U9" s="581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2"/>
      <c r="C10" s="552"/>
      <c r="D10" s="641"/>
      <c r="E10" s="642"/>
      <c r="F10" s="5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2"/>
      <c r="H10" s="698" t="str">
        <f>IFERROR(VLOOKUP($D$10,Proxy,2,FALSE),"")</f>
        <v/>
      </c>
      <c r="I10" s="552"/>
      <c r="J10" s="552"/>
      <c r="K10" s="552"/>
      <c r="L10" s="552"/>
      <c r="M10" s="552"/>
      <c r="N10" s="540"/>
      <c r="P10" s="26" t="s">
        <v>22</v>
      </c>
      <c r="Q10" s="735"/>
      <c r="R10" s="736"/>
      <c r="U10" s="24" t="s">
        <v>23</v>
      </c>
      <c r="V10" s="866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5"/>
      <c r="R11" s="626"/>
      <c r="U11" s="24" t="s">
        <v>27</v>
      </c>
      <c r="V11" s="609" t="s">
        <v>28</v>
      </c>
      <c r="W11" s="61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39" t="s">
        <v>29</v>
      </c>
      <c r="B12" s="598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9"/>
      <c r="N12" s="62"/>
      <c r="P12" s="24" t="s">
        <v>30</v>
      </c>
      <c r="Q12" s="732"/>
      <c r="R12" s="733"/>
      <c r="S12" s="23"/>
      <c r="U12" s="24"/>
      <c r="V12" s="628"/>
      <c r="W12" s="552"/>
      <c r="AB12" s="51"/>
      <c r="AC12" s="51"/>
      <c r="AD12" s="51"/>
      <c r="AE12" s="51"/>
    </row>
    <row r="13" spans="1:32" s="541" customFormat="1" ht="23.25" customHeight="1" x14ac:dyDescent="0.2">
      <c r="A13" s="739" t="s">
        <v>31</v>
      </c>
      <c r="B13" s="598"/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9"/>
      <c r="N13" s="62"/>
      <c r="O13" s="26"/>
      <c r="P13" s="26" t="s">
        <v>32</v>
      </c>
      <c r="Q13" s="609"/>
      <c r="R13" s="6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39" t="s">
        <v>33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53" t="s">
        <v>34</v>
      </c>
      <c r="B15" s="598"/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9"/>
      <c r="N15" s="63"/>
      <c r="P15" s="754" t="s">
        <v>35</v>
      </c>
      <c r="Q15" s="628"/>
      <c r="R15" s="628"/>
      <c r="S15" s="628"/>
      <c r="T15" s="62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5"/>
      <c r="Q16" s="755"/>
      <c r="R16" s="755"/>
      <c r="S16" s="755"/>
      <c r="T16" s="75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1" t="s">
        <v>36</v>
      </c>
      <c r="B17" s="571" t="s">
        <v>37</v>
      </c>
      <c r="C17" s="770" t="s">
        <v>38</v>
      </c>
      <c r="D17" s="571" t="s">
        <v>39</v>
      </c>
      <c r="E17" s="572"/>
      <c r="F17" s="571" t="s">
        <v>40</v>
      </c>
      <c r="G17" s="571" t="s">
        <v>41</v>
      </c>
      <c r="H17" s="571" t="s">
        <v>42</v>
      </c>
      <c r="I17" s="571" t="s">
        <v>43</v>
      </c>
      <c r="J17" s="571" t="s">
        <v>44</v>
      </c>
      <c r="K17" s="571" t="s">
        <v>45</v>
      </c>
      <c r="L17" s="571" t="s">
        <v>46</v>
      </c>
      <c r="M17" s="571" t="s">
        <v>47</v>
      </c>
      <c r="N17" s="571" t="s">
        <v>48</v>
      </c>
      <c r="O17" s="571" t="s">
        <v>49</v>
      </c>
      <c r="P17" s="571" t="s">
        <v>50</v>
      </c>
      <c r="Q17" s="793"/>
      <c r="R17" s="793"/>
      <c r="S17" s="793"/>
      <c r="T17" s="572"/>
      <c r="U17" s="629" t="s">
        <v>51</v>
      </c>
      <c r="V17" s="599"/>
      <c r="W17" s="571" t="s">
        <v>52</v>
      </c>
      <c r="X17" s="571" t="s">
        <v>53</v>
      </c>
      <c r="Y17" s="630" t="s">
        <v>54</v>
      </c>
      <c r="Z17" s="694" t="s">
        <v>55</v>
      </c>
      <c r="AA17" s="616" t="s">
        <v>56</v>
      </c>
      <c r="AB17" s="616" t="s">
        <v>57</v>
      </c>
      <c r="AC17" s="616" t="s">
        <v>58</v>
      </c>
      <c r="AD17" s="616" t="s">
        <v>59</v>
      </c>
      <c r="AE17" s="617"/>
      <c r="AF17" s="618"/>
      <c r="AG17" s="66"/>
      <c r="BD17" s="65" t="s">
        <v>60</v>
      </c>
    </row>
    <row r="18" spans="1:68" ht="14.25" customHeight="1" x14ac:dyDescent="0.2">
      <c r="A18" s="575"/>
      <c r="B18" s="575"/>
      <c r="C18" s="575"/>
      <c r="D18" s="573"/>
      <c r="E18" s="574"/>
      <c r="F18" s="575"/>
      <c r="G18" s="575"/>
      <c r="H18" s="575"/>
      <c r="I18" s="575"/>
      <c r="J18" s="575"/>
      <c r="K18" s="575"/>
      <c r="L18" s="575"/>
      <c r="M18" s="575"/>
      <c r="N18" s="575"/>
      <c r="O18" s="575"/>
      <c r="P18" s="573"/>
      <c r="Q18" s="794"/>
      <c r="R18" s="794"/>
      <c r="S18" s="794"/>
      <c r="T18" s="574"/>
      <c r="U18" s="67" t="s">
        <v>61</v>
      </c>
      <c r="V18" s="67" t="s">
        <v>62</v>
      </c>
      <c r="W18" s="575"/>
      <c r="X18" s="575"/>
      <c r="Y18" s="631"/>
      <c r="Z18" s="695"/>
      <c r="AA18" s="697"/>
      <c r="AB18" s="697"/>
      <c r="AC18" s="697"/>
      <c r="AD18" s="619"/>
      <c r="AE18" s="620"/>
      <c r="AF18" s="621"/>
      <c r="AG18" s="66"/>
      <c r="BD18" s="65"/>
    </row>
    <row r="19" spans="1:68" ht="27.75" hidden="1" customHeight="1" x14ac:dyDescent="0.2">
      <c r="A19" s="605" t="s">
        <v>63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48"/>
      <c r="AB19" s="48"/>
      <c r="AC19" s="48"/>
    </row>
    <row r="20" spans="1:68" ht="16.5" hidden="1" customHeight="1" x14ac:dyDescent="0.25">
      <c r="A20" s="551" t="s">
        <v>63</v>
      </c>
      <c r="B20" s="552"/>
      <c r="C20" s="552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42"/>
      <c r="AB20" s="542"/>
      <c r="AC20" s="542"/>
    </row>
    <row r="21" spans="1:68" ht="14.25" hidden="1" customHeight="1" x14ac:dyDescent="0.25">
      <c r="A21" s="559" t="s">
        <v>64</v>
      </c>
      <c r="B21" s="552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9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2"/>
      <c r="C24" s="552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65"/>
      <c r="P24" s="556" t="s">
        <v>75</v>
      </c>
      <c r="Q24" s="557"/>
      <c r="R24" s="557"/>
      <c r="S24" s="557"/>
      <c r="T24" s="557"/>
      <c r="U24" s="557"/>
      <c r="V24" s="558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2"/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65"/>
      <c r="P25" s="556" t="s">
        <v>75</v>
      </c>
      <c r="Q25" s="557"/>
      <c r="R25" s="557"/>
      <c r="S25" s="557"/>
      <c r="T25" s="557"/>
      <c r="U25" s="557"/>
      <c r="V25" s="558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9" t="s">
        <v>77</v>
      </c>
      <c r="B26" s="552"/>
      <c r="C26" s="552"/>
      <c r="D26" s="552"/>
      <c r="E26" s="552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2"/>
      <c r="R26" s="552"/>
      <c r="S26" s="552"/>
      <c r="T26" s="552"/>
      <c r="U26" s="552"/>
      <c r="V26" s="552"/>
      <c r="W26" s="552"/>
      <c r="X26" s="552"/>
      <c r="Y26" s="552"/>
      <c r="Z26" s="552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5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5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4"/>
      <c r="B31" s="552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552"/>
      <c r="N31" s="552"/>
      <c r="O31" s="565"/>
      <c r="P31" s="556" t="s">
        <v>75</v>
      </c>
      <c r="Q31" s="557"/>
      <c r="R31" s="557"/>
      <c r="S31" s="557"/>
      <c r="T31" s="557"/>
      <c r="U31" s="557"/>
      <c r="V31" s="558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52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  <c r="N32" s="552"/>
      <c r="O32" s="565"/>
      <c r="P32" s="556" t="s">
        <v>75</v>
      </c>
      <c r="Q32" s="557"/>
      <c r="R32" s="557"/>
      <c r="S32" s="557"/>
      <c r="T32" s="557"/>
      <c r="U32" s="557"/>
      <c r="V32" s="558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59" t="s">
        <v>93</v>
      </c>
      <c r="B33" s="552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2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4"/>
      <c r="B35" s="552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52"/>
      <c r="O35" s="565"/>
      <c r="P35" s="556" t="s">
        <v>75</v>
      </c>
      <c r="Q35" s="557"/>
      <c r="R35" s="557"/>
      <c r="S35" s="557"/>
      <c r="T35" s="557"/>
      <c r="U35" s="557"/>
      <c r="V35" s="558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52"/>
      <c r="B36" s="552"/>
      <c r="C36" s="552"/>
      <c r="D36" s="552"/>
      <c r="E36" s="552"/>
      <c r="F36" s="552"/>
      <c r="G36" s="552"/>
      <c r="H36" s="552"/>
      <c r="I36" s="552"/>
      <c r="J36" s="552"/>
      <c r="K36" s="552"/>
      <c r="L36" s="552"/>
      <c r="M36" s="552"/>
      <c r="N36" s="552"/>
      <c r="O36" s="565"/>
      <c r="P36" s="556" t="s">
        <v>75</v>
      </c>
      <c r="Q36" s="557"/>
      <c r="R36" s="557"/>
      <c r="S36" s="557"/>
      <c r="T36" s="557"/>
      <c r="U36" s="557"/>
      <c r="V36" s="558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605" t="s">
        <v>99</v>
      </c>
      <c r="B37" s="606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  <c r="Y37" s="606"/>
      <c r="Z37" s="606"/>
      <c r="AA37" s="48"/>
      <c r="AB37" s="48"/>
      <c r="AC37" s="48"/>
    </row>
    <row r="38" spans="1:68" ht="16.5" hidden="1" customHeight="1" x14ac:dyDescent="0.25">
      <c r="A38" s="551" t="s">
        <v>100</v>
      </c>
      <c r="B38" s="552"/>
      <c r="C38" s="552"/>
      <c r="D38" s="552"/>
      <c r="E38" s="552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552"/>
      <c r="Q38" s="552"/>
      <c r="R38" s="552"/>
      <c r="S38" s="552"/>
      <c r="T38" s="552"/>
      <c r="U38" s="552"/>
      <c r="V38" s="552"/>
      <c r="W38" s="552"/>
      <c r="X38" s="552"/>
      <c r="Y38" s="552"/>
      <c r="Z38" s="552"/>
      <c r="AA38" s="542"/>
      <c r="AB38" s="542"/>
      <c r="AC38" s="542"/>
    </row>
    <row r="39" spans="1:68" ht="14.25" hidden="1" customHeight="1" x14ac:dyDescent="0.25">
      <c r="A39" s="559" t="s">
        <v>101</v>
      </c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7">
        <v>324</v>
      </c>
      <c r="Y40" s="548">
        <f>IFERROR(IF(X40="",0,CEILING((X40/$H40),1)*$H40),"")</f>
        <v>324</v>
      </c>
      <c r="Z40" s="36">
        <f>IFERROR(IF(Y40=0,"",ROUNDUP(Y40/H40,0)*0.01898),"")</f>
        <v>0.56940000000000002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336.3</v>
      </c>
      <c r="BN40" s="64">
        <f>IFERROR(Y40*I40/H40,"0")</f>
        <v>336.3</v>
      </c>
      <c r="BO40" s="64">
        <f>IFERROR(1/J40*(X40/H40),"0")</f>
        <v>0.46874999999999994</v>
      </c>
      <c r="BP40" s="64">
        <f>IFERROR(1/J40*(Y40/H40),"0")</f>
        <v>0.46874999999999994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60">
        <v>4680115882539</v>
      </c>
      <c r="E41" s="561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6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4"/>
      <c r="R41" s="554"/>
      <c r="S41" s="554"/>
      <c r="T41" s="555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60">
        <v>4607091385687</v>
      </c>
      <c r="E42" s="561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81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7">
        <v>48</v>
      </c>
      <c r="Y42" s="548">
        <f>IFERROR(IF(X42="",0,CEILING((X42/$H42),1)*$H42),"")</f>
        <v>48</v>
      </c>
      <c r="Z42" s="36">
        <f>IFERROR(IF(Y42=0,"",ROUNDUP(Y42/H42,0)*0.00902),"")</f>
        <v>0.10824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50.28</v>
      </c>
      <c r="BN42" s="64">
        <f>IFERROR(Y42*I42/H42,"0")</f>
        <v>50.28</v>
      </c>
      <c r="BO42" s="64">
        <f>IFERROR(1/J42*(X42/H42),"0")</f>
        <v>9.0909090909090912E-2</v>
      </c>
      <c r="BP42" s="64">
        <f>IFERROR(1/J42*(Y42/H42),"0")</f>
        <v>9.0909090909090912E-2</v>
      </c>
    </row>
    <row r="43" spans="1:68" x14ac:dyDescent="0.2">
      <c r="A43" s="564"/>
      <c r="B43" s="552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552"/>
      <c r="N43" s="552"/>
      <c r="O43" s="565"/>
      <c r="P43" s="556" t="s">
        <v>75</v>
      </c>
      <c r="Q43" s="557"/>
      <c r="R43" s="557"/>
      <c r="S43" s="557"/>
      <c r="T43" s="557"/>
      <c r="U43" s="557"/>
      <c r="V43" s="558"/>
      <c r="W43" s="37" t="s">
        <v>76</v>
      </c>
      <c r="X43" s="549">
        <f>IFERROR(X40/H40,"0")+IFERROR(X41/H41,"0")+IFERROR(X42/H42,"0")</f>
        <v>42</v>
      </c>
      <c r="Y43" s="549">
        <f>IFERROR(Y40/H40,"0")+IFERROR(Y41/H41,"0")+IFERROR(Y42/H42,"0")</f>
        <v>42</v>
      </c>
      <c r="Z43" s="549">
        <f>IFERROR(IF(Z40="",0,Z40),"0")+IFERROR(IF(Z41="",0,Z41),"0")+IFERROR(IF(Z42="",0,Z42),"0")</f>
        <v>0.67764000000000002</v>
      </c>
      <c r="AA43" s="550"/>
      <c r="AB43" s="550"/>
      <c r="AC43" s="550"/>
    </row>
    <row r="44" spans="1:68" x14ac:dyDescent="0.2">
      <c r="A44" s="552"/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65"/>
      <c r="P44" s="556" t="s">
        <v>75</v>
      </c>
      <c r="Q44" s="557"/>
      <c r="R44" s="557"/>
      <c r="S44" s="557"/>
      <c r="T44" s="557"/>
      <c r="U44" s="557"/>
      <c r="V44" s="558"/>
      <c r="W44" s="37" t="s">
        <v>69</v>
      </c>
      <c r="X44" s="549">
        <f>IFERROR(SUM(X40:X42),"0")</f>
        <v>372</v>
      </c>
      <c r="Y44" s="549">
        <f>IFERROR(SUM(Y40:Y42),"0")</f>
        <v>372</v>
      </c>
      <c r="Z44" s="37"/>
      <c r="AA44" s="550"/>
      <c r="AB44" s="550"/>
      <c r="AC44" s="550"/>
    </row>
    <row r="45" spans="1:68" ht="14.25" hidden="1" customHeight="1" x14ac:dyDescent="0.25">
      <c r="A45" s="559" t="s">
        <v>77</v>
      </c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4"/>
      <c r="B47" s="552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552"/>
      <c r="N47" s="552"/>
      <c r="O47" s="565"/>
      <c r="P47" s="556" t="s">
        <v>75</v>
      </c>
      <c r="Q47" s="557"/>
      <c r="R47" s="557"/>
      <c r="S47" s="557"/>
      <c r="T47" s="557"/>
      <c r="U47" s="557"/>
      <c r="V47" s="558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52"/>
      <c r="B48" s="552"/>
      <c r="C48" s="552"/>
      <c r="D48" s="552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65"/>
      <c r="P48" s="556" t="s">
        <v>75</v>
      </c>
      <c r="Q48" s="557"/>
      <c r="R48" s="557"/>
      <c r="S48" s="557"/>
      <c r="T48" s="557"/>
      <c r="U48" s="557"/>
      <c r="V48" s="558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51" t="s">
        <v>117</v>
      </c>
      <c r="B49" s="552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552"/>
      <c r="S49" s="552"/>
      <c r="T49" s="552"/>
      <c r="U49" s="552"/>
      <c r="V49" s="552"/>
      <c r="W49" s="552"/>
      <c r="X49" s="552"/>
      <c r="Y49" s="552"/>
      <c r="Z49" s="552"/>
      <c r="AA49" s="542"/>
      <c r="AB49" s="542"/>
      <c r="AC49" s="542"/>
    </row>
    <row r="50" spans="1:68" ht="14.25" hidden="1" customHeight="1" x14ac:dyDescent="0.25">
      <c r="A50" s="559" t="s">
        <v>101</v>
      </c>
      <c r="B50" s="552"/>
      <c r="C50" s="552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7">
        <v>89.6</v>
      </c>
      <c r="Y51" s="548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92.88</v>
      </c>
      <c r="BN51" s="64">
        <f t="shared" ref="BN51:BN56" si="2">IFERROR(Y51*I51/H51,"0")</f>
        <v>92.88</v>
      </c>
      <c r="BO51" s="64">
        <f t="shared" ref="BO51:BO56" si="3">IFERROR(1/J51*(X51/H51),"0")</f>
        <v>0.125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7">
        <v>300</v>
      </c>
      <c r="Y52" s="548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8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7">
        <v>600</v>
      </c>
      <c r="Y56" s="548">
        <f t="shared" si="0"/>
        <v>603</v>
      </c>
      <c r="Z56" s="36">
        <f>IFERROR(IF(Y56=0,"",ROUNDUP(Y56/H56,0)*0.00902),"")</f>
        <v>1.20868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625.33333333333348</v>
      </c>
      <c r="BN56" s="64">
        <f t="shared" si="2"/>
        <v>628.46</v>
      </c>
      <c r="BO56" s="64">
        <f t="shared" si="3"/>
        <v>1.0101010101010102</v>
      </c>
      <c r="BP56" s="64">
        <f t="shared" si="4"/>
        <v>1.0151515151515151</v>
      </c>
    </row>
    <row r="57" spans="1:68" x14ac:dyDescent="0.2">
      <c r="A57" s="564"/>
      <c r="B57" s="552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552"/>
      <c r="N57" s="552"/>
      <c r="O57" s="565"/>
      <c r="P57" s="556" t="s">
        <v>75</v>
      </c>
      <c r="Q57" s="557"/>
      <c r="R57" s="557"/>
      <c r="S57" s="557"/>
      <c r="T57" s="557"/>
      <c r="U57" s="557"/>
      <c r="V57" s="558"/>
      <c r="W57" s="37" t="s">
        <v>76</v>
      </c>
      <c r="X57" s="549">
        <f>IFERROR(X51/H51,"0")+IFERROR(X52/H52,"0")+IFERROR(X53/H53,"0")+IFERROR(X54/H54,"0")+IFERROR(X55/H55,"0")+IFERROR(X56/H56,"0")</f>
        <v>169.11111111111111</v>
      </c>
      <c r="Y57" s="549">
        <f>IFERROR(Y51/H51,"0")+IFERROR(Y52/H52,"0")+IFERROR(Y53/H53,"0")+IFERROR(Y54/H54,"0")+IFERROR(Y55/H55,"0")+IFERROR(Y56/H56,"0")</f>
        <v>170</v>
      </c>
      <c r="Z57" s="549">
        <f>IFERROR(IF(Z51="",0,Z51),"0")+IFERROR(IF(Z52="",0,Z52),"0")+IFERROR(IF(Z53="",0,Z53),"0")+IFERROR(IF(Z54="",0,Z54),"0")+IFERROR(IF(Z55="",0,Z55),"0")+IFERROR(IF(Z56="",0,Z56),"0")</f>
        <v>1.8919600000000001</v>
      </c>
      <c r="AA57" s="550"/>
      <c r="AB57" s="550"/>
      <c r="AC57" s="550"/>
    </row>
    <row r="58" spans="1:68" x14ac:dyDescent="0.2">
      <c r="A58" s="552"/>
      <c r="B58" s="552"/>
      <c r="C58" s="552"/>
      <c r="D58" s="552"/>
      <c r="E58" s="552"/>
      <c r="F58" s="552"/>
      <c r="G58" s="552"/>
      <c r="H58" s="552"/>
      <c r="I58" s="552"/>
      <c r="J58" s="552"/>
      <c r="K58" s="552"/>
      <c r="L58" s="552"/>
      <c r="M58" s="552"/>
      <c r="N58" s="552"/>
      <c r="O58" s="565"/>
      <c r="P58" s="556" t="s">
        <v>75</v>
      </c>
      <c r="Q58" s="557"/>
      <c r="R58" s="557"/>
      <c r="S58" s="557"/>
      <c r="T58" s="557"/>
      <c r="U58" s="557"/>
      <c r="V58" s="558"/>
      <c r="W58" s="37" t="s">
        <v>69</v>
      </c>
      <c r="X58" s="549">
        <f>IFERROR(SUM(X51:X56),"0")</f>
        <v>989.6</v>
      </c>
      <c r="Y58" s="549">
        <f>IFERROR(SUM(Y51:Y56),"0")</f>
        <v>995</v>
      </c>
      <c r="Z58" s="37"/>
      <c r="AA58" s="550"/>
      <c r="AB58" s="550"/>
      <c r="AC58" s="550"/>
    </row>
    <row r="59" spans="1:68" ht="14.25" hidden="1" customHeight="1" x14ac:dyDescent="0.25">
      <c r="A59" s="559" t="s">
        <v>136</v>
      </c>
      <c r="B59" s="552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7">
        <v>86.4</v>
      </c>
      <c r="Y60" s="548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89.68</v>
      </c>
      <c r="BN60" s="64">
        <f>IFERROR(Y60*I60/H60,"0")</f>
        <v>89.68</v>
      </c>
      <c r="BO60" s="64">
        <f>IFERROR(1/J60*(X60/H60),"0")</f>
        <v>0.125</v>
      </c>
      <c r="BP60" s="64">
        <f>IFERROR(1/J60*(Y60/H60),"0")</f>
        <v>0.125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0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4"/>
      <c r="B63" s="552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552"/>
      <c r="N63" s="552"/>
      <c r="O63" s="565"/>
      <c r="P63" s="556" t="s">
        <v>75</v>
      </c>
      <c r="Q63" s="557"/>
      <c r="R63" s="557"/>
      <c r="S63" s="557"/>
      <c r="T63" s="557"/>
      <c r="U63" s="557"/>
      <c r="V63" s="558"/>
      <c r="W63" s="37" t="s">
        <v>76</v>
      </c>
      <c r="X63" s="549">
        <f>IFERROR(X60/H60,"0")+IFERROR(X61/H61,"0")+IFERROR(X62/H62,"0")</f>
        <v>8</v>
      </c>
      <c r="Y63" s="549">
        <f>IFERROR(Y60/H60,"0")+IFERROR(Y61/H61,"0")+IFERROR(Y62/H62,"0")</f>
        <v>8</v>
      </c>
      <c r="Z63" s="549">
        <f>IFERROR(IF(Z60="",0,Z60),"0")+IFERROR(IF(Z61="",0,Z61),"0")+IFERROR(IF(Z62="",0,Z62),"0")</f>
        <v>0.15184</v>
      </c>
      <c r="AA63" s="550"/>
      <c r="AB63" s="550"/>
      <c r="AC63" s="550"/>
    </row>
    <row r="64" spans="1:68" x14ac:dyDescent="0.2">
      <c r="A64" s="552"/>
      <c r="B64" s="552"/>
      <c r="C64" s="552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65"/>
      <c r="P64" s="556" t="s">
        <v>75</v>
      </c>
      <c r="Q64" s="557"/>
      <c r="R64" s="557"/>
      <c r="S64" s="557"/>
      <c r="T64" s="557"/>
      <c r="U64" s="557"/>
      <c r="V64" s="558"/>
      <c r="W64" s="37" t="s">
        <v>69</v>
      </c>
      <c r="X64" s="549">
        <f>IFERROR(SUM(X60:X62),"0")</f>
        <v>86.4</v>
      </c>
      <c r="Y64" s="549">
        <f>IFERROR(SUM(Y60:Y62),"0")</f>
        <v>86.4</v>
      </c>
      <c r="Z64" s="37"/>
      <c r="AA64" s="550"/>
      <c r="AB64" s="550"/>
      <c r="AC64" s="550"/>
    </row>
    <row r="65" spans="1:68" ht="14.25" hidden="1" customHeight="1" x14ac:dyDescent="0.25">
      <c r="A65" s="559" t="s">
        <v>64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552"/>
      <c r="T65" s="552"/>
      <c r="U65" s="552"/>
      <c r="V65" s="552"/>
      <c r="W65" s="552"/>
      <c r="X65" s="552"/>
      <c r="Y65" s="552"/>
      <c r="Z65" s="552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60">
        <v>4680115885097</v>
      </c>
      <c r="E67" s="561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4"/>
      <c r="B68" s="552"/>
      <c r="C68" s="552"/>
      <c r="D68" s="552"/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65"/>
      <c r="P68" s="556" t="s">
        <v>75</v>
      </c>
      <c r="Q68" s="557"/>
      <c r="R68" s="557"/>
      <c r="S68" s="557"/>
      <c r="T68" s="557"/>
      <c r="U68" s="557"/>
      <c r="V68" s="558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52"/>
      <c r="B69" s="552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65"/>
      <c r="P69" s="556" t="s">
        <v>75</v>
      </c>
      <c r="Q69" s="557"/>
      <c r="R69" s="557"/>
      <c r="S69" s="557"/>
      <c r="T69" s="557"/>
      <c r="U69" s="557"/>
      <c r="V69" s="558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59" t="s">
        <v>77</v>
      </c>
      <c r="B70" s="552"/>
      <c r="C70" s="552"/>
      <c r="D70" s="552"/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60">
        <v>4680115885769</v>
      </c>
      <c r="E71" s="561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5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7">
        <v>60</v>
      </c>
      <c r="Y71" s="548">
        <f>IFERROR(IF(X71="",0,CEILING((X71/$H71),1)*$H71),"")</f>
        <v>67.2</v>
      </c>
      <c r="Z71" s="36">
        <f>IFERROR(IF(Y71=0,"",ROUNDUP(Y71/H71,0)*0.01898),"")</f>
        <v>0.15184</v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62.928571428571431</v>
      </c>
      <c r="BN71" s="64">
        <f>IFERROR(Y71*I71/H71,"0")</f>
        <v>70.48</v>
      </c>
      <c r="BO71" s="64">
        <f>IFERROR(1/J71*(X71/H71),"0")</f>
        <v>0.11160714285714285</v>
      </c>
      <c r="BP71" s="64">
        <f>IFERROR(1/J71*(Y71/H71),"0")</f>
        <v>0.125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60">
        <v>4680115884311</v>
      </c>
      <c r="E72" s="561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58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60">
        <v>4680115885929</v>
      </c>
      <c r="E73" s="561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60">
        <v>4680115884403</v>
      </c>
      <c r="E74" s="561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4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65"/>
      <c r="P75" s="556" t="s">
        <v>75</v>
      </c>
      <c r="Q75" s="557"/>
      <c r="R75" s="557"/>
      <c r="S75" s="557"/>
      <c r="T75" s="557"/>
      <c r="U75" s="557"/>
      <c r="V75" s="558"/>
      <c r="W75" s="37" t="s">
        <v>76</v>
      </c>
      <c r="X75" s="549">
        <f>IFERROR(X71/H71,"0")+IFERROR(X72/H72,"0")+IFERROR(X73/H73,"0")+IFERROR(X74/H74,"0")</f>
        <v>7.1428571428571423</v>
      </c>
      <c r="Y75" s="549">
        <f>IFERROR(Y71/H71,"0")+IFERROR(Y72/H72,"0")+IFERROR(Y73/H73,"0")+IFERROR(Y74/H74,"0")</f>
        <v>8</v>
      </c>
      <c r="Z75" s="549">
        <f>IFERROR(IF(Z71="",0,Z71),"0")+IFERROR(IF(Z72="",0,Z72),"0")+IFERROR(IF(Z73="",0,Z73),"0")+IFERROR(IF(Z74="",0,Z74),"0")</f>
        <v>0.15184</v>
      </c>
      <c r="AA75" s="550"/>
      <c r="AB75" s="550"/>
      <c r="AC75" s="550"/>
    </row>
    <row r="76" spans="1:68" x14ac:dyDescent="0.2">
      <c r="A76" s="552"/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65"/>
      <c r="P76" s="556" t="s">
        <v>75</v>
      </c>
      <c r="Q76" s="557"/>
      <c r="R76" s="557"/>
      <c r="S76" s="557"/>
      <c r="T76" s="557"/>
      <c r="U76" s="557"/>
      <c r="V76" s="558"/>
      <c r="W76" s="37" t="s">
        <v>69</v>
      </c>
      <c r="X76" s="549">
        <f>IFERROR(SUM(X71:X74),"0")</f>
        <v>60</v>
      </c>
      <c r="Y76" s="549">
        <f>IFERROR(SUM(Y71:Y74),"0")</f>
        <v>67.2</v>
      </c>
      <c r="Z76" s="37"/>
      <c r="AA76" s="550"/>
      <c r="AB76" s="550"/>
      <c r="AC76" s="550"/>
    </row>
    <row r="77" spans="1:68" ht="14.25" hidden="1" customHeight="1" x14ac:dyDescent="0.25">
      <c r="A77" s="559" t="s">
        <v>161</v>
      </c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60">
        <v>4680115881532</v>
      </c>
      <c r="E78" s="561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7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60">
        <v>4680115881464</v>
      </c>
      <c r="E79" s="561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8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4"/>
      <c r="B80" s="55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65"/>
      <c r="P80" s="556" t="s">
        <v>75</v>
      </c>
      <c r="Q80" s="557"/>
      <c r="R80" s="557"/>
      <c r="S80" s="557"/>
      <c r="T80" s="557"/>
      <c r="U80" s="557"/>
      <c r="V80" s="558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52"/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65"/>
      <c r="P81" s="556" t="s">
        <v>75</v>
      </c>
      <c r="Q81" s="557"/>
      <c r="R81" s="557"/>
      <c r="S81" s="557"/>
      <c r="T81" s="557"/>
      <c r="U81" s="557"/>
      <c r="V81" s="558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51" t="s">
        <v>168</v>
      </c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2"/>
      <c r="V82" s="552"/>
      <c r="W82" s="552"/>
      <c r="X82" s="552"/>
      <c r="Y82" s="552"/>
      <c r="Z82" s="552"/>
      <c r="AA82" s="542"/>
      <c r="AB82" s="542"/>
      <c r="AC82" s="542"/>
    </row>
    <row r="83" spans="1:68" ht="14.25" hidden="1" customHeight="1" x14ac:dyDescent="0.25">
      <c r="A83" s="559" t="s">
        <v>101</v>
      </c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2"/>
      <c r="V83" s="552"/>
      <c r="W83" s="552"/>
      <c r="X83" s="552"/>
      <c r="Y83" s="552"/>
      <c r="Z83" s="552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60">
        <v>4680115881327</v>
      </c>
      <c r="E84" s="561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68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7">
        <v>324</v>
      </c>
      <c r="Y84" s="548">
        <f>IFERROR(IF(X84="",0,CEILING((X84/$H84),1)*$H84),"")</f>
        <v>324</v>
      </c>
      <c r="Z84" s="36">
        <f>IFERROR(IF(Y84=0,"",ROUNDUP(Y84/H84,0)*0.01898),"")</f>
        <v>0.56940000000000002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336.3</v>
      </c>
      <c r="BN84" s="64">
        <f>IFERROR(Y84*I84/H84,"0")</f>
        <v>336.3</v>
      </c>
      <c r="BO84" s="64">
        <f>IFERROR(1/J84*(X84/H84),"0")</f>
        <v>0.46874999999999994</v>
      </c>
      <c r="BP84" s="64">
        <f>IFERROR(1/J84*(Y84/H84),"0")</f>
        <v>0.46874999999999994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60">
        <v>4680115887732</v>
      </c>
      <c r="E85" s="561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5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60">
        <v>4680115881518</v>
      </c>
      <c r="E86" s="561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8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60">
        <v>4680115881303</v>
      </c>
      <c r="E87" s="561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4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4"/>
      <c r="B88" s="552"/>
      <c r="C88" s="552"/>
      <c r="D88" s="552"/>
      <c r="E88" s="552"/>
      <c r="F88" s="552"/>
      <c r="G88" s="552"/>
      <c r="H88" s="552"/>
      <c r="I88" s="552"/>
      <c r="J88" s="552"/>
      <c r="K88" s="552"/>
      <c r="L88" s="552"/>
      <c r="M88" s="552"/>
      <c r="N88" s="552"/>
      <c r="O88" s="565"/>
      <c r="P88" s="556" t="s">
        <v>75</v>
      </c>
      <c r="Q88" s="557"/>
      <c r="R88" s="557"/>
      <c r="S88" s="557"/>
      <c r="T88" s="557"/>
      <c r="U88" s="557"/>
      <c r="V88" s="558"/>
      <c r="W88" s="37" t="s">
        <v>76</v>
      </c>
      <c r="X88" s="549">
        <f>IFERROR(X84/H84,"0")+IFERROR(X85/H85,"0")+IFERROR(X86/H86,"0")+IFERROR(X87/H87,"0")</f>
        <v>29.999999999999996</v>
      </c>
      <c r="Y88" s="549">
        <f>IFERROR(Y84/H84,"0")+IFERROR(Y85/H85,"0")+IFERROR(Y86/H86,"0")+IFERROR(Y87/H87,"0")</f>
        <v>29.999999999999996</v>
      </c>
      <c r="Z88" s="549">
        <f>IFERROR(IF(Z84="",0,Z84),"0")+IFERROR(IF(Z85="",0,Z85),"0")+IFERROR(IF(Z86="",0,Z86),"0")+IFERROR(IF(Z87="",0,Z87),"0")</f>
        <v>0.56940000000000002</v>
      </c>
      <c r="AA88" s="550"/>
      <c r="AB88" s="550"/>
      <c r="AC88" s="550"/>
    </row>
    <row r="89" spans="1:68" x14ac:dyDescent="0.2">
      <c r="A89" s="552"/>
      <c r="B89" s="552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552"/>
      <c r="N89" s="552"/>
      <c r="O89" s="565"/>
      <c r="P89" s="556" t="s">
        <v>75</v>
      </c>
      <c r="Q89" s="557"/>
      <c r="R89" s="557"/>
      <c r="S89" s="557"/>
      <c r="T89" s="557"/>
      <c r="U89" s="557"/>
      <c r="V89" s="558"/>
      <c r="W89" s="37" t="s">
        <v>69</v>
      </c>
      <c r="X89" s="549">
        <f>IFERROR(SUM(X84:X87),"0")</f>
        <v>324</v>
      </c>
      <c r="Y89" s="549">
        <f>IFERROR(SUM(Y84:Y87),"0")</f>
        <v>324</v>
      </c>
      <c r="Z89" s="37"/>
      <c r="AA89" s="550"/>
      <c r="AB89" s="550"/>
      <c r="AC89" s="550"/>
    </row>
    <row r="90" spans="1:68" ht="14.25" hidden="1" customHeight="1" x14ac:dyDescent="0.25">
      <c r="A90" s="559" t="s">
        <v>77</v>
      </c>
      <c r="B90" s="552"/>
      <c r="C90" s="552"/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552"/>
      <c r="P90" s="552"/>
      <c r="Q90" s="552"/>
      <c r="R90" s="552"/>
      <c r="S90" s="552"/>
      <c r="T90" s="552"/>
      <c r="U90" s="552"/>
      <c r="V90" s="552"/>
      <c r="W90" s="552"/>
      <c r="X90" s="552"/>
      <c r="Y90" s="552"/>
      <c r="Z90" s="552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60">
        <v>4607091386967</v>
      </c>
      <c r="E91" s="561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7">
        <v>243</v>
      </c>
      <c r="Y91" s="548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257.82</v>
      </c>
      <c r="BN91" s="64">
        <f>IFERROR(Y91*I91/H91,"0")</f>
        <v>257.82</v>
      </c>
      <c r="BO91" s="64">
        <f>IFERROR(1/J91*(X91/H91),"0")</f>
        <v>0.46875</v>
      </c>
      <c r="BP91" s="64">
        <f>IFERROR(1/J91*(Y91/H91),"0")</f>
        <v>0.46875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60">
        <v>4680115884953</v>
      </c>
      <c r="E92" s="561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60">
        <v>4607091385731</v>
      </c>
      <c r="E93" s="561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8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7">
        <v>600</v>
      </c>
      <c r="Y93" s="548">
        <f>IFERROR(IF(X93="",0,CEILING((X93/$H93),1)*$H93),"")</f>
        <v>602.1</v>
      </c>
      <c r="Z93" s="36">
        <f>IFERROR(IF(Y93=0,"",ROUNDUP(Y93/H93,0)*0.00651),"")</f>
        <v>1.45173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656</v>
      </c>
      <c r="BN93" s="64">
        <f>IFERROR(Y93*I93/H93,"0")</f>
        <v>658.29599999999994</v>
      </c>
      <c r="BO93" s="64">
        <f>IFERROR(1/J93*(X93/H93),"0")</f>
        <v>1.2210012210012209</v>
      </c>
      <c r="BP93" s="64">
        <f>IFERROR(1/J93*(Y93/H93),"0")</f>
        <v>1.2252747252747254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60">
        <v>4680115880894</v>
      </c>
      <c r="E94" s="561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8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7">
        <v>55.44</v>
      </c>
      <c r="Y94" s="548">
        <f>IFERROR(IF(X94="",0,CEILING((X94/$H94),1)*$H94),"")</f>
        <v>55.44</v>
      </c>
      <c r="Z94" s="36">
        <f>IFERROR(IF(Y94=0,"",ROUNDUP(Y94/H94,0)*0.00651),"")</f>
        <v>0.18228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62.664000000000001</v>
      </c>
      <c r="BN94" s="64">
        <f>IFERROR(Y94*I94/H94,"0")</f>
        <v>62.664000000000001</v>
      </c>
      <c r="BO94" s="64">
        <f>IFERROR(1/J94*(X94/H94),"0")</f>
        <v>0.15384615384615385</v>
      </c>
      <c r="BP94" s="64">
        <f>IFERROR(1/J94*(Y94/H94),"0")</f>
        <v>0.15384615384615385</v>
      </c>
    </row>
    <row r="95" spans="1:68" x14ac:dyDescent="0.2">
      <c r="A95" s="564"/>
      <c r="B95" s="552"/>
      <c r="C95" s="552"/>
      <c r="D95" s="552"/>
      <c r="E95" s="552"/>
      <c r="F95" s="552"/>
      <c r="G95" s="552"/>
      <c r="H95" s="552"/>
      <c r="I95" s="552"/>
      <c r="J95" s="552"/>
      <c r="K95" s="552"/>
      <c r="L95" s="552"/>
      <c r="M95" s="552"/>
      <c r="N95" s="552"/>
      <c r="O95" s="565"/>
      <c r="P95" s="556" t="s">
        <v>75</v>
      </c>
      <c r="Q95" s="557"/>
      <c r="R95" s="557"/>
      <c r="S95" s="557"/>
      <c r="T95" s="557"/>
      <c r="U95" s="557"/>
      <c r="V95" s="558"/>
      <c r="W95" s="37" t="s">
        <v>76</v>
      </c>
      <c r="X95" s="549">
        <f>IFERROR(X91/H91,"0")+IFERROR(X92/H92,"0")+IFERROR(X93/H93,"0")+IFERROR(X94/H94,"0")</f>
        <v>280.22222222222217</v>
      </c>
      <c r="Y95" s="549">
        <f>IFERROR(Y91/H91,"0")+IFERROR(Y92/H92,"0")+IFERROR(Y93/H93,"0")+IFERROR(Y94/H94,"0")</f>
        <v>281</v>
      </c>
      <c r="Z95" s="549">
        <f>IFERROR(IF(Z91="",0,Z91),"0")+IFERROR(IF(Z92="",0,Z92),"0")+IFERROR(IF(Z93="",0,Z93),"0")+IFERROR(IF(Z94="",0,Z94),"0")</f>
        <v>2.2034099999999999</v>
      </c>
      <c r="AA95" s="550"/>
      <c r="AB95" s="550"/>
      <c r="AC95" s="550"/>
    </row>
    <row r="96" spans="1:68" x14ac:dyDescent="0.2">
      <c r="A96" s="552"/>
      <c r="B96" s="552"/>
      <c r="C96" s="552"/>
      <c r="D96" s="552"/>
      <c r="E96" s="552"/>
      <c r="F96" s="552"/>
      <c r="G96" s="552"/>
      <c r="H96" s="552"/>
      <c r="I96" s="552"/>
      <c r="J96" s="552"/>
      <c r="K96" s="552"/>
      <c r="L96" s="552"/>
      <c r="M96" s="552"/>
      <c r="N96" s="552"/>
      <c r="O96" s="565"/>
      <c r="P96" s="556" t="s">
        <v>75</v>
      </c>
      <c r="Q96" s="557"/>
      <c r="R96" s="557"/>
      <c r="S96" s="557"/>
      <c r="T96" s="557"/>
      <c r="U96" s="557"/>
      <c r="V96" s="558"/>
      <c r="W96" s="37" t="s">
        <v>69</v>
      </c>
      <c r="X96" s="549">
        <f>IFERROR(SUM(X91:X94),"0")</f>
        <v>898.44</v>
      </c>
      <c r="Y96" s="549">
        <f>IFERROR(SUM(Y91:Y94),"0")</f>
        <v>900.54</v>
      </c>
      <c r="Z96" s="37"/>
      <c r="AA96" s="550"/>
      <c r="AB96" s="550"/>
      <c r="AC96" s="550"/>
    </row>
    <row r="97" spans="1:68" ht="16.5" hidden="1" customHeight="1" x14ac:dyDescent="0.25">
      <c r="A97" s="551" t="s">
        <v>190</v>
      </c>
      <c r="B97" s="552"/>
      <c r="C97" s="552"/>
      <c r="D97" s="552"/>
      <c r="E97" s="552"/>
      <c r="F97" s="552"/>
      <c r="G97" s="552"/>
      <c r="H97" s="552"/>
      <c r="I97" s="552"/>
      <c r="J97" s="552"/>
      <c r="K97" s="552"/>
      <c r="L97" s="552"/>
      <c r="M97" s="552"/>
      <c r="N97" s="552"/>
      <c r="O97" s="552"/>
      <c r="P97" s="552"/>
      <c r="Q97" s="552"/>
      <c r="R97" s="552"/>
      <c r="S97" s="552"/>
      <c r="T97" s="552"/>
      <c r="U97" s="552"/>
      <c r="V97" s="552"/>
      <c r="W97" s="552"/>
      <c r="X97" s="552"/>
      <c r="Y97" s="552"/>
      <c r="Z97" s="552"/>
      <c r="AA97" s="542"/>
      <c r="AB97" s="542"/>
      <c r="AC97" s="542"/>
    </row>
    <row r="98" spans="1:68" ht="14.25" hidden="1" customHeight="1" x14ac:dyDescent="0.25">
      <c r="A98" s="559" t="s">
        <v>101</v>
      </c>
      <c r="B98" s="552"/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  <c r="Z98" s="552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60">
        <v>4680115882133</v>
      </c>
      <c r="E99" s="561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7">
        <v>324</v>
      </c>
      <c r="Y99" s="548">
        <f>IFERROR(IF(X99="",0,CEILING((X99/$H99),1)*$H99),"")</f>
        <v>324</v>
      </c>
      <c r="Z99" s="36">
        <f>IFERROR(IF(Y99=0,"",ROUNDUP(Y99/H99,0)*0.01898),"")</f>
        <v>0.56940000000000002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336.3</v>
      </c>
      <c r="BN99" s="64">
        <f>IFERROR(Y99*I99/H99,"0")</f>
        <v>336.3</v>
      </c>
      <c r="BO99" s="64">
        <f>IFERROR(1/J99*(X99/H99),"0")</f>
        <v>0.46874999999999994</v>
      </c>
      <c r="BP99" s="64">
        <f>IFERROR(1/J99*(Y99/H99),"0")</f>
        <v>0.46874999999999994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60">
        <v>4680115887718</v>
      </c>
      <c r="E100" s="561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82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60">
        <v>4680115880269</v>
      </c>
      <c r="E101" s="561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66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7">
        <v>135</v>
      </c>
      <c r="Y101" s="548">
        <f>IFERROR(IF(X101="",0,CEILING((X101/$H101),1)*$H101),"")</f>
        <v>135</v>
      </c>
      <c r="Z101" s="36">
        <f>IFERROR(IF(Y101=0,"",ROUNDUP(Y101/H101,0)*0.00902),"")</f>
        <v>0.32472000000000001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141.84</v>
      </c>
      <c r="BN101" s="64">
        <f>IFERROR(Y101*I101/H101,"0")</f>
        <v>141.84</v>
      </c>
      <c r="BO101" s="64">
        <f>IFERROR(1/J101*(X101/H101),"0")</f>
        <v>0.27272727272727271</v>
      </c>
      <c r="BP101" s="64">
        <f>IFERROR(1/J101*(Y101/H101),"0")</f>
        <v>0.27272727272727271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60">
        <v>4680115880429</v>
      </c>
      <c r="E102" s="561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64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0">
        <v>4680115881457</v>
      </c>
      <c r="E103" s="561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4"/>
      <c r="B104" s="552"/>
      <c r="C104" s="552"/>
      <c r="D104" s="552"/>
      <c r="E104" s="552"/>
      <c r="F104" s="552"/>
      <c r="G104" s="552"/>
      <c r="H104" s="552"/>
      <c r="I104" s="552"/>
      <c r="J104" s="552"/>
      <c r="K104" s="552"/>
      <c r="L104" s="552"/>
      <c r="M104" s="552"/>
      <c r="N104" s="552"/>
      <c r="O104" s="565"/>
      <c r="P104" s="556" t="s">
        <v>75</v>
      </c>
      <c r="Q104" s="557"/>
      <c r="R104" s="557"/>
      <c r="S104" s="557"/>
      <c r="T104" s="557"/>
      <c r="U104" s="557"/>
      <c r="V104" s="558"/>
      <c r="W104" s="37" t="s">
        <v>76</v>
      </c>
      <c r="X104" s="549">
        <f>IFERROR(X99/H99,"0")+IFERROR(X100/H100,"0")+IFERROR(X101/H101,"0")+IFERROR(X102/H102,"0")+IFERROR(X103/H103,"0")</f>
        <v>66</v>
      </c>
      <c r="Y104" s="549">
        <f>IFERROR(Y99/H99,"0")+IFERROR(Y100/H100,"0")+IFERROR(Y101/H101,"0")+IFERROR(Y102/H102,"0")+IFERROR(Y103/H103,"0")</f>
        <v>66</v>
      </c>
      <c r="Z104" s="549">
        <f>IFERROR(IF(Z99="",0,Z99),"0")+IFERROR(IF(Z100="",0,Z100),"0")+IFERROR(IF(Z101="",0,Z101),"0")+IFERROR(IF(Z102="",0,Z102),"0")+IFERROR(IF(Z103="",0,Z103),"0")</f>
        <v>0.89412000000000003</v>
      </c>
      <c r="AA104" s="550"/>
      <c r="AB104" s="550"/>
      <c r="AC104" s="550"/>
    </row>
    <row r="105" spans="1:68" x14ac:dyDescent="0.2">
      <c r="A105" s="552"/>
      <c r="B105" s="552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552"/>
      <c r="N105" s="552"/>
      <c r="O105" s="565"/>
      <c r="P105" s="556" t="s">
        <v>75</v>
      </c>
      <c r="Q105" s="557"/>
      <c r="R105" s="557"/>
      <c r="S105" s="557"/>
      <c r="T105" s="557"/>
      <c r="U105" s="557"/>
      <c r="V105" s="558"/>
      <c r="W105" s="37" t="s">
        <v>69</v>
      </c>
      <c r="X105" s="549">
        <f>IFERROR(SUM(X99:X103),"0")</f>
        <v>459</v>
      </c>
      <c r="Y105" s="549">
        <f>IFERROR(SUM(Y99:Y103),"0")</f>
        <v>459</v>
      </c>
      <c r="Z105" s="37"/>
      <c r="AA105" s="550"/>
      <c r="AB105" s="550"/>
      <c r="AC105" s="550"/>
    </row>
    <row r="106" spans="1:68" ht="14.25" hidden="1" customHeight="1" x14ac:dyDescent="0.25">
      <c r="A106" s="559" t="s">
        <v>136</v>
      </c>
      <c r="B106" s="552"/>
      <c r="C106" s="552"/>
      <c r="D106" s="552"/>
      <c r="E106" s="552"/>
      <c r="F106" s="552"/>
      <c r="G106" s="552"/>
      <c r="H106" s="552"/>
      <c r="I106" s="552"/>
      <c r="J106" s="552"/>
      <c r="K106" s="552"/>
      <c r="L106" s="552"/>
      <c r="M106" s="552"/>
      <c r="N106" s="552"/>
      <c r="O106" s="552"/>
      <c r="P106" s="552"/>
      <c r="Q106" s="552"/>
      <c r="R106" s="552"/>
      <c r="S106" s="552"/>
      <c r="T106" s="552"/>
      <c r="U106" s="552"/>
      <c r="V106" s="552"/>
      <c r="W106" s="552"/>
      <c r="X106" s="552"/>
      <c r="Y106" s="552"/>
      <c r="Z106" s="552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60">
        <v>4680115881488</v>
      </c>
      <c r="E107" s="561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7">
        <v>100</v>
      </c>
      <c r="Y107" s="548">
        <f>IFERROR(IF(X107="",0,CEILING((X107/$H107),1)*$H107),"")</f>
        <v>108</v>
      </c>
      <c r="Z107" s="36">
        <f>IFERROR(IF(Y107=0,"",ROUNDUP(Y107/H107,0)*0.01898),"")</f>
        <v>0.1898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103.79629629629629</v>
      </c>
      <c r="BN107" s="64">
        <f>IFERROR(Y107*I107/H107,"0")</f>
        <v>112.1</v>
      </c>
      <c r="BO107" s="64">
        <f>IFERROR(1/J107*(X107/H107),"0")</f>
        <v>0.14467592592592593</v>
      </c>
      <c r="BP107" s="64">
        <f>IFERROR(1/J107*(Y107/H107),"0")</f>
        <v>0.15625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60">
        <v>4680115887664</v>
      </c>
      <c r="E108" s="561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0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60">
        <v>4680115882775</v>
      </c>
      <c r="E109" s="561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68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60">
        <v>4680115880658</v>
      </c>
      <c r="E110" s="561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6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4"/>
      <c r="B111" s="552"/>
      <c r="C111" s="552"/>
      <c r="D111" s="552"/>
      <c r="E111" s="552"/>
      <c r="F111" s="552"/>
      <c r="G111" s="552"/>
      <c r="H111" s="552"/>
      <c r="I111" s="552"/>
      <c r="J111" s="552"/>
      <c r="K111" s="552"/>
      <c r="L111" s="552"/>
      <c r="M111" s="552"/>
      <c r="N111" s="552"/>
      <c r="O111" s="565"/>
      <c r="P111" s="556" t="s">
        <v>75</v>
      </c>
      <c r="Q111" s="557"/>
      <c r="R111" s="557"/>
      <c r="S111" s="557"/>
      <c r="T111" s="557"/>
      <c r="U111" s="557"/>
      <c r="V111" s="558"/>
      <c r="W111" s="37" t="s">
        <v>76</v>
      </c>
      <c r="X111" s="549">
        <f>IFERROR(X107/H107,"0")+IFERROR(X108/H108,"0")+IFERROR(X109/H109,"0")+IFERROR(X110/H110,"0")</f>
        <v>9.2592592592592595</v>
      </c>
      <c r="Y111" s="549">
        <f>IFERROR(Y107/H107,"0")+IFERROR(Y108/H108,"0")+IFERROR(Y109/H109,"0")+IFERROR(Y110/H110,"0")</f>
        <v>10</v>
      </c>
      <c r="Z111" s="549">
        <f>IFERROR(IF(Z107="",0,Z107),"0")+IFERROR(IF(Z108="",0,Z108),"0")+IFERROR(IF(Z109="",0,Z109),"0")+IFERROR(IF(Z110="",0,Z110),"0")</f>
        <v>0.1898</v>
      </c>
      <c r="AA111" s="550"/>
      <c r="AB111" s="550"/>
      <c r="AC111" s="550"/>
    </row>
    <row r="112" spans="1:68" x14ac:dyDescent="0.2">
      <c r="A112" s="552"/>
      <c r="B112" s="552"/>
      <c r="C112" s="552"/>
      <c r="D112" s="552"/>
      <c r="E112" s="552"/>
      <c r="F112" s="552"/>
      <c r="G112" s="552"/>
      <c r="H112" s="552"/>
      <c r="I112" s="552"/>
      <c r="J112" s="552"/>
      <c r="K112" s="552"/>
      <c r="L112" s="552"/>
      <c r="M112" s="552"/>
      <c r="N112" s="552"/>
      <c r="O112" s="565"/>
      <c r="P112" s="556" t="s">
        <v>75</v>
      </c>
      <c r="Q112" s="557"/>
      <c r="R112" s="557"/>
      <c r="S112" s="557"/>
      <c r="T112" s="557"/>
      <c r="U112" s="557"/>
      <c r="V112" s="558"/>
      <c r="W112" s="37" t="s">
        <v>69</v>
      </c>
      <c r="X112" s="549">
        <f>IFERROR(SUM(X107:X110),"0")</f>
        <v>100</v>
      </c>
      <c r="Y112" s="549">
        <f>IFERROR(SUM(Y107:Y110),"0")</f>
        <v>108</v>
      </c>
      <c r="Z112" s="37"/>
      <c r="AA112" s="550"/>
      <c r="AB112" s="550"/>
      <c r="AC112" s="550"/>
    </row>
    <row r="113" spans="1:68" ht="14.25" hidden="1" customHeight="1" x14ac:dyDescent="0.25">
      <c r="A113" s="559" t="s">
        <v>77</v>
      </c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552"/>
      <c r="P113" s="552"/>
      <c r="Q113" s="552"/>
      <c r="R113" s="552"/>
      <c r="S113" s="552"/>
      <c r="T113" s="552"/>
      <c r="U113" s="552"/>
      <c r="V113" s="552"/>
      <c r="W113" s="552"/>
      <c r="X113" s="552"/>
      <c r="Y113" s="552"/>
      <c r="Z113" s="552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60">
        <v>4607091385168</v>
      </c>
      <c r="E114" s="561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6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7">
        <v>405</v>
      </c>
      <c r="Y114" s="548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429.4</v>
      </c>
      <c r="BN114" s="64">
        <f>IFERROR(Y114*I114/H114,"0")</f>
        <v>429.4</v>
      </c>
      <c r="BO114" s="64">
        <f>IFERROR(1/J114*(X114/H114),"0")</f>
        <v>0.78125</v>
      </c>
      <c r="BP114" s="64">
        <f>IFERROR(1/J114*(Y114/H114),"0")</f>
        <v>0.78125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60">
        <v>4607091383256</v>
      </c>
      <c r="E115" s="561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60">
        <v>4607091385748</v>
      </c>
      <c r="E116" s="561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0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7">
        <v>675</v>
      </c>
      <c r="Y116" s="548">
        <f>IFERROR(IF(X116="",0,CEILING((X116/$H116),1)*$H116),"")</f>
        <v>675</v>
      </c>
      <c r="Z116" s="36">
        <f>IFERROR(IF(Y116=0,"",ROUNDUP(Y116/H116,0)*0.00651),"")</f>
        <v>1.6274999999999999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737.99999999999989</v>
      </c>
      <c r="BN116" s="64">
        <f>IFERROR(Y116*I116/H116,"0")</f>
        <v>737.99999999999989</v>
      </c>
      <c r="BO116" s="64">
        <f>IFERROR(1/J116*(X116/H116),"0")</f>
        <v>1.3736263736263736</v>
      </c>
      <c r="BP116" s="64">
        <f>IFERROR(1/J116*(Y116/H116),"0")</f>
        <v>1.3736263736263736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60">
        <v>4680115884533</v>
      </c>
      <c r="E117" s="561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77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4"/>
      <c r="B118" s="552"/>
      <c r="C118" s="552"/>
      <c r="D118" s="552"/>
      <c r="E118" s="552"/>
      <c r="F118" s="552"/>
      <c r="G118" s="552"/>
      <c r="H118" s="552"/>
      <c r="I118" s="552"/>
      <c r="J118" s="552"/>
      <c r="K118" s="552"/>
      <c r="L118" s="552"/>
      <c r="M118" s="552"/>
      <c r="N118" s="552"/>
      <c r="O118" s="565"/>
      <c r="P118" s="556" t="s">
        <v>75</v>
      </c>
      <c r="Q118" s="557"/>
      <c r="R118" s="557"/>
      <c r="S118" s="557"/>
      <c r="T118" s="557"/>
      <c r="U118" s="557"/>
      <c r="V118" s="558"/>
      <c r="W118" s="37" t="s">
        <v>76</v>
      </c>
      <c r="X118" s="549">
        <f>IFERROR(X114/H114,"0")+IFERROR(X115/H115,"0")+IFERROR(X116/H116,"0")+IFERROR(X117/H117,"0")</f>
        <v>300</v>
      </c>
      <c r="Y118" s="549">
        <f>IFERROR(Y114/H114,"0")+IFERROR(Y115/H115,"0")+IFERROR(Y116/H116,"0")+IFERROR(Y117/H117,"0")</f>
        <v>300</v>
      </c>
      <c r="Z118" s="549">
        <f>IFERROR(IF(Z114="",0,Z114),"0")+IFERROR(IF(Z115="",0,Z115),"0")+IFERROR(IF(Z116="",0,Z116),"0")+IFERROR(IF(Z117="",0,Z117),"0")</f>
        <v>2.5765000000000002</v>
      </c>
      <c r="AA118" s="550"/>
      <c r="AB118" s="550"/>
      <c r="AC118" s="550"/>
    </row>
    <row r="119" spans="1:68" x14ac:dyDescent="0.2">
      <c r="A119" s="552"/>
      <c r="B119" s="552"/>
      <c r="C119" s="552"/>
      <c r="D119" s="552"/>
      <c r="E119" s="552"/>
      <c r="F119" s="552"/>
      <c r="G119" s="552"/>
      <c r="H119" s="552"/>
      <c r="I119" s="552"/>
      <c r="J119" s="552"/>
      <c r="K119" s="552"/>
      <c r="L119" s="552"/>
      <c r="M119" s="552"/>
      <c r="N119" s="552"/>
      <c r="O119" s="565"/>
      <c r="P119" s="556" t="s">
        <v>75</v>
      </c>
      <c r="Q119" s="557"/>
      <c r="R119" s="557"/>
      <c r="S119" s="557"/>
      <c r="T119" s="557"/>
      <c r="U119" s="557"/>
      <c r="V119" s="558"/>
      <c r="W119" s="37" t="s">
        <v>69</v>
      </c>
      <c r="X119" s="549">
        <f>IFERROR(SUM(X114:X117),"0")</f>
        <v>1080</v>
      </c>
      <c r="Y119" s="549">
        <f>IFERROR(SUM(Y114:Y117),"0")</f>
        <v>1080</v>
      </c>
      <c r="Z119" s="37"/>
      <c r="AA119" s="550"/>
      <c r="AB119" s="550"/>
      <c r="AC119" s="550"/>
    </row>
    <row r="120" spans="1:68" ht="14.25" hidden="1" customHeight="1" x14ac:dyDescent="0.25">
      <c r="A120" s="559" t="s">
        <v>161</v>
      </c>
      <c r="B120" s="552"/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60">
        <v>4680115880238</v>
      </c>
      <c r="E121" s="561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6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4"/>
      <c r="B122" s="552"/>
      <c r="C122" s="552"/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52"/>
      <c r="O122" s="565"/>
      <c r="P122" s="556" t="s">
        <v>75</v>
      </c>
      <c r="Q122" s="557"/>
      <c r="R122" s="557"/>
      <c r="S122" s="557"/>
      <c r="T122" s="557"/>
      <c r="U122" s="557"/>
      <c r="V122" s="558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52"/>
      <c r="B123" s="552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552"/>
      <c r="N123" s="552"/>
      <c r="O123" s="565"/>
      <c r="P123" s="556" t="s">
        <v>75</v>
      </c>
      <c r="Q123" s="557"/>
      <c r="R123" s="557"/>
      <c r="S123" s="557"/>
      <c r="T123" s="557"/>
      <c r="U123" s="557"/>
      <c r="V123" s="558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51" t="s">
        <v>227</v>
      </c>
      <c r="B124" s="552"/>
      <c r="C124" s="552"/>
      <c r="D124" s="552"/>
      <c r="E124" s="552"/>
      <c r="F124" s="552"/>
      <c r="G124" s="552"/>
      <c r="H124" s="552"/>
      <c r="I124" s="552"/>
      <c r="J124" s="552"/>
      <c r="K124" s="552"/>
      <c r="L124" s="552"/>
      <c r="M124" s="552"/>
      <c r="N124" s="552"/>
      <c r="O124" s="552"/>
      <c r="P124" s="552"/>
      <c r="Q124" s="552"/>
      <c r="R124" s="552"/>
      <c r="S124" s="552"/>
      <c r="T124" s="552"/>
      <c r="U124" s="552"/>
      <c r="V124" s="552"/>
      <c r="W124" s="552"/>
      <c r="X124" s="552"/>
      <c r="Y124" s="552"/>
      <c r="Z124" s="552"/>
      <c r="AA124" s="542"/>
      <c r="AB124" s="542"/>
      <c r="AC124" s="542"/>
    </row>
    <row r="125" spans="1:68" ht="14.25" hidden="1" customHeight="1" x14ac:dyDescent="0.25">
      <c r="A125" s="559" t="s">
        <v>101</v>
      </c>
      <c r="B125" s="552"/>
      <c r="C125" s="552"/>
      <c r="D125" s="552"/>
      <c r="E125" s="552"/>
      <c r="F125" s="552"/>
      <c r="G125" s="552"/>
      <c r="H125" s="552"/>
      <c r="I125" s="552"/>
      <c r="J125" s="552"/>
      <c r="K125" s="552"/>
      <c r="L125" s="552"/>
      <c r="M125" s="552"/>
      <c r="N125" s="552"/>
      <c r="O125" s="552"/>
      <c r="P125" s="552"/>
      <c r="Q125" s="552"/>
      <c r="R125" s="552"/>
      <c r="S125" s="552"/>
      <c r="T125" s="552"/>
      <c r="U125" s="552"/>
      <c r="V125" s="552"/>
      <c r="W125" s="552"/>
      <c r="X125" s="552"/>
      <c r="Y125" s="552"/>
      <c r="Z125" s="552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60">
        <v>4680115882577</v>
      </c>
      <c r="E126" s="561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5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4"/>
      <c r="R126" s="554"/>
      <c r="S126" s="554"/>
      <c r="T126" s="555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60">
        <v>4680115882577</v>
      </c>
      <c r="E127" s="561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4"/>
      <c r="B128" s="552"/>
      <c r="C128" s="552"/>
      <c r="D128" s="552"/>
      <c r="E128" s="552"/>
      <c r="F128" s="552"/>
      <c r="G128" s="552"/>
      <c r="H128" s="552"/>
      <c r="I128" s="552"/>
      <c r="J128" s="552"/>
      <c r="K128" s="552"/>
      <c r="L128" s="552"/>
      <c r="M128" s="552"/>
      <c r="N128" s="552"/>
      <c r="O128" s="565"/>
      <c r="P128" s="556" t="s">
        <v>75</v>
      </c>
      <c r="Q128" s="557"/>
      <c r="R128" s="557"/>
      <c r="S128" s="557"/>
      <c r="T128" s="557"/>
      <c r="U128" s="557"/>
      <c r="V128" s="558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52"/>
      <c r="B129" s="552"/>
      <c r="C129" s="552"/>
      <c r="D129" s="552"/>
      <c r="E129" s="552"/>
      <c r="F129" s="552"/>
      <c r="G129" s="552"/>
      <c r="H129" s="552"/>
      <c r="I129" s="552"/>
      <c r="J129" s="552"/>
      <c r="K129" s="552"/>
      <c r="L129" s="552"/>
      <c r="M129" s="552"/>
      <c r="N129" s="552"/>
      <c r="O129" s="565"/>
      <c r="P129" s="556" t="s">
        <v>75</v>
      </c>
      <c r="Q129" s="557"/>
      <c r="R129" s="557"/>
      <c r="S129" s="557"/>
      <c r="T129" s="557"/>
      <c r="U129" s="557"/>
      <c r="V129" s="558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59" t="s">
        <v>64</v>
      </c>
      <c r="B130" s="552"/>
      <c r="C130" s="552"/>
      <c r="D130" s="552"/>
      <c r="E130" s="552"/>
      <c r="F130" s="552"/>
      <c r="G130" s="552"/>
      <c r="H130" s="552"/>
      <c r="I130" s="552"/>
      <c r="J130" s="552"/>
      <c r="K130" s="552"/>
      <c r="L130" s="552"/>
      <c r="M130" s="552"/>
      <c r="N130" s="552"/>
      <c r="O130" s="552"/>
      <c r="P130" s="552"/>
      <c r="Q130" s="552"/>
      <c r="R130" s="552"/>
      <c r="S130" s="552"/>
      <c r="T130" s="552"/>
      <c r="U130" s="552"/>
      <c r="V130" s="552"/>
      <c r="W130" s="552"/>
      <c r="X130" s="552"/>
      <c r="Y130" s="552"/>
      <c r="Z130" s="552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60">
        <v>4680115883444</v>
      </c>
      <c r="E131" s="561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60">
        <v>4680115883444</v>
      </c>
      <c r="E132" s="561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4"/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552"/>
      <c r="N133" s="552"/>
      <c r="O133" s="565"/>
      <c r="P133" s="556" t="s">
        <v>75</v>
      </c>
      <c r="Q133" s="557"/>
      <c r="R133" s="557"/>
      <c r="S133" s="557"/>
      <c r="T133" s="557"/>
      <c r="U133" s="557"/>
      <c r="V133" s="558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  <c r="M134" s="552"/>
      <c r="N134" s="552"/>
      <c r="O134" s="565"/>
      <c r="P134" s="556" t="s">
        <v>75</v>
      </c>
      <c r="Q134" s="557"/>
      <c r="R134" s="557"/>
      <c r="S134" s="557"/>
      <c r="T134" s="557"/>
      <c r="U134" s="557"/>
      <c r="V134" s="558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59" t="s">
        <v>77</v>
      </c>
      <c r="B135" s="552"/>
      <c r="C135" s="552"/>
      <c r="D135" s="552"/>
      <c r="E135" s="552"/>
      <c r="F135" s="552"/>
      <c r="G135" s="552"/>
      <c r="H135" s="552"/>
      <c r="I135" s="552"/>
      <c r="J135" s="552"/>
      <c r="K135" s="552"/>
      <c r="L135" s="552"/>
      <c r="M135" s="552"/>
      <c r="N135" s="552"/>
      <c r="O135" s="552"/>
      <c r="P135" s="552"/>
      <c r="Q135" s="552"/>
      <c r="R135" s="552"/>
      <c r="S135" s="552"/>
      <c r="T135" s="552"/>
      <c r="U135" s="552"/>
      <c r="V135" s="552"/>
      <c r="W135" s="552"/>
      <c r="X135" s="552"/>
      <c r="Y135" s="552"/>
      <c r="Z135" s="552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60">
        <v>4680115882584</v>
      </c>
      <c r="E136" s="561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60">
        <v>4680115882584</v>
      </c>
      <c r="E137" s="561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4"/>
      <c r="B138" s="552"/>
      <c r="C138" s="552"/>
      <c r="D138" s="552"/>
      <c r="E138" s="552"/>
      <c r="F138" s="552"/>
      <c r="G138" s="552"/>
      <c r="H138" s="552"/>
      <c r="I138" s="552"/>
      <c r="J138" s="552"/>
      <c r="K138" s="552"/>
      <c r="L138" s="552"/>
      <c r="M138" s="552"/>
      <c r="N138" s="552"/>
      <c r="O138" s="565"/>
      <c r="P138" s="556" t="s">
        <v>75</v>
      </c>
      <c r="Q138" s="557"/>
      <c r="R138" s="557"/>
      <c r="S138" s="557"/>
      <c r="T138" s="557"/>
      <c r="U138" s="557"/>
      <c r="V138" s="558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52"/>
      <c r="B139" s="552"/>
      <c r="C139" s="552"/>
      <c r="D139" s="552"/>
      <c r="E139" s="552"/>
      <c r="F139" s="552"/>
      <c r="G139" s="552"/>
      <c r="H139" s="552"/>
      <c r="I139" s="552"/>
      <c r="J139" s="552"/>
      <c r="K139" s="552"/>
      <c r="L139" s="552"/>
      <c r="M139" s="552"/>
      <c r="N139" s="552"/>
      <c r="O139" s="565"/>
      <c r="P139" s="556" t="s">
        <v>75</v>
      </c>
      <c r="Q139" s="557"/>
      <c r="R139" s="557"/>
      <c r="S139" s="557"/>
      <c r="T139" s="557"/>
      <c r="U139" s="557"/>
      <c r="V139" s="558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51" t="s">
        <v>99</v>
      </c>
      <c r="B140" s="552"/>
      <c r="C140" s="552"/>
      <c r="D140" s="552"/>
      <c r="E140" s="552"/>
      <c r="F140" s="552"/>
      <c r="G140" s="552"/>
      <c r="H140" s="552"/>
      <c r="I140" s="552"/>
      <c r="J140" s="552"/>
      <c r="K140" s="552"/>
      <c r="L140" s="552"/>
      <c r="M140" s="552"/>
      <c r="N140" s="552"/>
      <c r="O140" s="552"/>
      <c r="P140" s="552"/>
      <c r="Q140" s="552"/>
      <c r="R140" s="552"/>
      <c r="S140" s="552"/>
      <c r="T140" s="552"/>
      <c r="U140" s="552"/>
      <c r="V140" s="552"/>
      <c r="W140" s="552"/>
      <c r="X140" s="552"/>
      <c r="Y140" s="552"/>
      <c r="Z140" s="552"/>
      <c r="AA140" s="542"/>
      <c r="AB140" s="542"/>
      <c r="AC140" s="542"/>
    </row>
    <row r="141" spans="1:68" ht="14.25" hidden="1" customHeight="1" x14ac:dyDescent="0.25">
      <c r="A141" s="559" t="s">
        <v>101</v>
      </c>
      <c r="B141" s="552"/>
      <c r="C141" s="552"/>
      <c r="D141" s="552"/>
      <c r="E141" s="552"/>
      <c r="F141" s="552"/>
      <c r="G141" s="552"/>
      <c r="H141" s="552"/>
      <c r="I141" s="552"/>
      <c r="J141" s="552"/>
      <c r="K141" s="552"/>
      <c r="L141" s="552"/>
      <c r="M141" s="552"/>
      <c r="N141" s="552"/>
      <c r="O141" s="552"/>
      <c r="P141" s="552"/>
      <c r="Q141" s="552"/>
      <c r="R141" s="552"/>
      <c r="S141" s="552"/>
      <c r="T141" s="552"/>
      <c r="U141" s="552"/>
      <c r="V141" s="552"/>
      <c r="W141" s="552"/>
      <c r="X141" s="552"/>
      <c r="Y141" s="552"/>
      <c r="Z141" s="552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60">
        <v>4680115887374</v>
      </c>
      <c r="E142" s="561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7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60">
        <v>4607091384604</v>
      </c>
      <c r="E143" s="561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4"/>
      <c r="B144" s="552"/>
      <c r="C144" s="552"/>
      <c r="D144" s="552"/>
      <c r="E144" s="552"/>
      <c r="F144" s="552"/>
      <c r="G144" s="552"/>
      <c r="H144" s="552"/>
      <c r="I144" s="552"/>
      <c r="J144" s="552"/>
      <c r="K144" s="552"/>
      <c r="L144" s="552"/>
      <c r="M144" s="552"/>
      <c r="N144" s="552"/>
      <c r="O144" s="565"/>
      <c r="P144" s="556" t="s">
        <v>75</v>
      </c>
      <c r="Q144" s="557"/>
      <c r="R144" s="557"/>
      <c r="S144" s="557"/>
      <c r="T144" s="557"/>
      <c r="U144" s="557"/>
      <c r="V144" s="558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52"/>
      <c r="B145" s="552"/>
      <c r="C145" s="552"/>
      <c r="D145" s="552"/>
      <c r="E145" s="552"/>
      <c r="F145" s="552"/>
      <c r="G145" s="552"/>
      <c r="H145" s="552"/>
      <c r="I145" s="552"/>
      <c r="J145" s="552"/>
      <c r="K145" s="552"/>
      <c r="L145" s="552"/>
      <c r="M145" s="552"/>
      <c r="N145" s="552"/>
      <c r="O145" s="565"/>
      <c r="P145" s="556" t="s">
        <v>75</v>
      </c>
      <c r="Q145" s="557"/>
      <c r="R145" s="557"/>
      <c r="S145" s="557"/>
      <c r="T145" s="557"/>
      <c r="U145" s="557"/>
      <c r="V145" s="558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59" t="s">
        <v>64</v>
      </c>
      <c r="B146" s="552"/>
      <c r="C146" s="552"/>
      <c r="D146" s="552"/>
      <c r="E146" s="552"/>
      <c r="F146" s="552"/>
      <c r="G146" s="552"/>
      <c r="H146" s="552"/>
      <c r="I146" s="552"/>
      <c r="J146" s="552"/>
      <c r="K146" s="552"/>
      <c r="L146" s="552"/>
      <c r="M146" s="552"/>
      <c r="N146" s="552"/>
      <c r="O146" s="552"/>
      <c r="P146" s="552"/>
      <c r="Q146" s="552"/>
      <c r="R146" s="552"/>
      <c r="S146" s="552"/>
      <c r="T146" s="552"/>
      <c r="U146" s="552"/>
      <c r="V146" s="552"/>
      <c r="W146" s="552"/>
      <c r="X146" s="552"/>
      <c r="Y146" s="552"/>
      <c r="Z146" s="552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60">
        <v>4680115887428</v>
      </c>
      <c r="E147" s="561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84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4"/>
      <c r="R147" s="554"/>
      <c r="S147" s="554"/>
      <c r="T147" s="555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60">
        <v>4607091387636</v>
      </c>
      <c r="E148" s="561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4"/>
      <c r="R148" s="554"/>
      <c r="S148" s="554"/>
      <c r="T148" s="555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60">
        <v>4680115887336</v>
      </c>
      <c r="E149" s="561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58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4"/>
      <c r="R149" s="554"/>
      <c r="S149" s="554"/>
      <c r="T149" s="555"/>
      <c r="U149" s="34"/>
      <c r="V149" s="34"/>
      <c r="W149" s="35" t="s">
        <v>69</v>
      </c>
      <c r="X149" s="547">
        <v>60</v>
      </c>
      <c r="Y149" s="548">
        <f>IFERROR(IF(X149="",0,CEILING((X149/$H149),1)*$H149),"")</f>
        <v>63</v>
      </c>
      <c r="Z149" s="36">
        <f>IFERROR(IF(Y149=0,"",ROUNDUP(Y149/H149,0)*0.00902),"")</f>
        <v>0.1353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62.714285714285708</v>
      </c>
      <c r="BN149" s="64">
        <f>IFERROR(Y149*I149/H149,"0")</f>
        <v>65.849999999999994</v>
      </c>
      <c r="BO149" s="64">
        <f>IFERROR(1/J149*(X149/H149),"0")</f>
        <v>0.10822510822510822</v>
      </c>
      <c r="BP149" s="64">
        <f>IFERROR(1/J149*(Y149/H149),"0")</f>
        <v>0.11363636363636365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60">
        <v>4607091382426</v>
      </c>
      <c r="E150" s="561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8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4"/>
      <c r="R150" s="554"/>
      <c r="S150" s="554"/>
      <c r="T150" s="555"/>
      <c r="U150" s="34"/>
      <c r="V150" s="34"/>
      <c r="W150" s="35" t="s">
        <v>69</v>
      </c>
      <c r="X150" s="547">
        <v>72</v>
      </c>
      <c r="Y150" s="548">
        <f>IFERROR(IF(X150="",0,CEILING((X150/$H150),1)*$H150),"")</f>
        <v>72</v>
      </c>
      <c r="Z150" s="36">
        <f>IFERROR(IF(Y150=0,"",ROUNDUP(Y150/H150,0)*0.01898),"")</f>
        <v>0.15184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76.48</v>
      </c>
      <c r="BN150" s="64">
        <f>IFERROR(Y150*I150/H150,"0")</f>
        <v>76.48</v>
      </c>
      <c r="BO150" s="64">
        <f>IFERROR(1/J150*(X150/H150),"0")</f>
        <v>0.125</v>
      </c>
      <c r="BP150" s="64">
        <f>IFERROR(1/J150*(Y150/H150),"0")</f>
        <v>0.125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60">
        <v>4680115887398</v>
      </c>
      <c r="E151" s="561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6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4"/>
      <c r="R151" s="554"/>
      <c r="S151" s="554"/>
      <c r="T151" s="555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4"/>
      <c r="B152" s="552"/>
      <c r="C152" s="552"/>
      <c r="D152" s="552"/>
      <c r="E152" s="552"/>
      <c r="F152" s="552"/>
      <c r="G152" s="552"/>
      <c r="H152" s="552"/>
      <c r="I152" s="552"/>
      <c r="J152" s="552"/>
      <c r="K152" s="552"/>
      <c r="L152" s="552"/>
      <c r="M152" s="552"/>
      <c r="N152" s="552"/>
      <c r="O152" s="565"/>
      <c r="P152" s="556" t="s">
        <v>75</v>
      </c>
      <c r="Q152" s="557"/>
      <c r="R152" s="557"/>
      <c r="S152" s="557"/>
      <c r="T152" s="557"/>
      <c r="U152" s="557"/>
      <c r="V152" s="558"/>
      <c r="W152" s="37" t="s">
        <v>76</v>
      </c>
      <c r="X152" s="549">
        <f>IFERROR(X147/H147,"0")+IFERROR(X148/H148,"0")+IFERROR(X149/H149,"0")+IFERROR(X150/H150,"0")+IFERROR(X151/H151,"0")</f>
        <v>22.285714285714285</v>
      </c>
      <c r="Y152" s="549">
        <f>IFERROR(Y147/H147,"0")+IFERROR(Y148/H148,"0")+IFERROR(Y149/H149,"0")+IFERROR(Y150/H150,"0")+IFERROR(Y151/H151,"0")</f>
        <v>23</v>
      </c>
      <c r="Z152" s="549">
        <f>IFERROR(IF(Z147="",0,Z147),"0")+IFERROR(IF(Z148="",0,Z148),"0")+IFERROR(IF(Z149="",0,Z149),"0")+IFERROR(IF(Z150="",0,Z150),"0")+IFERROR(IF(Z151="",0,Z151),"0")</f>
        <v>0.28714000000000001</v>
      </c>
      <c r="AA152" s="550"/>
      <c r="AB152" s="550"/>
      <c r="AC152" s="550"/>
    </row>
    <row r="153" spans="1:68" x14ac:dyDescent="0.2">
      <c r="A153" s="552"/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65"/>
      <c r="P153" s="556" t="s">
        <v>75</v>
      </c>
      <c r="Q153" s="557"/>
      <c r="R153" s="557"/>
      <c r="S153" s="557"/>
      <c r="T153" s="557"/>
      <c r="U153" s="557"/>
      <c r="V153" s="558"/>
      <c r="W153" s="37" t="s">
        <v>69</v>
      </c>
      <c r="X153" s="549">
        <f>IFERROR(SUM(X147:X151),"0")</f>
        <v>132</v>
      </c>
      <c r="Y153" s="549">
        <f>IFERROR(SUM(Y147:Y151),"0")</f>
        <v>135</v>
      </c>
      <c r="Z153" s="37"/>
      <c r="AA153" s="550"/>
      <c r="AB153" s="550"/>
      <c r="AC153" s="550"/>
    </row>
    <row r="154" spans="1:68" ht="14.25" hidden="1" customHeight="1" x14ac:dyDescent="0.25">
      <c r="A154" s="559" t="s">
        <v>77</v>
      </c>
      <c r="B154" s="552"/>
      <c r="C154" s="552"/>
      <c r="D154" s="552"/>
      <c r="E154" s="552"/>
      <c r="F154" s="552"/>
      <c r="G154" s="552"/>
      <c r="H154" s="552"/>
      <c r="I154" s="552"/>
      <c r="J154" s="552"/>
      <c r="K154" s="552"/>
      <c r="L154" s="552"/>
      <c r="M154" s="552"/>
      <c r="N154" s="552"/>
      <c r="O154" s="552"/>
      <c r="P154" s="552"/>
      <c r="Q154" s="552"/>
      <c r="R154" s="552"/>
      <c r="S154" s="552"/>
      <c r="T154" s="552"/>
      <c r="U154" s="552"/>
      <c r="V154" s="552"/>
      <c r="W154" s="552"/>
      <c r="X154" s="552"/>
      <c r="Y154" s="552"/>
      <c r="Z154" s="552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60">
        <v>4680115887459</v>
      </c>
      <c r="E155" s="561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4"/>
      <c r="R155" s="554"/>
      <c r="S155" s="554"/>
      <c r="T155" s="555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4"/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65"/>
      <c r="P156" s="556" t="s">
        <v>75</v>
      </c>
      <c r="Q156" s="557"/>
      <c r="R156" s="557"/>
      <c r="S156" s="557"/>
      <c r="T156" s="557"/>
      <c r="U156" s="557"/>
      <c r="V156" s="558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2"/>
      <c r="B157" s="552"/>
      <c r="C157" s="552"/>
      <c r="D157" s="552"/>
      <c r="E157" s="552"/>
      <c r="F157" s="552"/>
      <c r="G157" s="552"/>
      <c r="H157" s="552"/>
      <c r="I157" s="552"/>
      <c r="J157" s="552"/>
      <c r="K157" s="552"/>
      <c r="L157" s="552"/>
      <c r="M157" s="552"/>
      <c r="N157" s="552"/>
      <c r="O157" s="565"/>
      <c r="P157" s="556" t="s">
        <v>75</v>
      </c>
      <c r="Q157" s="557"/>
      <c r="R157" s="557"/>
      <c r="S157" s="557"/>
      <c r="T157" s="557"/>
      <c r="U157" s="557"/>
      <c r="V157" s="558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605" t="s">
        <v>263</v>
      </c>
      <c r="B158" s="606"/>
      <c r="C158" s="606"/>
      <c r="D158" s="606"/>
      <c r="E158" s="606"/>
      <c r="F158" s="606"/>
      <c r="G158" s="606"/>
      <c r="H158" s="606"/>
      <c r="I158" s="606"/>
      <c r="J158" s="606"/>
      <c r="K158" s="606"/>
      <c r="L158" s="606"/>
      <c r="M158" s="606"/>
      <c r="N158" s="606"/>
      <c r="O158" s="606"/>
      <c r="P158" s="606"/>
      <c r="Q158" s="606"/>
      <c r="R158" s="606"/>
      <c r="S158" s="606"/>
      <c r="T158" s="606"/>
      <c r="U158" s="606"/>
      <c r="V158" s="606"/>
      <c r="W158" s="606"/>
      <c r="X158" s="606"/>
      <c r="Y158" s="606"/>
      <c r="Z158" s="606"/>
      <c r="AA158" s="48"/>
      <c r="AB158" s="48"/>
      <c r="AC158" s="48"/>
    </row>
    <row r="159" spans="1:68" ht="16.5" hidden="1" customHeight="1" x14ac:dyDescent="0.25">
      <c r="A159" s="551" t="s">
        <v>264</v>
      </c>
      <c r="B159" s="552"/>
      <c r="C159" s="552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P159" s="552"/>
      <c r="Q159" s="552"/>
      <c r="R159" s="552"/>
      <c r="S159" s="552"/>
      <c r="T159" s="552"/>
      <c r="U159" s="552"/>
      <c r="V159" s="552"/>
      <c r="W159" s="552"/>
      <c r="X159" s="552"/>
      <c r="Y159" s="552"/>
      <c r="Z159" s="552"/>
      <c r="AA159" s="542"/>
      <c r="AB159" s="542"/>
      <c r="AC159" s="542"/>
    </row>
    <row r="160" spans="1:68" ht="14.25" hidden="1" customHeight="1" x14ac:dyDescent="0.25">
      <c r="A160" s="559" t="s">
        <v>136</v>
      </c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60">
        <v>4680115886223</v>
      </c>
      <c r="E161" s="561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5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4"/>
      <c r="R161" s="554"/>
      <c r="S161" s="554"/>
      <c r="T161" s="555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4"/>
      <c r="B162" s="552"/>
      <c r="C162" s="552"/>
      <c r="D162" s="552"/>
      <c r="E162" s="552"/>
      <c r="F162" s="552"/>
      <c r="G162" s="552"/>
      <c r="H162" s="552"/>
      <c r="I162" s="552"/>
      <c r="J162" s="552"/>
      <c r="K162" s="552"/>
      <c r="L162" s="552"/>
      <c r="M162" s="552"/>
      <c r="N162" s="552"/>
      <c r="O162" s="565"/>
      <c r="P162" s="556" t="s">
        <v>75</v>
      </c>
      <c r="Q162" s="557"/>
      <c r="R162" s="557"/>
      <c r="S162" s="557"/>
      <c r="T162" s="557"/>
      <c r="U162" s="557"/>
      <c r="V162" s="558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2"/>
      <c r="B163" s="552"/>
      <c r="C163" s="552"/>
      <c r="D163" s="552"/>
      <c r="E163" s="552"/>
      <c r="F163" s="552"/>
      <c r="G163" s="552"/>
      <c r="H163" s="552"/>
      <c r="I163" s="552"/>
      <c r="J163" s="552"/>
      <c r="K163" s="552"/>
      <c r="L163" s="552"/>
      <c r="M163" s="552"/>
      <c r="N163" s="552"/>
      <c r="O163" s="565"/>
      <c r="P163" s="556" t="s">
        <v>75</v>
      </c>
      <c r="Q163" s="557"/>
      <c r="R163" s="557"/>
      <c r="S163" s="557"/>
      <c r="T163" s="557"/>
      <c r="U163" s="557"/>
      <c r="V163" s="558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9" t="s">
        <v>64</v>
      </c>
      <c r="B164" s="552"/>
      <c r="C164" s="552"/>
      <c r="D164" s="552"/>
      <c r="E164" s="552"/>
      <c r="F164" s="552"/>
      <c r="G164" s="552"/>
      <c r="H164" s="552"/>
      <c r="I164" s="552"/>
      <c r="J164" s="552"/>
      <c r="K164" s="552"/>
      <c r="L164" s="552"/>
      <c r="M164" s="552"/>
      <c r="N164" s="552"/>
      <c r="O164" s="552"/>
      <c r="P164" s="552"/>
      <c r="Q164" s="552"/>
      <c r="R164" s="552"/>
      <c r="S164" s="552"/>
      <c r="T164" s="552"/>
      <c r="U164" s="552"/>
      <c r="V164" s="552"/>
      <c r="W164" s="552"/>
      <c r="X164" s="552"/>
      <c r="Y164" s="552"/>
      <c r="Z164" s="552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60">
        <v>4680115880993</v>
      </c>
      <c r="E165" s="561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85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4"/>
      <c r="R165" s="554"/>
      <c r="S165" s="554"/>
      <c r="T165" s="555"/>
      <c r="U165" s="34"/>
      <c r="V165" s="34"/>
      <c r="W165" s="35" t="s">
        <v>69</v>
      </c>
      <c r="X165" s="547">
        <v>50.4</v>
      </c>
      <c r="Y165" s="548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53.4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9.0909090909090912E-2</v>
      </c>
      <c r="BP165" s="64">
        <f t="shared" ref="BP165:BP178" si="9">IFERROR(1/J165*(Y165/H165),"0")</f>
        <v>9.0909090909090912E-2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60">
        <v>4680115881761</v>
      </c>
      <c r="E166" s="561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4"/>
      <c r="R166" s="554"/>
      <c r="S166" s="554"/>
      <c r="T166" s="555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60">
        <v>4680115881563</v>
      </c>
      <c r="E167" s="561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7">
        <v>50.4</v>
      </c>
      <c r="Y167" s="548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52.679999999999993</v>
      </c>
      <c r="BN167" s="64">
        <f t="shared" si="7"/>
        <v>52.68</v>
      </c>
      <c r="BO167" s="64">
        <f t="shared" si="8"/>
        <v>9.0909090909090912E-2</v>
      </c>
      <c r="BP167" s="64">
        <f t="shared" si="9"/>
        <v>9.0909090909090912E-2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60">
        <v>4680115887565</v>
      </c>
      <c r="E168" s="561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4"/>
      <c r="R168" s="554"/>
      <c r="S168" s="554"/>
      <c r="T168" s="555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60">
        <v>4680115880986</v>
      </c>
      <c r="E169" s="561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4"/>
      <c r="R169" s="554"/>
      <c r="S169" s="554"/>
      <c r="T169" s="555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60">
        <v>4680115887213</v>
      </c>
      <c r="E170" s="561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60">
        <v>4680115881785</v>
      </c>
      <c r="E171" s="561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4"/>
      <c r="R171" s="554"/>
      <c r="S171" s="554"/>
      <c r="T171" s="555"/>
      <c r="U171" s="34"/>
      <c r="V171" s="34"/>
      <c r="W171" s="35" t="s">
        <v>69</v>
      </c>
      <c r="X171" s="547">
        <v>75.599999999999994</v>
      </c>
      <c r="Y171" s="548">
        <f t="shared" si="5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80.279999999999987</v>
      </c>
      <c r="BN171" s="64">
        <f t="shared" si="7"/>
        <v>80.28</v>
      </c>
      <c r="BO171" s="64">
        <f t="shared" si="8"/>
        <v>0.15384615384615383</v>
      </c>
      <c r="BP171" s="64">
        <f t="shared" si="9"/>
        <v>0.15384615384615385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60">
        <v>4680115887824</v>
      </c>
      <c r="E172" s="561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0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60">
        <v>4680115887701</v>
      </c>
      <c r="E173" s="561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60">
        <v>4680115886537</v>
      </c>
      <c r="E174" s="561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60">
        <v>4680115887596</v>
      </c>
      <c r="E175" s="561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67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60">
        <v>4680115881679</v>
      </c>
      <c r="E176" s="561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6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60">
        <v>4680115880191</v>
      </c>
      <c r="E177" s="561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60">
        <v>4680115883963</v>
      </c>
      <c r="E178" s="561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4"/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  <c r="N179" s="552"/>
      <c r="O179" s="565"/>
      <c r="P179" s="556" t="s">
        <v>75</v>
      </c>
      <c r="Q179" s="557"/>
      <c r="R179" s="557"/>
      <c r="S179" s="557"/>
      <c r="T179" s="557"/>
      <c r="U179" s="557"/>
      <c r="V179" s="558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59.999999999999993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0.3972</v>
      </c>
      <c r="AA179" s="550"/>
      <c r="AB179" s="550"/>
      <c r="AC179" s="550"/>
    </row>
    <row r="180" spans="1:68" x14ac:dyDescent="0.2">
      <c r="A180" s="552"/>
      <c r="B180" s="552"/>
      <c r="C180" s="552"/>
      <c r="D180" s="552"/>
      <c r="E180" s="552"/>
      <c r="F180" s="552"/>
      <c r="G180" s="552"/>
      <c r="H180" s="552"/>
      <c r="I180" s="552"/>
      <c r="J180" s="552"/>
      <c r="K180" s="552"/>
      <c r="L180" s="552"/>
      <c r="M180" s="552"/>
      <c r="N180" s="552"/>
      <c r="O180" s="565"/>
      <c r="P180" s="556" t="s">
        <v>75</v>
      </c>
      <c r="Q180" s="557"/>
      <c r="R180" s="557"/>
      <c r="S180" s="557"/>
      <c r="T180" s="557"/>
      <c r="U180" s="557"/>
      <c r="V180" s="558"/>
      <c r="W180" s="37" t="s">
        <v>69</v>
      </c>
      <c r="X180" s="549">
        <f>IFERROR(SUM(X165:X178),"0")</f>
        <v>176.39999999999998</v>
      </c>
      <c r="Y180" s="549">
        <f>IFERROR(SUM(Y165:Y178),"0")</f>
        <v>176.40000000000003</v>
      </c>
      <c r="Z180" s="37"/>
      <c r="AA180" s="550"/>
      <c r="AB180" s="550"/>
      <c r="AC180" s="550"/>
    </row>
    <row r="181" spans="1:68" ht="14.25" hidden="1" customHeight="1" x14ac:dyDescent="0.25">
      <c r="A181" s="559" t="s">
        <v>93</v>
      </c>
      <c r="B181" s="552"/>
      <c r="C181" s="552"/>
      <c r="D181" s="552"/>
      <c r="E181" s="552"/>
      <c r="F181" s="552"/>
      <c r="G181" s="552"/>
      <c r="H181" s="552"/>
      <c r="I181" s="552"/>
      <c r="J181" s="552"/>
      <c r="K181" s="552"/>
      <c r="L181" s="552"/>
      <c r="M181" s="552"/>
      <c r="N181" s="552"/>
      <c r="O181" s="552"/>
      <c r="P181" s="552"/>
      <c r="Q181" s="552"/>
      <c r="R181" s="552"/>
      <c r="S181" s="552"/>
      <c r="T181" s="552"/>
      <c r="U181" s="552"/>
      <c r="V181" s="552"/>
      <c r="W181" s="552"/>
      <c r="X181" s="552"/>
      <c r="Y181" s="552"/>
      <c r="Z181" s="552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60">
        <v>4680115886780</v>
      </c>
      <c r="E182" s="561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60">
        <v>4680115886742</v>
      </c>
      <c r="E183" s="561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6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60">
        <v>4680115886766</v>
      </c>
      <c r="E184" s="561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2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552"/>
      <c r="N185" s="552"/>
      <c r="O185" s="565"/>
      <c r="P185" s="556" t="s">
        <v>75</v>
      </c>
      <c r="Q185" s="557"/>
      <c r="R185" s="557"/>
      <c r="S185" s="557"/>
      <c r="T185" s="557"/>
      <c r="U185" s="557"/>
      <c r="V185" s="558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2"/>
      <c r="B186" s="552"/>
      <c r="C186" s="552"/>
      <c r="D186" s="552"/>
      <c r="E186" s="552"/>
      <c r="F186" s="552"/>
      <c r="G186" s="552"/>
      <c r="H186" s="552"/>
      <c r="I186" s="552"/>
      <c r="J186" s="552"/>
      <c r="K186" s="552"/>
      <c r="L186" s="552"/>
      <c r="M186" s="552"/>
      <c r="N186" s="552"/>
      <c r="O186" s="565"/>
      <c r="P186" s="556" t="s">
        <v>75</v>
      </c>
      <c r="Q186" s="557"/>
      <c r="R186" s="557"/>
      <c r="S186" s="557"/>
      <c r="T186" s="557"/>
      <c r="U186" s="557"/>
      <c r="V186" s="558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59" t="s">
        <v>316</v>
      </c>
      <c r="B187" s="552"/>
      <c r="C187" s="552"/>
      <c r="D187" s="552"/>
      <c r="E187" s="552"/>
      <c r="F187" s="552"/>
      <c r="G187" s="552"/>
      <c r="H187" s="552"/>
      <c r="I187" s="552"/>
      <c r="J187" s="552"/>
      <c r="K187" s="552"/>
      <c r="L187" s="552"/>
      <c r="M187" s="552"/>
      <c r="N187" s="552"/>
      <c r="O187" s="552"/>
      <c r="P187" s="552"/>
      <c r="Q187" s="552"/>
      <c r="R187" s="552"/>
      <c r="S187" s="552"/>
      <c r="T187" s="552"/>
      <c r="U187" s="552"/>
      <c r="V187" s="552"/>
      <c r="W187" s="552"/>
      <c r="X187" s="552"/>
      <c r="Y187" s="552"/>
      <c r="Z187" s="552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60">
        <v>4680115886797</v>
      </c>
      <c r="E188" s="561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  <c r="N189" s="552"/>
      <c r="O189" s="565"/>
      <c r="P189" s="556" t="s">
        <v>75</v>
      </c>
      <c r="Q189" s="557"/>
      <c r="R189" s="557"/>
      <c r="S189" s="557"/>
      <c r="T189" s="557"/>
      <c r="U189" s="557"/>
      <c r="V189" s="558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2"/>
      <c r="B190" s="552"/>
      <c r="C190" s="552"/>
      <c r="D190" s="552"/>
      <c r="E190" s="552"/>
      <c r="F190" s="552"/>
      <c r="G190" s="552"/>
      <c r="H190" s="552"/>
      <c r="I190" s="552"/>
      <c r="J190" s="552"/>
      <c r="K190" s="552"/>
      <c r="L190" s="552"/>
      <c r="M190" s="552"/>
      <c r="N190" s="552"/>
      <c r="O190" s="565"/>
      <c r="P190" s="556" t="s">
        <v>75</v>
      </c>
      <c r="Q190" s="557"/>
      <c r="R190" s="557"/>
      <c r="S190" s="557"/>
      <c r="T190" s="557"/>
      <c r="U190" s="557"/>
      <c r="V190" s="558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1" t="s">
        <v>319</v>
      </c>
      <c r="B191" s="552"/>
      <c r="C191" s="552"/>
      <c r="D191" s="552"/>
      <c r="E191" s="552"/>
      <c r="F191" s="552"/>
      <c r="G191" s="552"/>
      <c r="H191" s="552"/>
      <c r="I191" s="552"/>
      <c r="J191" s="552"/>
      <c r="K191" s="552"/>
      <c r="L191" s="552"/>
      <c r="M191" s="552"/>
      <c r="N191" s="552"/>
      <c r="O191" s="552"/>
      <c r="P191" s="552"/>
      <c r="Q191" s="552"/>
      <c r="R191" s="552"/>
      <c r="S191" s="552"/>
      <c r="T191" s="552"/>
      <c r="U191" s="552"/>
      <c r="V191" s="552"/>
      <c r="W191" s="552"/>
      <c r="X191" s="552"/>
      <c r="Y191" s="552"/>
      <c r="Z191" s="552"/>
      <c r="AA191" s="542"/>
      <c r="AB191" s="542"/>
      <c r="AC191" s="542"/>
    </row>
    <row r="192" spans="1:68" ht="14.25" hidden="1" customHeight="1" x14ac:dyDescent="0.25">
      <c r="A192" s="559" t="s">
        <v>101</v>
      </c>
      <c r="B192" s="552"/>
      <c r="C192" s="552"/>
      <c r="D192" s="552"/>
      <c r="E192" s="552"/>
      <c r="F192" s="552"/>
      <c r="G192" s="552"/>
      <c r="H192" s="552"/>
      <c r="I192" s="552"/>
      <c r="J192" s="552"/>
      <c r="K192" s="552"/>
      <c r="L192" s="552"/>
      <c r="M192" s="552"/>
      <c r="N192" s="552"/>
      <c r="O192" s="552"/>
      <c r="P192" s="552"/>
      <c r="Q192" s="552"/>
      <c r="R192" s="552"/>
      <c r="S192" s="552"/>
      <c r="T192" s="552"/>
      <c r="U192" s="552"/>
      <c r="V192" s="552"/>
      <c r="W192" s="552"/>
      <c r="X192" s="552"/>
      <c r="Y192" s="552"/>
      <c r="Z192" s="552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60">
        <v>4680115881402</v>
      </c>
      <c r="E193" s="561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60">
        <v>4680115881396</v>
      </c>
      <c r="E194" s="561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7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2"/>
      <c r="C195" s="552"/>
      <c r="D195" s="552"/>
      <c r="E195" s="552"/>
      <c r="F195" s="552"/>
      <c r="G195" s="552"/>
      <c r="H195" s="552"/>
      <c r="I195" s="552"/>
      <c r="J195" s="552"/>
      <c r="K195" s="552"/>
      <c r="L195" s="552"/>
      <c r="M195" s="552"/>
      <c r="N195" s="552"/>
      <c r="O195" s="565"/>
      <c r="P195" s="556" t="s">
        <v>75</v>
      </c>
      <c r="Q195" s="557"/>
      <c r="R195" s="557"/>
      <c r="S195" s="557"/>
      <c r="T195" s="557"/>
      <c r="U195" s="557"/>
      <c r="V195" s="558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2"/>
      <c r="B196" s="552"/>
      <c r="C196" s="552"/>
      <c r="D196" s="552"/>
      <c r="E196" s="552"/>
      <c r="F196" s="552"/>
      <c r="G196" s="552"/>
      <c r="H196" s="552"/>
      <c r="I196" s="552"/>
      <c r="J196" s="552"/>
      <c r="K196" s="552"/>
      <c r="L196" s="552"/>
      <c r="M196" s="552"/>
      <c r="N196" s="552"/>
      <c r="O196" s="565"/>
      <c r="P196" s="556" t="s">
        <v>75</v>
      </c>
      <c r="Q196" s="557"/>
      <c r="R196" s="557"/>
      <c r="S196" s="557"/>
      <c r="T196" s="557"/>
      <c r="U196" s="557"/>
      <c r="V196" s="558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59" t="s">
        <v>136</v>
      </c>
      <c r="B197" s="552"/>
      <c r="C197" s="552"/>
      <c r="D197" s="552"/>
      <c r="E197" s="552"/>
      <c r="F197" s="552"/>
      <c r="G197" s="552"/>
      <c r="H197" s="552"/>
      <c r="I197" s="552"/>
      <c r="J197" s="552"/>
      <c r="K197" s="552"/>
      <c r="L197" s="552"/>
      <c r="M197" s="552"/>
      <c r="N197" s="552"/>
      <c r="O197" s="552"/>
      <c r="P197" s="552"/>
      <c r="Q197" s="552"/>
      <c r="R197" s="552"/>
      <c r="S197" s="552"/>
      <c r="T197" s="552"/>
      <c r="U197" s="552"/>
      <c r="V197" s="552"/>
      <c r="W197" s="552"/>
      <c r="X197" s="552"/>
      <c r="Y197" s="552"/>
      <c r="Z197" s="552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60">
        <v>4680115882935</v>
      </c>
      <c r="E198" s="561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60">
        <v>4680115880764</v>
      </c>
      <c r="E199" s="561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5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2"/>
      <c r="C200" s="552"/>
      <c r="D200" s="552"/>
      <c r="E200" s="552"/>
      <c r="F200" s="552"/>
      <c r="G200" s="552"/>
      <c r="H200" s="552"/>
      <c r="I200" s="552"/>
      <c r="J200" s="552"/>
      <c r="K200" s="552"/>
      <c r="L200" s="552"/>
      <c r="M200" s="552"/>
      <c r="N200" s="552"/>
      <c r="O200" s="565"/>
      <c r="P200" s="556" t="s">
        <v>75</v>
      </c>
      <c r="Q200" s="557"/>
      <c r="R200" s="557"/>
      <c r="S200" s="557"/>
      <c r="T200" s="557"/>
      <c r="U200" s="557"/>
      <c r="V200" s="558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2"/>
      <c r="B201" s="552"/>
      <c r="C201" s="552"/>
      <c r="D201" s="552"/>
      <c r="E201" s="552"/>
      <c r="F201" s="552"/>
      <c r="G201" s="552"/>
      <c r="H201" s="552"/>
      <c r="I201" s="552"/>
      <c r="J201" s="552"/>
      <c r="K201" s="552"/>
      <c r="L201" s="552"/>
      <c r="M201" s="552"/>
      <c r="N201" s="552"/>
      <c r="O201" s="565"/>
      <c r="P201" s="556" t="s">
        <v>75</v>
      </c>
      <c r="Q201" s="557"/>
      <c r="R201" s="557"/>
      <c r="S201" s="557"/>
      <c r="T201" s="557"/>
      <c r="U201" s="557"/>
      <c r="V201" s="558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59" t="s">
        <v>64</v>
      </c>
      <c r="B202" s="552"/>
      <c r="C202" s="552"/>
      <c r="D202" s="552"/>
      <c r="E202" s="552"/>
      <c r="F202" s="552"/>
      <c r="G202" s="552"/>
      <c r="H202" s="552"/>
      <c r="I202" s="552"/>
      <c r="J202" s="552"/>
      <c r="K202" s="552"/>
      <c r="L202" s="552"/>
      <c r="M202" s="552"/>
      <c r="N202" s="552"/>
      <c r="O202" s="552"/>
      <c r="P202" s="552"/>
      <c r="Q202" s="552"/>
      <c r="R202" s="552"/>
      <c r="S202" s="552"/>
      <c r="T202" s="552"/>
      <c r="U202" s="552"/>
      <c r="V202" s="552"/>
      <c r="W202" s="552"/>
      <c r="X202" s="552"/>
      <c r="Y202" s="552"/>
      <c r="Z202" s="552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60">
        <v>4680115882683</v>
      </c>
      <c r="E203" s="561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7">
        <v>129.6</v>
      </c>
      <c r="Y203" s="548">
        <f t="shared" ref="Y203:Y210" si="10">IFERROR(IF(X203="",0,CEILING((X203/$H203),1)*$H203),"")</f>
        <v>129.60000000000002</v>
      </c>
      <c r="Z203" s="36">
        <f>IFERROR(IF(Y203=0,"",ROUNDUP(Y203/H203,0)*0.00902),"")</f>
        <v>0.21648000000000001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134.15999999999997</v>
      </c>
      <c r="BN203" s="64">
        <f t="shared" ref="BN203:BN210" si="12">IFERROR(Y203*I203/H203,"0")</f>
        <v>134.16</v>
      </c>
      <c r="BO203" s="64">
        <f t="shared" ref="BO203:BO210" si="13">IFERROR(1/J203*(X203/H203),"0")</f>
        <v>0.1818181818181818</v>
      </c>
      <c r="BP203" s="64">
        <f t="shared" ref="BP203:BP210" si="14">IFERROR(1/J203*(Y203/H203),"0")</f>
        <v>0.18181818181818185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60">
        <v>4680115882690</v>
      </c>
      <c r="E204" s="561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7">
        <v>129.6</v>
      </c>
      <c r="Y204" s="548">
        <f t="shared" si="10"/>
        <v>129.60000000000002</v>
      </c>
      <c r="Z204" s="36">
        <f>IFERROR(IF(Y204=0,"",ROUNDUP(Y204/H204,0)*0.00902),"")</f>
        <v>0.21648000000000001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134.15999999999997</v>
      </c>
      <c r="BN204" s="64">
        <f t="shared" si="12"/>
        <v>134.16</v>
      </c>
      <c r="BO204" s="64">
        <f t="shared" si="13"/>
        <v>0.1818181818181818</v>
      </c>
      <c r="BP204" s="64">
        <f t="shared" si="14"/>
        <v>0.18181818181818185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60">
        <v>4680115882669</v>
      </c>
      <c r="E205" s="561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7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7">
        <v>259.2</v>
      </c>
      <c r="Y205" s="548">
        <f t="shared" si="10"/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268.31999999999994</v>
      </c>
      <c r="BN205" s="64">
        <f t="shared" si="12"/>
        <v>268.32</v>
      </c>
      <c r="BO205" s="64">
        <f t="shared" si="13"/>
        <v>0.36363636363636359</v>
      </c>
      <c r="BP205" s="64">
        <f t="shared" si="14"/>
        <v>0.3636363636363637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60">
        <v>4680115882676</v>
      </c>
      <c r="E206" s="561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7">
        <v>129.6</v>
      </c>
      <c r="Y206" s="548">
        <f t="shared" si="10"/>
        <v>129.60000000000002</v>
      </c>
      <c r="Z206" s="36">
        <f>IFERROR(IF(Y206=0,"",ROUNDUP(Y206/H206,0)*0.00902),"")</f>
        <v>0.21648000000000001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134.15999999999997</v>
      </c>
      <c r="BN206" s="64">
        <f t="shared" si="12"/>
        <v>134.16</v>
      </c>
      <c r="BO206" s="64">
        <f t="shared" si="13"/>
        <v>0.1818181818181818</v>
      </c>
      <c r="BP206" s="64">
        <f t="shared" si="14"/>
        <v>0.18181818181818185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60">
        <v>4680115884014</v>
      </c>
      <c r="E207" s="561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60">
        <v>4680115884007</v>
      </c>
      <c r="E208" s="561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60">
        <v>4680115884038</v>
      </c>
      <c r="E209" s="561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3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60">
        <v>4680115884021</v>
      </c>
      <c r="E210" s="561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5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4"/>
      <c r="B211" s="552"/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  <c r="N211" s="552"/>
      <c r="O211" s="565"/>
      <c r="P211" s="556" t="s">
        <v>75</v>
      </c>
      <c r="Q211" s="557"/>
      <c r="R211" s="557"/>
      <c r="S211" s="557"/>
      <c r="T211" s="557"/>
      <c r="U211" s="557"/>
      <c r="V211" s="558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119.99999999999999</v>
      </c>
      <c r="Y211" s="549">
        <f>IFERROR(Y203/H203,"0")+IFERROR(Y204/H204,"0")+IFERROR(Y205/H205,"0")+IFERROR(Y206/H206,"0")+IFERROR(Y207/H207,"0")+IFERROR(Y208/H208,"0")+IFERROR(Y209/H209,"0")+IFERROR(Y210/H210,"0")</f>
        <v>120.00000000000001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1.0824</v>
      </c>
      <c r="AA211" s="550"/>
      <c r="AB211" s="550"/>
      <c r="AC211" s="550"/>
    </row>
    <row r="212" spans="1:68" x14ac:dyDescent="0.2">
      <c r="A212" s="552"/>
      <c r="B212" s="552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65"/>
      <c r="P212" s="556" t="s">
        <v>75</v>
      </c>
      <c r="Q212" s="557"/>
      <c r="R212" s="557"/>
      <c r="S212" s="557"/>
      <c r="T212" s="557"/>
      <c r="U212" s="557"/>
      <c r="V212" s="558"/>
      <c r="W212" s="37" t="s">
        <v>69</v>
      </c>
      <c r="X212" s="549">
        <f>IFERROR(SUM(X203:X210),"0")</f>
        <v>648</v>
      </c>
      <c r="Y212" s="549">
        <f>IFERROR(SUM(Y203:Y210),"0")</f>
        <v>648.00000000000011</v>
      </c>
      <c r="Z212" s="37"/>
      <c r="AA212" s="550"/>
      <c r="AB212" s="550"/>
      <c r="AC212" s="550"/>
    </row>
    <row r="213" spans="1:68" ht="14.25" hidden="1" customHeight="1" x14ac:dyDescent="0.25">
      <c r="A213" s="559" t="s">
        <v>77</v>
      </c>
      <c r="B213" s="552"/>
      <c r="C213" s="552"/>
      <c r="D213" s="552"/>
      <c r="E213" s="552"/>
      <c r="F213" s="552"/>
      <c r="G213" s="552"/>
      <c r="H213" s="552"/>
      <c r="I213" s="552"/>
      <c r="J213" s="552"/>
      <c r="K213" s="552"/>
      <c r="L213" s="552"/>
      <c r="M213" s="552"/>
      <c r="N213" s="552"/>
      <c r="O213" s="552"/>
      <c r="P213" s="552"/>
      <c r="Q213" s="552"/>
      <c r="R213" s="552"/>
      <c r="S213" s="552"/>
      <c r="T213" s="552"/>
      <c r="U213" s="552"/>
      <c r="V213" s="552"/>
      <c r="W213" s="552"/>
      <c r="X213" s="552"/>
      <c r="Y213" s="552"/>
      <c r="Z213" s="552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0">
        <v>4680115881594</v>
      </c>
      <c r="E214" s="561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6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7">
        <v>150</v>
      </c>
      <c r="Y214" s="548">
        <f t="shared" ref="Y214:Y222" si="15">IFERROR(IF(X214="",0,CEILING((X214/$H214),1)*$H214),"")</f>
        <v>153.9</v>
      </c>
      <c r="Z214" s="36">
        <f>IFERROR(IF(Y214=0,"",ROUNDUP(Y214/H214,0)*0.01898),"")</f>
        <v>0.36062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159.14814814814815</v>
      </c>
      <c r="BN214" s="64">
        <f t="shared" ref="BN214:BN222" si="17">IFERROR(Y214*I214/H214,"0")</f>
        <v>163.286</v>
      </c>
      <c r="BO214" s="64">
        <f t="shared" ref="BO214:BO222" si="18">IFERROR(1/J214*(X214/H214),"0")</f>
        <v>0.28935185185185186</v>
      </c>
      <c r="BP214" s="64">
        <f t="shared" ref="BP214:BP222" si="19">IFERROR(1/J214*(Y214/H214),"0")</f>
        <v>0.296875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60">
        <v>4680115881617</v>
      </c>
      <c r="E215" s="561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7">
        <v>100</v>
      </c>
      <c r="Y215" s="548">
        <f t="shared" si="15"/>
        <v>105.3</v>
      </c>
      <c r="Z215" s="36">
        <f>IFERROR(IF(Y215=0,"",ROUNDUP(Y215/H215,0)*0.01898),"")</f>
        <v>0.24674000000000001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105.87654320987654</v>
      </c>
      <c r="BN215" s="64">
        <f t="shared" si="17"/>
        <v>111.48800000000001</v>
      </c>
      <c r="BO215" s="64">
        <f t="shared" si="18"/>
        <v>0.19290123456790123</v>
      </c>
      <c r="BP215" s="64">
        <f t="shared" si="19"/>
        <v>0.203125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0">
        <v>4680115880573</v>
      </c>
      <c r="E216" s="561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7">
        <v>139.19999999999999</v>
      </c>
      <c r="Y216" s="548">
        <f t="shared" si="15"/>
        <v>139.19999999999999</v>
      </c>
      <c r="Z216" s="36">
        <f>IFERROR(IF(Y216=0,"",ROUNDUP(Y216/H216,0)*0.01898),"")</f>
        <v>0.30368000000000001</v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147.10400000000001</v>
      </c>
      <c r="BN216" s="64">
        <f t="shared" si="17"/>
        <v>147.10400000000001</v>
      </c>
      <c r="BO216" s="64">
        <f t="shared" si="18"/>
        <v>0.25</v>
      </c>
      <c r="BP216" s="64">
        <f t="shared" si="19"/>
        <v>0.25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0">
        <v>4680115882195</v>
      </c>
      <c r="E217" s="561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5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7">
        <v>100.8</v>
      </c>
      <c r="Y217" s="548">
        <f t="shared" si="15"/>
        <v>100.8</v>
      </c>
      <c r="Z217" s="36">
        <f t="shared" ref="Z217:Z222" si="20">IFERROR(IF(Y217=0,"",ROUNDUP(Y217/H217,0)*0.00651),"")</f>
        <v>0.27342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112.13999999999999</v>
      </c>
      <c r="BN217" s="64">
        <f t="shared" si="17"/>
        <v>112.13999999999999</v>
      </c>
      <c r="BO217" s="64">
        <f t="shared" si="18"/>
        <v>0.23076923076923078</v>
      </c>
      <c r="BP217" s="64">
        <f t="shared" si="19"/>
        <v>0.23076923076923078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60">
        <v>4680115882607</v>
      </c>
      <c r="E218" s="561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0">
        <v>4680115880092</v>
      </c>
      <c r="E219" s="561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7">
        <v>564</v>
      </c>
      <c r="Y219" s="548">
        <f t="shared" si="15"/>
        <v>564</v>
      </c>
      <c r="Z219" s="36">
        <f t="shared" si="20"/>
        <v>1.5298499999999999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623.22</v>
      </c>
      <c r="BN219" s="64">
        <f t="shared" si="17"/>
        <v>623.22</v>
      </c>
      <c r="BO219" s="64">
        <f t="shared" si="18"/>
        <v>1.2912087912087913</v>
      </c>
      <c r="BP219" s="64">
        <f t="shared" si="19"/>
        <v>1.2912087912087913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0">
        <v>4680115880221</v>
      </c>
      <c r="E220" s="561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7">
        <v>564</v>
      </c>
      <c r="Y220" s="548">
        <f t="shared" si="15"/>
        <v>564</v>
      </c>
      <c r="Z220" s="36">
        <f t="shared" si="20"/>
        <v>1.5298499999999999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623.22</v>
      </c>
      <c r="BN220" s="64">
        <f t="shared" si="17"/>
        <v>623.22</v>
      </c>
      <c r="BO220" s="64">
        <f t="shared" si="18"/>
        <v>1.2912087912087913</v>
      </c>
      <c r="BP220" s="64">
        <f t="shared" si="19"/>
        <v>1.2912087912087913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0">
        <v>4680115880504</v>
      </c>
      <c r="E221" s="561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7">
        <v>168</v>
      </c>
      <c r="Y221" s="548">
        <f t="shared" si="15"/>
        <v>168</v>
      </c>
      <c r="Z221" s="36">
        <f t="shared" si="20"/>
        <v>0.45569999999999999</v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185.64000000000001</v>
      </c>
      <c r="BN221" s="64">
        <f t="shared" si="17"/>
        <v>185.64000000000001</v>
      </c>
      <c r="BO221" s="64">
        <f t="shared" si="18"/>
        <v>0.38461538461538464</v>
      </c>
      <c r="BP221" s="64">
        <f t="shared" si="19"/>
        <v>0.38461538461538464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0">
        <v>4680115882164</v>
      </c>
      <c r="E222" s="561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7">
        <v>168</v>
      </c>
      <c r="Y222" s="548">
        <f t="shared" si="15"/>
        <v>168</v>
      </c>
      <c r="Z222" s="36">
        <f t="shared" si="20"/>
        <v>0.45569999999999999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186.06</v>
      </c>
      <c r="BN222" s="64">
        <f t="shared" si="17"/>
        <v>186.06</v>
      </c>
      <c r="BO222" s="64">
        <f t="shared" si="18"/>
        <v>0.38461538461538464</v>
      </c>
      <c r="BP222" s="64">
        <f t="shared" si="19"/>
        <v>0.38461538461538464</v>
      </c>
    </row>
    <row r="223" spans="1:68" x14ac:dyDescent="0.2">
      <c r="A223" s="564"/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65"/>
      <c r="P223" s="556" t="s">
        <v>75</v>
      </c>
      <c r="Q223" s="557"/>
      <c r="R223" s="557"/>
      <c r="S223" s="557"/>
      <c r="T223" s="557"/>
      <c r="U223" s="557"/>
      <c r="V223" s="558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698.8641975308642</v>
      </c>
      <c r="Y223" s="549">
        <f>IFERROR(Y214/H214,"0")+IFERROR(Y215/H215,"0")+IFERROR(Y216/H216,"0")+IFERROR(Y217/H217,"0")+IFERROR(Y218/H218,"0")+IFERROR(Y219/H219,"0")+IFERROR(Y220/H220,"0")+IFERROR(Y221/H221,"0")+IFERROR(Y222/H222,"0")</f>
        <v>700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5.1555600000000004</v>
      </c>
      <c r="AA223" s="550"/>
      <c r="AB223" s="550"/>
      <c r="AC223" s="550"/>
    </row>
    <row r="224" spans="1:68" x14ac:dyDescent="0.2">
      <c r="A224" s="552"/>
      <c r="B224" s="552"/>
      <c r="C224" s="552"/>
      <c r="D224" s="552"/>
      <c r="E224" s="552"/>
      <c r="F224" s="552"/>
      <c r="G224" s="552"/>
      <c r="H224" s="552"/>
      <c r="I224" s="552"/>
      <c r="J224" s="552"/>
      <c r="K224" s="552"/>
      <c r="L224" s="552"/>
      <c r="M224" s="552"/>
      <c r="N224" s="552"/>
      <c r="O224" s="565"/>
      <c r="P224" s="556" t="s">
        <v>75</v>
      </c>
      <c r="Q224" s="557"/>
      <c r="R224" s="557"/>
      <c r="S224" s="557"/>
      <c r="T224" s="557"/>
      <c r="U224" s="557"/>
      <c r="V224" s="558"/>
      <c r="W224" s="37" t="s">
        <v>69</v>
      </c>
      <c r="X224" s="549">
        <f>IFERROR(SUM(X214:X222),"0")</f>
        <v>1954</v>
      </c>
      <c r="Y224" s="549">
        <f>IFERROR(SUM(Y214:Y222),"0")</f>
        <v>1963.2</v>
      </c>
      <c r="Z224" s="37"/>
      <c r="AA224" s="550"/>
      <c r="AB224" s="550"/>
      <c r="AC224" s="550"/>
    </row>
    <row r="225" spans="1:68" ht="14.25" hidden="1" customHeight="1" x14ac:dyDescent="0.25">
      <c r="A225" s="559" t="s">
        <v>161</v>
      </c>
      <c r="B225" s="552"/>
      <c r="C225" s="552"/>
      <c r="D225" s="552"/>
      <c r="E225" s="552"/>
      <c r="F225" s="552"/>
      <c r="G225" s="552"/>
      <c r="H225" s="552"/>
      <c r="I225" s="552"/>
      <c r="J225" s="552"/>
      <c r="K225" s="552"/>
      <c r="L225" s="552"/>
      <c r="M225" s="552"/>
      <c r="N225" s="552"/>
      <c r="O225" s="552"/>
      <c r="P225" s="552"/>
      <c r="Q225" s="552"/>
      <c r="R225" s="552"/>
      <c r="S225" s="552"/>
      <c r="T225" s="552"/>
      <c r="U225" s="552"/>
      <c r="V225" s="552"/>
      <c r="W225" s="552"/>
      <c r="X225" s="552"/>
      <c r="Y225" s="552"/>
      <c r="Z225" s="552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60">
        <v>4680115880818</v>
      </c>
      <c r="E226" s="561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6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60">
        <v>4680115880801</v>
      </c>
      <c r="E227" s="561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7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  <c r="N228" s="552"/>
      <c r="O228" s="565"/>
      <c r="P228" s="556" t="s">
        <v>75</v>
      </c>
      <c r="Q228" s="557"/>
      <c r="R228" s="557"/>
      <c r="S228" s="557"/>
      <c r="T228" s="557"/>
      <c r="U228" s="557"/>
      <c r="V228" s="558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2"/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  <c r="N229" s="552"/>
      <c r="O229" s="565"/>
      <c r="P229" s="556" t="s">
        <v>75</v>
      </c>
      <c r="Q229" s="557"/>
      <c r="R229" s="557"/>
      <c r="S229" s="557"/>
      <c r="T229" s="557"/>
      <c r="U229" s="557"/>
      <c r="V229" s="558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1" t="s">
        <v>379</v>
      </c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552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42"/>
      <c r="AB230" s="542"/>
      <c r="AC230" s="542"/>
    </row>
    <row r="231" spans="1:68" ht="14.25" hidden="1" customHeight="1" x14ac:dyDescent="0.25">
      <c r="A231" s="559" t="s">
        <v>101</v>
      </c>
      <c r="B231" s="552"/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  <c r="T231" s="552"/>
      <c r="U231" s="552"/>
      <c r="V231" s="552"/>
      <c r="W231" s="552"/>
      <c r="X231" s="552"/>
      <c r="Y231" s="552"/>
      <c r="Z231" s="552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60">
        <v>4680115884137</v>
      </c>
      <c r="E232" s="561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8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60">
        <v>4680115884236</v>
      </c>
      <c r="E233" s="561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60">
        <v>4680115884175</v>
      </c>
      <c r="E234" s="561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3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60">
        <v>4680115884144</v>
      </c>
      <c r="E235" s="561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60">
        <v>4680115884144</v>
      </c>
      <c r="E236" s="561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82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60">
        <v>4680115886551</v>
      </c>
      <c r="E237" s="561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60">
        <v>4680115887282</v>
      </c>
      <c r="E238" s="561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60">
        <v>4680115884205</v>
      </c>
      <c r="E239" s="561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76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60">
        <v>4680115884205</v>
      </c>
      <c r="E240" s="561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4"/>
      <c r="B241" s="552"/>
      <c r="C241" s="552"/>
      <c r="D241" s="552"/>
      <c r="E241" s="552"/>
      <c r="F241" s="552"/>
      <c r="G241" s="552"/>
      <c r="H241" s="552"/>
      <c r="I241" s="552"/>
      <c r="J241" s="552"/>
      <c r="K241" s="552"/>
      <c r="L241" s="552"/>
      <c r="M241" s="552"/>
      <c r="N241" s="552"/>
      <c r="O241" s="565"/>
      <c r="P241" s="556" t="s">
        <v>75</v>
      </c>
      <c r="Q241" s="557"/>
      <c r="R241" s="557"/>
      <c r="S241" s="557"/>
      <c r="T241" s="557"/>
      <c r="U241" s="557"/>
      <c r="V241" s="558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2"/>
      <c r="B242" s="552"/>
      <c r="C242" s="552"/>
      <c r="D242" s="552"/>
      <c r="E242" s="552"/>
      <c r="F242" s="552"/>
      <c r="G242" s="552"/>
      <c r="H242" s="552"/>
      <c r="I242" s="552"/>
      <c r="J242" s="552"/>
      <c r="K242" s="552"/>
      <c r="L242" s="552"/>
      <c r="M242" s="552"/>
      <c r="N242" s="552"/>
      <c r="O242" s="565"/>
      <c r="P242" s="556" t="s">
        <v>75</v>
      </c>
      <c r="Q242" s="557"/>
      <c r="R242" s="557"/>
      <c r="S242" s="557"/>
      <c r="T242" s="557"/>
      <c r="U242" s="557"/>
      <c r="V242" s="558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59" t="s">
        <v>136</v>
      </c>
      <c r="B243" s="552"/>
      <c r="C243" s="552"/>
      <c r="D243" s="552"/>
      <c r="E243" s="552"/>
      <c r="F243" s="552"/>
      <c r="G243" s="552"/>
      <c r="H243" s="552"/>
      <c r="I243" s="552"/>
      <c r="J243" s="552"/>
      <c r="K243" s="552"/>
      <c r="L243" s="552"/>
      <c r="M243" s="552"/>
      <c r="N243" s="552"/>
      <c r="O243" s="552"/>
      <c r="P243" s="552"/>
      <c r="Q243" s="552"/>
      <c r="R243" s="552"/>
      <c r="S243" s="552"/>
      <c r="T243" s="552"/>
      <c r="U243" s="552"/>
      <c r="V243" s="552"/>
      <c r="W243" s="552"/>
      <c r="X243" s="552"/>
      <c r="Y243" s="552"/>
      <c r="Z243" s="552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60">
        <v>4680115885981</v>
      </c>
      <c r="E244" s="561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2"/>
      <c r="C245" s="552"/>
      <c r="D245" s="552"/>
      <c r="E245" s="552"/>
      <c r="F245" s="552"/>
      <c r="G245" s="552"/>
      <c r="H245" s="552"/>
      <c r="I245" s="552"/>
      <c r="J245" s="552"/>
      <c r="K245" s="552"/>
      <c r="L245" s="552"/>
      <c r="M245" s="552"/>
      <c r="N245" s="552"/>
      <c r="O245" s="565"/>
      <c r="P245" s="556" t="s">
        <v>75</v>
      </c>
      <c r="Q245" s="557"/>
      <c r="R245" s="557"/>
      <c r="S245" s="557"/>
      <c r="T245" s="557"/>
      <c r="U245" s="557"/>
      <c r="V245" s="558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2"/>
      <c r="B246" s="552"/>
      <c r="C246" s="552"/>
      <c r="D246" s="552"/>
      <c r="E246" s="552"/>
      <c r="F246" s="552"/>
      <c r="G246" s="552"/>
      <c r="H246" s="552"/>
      <c r="I246" s="552"/>
      <c r="J246" s="552"/>
      <c r="K246" s="552"/>
      <c r="L246" s="552"/>
      <c r="M246" s="552"/>
      <c r="N246" s="552"/>
      <c r="O246" s="565"/>
      <c r="P246" s="556" t="s">
        <v>75</v>
      </c>
      <c r="Q246" s="557"/>
      <c r="R246" s="557"/>
      <c r="S246" s="557"/>
      <c r="T246" s="557"/>
      <c r="U246" s="557"/>
      <c r="V246" s="558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59" t="s">
        <v>404</v>
      </c>
      <c r="B247" s="552"/>
      <c r="C247" s="552"/>
      <c r="D247" s="552"/>
      <c r="E247" s="552"/>
      <c r="F247" s="552"/>
      <c r="G247" s="552"/>
      <c r="H247" s="552"/>
      <c r="I247" s="552"/>
      <c r="J247" s="552"/>
      <c r="K247" s="552"/>
      <c r="L247" s="552"/>
      <c r="M247" s="552"/>
      <c r="N247" s="552"/>
      <c r="O247" s="552"/>
      <c r="P247" s="552"/>
      <c r="Q247" s="552"/>
      <c r="R247" s="552"/>
      <c r="S247" s="552"/>
      <c r="T247" s="552"/>
      <c r="U247" s="552"/>
      <c r="V247" s="552"/>
      <c r="W247" s="552"/>
      <c r="X247" s="552"/>
      <c r="Y247" s="552"/>
      <c r="Z247" s="552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60">
        <v>4680115886803</v>
      </c>
      <c r="E248" s="561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2"/>
      <c r="C249" s="552"/>
      <c r="D249" s="552"/>
      <c r="E249" s="552"/>
      <c r="F249" s="552"/>
      <c r="G249" s="552"/>
      <c r="H249" s="552"/>
      <c r="I249" s="552"/>
      <c r="J249" s="552"/>
      <c r="K249" s="552"/>
      <c r="L249" s="552"/>
      <c r="M249" s="552"/>
      <c r="N249" s="552"/>
      <c r="O249" s="565"/>
      <c r="P249" s="556" t="s">
        <v>75</v>
      </c>
      <c r="Q249" s="557"/>
      <c r="R249" s="557"/>
      <c r="S249" s="557"/>
      <c r="T249" s="557"/>
      <c r="U249" s="557"/>
      <c r="V249" s="558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2"/>
      <c r="B250" s="552"/>
      <c r="C250" s="552"/>
      <c r="D250" s="552"/>
      <c r="E250" s="552"/>
      <c r="F250" s="552"/>
      <c r="G250" s="552"/>
      <c r="H250" s="552"/>
      <c r="I250" s="552"/>
      <c r="J250" s="552"/>
      <c r="K250" s="552"/>
      <c r="L250" s="552"/>
      <c r="M250" s="552"/>
      <c r="N250" s="552"/>
      <c r="O250" s="565"/>
      <c r="P250" s="556" t="s">
        <v>75</v>
      </c>
      <c r="Q250" s="557"/>
      <c r="R250" s="557"/>
      <c r="S250" s="557"/>
      <c r="T250" s="557"/>
      <c r="U250" s="557"/>
      <c r="V250" s="558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59" t="s">
        <v>408</v>
      </c>
      <c r="B251" s="552"/>
      <c r="C251" s="552"/>
      <c r="D251" s="552"/>
      <c r="E251" s="552"/>
      <c r="F251" s="552"/>
      <c r="G251" s="552"/>
      <c r="H251" s="552"/>
      <c r="I251" s="552"/>
      <c r="J251" s="552"/>
      <c r="K251" s="552"/>
      <c r="L251" s="552"/>
      <c r="M251" s="552"/>
      <c r="N251" s="552"/>
      <c r="O251" s="552"/>
      <c r="P251" s="552"/>
      <c r="Q251" s="552"/>
      <c r="R251" s="552"/>
      <c r="S251" s="552"/>
      <c r="T251" s="552"/>
      <c r="U251" s="552"/>
      <c r="V251" s="552"/>
      <c r="W251" s="552"/>
      <c r="X251" s="552"/>
      <c r="Y251" s="552"/>
      <c r="Z251" s="552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60">
        <v>4680115886704</v>
      </c>
      <c r="E252" s="561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5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60">
        <v>4680115886681</v>
      </c>
      <c r="E253" s="561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60">
        <v>4680115886735</v>
      </c>
      <c r="E254" s="561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60">
        <v>4680115886728</v>
      </c>
      <c r="E255" s="561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60">
        <v>4680115886711</v>
      </c>
      <c r="E256" s="561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0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2"/>
      <c r="C257" s="552"/>
      <c r="D257" s="552"/>
      <c r="E257" s="552"/>
      <c r="F257" s="552"/>
      <c r="G257" s="552"/>
      <c r="H257" s="552"/>
      <c r="I257" s="552"/>
      <c r="J257" s="552"/>
      <c r="K257" s="552"/>
      <c r="L257" s="552"/>
      <c r="M257" s="552"/>
      <c r="N257" s="552"/>
      <c r="O257" s="565"/>
      <c r="P257" s="556" t="s">
        <v>75</v>
      </c>
      <c r="Q257" s="557"/>
      <c r="R257" s="557"/>
      <c r="S257" s="557"/>
      <c r="T257" s="557"/>
      <c r="U257" s="557"/>
      <c r="V257" s="558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2"/>
      <c r="B258" s="552"/>
      <c r="C258" s="552"/>
      <c r="D258" s="552"/>
      <c r="E258" s="552"/>
      <c r="F258" s="552"/>
      <c r="G258" s="552"/>
      <c r="H258" s="552"/>
      <c r="I258" s="552"/>
      <c r="J258" s="552"/>
      <c r="K258" s="552"/>
      <c r="L258" s="552"/>
      <c r="M258" s="552"/>
      <c r="N258" s="552"/>
      <c r="O258" s="565"/>
      <c r="P258" s="556" t="s">
        <v>75</v>
      </c>
      <c r="Q258" s="557"/>
      <c r="R258" s="557"/>
      <c r="S258" s="557"/>
      <c r="T258" s="557"/>
      <c r="U258" s="557"/>
      <c r="V258" s="558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1" t="s">
        <v>420</v>
      </c>
      <c r="B259" s="552"/>
      <c r="C259" s="552"/>
      <c r="D259" s="552"/>
      <c r="E259" s="552"/>
      <c r="F259" s="552"/>
      <c r="G259" s="552"/>
      <c r="H259" s="552"/>
      <c r="I259" s="552"/>
      <c r="J259" s="552"/>
      <c r="K259" s="552"/>
      <c r="L259" s="552"/>
      <c r="M259" s="552"/>
      <c r="N259" s="552"/>
      <c r="O259" s="552"/>
      <c r="P259" s="552"/>
      <c r="Q259" s="552"/>
      <c r="R259" s="552"/>
      <c r="S259" s="552"/>
      <c r="T259" s="552"/>
      <c r="U259" s="552"/>
      <c r="V259" s="552"/>
      <c r="W259" s="552"/>
      <c r="X259" s="552"/>
      <c r="Y259" s="552"/>
      <c r="Z259" s="552"/>
      <c r="AA259" s="542"/>
      <c r="AB259" s="542"/>
      <c r="AC259" s="542"/>
    </row>
    <row r="260" spans="1:68" ht="14.25" hidden="1" customHeight="1" x14ac:dyDescent="0.25">
      <c r="A260" s="559" t="s">
        <v>101</v>
      </c>
      <c r="B260" s="552"/>
      <c r="C260" s="552"/>
      <c r="D260" s="552"/>
      <c r="E260" s="552"/>
      <c r="F260" s="552"/>
      <c r="G260" s="552"/>
      <c r="H260" s="552"/>
      <c r="I260" s="552"/>
      <c r="J260" s="552"/>
      <c r="K260" s="552"/>
      <c r="L260" s="552"/>
      <c r="M260" s="552"/>
      <c r="N260" s="552"/>
      <c r="O260" s="552"/>
      <c r="P260" s="552"/>
      <c r="Q260" s="552"/>
      <c r="R260" s="552"/>
      <c r="S260" s="552"/>
      <c r="T260" s="552"/>
      <c r="U260" s="552"/>
      <c r="V260" s="552"/>
      <c r="W260" s="552"/>
      <c r="X260" s="552"/>
      <c r="Y260" s="552"/>
      <c r="Z260" s="552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60">
        <v>4680115885837</v>
      </c>
      <c r="E261" s="561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5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60">
        <v>4680115885851</v>
      </c>
      <c r="E262" s="561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60">
        <v>4680115885806</v>
      </c>
      <c r="E263" s="561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60">
        <v>4680115885844</v>
      </c>
      <c r="E264" s="561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7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60">
        <v>4680115885820</v>
      </c>
      <c r="E265" s="561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82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2"/>
      <c r="C266" s="552"/>
      <c r="D266" s="552"/>
      <c r="E266" s="552"/>
      <c r="F266" s="552"/>
      <c r="G266" s="552"/>
      <c r="H266" s="552"/>
      <c r="I266" s="552"/>
      <c r="J266" s="552"/>
      <c r="K266" s="552"/>
      <c r="L266" s="552"/>
      <c r="M266" s="552"/>
      <c r="N266" s="552"/>
      <c r="O266" s="565"/>
      <c r="P266" s="556" t="s">
        <v>75</v>
      </c>
      <c r="Q266" s="557"/>
      <c r="R266" s="557"/>
      <c r="S266" s="557"/>
      <c r="T266" s="557"/>
      <c r="U266" s="557"/>
      <c r="V266" s="558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2"/>
      <c r="B267" s="552"/>
      <c r="C267" s="552"/>
      <c r="D267" s="552"/>
      <c r="E267" s="552"/>
      <c r="F267" s="552"/>
      <c r="G267" s="552"/>
      <c r="H267" s="552"/>
      <c r="I267" s="552"/>
      <c r="J267" s="552"/>
      <c r="K267" s="552"/>
      <c r="L267" s="552"/>
      <c r="M267" s="552"/>
      <c r="N267" s="552"/>
      <c r="O267" s="565"/>
      <c r="P267" s="556" t="s">
        <v>75</v>
      </c>
      <c r="Q267" s="557"/>
      <c r="R267" s="557"/>
      <c r="S267" s="557"/>
      <c r="T267" s="557"/>
      <c r="U267" s="557"/>
      <c r="V267" s="558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1" t="s">
        <v>436</v>
      </c>
      <c r="B268" s="552"/>
      <c r="C268" s="552"/>
      <c r="D268" s="552"/>
      <c r="E268" s="552"/>
      <c r="F268" s="552"/>
      <c r="G268" s="552"/>
      <c r="H268" s="552"/>
      <c r="I268" s="552"/>
      <c r="J268" s="552"/>
      <c r="K268" s="552"/>
      <c r="L268" s="552"/>
      <c r="M268" s="552"/>
      <c r="N268" s="552"/>
      <c r="O268" s="552"/>
      <c r="P268" s="552"/>
      <c r="Q268" s="552"/>
      <c r="R268" s="552"/>
      <c r="S268" s="552"/>
      <c r="T268" s="552"/>
      <c r="U268" s="552"/>
      <c r="V268" s="552"/>
      <c r="W268" s="552"/>
      <c r="X268" s="552"/>
      <c r="Y268" s="552"/>
      <c r="Z268" s="552"/>
      <c r="AA268" s="542"/>
      <c r="AB268" s="542"/>
      <c r="AC268" s="542"/>
    </row>
    <row r="269" spans="1:68" ht="14.25" hidden="1" customHeight="1" x14ac:dyDescent="0.25">
      <c r="A269" s="559" t="s">
        <v>101</v>
      </c>
      <c r="B269" s="552"/>
      <c r="C269" s="552"/>
      <c r="D269" s="552"/>
      <c r="E269" s="552"/>
      <c r="F269" s="552"/>
      <c r="G269" s="552"/>
      <c r="H269" s="552"/>
      <c r="I269" s="552"/>
      <c r="J269" s="552"/>
      <c r="K269" s="552"/>
      <c r="L269" s="552"/>
      <c r="M269" s="552"/>
      <c r="N269" s="552"/>
      <c r="O269" s="552"/>
      <c r="P269" s="552"/>
      <c r="Q269" s="552"/>
      <c r="R269" s="552"/>
      <c r="S269" s="552"/>
      <c r="T269" s="552"/>
      <c r="U269" s="552"/>
      <c r="V269" s="552"/>
      <c r="W269" s="552"/>
      <c r="X269" s="552"/>
      <c r="Y269" s="552"/>
      <c r="Z269" s="552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60">
        <v>4607091383423</v>
      </c>
      <c r="E270" s="561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60">
        <v>4680115886957</v>
      </c>
      <c r="E271" s="561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2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60">
        <v>4680115885660</v>
      </c>
      <c r="E272" s="561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60">
        <v>4680115886773</v>
      </c>
      <c r="E273" s="561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8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2"/>
      <c r="C274" s="552"/>
      <c r="D274" s="552"/>
      <c r="E274" s="552"/>
      <c r="F274" s="552"/>
      <c r="G274" s="552"/>
      <c r="H274" s="552"/>
      <c r="I274" s="552"/>
      <c r="J274" s="552"/>
      <c r="K274" s="552"/>
      <c r="L274" s="552"/>
      <c r="M274" s="552"/>
      <c r="N274" s="552"/>
      <c r="O274" s="565"/>
      <c r="P274" s="556" t="s">
        <v>75</v>
      </c>
      <c r="Q274" s="557"/>
      <c r="R274" s="557"/>
      <c r="S274" s="557"/>
      <c r="T274" s="557"/>
      <c r="U274" s="557"/>
      <c r="V274" s="558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2"/>
      <c r="B275" s="552"/>
      <c r="C275" s="552"/>
      <c r="D275" s="552"/>
      <c r="E275" s="552"/>
      <c r="F275" s="552"/>
      <c r="G275" s="552"/>
      <c r="H275" s="552"/>
      <c r="I275" s="552"/>
      <c r="J275" s="552"/>
      <c r="K275" s="552"/>
      <c r="L275" s="552"/>
      <c r="M275" s="552"/>
      <c r="N275" s="552"/>
      <c r="O275" s="565"/>
      <c r="P275" s="556" t="s">
        <v>75</v>
      </c>
      <c r="Q275" s="557"/>
      <c r="R275" s="557"/>
      <c r="S275" s="557"/>
      <c r="T275" s="557"/>
      <c r="U275" s="557"/>
      <c r="V275" s="558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1" t="s">
        <v>447</v>
      </c>
      <c r="B276" s="552"/>
      <c r="C276" s="552"/>
      <c r="D276" s="552"/>
      <c r="E276" s="552"/>
      <c r="F276" s="552"/>
      <c r="G276" s="552"/>
      <c r="H276" s="552"/>
      <c r="I276" s="552"/>
      <c r="J276" s="552"/>
      <c r="K276" s="552"/>
      <c r="L276" s="552"/>
      <c r="M276" s="552"/>
      <c r="N276" s="552"/>
      <c r="O276" s="552"/>
      <c r="P276" s="552"/>
      <c r="Q276" s="552"/>
      <c r="R276" s="552"/>
      <c r="S276" s="552"/>
      <c r="T276" s="552"/>
      <c r="U276" s="552"/>
      <c r="V276" s="552"/>
      <c r="W276" s="552"/>
      <c r="X276" s="552"/>
      <c r="Y276" s="552"/>
      <c r="Z276" s="552"/>
      <c r="AA276" s="542"/>
      <c r="AB276" s="542"/>
      <c r="AC276" s="542"/>
    </row>
    <row r="277" spans="1:68" ht="14.25" hidden="1" customHeight="1" x14ac:dyDescent="0.25">
      <c r="A277" s="559" t="s">
        <v>77</v>
      </c>
      <c r="B277" s="552"/>
      <c r="C277" s="552"/>
      <c r="D277" s="552"/>
      <c r="E277" s="552"/>
      <c r="F277" s="552"/>
      <c r="G277" s="552"/>
      <c r="H277" s="552"/>
      <c r="I277" s="552"/>
      <c r="J277" s="552"/>
      <c r="K277" s="552"/>
      <c r="L277" s="552"/>
      <c r="M277" s="552"/>
      <c r="N277" s="552"/>
      <c r="O277" s="552"/>
      <c r="P277" s="552"/>
      <c r="Q277" s="552"/>
      <c r="R277" s="552"/>
      <c r="S277" s="552"/>
      <c r="T277" s="552"/>
      <c r="U277" s="552"/>
      <c r="V277" s="552"/>
      <c r="W277" s="552"/>
      <c r="X277" s="552"/>
      <c r="Y277" s="552"/>
      <c r="Z277" s="552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60">
        <v>4680115886186</v>
      </c>
      <c r="E278" s="561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60">
        <v>4680115881228</v>
      </c>
      <c r="E279" s="561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6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60">
        <v>4680115881211</v>
      </c>
      <c r="E280" s="561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4"/>
      <c r="B281" s="552"/>
      <c r="C281" s="552"/>
      <c r="D281" s="552"/>
      <c r="E281" s="552"/>
      <c r="F281" s="552"/>
      <c r="G281" s="552"/>
      <c r="H281" s="552"/>
      <c r="I281" s="552"/>
      <c r="J281" s="552"/>
      <c r="K281" s="552"/>
      <c r="L281" s="552"/>
      <c r="M281" s="552"/>
      <c r="N281" s="552"/>
      <c r="O281" s="565"/>
      <c r="P281" s="556" t="s">
        <v>75</v>
      </c>
      <c r="Q281" s="557"/>
      <c r="R281" s="557"/>
      <c r="S281" s="557"/>
      <c r="T281" s="557"/>
      <c r="U281" s="557"/>
      <c r="V281" s="558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2"/>
      <c r="B282" s="552"/>
      <c r="C282" s="552"/>
      <c r="D282" s="552"/>
      <c r="E282" s="552"/>
      <c r="F282" s="552"/>
      <c r="G282" s="552"/>
      <c r="H282" s="552"/>
      <c r="I282" s="552"/>
      <c r="J282" s="552"/>
      <c r="K282" s="552"/>
      <c r="L282" s="552"/>
      <c r="M282" s="552"/>
      <c r="N282" s="552"/>
      <c r="O282" s="565"/>
      <c r="P282" s="556" t="s">
        <v>75</v>
      </c>
      <c r="Q282" s="557"/>
      <c r="R282" s="557"/>
      <c r="S282" s="557"/>
      <c r="T282" s="557"/>
      <c r="U282" s="557"/>
      <c r="V282" s="558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51" t="s">
        <v>456</v>
      </c>
      <c r="B283" s="552"/>
      <c r="C283" s="552"/>
      <c r="D283" s="552"/>
      <c r="E283" s="552"/>
      <c r="F283" s="552"/>
      <c r="G283" s="552"/>
      <c r="H283" s="552"/>
      <c r="I283" s="552"/>
      <c r="J283" s="552"/>
      <c r="K283" s="552"/>
      <c r="L283" s="552"/>
      <c r="M283" s="552"/>
      <c r="N283" s="552"/>
      <c r="O283" s="552"/>
      <c r="P283" s="552"/>
      <c r="Q283" s="552"/>
      <c r="R283" s="552"/>
      <c r="S283" s="552"/>
      <c r="T283" s="552"/>
      <c r="U283" s="552"/>
      <c r="V283" s="552"/>
      <c r="W283" s="552"/>
      <c r="X283" s="552"/>
      <c r="Y283" s="552"/>
      <c r="Z283" s="552"/>
      <c r="AA283" s="542"/>
      <c r="AB283" s="542"/>
      <c r="AC283" s="542"/>
    </row>
    <row r="284" spans="1:68" ht="14.25" hidden="1" customHeight="1" x14ac:dyDescent="0.25">
      <c r="A284" s="559" t="s">
        <v>64</v>
      </c>
      <c r="B284" s="552"/>
      <c r="C284" s="552"/>
      <c r="D284" s="552"/>
      <c r="E284" s="552"/>
      <c r="F284" s="552"/>
      <c r="G284" s="552"/>
      <c r="H284" s="552"/>
      <c r="I284" s="552"/>
      <c r="J284" s="552"/>
      <c r="K284" s="552"/>
      <c r="L284" s="552"/>
      <c r="M284" s="552"/>
      <c r="N284" s="552"/>
      <c r="O284" s="552"/>
      <c r="P284" s="552"/>
      <c r="Q284" s="552"/>
      <c r="R284" s="552"/>
      <c r="S284" s="552"/>
      <c r="T284" s="552"/>
      <c r="U284" s="552"/>
      <c r="V284" s="552"/>
      <c r="W284" s="552"/>
      <c r="X284" s="552"/>
      <c r="Y284" s="552"/>
      <c r="Z284" s="552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60">
        <v>4680115880344</v>
      </c>
      <c r="E285" s="561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60">
        <v>4680115886919</v>
      </c>
      <c r="E286" s="561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8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2"/>
      <c r="C287" s="552"/>
      <c r="D287" s="552"/>
      <c r="E287" s="552"/>
      <c r="F287" s="552"/>
      <c r="G287" s="552"/>
      <c r="H287" s="552"/>
      <c r="I287" s="552"/>
      <c r="J287" s="552"/>
      <c r="K287" s="552"/>
      <c r="L287" s="552"/>
      <c r="M287" s="552"/>
      <c r="N287" s="552"/>
      <c r="O287" s="565"/>
      <c r="P287" s="556" t="s">
        <v>75</v>
      </c>
      <c r="Q287" s="557"/>
      <c r="R287" s="557"/>
      <c r="S287" s="557"/>
      <c r="T287" s="557"/>
      <c r="U287" s="557"/>
      <c r="V287" s="558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2"/>
      <c r="B288" s="552"/>
      <c r="C288" s="552"/>
      <c r="D288" s="552"/>
      <c r="E288" s="552"/>
      <c r="F288" s="552"/>
      <c r="G288" s="552"/>
      <c r="H288" s="552"/>
      <c r="I288" s="552"/>
      <c r="J288" s="552"/>
      <c r="K288" s="552"/>
      <c r="L288" s="552"/>
      <c r="M288" s="552"/>
      <c r="N288" s="552"/>
      <c r="O288" s="565"/>
      <c r="P288" s="556" t="s">
        <v>75</v>
      </c>
      <c r="Q288" s="557"/>
      <c r="R288" s="557"/>
      <c r="S288" s="557"/>
      <c r="T288" s="557"/>
      <c r="U288" s="557"/>
      <c r="V288" s="558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59" t="s">
        <v>77</v>
      </c>
      <c r="B289" s="552"/>
      <c r="C289" s="552"/>
      <c r="D289" s="552"/>
      <c r="E289" s="552"/>
      <c r="F289" s="552"/>
      <c r="G289" s="552"/>
      <c r="H289" s="552"/>
      <c r="I289" s="552"/>
      <c r="J289" s="552"/>
      <c r="K289" s="552"/>
      <c r="L289" s="552"/>
      <c r="M289" s="552"/>
      <c r="N289" s="552"/>
      <c r="O289" s="552"/>
      <c r="P289" s="552"/>
      <c r="Q289" s="552"/>
      <c r="R289" s="552"/>
      <c r="S289" s="552"/>
      <c r="T289" s="552"/>
      <c r="U289" s="552"/>
      <c r="V289" s="552"/>
      <c r="W289" s="552"/>
      <c r="X289" s="552"/>
      <c r="Y289" s="552"/>
      <c r="Z289" s="552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60">
        <v>4680115884618</v>
      </c>
      <c r="E290" s="561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60">
        <v>4680115887114</v>
      </c>
      <c r="E291" s="561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59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2"/>
      <c r="C292" s="552"/>
      <c r="D292" s="552"/>
      <c r="E292" s="552"/>
      <c r="F292" s="552"/>
      <c r="G292" s="552"/>
      <c r="H292" s="552"/>
      <c r="I292" s="552"/>
      <c r="J292" s="552"/>
      <c r="K292" s="552"/>
      <c r="L292" s="552"/>
      <c r="M292" s="552"/>
      <c r="N292" s="552"/>
      <c r="O292" s="565"/>
      <c r="P292" s="556" t="s">
        <v>75</v>
      </c>
      <c r="Q292" s="557"/>
      <c r="R292" s="557"/>
      <c r="S292" s="557"/>
      <c r="T292" s="557"/>
      <c r="U292" s="557"/>
      <c r="V292" s="558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2"/>
      <c r="B293" s="552"/>
      <c r="C293" s="552"/>
      <c r="D293" s="552"/>
      <c r="E293" s="552"/>
      <c r="F293" s="552"/>
      <c r="G293" s="552"/>
      <c r="H293" s="552"/>
      <c r="I293" s="552"/>
      <c r="J293" s="552"/>
      <c r="K293" s="552"/>
      <c r="L293" s="552"/>
      <c r="M293" s="552"/>
      <c r="N293" s="552"/>
      <c r="O293" s="565"/>
      <c r="P293" s="556" t="s">
        <v>75</v>
      </c>
      <c r="Q293" s="557"/>
      <c r="R293" s="557"/>
      <c r="S293" s="557"/>
      <c r="T293" s="557"/>
      <c r="U293" s="557"/>
      <c r="V293" s="558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1" t="s">
        <v>469</v>
      </c>
      <c r="B294" s="552"/>
      <c r="C294" s="552"/>
      <c r="D294" s="552"/>
      <c r="E294" s="552"/>
      <c r="F294" s="552"/>
      <c r="G294" s="552"/>
      <c r="H294" s="552"/>
      <c r="I294" s="552"/>
      <c r="J294" s="552"/>
      <c r="K294" s="552"/>
      <c r="L294" s="552"/>
      <c r="M294" s="552"/>
      <c r="N294" s="552"/>
      <c r="O294" s="552"/>
      <c r="P294" s="552"/>
      <c r="Q294" s="552"/>
      <c r="R294" s="552"/>
      <c r="S294" s="552"/>
      <c r="T294" s="552"/>
      <c r="U294" s="552"/>
      <c r="V294" s="552"/>
      <c r="W294" s="552"/>
      <c r="X294" s="552"/>
      <c r="Y294" s="552"/>
      <c r="Z294" s="552"/>
      <c r="AA294" s="542"/>
      <c r="AB294" s="542"/>
      <c r="AC294" s="542"/>
    </row>
    <row r="295" spans="1:68" ht="14.25" hidden="1" customHeight="1" x14ac:dyDescent="0.25">
      <c r="A295" s="559" t="s">
        <v>101</v>
      </c>
      <c r="B295" s="552"/>
      <c r="C295" s="552"/>
      <c r="D295" s="552"/>
      <c r="E295" s="552"/>
      <c r="F295" s="552"/>
      <c r="G295" s="552"/>
      <c r="H295" s="552"/>
      <c r="I295" s="552"/>
      <c r="J295" s="552"/>
      <c r="K295" s="552"/>
      <c r="L295" s="552"/>
      <c r="M295" s="552"/>
      <c r="N295" s="552"/>
      <c r="O295" s="552"/>
      <c r="P295" s="552"/>
      <c r="Q295" s="552"/>
      <c r="R295" s="552"/>
      <c r="S295" s="552"/>
      <c r="T295" s="552"/>
      <c r="U295" s="552"/>
      <c r="V295" s="552"/>
      <c r="W295" s="552"/>
      <c r="X295" s="552"/>
      <c r="Y295" s="552"/>
      <c r="Z295" s="552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60">
        <v>4607091386004</v>
      </c>
      <c r="E296" s="561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60">
        <v>4680115885615</v>
      </c>
      <c r="E297" s="561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5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60">
        <v>4680115885646</v>
      </c>
      <c r="E298" s="561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6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60">
        <v>4680115885554</v>
      </c>
      <c r="E299" s="561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8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60">
        <v>4680115885622</v>
      </c>
      <c r="E300" s="561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60">
        <v>4680115885608</v>
      </c>
      <c r="E301" s="561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6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64"/>
      <c r="B302" s="552"/>
      <c r="C302" s="552"/>
      <c r="D302" s="552"/>
      <c r="E302" s="552"/>
      <c r="F302" s="552"/>
      <c r="G302" s="552"/>
      <c r="H302" s="552"/>
      <c r="I302" s="552"/>
      <c r="J302" s="552"/>
      <c r="K302" s="552"/>
      <c r="L302" s="552"/>
      <c r="M302" s="552"/>
      <c r="N302" s="552"/>
      <c r="O302" s="565"/>
      <c r="P302" s="556" t="s">
        <v>75</v>
      </c>
      <c r="Q302" s="557"/>
      <c r="R302" s="557"/>
      <c r="S302" s="557"/>
      <c r="T302" s="557"/>
      <c r="U302" s="557"/>
      <c r="V302" s="558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52"/>
      <c r="B303" s="552"/>
      <c r="C303" s="552"/>
      <c r="D303" s="552"/>
      <c r="E303" s="552"/>
      <c r="F303" s="552"/>
      <c r="G303" s="552"/>
      <c r="H303" s="552"/>
      <c r="I303" s="552"/>
      <c r="J303" s="552"/>
      <c r="K303" s="552"/>
      <c r="L303" s="552"/>
      <c r="M303" s="552"/>
      <c r="N303" s="552"/>
      <c r="O303" s="565"/>
      <c r="P303" s="556" t="s">
        <v>75</v>
      </c>
      <c r="Q303" s="557"/>
      <c r="R303" s="557"/>
      <c r="S303" s="557"/>
      <c r="T303" s="557"/>
      <c r="U303" s="557"/>
      <c r="V303" s="558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59" t="s">
        <v>64</v>
      </c>
      <c r="B304" s="552"/>
      <c r="C304" s="552"/>
      <c r="D304" s="552"/>
      <c r="E304" s="552"/>
      <c r="F304" s="552"/>
      <c r="G304" s="552"/>
      <c r="H304" s="552"/>
      <c r="I304" s="552"/>
      <c r="J304" s="552"/>
      <c r="K304" s="552"/>
      <c r="L304" s="552"/>
      <c r="M304" s="552"/>
      <c r="N304" s="552"/>
      <c r="O304" s="552"/>
      <c r="P304" s="552"/>
      <c r="Q304" s="552"/>
      <c r="R304" s="552"/>
      <c r="S304" s="552"/>
      <c r="T304" s="552"/>
      <c r="U304" s="552"/>
      <c r="V304" s="552"/>
      <c r="W304" s="552"/>
      <c r="X304" s="552"/>
      <c r="Y304" s="552"/>
      <c r="Z304" s="552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60">
        <v>4607091387193</v>
      </c>
      <c r="E305" s="561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60">
        <v>4607091387230</v>
      </c>
      <c r="E306" s="561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60">
        <v>4607091387292</v>
      </c>
      <c r="E307" s="561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5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60">
        <v>4607091387285</v>
      </c>
      <c r="E308" s="561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60">
        <v>4607091389845</v>
      </c>
      <c r="E309" s="561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60">
        <v>4607091383836</v>
      </c>
      <c r="E310" s="561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4"/>
      <c r="B311" s="552"/>
      <c r="C311" s="552"/>
      <c r="D311" s="552"/>
      <c r="E311" s="552"/>
      <c r="F311" s="552"/>
      <c r="G311" s="552"/>
      <c r="H311" s="552"/>
      <c r="I311" s="552"/>
      <c r="J311" s="552"/>
      <c r="K311" s="552"/>
      <c r="L311" s="552"/>
      <c r="M311" s="552"/>
      <c r="N311" s="552"/>
      <c r="O311" s="565"/>
      <c r="P311" s="556" t="s">
        <v>75</v>
      </c>
      <c r="Q311" s="557"/>
      <c r="R311" s="557"/>
      <c r="S311" s="557"/>
      <c r="T311" s="557"/>
      <c r="U311" s="557"/>
      <c r="V311" s="558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hidden="1" x14ac:dyDescent="0.2">
      <c r="A312" s="552"/>
      <c r="B312" s="552"/>
      <c r="C312" s="552"/>
      <c r="D312" s="552"/>
      <c r="E312" s="552"/>
      <c r="F312" s="552"/>
      <c r="G312" s="552"/>
      <c r="H312" s="552"/>
      <c r="I312" s="552"/>
      <c r="J312" s="552"/>
      <c r="K312" s="552"/>
      <c r="L312" s="552"/>
      <c r="M312" s="552"/>
      <c r="N312" s="552"/>
      <c r="O312" s="565"/>
      <c r="P312" s="556" t="s">
        <v>75</v>
      </c>
      <c r="Q312" s="557"/>
      <c r="R312" s="557"/>
      <c r="S312" s="557"/>
      <c r="T312" s="557"/>
      <c r="U312" s="557"/>
      <c r="V312" s="558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hidden="1" customHeight="1" x14ac:dyDescent="0.25">
      <c r="A313" s="559" t="s">
        <v>77</v>
      </c>
      <c r="B313" s="552"/>
      <c r="C313" s="552"/>
      <c r="D313" s="552"/>
      <c r="E313" s="552"/>
      <c r="F313" s="552"/>
      <c r="G313" s="552"/>
      <c r="H313" s="552"/>
      <c r="I313" s="552"/>
      <c r="J313" s="552"/>
      <c r="K313" s="552"/>
      <c r="L313" s="552"/>
      <c r="M313" s="552"/>
      <c r="N313" s="552"/>
      <c r="O313" s="552"/>
      <c r="P313" s="552"/>
      <c r="Q313" s="552"/>
      <c r="R313" s="552"/>
      <c r="S313" s="552"/>
      <c r="T313" s="552"/>
      <c r="U313" s="552"/>
      <c r="V313" s="552"/>
      <c r="W313" s="552"/>
      <c r="X313" s="552"/>
      <c r="Y313" s="552"/>
      <c r="Z313" s="55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60">
        <v>4607091387766</v>
      </c>
      <c r="E314" s="561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6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7">
        <v>62.4</v>
      </c>
      <c r="Y314" s="548">
        <f>IFERROR(IF(X314="",0,CEILING((X314/$H314),1)*$H314),"")</f>
        <v>62.4</v>
      </c>
      <c r="Z314" s="36">
        <f>IFERROR(IF(Y314=0,"",ROUNDUP(Y314/H314,0)*0.01898),"")</f>
        <v>0.15184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66.304000000000002</v>
      </c>
      <c r="BN314" s="64">
        <f>IFERROR(Y314*I314/H314,"0")</f>
        <v>66.304000000000002</v>
      </c>
      <c r="BO314" s="64">
        <f>IFERROR(1/J314*(X314/H314),"0")</f>
        <v>0.125</v>
      </c>
      <c r="BP314" s="64">
        <f>IFERROR(1/J314*(Y314/H314),"0")</f>
        <v>0.125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60">
        <v>4607091387957</v>
      </c>
      <c r="E315" s="561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60">
        <v>4607091387964</v>
      </c>
      <c r="E316" s="561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60">
        <v>4680115884588</v>
      </c>
      <c r="E317" s="561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4"/>
      <c r="B318" s="552"/>
      <c r="C318" s="552"/>
      <c r="D318" s="552"/>
      <c r="E318" s="552"/>
      <c r="F318" s="552"/>
      <c r="G318" s="552"/>
      <c r="H318" s="552"/>
      <c r="I318" s="552"/>
      <c r="J318" s="552"/>
      <c r="K318" s="552"/>
      <c r="L318" s="552"/>
      <c r="M318" s="552"/>
      <c r="N318" s="552"/>
      <c r="O318" s="565"/>
      <c r="P318" s="556" t="s">
        <v>75</v>
      </c>
      <c r="Q318" s="557"/>
      <c r="R318" s="557"/>
      <c r="S318" s="557"/>
      <c r="T318" s="557"/>
      <c r="U318" s="557"/>
      <c r="V318" s="558"/>
      <c r="W318" s="37" t="s">
        <v>76</v>
      </c>
      <c r="X318" s="549">
        <f>IFERROR(X314/H314,"0")+IFERROR(X315/H315,"0")+IFERROR(X316/H316,"0")+IFERROR(X317/H317,"0")</f>
        <v>8</v>
      </c>
      <c r="Y318" s="549">
        <f>IFERROR(Y314/H314,"0")+IFERROR(Y315/H315,"0")+IFERROR(Y316/H316,"0")+IFERROR(Y317/H317,"0")</f>
        <v>8</v>
      </c>
      <c r="Z318" s="549">
        <f>IFERROR(IF(Z314="",0,Z314),"0")+IFERROR(IF(Z315="",0,Z315),"0")+IFERROR(IF(Z316="",0,Z316),"0")+IFERROR(IF(Z317="",0,Z317),"0")</f>
        <v>0.15184</v>
      </c>
      <c r="AA318" s="550"/>
      <c r="AB318" s="550"/>
      <c r="AC318" s="550"/>
    </row>
    <row r="319" spans="1:68" x14ac:dyDescent="0.2">
      <c r="A319" s="552"/>
      <c r="B319" s="552"/>
      <c r="C319" s="552"/>
      <c r="D319" s="552"/>
      <c r="E319" s="552"/>
      <c r="F319" s="552"/>
      <c r="G319" s="552"/>
      <c r="H319" s="552"/>
      <c r="I319" s="552"/>
      <c r="J319" s="552"/>
      <c r="K319" s="552"/>
      <c r="L319" s="552"/>
      <c r="M319" s="552"/>
      <c r="N319" s="552"/>
      <c r="O319" s="565"/>
      <c r="P319" s="556" t="s">
        <v>75</v>
      </c>
      <c r="Q319" s="557"/>
      <c r="R319" s="557"/>
      <c r="S319" s="557"/>
      <c r="T319" s="557"/>
      <c r="U319" s="557"/>
      <c r="V319" s="558"/>
      <c r="W319" s="37" t="s">
        <v>69</v>
      </c>
      <c r="X319" s="549">
        <f>IFERROR(SUM(X314:X317),"0")</f>
        <v>62.4</v>
      </c>
      <c r="Y319" s="549">
        <f>IFERROR(SUM(Y314:Y317),"0")</f>
        <v>62.4</v>
      </c>
      <c r="Z319" s="37"/>
      <c r="AA319" s="550"/>
      <c r="AB319" s="550"/>
      <c r="AC319" s="550"/>
    </row>
    <row r="320" spans="1:68" ht="14.25" hidden="1" customHeight="1" x14ac:dyDescent="0.25">
      <c r="A320" s="559" t="s">
        <v>161</v>
      </c>
      <c r="B320" s="552"/>
      <c r="C320" s="552"/>
      <c r="D320" s="552"/>
      <c r="E320" s="552"/>
      <c r="F320" s="552"/>
      <c r="G320" s="552"/>
      <c r="H320" s="552"/>
      <c r="I320" s="552"/>
      <c r="J320" s="552"/>
      <c r="K320" s="552"/>
      <c r="L320" s="552"/>
      <c r="M320" s="552"/>
      <c r="N320" s="552"/>
      <c r="O320" s="552"/>
      <c r="P320" s="552"/>
      <c r="Q320" s="552"/>
      <c r="R320" s="552"/>
      <c r="S320" s="552"/>
      <c r="T320" s="552"/>
      <c r="U320" s="552"/>
      <c r="V320" s="552"/>
      <c r="W320" s="552"/>
      <c r="X320" s="552"/>
      <c r="Y320" s="552"/>
      <c r="Z320" s="552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60">
        <v>4607091380880</v>
      </c>
      <c r="E321" s="561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60">
        <v>4607091384482</v>
      </c>
      <c r="E322" s="561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7">
        <v>249.6</v>
      </c>
      <c r="Y322" s="548">
        <f>IFERROR(IF(X322="",0,CEILING((X322/$H322),1)*$H322),"")</f>
        <v>249.6</v>
      </c>
      <c r="Z322" s="36">
        <f>IFERROR(IF(Y322=0,"",ROUNDUP(Y322/H322,0)*0.01898),"")</f>
        <v>0.60736000000000001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265.40800000000002</v>
      </c>
      <c r="BN322" s="64">
        <f>IFERROR(Y322*I322/H322,"0")</f>
        <v>265.40800000000002</v>
      </c>
      <c r="BO322" s="64">
        <f>IFERROR(1/J322*(X322/H322),"0")</f>
        <v>0.5</v>
      </c>
      <c r="BP322" s="64">
        <f>IFERROR(1/J322*(Y322/H322),"0")</f>
        <v>0.5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60">
        <v>4607091380897</v>
      </c>
      <c r="E323" s="561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6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4"/>
      <c r="B324" s="552"/>
      <c r="C324" s="552"/>
      <c r="D324" s="552"/>
      <c r="E324" s="552"/>
      <c r="F324" s="552"/>
      <c r="G324" s="552"/>
      <c r="H324" s="552"/>
      <c r="I324" s="552"/>
      <c r="J324" s="552"/>
      <c r="K324" s="552"/>
      <c r="L324" s="552"/>
      <c r="M324" s="552"/>
      <c r="N324" s="552"/>
      <c r="O324" s="565"/>
      <c r="P324" s="556" t="s">
        <v>75</v>
      </c>
      <c r="Q324" s="557"/>
      <c r="R324" s="557"/>
      <c r="S324" s="557"/>
      <c r="T324" s="557"/>
      <c r="U324" s="557"/>
      <c r="V324" s="558"/>
      <c r="W324" s="37" t="s">
        <v>76</v>
      </c>
      <c r="X324" s="549">
        <f>IFERROR(X321/H321,"0")+IFERROR(X322/H322,"0")+IFERROR(X323/H323,"0")</f>
        <v>32</v>
      </c>
      <c r="Y324" s="549">
        <f>IFERROR(Y321/H321,"0")+IFERROR(Y322/H322,"0")+IFERROR(Y323/H323,"0")</f>
        <v>32</v>
      </c>
      <c r="Z324" s="549">
        <f>IFERROR(IF(Z321="",0,Z321),"0")+IFERROR(IF(Z322="",0,Z322),"0")+IFERROR(IF(Z323="",0,Z323),"0")</f>
        <v>0.60736000000000001</v>
      </c>
      <c r="AA324" s="550"/>
      <c r="AB324" s="550"/>
      <c r="AC324" s="550"/>
    </row>
    <row r="325" spans="1:68" x14ac:dyDescent="0.2">
      <c r="A325" s="552"/>
      <c r="B325" s="552"/>
      <c r="C325" s="552"/>
      <c r="D325" s="552"/>
      <c r="E325" s="552"/>
      <c r="F325" s="552"/>
      <c r="G325" s="552"/>
      <c r="H325" s="552"/>
      <c r="I325" s="552"/>
      <c r="J325" s="552"/>
      <c r="K325" s="552"/>
      <c r="L325" s="552"/>
      <c r="M325" s="552"/>
      <c r="N325" s="552"/>
      <c r="O325" s="565"/>
      <c r="P325" s="556" t="s">
        <v>75</v>
      </c>
      <c r="Q325" s="557"/>
      <c r="R325" s="557"/>
      <c r="S325" s="557"/>
      <c r="T325" s="557"/>
      <c r="U325" s="557"/>
      <c r="V325" s="558"/>
      <c r="W325" s="37" t="s">
        <v>69</v>
      </c>
      <c r="X325" s="549">
        <f>IFERROR(SUM(X321:X323),"0")</f>
        <v>249.6</v>
      </c>
      <c r="Y325" s="549">
        <f>IFERROR(SUM(Y321:Y323),"0")</f>
        <v>249.6</v>
      </c>
      <c r="Z325" s="37"/>
      <c r="AA325" s="550"/>
      <c r="AB325" s="550"/>
      <c r="AC325" s="550"/>
    </row>
    <row r="326" spans="1:68" ht="14.25" hidden="1" customHeight="1" x14ac:dyDescent="0.25">
      <c r="A326" s="559" t="s">
        <v>93</v>
      </c>
      <c r="B326" s="552"/>
      <c r="C326" s="552"/>
      <c r="D326" s="552"/>
      <c r="E326" s="552"/>
      <c r="F326" s="552"/>
      <c r="G326" s="552"/>
      <c r="H326" s="552"/>
      <c r="I326" s="552"/>
      <c r="J326" s="552"/>
      <c r="K326" s="552"/>
      <c r="L326" s="552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60">
        <v>4607091388381</v>
      </c>
      <c r="E327" s="561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60">
        <v>4607091388374</v>
      </c>
      <c r="E328" s="561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60">
        <v>4607091383102</v>
      </c>
      <c r="E329" s="561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60">
        <v>4607091388404</v>
      </c>
      <c r="E330" s="561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4"/>
      <c r="B331" s="552"/>
      <c r="C331" s="552"/>
      <c r="D331" s="552"/>
      <c r="E331" s="552"/>
      <c r="F331" s="552"/>
      <c r="G331" s="552"/>
      <c r="H331" s="552"/>
      <c r="I331" s="552"/>
      <c r="J331" s="552"/>
      <c r="K331" s="552"/>
      <c r="L331" s="552"/>
      <c r="M331" s="552"/>
      <c r="N331" s="552"/>
      <c r="O331" s="565"/>
      <c r="P331" s="556" t="s">
        <v>75</v>
      </c>
      <c r="Q331" s="557"/>
      <c r="R331" s="557"/>
      <c r="S331" s="557"/>
      <c r="T331" s="557"/>
      <c r="U331" s="557"/>
      <c r="V331" s="558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52"/>
      <c r="B332" s="552"/>
      <c r="C332" s="552"/>
      <c r="D332" s="552"/>
      <c r="E332" s="552"/>
      <c r="F332" s="552"/>
      <c r="G332" s="552"/>
      <c r="H332" s="552"/>
      <c r="I332" s="552"/>
      <c r="J332" s="552"/>
      <c r="K332" s="552"/>
      <c r="L332" s="552"/>
      <c r="M332" s="552"/>
      <c r="N332" s="552"/>
      <c r="O332" s="565"/>
      <c r="P332" s="556" t="s">
        <v>75</v>
      </c>
      <c r="Q332" s="557"/>
      <c r="R332" s="557"/>
      <c r="S332" s="557"/>
      <c r="T332" s="557"/>
      <c r="U332" s="557"/>
      <c r="V332" s="558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59" t="s">
        <v>534</v>
      </c>
      <c r="B333" s="552"/>
      <c r="C333" s="552"/>
      <c r="D333" s="552"/>
      <c r="E333" s="552"/>
      <c r="F333" s="552"/>
      <c r="G333" s="552"/>
      <c r="H333" s="552"/>
      <c r="I333" s="552"/>
      <c r="J333" s="552"/>
      <c r="K333" s="552"/>
      <c r="L333" s="552"/>
      <c r="M333" s="552"/>
      <c r="N333" s="552"/>
      <c r="O333" s="552"/>
      <c r="P333" s="552"/>
      <c r="Q333" s="552"/>
      <c r="R333" s="552"/>
      <c r="S333" s="552"/>
      <c r="T333" s="552"/>
      <c r="U333" s="552"/>
      <c r="V333" s="552"/>
      <c r="W333" s="552"/>
      <c r="X333" s="552"/>
      <c r="Y333" s="552"/>
      <c r="Z333" s="55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60">
        <v>4680115881808</v>
      </c>
      <c r="E334" s="561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7">
        <v>15</v>
      </c>
      <c r="Y334" s="548">
        <f>IFERROR(IF(X334="",0,CEILING((X334/$H334),1)*$H334),"")</f>
        <v>16</v>
      </c>
      <c r="Z334" s="36">
        <f>IFERROR(IF(Y334=0,"",ROUNDUP(Y334/H334,0)*0.00474),"")</f>
        <v>3.7920000000000002E-2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16.8</v>
      </c>
      <c r="BN334" s="64">
        <f>IFERROR(Y334*I334/H334,"0")</f>
        <v>17.920000000000002</v>
      </c>
      <c r="BO334" s="64">
        <f>IFERROR(1/J334*(X334/H334),"0")</f>
        <v>3.1512605042016806E-2</v>
      </c>
      <c r="BP334" s="64">
        <f>IFERROR(1/J334*(Y334/H334),"0")</f>
        <v>3.3613445378151259E-2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60">
        <v>4680115881822</v>
      </c>
      <c r="E335" s="561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7">
        <v>30</v>
      </c>
      <c r="Y335" s="548">
        <f>IFERROR(IF(X335="",0,CEILING((X335/$H335),1)*$H335),"")</f>
        <v>30</v>
      </c>
      <c r="Z335" s="36">
        <f>IFERROR(IF(Y335=0,"",ROUNDUP(Y335/H335,0)*0.00474),"")</f>
        <v>7.110000000000001E-2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33.6</v>
      </c>
      <c r="BN335" s="64">
        <f>IFERROR(Y335*I335/H335,"0")</f>
        <v>33.6</v>
      </c>
      <c r="BO335" s="64">
        <f>IFERROR(1/J335*(X335/H335),"0")</f>
        <v>6.3025210084033612E-2</v>
      </c>
      <c r="BP335" s="64">
        <f>IFERROR(1/J335*(Y335/H335),"0")</f>
        <v>6.3025210084033612E-2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60">
        <v>4680115880016</v>
      </c>
      <c r="E336" s="561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7">
        <v>30</v>
      </c>
      <c r="Y336" s="548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4"/>
      <c r="B337" s="552"/>
      <c r="C337" s="552"/>
      <c r="D337" s="552"/>
      <c r="E337" s="552"/>
      <c r="F337" s="552"/>
      <c r="G337" s="552"/>
      <c r="H337" s="552"/>
      <c r="I337" s="552"/>
      <c r="J337" s="552"/>
      <c r="K337" s="552"/>
      <c r="L337" s="552"/>
      <c r="M337" s="552"/>
      <c r="N337" s="552"/>
      <c r="O337" s="565"/>
      <c r="P337" s="556" t="s">
        <v>75</v>
      </c>
      <c r="Q337" s="557"/>
      <c r="R337" s="557"/>
      <c r="S337" s="557"/>
      <c r="T337" s="557"/>
      <c r="U337" s="557"/>
      <c r="V337" s="558"/>
      <c r="W337" s="37" t="s">
        <v>76</v>
      </c>
      <c r="X337" s="549">
        <f>IFERROR(X334/H334,"0")+IFERROR(X335/H335,"0")+IFERROR(X336/H336,"0")</f>
        <v>37.5</v>
      </c>
      <c r="Y337" s="549">
        <f>IFERROR(Y334/H334,"0")+IFERROR(Y335/H335,"0")+IFERROR(Y336/H336,"0")</f>
        <v>38</v>
      </c>
      <c r="Z337" s="549">
        <f>IFERROR(IF(Z334="",0,Z334),"0")+IFERROR(IF(Z335="",0,Z335),"0")+IFERROR(IF(Z336="",0,Z336),"0")</f>
        <v>0.18012</v>
      </c>
      <c r="AA337" s="550"/>
      <c r="AB337" s="550"/>
      <c r="AC337" s="550"/>
    </row>
    <row r="338" spans="1:68" x14ac:dyDescent="0.2">
      <c r="A338" s="552"/>
      <c r="B338" s="552"/>
      <c r="C338" s="552"/>
      <c r="D338" s="552"/>
      <c r="E338" s="552"/>
      <c r="F338" s="552"/>
      <c r="G338" s="552"/>
      <c r="H338" s="552"/>
      <c r="I338" s="552"/>
      <c r="J338" s="552"/>
      <c r="K338" s="552"/>
      <c r="L338" s="552"/>
      <c r="M338" s="552"/>
      <c r="N338" s="552"/>
      <c r="O338" s="565"/>
      <c r="P338" s="556" t="s">
        <v>75</v>
      </c>
      <c r="Q338" s="557"/>
      <c r="R338" s="557"/>
      <c r="S338" s="557"/>
      <c r="T338" s="557"/>
      <c r="U338" s="557"/>
      <c r="V338" s="558"/>
      <c r="W338" s="37" t="s">
        <v>69</v>
      </c>
      <c r="X338" s="549">
        <f>IFERROR(SUM(X334:X336),"0")</f>
        <v>75</v>
      </c>
      <c r="Y338" s="549">
        <f>IFERROR(SUM(Y334:Y336),"0")</f>
        <v>76</v>
      </c>
      <c r="Z338" s="37"/>
      <c r="AA338" s="550"/>
      <c r="AB338" s="550"/>
      <c r="AC338" s="550"/>
    </row>
    <row r="339" spans="1:68" ht="16.5" hidden="1" customHeight="1" x14ac:dyDescent="0.25">
      <c r="A339" s="551" t="s">
        <v>543</v>
      </c>
      <c r="B339" s="552"/>
      <c r="C339" s="552"/>
      <c r="D339" s="552"/>
      <c r="E339" s="552"/>
      <c r="F339" s="552"/>
      <c r="G339" s="552"/>
      <c r="H339" s="552"/>
      <c r="I339" s="552"/>
      <c r="J339" s="552"/>
      <c r="K339" s="552"/>
      <c r="L339" s="552"/>
      <c r="M339" s="552"/>
      <c r="N339" s="552"/>
      <c r="O339" s="552"/>
      <c r="P339" s="552"/>
      <c r="Q339" s="552"/>
      <c r="R339" s="552"/>
      <c r="S339" s="552"/>
      <c r="T339" s="552"/>
      <c r="U339" s="552"/>
      <c r="V339" s="552"/>
      <c r="W339" s="552"/>
      <c r="X339" s="552"/>
      <c r="Y339" s="552"/>
      <c r="Z339" s="552"/>
      <c r="AA339" s="542"/>
      <c r="AB339" s="542"/>
      <c r="AC339" s="542"/>
    </row>
    <row r="340" spans="1:68" ht="14.25" hidden="1" customHeight="1" x14ac:dyDescent="0.25">
      <c r="A340" s="559" t="s">
        <v>77</v>
      </c>
      <c r="B340" s="552"/>
      <c r="C340" s="552"/>
      <c r="D340" s="552"/>
      <c r="E340" s="552"/>
      <c r="F340" s="552"/>
      <c r="G340" s="552"/>
      <c r="H340" s="552"/>
      <c r="I340" s="552"/>
      <c r="J340" s="552"/>
      <c r="K340" s="552"/>
      <c r="L340" s="552"/>
      <c r="M340" s="552"/>
      <c r="N340" s="552"/>
      <c r="O340" s="552"/>
      <c r="P340" s="552"/>
      <c r="Q340" s="552"/>
      <c r="R340" s="552"/>
      <c r="S340" s="552"/>
      <c r="T340" s="552"/>
      <c r="U340" s="552"/>
      <c r="V340" s="552"/>
      <c r="W340" s="552"/>
      <c r="X340" s="552"/>
      <c r="Y340" s="552"/>
      <c r="Z340" s="552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60">
        <v>4607091387919</v>
      </c>
      <c r="E341" s="561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60">
        <v>4680115883604</v>
      </c>
      <c r="E342" s="561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7">
        <v>58.8</v>
      </c>
      <c r="Y342" s="548">
        <f>IFERROR(IF(X342="",0,CEILING((X342/$H342),1)*$H342),"")</f>
        <v>58.800000000000004</v>
      </c>
      <c r="Z342" s="36">
        <f>IFERROR(IF(Y342=0,"",ROUNDUP(Y342/H342,0)*0.00651),"")</f>
        <v>0.18228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65.855999999999995</v>
      </c>
      <c r="BN342" s="64">
        <f>IFERROR(Y342*I342/H342,"0")</f>
        <v>65.855999999999995</v>
      </c>
      <c r="BO342" s="64">
        <f>IFERROR(1/J342*(X342/H342),"0")</f>
        <v>0.15384615384615383</v>
      </c>
      <c r="BP342" s="64">
        <f>IFERROR(1/J342*(Y342/H342),"0")</f>
        <v>0.15384615384615385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60">
        <v>4680115883567</v>
      </c>
      <c r="E343" s="561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7">
        <v>58.8</v>
      </c>
      <c r="Y343" s="548">
        <f>IFERROR(IF(X343="",0,CEILING((X343/$H343),1)*$H343),"")</f>
        <v>58.800000000000004</v>
      </c>
      <c r="Z343" s="36">
        <f>IFERROR(IF(Y343=0,"",ROUNDUP(Y343/H343,0)*0.00651),"")</f>
        <v>0.18228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65.52</v>
      </c>
      <c r="BN343" s="64">
        <f>IFERROR(Y343*I343/H343,"0")</f>
        <v>65.52000000000001</v>
      </c>
      <c r="BO343" s="64">
        <f>IFERROR(1/J343*(X343/H343),"0")</f>
        <v>0.15384615384615383</v>
      </c>
      <c r="BP343" s="64">
        <f>IFERROR(1/J343*(Y343/H343),"0")</f>
        <v>0.15384615384615385</v>
      </c>
    </row>
    <row r="344" spans="1:68" x14ac:dyDescent="0.2">
      <c r="A344" s="564"/>
      <c r="B344" s="552"/>
      <c r="C344" s="552"/>
      <c r="D344" s="552"/>
      <c r="E344" s="552"/>
      <c r="F344" s="552"/>
      <c r="G344" s="552"/>
      <c r="H344" s="552"/>
      <c r="I344" s="552"/>
      <c r="J344" s="552"/>
      <c r="K344" s="552"/>
      <c r="L344" s="552"/>
      <c r="M344" s="552"/>
      <c r="N344" s="552"/>
      <c r="O344" s="565"/>
      <c r="P344" s="556" t="s">
        <v>75</v>
      </c>
      <c r="Q344" s="557"/>
      <c r="R344" s="557"/>
      <c r="S344" s="557"/>
      <c r="T344" s="557"/>
      <c r="U344" s="557"/>
      <c r="V344" s="558"/>
      <c r="W344" s="37" t="s">
        <v>76</v>
      </c>
      <c r="X344" s="549">
        <f>IFERROR(X341/H341,"0")+IFERROR(X342/H342,"0")+IFERROR(X343/H343,"0")</f>
        <v>55.999999999999993</v>
      </c>
      <c r="Y344" s="549">
        <f>IFERROR(Y341/H341,"0")+IFERROR(Y342/H342,"0")+IFERROR(Y343/H343,"0")</f>
        <v>56</v>
      </c>
      <c r="Z344" s="549">
        <f>IFERROR(IF(Z341="",0,Z341),"0")+IFERROR(IF(Z342="",0,Z342),"0")+IFERROR(IF(Z343="",0,Z343),"0")</f>
        <v>0.36456</v>
      </c>
      <c r="AA344" s="550"/>
      <c r="AB344" s="550"/>
      <c r="AC344" s="550"/>
    </row>
    <row r="345" spans="1:68" x14ac:dyDescent="0.2">
      <c r="A345" s="552"/>
      <c r="B345" s="552"/>
      <c r="C345" s="552"/>
      <c r="D345" s="552"/>
      <c r="E345" s="552"/>
      <c r="F345" s="552"/>
      <c r="G345" s="552"/>
      <c r="H345" s="552"/>
      <c r="I345" s="552"/>
      <c r="J345" s="552"/>
      <c r="K345" s="552"/>
      <c r="L345" s="552"/>
      <c r="M345" s="552"/>
      <c r="N345" s="552"/>
      <c r="O345" s="565"/>
      <c r="P345" s="556" t="s">
        <v>75</v>
      </c>
      <c r="Q345" s="557"/>
      <c r="R345" s="557"/>
      <c r="S345" s="557"/>
      <c r="T345" s="557"/>
      <c r="U345" s="557"/>
      <c r="V345" s="558"/>
      <c r="W345" s="37" t="s">
        <v>69</v>
      </c>
      <c r="X345" s="549">
        <f>IFERROR(SUM(X341:X343),"0")</f>
        <v>117.6</v>
      </c>
      <c r="Y345" s="549">
        <f>IFERROR(SUM(Y341:Y343),"0")</f>
        <v>117.60000000000001</v>
      </c>
      <c r="Z345" s="37"/>
      <c r="AA345" s="550"/>
      <c r="AB345" s="550"/>
      <c r="AC345" s="550"/>
    </row>
    <row r="346" spans="1:68" ht="27.75" hidden="1" customHeight="1" x14ac:dyDescent="0.2">
      <c r="A346" s="605" t="s">
        <v>553</v>
      </c>
      <c r="B346" s="606"/>
      <c r="C346" s="606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  <c r="AA346" s="48"/>
      <c r="AB346" s="48"/>
      <c r="AC346" s="48"/>
    </row>
    <row r="347" spans="1:68" ht="16.5" hidden="1" customHeight="1" x14ac:dyDescent="0.25">
      <c r="A347" s="551" t="s">
        <v>554</v>
      </c>
      <c r="B347" s="552"/>
      <c r="C347" s="552"/>
      <c r="D347" s="552"/>
      <c r="E347" s="552"/>
      <c r="F347" s="552"/>
      <c r="G347" s="552"/>
      <c r="H347" s="552"/>
      <c r="I347" s="552"/>
      <c r="J347" s="552"/>
      <c r="K347" s="552"/>
      <c r="L347" s="552"/>
      <c r="M347" s="552"/>
      <c r="N347" s="552"/>
      <c r="O347" s="552"/>
      <c r="P347" s="552"/>
      <c r="Q347" s="552"/>
      <c r="R347" s="552"/>
      <c r="S347" s="552"/>
      <c r="T347" s="552"/>
      <c r="U347" s="552"/>
      <c r="V347" s="552"/>
      <c r="W347" s="552"/>
      <c r="X347" s="552"/>
      <c r="Y347" s="552"/>
      <c r="Z347" s="552"/>
      <c r="AA347" s="542"/>
      <c r="AB347" s="542"/>
      <c r="AC347" s="542"/>
    </row>
    <row r="348" spans="1:68" ht="14.25" hidden="1" customHeight="1" x14ac:dyDescent="0.25">
      <c r="A348" s="559" t="s">
        <v>101</v>
      </c>
      <c r="B348" s="552"/>
      <c r="C348" s="552"/>
      <c r="D348" s="552"/>
      <c r="E348" s="552"/>
      <c r="F348" s="552"/>
      <c r="G348" s="552"/>
      <c r="H348" s="552"/>
      <c r="I348" s="552"/>
      <c r="J348" s="552"/>
      <c r="K348" s="552"/>
      <c r="L348" s="552"/>
      <c r="M348" s="552"/>
      <c r="N348" s="552"/>
      <c r="O348" s="552"/>
      <c r="P348" s="552"/>
      <c r="Q348" s="552"/>
      <c r="R348" s="552"/>
      <c r="S348" s="552"/>
      <c r="T348" s="552"/>
      <c r="U348" s="552"/>
      <c r="V348" s="552"/>
      <c r="W348" s="552"/>
      <c r="X348" s="552"/>
      <c r="Y348" s="552"/>
      <c r="Z348" s="55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60">
        <v>4680115884847</v>
      </c>
      <c r="E349" s="561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6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7">
        <v>500</v>
      </c>
      <c r="Y349" s="548">
        <f t="shared" ref="Y349:Y355" si="36">IFERROR(IF(X349="",0,CEILING((X349/$H349),1)*$H349),"")</f>
        <v>510</v>
      </c>
      <c r="Z349" s="36">
        <f>IFERROR(IF(Y349=0,"",ROUNDUP(Y349/H349,0)*0.02175),"")</f>
        <v>0.73949999999999994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515.66666666666663</v>
      </c>
      <c r="BN349" s="64">
        <f t="shared" ref="BN349:BN355" si="38">IFERROR(Y349*I349/H349,"0")</f>
        <v>525.98</v>
      </c>
      <c r="BO349" s="64">
        <f t="shared" ref="BO349:BO355" si="39">IFERROR(1/J349*(X349/H349),"0")</f>
        <v>0.69444444444444442</v>
      </c>
      <c r="BP349" s="64">
        <f t="shared" ref="BP349:BP355" si="40">IFERROR(1/J349*(Y349/H349),"0")</f>
        <v>0.70833333333333326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60">
        <v>4680115884854</v>
      </c>
      <c r="E350" s="561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7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60">
        <v>4680115884830</v>
      </c>
      <c r="E351" s="561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60">
        <v>4680115887046</v>
      </c>
      <c r="E352" s="561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60">
        <v>4680115882638</v>
      </c>
      <c r="E353" s="561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7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60">
        <v>4680115884922</v>
      </c>
      <c r="E354" s="561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60">
        <v>4680115884861</v>
      </c>
      <c r="E355" s="561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5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4"/>
      <c r="B356" s="552"/>
      <c r="C356" s="552"/>
      <c r="D356" s="552"/>
      <c r="E356" s="552"/>
      <c r="F356" s="552"/>
      <c r="G356" s="552"/>
      <c r="H356" s="552"/>
      <c r="I356" s="552"/>
      <c r="J356" s="552"/>
      <c r="K356" s="552"/>
      <c r="L356" s="552"/>
      <c r="M356" s="552"/>
      <c r="N356" s="552"/>
      <c r="O356" s="565"/>
      <c r="P356" s="556" t="s">
        <v>75</v>
      </c>
      <c r="Q356" s="557"/>
      <c r="R356" s="557"/>
      <c r="S356" s="557"/>
      <c r="T356" s="557"/>
      <c r="U356" s="557"/>
      <c r="V356" s="558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33.333333333333336</v>
      </c>
      <c r="Y356" s="549">
        <f>IFERROR(Y349/H349,"0")+IFERROR(Y350/H350,"0")+IFERROR(Y351/H351,"0")+IFERROR(Y352/H352,"0")+IFERROR(Y353/H353,"0")+IFERROR(Y354/H354,"0")+IFERROR(Y355/H355,"0")</f>
        <v>34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0.73949999999999994</v>
      </c>
      <c r="AA356" s="550"/>
      <c r="AB356" s="550"/>
      <c r="AC356" s="550"/>
    </row>
    <row r="357" spans="1:68" x14ac:dyDescent="0.2">
      <c r="A357" s="552"/>
      <c r="B357" s="552"/>
      <c r="C357" s="552"/>
      <c r="D357" s="552"/>
      <c r="E357" s="552"/>
      <c r="F357" s="552"/>
      <c r="G357" s="552"/>
      <c r="H357" s="552"/>
      <c r="I357" s="552"/>
      <c r="J357" s="552"/>
      <c r="K357" s="552"/>
      <c r="L357" s="552"/>
      <c r="M357" s="552"/>
      <c r="N357" s="552"/>
      <c r="O357" s="565"/>
      <c r="P357" s="556" t="s">
        <v>75</v>
      </c>
      <c r="Q357" s="557"/>
      <c r="R357" s="557"/>
      <c r="S357" s="557"/>
      <c r="T357" s="557"/>
      <c r="U357" s="557"/>
      <c r="V357" s="558"/>
      <c r="W357" s="37" t="s">
        <v>69</v>
      </c>
      <c r="X357" s="549">
        <f>IFERROR(SUM(X349:X355),"0")</f>
        <v>500</v>
      </c>
      <c r="Y357" s="549">
        <f>IFERROR(SUM(Y349:Y355),"0")</f>
        <v>510</v>
      </c>
      <c r="Z357" s="37"/>
      <c r="AA357" s="550"/>
      <c r="AB357" s="550"/>
      <c r="AC357" s="550"/>
    </row>
    <row r="358" spans="1:68" ht="14.25" hidden="1" customHeight="1" x14ac:dyDescent="0.25">
      <c r="A358" s="559" t="s">
        <v>136</v>
      </c>
      <c r="B358" s="552"/>
      <c r="C358" s="552"/>
      <c r="D358" s="552"/>
      <c r="E358" s="552"/>
      <c r="F358" s="552"/>
      <c r="G358" s="552"/>
      <c r="H358" s="552"/>
      <c r="I358" s="552"/>
      <c r="J358" s="552"/>
      <c r="K358" s="552"/>
      <c r="L358" s="552"/>
      <c r="M358" s="552"/>
      <c r="N358" s="552"/>
      <c r="O358" s="552"/>
      <c r="P358" s="552"/>
      <c r="Q358" s="552"/>
      <c r="R358" s="552"/>
      <c r="S358" s="552"/>
      <c r="T358" s="552"/>
      <c r="U358" s="552"/>
      <c r="V358" s="552"/>
      <c r="W358" s="552"/>
      <c r="X358" s="552"/>
      <c r="Y358" s="552"/>
      <c r="Z358" s="55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60">
        <v>4607091383980</v>
      </c>
      <c r="E359" s="561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7">
        <v>500</v>
      </c>
      <c r="Y359" s="548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60">
        <v>4607091384178</v>
      </c>
      <c r="E360" s="561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4"/>
      <c r="B361" s="552"/>
      <c r="C361" s="552"/>
      <c r="D361" s="552"/>
      <c r="E361" s="552"/>
      <c r="F361" s="552"/>
      <c r="G361" s="552"/>
      <c r="H361" s="552"/>
      <c r="I361" s="552"/>
      <c r="J361" s="552"/>
      <c r="K361" s="552"/>
      <c r="L361" s="552"/>
      <c r="M361" s="552"/>
      <c r="N361" s="552"/>
      <c r="O361" s="565"/>
      <c r="P361" s="556" t="s">
        <v>75</v>
      </c>
      <c r="Q361" s="557"/>
      <c r="R361" s="557"/>
      <c r="S361" s="557"/>
      <c r="T361" s="557"/>
      <c r="U361" s="557"/>
      <c r="V361" s="558"/>
      <c r="W361" s="37" t="s">
        <v>76</v>
      </c>
      <c r="X361" s="549">
        <f>IFERROR(X359/H359,"0")+IFERROR(X360/H360,"0")</f>
        <v>33.333333333333336</v>
      </c>
      <c r="Y361" s="549">
        <f>IFERROR(Y359/H359,"0")+IFERROR(Y360/H360,"0")</f>
        <v>34</v>
      </c>
      <c r="Z361" s="549">
        <f>IFERROR(IF(Z359="",0,Z359),"0")+IFERROR(IF(Z360="",0,Z360),"0")</f>
        <v>0.73949999999999994</v>
      </c>
      <c r="AA361" s="550"/>
      <c r="AB361" s="550"/>
      <c r="AC361" s="550"/>
    </row>
    <row r="362" spans="1:68" x14ac:dyDescent="0.2">
      <c r="A362" s="552"/>
      <c r="B362" s="552"/>
      <c r="C362" s="552"/>
      <c r="D362" s="552"/>
      <c r="E362" s="552"/>
      <c r="F362" s="552"/>
      <c r="G362" s="552"/>
      <c r="H362" s="552"/>
      <c r="I362" s="552"/>
      <c r="J362" s="552"/>
      <c r="K362" s="552"/>
      <c r="L362" s="552"/>
      <c r="M362" s="552"/>
      <c r="N362" s="552"/>
      <c r="O362" s="565"/>
      <c r="P362" s="556" t="s">
        <v>75</v>
      </c>
      <c r="Q362" s="557"/>
      <c r="R362" s="557"/>
      <c r="S362" s="557"/>
      <c r="T362" s="557"/>
      <c r="U362" s="557"/>
      <c r="V362" s="558"/>
      <c r="W362" s="37" t="s">
        <v>69</v>
      </c>
      <c r="X362" s="549">
        <f>IFERROR(SUM(X359:X360),"0")</f>
        <v>500</v>
      </c>
      <c r="Y362" s="549">
        <f>IFERROR(SUM(Y359:Y360),"0")</f>
        <v>510</v>
      </c>
      <c r="Z362" s="37"/>
      <c r="AA362" s="550"/>
      <c r="AB362" s="550"/>
      <c r="AC362" s="550"/>
    </row>
    <row r="363" spans="1:68" ht="14.25" hidden="1" customHeight="1" x14ac:dyDescent="0.25">
      <c r="A363" s="559" t="s">
        <v>77</v>
      </c>
      <c r="B363" s="552"/>
      <c r="C363" s="552"/>
      <c r="D363" s="552"/>
      <c r="E363" s="552"/>
      <c r="F363" s="552"/>
      <c r="G363" s="552"/>
      <c r="H363" s="552"/>
      <c r="I363" s="552"/>
      <c r="J363" s="552"/>
      <c r="K363" s="552"/>
      <c r="L363" s="552"/>
      <c r="M363" s="552"/>
      <c r="N363" s="552"/>
      <c r="O363" s="552"/>
      <c r="P363" s="552"/>
      <c r="Q363" s="552"/>
      <c r="R363" s="552"/>
      <c r="S363" s="552"/>
      <c r="T363" s="552"/>
      <c r="U363" s="552"/>
      <c r="V363" s="552"/>
      <c r="W363" s="552"/>
      <c r="X363" s="552"/>
      <c r="Y363" s="552"/>
      <c r="Z363" s="552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60">
        <v>4607091383928</v>
      </c>
      <c r="E364" s="561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60">
        <v>4607091384260</v>
      </c>
      <c r="E365" s="561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4"/>
      <c r="B366" s="552"/>
      <c r="C366" s="552"/>
      <c r="D366" s="552"/>
      <c r="E366" s="552"/>
      <c r="F366" s="552"/>
      <c r="G366" s="552"/>
      <c r="H366" s="552"/>
      <c r="I366" s="552"/>
      <c r="J366" s="552"/>
      <c r="K366" s="552"/>
      <c r="L366" s="552"/>
      <c r="M366" s="552"/>
      <c r="N366" s="552"/>
      <c r="O366" s="565"/>
      <c r="P366" s="556" t="s">
        <v>75</v>
      </c>
      <c r="Q366" s="557"/>
      <c r="R366" s="557"/>
      <c r="S366" s="557"/>
      <c r="T366" s="557"/>
      <c r="U366" s="557"/>
      <c r="V366" s="558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52"/>
      <c r="B367" s="552"/>
      <c r="C367" s="552"/>
      <c r="D367" s="552"/>
      <c r="E367" s="552"/>
      <c r="F367" s="552"/>
      <c r="G367" s="552"/>
      <c r="H367" s="552"/>
      <c r="I367" s="552"/>
      <c r="J367" s="552"/>
      <c r="K367" s="552"/>
      <c r="L367" s="552"/>
      <c r="M367" s="552"/>
      <c r="N367" s="552"/>
      <c r="O367" s="565"/>
      <c r="P367" s="556" t="s">
        <v>75</v>
      </c>
      <c r="Q367" s="557"/>
      <c r="R367" s="557"/>
      <c r="S367" s="557"/>
      <c r="T367" s="557"/>
      <c r="U367" s="557"/>
      <c r="V367" s="558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59" t="s">
        <v>161</v>
      </c>
      <c r="B368" s="552"/>
      <c r="C368" s="552"/>
      <c r="D368" s="552"/>
      <c r="E368" s="552"/>
      <c r="F368" s="552"/>
      <c r="G368" s="552"/>
      <c r="H368" s="552"/>
      <c r="I368" s="552"/>
      <c r="J368" s="552"/>
      <c r="K368" s="552"/>
      <c r="L368" s="552"/>
      <c r="M368" s="552"/>
      <c r="N368" s="552"/>
      <c r="O368" s="552"/>
      <c r="P368" s="552"/>
      <c r="Q368" s="552"/>
      <c r="R368" s="552"/>
      <c r="S368" s="552"/>
      <c r="T368" s="552"/>
      <c r="U368" s="552"/>
      <c r="V368" s="552"/>
      <c r="W368" s="552"/>
      <c r="X368" s="552"/>
      <c r="Y368" s="552"/>
      <c r="Z368" s="55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60">
        <v>4607091384673</v>
      </c>
      <c r="E369" s="561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63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7">
        <v>200</v>
      </c>
      <c r="Y369" s="548">
        <f>IFERROR(IF(X369="",0,CEILING((X369/$H369),1)*$H369),"")</f>
        <v>207</v>
      </c>
      <c r="Z369" s="36">
        <f>IFERROR(IF(Y369=0,"",ROUNDUP(Y369/H369,0)*0.01898),"")</f>
        <v>0.43653999999999998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210.97777777777776</v>
      </c>
      <c r="BN369" s="64">
        <f>IFERROR(Y369*I369/H369,"0")</f>
        <v>218.36199999999999</v>
      </c>
      <c r="BO369" s="64">
        <f>IFERROR(1/J369*(X369/H369),"0")</f>
        <v>0.34722222222222221</v>
      </c>
      <c r="BP369" s="64">
        <f>IFERROR(1/J369*(Y369/H369),"0")</f>
        <v>0.359375</v>
      </c>
    </row>
    <row r="370" spans="1:68" x14ac:dyDescent="0.2">
      <c r="A370" s="564"/>
      <c r="B370" s="552"/>
      <c r="C370" s="552"/>
      <c r="D370" s="552"/>
      <c r="E370" s="552"/>
      <c r="F370" s="552"/>
      <c r="G370" s="552"/>
      <c r="H370" s="552"/>
      <c r="I370" s="552"/>
      <c r="J370" s="552"/>
      <c r="K370" s="552"/>
      <c r="L370" s="552"/>
      <c r="M370" s="552"/>
      <c r="N370" s="552"/>
      <c r="O370" s="565"/>
      <c r="P370" s="556" t="s">
        <v>75</v>
      </c>
      <c r="Q370" s="557"/>
      <c r="R370" s="557"/>
      <c r="S370" s="557"/>
      <c r="T370" s="557"/>
      <c r="U370" s="557"/>
      <c r="V370" s="558"/>
      <c r="W370" s="37" t="s">
        <v>76</v>
      </c>
      <c r="X370" s="549">
        <f>IFERROR(X369/H369,"0")</f>
        <v>22.222222222222221</v>
      </c>
      <c r="Y370" s="549">
        <f>IFERROR(Y369/H369,"0")</f>
        <v>23</v>
      </c>
      <c r="Z370" s="549">
        <f>IFERROR(IF(Z369="",0,Z369),"0")</f>
        <v>0.43653999999999998</v>
      </c>
      <c r="AA370" s="550"/>
      <c r="AB370" s="550"/>
      <c r="AC370" s="550"/>
    </row>
    <row r="371" spans="1:68" x14ac:dyDescent="0.2">
      <c r="A371" s="552"/>
      <c r="B371" s="552"/>
      <c r="C371" s="552"/>
      <c r="D371" s="552"/>
      <c r="E371" s="552"/>
      <c r="F371" s="552"/>
      <c r="G371" s="552"/>
      <c r="H371" s="552"/>
      <c r="I371" s="552"/>
      <c r="J371" s="552"/>
      <c r="K371" s="552"/>
      <c r="L371" s="552"/>
      <c r="M371" s="552"/>
      <c r="N371" s="552"/>
      <c r="O371" s="565"/>
      <c r="P371" s="556" t="s">
        <v>75</v>
      </c>
      <c r="Q371" s="557"/>
      <c r="R371" s="557"/>
      <c r="S371" s="557"/>
      <c r="T371" s="557"/>
      <c r="U371" s="557"/>
      <c r="V371" s="558"/>
      <c r="W371" s="37" t="s">
        <v>69</v>
      </c>
      <c r="X371" s="549">
        <f>IFERROR(SUM(X369:X369),"0")</f>
        <v>200</v>
      </c>
      <c r="Y371" s="549">
        <f>IFERROR(SUM(Y369:Y369),"0")</f>
        <v>207</v>
      </c>
      <c r="Z371" s="37"/>
      <c r="AA371" s="550"/>
      <c r="AB371" s="550"/>
      <c r="AC371" s="550"/>
    </row>
    <row r="372" spans="1:68" ht="16.5" hidden="1" customHeight="1" x14ac:dyDescent="0.25">
      <c r="A372" s="551" t="s">
        <v>589</v>
      </c>
      <c r="B372" s="552"/>
      <c r="C372" s="552"/>
      <c r="D372" s="552"/>
      <c r="E372" s="552"/>
      <c r="F372" s="552"/>
      <c r="G372" s="552"/>
      <c r="H372" s="552"/>
      <c r="I372" s="552"/>
      <c r="J372" s="552"/>
      <c r="K372" s="552"/>
      <c r="L372" s="552"/>
      <c r="M372" s="552"/>
      <c r="N372" s="552"/>
      <c r="O372" s="552"/>
      <c r="P372" s="552"/>
      <c r="Q372" s="552"/>
      <c r="R372" s="552"/>
      <c r="S372" s="552"/>
      <c r="T372" s="552"/>
      <c r="U372" s="552"/>
      <c r="V372" s="552"/>
      <c r="W372" s="552"/>
      <c r="X372" s="552"/>
      <c r="Y372" s="552"/>
      <c r="Z372" s="552"/>
      <c r="AA372" s="542"/>
      <c r="AB372" s="542"/>
      <c r="AC372" s="542"/>
    </row>
    <row r="373" spans="1:68" ht="14.25" hidden="1" customHeight="1" x14ac:dyDescent="0.25">
      <c r="A373" s="559" t="s">
        <v>101</v>
      </c>
      <c r="B373" s="552"/>
      <c r="C373" s="552"/>
      <c r="D373" s="552"/>
      <c r="E373" s="552"/>
      <c r="F373" s="552"/>
      <c r="G373" s="552"/>
      <c r="H373" s="552"/>
      <c r="I373" s="552"/>
      <c r="J373" s="552"/>
      <c r="K373" s="552"/>
      <c r="L373" s="552"/>
      <c r="M373" s="552"/>
      <c r="N373" s="552"/>
      <c r="O373" s="552"/>
      <c r="P373" s="552"/>
      <c r="Q373" s="552"/>
      <c r="R373" s="552"/>
      <c r="S373" s="552"/>
      <c r="T373" s="552"/>
      <c r="U373" s="552"/>
      <c r="V373" s="552"/>
      <c r="W373" s="552"/>
      <c r="X373" s="552"/>
      <c r="Y373" s="552"/>
      <c r="Z373" s="55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60">
        <v>4680115884885</v>
      </c>
      <c r="E374" s="561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7">
        <v>96</v>
      </c>
      <c r="Y374" s="548">
        <f>IFERROR(IF(X374="",0,CEILING((X374/$H374),1)*$H374),"")</f>
        <v>96</v>
      </c>
      <c r="Z374" s="36">
        <f>IFERROR(IF(Y374=0,"",ROUNDUP(Y374/H374,0)*0.01898),"")</f>
        <v>0.15184</v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99.280000000000015</v>
      </c>
      <c r="BN374" s="64">
        <f>IFERROR(Y374*I374/H374,"0")</f>
        <v>99.280000000000015</v>
      </c>
      <c r="BO374" s="64">
        <f>IFERROR(1/J374*(X374/H374),"0")</f>
        <v>0.125</v>
      </c>
      <c r="BP374" s="64">
        <f>IFERROR(1/J374*(Y374/H374),"0")</f>
        <v>0.125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60">
        <v>4680115884908</v>
      </c>
      <c r="E375" s="561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4"/>
      <c r="B376" s="552"/>
      <c r="C376" s="552"/>
      <c r="D376" s="552"/>
      <c r="E376" s="552"/>
      <c r="F376" s="552"/>
      <c r="G376" s="552"/>
      <c r="H376" s="552"/>
      <c r="I376" s="552"/>
      <c r="J376" s="552"/>
      <c r="K376" s="552"/>
      <c r="L376" s="552"/>
      <c r="M376" s="552"/>
      <c r="N376" s="552"/>
      <c r="O376" s="565"/>
      <c r="P376" s="556" t="s">
        <v>75</v>
      </c>
      <c r="Q376" s="557"/>
      <c r="R376" s="557"/>
      <c r="S376" s="557"/>
      <c r="T376" s="557"/>
      <c r="U376" s="557"/>
      <c r="V376" s="558"/>
      <c r="W376" s="37" t="s">
        <v>76</v>
      </c>
      <c r="X376" s="549">
        <f>IFERROR(X374/H374,"0")+IFERROR(X375/H375,"0")</f>
        <v>8</v>
      </c>
      <c r="Y376" s="549">
        <f>IFERROR(Y374/H374,"0")+IFERROR(Y375/H375,"0")</f>
        <v>8</v>
      </c>
      <c r="Z376" s="549">
        <f>IFERROR(IF(Z374="",0,Z374),"0")+IFERROR(IF(Z375="",0,Z375),"0")</f>
        <v>0.15184</v>
      </c>
      <c r="AA376" s="550"/>
      <c r="AB376" s="550"/>
      <c r="AC376" s="550"/>
    </row>
    <row r="377" spans="1:68" x14ac:dyDescent="0.2">
      <c r="A377" s="552"/>
      <c r="B377" s="552"/>
      <c r="C377" s="552"/>
      <c r="D377" s="552"/>
      <c r="E377" s="552"/>
      <c r="F377" s="552"/>
      <c r="G377" s="552"/>
      <c r="H377" s="552"/>
      <c r="I377" s="552"/>
      <c r="J377" s="552"/>
      <c r="K377" s="552"/>
      <c r="L377" s="552"/>
      <c r="M377" s="552"/>
      <c r="N377" s="552"/>
      <c r="O377" s="565"/>
      <c r="P377" s="556" t="s">
        <v>75</v>
      </c>
      <c r="Q377" s="557"/>
      <c r="R377" s="557"/>
      <c r="S377" s="557"/>
      <c r="T377" s="557"/>
      <c r="U377" s="557"/>
      <c r="V377" s="558"/>
      <c r="W377" s="37" t="s">
        <v>69</v>
      </c>
      <c r="X377" s="549">
        <f>IFERROR(SUM(X374:X375),"0")</f>
        <v>96</v>
      </c>
      <c r="Y377" s="549">
        <f>IFERROR(SUM(Y374:Y375),"0")</f>
        <v>96</v>
      </c>
      <c r="Z377" s="37"/>
      <c r="AA377" s="550"/>
      <c r="AB377" s="550"/>
      <c r="AC377" s="550"/>
    </row>
    <row r="378" spans="1:68" ht="14.25" hidden="1" customHeight="1" x14ac:dyDescent="0.25">
      <c r="A378" s="559" t="s">
        <v>64</v>
      </c>
      <c r="B378" s="552"/>
      <c r="C378" s="552"/>
      <c r="D378" s="552"/>
      <c r="E378" s="552"/>
      <c r="F378" s="552"/>
      <c r="G378" s="552"/>
      <c r="H378" s="552"/>
      <c r="I378" s="552"/>
      <c r="J378" s="552"/>
      <c r="K378" s="552"/>
      <c r="L378" s="552"/>
      <c r="M378" s="552"/>
      <c r="N378" s="552"/>
      <c r="O378" s="552"/>
      <c r="P378" s="552"/>
      <c r="Q378" s="552"/>
      <c r="R378" s="552"/>
      <c r="S378" s="552"/>
      <c r="T378" s="552"/>
      <c r="U378" s="552"/>
      <c r="V378" s="552"/>
      <c r="W378" s="552"/>
      <c r="X378" s="552"/>
      <c r="Y378" s="552"/>
      <c r="Z378" s="55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60">
        <v>4607091384802</v>
      </c>
      <c r="E379" s="561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85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7">
        <v>52.56</v>
      </c>
      <c r="Y379" s="548">
        <f>IFERROR(IF(X379="",0,CEILING((X379/$H379),1)*$H379),"")</f>
        <v>52.56</v>
      </c>
      <c r="Z379" s="36">
        <f>IFERROR(IF(Y379=0,"",ROUNDUP(Y379/H379,0)*0.00902),"")</f>
        <v>0.10824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55.56</v>
      </c>
      <c r="BN379" s="64">
        <f>IFERROR(Y379*I379/H379,"0")</f>
        <v>55.56</v>
      </c>
      <c r="BO379" s="64">
        <f>IFERROR(1/J379*(X379/H379),"0")</f>
        <v>9.0909090909090912E-2</v>
      </c>
      <c r="BP379" s="64">
        <f>IFERROR(1/J379*(Y379/H379),"0")</f>
        <v>9.0909090909090912E-2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60">
        <v>4607091384802</v>
      </c>
      <c r="E380" s="561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4"/>
      <c r="B381" s="552"/>
      <c r="C381" s="552"/>
      <c r="D381" s="552"/>
      <c r="E381" s="552"/>
      <c r="F381" s="552"/>
      <c r="G381" s="552"/>
      <c r="H381" s="552"/>
      <c r="I381" s="552"/>
      <c r="J381" s="552"/>
      <c r="K381" s="552"/>
      <c r="L381" s="552"/>
      <c r="M381" s="552"/>
      <c r="N381" s="552"/>
      <c r="O381" s="565"/>
      <c r="P381" s="556" t="s">
        <v>75</v>
      </c>
      <c r="Q381" s="557"/>
      <c r="R381" s="557"/>
      <c r="S381" s="557"/>
      <c r="T381" s="557"/>
      <c r="U381" s="557"/>
      <c r="V381" s="558"/>
      <c r="W381" s="37" t="s">
        <v>76</v>
      </c>
      <c r="X381" s="549">
        <f>IFERROR(X379/H379,"0")+IFERROR(X380/H380,"0")</f>
        <v>12</v>
      </c>
      <c r="Y381" s="549">
        <f>IFERROR(Y379/H379,"0")+IFERROR(Y380/H380,"0")</f>
        <v>12</v>
      </c>
      <c r="Z381" s="549">
        <f>IFERROR(IF(Z379="",0,Z379),"0")+IFERROR(IF(Z380="",0,Z380),"0")</f>
        <v>0.10824</v>
      </c>
      <c r="AA381" s="550"/>
      <c r="AB381" s="550"/>
      <c r="AC381" s="550"/>
    </row>
    <row r="382" spans="1:68" x14ac:dyDescent="0.2">
      <c r="A382" s="552"/>
      <c r="B382" s="552"/>
      <c r="C382" s="552"/>
      <c r="D382" s="552"/>
      <c r="E382" s="552"/>
      <c r="F382" s="552"/>
      <c r="G382" s="552"/>
      <c r="H382" s="552"/>
      <c r="I382" s="552"/>
      <c r="J382" s="552"/>
      <c r="K382" s="552"/>
      <c r="L382" s="552"/>
      <c r="M382" s="552"/>
      <c r="N382" s="552"/>
      <c r="O382" s="565"/>
      <c r="P382" s="556" t="s">
        <v>75</v>
      </c>
      <c r="Q382" s="557"/>
      <c r="R382" s="557"/>
      <c r="S382" s="557"/>
      <c r="T382" s="557"/>
      <c r="U382" s="557"/>
      <c r="V382" s="558"/>
      <c r="W382" s="37" t="s">
        <v>69</v>
      </c>
      <c r="X382" s="549">
        <f>IFERROR(SUM(X379:X380),"0")</f>
        <v>52.56</v>
      </c>
      <c r="Y382" s="549">
        <f>IFERROR(SUM(Y379:Y380),"0")</f>
        <v>52.56</v>
      </c>
      <c r="Z382" s="37"/>
      <c r="AA382" s="550"/>
      <c r="AB382" s="550"/>
      <c r="AC382" s="550"/>
    </row>
    <row r="383" spans="1:68" ht="14.25" hidden="1" customHeight="1" x14ac:dyDescent="0.25">
      <c r="A383" s="559" t="s">
        <v>77</v>
      </c>
      <c r="B383" s="552"/>
      <c r="C383" s="552"/>
      <c r="D383" s="552"/>
      <c r="E383" s="552"/>
      <c r="F383" s="552"/>
      <c r="G383" s="552"/>
      <c r="H383" s="552"/>
      <c r="I383" s="552"/>
      <c r="J383" s="552"/>
      <c r="K383" s="552"/>
      <c r="L383" s="552"/>
      <c r="M383" s="552"/>
      <c r="N383" s="552"/>
      <c r="O383" s="552"/>
      <c r="P383" s="552"/>
      <c r="Q383" s="552"/>
      <c r="R383" s="552"/>
      <c r="S383" s="552"/>
      <c r="T383" s="552"/>
      <c r="U383" s="552"/>
      <c r="V383" s="552"/>
      <c r="W383" s="552"/>
      <c r="X383" s="552"/>
      <c r="Y383" s="552"/>
      <c r="Z383" s="55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60">
        <v>4607091384246</v>
      </c>
      <c r="E384" s="561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7">
        <v>1080</v>
      </c>
      <c r="Y384" s="548">
        <f>IFERROR(IF(X384="",0,CEILING((X384/$H384),1)*$H384),"")</f>
        <v>1080</v>
      </c>
      <c r="Z384" s="36">
        <f>IFERROR(IF(Y384=0,"",ROUNDUP(Y384/H384,0)*0.01898),"")</f>
        <v>2.2776000000000001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1139.28</v>
      </c>
      <c r="BN384" s="64">
        <f>IFERROR(Y384*I384/H384,"0")</f>
        <v>1139.28</v>
      </c>
      <c r="BO384" s="64">
        <f>IFERROR(1/J384*(X384/H384),"0")</f>
        <v>1.875</v>
      </c>
      <c r="BP384" s="64">
        <f>IFERROR(1/J384*(Y384/H384),"0")</f>
        <v>1.875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60">
        <v>4607091384253</v>
      </c>
      <c r="E385" s="561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6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7">
        <v>201.6</v>
      </c>
      <c r="Y385" s="548">
        <f>IFERROR(IF(X385="",0,CEILING((X385/$H385),1)*$H385),"")</f>
        <v>201.6</v>
      </c>
      <c r="Z385" s="36">
        <f>IFERROR(IF(Y385=0,"",ROUNDUP(Y385/H385,0)*0.00651),"")</f>
        <v>0.54683999999999999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223.77600000000001</v>
      </c>
      <c r="BN385" s="64">
        <f>IFERROR(Y385*I385/H385,"0")</f>
        <v>223.77600000000001</v>
      </c>
      <c r="BO385" s="64">
        <f>IFERROR(1/J385*(X385/H385),"0")</f>
        <v>0.46153846153846156</v>
      </c>
      <c r="BP385" s="64">
        <f>IFERROR(1/J385*(Y385/H385),"0")</f>
        <v>0.46153846153846156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60">
        <v>4607091384253</v>
      </c>
      <c r="E386" s="561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4"/>
      <c r="B387" s="552"/>
      <c r="C387" s="552"/>
      <c r="D387" s="552"/>
      <c r="E387" s="552"/>
      <c r="F387" s="552"/>
      <c r="G387" s="552"/>
      <c r="H387" s="552"/>
      <c r="I387" s="552"/>
      <c r="J387" s="552"/>
      <c r="K387" s="552"/>
      <c r="L387" s="552"/>
      <c r="M387" s="552"/>
      <c r="N387" s="552"/>
      <c r="O387" s="565"/>
      <c r="P387" s="556" t="s">
        <v>75</v>
      </c>
      <c r="Q387" s="557"/>
      <c r="R387" s="557"/>
      <c r="S387" s="557"/>
      <c r="T387" s="557"/>
      <c r="U387" s="557"/>
      <c r="V387" s="558"/>
      <c r="W387" s="37" t="s">
        <v>76</v>
      </c>
      <c r="X387" s="549">
        <f>IFERROR(X384/H384,"0")+IFERROR(X385/H385,"0")+IFERROR(X386/H386,"0")</f>
        <v>204</v>
      </c>
      <c r="Y387" s="549">
        <f>IFERROR(Y384/H384,"0")+IFERROR(Y385/H385,"0")+IFERROR(Y386/H386,"0")</f>
        <v>204</v>
      </c>
      <c r="Z387" s="549">
        <f>IFERROR(IF(Z384="",0,Z384),"0")+IFERROR(IF(Z385="",0,Z385),"0")+IFERROR(IF(Z386="",0,Z386),"0")</f>
        <v>2.8244400000000001</v>
      </c>
      <c r="AA387" s="550"/>
      <c r="AB387" s="550"/>
      <c r="AC387" s="550"/>
    </row>
    <row r="388" spans="1:68" x14ac:dyDescent="0.2">
      <c r="A388" s="552"/>
      <c r="B388" s="552"/>
      <c r="C388" s="552"/>
      <c r="D388" s="552"/>
      <c r="E388" s="552"/>
      <c r="F388" s="552"/>
      <c r="G388" s="552"/>
      <c r="H388" s="552"/>
      <c r="I388" s="552"/>
      <c r="J388" s="552"/>
      <c r="K388" s="552"/>
      <c r="L388" s="552"/>
      <c r="M388" s="552"/>
      <c r="N388" s="552"/>
      <c r="O388" s="565"/>
      <c r="P388" s="556" t="s">
        <v>75</v>
      </c>
      <c r="Q388" s="557"/>
      <c r="R388" s="557"/>
      <c r="S388" s="557"/>
      <c r="T388" s="557"/>
      <c r="U388" s="557"/>
      <c r="V388" s="558"/>
      <c r="W388" s="37" t="s">
        <v>69</v>
      </c>
      <c r="X388" s="549">
        <f>IFERROR(SUM(X384:X386),"0")</f>
        <v>1281.5999999999999</v>
      </c>
      <c r="Y388" s="549">
        <f>IFERROR(SUM(Y384:Y386),"0")</f>
        <v>1281.5999999999999</v>
      </c>
      <c r="Z388" s="37"/>
      <c r="AA388" s="550"/>
      <c r="AB388" s="550"/>
      <c r="AC388" s="550"/>
    </row>
    <row r="389" spans="1:68" ht="27.75" hidden="1" customHeight="1" x14ac:dyDescent="0.2">
      <c r="A389" s="605" t="s">
        <v>607</v>
      </c>
      <c r="B389" s="606"/>
      <c r="C389" s="606"/>
      <c r="D389" s="606"/>
      <c r="E389" s="606"/>
      <c r="F389" s="606"/>
      <c r="G389" s="606"/>
      <c r="H389" s="606"/>
      <c r="I389" s="606"/>
      <c r="J389" s="606"/>
      <c r="K389" s="606"/>
      <c r="L389" s="606"/>
      <c r="M389" s="606"/>
      <c r="N389" s="606"/>
      <c r="O389" s="606"/>
      <c r="P389" s="606"/>
      <c r="Q389" s="606"/>
      <c r="R389" s="606"/>
      <c r="S389" s="606"/>
      <c r="T389" s="606"/>
      <c r="U389" s="606"/>
      <c r="V389" s="606"/>
      <c r="W389" s="606"/>
      <c r="X389" s="606"/>
      <c r="Y389" s="606"/>
      <c r="Z389" s="606"/>
      <c r="AA389" s="48"/>
      <c r="AB389" s="48"/>
      <c r="AC389" s="48"/>
    </row>
    <row r="390" spans="1:68" ht="16.5" hidden="1" customHeight="1" x14ac:dyDescent="0.25">
      <c r="A390" s="551" t="s">
        <v>608</v>
      </c>
      <c r="B390" s="552"/>
      <c r="C390" s="552"/>
      <c r="D390" s="552"/>
      <c r="E390" s="552"/>
      <c r="F390" s="552"/>
      <c r="G390" s="552"/>
      <c r="H390" s="552"/>
      <c r="I390" s="552"/>
      <c r="J390" s="552"/>
      <c r="K390" s="552"/>
      <c r="L390" s="552"/>
      <c r="M390" s="552"/>
      <c r="N390" s="552"/>
      <c r="O390" s="552"/>
      <c r="P390" s="552"/>
      <c r="Q390" s="552"/>
      <c r="R390" s="552"/>
      <c r="S390" s="552"/>
      <c r="T390" s="552"/>
      <c r="U390" s="552"/>
      <c r="V390" s="552"/>
      <c r="W390" s="552"/>
      <c r="X390" s="552"/>
      <c r="Y390" s="552"/>
      <c r="Z390" s="552"/>
      <c r="AA390" s="542"/>
      <c r="AB390" s="542"/>
      <c r="AC390" s="542"/>
    </row>
    <row r="391" spans="1:68" ht="14.25" hidden="1" customHeight="1" x14ac:dyDescent="0.25">
      <c r="A391" s="559" t="s">
        <v>64</v>
      </c>
      <c r="B391" s="552"/>
      <c r="C391" s="552"/>
      <c r="D391" s="552"/>
      <c r="E391" s="552"/>
      <c r="F391" s="552"/>
      <c r="G391" s="552"/>
      <c r="H391" s="552"/>
      <c r="I391" s="552"/>
      <c r="J391" s="552"/>
      <c r="K391" s="552"/>
      <c r="L391" s="552"/>
      <c r="M391" s="552"/>
      <c r="N391" s="552"/>
      <c r="O391" s="552"/>
      <c r="P391" s="552"/>
      <c r="Q391" s="552"/>
      <c r="R391" s="552"/>
      <c r="S391" s="552"/>
      <c r="T391" s="552"/>
      <c r="U391" s="552"/>
      <c r="V391" s="552"/>
      <c r="W391" s="552"/>
      <c r="X391" s="552"/>
      <c r="Y391" s="552"/>
      <c r="Z391" s="552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60">
        <v>4680115886100</v>
      </c>
      <c r="E392" s="561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60">
        <v>4680115886117</v>
      </c>
      <c r="E393" s="561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60">
        <v>4680115886124</v>
      </c>
      <c r="E394" s="561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60">
        <v>4680115883147</v>
      </c>
      <c r="E395" s="561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60">
        <v>4607091384338</v>
      </c>
      <c r="E396" s="561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60">
        <v>4607091389524</v>
      </c>
      <c r="E397" s="561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60">
        <v>4680115883161</v>
      </c>
      <c r="E398" s="561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60">
        <v>4607091389531</v>
      </c>
      <c r="E399" s="561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60">
        <v>4607091384345</v>
      </c>
      <c r="E400" s="561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4"/>
      <c r="B401" s="552"/>
      <c r="C401" s="552"/>
      <c r="D401" s="552"/>
      <c r="E401" s="552"/>
      <c r="F401" s="552"/>
      <c r="G401" s="552"/>
      <c r="H401" s="552"/>
      <c r="I401" s="552"/>
      <c r="J401" s="552"/>
      <c r="K401" s="552"/>
      <c r="L401" s="552"/>
      <c r="M401" s="552"/>
      <c r="N401" s="552"/>
      <c r="O401" s="565"/>
      <c r="P401" s="556" t="s">
        <v>75</v>
      </c>
      <c r="Q401" s="557"/>
      <c r="R401" s="557"/>
      <c r="S401" s="557"/>
      <c r="T401" s="557"/>
      <c r="U401" s="557"/>
      <c r="V401" s="558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52"/>
      <c r="B402" s="552"/>
      <c r="C402" s="552"/>
      <c r="D402" s="552"/>
      <c r="E402" s="552"/>
      <c r="F402" s="552"/>
      <c r="G402" s="552"/>
      <c r="H402" s="552"/>
      <c r="I402" s="552"/>
      <c r="J402" s="552"/>
      <c r="K402" s="552"/>
      <c r="L402" s="552"/>
      <c r="M402" s="552"/>
      <c r="N402" s="552"/>
      <c r="O402" s="565"/>
      <c r="P402" s="556" t="s">
        <v>75</v>
      </c>
      <c r="Q402" s="557"/>
      <c r="R402" s="557"/>
      <c r="S402" s="557"/>
      <c r="T402" s="557"/>
      <c r="U402" s="557"/>
      <c r="V402" s="558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59" t="s">
        <v>77</v>
      </c>
      <c r="B403" s="552"/>
      <c r="C403" s="552"/>
      <c r="D403" s="552"/>
      <c r="E403" s="552"/>
      <c r="F403" s="552"/>
      <c r="G403" s="552"/>
      <c r="H403" s="552"/>
      <c r="I403" s="552"/>
      <c r="J403" s="552"/>
      <c r="K403" s="552"/>
      <c r="L403" s="552"/>
      <c r="M403" s="552"/>
      <c r="N403" s="552"/>
      <c r="O403" s="552"/>
      <c r="P403" s="552"/>
      <c r="Q403" s="552"/>
      <c r="R403" s="552"/>
      <c r="S403" s="552"/>
      <c r="T403" s="552"/>
      <c r="U403" s="552"/>
      <c r="V403" s="552"/>
      <c r="W403" s="552"/>
      <c r="X403" s="552"/>
      <c r="Y403" s="552"/>
      <c r="Z403" s="552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60">
        <v>4607091384352</v>
      </c>
      <c r="E404" s="561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60">
        <v>4607091389654</v>
      </c>
      <c r="E405" s="561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1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4"/>
      <c r="B406" s="552"/>
      <c r="C406" s="552"/>
      <c r="D406" s="552"/>
      <c r="E406" s="552"/>
      <c r="F406" s="552"/>
      <c r="G406" s="552"/>
      <c r="H406" s="552"/>
      <c r="I406" s="552"/>
      <c r="J406" s="552"/>
      <c r="K406" s="552"/>
      <c r="L406" s="552"/>
      <c r="M406" s="552"/>
      <c r="N406" s="552"/>
      <c r="O406" s="565"/>
      <c r="P406" s="556" t="s">
        <v>75</v>
      </c>
      <c r="Q406" s="557"/>
      <c r="R406" s="557"/>
      <c r="S406" s="557"/>
      <c r="T406" s="557"/>
      <c r="U406" s="557"/>
      <c r="V406" s="558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52"/>
      <c r="B407" s="552"/>
      <c r="C407" s="552"/>
      <c r="D407" s="552"/>
      <c r="E407" s="552"/>
      <c r="F407" s="552"/>
      <c r="G407" s="552"/>
      <c r="H407" s="552"/>
      <c r="I407" s="552"/>
      <c r="J407" s="552"/>
      <c r="K407" s="552"/>
      <c r="L407" s="552"/>
      <c r="M407" s="552"/>
      <c r="N407" s="552"/>
      <c r="O407" s="565"/>
      <c r="P407" s="556" t="s">
        <v>75</v>
      </c>
      <c r="Q407" s="557"/>
      <c r="R407" s="557"/>
      <c r="S407" s="557"/>
      <c r="T407" s="557"/>
      <c r="U407" s="557"/>
      <c r="V407" s="558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51" t="s">
        <v>639</v>
      </c>
      <c r="B408" s="552"/>
      <c r="C408" s="552"/>
      <c r="D408" s="552"/>
      <c r="E408" s="552"/>
      <c r="F408" s="552"/>
      <c r="G408" s="552"/>
      <c r="H408" s="552"/>
      <c r="I408" s="552"/>
      <c r="J408" s="552"/>
      <c r="K408" s="552"/>
      <c r="L408" s="552"/>
      <c r="M408" s="552"/>
      <c r="N408" s="552"/>
      <c r="O408" s="552"/>
      <c r="P408" s="552"/>
      <c r="Q408" s="552"/>
      <c r="R408" s="552"/>
      <c r="S408" s="552"/>
      <c r="T408" s="552"/>
      <c r="U408" s="552"/>
      <c r="V408" s="552"/>
      <c r="W408" s="552"/>
      <c r="X408" s="552"/>
      <c r="Y408" s="552"/>
      <c r="Z408" s="552"/>
      <c r="AA408" s="542"/>
      <c r="AB408" s="542"/>
      <c r="AC408" s="542"/>
    </row>
    <row r="409" spans="1:68" ht="14.25" hidden="1" customHeight="1" x14ac:dyDescent="0.25">
      <c r="A409" s="559" t="s">
        <v>136</v>
      </c>
      <c r="B409" s="552"/>
      <c r="C409" s="552"/>
      <c r="D409" s="552"/>
      <c r="E409" s="552"/>
      <c r="F409" s="552"/>
      <c r="G409" s="552"/>
      <c r="H409" s="552"/>
      <c r="I409" s="552"/>
      <c r="J409" s="552"/>
      <c r="K409" s="552"/>
      <c r="L409" s="552"/>
      <c r="M409" s="552"/>
      <c r="N409" s="552"/>
      <c r="O409" s="552"/>
      <c r="P409" s="552"/>
      <c r="Q409" s="552"/>
      <c r="R409" s="552"/>
      <c r="S409" s="552"/>
      <c r="T409" s="552"/>
      <c r="U409" s="552"/>
      <c r="V409" s="552"/>
      <c r="W409" s="552"/>
      <c r="X409" s="552"/>
      <c r="Y409" s="552"/>
      <c r="Z409" s="552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60">
        <v>4680115885240</v>
      </c>
      <c r="E410" s="561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6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4"/>
      <c r="B411" s="552"/>
      <c r="C411" s="552"/>
      <c r="D411" s="552"/>
      <c r="E411" s="552"/>
      <c r="F411" s="552"/>
      <c r="G411" s="552"/>
      <c r="H411" s="552"/>
      <c r="I411" s="552"/>
      <c r="J411" s="552"/>
      <c r="K411" s="552"/>
      <c r="L411" s="552"/>
      <c r="M411" s="552"/>
      <c r="N411" s="552"/>
      <c r="O411" s="565"/>
      <c r="P411" s="556" t="s">
        <v>75</v>
      </c>
      <c r="Q411" s="557"/>
      <c r="R411" s="557"/>
      <c r="S411" s="557"/>
      <c r="T411" s="557"/>
      <c r="U411" s="557"/>
      <c r="V411" s="558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52"/>
      <c r="B412" s="552"/>
      <c r="C412" s="552"/>
      <c r="D412" s="552"/>
      <c r="E412" s="552"/>
      <c r="F412" s="552"/>
      <c r="G412" s="552"/>
      <c r="H412" s="552"/>
      <c r="I412" s="552"/>
      <c r="J412" s="552"/>
      <c r="K412" s="552"/>
      <c r="L412" s="552"/>
      <c r="M412" s="552"/>
      <c r="N412" s="552"/>
      <c r="O412" s="565"/>
      <c r="P412" s="556" t="s">
        <v>75</v>
      </c>
      <c r="Q412" s="557"/>
      <c r="R412" s="557"/>
      <c r="S412" s="557"/>
      <c r="T412" s="557"/>
      <c r="U412" s="557"/>
      <c r="V412" s="558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59" t="s">
        <v>64</v>
      </c>
      <c r="B413" s="552"/>
      <c r="C413" s="552"/>
      <c r="D413" s="552"/>
      <c r="E413" s="552"/>
      <c r="F413" s="552"/>
      <c r="G413" s="552"/>
      <c r="H413" s="552"/>
      <c r="I413" s="552"/>
      <c r="J413" s="552"/>
      <c r="K413" s="552"/>
      <c r="L413" s="552"/>
      <c r="M413" s="552"/>
      <c r="N413" s="552"/>
      <c r="O413" s="552"/>
      <c r="P413" s="552"/>
      <c r="Q413" s="552"/>
      <c r="R413" s="552"/>
      <c r="S413" s="552"/>
      <c r="T413" s="552"/>
      <c r="U413" s="552"/>
      <c r="V413" s="552"/>
      <c r="W413" s="552"/>
      <c r="X413" s="552"/>
      <c r="Y413" s="552"/>
      <c r="Z413" s="552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60">
        <v>4680115886094</v>
      </c>
      <c r="E414" s="561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7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60">
        <v>4607091389425</v>
      </c>
      <c r="E415" s="561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60">
        <v>4680115880771</v>
      </c>
      <c r="E416" s="561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60">
        <v>4607091389500</v>
      </c>
      <c r="E417" s="561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4"/>
      <c r="B418" s="552"/>
      <c r="C418" s="552"/>
      <c r="D418" s="552"/>
      <c r="E418" s="552"/>
      <c r="F418" s="552"/>
      <c r="G418" s="552"/>
      <c r="H418" s="552"/>
      <c r="I418" s="552"/>
      <c r="J418" s="552"/>
      <c r="K418" s="552"/>
      <c r="L418" s="552"/>
      <c r="M418" s="552"/>
      <c r="N418" s="552"/>
      <c r="O418" s="565"/>
      <c r="P418" s="556" t="s">
        <v>75</v>
      </c>
      <c r="Q418" s="557"/>
      <c r="R418" s="557"/>
      <c r="S418" s="557"/>
      <c r="T418" s="557"/>
      <c r="U418" s="557"/>
      <c r="V418" s="558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52"/>
      <c r="B419" s="552"/>
      <c r="C419" s="552"/>
      <c r="D419" s="552"/>
      <c r="E419" s="552"/>
      <c r="F419" s="552"/>
      <c r="G419" s="552"/>
      <c r="H419" s="552"/>
      <c r="I419" s="552"/>
      <c r="J419" s="552"/>
      <c r="K419" s="552"/>
      <c r="L419" s="552"/>
      <c r="M419" s="552"/>
      <c r="N419" s="552"/>
      <c r="O419" s="565"/>
      <c r="P419" s="556" t="s">
        <v>75</v>
      </c>
      <c r="Q419" s="557"/>
      <c r="R419" s="557"/>
      <c r="S419" s="557"/>
      <c r="T419" s="557"/>
      <c r="U419" s="557"/>
      <c r="V419" s="558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51" t="s">
        <v>654</v>
      </c>
      <c r="B420" s="552"/>
      <c r="C420" s="552"/>
      <c r="D420" s="552"/>
      <c r="E420" s="552"/>
      <c r="F420" s="552"/>
      <c r="G420" s="552"/>
      <c r="H420" s="552"/>
      <c r="I420" s="552"/>
      <c r="J420" s="552"/>
      <c r="K420" s="552"/>
      <c r="L420" s="552"/>
      <c r="M420" s="552"/>
      <c r="N420" s="552"/>
      <c r="O420" s="552"/>
      <c r="P420" s="552"/>
      <c r="Q420" s="552"/>
      <c r="R420" s="552"/>
      <c r="S420" s="552"/>
      <c r="T420" s="552"/>
      <c r="U420" s="552"/>
      <c r="V420" s="552"/>
      <c r="W420" s="552"/>
      <c r="X420" s="552"/>
      <c r="Y420" s="552"/>
      <c r="Z420" s="552"/>
      <c r="AA420" s="542"/>
      <c r="AB420" s="542"/>
      <c r="AC420" s="542"/>
    </row>
    <row r="421" spans="1:68" ht="14.25" hidden="1" customHeight="1" x14ac:dyDescent="0.25">
      <c r="A421" s="559" t="s">
        <v>64</v>
      </c>
      <c r="B421" s="552"/>
      <c r="C421" s="552"/>
      <c r="D421" s="552"/>
      <c r="E421" s="552"/>
      <c r="F421" s="552"/>
      <c r="G421" s="552"/>
      <c r="H421" s="552"/>
      <c r="I421" s="552"/>
      <c r="J421" s="552"/>
      <c r="K421" s="552"/>
      <c r="L421" s="552"/>
      <c r="M421" s="552"/>
      <c r="N421" s="552"/>
      <c r="O421" s="552"/>
      <c r="P421" s="552"/>
      <c r="Q421" s="552"/>
      <c r="R421" s="552"/>
      <c r="S421" s="552"/>
      <c r="T421" s="552"/>
      <c r="U421" s="552"/>
      <c r="V421" s="552"/>
      <c r="W421" s="552"/>
      <c r="X421" s="552"/>
      <c r="Y421" s="552"/>
      <c r="Z421" s="552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60">
        <v>4680115885110</v>
      </c>
      <c r="E422" s="561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4"/>
      <c r="B423" s="552"/>
      <c r="C423" s="552"/>
      <c r="D423" s="552"/>
      <c r="E423" s="552"/>
      <c r="F423" s="552"/>
      <c r="G423" s="552"/>
      <c r="H423" s="552"/>
      <c r="I423" s="552"/>
      <c r="J423" s="552"/>
      <c r="K423" s="552"/>
      <c r="L423" s="552"/>
      <c r="M423" s="552"/>
      <c r="N423" s="552"/>
      <c r="O423" s="565"/>
      <c r="P423" s="556" t="s">
        <v>75</v>
      </c>
      <c r="Q423" s="557"/>
      <c r="R423" s="557"/>
      <c r="S423" s="557"/>
      <c r="T423" s="557"/>
      <c r="U423" s="557"/>
      <c r="V423" s="558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52"/>
      <c r="B424" s="552"/>
      <c r="C424" s="552"/>
      <c r="D424" s="552"/>
      <c r="E424" s="552"/>
      <c r="F424" s="552"/>
      <c r="G424" s="552"/>
      <c r="H424" s="552"/>
      <c r="I424" s="552"/>
      <c r="J424" s="552"/>
      <c r="K424" s="552"/>
      <c r="L424" s="552"/>
      <c r="M424" s="552"/>
      <c r="N424" s="552"/>
      <c r="O424" s="565"/>
      <c r="P424" s="556" t="s">
        <v>75</v>
      </c>
      <c r="Q424" s="557"/>
      <c r="R424" s="557"/>
      <c r="S424" s="557"/>
      <c r="T424" s="557"/>
      <c r="U424" s="557"/>
      <c r="V424" s="558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605" t="s">
        <v>658</v>
      </c>
      <c r="B425" s="606"/>
      <c r="C425" s="606"/>
      <c r="D425" s="606"/>
      <c r="E425" s="606"/>
      <c r="F425" s="606"/>
      <c r="G425" s="606"/>
      <c r="H425" s="606"/>
      <c r="I425" s="606"/>
      <c r="J425" s="606"/>
      <c r="K425" s="606"/>
      <c r="L425" s="606"/>
      <c r="M425" s="606"/>
      <c r="N425" s="606"/>
      <c r="O425" s="606"/>
      <c r="P425" s="606"/>
      <c r="Q425" s="606"/>
      <c r="R425" s="606"/>
      <c r="S425" s="606"/>
      <c r="T425" s="606"/>
      <c r="U425" s="606"/>
      <c r="V425" s="606"/>
      <c r="W425" s="606"/>
      <c r="X425" s="606"/>
      <c r="Y425" s="606"/>
      <c r="Z425" s="606"/>
      <c r="AA425" s="48"/>
      <c r="AB425" s="48"/>
      <c r="AC425" s="48"/>
    </row>
    <row r="426" spans="1:68" ht="16.5" hidden="1" customHeight="1" x14ac:dyDescent="0.25">
      <c r="A426" s="551" t="s">
        <v>658</v>
      </c>
      <c r="B426" s="552"/>
      <c r="C426" s="552"/>
      <c r="D426" s="552"/>
      <c r="E426" s="552"/>
      <c r="F426" s="552"/>
      <c r="G426" s="552"/>
      <c r="H426" s="552"/>
      <c r="I426" s="552"/>
      <c r="J426" s="552"/>
      <c r="K426" s="552"/>
      <c r="L426" s="552"/>
      <c r="M426" s="552"/>
      <c r="N426" s="552"/>
      <c r="O426" s="552"/>
      <c r="P426" s="552"/>
      <c r="Q426" s="552"/>
      <c r="R426" s="552"/>
      <c r="S426" s="552"/>
      <c r="T426" s="552"/>
      <c r="U426" s="552"/>
      <c r="V426" s="552"/>
      <c r="W426" s="552"/>
      <c r="X426" s="552"/>
      <c r="Y426" s="552"/>
      <c r="Z426" s="552"/>
      <c r="AA426" s="542"/>
      <c r="AB426" s="542"/>
      <c r="AC426" s="542"/>
    </row>
    <row r="427" spans="1:68" ht="14.25" hidden="1" customHeight="1" x14ac:dyDescent="0.25">
      <c r="A427" s="559" t="s">
        <v>101</v>
      </c>
      <c r="B427" s="552"/>
      <c r="C427" s="552"/>
      <c r="D427" s="552"/>
      <c r="E427" s="552"/>
      <c r="F427" s="552"/>
      <c r="G427" s="552"/>
      <c r="H427" s="552"/>
      <c r="I427" s="552"/>
      <c r="J427" s="552"/>
      <c r="K427" s="552"/>
      <c r="L427" s="552"/>
      <c r="M427" s="552"/>
      <c r="N427" s="552"/>
      <c r="O427" s="552"/>
      <c r="P427" s="552"/>
      <c r="Q427" s="552"/>
      <c r="R427" s="552"/>
      <c r="S427" s="552"/>
      <c r="T427" s="552"/>
      <c r="U427" s="552"/>
      <c r="V427" s="552"/>
      <c r="W427" s="552"/>
      <c r="X427" s="552"/>
      <c r="Y427" s="552"/>
      <c r="Z427" s="552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60">
        <v>4607091389067</v>
      </c>
      <c r="E428" s="561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7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60">
        <v>4607091383522</v>
      </c>
      <c r="E429" s="561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7">
        <v>100</v>
      </c>
      <c r="Y429" s="548">
        <f t="shared" si="47"/>
        <v>100.32000000000001</v>
      </c>
      <c r="Z429" s="36">
        <f t="shared" si="48"/>
        <v>0.22724</v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106.62878787878788</v>
      </c>
      <c r="BN429" s="64">
        <f t="shared" si="50"/>
        <v>106.97</v>
      </c>
      <c r="BO429" s="64">
        <f t="shared" si="51"/>
        <v>0.18210955710955709</v>
      </c>
      <c r="BP429" s="64">
        <f t="shared" si="52"/>
        <v>0.18269230769230771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60">
        <v>4607091383522</v>
      </c>
      <c r="E430" s="561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4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60">
        <v>4680115885271</v>
      </c>
      <c r="E431" s="561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7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60">
        <v>4680115885226</v>
      </c>
      <c r="E432" s="561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7">
        <v>506.88</v>
      </c>
      <c r="Y432" s="548">
        <f t="shared" si="47"/>
        <v>506.88</v>
      </c>
      <c r="Z432" s="36">
        <f t="shared" si="48"/>
        <v>1.1481600000000001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540.4799999999999</v>
      </c>
      <c r="BN432" s="64">
        <f t="shared" si="50"/>
        <v>540.4799999999999</v>
      </c>
      <c r="BO432" s="64">
        <f t="shared" si="51"/>
        <v>0.92307692307692313</v>
      </c>
      <c r="BP432" s="64">
        <f t="shared" si="52"/>
        <v>0.92307692307692313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60">
        <v>4680115884502</v>
      </c>
      <c r="E433" s="561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6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60">
        <v>4607091389104</v>
      </c>
      <c r="E434" s="561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7">
        <v>506.88</v>
      </c>
      <c r="Y434" s="548">
        <f t="shared" si="47"/>
        <v>506.88</v>
      </c>
      <c r="Z434" s="36">
        <f t="shared" si="48"/>
        <v>1.1481600000000001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540.4799999999999</v>
      </c>
      <c r="BN434" s="64">
        <f t="shared" si="50"/>
        <v>540.4799999999999</v>
      </c>
      <c r="BO434" s="64">
        <f t="shared" si="51"/>
        <v>0.92307692307692313</v>
      </c>
      <c r="BP434" s="64">
        <f t="shared" si="52"/>
        <v>0.92307692307692313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60">
        <v>4680115886391</v>
      </c>
      <c r="E435" s="561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60">
        <v>4680115880603</v>
      </c>
      <c r="E436" s="561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6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60">
        <v>4680115882782</v>
      </c>
      <c r="E437" s="561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87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60">
        <v>4680115885479</v>
      </c>
      <c r="E438" s="561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4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60">
        <v>4607091389982</v>
      </c>
      <c r="E439" s="561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60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7">
        <v>480</v>
      </c>
      <c r="Y439" s="548">
        <f t="shared" si="47"/>
        <v>480</v>
      </c>
      <c r="Z439" s="36">
        <f>IFERROR(IF(Y439=0,"",ROUNDUP(Y439/H439,0)*0.00902),"")</f>
        <v>0.90200000000000002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691.00000000000011</v>
      </c>
      <c r="BN439" s="64">
        <f t="shared" si="50"/>
        <v>691.00000000000011</v>
      </c>
      <c r="BO439" s="64">
        <f t="shared" si="51"/>
        <v>0.75757575757575757</v>
      </c>
      <c r="BP439" s="64">
        <f t="shared" si="52"/>
        <v>0.75757575757575757</v>
      </c>
    </row>
    <row r="440" spans="1:68" x14ac:dyDescent="0.2">
      <c r="A440" s="564"/>
      <c r="B440" s="552"/>
      <c r="C440" s="552"/>
      <c r="D440" s="552"/>
      <c r="E440" s="552"/>
      <c r="F440" s="552"/>
      <c r="G440" s="552"/>
      <c r="H440" s="552"/>
      <c r="I440" s="552"/>
      <c r="J440" s="552"/>
      <c r="K440" s="552"/>
      <c r="L440" s="552"/>
      <c r="M440" s="552"/>
      <c r="N440" s="552"/>
      <c r="O440" s="565"/>
      <c r="P440" s="556" t="s">
        <v>75</v>
      </c>
      <c r="Q440" s="557"/>
      <c r="R440" s="557"/>
      <c r="S440" s="557"/>
      <c r="T440" s="557"/>
      <c r="U440" s="557"/>
      <c r="V440" s="558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310.93939393939394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311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3.4255599999999999</v>
      </c>
      <c r="AA440" s="550"/>
      <c r="AB440" s="550"/>
      <c r="AC440" s="550"/>
    </row>
    <row r="441" spans="1:68" x14ac:dyDescent="0.2">
      <c r="A441" s="552"/>
      <c r="B441" s="552"/>
      <c r="C441" s="552"/>
      <c r="D441" s="552"/>
      <c r="E441" s="552"/>
      <c r="F441" s="552"/>
      <c r="G441" s="552"/>
      <c r="H441" s="552"/>
      <c r="I441" s="552"/>
      <c r="J441" s="552"/>
      <c r="K441" s="552"/>
      <c r="L441" s="552"/>
      <c r="M441" s="552"/>
      <c r="N441" s="552"/>
      <c r="O441" s="565"/>
      <c r="P441" s="556" t="s">
        <v>75</v>
      </c>
      <c r="Q441" s="557"/>
      <c r="R441" s="557"/>
      <c r="S441" s="557"/>
      <c r="T441" s="557"/>
      <c r="U441" s="557"/>
      <c r="V441" s="558"/>
      <c r="W441" s="37" t="s">
        <v>69</v>
      </c>
      <c r="X441" s="549">
        <f>IFERROR(SUM(X428:X439),"0")</f>
        <v>1593.76</v>
      </c>
      <c r="Y441" s="549">
        <f>IFERROR(SUM(Y428:Y439),"0")</f>
        <v>1594.08</v>
      </c>
      <c r="Z441" s="37"/>
      <c r="AA441" s="550"/>
      <c r="AB441" s="550"/>
      <c r="AC441" s="550"/>
    </row>
    <row r="442" spans="1:68" ht="14.25" hidden="1" customHeight="1" x14ac:dyDescent="0.25">
      <c r="A442" s="559" t="s">
        <v>136</v>
      </c>
      <c r="B442" s="552"/>
      <c r="C442" s="552"/>
      <c r="D442" s="552"/>
      <c r="E442" s="552"/>
      <c r="F442" s="552"/>
      <c r="G442" s="552"/>
      <c r="H442" s="552"/>
      <c r="I442" s="552"/>
      <c r="J442" s="552"/>
      <c r="K442" s="552"/>
      <c r="L442" s="552"/>
      <c r="M442" s="552"/>
      <c r="N442" s="552"/>
      <c r="O442" s="552"/>
      <c r="P442" s="552"/>
      <c r="Q442" s="552"/>
      <c r="R442" s="552"/>
      <c r="S442" s="552"/>
      <c r="T442" s="552"/>
      <c r="U442" s="552"/>
      <c r="V442" s="552"/>
      <c r="W442" s="552"/>
      <c r="X442" s="552"/>
      <c r="Y442" s="552"/>
      <c r="Z442" s="55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60">
        <v>4607091388930</v>
      </c>
      <c r="E443" s="561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7">
        <v>506.88</v>
      </c>
      <c r="Y443" s="548">
        <f>IFERROR(IF(X443="",0,CEILING((X443/$H443),1)*$H443),"")</f>
        <v>506.88</v>
      </c>
      <c r="Z443" s="36">
        <f>IFERROR(IF(Y443=0,"",ROUNDUP(Y443/H443,0)*0.01196),"")</f>
        <v>1.1481600000000001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540.4799999999999</v>
      </c>
      <c r="BN443" s="64">
        <f>IFERROR(Y443*I443/H443,"0")</f>
        <v>540.4799999999999</v>
      </c>
      <c r="BO443" s="64">
        <f>IFERROR(1/J443*(X443/H443),"0")</f>
        <v>0.92307692307692313</v>
      </c>
      <c r="BP443" s="64">
        <f>IFERROR(1/J443*(Y443/H443),"0")</f>
        <v>0.92307692307692313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60">
        <v>4680115886407</v>
      </c>
      <c r="E444" s="561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56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60">
        <v>4680115880054</v>
      </c>
      <c r="E445" s="561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4"/>
      <c r="B446" s="552"/>
      <c r="C446" s="552"/>
      <c r="D446" s="552"/>
      <c r="E446" s="552"/>
      <c r="F446" s="552"/>
      <c r="G446" s="552"/>
      <c r="H446" s="552"/>
      <c r="I446" s="552"/>
      <c r="J446" s="552"/>
      <c r="K446" s="552"/>
      <c r="L446" s="552"/>
      <c r="M446" s="552"/>
      <c r="N446" s="552"/>
      <c r="O446" s="565"/>
      <c r="P446" s="556" t="s">
        <v>75</v>
      </c>
      <c r="Q446" s="557"/>
      <c r="R446" s="557"/>
      <c r="S446" s="557"/>
      <c r="T446" s="557"/>
      <c r="U446" s="557"/>
      <c r="V446" s="558"/>
      <c r="W446" s="37" t="s">
        <v>76</v>
      </c>
      <c r="X446" s="549">
        <f>IFERROR(X443/H443,"0")+IFERROR(X444/H444,"0")+IFERROR(X445/H445,"0")</f>
        <v>96</v>
      </c>
      <c r="Y446" s="549">
        <f>IFERROR(Y443/H443,"0")+IFERROR(Y444/H444,"0")+IFERROR(Y445/H445,"0")</f>
        <v>96</v>
      </c>
      <c r="Z446" s="549">
        <f>IFERROR(IF(Z443="",0,Z443),"0")+IFERROR(IF(Z444="",0,Z444),"0")+IFERROR(IF(Z445="",0,Z445),"0")</f>
        <v>1.1481600000000001</v>
      </c>
      <c r="AA446" s="550"/>
      <c r="AB446" s="550"/>
      <c r="AC446" s="550"/>
    </row>
    <row r="447" spans="1:68" x14ac:dyDescent="0.2">
      <c r="A447" s="552"/>
      <c r="B447" s="552"/>
      <c r="C447" s="552"/>
      <c r="D447" s="552"/>
      <c r="E447" s="552"/>
      <c r="F447" s="552"/>
      <c r="G447" s="552"/>
      <c r="H447" s="552"/>
      <c r="I447" s="552"/>
      <c r="J447" s="552"/>
      <c r="K447" s="552"/>
      <c r="L447" s="552"/>
      <c r="M447" s="552"/>
      <c r="N447" s="552"/>
      <c r="O447" s="565"/>
      <c r="P447" s="556" t="s">
        <v>75</v>
      </c>
      <c r="Q447" s="557"/>
      <c r="R447" s="557"/>
      <c r="S447" s="557"/>
      <c r="T447" s="557"/>
      <c r="U447" s="557"/>
      <c r="V447" s="558"/>
      <c r="W447" s="37" t="s">
        <v>69</v>
      </c>
      <c r="X447" s="549">
        <f>IFERROR(SUM(X443:X445),"0")</f>
        <v>506.88</v>
      </c>
      <c r="Y447" s="549">
        <f>IFERROR(SUM(Y443:Y445),"0")</f>
        <v>506.88</v>
      </c>
      <c r="Z447" s="37"/>
      <c r="AA447" s="550"/>
      <c r="AB447" s="550"/>
      <c r="AC447" s="550"/>
    </row>
    <row r="448" spans="1:68" ht="14.25" hidden="1" customHeight="1" x14ac:dyDescent="0.25">
      <c r="A448" s="559" t="s">
        <v>64</v>
      </c>
      <c r="B448" s="552"/>
      <c r="C448" s="552"/>
      <c r="D448" s="552"/>
      <c r="E448" s="552"/>
      <c r="F448" s="552"/>
      <c r="G448" s="552"/>
      <c r="H448" s="552"/>
      <c r="I448" s="552"/>
      <c r="J448" s="552"/>
      <c r="K448" s="552"/>
      <c r="L448" s="552"/>
      <c r="M448" s="552"/>
      <c r="N448" s="552"/>
      <c r="O448" s="552"/>
      <c r="P448" s="552"/>
      <c r="Q448" s="552"/>
      <c r="R448" s="552"/>
      <c r="S448" s="552"/>
      <c r="T448" s="552"/>
      <c r="U448" s="552"/>
      <c r="V448" s="552"/>
      <c r="W448" s="552"/>
      <c r="X448" s="552"/>
      <c r="Y448" s="552"/>
      <c r="Z448" s="55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60">
        <v>4680115883116</v>
      </c>
      <c r="E449" s="561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7">
        <v>506.88</v>
      </c>
      <c r="Y449" s="548">
        <f t="shared" ref="Y449:Y454" si="53">IFERROR(IF(X449="",0,CEILING((X449/$H449),1)*$H449),"")</f>
        <v>506.88</v>
      </c>
      <c r="Z449" s="36">
        <f>IFERROR(IF(Y449=0,"",ROUNDUP(Y449/H449,0)*0.01196),"")</f>
        <v>1.1481600000000001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540.4799999999999</v>
      </c>
      <c r="BN449" s="64">
        <f t="shared" ref="BN449:BN454" si="55">IFERROR(Y449*I449/H449,"0")</f>
        <v>540.4799999999999</v>
      </c>
      <c r="BO449" s="64">
        <f t="shared" ref="BO449:BO454" si="56">IFERROR(1/J449*(X449/H449),"0")</f>
        <v>0.92307692307692313</v>
      </c>
      <c r="BP449" s="64">
        <f t="shared" ref="BP449:BP454" si="57">IFERROR(1/J449*(Y449/H449),"0")</f>
        <v>0.92307692307692313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60">
        <v>4680115883093</v>
      </c>
      <c r="E450" s="561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7">
        <v>506.88</v>
      </c>
      <c r="Y450" s="548">
        <f t="shared" si="53"/>
        <v>506.88</v>
      </c>
      <c r="Z450" s="36">
        <f>IFERROR(IF(Y450=0,"",ROUNDUP(Y450/H450,0)*0.01196),"")</f>
        <v>1.1481600000000001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540.4799999999999</v>
      </c>
      <c r="BN450" s="64">
        <f t="shared" si="55"/>
        <v>540.4799999999999</v>
      </c>
      <c r="BO450" s="64">
        <f t="shared" si="56"/>
        <v>0.92307692307692313</v>
      </c>
      <c r="BP450" s="64">
        <f t="shared" si="57"/>
        <v>0.92307692307692313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60">
        <v>4680115883109</v>
      </c>
      <c r="E451" s="561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7">
        <v>506.88</v>
      </c>
      <c r="Y451" s="548">
        <f t="shared" si="53"/>
        <v>506.88</v>
      </c>
      <c r="Z451" s="36">
        <f>IFERROR(IF(Y451=0,"",ROUNDUP(Y451/H451,0)*0.01196),"")</f>
        <v>1.1481600000000001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540.4799999999999</v>
      </c>
      <c r="BN451" s="64">
        <f t="shared" si="55"/>
        <v>540.4799999999999</v>
      </c>
      <c r="BO451" s="64">
        <f t="shared" si="56"/>
        <v>0.92307692307692313</v>
      </c>
      <c r="BP451" s="64">
        <f t="shared" si="57"/>
        <v>0.92307692307692313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60">
        <v>4680115882072</v>
      </c>
      <c r="E452" s="561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85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60">
        <v>4680115882102</v>
      </c>
      <c r="E453" s="561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60">
        <v>4680115882096</v>
      </c>
      <c r="E454" s="561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8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4"/>
      <c r="B455" s="552"/>
      <c r="C455" s="552"/>
      <c r="D455" s="552"/>
      <c r="E455" s="552"/>
      <c r="F455" s="552"/>
      <c r="G455" s="552"/>
      <c r="H455" s="552"/>
      <c r="I455" s="552"/>
      <c r="J455" s="552"/>
      <c r="K455" s="552"/>
      <c r="L455" s="552"/>
      <c r="M455" s="552"/>
      <c r="N455" s="552"/>
      <c r="O455" s="565"/>
      <c r="P455" s="556" t="s">
        <v>75</v>
      </c>
      <c r="Q455" s="557"/>
      <c r="R455" s="557"/>
      <c r="S455" s="557"/>
      <c r="T455" s="557"/>
      <c r="U455" s="557"/>
      <c r="V455" s="558"/>
      <c r="W455" s="37" t="s">
        <v>76</v>
      </c>
      <c r="X455" s="549">
        <f>IFERROR(X449/H449,"0")+IFERROR(X450/H450,"0")+IFERROR(X451/H451,"0")+IFERROR(X452/H452,"0")+IFERROR(X453/H453,"0")+IFERROR(X454/H454,"0")</f>
        <v>288</v>
      </c>
      <c r="Y455" s="549">
        <f>IFERROR(Y449/H449,"0")+IFERROR(Y450/H450,"0")+IFERROR(Y451/H451,"0")+IFERROR(Y452/H452,"0")+IFERROR(Y453/H453,"0")+IFERROR(Y454/H454,"0")</f>
        <v>288</v>
      </c>
      <c r="Z455" s="549">
        <f>IFERROR(IF(Z449="",0,Z449),"0")+IFERROR(IF(Z450="",0,Z450),"0")+IFERROR(IF(Z451="",0,Z451),"0")+IFERROR(IF(Z452="",0,Z452),"0")+IFERROR(IF(Z453="",0,Z453),"0")+IFERROR(IF(Z454="",0,Z454),"0")</f>
        <v>3.4444800000000004</v>
      </c>
      <c r="AA455" s="550"/>
      <c r="AB455" s="550"/>
      <c r="AC455" s="550"/>
    </row>
    <row r="456" spans="1:68" x14ac:dyDescent="0.2">
      <c r="A456" s="552"/>
      <c r="B456" s="552"/>
      <c r="C456" s="552"/>
      <c r="D456" s="552"/>
      <c r="E456" s="552"/>
      <c r="F456" s="552"/>
      <c r="G456" s="552"/>
      <c r="H456" s="552"/>
      <c r="I456" s="552"/>
      <c r="J456" s="552"/>
      <c r="K456" s="552"/>
      <c r="L456" s="552"/>
      <c r="M456" s="552"/>
      <c r="N456" s="552"/>
      <c r="O456" s="565"/>
      <c r="P456" s="556" t="s">
        <v>75</v>
      </c>
      <c r="Q456" s="557"/>
      <c r="R456" s="557"/>
      <c r="S456" s="557"/>
      <c r="T456" s="557"/>
      <c r="U456" s="557"/>
      <c r="V456" s="558"/>
      <c r="W456" s="37" t="s">
        <v>69</v>
      </c>
      <c r="X456" s="549">
        <f>IFERROR(SUM(X449:X454),"0")</f>
        <v>1520.6399999999999</v>
      </c>
      <c r="Y456" s="549">
        <f>IFERROR(SUM(Y449:Y454),"0")</f>
        <v>1520.6399999999999</v>
      </c>
      <c r="Z456" s="37"/>
      <c r="AA456" s="550"/>
      <c r="AB456" s="550"/>
      <c r="AC456" s="550"/>
    </row>
    <row r="457" spans="1:68" ht="27.75" hidden="1" customHeight="1" x14ac:dyDescent="0.2">
      <c r="A457" s="605" t="s">
        <v>710</v>
      </c>
      <c r="B457" s="606"/>
      <c r="C457" s="606"/>
      <c r="D457" s="606"/>
      <c r="E457" s="606"/>
      <c r="F457" s="606"/>
      <c r="G457" s="606"/>
      <c r="H457" s="606"/>
      <c r="I457" s="606"/>
      <c r="J457" s="606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606"/>
      <c r="W457" s="606"/>
      <c r="X457" s="606"/>
      <c r="Y457" s="606"/>
      <c r="Z457" s="606"/>
      <c r="AA457" s="48"/>
      <c r="AB457" s="48"/>
      <c r="AC457" s="48"/>
    </row>
    <row r="458" spans="1:68" ht="16.5" hidden="1" customHeight="1" x14ac:dyDescent="0.25">
      <c r="A458" s="551" t="s">
        <v>710</v>
      </c>
      <c r="B458" s="552"/>
      <c r="C458" s="552"/>
      <c r="D458" s="552"/>
      <c r="E458" s="552"/>
      <c r="F458" s="552"/>
      <c r="G458" s="552"/>
      <c r="H458" s="552"/>
      <c r="I458" s="552"/>
      <c r="J458" s="552"/>
      <c r="K458" s="552"/>
      <c r="L458" s="552"/>
      <c r="M458" s="552"/>
      <c r="N458" s="552"/>
      <c r="O458" s="552"/>
      <c r="P458" s="552"/>
      <c r="Q458" s="552"/>
      <c r="R458" s="552"/>
      <c r="S458" s="552"/>
      <c r="T458" s="552"/>
      <c r="U458" s="552"/>
      <c r="V458" s="552"/>
      <c r="W458" s="552"/>
      <c r="X458" s="552"/>
      <c r="Y458" s="552"/>
      <c r="Z458" s="552"/>
      <c r="AA458" s="542"/>
      <c r="AB458" s="542"/>
      <c r="AC458" s="542"/>
    </row>
    <row r="459" spans="1:68" ht="14.25" hidden="1" customHeight="1" x14ac:dyDescent="0.25">
      <c r="A459" s="559" t="s">
        <v>101</v>
      </c>
      <c r="B459" s="552"/>
      <c r="C459" s="552"/>
      <c r="D459" s="552"/>
      <c r="E459" s="552"/>
      <c r="F459" s="552"/>
      <c r="G459" s="552"/>
      <c r="H459" s="552"/>
      <c r="I459" s="552"/>
      <c r="J459" s="552"/>
      <c r="K459" s="552"/>
      <c r="L459" s="552"/>
      <c r="M459" s="552"/>
      <c r="N459" s="552"/>
      <c r="O459" s="552"/>
      <c r="P459" s="552"/>
      <c r="Q459" s="552"/>
      <c r="R459" s="552"/>
      <c r="S459" s="552"/>
      <c r="T459" s="552"/>
      <c r="U459" s="552"/>
      <c r="V459" s="552"/>
      <c r="W459" s="552"/>
      <c r="X459" s="552"/>
      <c r="Y459" s="552"/>
      <c r="Z459" s="552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60">
        <v>4640242181011</v>
      </c>
      <c r="E460" s="561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67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4"/>
      <c r="R460" s="554"/>
      <c r="S460" s="554"/>
      <c r="T460" s="555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60">
        <v>4640242180441</v>
      </c>
      <c r="E461" s="561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66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4"/>
      <c r="R461" s="554"/>
      <c r="S461" s="554"/>
      <c r="T461" s="555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60">
        <v>4640242180564</v>
      </c>
      <c r="E462" s="561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68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4"/>
      <c r="R462" s="554"/>
      <c r="S462" s="554"/>
      <c r="T462" s="555"/>
      <c r="U462" s="34"/>
      <c r="V462" s="34"/>
      <c r="W462" s="35" t="s">
        <v>69</v>
      </c>
      <c r="X462" s="547">
        <v>96</v>
      </c>
      <c r="Y462" s="548">
        <f>IFERROR(IF(X462="",0,CEILING((X462/$H462),1)*$H462),"")</f>
        <v>96</v>
      </c>
      <c r="Z462" s="36">
        <f>IFERROR(IF(Y462=0,"",ROUNDUP(Y462/H462,0)*0.01898),"")</f>
        <v>0.15184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99.280000000000015</v>
      </c>
      <c r="BN462" s="64">
        <f>IFERROR(Y462*I462/H462,"0")</f>
        <v>99.280000000000015</v>
      </c>
      <c r="BO462" s="64">
        <f>IFERROR(1/J462*(X462/H462),"0")</f>
        <v>0.125</v>
      </c>
      <c r="BP462" s="64">
        <f>IFERROR(1/J462*(Y462/H462),"0")</f>
        <v>0.125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60">
        <v>4640242181189</v>
      </c>
      <c r="E463" s="561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6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4"/>
      <c r="R463" s="554"/>
      <c r="S463" s="554"/>
      <c r="T463" s="555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4"/>
      <c r="B464" s="552"/>
      <c r="C464" s="552"/>
      <c r="D464" s="552"/>
      <c r="E464" s="552"/>
      <c r="F464" s="552"/>
      <c r="G464" s="552"/>
      <c r="H464" s="552"/>
      <c r="I464" s="552"/>
      <c r="J464" s="552"/>
      <c r="K464" s="552"/>
      <c r="L464" s="552"/>
      <c r="M464" s="552"/>
      <c r="N464" s="552"/>
      <c r="O464" s="565"/>
      <c r="P464" s="556" t="s">
        <v>75</v>
      </c>
      <c r="Q464" s="557"/>
      <c r="R464" s="557"/>
      <c r="S464" s="557"/>
      <c r="T464" s="557"/>
      <c r="U464" s="557"/>
      <c r="V464" s="558"/>
      <c r="W464" s="37" t="s">
        <v>76</v>
      </c>
      <c r="X464" s="549">
        <f>IFERROR(X460/H460,"0")+IFERROR(X461/H461,"0")+IFERROR(X462/H462,"0")+IFERROR(X463/H463,"0")</f>
        <v>8</v>
      </c>
      <c r="Y464" s="549">
        <f>IFERROR(Y460/H460,"0")+IFERROR(Y461/H461,"0")+IFERROR(Y462/H462,"0")+IFERROR(Y463/H463,"0")</f>
        <v>8</v>
      </c>
      <c r="Z464" s="549">
        <f>IFERROR(IF(Z460="",0,Z460),"0")+IFERROR(IF(Z461="",0,Z461),"0")+IFERROR(IF(Z462="",0,Z462),"0")+IFERROR(IF(Z463="",0,Z463),"0")</f>
        <v>0.15184</v>
      </c>
      <c r="AA464" s="550"/>
      <c r="AB464" s="550"/>
      <c r="AC464" s="550"/>
    </row>
    <row r="465" spans="1:68" x14ac:dyDescent="0.2">
      <c r="A465" s="552"/>
      <c r="B465" s="552"/>
      <c r="C465" s="552"/>
      <c r="D465" s="552"/>
      <c r="E465" s="552"/>
      <c r="F465" s="552"/>
      <c r="G465" s="552"/>
      <c r="H465" s="552"/>
      <c r="I465" s="552"/>
      <c r="J465" s="552"/>
      <c r="K465" s="552"/>
      <c r="L465" s="552"/>
      <c r="M465" s="552"/>
      <c r="N465" s="552"/>
      <c r="O465" s="565"/>
      <c r="P465" s="556" t="s">
        <v>75</v>
      </c>
      <c r="Q465" s="557"/>
      <c r="R465" s="557"/>
      <c r="S465" s="557"/>
      <c r="T465" s="557"/>
      <c r="U465" s="557"/>
      <c r="V465" s="558"/>
      <c r="W465" s="37" t="s">
        <v>69</v>
      </c>
      <c r="X465" s="549">
        <f>IFERROR(SUM(X460:X463),"0")</f>
        <v>96</v>
      </c>
      <c r="Y465" s="549">
        <f>IFERROR(SUM(Y460:Y463),"0")</f>
        <v>96</v>
      </c>
      <c r="Z465" s="37"/>
      <c r="AA465" s="550"/>
      <c r="AB465" s="550"/>
      <c r="AC465" s="550"/>
    </row>
    <row r="466" spans="1:68" ht="14.25" hidden="1" customHeight="1" x14ac:dyDescent="0.25">
      <c r="A466" s="559" t="s">
        <v>136</v>
      </c>
      <c r="B466" s="552"/>
      <c r="C466" s="552"/>
      <c r="D466" s="552"/>
      <c r="E466" s="552"/>
      <c r="F466" s="552"/>
      <c r="G466" s="552"/>
      <c r="H466" s="552"/>
      <c r="I466" s="552"/>
      <c r="J466" s="552"/>
      <c r="K466" s="552"/>
      <c r="L466" s="552"/>
      <c r="M466" s="552"/>
      <c r="N466" s="552"/>
      <c r="O466" s="552"/>
      <c r="P466" s="552"/>
      <c r="Q466" s="552"/>
      <c r="R466" s="552"/>
      <c r="S466" s="552"/>
      <c r="T466" s="552"/>
      <c r="U466" s="552"/>
      <c r="V466" s="552"/>
      <c r="W466" s="552"/>
      <c r="X466" s="552"/>
      <c r="Y466" s="552"/>
      <c r="Z466" s="552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60">
        <v>4640242180519</v>
      </c>
      <c r="E467" s="561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8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4"/>
      <c r="R467" s="554"/>
      <c r="S467" s="554"/>
      <c r="T467" s="555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60">
        <v>4640242180526</v>
      </c>
      <c r="E468" s="561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8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4"/>
      <c r="R468" s="554"/>
      <c r="S468" s="554"/>
      <c r="T468" s="555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4"/>
      <c r="B469" s="552"/>
      <c r="C469" s="552"/>
      <c r="D469" s="552"/>
      <c r="E469" s="552"/>
      <c r="F469" s="552"/>
      <c r="G469" s="552"/>
      <c r="H469" s="552"/>
      <c r="I469" s="552"/>
      <c r="J469" s="552"/>
      <c r="K469" s="552"/>
      <c r="L469" s="552"/>
      <c r="M469" s="552"/>
      <c r="N469" s="552"/>
      <c r="O469" s="565"/>
      <c r="P469" s="556" t="s">
        <v>75</v>
      </c>
      <c r="Q469" s="557"/>
      <c r="R469" s="557"/>
      <c r="S469" s="557"/>
      <c r="T469" s="557"/>
      <c r="U469" s="557"/>
      <c r="V469" s="558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52"/>
      <c r="B470" s="552"/>
      <c r="C470" s="552"/>
      <c r="D470" s="552"/>
      <c r="E470" s="552"/>
      <c r="F470" s="552"/>
      <c r="G470" s="552"/>
      <c r="H470" s="552"/>
      <c r="I470" s="552"/>
      <c r="J470" s="552"/>
      <c r="K470" s="552"/>
      <c r="L470" s="552"/>
      <c r="M470" s="552"/>
      <c r="N470" s="552"/>
      <c r="O470" s="565"/>
      <c r="P470" s="556" t="s">
        <v>75</v>
      </c>
      <c r="Q470" s="557"/>
      <c r="R470" s="557"/>
      <c r="S470" s="557"/>
      <c r="T470" s="557"/>
      <c r="U470" s="557"/>
      <c r="V470" s="558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59" t="s">
        <v>64</v>
      </c>
      <c r="B471" s="552"/>
      <c r="C471" s="552"/>
      <c r="D471" s="552"/>
      <c r="E471" s="552"/>
      <c r="F471" s="552"/>
      <c r="G471" s="552"/>
      <c r="H471" s="552"/>
      <c r="I471" s="552"/>
      <c r="J471" s="552"/>
      <c r="K471" s="552"/>
      <c r="L471" s="552"/>
      <c r="M471" s="552"/>
      <c r="N471" s="552"/>
      <c r="O471" s="552"/>
      <c r="P471" s="552"/>
      <c r="Q471" s="552"/>
      <c r="R471" s="552"/>
      <c r="S471" s="552"/>
      <c r="T471" s="552"/>
      <c r="U471" s="552"/>
      <c r="V471" s="552"/>
      <c r="W471" s="552"/>
      <c r="X471" s="552"/>
      <c r="Y471" s="552"/>
      <c r="Z471" s="552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60">
        <v>4640242180595</v>
      </c>
      <c r="E472" s="561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0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4"/>
      <c r="R472" s="554"/>
      <c r="S472" s="554"/>
      <c r="T472" s="555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4"/>
      <c r="B473" s="552"/>
      <c r="C473" s="552"/>
      <c r="D473" s="552"/>
      <c r="E473" s="552"/>
      <c r="F473" s="552"/>
      <c r="G473" s="552"/>
      <c r="H473" s="552"/>
      <c r="I473" s="552"/>
      <c r="J473" s="552"/>
      <c r="K473" s="552"/>
      <c r="L473" s="552"/>
      <c r="M473" s="552"/>
      <c r="N473" s="552"/>
      <c r="O473" s="565"/>
      <c r="P473" s="556" t="s">
        <v>75</v>
      </c>
      <c r="Q473" s="557"/>
      <c r="R473" s="557"/>
      <c r="S473" s="557"/>
      <c r="T473" s="557"/>
      <c r="U473" s="557"/>
      <c r="V473" s="558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52"/>
      <c r="B474" s="552"/>
      <c r="C474" s="552"/>
      <c r="D474" s="552"/>
      <c r="E474" s="552"/>
      <c r="F474" s="552"/>
      <c r="G474" s="552"/>
      <c r="H474" s="552"/>
      <c r="I474" s="552"/>
      <c r="J474" s="552"/>
      <c r="K474" s="552"/>
      <c r="L474" s="552"/>
      <c r="M474" s="552"/>
      <c r="N474" s="552"/>
      <c r="O474" s="565"/>
      <c r="P474" s="556" t="s">
        <v>75</v>
      </c>
      <c r="Q474" s="557"/>
      <c r="R474" s="557"/>
      <c r="S474" s="557"/>
      <c r="T474" s="557"/>
      <c r="U474" s="557"/>
      <c r="V474" s="558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59" t="s">
        <v>77</v>
      </c>
      <c r="B475" s="552"/>
      <c r="C475" s="552"/>
      <c r="D475" s="552"/>
      <c r="E475" s="552"/>
      <c r="F475" s="552"/>
      <c r="G475" s="552"/>
      <c r="H475" s="552"/>
      <c r="I475" s="552"/>
      <c r="J475" s="552"/>
      <c r="K475" s="552"/>
      <c r="L475" s="552"/>
      <c r="M475" s="552"/>
      <c r="N475" s="552"/>
      <c r="O475" s="552"/>
      <c r="P475" s="552"/>
      <c r="Q475" s="552"/>
      <c r="R475" s="552"/>
      <c r="S475" s="552"/>
      <c r="T475" s="552"/>
      <c r="U475" s="552"/>
      <c r="V475" s="552"/>
      <c r="W475" s="552"/>
      <c r="X475" s="552"/>
      <c r="Y475" s="552"/>
      <c r="Z475" s="552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60">
        <v>4640242180533</v>
      </c>
      <c r="E476" s="561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8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4"/>
      <c r="B477" s="552"/>
      <c r="C477" s="552"/>
      <c r="D477" s="552"/>
      <c r="E477" s="552"/>
      <c r="F477" s="552"/>
      <c r="G477" s="552"/>
      <c r="H477" s="552"/>
      <c r="I477" s="552"/>
      <c r="J477" s="552"/>
      <c r="K477" s="552"/>
      <c r="L477" s="552"/>
      <c r="M477" s="552"/>
      <c r="N477" s="552"/>
      <c r="O477" s="565"/>
      <c r="P477" s="556" t="s">
        <v>75</v>
      </c>
      <c r="Q477" s="557"/>
      <c r="R477" s="557"/>
      <c r="S477" s="557"/>
      <c r="T477" s="557"/>
      <c r="U477" s="557"/>
      <c r="V477" s="558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52"/>
      <c r="B478" s="552"/>
      <c r="C478" s="552"/>
      <c r="D478" s="552"/>
      <c r="E478" s="552"/>
      <c r="F478" s="552"/>
      <c r="G478" s="552"/>
      <c r="H478" s="552"/>
      <c r="I478" s="552"/>
      <c r="J478" s="552"/>
      <c r="K478" s="552"/>
      <c r="L478" s="552"/>
      <c r="M478" s="552"/>
      <c r="N478" s="552"/>
      <c r="O478" s="565"/>
      <c r="P478" s="556" t="s">
        <v>75</v>
      </c>
      <c r="Q478" s="557"/>
      <c r="R478" s="557"/>
      <c r="S478" s="557"/>
      <c r="T478" s="557"/>
      <c r="U478" s="557"/>
      <c r="V478" s="558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59" t="s">
        <v>161</v>
      </c>
      <c r="B479" s="552"/>
      <c r="C479" s="552"/>
      <c r="D479" s="552"/>
      <c r="E479" s="552"/>
      <c r="F479" s="552"/>
      <c r="G479" s="552"/>
      <c r="H479" s="552"/>
      <c r="I479" s="552"/>
      <c r="J479" s="552"/>
      <c r="K479" s="552"/>
      <c r="L479" s="552"/>
      <c r="M479" s="552"/>
      <c r="N479" s="552"/>
      <c r="O479" s="552"/>
      <c r="P479" s="552"/>
      <c r="Q479" s="552"/>
      <c r="R479" s="552"/>
      <c r="S479" s="552"/>
      <c r="T479" s="552"/>
      <c r="U479" s="552"/>
      <c r="V479" s="552"/>
      <c r="W479" s="552"/>
      <c r="X479" s="552"/>
      <c r="Y479" s="552"/>
      <c r="Z479" s="552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60">
        <v>4640242180120</v>
      </c>
      <c r="E480" s="561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60">
        <v>4640242180137</v>
      </c>
      <c r="E481" s="561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78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4"/>
      <c r="R481" s="554"/>
      <c r="S481" s="554"/>
      <c r="T481" s="555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4"/>
      <c r="B482" s="552"/>
      <c r="C482" s="552"/>
      <c r="D482" s="552"/>
      <c r="E482" s="552"/>
      <c r="F482" s="552"/>
      <c r="G482" s="552"/>
      <c r="H482" s="552"/>
      <c r="I482" s="552"/>
      <c r="J482" s="552"/>
      <c r="K482" s="552"/>
      <c r="L482" s="552"/>
      <c r="M482" s="552"/>
      <c r="N482" s="552"/>
      <c r="O482" s="565"/>
      <c r="P482" s="556" t="s">
        <v>75</v>
      </c>
      <c r="Q482" s="557"/>
      <c r="R482" s="557"/>
      <c r="S482" s="557"/>
      <c r="T482" s="557"/>
      <c r="U482" s="557"/>
      <c r="V482" s="558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52"/>
      <c r="B483" s="552"/>
      <c r="C483" s="552"/>
      <c r="D483" s="552"/>
      <c r="E483" s="552"/>
      <c r="F483" s="552"/>
      <c r="G483" s="552"/>
      <c r="H483" s="552"/>
      <c r="I483" s="552"/>
      <c r="J483" s="552"/>
      <c r="K483" s="552"/>
      <c r="L483" s="552"/>
      <c r="M483" s="552"/>
      <c r="N483" s="552"/>
      <c r="O483" s="565"/>
      <c r="P483" s="556" t="s">
        <v>75</v>
      </c>
      <c r="Q483" s="557"/>
      <c r="R483" s="557"/>
      <c r="S483" s="557"/>
      <c r="T483" s="557"/>
      <c r="U483" s="557"/>
      <c r="V483" s="558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51" t="s">
        <v>740</v>
      </c>
      <c r="B484" s="552"/>
      <c r="C484" s="552"/>
      <c r="D484" s="552"/>
      <c r="E484" s="552"/>
      <c r="F484" s="552"/>
      <c r="G484" s="552"/>
      <c r="H484" s="552"/>
      <c r="I484" s="552"/>
      <c r="J484" s="552"/>
      <c r="K484" s="552"/>
      <c r="L484" s="552"/>
      <c r="M484" s="552"/>
      <c r="N484" s="552"/>
      <c r="O484" s="552"/>
      <c r="P484" s="552"/>
      <c r="Q484" s="552"/>
      <c r="R484" s="552"/>
      <c r="S484" s="552"/>
      <c r="T484" s="552"/>
      <c r="U484" s="552"/>
      <c r="V484" s="552"/>
      <c r="W484" s="552"/>
      <c r="X484" s="552"/>
      <c r="Y484" s="552"/>
      <c r="Z484" s="552"/>
      <c r="AA484" s="542"/>
      <c r="AB484" s="542"/>
      <c r="AC484" s="542"/>
    </row>
    <row r="485" spans="1:68" ht="14.25" hidden="1" customHeight="1" x14ac:dyDescent="0.25">
      <c r="A485" s="559" t="s">
        <v>136</v>
      </c>
      <c r="B485" s="552"/>
      <c r="C485" s="552"/>
      <c r="D485" s="552"/>
      <c r="E485" s="552"/>
      <c r="F485" s="552"/>
      <c r="G485" s="552"/>
      <c r="H485" s="552"/>
      <c r="I485" s="552"/>
      <c r="J485" s="552"/>
      <c r="K485" s="552"/>
      <c r="L485" s="552"/>
      <c r="M485" s="552"/>
      <c r="N485" s="552"/>
      <c r="O485" s="552"/>
      <c r="P485" s="552"/>
      <c r="Q485" s="552"/>
      <c r="R485" s="552"/>
      <c r="S485" s="552"/>
      <c r="T485" s="552"/>
      <c r="U485" s="552"/>
      <c r="V485" s="552"/>
      <c r="W485" s="552"/>
      <c r="X485" s="552"/>
      <c r="Y485" s="552"/>
      <c r="Z485" s="552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60">
        <v>4640242180090</v>
      </c>
      <c r="E486" s="561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4"/>
      <c r="R486" s="554"/>
      <c r="S486" s="554"/>
      <c r="T486" s="555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4"/>
      <c r="B487" s="552"/>
      <c r="C487" s="552"/>
      <c r="D487" s="552"/>
      <c r="E487" s="552"/>
      <c r="F487" s="552"/>
      <c r="G487" s="552"/>
      <c r="H487" s="552"/>
      <c r="I487" s="552"/>
      <c r="J487" s="552"/>
      <c r="K487" s="552"/>
      <c r="L487" s="552"/>
      <c r="M487" s="552"/>
      <c r="N487" s="552"/>
      <c r="O487" s="565"/>
      <c r="P487" s="556" t="s">
        <v>75</v>
      </c>
      <c r="Q487" s="557"/>
      <c r="R487" s="557"/>
      <c r="S487" s="557"/>
      <c r="T487" s="557"/>
      <c r="U487" s="557"/>
      <c r="V487" s="558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52"/>
      <c r="B488" s="552"/>
      <c r="C488" s="552"/>
      <c r="D488" s="552"/>
      <c r="E488" s="552"/>
      <c r="F488" s="552"/>
      <c r="G488" s="552"/>
      <c r="H488" s="552"/>
      <c r="I488" s="552"/>
      <c r="J488" s="552"/>
      <c r="K488" s="552"/>
      <c r="L488" s="552"/>
      <c r="M488" s="552"/>
      <c r="N488" s="552"/>
      <c r="O488" s="565"/>
      <c r="P488" s="556" t="s">
        <v>75</v>
      </c>
      <c r="Q488" s="557"/>
      <c r="R488" s="557"/>
      <c r="S488" s="557"/>
      <c r="T488" s="557"/>
      <c r="U488" s="557"/>
      <c r="V488" s="558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580"/>
      <c r="B489" s="552"/>
      <c r="C489" s="552"/>
      <c r="D489" s="552"/>
      <c r="E489" s="552"/>
      <c r="F489" s="552"/>
      <c r="G489" s="552"/>
      <c r="H489" s="552"/>
      <c r="I489" s="552"/>
      <c r="J489" s="552"/>
      <c r="K489" s="552"/>
      <c r="L489" s="552"/>
      <c r="M489" s="552"/>
      <c r="N489" s="552"/>
      <c r="O489" s="581"/>
      <c r="P489" s="597" t="s">
        <v>744</v>
      </c>
      <c r="Q489" s="598"/>
      <c r="R489" s="598"/>
      <c r="S489" s="598"/>
      <c r="T489" s="598"/>
      <c r="U489" s="598"/>
      <c r="V489" s="599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14131.88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14195.099999999999</v>
      </c>
      <c r="Z489" s="37"/>
      <c r="AA489" s="550"/>
      <c r="AB489" s="550"/>
      <c r="AC489" s="550"/>
    </row>
    <row r="490" spans="1:68" x14ac:dyDescent="0.2">
      <c r="A490" s="552"/>
      <c r="B490" s="552"/>
      <c r="C490" s="552"/>
      <c r="D490" s="552"/>
      <c r="E490" s="552"/>
      <c r="F490" s="552"/>
      <c r="G490" s="552"/>
      <c r="H490" s="552"/>
      <c r="I490" s="552"/>
      <c r="J490" s="552"/>
      <c r="K490" s="552"/>
      <c r="L490" s="552"/>
      <c r="M490" s="552"/>
      <c r="N490" s="552"/>
      <c r="O490" s="581"/>
      <c r="P490" s="597" t="s">
        <v>745</v>
      </c>
      <c r="Q490" s="598"/>
      <c r="R490" s="598"/>
      <c r="S490" s="598"/>
      <c r="T490" s="598"/>
      <c r="U490" s="598"/>
      <c r="V490" s="599"/>
      <c r="W490" s="37" t="s">
        <v>69</v>
      </c>
      <c r="X490" s="549">
        <f>IFERROR(SUM(BM22:BM486),"0")</f>
        <v>15216.7579660093</v>
      </c>
      <c r="Y490" s="549">
        <f>IFERROR(SUM(BN22:BN486),"0")</f>
        <v>15282.883999999998</v>
      </c>
      <c r="Z490" s="37"/>
      <c r="AA490" s="550"/>
      <c r="AB490" s="550"/>
      <c r="AC490" s="550"/>
    </row>
    <row r="491" spans="1:68" x14ac:dyDescent="0.2">
      <c r="A491" s="552"/>
      <c r="B491" s="552"/>
      <c r="C491" s="552"/>
      <c r="D491" s="552"/>
      <c r="E491" s="552"/>
      <c r="F491" s="552"/>
      <c r="G491" s="552"/>
      <c r="H491" s="552"/>
      <c r="I491" s="552"/>
      <c r="J491" s="552"/>
      <c r="K491" s="552"/>
      <c r="L491" s="552"/>
      <c r="M491" s="552"/>
      <c r="N491" s="552"/>
      <c r="O491" s="581"/>
      <c r="P491" s="597" t="s">
        <v>746</v>
      </c>
      <c r="Q491" s="598"/>
      <c r="R491" s="598"/>
      <c r="S491" s="598"/>
      <c r="T491" s="598"/>
      <c r="U491" s="598"/>
      <c r="V491" s="599"/>
      <c r="W491" s="37" t="s">
        <v>747</v>
      </c>
      <c r="X491" s="38">
        <f>ROUNDUP(SUM(BO22:BO486),0)</f>
        <v>26</v>
      </c>
      <c r="Y491" s="38">
        <f>ROUNDUP(SUM(BP22:BP486),0)</f>
        <v>26</v>
      </c>
      <c r="Z491" s="37"/>
      <c r="AA491" s="550"/>
      <c r="AB491" s="550"/>
      <c r="AC491" s="550"/>
    </row>
    <row r="492" spans="1:68" x14ac:dyDescent="0.2">
      <c r="A492" s="552"/>
      <c r="B492" s="552"/>
      <c r="C492" s="552"/>
      <c r="D492" s="552"/>
      <c r="E492" s="552"/>
      <c r="F492" s="552"/>
      <c r="G492" s="552"/>
      <c r="H492" s="552"/>
      <c r="I492" s="552"/>
      <c r="J492" s="552"/>
      <c r="K492" s="552"/>
      <c r="L492" s="552"/>
      <c r="M492" s="552"/>
      <c r="N492" s="552"/>
      <c r="O492" s="581"/>
      <c r="P492" s="597" t="s">
        <v>748</v>
      </c>
      <c r="Q492" s="598"/>
      <c r="R492" s="598"/>
      <c r="S492" s="598"/>
      <c r="T492" s="598"/>
      <c r="U492" s="598"/>
      <c r="V492" s="599"/>
      <c r="W492" s="37" t="s">
        <v>69</v>
      </c>
      <c r="X492" s="549">
        <f>GrossWeightTotal+PalletQtyTotal*25</f>
        <v>15866.7579660093</v>
      </c>
      <c r="Y492" s="549">
        <f>GrossWeightTotalR+PalletQtyTotalR*25</f>
        <v>15932.883999999998</v>
      </c>
      <c r="Z492" s="37"/>
      <c r="AA492" s="550"/>
      <c r="AB492" s="550"/>
      <c r="AC492" s="550"/>
    </row>
    <row r="493" spans="1:68" x14ac:dyDescent="0.2">
      <c r="A493" s="552"/>
      <c r="B493" s="552"/>
      <c r="C493" s="552"/>
      <c r="D493" s="552"/>
      <c r="E493" s="552"/>
      <c r="F493" s="552"/>
      <c r="G493" s="552"/>
      <c r="H493" s="552"/>
      <c r="I493" s="552"/>
      <c r="J493" s="552"/>
      <c r="K493" s="552"/>
      <c r="L493" s="552"/>
      <c r="M493" s="552"/>
      <c r="N493" s="552"/>
      <c r="O493" s="581"/>
      <c r="P493" s="597" t="s">
        <v>749</v>
      </c>
      <c r="Q493" s="598"/>
      <c r="R493" s="598"/>
      <c r="S493" s="598"/>
      <c r="T493" s="598"/>
      <c r="U493" s="598"/>
      <c r="V493" s="599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2962.2136443803111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2970</v>
      </c>
      <c r="Z493" s="37"/>
      <c r="AA493" s="550"/>
      <c r="AB493" s="550"/>
      <c r="AC493" s="550"/>
    </row>
    <row r="494" spans="1:68" ht="14.25" hidden="1" customHeight="1" x14ac:dyDescent="0.2">
      <c r="A494" s="552"/>
      <c r="B494" s="552"/>
      <c r="C494" s="552"/>
      <c r="D494" s="552"/>
      <c r="E494" s="552"/>
      <c r="F494" s="552"/>
      <c r="G494" s="552"/>
      <c r="H494" s="552"/>
      <c r="I494" s="552"/>
      <c r="J494" s="552"/>
      <c r="K494" s="552"/>
      <c r="L494" s="552"/>
      <c r="M494" s="552"/>
      <c r="N494" s="552"/>
      <c r="O494" s="581"/>
      <c r="P494" s="597" t="s">
        <v>750</v>
      </c>
      <c r="Q494" s="598"/>
      <c r="R494" s="598"/>
      <c r="S494" s="598"/>
      <c r="T494" s="598"/>
      <c r="U494" s="598"/>
      <c r="V494" s="599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30.70279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62" t="s">
        <v>99</v>
      </c>
      <c r="D496" s="639"/>
      <c r="E496" s="639"/>
      <c r="F496" s="639"/>
      <c r="G496" s="639"/>
      <c r="H496" s="640"/>
      <c r="I496" s="562" t="s">
        <v>263</v>
      </c>
      <c r="J496" s="639"/>
      <c r="K496" s="639"/>
      <c r="L496" s="639"/>
      <c r="M496" s="639"/>
      <c r="N496" s="639"/>
      <c r="O496" s="639"/>
      <c r="P496" s="639"/>
      <c r="Q496" s="639"/>
      <c r="R496" s="640"/>
      <c r="S496" s="562" t="s">
        <v>553</v>
      </c>
      <c r="T496" s="640"/>
      <c r="U496" s="562" t="s">
        <v>607</v>
      </c>
      <c r="V496" s="639"/>
      <c r="W496" s="640"/>
      <c r="X496" s="544" t="s">
        <v>658</v>
      </c>
      <c r="Y496" s="562" t="s">
        <v>710</v>
      </c>
      <c r="Z496" s="640"/>
      <c r="AB496" s="52"/>
      <c r="AC496" s="52"/>
      <c r="AF496" s="545"/>
    </row>
    <row r="497" spans="1:32" ht="14.25" customHeight="1" thickTop="1" x14ac:dyDescent="0.2">
      <c r="A497" s="586" t="s">
        <v>753</v>
      </c>
      <c r="B497" s="562" t="s">
        <v>63</v>
      </c>
      <c r="C497" s="562" t="s">
        <v>100</v>
      </c>
      <c r="D497" s="562" t="s">
        <v>117</v>
      </c>
      <c r="E497" s="562" t="s">
        <v>168</v>
      </c>
      <c r="F497" s="562" t="s">
        <v>190</v>
      </c>
      <c r="G497" s="562" t="s">
        <v>227</v>
      </c>
      <c r="H497" s="562" t="s">
        <v>99</v>
      </c>
      <c r="I497" s="562" t="s">
        <v>264</v>
      </c>
      <c r="J497" s="562" t="s">
        <v>319</v>
      </c>
      <c r="K497" s="562" t="s">
        <v>379</v>
      </c>
      <c r="L497" s="562" t="s">
        <v>420</v>
      </c>
      <c r="M497" s="562" t="s">
        <v>436</v>
      </c>
      <c r="N497" s="545"/>
      <c r="O497" s="562" t="s">
        <v>447</v>
      </c>
      <c r="P497" s="562" t="s">
        <v>456</v>
      </c>
      <c r="Q497" s="562" t="s">
        <v>469</v>
      </c>
      <c r="R497" s="562" t="s">
        <v>543</v>
      </c>
      <c r="S497" s="562" t="s">
        <v>554</v>
      </c>
      <c r="T497" s="562" t="s">
        <v>589</v>
      </c>
      <c r="U497" s="562" t="s">
        <v>608</v>
      </c>
      <c r="V497" s="562" t="s">
        <v>639</v>
      </c>
      <c r="W497" s="562" t="s">
        <v>654</v>
      </c>
      <c r="X497" s="562" t="s">
        <v>658</v>
      </c>
      <c r="Y497" s="562" t="s">
        <v>710</v>
      </c>
      <c r="Z497" s="562" t="s">
        <v>740</v>
      </c>
      <c r="AB497" s="52"/>
      <c r="AC497" s="52"/>
      <c r="AF497" s="545"/>
    </row>
    <row r="498" spans="1:32" ht="13.5" customHeight="1" thickBot="1" x14ac:dyDescent="0.25">
      <c r="A498" s="587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45"/>
      <c r="O498" s="563"/>
      <c r="P498" s="563"/>
      <c r="Q498" s="563"/>
      <c r="R498" s="563"/>
      <c r="S498" s="563"/>
      <c r="T498" s="563"/>
      <c r="U498" s="563"/>
      <c r="V498" s="563"/>
      <c r="W498" s="563"/>
      <c r="X498" s="563"/>
      <c r="Y498" s="563"/>
      <c r="Z498" s="563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372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1148.6000000000001</v>
      </c>
      <c r="E499" s="46">
        <f>IFERROR(Y84*1,"0")+IFERROR(Y85*1,"0")+IFERROR(Y86*1,"0")+IFERROR(Y87*1,"0")+IFERROR(Y91*1,"0")+IFERROR(Y92*1,"0")+IFERROR(Y93*1,"0")+IFERROR(Y94*1,"0")</f>
        <v>1224.54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1647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135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176.40000000000003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2611.1999999999998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388</v>
      </c>
      <c r="R499" s="46">
        <f>IFERROR(Y341*1,"0")+IFERROR(Y342*1,"0")+IFERROR(Y343*1,"0")</f>
        <v>117.60000000000001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1227</v>
      </c>
      <c r="T499" s="46">
        <f>IFERROR(Y374*1,"0")+IFERROR(Y375*1,"0")+IFERROR(Y379*1,"0")+IFERROR(Y380*1,"0")+IFERROR(Y384*1,"0")+IFERROR(Y385*1,"0")+IFERROR(Y386*1,"0")</f>
        <v>1430.1599999999999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3621.6000000000004</v>
      </c>
      <c r="Y499" s="46">
        <f>IFERROR(Y460*1,"0")+IFERROR(Y461*1,"0")+IFERROR(Y462*1,"0")+IFERROR(Y463*1,"0")+IFERROR(Y467*1,"0")+IFERROR(Y468*1,"0")+IFERROR(Y472*1,"0")+IFERROR(Y476*1,"0")+IFERROR(Y480*1,"0")+IFERROR(Y481*1,"0")</f>
        <v>96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281,60"/>
        <filter val="1 520,64"/>
        <filter val="1 593,76"/>
        <filter val="1 954,00"/>
        <filter val="100,00"/>
        <filter val="100,80"/>
        <filter val="117,60"/>
        <filter val="12,00"/>
        <filter val="120,00"/>
        <filter val="129,60"/>
        <filter val="132,00"/>
        <filter val="135,00"/>
        <filter val="139,20"/>
        <filter val="14 131,88"/>
        <filter val="15 216,76"/>
        <filter val="15 866,76"/>
        <filter val="15,00"/>
        <filter val="150,00"/>
        <filter val="168,00"/>
        <filter val="169,11"/>
        <filter val="176,40"/>
        <filter val="2 962,21"/>
        <filter val="200,00"/>
        <filter val="201,60"/>
        <filter val="204,00"/>
        <filter val="22,22"/>
        <filter val="22,29"/>
        <filter val="243,00"/>
        <filter val="249,60"/>
        <filter val="259,20"/>
        <filter val="26"/>
        <filter val="280,22"/>
        <filter val="288,00"/>
        <filter val="30,00"/>
        <filter val="300,00"/>
        <filter val="310,94"/>
        <filter val="32,00"/>
        <filter val="324,00"/>
        <filter val="33,33"/>
        <filter val="37,50"/>
        <filter val="372,00"/>
        <filter val="405,00"/>
        <filter val="42,00"/>
        <filter val="459,00"/>
        <filter val="48,00"/>
        <filter val="480,00"/>
        <filter val="50,40"/>
        <filter val="500,00"/>
        <filter val="506,88"/>
        <filter val="52,56"/>
        <filter val="55,44"/>
        <filter val="56,00"/>
        <filter val="564,00"/>
        <filter val="58,80"/>
        <filter val="60,00"/>
        <filter val="600,00"/>
        <filter val="62,40"/>
        <filter val="648,00"/>
        <filter val="66,00"/>
        <filter val="675,00"/>
        <filter val="698,86"/>
        <filter val="7,14"/>
        <filter val="72,00"/>
        <filter val="75,00"/>
        <filter val="75,60"/>
        <filter val="8,00"/>
        <filter val="86,40"/>
        <filter val="89,60"/>
        <filter val="898,44"/>
        <filter val="9,26"/>
        <filter val="96,00"/>
        <filter val="989,60"/>
      </filters>
    </filterColumn>
    <filterColumn colId="29" showButton="0"/>
    <filterColumn colId="30" showButton="0"/>
  </autoFilter>
  <mergeCells count="876"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316:T31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P446:V446"/>
    <mergeCell ref="P464:V464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P116:T116"/>
    <mergeCell ref="A162:O163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P31:V31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P473:V473"/>
    <mergeCell ref="A228:O229"/>
    <mergeCell ref="A154:Z154"/>
    <mergeCell ref="D439:E439"/>
    <mergeCell ref="P396:T396"/>
    <mergeCell ref="A390:Z390"/>
    <mergeCell ref="D317:E317"/>
    <mergeCell ref="P461:T461"/>
    <mergeCell ref="P175:T175"/>
    <mergeCell ref="P266:V266"/>
    <mergeCell ref="A292:O293"/>
    <mergeCell ref="P331:V331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P336:T336"/>
    <mergeCell ref="P258:V258"/>
    <mergeCell ref="P423:V423"/>
    <mergeCell ref="P223:V223"/>
    <mergeCell ref="A9:C9"/>
    <mergeCell ref="H5:M5"/>
    <mergeCell ref="A75:O76"/>
    <mergeCell ref="D6:M6"/>
    <mergeCell ref="P95:V95"/>
    <mergeCell ref="D143:E143"/>
    <mergeCell ref="P398:T398"/>
    <mergeCell ref="P227:T227"/>
    <mergeCell ref="P177:T177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67:T67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65:E265"/>
    <mergeCell ref="D216:E216"/>
    <mergeCell ref="P195:V195"/>
    <mergeCell ref="A125:Z125"/>
    <mergeCell ref="P411:V411"/>
    <mergeCell ref="D430:E430"/>
    <mergeCell ref="P460:T460"/>
    <mergeCell ref="A223:O224"/>
    <mergeCell ref="P226:T226"/>
    <mergeCell ref="P152:V152"/>
    <mergeCell ref="P330:T330"/>
    <mergeCell ref="P402:V402"/>
    <mergeCell ref="P452:T452"/>
    <mergeCell ref="P441:V441"/>
    <mergeCell ref="P477:V477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V11:W11"/>
    <mergeCell ref="D165:E165"/>
    <mergeCell ref="D29:E29"/>
    <mergeCell ref="D23:E23"/>
    <mergeCell ref="A20:Z20"/>
    <mergeCell ref="P68:V68"/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