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C1F1123-C2A8-4543-9EDE-8B4513958E8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Y343" i="1" s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BP278" i="1" s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O253" i="1"/>
  <c r="BM253" i="1"/>
  <c r="Y253" i="1"/>
  <c r="BP253" i="1" s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BP222" i="1" s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BP214" i="1" s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X201" i="1"/>
  <c r="X200" i="1"/>
  <c r="BO199" i="1"/>
  <c r="BM199" i="1"/>
  <c r="Y199" i="1"/>
  <c r="Z199" i="1" s="1"/>
  <c r="P199" i="1"/>
  <c r="BO198" i="1"/>
  <c r="BM198" i="1"/>
  <c r="Y198" i="1"/>
  <c r="Y201" i="1" s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BP148" i="1" s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Y128" i="1" s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O116" i="1"/>
  <c r="BM116" i="1"/>
  <c r="Y116" i="1"/>
  <c r="BP116" i="1" s="1"/>
  <c r="P116" i="1"/>
  <c r="BO115" i="1"/>
  <c r="BM115" i="1"/>
  <c r="Y115" i="1"/>
  <c r="Y119" i="1" s="1"/>
  <c r="P115" i="1"/>
  <c r="BP114" i="1"/>
  <c r="BO114" i="1"/>
  <c r="BN114" i="1"/>
  <c r="BM114" i="1"/>
  <c r="Z114" i="1"/>
  <c r="Y114" i="1"/>
  <c r="P114" i="1"/>
  <c r="X112" i="1"/>
  <c r="X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BP91" i="1" s="1"/>
  <c r="P91" i="1"/>
  <c r="X89" i="1"/>
  <c r="X88" i="1"/>
  <c r="BO87" i="1"/>
  <c r="BM87" i="1"/>
  <c r="Y87" i="1"/>
  <c r="BP87" i="1" s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Y80" i="1" s="1"/>
  <c r="P78" i="1"/>
  <c r="X76" i="1"/>
  <c r="X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O52" i="1"/>
  <c r="BM52" i="1"/>
  <c r="Y52" i="1"/>
  <c r="BP52" i="1" s="1"/>
  <c r="P52" i="1"/>
  <c r="BO51" i="1"/>
  <c r="BM51" i="1"/>
  <c r="Y51" i="1"/>
  <c r="Z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Y32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A10" i="1" s="1"/>
  <c r="D7" i="1"/>
  <c r="Q6" i="1"/>
  <c r="P2" i="1"/>
  <c r="BP150" i="1" l="1"/>
  <c r="BN150" i="1"/>
  <c r="Z150" i="1"/>
  <c r="BP182" i="1"/>
  <c r="BN182" i="1"/>
  <c r="Z182" i="1"/>
  <c r="BP216" i="1"/>
  <c r="BN216" i="1"/>
  <c r="Z216" i="1"/>
  <c r="BP239" i="1"/>
  <c r="BN239" i="1"/>
  <c r="Z239" i="1"/>
  <c r="BP280" i="1"/>
  <c r="BN280" i="1"/>
  <c r="Z280" i="1"/>
  <c r="BP314" i="1"/>
  <c r="BN314" i="1"/>
  <c r="Z314" i="1"/>
  <c r="BP350" i="1"/>
  <c r="BN350" i="1"/>
  <c r="Z350" i="1"/>
  <c r="BP393" i="1"/>
  <c r="BN393" i="1"/>
  <c r="Z393" i="1"/>
  <c r="BP429" i="1"/>
  <c r="BN429" i="1"/>
  <c r="Z429" i="1"/>
  <c r="BP453" i="1"/>
  <c r="BN453" i="1"/>
  <c r="Z453" i="1"/>
  <c r="B498" i="1"/>
  <c r="X490" i="1"/>
  <c r="Z41" i="1"/>
  <c r="BN41" i="1"/>
  <c r="Z60" i="1"/>
  <c r="BN60" i="1"/>
  <c r="Y63" i="1"/>
  <c r="Z74" i="1"/>
  <c r="BN74" i="1"/>
  <c r="Z91" i="1"/>
  <c r="BN91" i="1"/>
  <c r="Z108" i="1"/>
  <c r="BN108" i="1"/>
  <c r="BP127" i="1"/>
  <c r="BN127" i="1"/>
  <c r="Z127" i="1"/>
  <c r="BP131" i="1"/>
  <c r="BN131" i="1"/>
  <c r="Z131" i="1"/>
  <c r="BP172" i="1"/>
  <c r="BN172" i="1"/>
  <c r="Z172" i="1"/>
  <c r="BP206" i="1"/>
  <c r="BN206" i="1"/>
  <c r="Z206" i="1"/>
  <c r="BP226" i="1"/>
  <c r="BN226" i="1"/>
  <c r="Z226" i="1"/>
  <c r="BP264" i="1"/>
  <c r="BN264" i="1"/>
  <c r="Z264" i="1"/>
  <c r="BP300" i="1"/>
  <c r="BN300" i="1"/>
  <c r="Z300" i="1"/>
  <c r="BP326" i="1"/>
  <c r="BN326" i="1"/>
  <c r="Z326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403" i="1"/>
  <c r="BN403" i="1"/>
  <c r="Z403" i="1"/>
  <c r="BP437" i="1"/>
  <c r="BN437" i="1"/>
  <c r="Z437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BP479" i="1"/>
  <c r="BN479" i="1"/>
  <c r="Z479" i="1"/>
  <c r="Y185" i="1"/>
  <c r="BP298" i="1"/>
  <c r="BN298" i="1"/>
  <c r="Z298" i="1"/>
  <c r="BP308" i="1"/>
  <c r="BN308" i="1"/>
  <c r="Z308" i="1"/>
  <c r="BP322" i="1"/>
  <c r="BN322" i="1"/>
  <c r="Z322" i="1"/>
  <c r="BP341" i="1"/>
  <c r="BN341" i="1"/>
  <c r="Z341" i="1"/>
  <c r="BP342" i="1"/>
  <c r="BN342" i="1"/>
  <c r="Z342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498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67" i="1"/>
  <c r="BN467" i="1"/>
  <c r="Z467" i="1"/>
  <c r="X489" i="1"/>
  <c r="X491" i="1" s="1"/>
  <c r="Z23" i="1"/>
  <c r="BN23" i="1"/>
  <c r="X488" i="1"/>
  <c r="Y31" i="1"/>
  <c r="Z29" i="1"/>
  <c r="BN29" i="1"/>
  <c r="C498" i="1"/>
  <c r="Z52" i="1"/>
  <c r="BN52" i="1"/>
  <c r="Z56" i="1"/>
  <c r="BN56" i="1"/>
  <c r="Z62" i="1"/>
  <c r="BN62" i="1"/>
  <c r="Y68" i="1"/>
  <c r="Z72" i="1"/>
  <c r="BN72" i="1"/>
  <c r="Z78" i="1"/>
  <c r="BN78" i="1"/>
  <c r="BP78" i="1"/>
  <c r="Z87" i="1"/>
  <c r="BN87" i="1"/>
  <c r="Y95" i="1"/>
  <c r="Z93" i="1"/>
  <c r="BN93" i="1"/>
  <c r="Z102" i="1"/>
  <c r="BN102" i="1"/>
  <c r="Z110" i="1"/>
  <c r="BN110" i="1"/>
  <c r="Z116" i="1"/>
  <c r="BN116" i="1"/>
  <c r="Z137" i="1"/>
  <c r="BN137" i="1"/>
  <c r="Y144" i="1"/>
  <c r="Z148" i="1"/>
  <c r="BN148" i="1"/>
  <c r="Z166" i="1"/>
  <c r="BN166" i="1"/>
  <c r="Z170" i="1"/>
  <c r="BN170" i="1"/>
  <c r="Z174" i="1"/>
  <c r="BN174" i="1"/>
  <c r="Z178" i="1"/>
  <c r="BN178" i="1"/>
  <c r="Z184" i="1"/>
  <c r="BN184" i="1"/>
  <c r="Z204" i="1"/>
  <c r="BN204" i="1"/>
  <c r="Z208" i="1"/>
  <c r="BN208" i="1"/>
  <c r="Z214" i="1"/>
  <c r="BN214" i="1"/>
  <c r="Z218" i="1"/>
  <c r="BN218" i="1"/>
  <c r="Z222" i="1"/>
  <c r="BN222" i="1"/>
  <c r="Z233" i="1"/>
  <c r="BN233" i="1"/>
  <c r="Z237" i="1"/>
  <c r="BN237" i="1"/>
  <c r="Z253" i="1"/>
  <c r="BN253" i="1"/>
  <c r="Z262" i="1"/>
  <c r="BN262" i="1"/>
  <c r="Z271" i="1"/>
  <c r="BN271" i="1"/>
  <c r="Z278" i="1"/>
  <c r="BN278" i="1"/>
  <c r="BP285" i="1"/>
  <c r="BN285" i="1"/>
  <c r="Z285" i="1"/>
  <c r="BP304" i="1"/>
  <c r="BN304" i="1"/>
  <c r="Z304" i="1"/>
  <c r="BP316" i="1"/>
  <c r="BN316" i="1"/>
  <c r="Z316" i="1"/>
  <c r="BP328" i="1"/>
  <c r="BN328" i="1"/>
  <c r="Z328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63" i="1"/>
  <c r="BP459" i="1"/>
  <c r="BN459" i="1"/>
  <c r="Z459" i="1"/>
  <c r="Y330" i="1"/>
  <c r="Y387" i="1"/>
  <c r="Y386" i="1"/>
  <c r="Y481" i="1"/>
  <c r="F9" i="1"/>
  <c r="J9" i="1"/>
  <c r="F10" i="1"/>
  <c r="Z22" i="1"/>
  <c r="Z24" i="1" s="1"/>
  <c r="BN22" i="1"/>
  <c r="BP22" i="1"/>
  <c r="X492" i="1"/>
  <c r="Y25" i="1"/>
  <c r="Z28" i="1"/>
  <c r="Z31" i="1" s="1"/>
  <c r="BN28" i="1"/>
  <c r="BP28" i="1"/>
  <c r="Z30" i="1"/>
  <c r="BN30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BP55" i="1"/>
  <c r="BN55" i="1"/>
  <c r="Z55" i="1"/>
  <c r="Y64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Z80" i="1" s="1"/>
  <c r="Y81" i="1"/>
  <c r="E498" i="1"/>
  <c r="Y89" i="1"/>
  <c r="BP84" i="1"/>
  <c r="BN84" i="1"/>
  <c r="Z84" i="1"/>
  <c r="Y88" i="1"/>
  <c r="BP92" i="1"/>
  <c r="BN92" i="1"/>
  <c r="Z92" i="1"/>
  <c r="BP101" i="1"/>
  <c r="BN101" i="1"/>
  <c r="Z101" i="1"/>
  <c r="BP109" i="1"/>
  <c r="BN109" i="1"/>
  <c r="Z109" i="1"/>
  <c r="Y118" i="1"/>
  <c r="BP117" i="1"/>
  <c r="BN117" i="1"/>
  <c r="Z117" i="1"/>
  <c r="Y122" i="1"/>
  <c r="BP121" i="1"/>
  <c r="BN121" i="1"/>
  <c r="Z121" i="1"/>
  <c r="Z122" i="1" s="1"/>
  <c r="Y123" i="1"/>
  <c r="G498" i="1"/>
  <c r="Y129" i="1"/>
  <c r="BP126" i="1"/>
  <c r="BN126" i="1"/>
  <c r="Z126" i="1"/>
  <c r="Z128" i="1" s="1"/>
  <c r="Y133" i="1"/>
  <c r="BP143" i="1"/>
  <c r="BN143" i="1"/>
  <c r="Z143" i="1"/>
  <c r="Z144" i="1" s="1"/>
  <c r="Y145" i="1"/>
  <c r="Y152" i="1"/>
  <c r="BP147" i="1"/>
  <c r="BN147" i="1"/>
  <c r="Z147" i="1"/>
  <c r="BP151" i="1"/>
  <c r="BN151" i="1"/>
  <c r="Z151" i="1"/>
  <c r="Y153" i="1"/>
  <c r="Y156" i="1"/>
  <c r="BP155" i="1"/>
  <c r="BN155" i="1"/>
  <c r="Z155" i="1"/>
  <c r="Z156" i="1" s="1"/>
  <c r="Y157" i="1"/>
  <c r="I498" i="1"/>
  <c r="Y162" i="1"/>
  <c r="BP161" i="1"/>
  <c r="BN161" i="1"/>
  <c r="Z161" i="1"/>
  <c r="Z162" i="1" s="1"/>
  <c r="Y163" i="1"/>
  <c r="Y180" i="1"/>
  <c r="BP165" i="1"/>
  <c r="BN165" i="1"/>
  <c r="Z165" i="1"/>
  <c r="BP169" i="1"/>
  <c r="BN169" i="1"/>
  <c r="Z169" i="1"/>
  <c r="BP173" i="1"/>
  <c r="BN173" i="1"/>
  <c r="Z173" i="1"/>
  <c r="BP177" i="1"/>
  <c r="BN177" i="1"/>
  <c r="Z177" i="1"/>
  <c r="Y186" i="1"/>
  <c r="BP194" i="1"/>
  <c r="BN194" i="1"/>
  <c r="Z194" i="1"/>
  <c r="Z195" i="1" s="1"/>
  <c r="Y196" i="1"/>
  <c r="Y200" i="1"/>
  <c r="BP198" i="1"/>
  <c r="BN198" i="1"/>
  <c r="Z198" i="1"/>
  <c r="Z200" i="1" s="1"/>
  <c r="BP297" i="1"/>
  <c r="BN297" i="1"/>
  <c r="Z297" i="1"/>
  <c r="Q498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Z323" i="1" s="1"/>
  <c r="Y323" i="1"/>
  <c r="H498" i="1"/>
  <c r="H9" i="1"/>
  <c r="Y24" i="1"/>
  <c r="Y44" i="1"/>
  <c r="D498" i="1"/>
  <c r="Y58" i="1"/>
  <c r="BP51" i="1"/>
  <c r="BN51" i="1"/>
  <c r="BP53" i="1"/>
  <c r="BN53" i="1"/>
  <c r="Z53" i="1"/>
  <c r="Z57" i="1" s="1"/>
  <c r="Y57" i="1"/>
  <c r="BP61" i="1"/>
  <c r="BN61" i="1"/>
  <c r="Z61" i="1"/>
  <c r="Z63" i="1" s="1"/>
  <c r="BP73" i="1"/>
  <c r="BN73" i="1"/>
  <c r="Z73" i="1"/>
  <c r="BP86" i="1"/>
  <c r="BN86" i="1"/>
  <c r="Z86" i="1"/>
  <c r="BP94" i="1"/>
  <c r="BN94" i="1"/>
  <c r="Z94" i="1"/>
  <c r="Y96" i="1"/>
  <c r="F498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Y111" i="1"/>
  <c r="BP115" i="1"/>
  <c r="BN115" i="1"/>
  <c r="Z115" i="1"/>
  <c r="BP132" i="1"/>
  <c r="BN132" i="1"/>
  <c r="Z132" i="1"/>
  <c r="Z133" i="1" s="1"/>
  <c r="Y134" i="1"/>
  <c r="Y139" i="1"/>
  <c r="BP136" i="1"/>
  <c r="BN136" i="1"/>
  <c r="Z136" i="1"/>
  <c r="Z138" i="1" s="1"/>
  <c r="BP149" i="1"/>
  <c r="BN149" i="1"/>
  <c r="Z149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Y212" i="1"/>
  <c r="BP203" i="1"/>
  <c r="BN203" i="1"/>
  <c r="Z203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Y274" i="1"/>
  <c r="Z281" i="1"/>
  <c r="BP279" i="1"/>
  <c r="BN279" i="1"/>
  <c r="Z279" i="1"/>
  <c r="Y281" i="1"/>
  <c r="BP329" i="1"/>
  <c r="BN329" i="1"/>
  <c r="Z329" i="1"/>
  <c r="Y331" i="1"/>
  <c r="Y336" i="1"/>
  <c r="BP333" i="1"/>
  <c r="BN333" i="1"/>
  <c r="Z333" i="1"/>
  <c r="Y337" i="1"/>
  <c r="BP349" i="1"/>
  <c r="BN349" i="1"/>
  <c r="Z349" i="1"/>
  <c r="Y355" i="1"/>
  <c r="BP353" i="1"/>
  <c r="BN353" i="1"/>
  <c r="Z353" i="1"/>
  <c r="BP392" i="1"/>
  <c r="BN392" i="1"/>
  <c r="Z392" i="1"/>
  <c r="U498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498" i="1"/>
  <c r="Y195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498" i="1"/>
  <c r="Y344" i="1"/>
  <c r="BP340" i="1"/>
  <c r="BN340" i="1"/>
  <c r="Z340" i="1"/>
  <c r="BP374" i="1"/>
  <c r="BN374" i="1"/>
  <c r="Z374" i="1"/>
  <c r="Z375" i="1" s="1"/>
  <c r="Y376" i="1"/>
  <c r="Y381" i="1"/>
  <c r="BP378" i="1"/>
  <c r="BN378" i="1"/>
  <c r="Z378" i="1"/>
  <c r="Z380" i="1" s="1"/>
  <c r="Y380" i="1"/>
  <c r="O498" i="1"/>
  <c r="Y282" i="1"/>
  <c r="P498" i="1"/>
  <c r="Y287" i="1"/>
  <c r="S498" i="1"/>
  <c r="BP351" i="1"/>
  <c r="BN351" i="1"/>
  <c r="Z351" i="1"/>
  <c r="BP359" i="1"/>
  <c r="BN359" i="1"/>
  <c r="Z359" i="1"/>
  <c r="Y361" i="1"/>
  <c r="Y366" i="1"/>
  <c r="BP363" i="1"/>
  <c r="BN363" i="1"/>
  <c r="Z363" i="1"/>
  <c r="Z365" i="1" s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Y498" i="1"/>
  <c r="Y356" i="1"/>
  <c r="T498" i="1"/>
  <c r="Y375" i="1"/>
  <c r="X498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BP450" i="1"/>
  <c r="BN450" i="1"/>
  <c r="Z450" i="1"/>
  <c r="BP460" i="1"/>
  <c r="BN460" i="1"/>
  <c r="Z460" i="1"/>
  <c r="Z463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39" i="1"/>
  <c r="Z445" i="1" l="1"/>
  <c r="Z400" i="1"/>
  <c r="Z228" i="1"/>
  <c r="Z439" i="1"/>
  <c r="Z355" i="1"/>
  <c r="Z223" i="1"/>
  <c r="Z310" i="1"/>
  <c r="Z360" i="1"/>
  <c r="Z343" i="1"/>
  <c r="Z287" i="1"/>
  <c r="Z185" i="1"/>
  <c r="Z118" i="1"/>
  <c r="Z111" i="1"/>
  <c r="Z301" i="1"/>
  <c r="Z454" i="1"/>
  <c r="Z417" i="1"/>
  <c r="Z274" i="1"/>
  <c r="Z257" i="1"/>
  <c r="Z211" i="1"/>
  <c r="Z179" i="1"/>
  <c r="Z95" i="1"/>
  <c r="Z88" i="1"/>
  <c r="Z75" i="1"/>
  <c r="Y489" i="1"/>
  <c r="Z336" i="1"/>
  <c r="Z266" i="1"/>
  <c r="Z241" i="1"/>
  <c r="Z104" i="1"/>
  <c r="Y492" i="1"/>
  <c r="Z317" i="1"/>
  <c r="Z152" i="1"/>
  <c r="Z43" i="1"/>
  <c r="Z493" i="1" s="1"/>
  <c r="Y488" i="1"/>
  <c r="Y490" i="1"/>
  <c r="Y491" i="1" l="1"/>
</calcChain>
</file>

<file path=xl/sharedStrings.xml><?xml version="1.0" encoding="utf-8"?>
<sst xmlns="http://schemas.openxmlformats.org/spreadsheetml/2006/main" count="2320" uniqueCount="768">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</sst>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6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4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3" t="s">
        <v>0</v>
      </c>
      <c r="E1" s="580"/>
      <c r="F1" s="580"/>
      <c r="G1" s="12" t="s">
        <v>1</v>
      </c>
      <c r="H1" s="63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5" t="s">
        <v>8</v>
      </c>
      <c r="B5" s="654"/>
      <c r="C5" s="655"/>
      <c r="D5" s="634"/>
      <c r="E5" s="635"/>
      <c r="F5" s="831" t="s">
        <v>9</v>
      </c>
      <c r="G5" s="655"/>
      <c r="H5" s="634" t="s">
        <v>767</v>
      </c>
      <c r="I5" s="781"/>
      <c r="J5" s="781"/>
      <c r="K5" s="781"/>
      <c r="L5" s="781"/>
      <c r="M5" s="635"/>
      <c r="N5" s="58"/>
      <c r="P5" s="24" t="s">
        <v>10</v>
      </c>
      <c r="Q5" s="834">
        <v>46048</v>
      </c>
      <c r="R5" s="671"/>
      <c r="T5" s="720" t="s">
        <v>11</v>
      </c>
      <c r="U5" s="721"/>
      <c r="V5" s="722" t="s">
        <v>12</v>
      </c>
      <c r="W5" s="671"/>
      <c r="AB5" s="51"/>
      <c r="AC5" s="51"/>
      <c r="AD5" s="51"/>
      <c r="AE5" s="51"/>
    </row>
    <row r="6" spans="1:32" s="539" customFormat="1" ht="24" customHeight="1" x14ac:dyDescent="0.2">
      <c r="A6" s="675" t="s">
        <v>13</v>
      </c>
      <c r="B6" s="654"/>
      <c r="C6" s="655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71"/>
      <c r="N6" s="59"/>
      <c r="P6" s="24" t="s">
        <v>15</v>
      </c>
      <c r="Q6" s="825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5" t="s">
        <v>16</v>
      </c>
      <c r="U6" s="721"/>
      <c r="V6" s="766" t="s">
        <v>17</v>
      </c>
      <c r="W6" s="623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87" t="str">
        <f>IFERROR(VLOOKUP(DeliveryAddress,Table,3,0),1)</f>
        <v>1</v>
      </c>
      <c r="E7" s="588"/>
      <c r="F7" s="588"/>
      <c r="G7" s="588"/>
      <c r="H7" s="588"/>
      <c r="I7" s="588"/>
      <c r="J7" s="588"/>
      <c r="K7" s="588"/>
      <c r="L7" s="588"/>
      <c r="M7" s="589"/>
      <c r="N7" s="60"/>
      <c r="P7" s="24"/>
      <c r="Q7" s="42"/>
      <c r="R7" s="42"/>
      <c r="T7" s="559"/>
      <c r="U7" s="721"/>
      <c r="V7" s="767"/>
      <c r="W7" s="768"/>
      <c r="AB7" s="51"/>
      <c r="AC7" s="51"/>
      <c r="AD7" s="51"/>
      <c r="AE7" s="51"/>
    </row>
    <row r="8" spans="1:32" s="539" customFormat="1" ht="25.5" customHeight="1" x14ac:dyDescent="0.2">
      <c r="A8" s="855" t="s">
        <v>18</v>
      </c>
      <c r="B8" s="568"/>
      <c r="C8" s="569"/>
      <c r="D8" s="590" t="s">
        <v>19</v>
      </c>
      <c r="E8" s="591"/>
      <c r="F8" s="591"/>
      <c r="G8" s="591"/>
      <c r="H8" s="591"/>
      <c r="I8" s="591"/>
      <c r="J8" s="591"/>
      <c r="K8" s="591"/>
      <c r="L8" s="591"/>
      <c r="M8" s="592"/>
      <c r="N8" s="61"/>
      <c r="P8" s="24" t="s">
        <v>20</v>
      </c>
      <c r="Q8" s="685">
        <v>0.5</v>
      </c>
      <c r="R8" s="589"/>
      <c r="T8" s="559"/>
      <c r="U8" s="721"/>
      <c r="V8" s="767"/>
      <c r="W8" s="768"/>
      <c r="AB8" s="51"/>
      <c r="AC8" s="51"/>
      <c r="AD8" s="51"/>
      <c r="AE8" s="51"/>
    </row>
    <row r="9" spans="1:32" s="539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6"/>
      <c r="E9" s="572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7"/>
      <c r="P9" s="26" t="s">
        <v>21</v>
      </c>
      <c r="Q9" s="666"/>
      <c r="R9" s="667"/>
      <c r="T9" s="559"/>
      <c r="U9" s="721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6"/>
      <c r="E10" s="572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8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6"/>
      <c r="R10" s="727"/>
      <c r="U10" s="24" t="s">
        <v>23</v>
      </c>
      <c r="V10" s="622" t="s">
        <v>24</v>
      </c>
      <c r="W10" s="623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808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6" t="s">
        <v>29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30</v>
      </c>
      <c r="Q12" s="685"/>
      <c r="R12" s="589"/>
      <c r="S12" s="23"/>
      <c r="U12" s="24"/>
      <c r="V12" s="580"/>
      <c r="W12" s="559"/>
      <c r="AB12" s="51"/>
      <c r="AC12" s="51"/>
      <c r="AD12" s="51"/>
      <c r="AE12" s="51"/>
    </row>
    <row r="13" spans="1:32" s="539" customFormat="1" ht="23.25" customHeight="1" x14ac:dyDescent="0.2">
      <c r="A13" s="716" t="s">
        <v>31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32</v>
      </c>
      <c r="Q13" s="808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6" t="s">
        <v>33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1" t="s">
        <v>34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04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1" t="s">
        <v>38</v>
      </c>
      <c r="D17" s="596" t="s">
        <v>39</v>
      </c>
      <c r="E17" s="659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8"/>
      <c r="R17" s="658"/>
      <c r="S17" s="658"/>
      <c r="T17" s="659"/>
      <c r="U17" s="862" t="s">
        <v>51</v>
      </c>
      <c r="V17" s="655"/>
      <c r="W17" s="596" t="s">
        <v>52</v>
      </c>
      <c r="X17" s="596" t="s">
        <v>53</v>
      </c>
      <c r="Y17" s="863" t="s">
        <v>54</v>
      </c>
      <c r="Z17" s="779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0"/>
      <c r="E18" s="662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0"/>
      <c r="Q18" s="661"/>
      <c r="R18" s="661"/>
      <c r="S18" s="661"/>
      <c r="T18" s="662"/>
      <c r="U18" s="67" t="s">
        <v>61</v>
      </c>
      <c r="V18" s="67" t="s">
        <v>62</v>
      </c>
      <c r="W18" s="597"/>
      <c r="X18" s="597"/>
      <c r="Y18" s="864"/>
      <c r="Z18" s="780"/>
      <c r="AA18" s="752"/>
      <c r="AB18" s="752"/>
      <c r="AC18" s="752"/>
      <c r="AD18" s="828"/>
      <c r="AE18" s="829"/>
      <c r="AF18" s="830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1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2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2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1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62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2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1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62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2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47" t="s">
        <v>97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hidden="1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0</v>
      </c>
      <c r="Y40" s="546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110</v>
      </c>
      <c r="M42" s="33" t="s">
        <v>80</v>
      </c>
      <c r="N42" s="33"/>
      <c r="O42" s="32">
        <v>50</v>
      </c>
      <c r="P42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41</v>
      </c>
      <c r="Y42" s="546">
        <f>IFERROR(IF(X42="",0,CEILING((X42/$H42),1)*$H42),"")</f>
        <v>44.400000000000006</v>
      </c>
      <c r="Z42" s="36">
        <f>IFERROR(IF(Y42=0,"",ROUNDUP(Y42/H42,0)*0.00902),"")</f>
        <v>0.10824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43.105405405405406</v>
      </c>
      <c r="BN42" s="64">
        <f>IFERROR(Y42*I42/H42,"0")</f>
        <v>46.680000000000007</v>
      </c>
      <c r="BO42" s="64">
        <f>IFERROR(1/J42*(X42/H42),"0")</f>
        <v>8.3947583947583948E-2</v>
      </c>
      <c r="BP42" s="64">
        <f>IFERROR(1/J42*(Y42/H42),"0")</f>
        <v>9.0909090909090925E-2</v>
      </c>
    </row>
    <row r="43" spans="1:68" x14ac:dyDescent="0.2">
      <c r="A43" s="561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62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47">
        <f>IFERROR(X40/H40,"0")+IFERROR(X41/H41,"0")+IFERROR(X42/H42,"0")</f>
        <v>11.081081081081081</v>
      </c>
      <c r="Y43" s="547">
        <f>IFERROR(Y40/H40,"0")+IFERROR(Y41/H41,"0")+IFERROR(Y42/H42,"0")</f>
        <v>12.000000000000002</v>
      </c>
      <c r="Z43" s="547">
        <f>IFERROR(IF(Z40="",0,Z40),"0")+IFERROR(IF(Z41="",0,Z41),"0")+IFERROR(IF(Z42="",0,Z42),"0")</f>
        <v>0.10824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2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47">
        <f>IFERROR(SUM(X40:X42),"0")</f>
        <v>41</v>
      </c>
      <c r="Y44" s="547">
        <f>IFERROR(SUM(Y40:Y42),"0")</f>
        <v>44.400000000000006</v>
      </c>
      <c r="Z44" s="37"/>
      <c r="AA44" s="548"/>
      <c r="AB44" s="548"/>
      <c r="AC44" s="548"/>
    </row>
    <row r="45" spans="1:68" ht="14.25" hidden="1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1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62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2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hidden="1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5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7</v>
      </c>
      <c r="Y54" s="546">
        <f t="shared" si="0"/>
        <v>8</v>
      </c>
      <c r="Z54" s="36">
        <f>IFERROR(IF(Y54=0,"",ROUNDUP(Y54/H54,0)*0.00902),"")</f>
        <v>1.804E-2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7.3325000000000005</v>
      </c>
      <c r="BN54" s="64">
        <f t="shared" si="2"/>
        <v>8.3800000000000008</v>
      </c>
      <c r="BO54" s="64">
        <f t="shared" si="3"/>
        <v>1.3257575757575758E-2</v>
      </c>
      <c r="BP54" s="64">
        <f t="shared" si="4"/>
        <v>1.5151515151515152E-2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6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1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62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47">
        <f>IFERROR(X51/H51,"0")+IFERROR(X52/H52,"0")+IFERROR(X53/H53,"0")+IFERROR(X54/H54,"0")+IFERROR(X55/H55,"0")+IFERROR(X56/H56,"0")</f>
        <v>1.75</v>
      </c>
      <c r="Y57" s="547">
        <f>IFERROR(Y51/H51,"0")+IFERROR(Y52/H52,"0")+IFERROR(Y53/H53,"0")+IFERROR(Y54/H54,"0")+IFERROR(Y55/H55,"0")+IFERROR(Y56/H56,"0")</f>
        <v>2</v>
      </c>
      <c r="Z57" s="547">
        <f>IFERROR(IF(Z51="",0,Z51),"0")+IFERROR(IF(Z52="",0,Z52),"0")+IFERROR(IF(Z53="",0,Z53),"0")+IFERROR(IF(Z54="",0,Z54),"0")+IFERROR(IF(Z55="",0,Z55),"0")+IFERROR(IF(Z56="",0,Z56),"0")</f>
        <v>1.804E-2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2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47">
        <f>IFERROR(SUM(X51:X56),"0")</f>
        <v>7</v>
      </c>
      <c r="Y58" s="547">
        <f>IFERROR(SUM(Y51:Y56),"0")</f>
        <v>8</v>
      </c>
      <c r="Z58" s="37"/>
      <c r="AA58" s="548"/>
      <c r="AB58" s="548"/>
      <c r="AC58" s="548"/>
    </row>
    <row r="59" spans="1:68" ht="14.25" hidden="1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1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62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hidden="1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2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hidden="1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1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62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2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1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62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2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1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62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hidden="1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2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hidden="1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hidden="1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hidden="1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0</v>
      </c>
      <c r="Y84" s="546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18</v>
      </c>
      <c r="Y87" s="546">
        <f>IFERROR(IF(X87="",0,CEILING((X87/$H87),1)*$H87),"")</f>
        <v>18</v>
      </c>
      <c r="Z87" s="36">
        <f>IFERROR(IF(Y87=0,"",ROUNDUP(Y87/H87,0)*0.00902),"")</f>
        <v>3.6080000000000001E-2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18.760000000000002</v>
      </c>
      <c r="BN87" s="64">
        <f>IFERROR(Y87*I87/H87,"0")</f>
        <v>18.760000000000002</v>
      </c>
      <c r="BO87" s="64">
        <f>IFERROR(1/J87*(X87/H87),"0")</f>
        <v>3.0303030303030304E-2</v>
      </c>
      <c r="BP87" s="64">
        <f>IFERROR(1/J87*(Y87/H87),"0")</f>
        <v>3.0303030303030304E-2</v>
      </c>
    </row>
    <row r="88" spans="1:68" x14ac:dyDescent="0.2">
      <c r="A88" s="561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62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47">
        <f>IFERROR(X84/H84,"0")+IFERROR(X85/H85,"0")+IFERROR(X86/H86,"0")+IFERROR(X87/H87,"0")</f>
        <v>4</v>
      </c>
      <c r="Y88" s="547">
        <f>IFERROR(Y84/H84,"0")+IFERROR(Y85/H85,"0")+IFERROR(Y86/H86,"0")+IFERROR(Y87/H87,"0")</f>
        <v>4</v>
      </c>
      <c r="Z88" s="547">
        <f>IFERROR(IF(Z84="",0,Z84),"0")+IFERROR(IF(Z85="",0,Z85),"0")+IFERROR(IF(Z86="",0,Z86),"0")+IFERROR(IF(Z87="",0,Z87),"0")</f>
        <v>3.6080000000000001E-2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2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47">
        <f>IFERROR(SUM(X84:X87),"0")</f>
        <v>18</v>
      </c>
      <c r="Y89" s="547">
        <f>IFERROR(SUM(Y84:Y87),"0")</f>
        <v>18</v>
      </c>
      <c r="Z89" s="37"/>
      <c r="AA89" s="548"/>
      <c r="AB89" s="548"/>
      <c r="AC89" s="548"/>
    </row>
    <row r="90" spans="1:68" ht="14.25" hidden="1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hidden="1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0</v>
      </c>
      <c r="Y91" s="546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61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62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47">
        <f>IFERROR(X91/H91,"0")+IFERROR(X92/H92,"0")+IFERROR(X93/H93,"0")+IFERROR(X94/H94,"0")</f>
        <v>0</v>
      </c>
      <c r="Y95" s="547">
        <f>IFERROR(Y91/H91,"0")+IFERROR(Y92/H92,"0")+IFERROR(Y93/H93,"0")+IFERROR(Y94/H94,"0")</f>
        <v>0</v>
      </c>
      <c r="Z95" s="547">
        <f>IFERROR(IF(Z91="",0,Z91),"0")+IFERROR(IF(Z92="",0,Z92),"0")+IFERROR(IF(Z93="",0,Z93),"0")+IFERROR(IF(Z94="",0,Z94),"0")</f>
        <v>0</v>
      </c>
      <c r="AA95" s="548"/>
      <c r="AB95" s="548"/>
      <c r="AC95" s="548"/>
    </row>
    <row r="96" spans="1:68" hidden="1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2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47">
        <f>IFERROR(SUM(X91:X94),"0")</f>
        <v>0</v>
      </c>
      <c r="Y96" s="547">
        <f>IFERROR(SUM(Y91:Y94),"0")</f>
        <v>0</v>
      </c>
      <c r="Z96" s="37"/>
      <c r="AA96" s="548"/>
      <c r="AB96" s="548"/>
      <c r="AC96" s="548"/>
    </row>
    <row r="97" spans="1:68" ht="16.5" hidden="1" customHeight="1" x14ac:dyDescent="0.25">
      <c r="A97" s="560" t="s">
        <v>190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hidden="1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16</v>
      </c>
      <c r="Y99" s="546">
        <f>IFERROR(IF(X99="",0,CEILING((X99/$H99),1)*$H99),"")</f>
        <v>21.6</v>
      </c>
      <c r="Z99" s="36">
        <f>IFERROR(IF(Y99=0,"",ROUNDUP(Y99/H99,0)*0.01898),"")</f>
        <v>3.7960000000000001E-2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16.607407407407408</v>
      </c>
      <c r="BN99" s="64">
        <f>IFERROR(Y99*I99/H99,"0")</f>
        <v>22.42</v>
      </c>
      <c r="BO99" s="64">
        <f>IFERROR(1/J99*(X99/H99),"0")</f>
        <v>2.3148148148148147E-2</v>
      </c>
      <c r="BP99" s="64">
        <f>IFERROR(1/J99*(Y99/H99),"0")</f>
        <v>3.125E-2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30</v>
      </c>
      <c r="Y102" s="546">
        <f>IFERROR(IF(X102="",0,CEILING((X102/$H102),1)*$H102),"")</f>
        <v>31.5</v>
      </c>
      <c r="Z102" s="36">
        <f>IFERROR(IF(Y102=0,"",ROUNDUP(Y102/H102,0)*0.00902),"")</f>
        <v>6.3140000000000002E-2</v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31.266666666666669</v>
      </c>
      <c r="BN102" s="64">
        <f>IFERROR(Y102*I102/H102,"0")</f>
        <v>32.830000000000005</v>
      </c>
      <c r="BO102" s="64">
        <f>IFERROR(1/J102*(X102/H102),"0")</f>
        <v>5.0505050505050511E-2</v>
      </c>
      <c r="BP102" s="64">
        <f>IFERROR(1/J102*(Y102/H102),"0")</f>
        <v>5.3030303030303032E-2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62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47">
        <f>IFERROR(X99/H99,"0")+IFERROR(X100/H100,"0")+IFERROR(X101/H101,"0")+IFERROR(X102/H102,"0")+IFERROR(X103/H103,"0")</f>
        <v>8.1481481481481488</v>
      </c>
      <c r="Y104" s="547">
        <f>IFERROR(Y99/H99,"0")+IFERROR(Y100/H100,"0")+IFERROR(Y101/H101,"0")+IFERROR(Y102/H102,"0")+IFERROR(Y103/H103,"0")</f>
        <v>9</v>
      </c>
      <c r="Z104" s="547">
        <f>IFERROR(IF(Z99="",0,Z99),"0")+IFERROR(IF(Z100="",0,Z100),"0")+IFERROR(IF(Z101="",0,Z101),"0")+IFERROR(IF(Z102="",0,Z102),"0")+IFERROR(IF(Z103="",0,Z103),"0")</f>
        <v>0.1011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2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47">
        <f>IFERROR(SUM(X99:X103),"0")</f>
        <v>46</v>
      </c>
      <c r="Y105" s="547">
        <f>IFERROR(SUM(Y99:Y103),"0")</f>
        <v>53.1</v>
      </c>
      <c r="Z105" s="37"/>
      <c r="AA105" s="548"/>
      <c r="AB105" s="548"/>
      <c r="AC105" s="548"/>
    </row>
    <row r="106" spans="1:68" ht="14.25" hidden="1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186</v>
      </c>
      <c r="M110" s="33" t="s">
        <v>104</v>
      </c>
      <c r="N110" s="33"/>
      <c r="O110" s="32">
        <v>55</v>
      </c>
      <c r="P110" s="8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1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62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hidden="1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2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hidden="1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39</v>
      </c>
      <c r="Y114" s="546">
        <f>IFERROR(IF(X114="",0,CEILING((X114/$H114),1)*$H114),"")</f>
        <v>40.5</v>
      </c>
      <c r="Z114" s="36">
        <f>IFERROR(IF(Y114=0,"",ROUNDUP(Y114/H114,0)*0.01898),"")</f>
        <v>9.4899999999999998E-2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41.349629629629625</v>
      </c>
      <c r="BN114" s="64">
        <f>IFERROR(Y114*I114/H114,"0")</f>
        <v>42.94</v>
      </c>
      <c r="BO114" s="64">
        <f>IFERROR(1/J114*(X114/H114),"0")</f>
        <v>7.5231481481481483E-2</v>
      </c>
      <c r="BP114" s="64">
        <f>IFERROR(1/J114*(Y114/H114),"0")</f>
        <v>7.8125E-2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62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47">
        <f>IFERROR(X114/H114,"0")+IFERROR(X115/H115,"0")+IFERROR(X116/H116,"0")+IFERROR(X117/H117,"0")</f>
        <v>4.8148148148148149</v>
      </c>
      <c r="Y118" s="547">
        <f>IFERROR(Y114/H114,"0")+IFERROR(Y115/H115,"0")+IFERROR(Y116/H116,"0")+IFERROR(Y117/H117,"0")</f>
        <v>5</v>
      </c>
      <c r="Z118" s="547">
        <f>IFERROR(IF(Z114="",0,Z114),"0")+IFERROR(IF(Z115="",0,Z115),"0")+IFERROR(IF(Z116="",0,Z116),"0")+IFERROR(IF(Z117="",0,Z117),"0")</f>
        <v>9.4899999999999998E-2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2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47">
        <f>IFERROR(SUM(X114:X117),"0")</f>
        <v>39</v>
      </c>
      <c r="Y119" s="547">
        <f>IFERROR(SUM(Y114:Y117),"0")</f>
        <v>40.5</v>
      </c>
      <c r="Z119" s="37"/>
      <c r="AA119" s="548"/>
      <c r="AB119" s="548"/>
      <c r="AC119" s="548"/>
    </row>
    <row r="120" spans="1:68" ht="14.25" hidden="1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1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62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hidden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2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hidden="1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hidden="1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1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62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hidden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2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hidden="1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186</v>
      </c>
      <c r="M131" s="33" t="s">
        <v>94</v>
      </c>
      <c r="N131" s="33"/>
      <c r="O131" s="32">
        <v>90</v>
      </c>
      <c r="P131" s="64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1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62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hidden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2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hidden="1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1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62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hidden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2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hidden="1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hidden="1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1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62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2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5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1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62"/>
      <c r="P152" s="567" t="s">
        <v>75</v>
      </c>
      <c r="Q152" s="568"/>
      <c r="R152" s="568"/>
      <c r="S152" s="568"/>
      <c r="T152" s="568"/>
      <c r="U152" s="568"/>
      <c r="V152" s="569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62"/>
      <c r="P153" s="567" t="s">
        <v>75</v>
      </c>
      <c r="Q153" s="568"/>
      <c r="R153" s="568"/>
      <c r="S153" s="568"/>
      <c r="T153" s="568"/>
      <c r="U153" s="568"/>
      <c r="V153" s="569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1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62"/>
      <c r="P156" s="567" t="s">
        <v>75</v>
      </c>
      <c r="Q156" s="568"/>
      <c r="R156" s="568"/>
      <c r="S156" s="568"/>
      <c r="T156" s="568"/>
      <c r="U156" s="568"/>
      <c r="V156" s="569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62"/>
      <c r="P157" s="567" t="s">
        <v>75</v>
      </c>
      <c r="Q157" s="568"/>
      <c r="R157" s="568"/>
      <c r="S157" s="568"/>
      <c r="T157" s="568"/>
      <c r="U157" s="568"/>
      <c r="V157" s="569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47" t="s">
        <v>263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48"/>
      <c r="AB158" s="48"/>
      <c r="AC158" s="48"/>
    </row>
    <row r="159" spans="1:68" ht="16.5" hidden="1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hidden="1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1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62"/>
      <c r="P162" s="567" t="s">
        <v>75</v>
      </c>
      <c r="Q162" s="568"/>
      <c r="R162" s="568"/>
      <c r="S162" s="568"/>
      <c r="T162" s="568"/>
      <c r="U162" s="568"/>
      <c r="V162" s="569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62"/>
      <c r="P163" s="567" t="s">
        <v>75</v>
      </c>
      <c r="Q163" s="568"/>
      <c r="R163" s="568"/>
      <c r="S163" s="568"/>
      <c r="T163" s="568"/>
      <c r="U163" s="568"/>
      <c r="V163" s="569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hidden="1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6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7</v>
      </c>
      <c r="Y169" s="546">
        <f t="shared" si="5"/>
        <v>8.4</v>
      </c>
      <c r="Z169" s="36">
        <f>IFERROR(IF(Y169=0,"",ROUNDUP(Y169/H169,0)*0.00502),"")</f>
        <v>2.0080000000000001E-2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7.4333333333333327</v>
      </c>
      <c r="BN169" s="64">
        <f t="shared" si="7"/>
        <v>8.92</v>
      </c>
      <c r="BO169" s="64">
        <f t="shared" si="8"/>
        <v>1.4245014245014245E-2</v>
      </c>
      <c r="BP169" s="64">
        <f t="shared" si="9"/>
        <v>1.7094017094017096E-2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6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14</v>
      </c>
      <c r="Y176" s="546">
        <f t="shared" si="5"/>
        <v>14.700000000000001</v>
      </c>
      <c r="Z176" s="36">
        <f>IFERROR(IF(Y176=0,"",ROUNDUP(Y176/H176,0)*0.00502),"")</f>
        <v>3.5140000000000005E-2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14.666666666666668</v>
      </c>
      <c r="BN176" s="64">
        <f t="shared" si="7"/>
        <v>15.4</v>
      </c>
      <c r="BO176" s="64">
        <f t="shared" si="8"/>
        <v>2.8490028490028491E-2</v>
      </c>
      <c r="BP176" s="64">
        <f t="shared" si="9"/>
        <v>2.9914529914529919E-2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1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2"/>
      <c r="P179" s="567" t="s">
        <v>75</v>
      </c>
      <c r="Q179" s="568"/>
      <c r="R179" s="568"/>
      <c r="S179" s="568"/>
      <c r="T179" s="568"/>
      <c r="U179" s="568"/>
      <c r="V179" s="569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10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11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5.5220000000000005E-2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2"/>
      <c r="P180" s="567" t="s">
        <v>75</v>
      </c>
      <c r="Q180" s="568"/>
      <c r="R180" s="568"/>
      <c r="S180" s="568"/>
      <c r="T180" s="568"/>
      <c r="U180" s="568"/>
      <c r="V180" s="569"/>
      <c r="W180" s="37" t="s">
        <v>69</v>
      </c>
      <c r="X180" s="547">
        <f>IFERROR(SUM(X165:X178),"0")</f>
        <v>21</v>
      </c>
      <c r="Y180" s="547">
        <f>IFERROR(SUM(Y165:Y178),"0")</f>
        <v>23.1</v>
      </c>
      <c r="Z180" s="37"/>
      <c r="AA180" s="548"/>
      <c r="AB180" s="548"/>
      <c r="AC180" s="548"/>
    </row>
    <row r="181" spans="1:68" ht="14.25" hidden="1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1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2"/>
      <c r="P185" s="567" t="s">
        <v>75</v>
      </c>
      <c r="Q185" s="568"/>
      <c r="R185" s="568"/>
      <c r="S185" s="568"/>
      <c r="T185" s="568"/>
      <c r="U185" s="568"/>
      <c r="V185" s="569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hidden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2"/>
      <c r="P186" s="567" t="s">
        <v>75</v>
      </c>
      <c r="Q186" s="568"/>
      <c r="R186" s="568"/>
      <c r="S186" s="568"/>
      <c r="T186" s="568"/>
      <c r="U186" s="568"/>
      <c r="V186" s="569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hidden="1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1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2"/>
      <c r="P189" s="567" t="s">
        <v>75</v>
      </c>
      <c r="Q189" s="568"/>
      <c r="R189" s="568"/>
      <c r="S189" s="568"/>
      <c r="T189" s="568"/>
      <c r="U189" s="568"/>
      <c r="V189" s="569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2"/>
      <c r="P190" s="567" t="s">
        <v>75</v>
      </c>
      <c r="Q190" s="568"/>
      <c r="R190" s="568"/>
      <c r="S190" s="568"/>
      <c r="T190" s="568"/>
      <c r="U190" s="568"/>
      <c r="V190" s="569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hidden="1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hidden="1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1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2"/>
      <c r="P195" s="567" t="s">
        <v>75</v>
      </c>
      <c r="Q195" s="568"/>
      <c r="R195" s="568"/>
      <c r="S195" s="568"/>
      <c r="T195" s="568"/>
      <c r="U195" s="568"/>
      <c r="V195" s="569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2"/>
      <c r="P196" s="567" t="s">
        <v>75</v>
      </c>
      <c r="Q196" s="568"/>
      <c r="R196" s="568"/>
      <c r="S196" s="568"/>
      <c r="T196" s="568"/>
      <c r="U196" s="568"/>
      <c r="V196" s="569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186</v>
      </c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1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2"/>
      <c r="P200" s="567" t="s">
        <v>75</v>
      </c>
      <c r="Q200" s="568"/>
      <c r="R200" s="568"/>
      <c r="S200" s="568"/>
      <c r="T200" s="568"/>
      <c r="U200" s="568"/>
      <c r="V200" s="569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2"/>
      <c r="P201" s="567" t="s">
        <v>75</v>
      </c>
      <c r="Q201" s="568"/>
      <c r="R201" s="568"/>
      <c r="S201" s="568"/>
      <c r="T201" s="568"/>
      <c r="U201" s="568"/>
      <c r="V201" s="569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199</v>
      </c>
      <c r="Y203" s="546">
        <f t="shared" ref="Y203:Y210" si="10">IFERROR(IF(X203="",0,CEILING((X203/$H203),1)*$H203),"")</f>
        <v>199.8</v>
      </c>
      <c r="Z203" s="36">
        <f>IFERROR(IF(Y203=0,"",ROUNDUP(Y203/H203,0)*0.00902),"")</f>
        <v>0.33374000000000004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206.00185185185185</v>
      </c>
      <c r="BN203" s="64">
        <f t="shared" ref="BN203:BN210" si="12">IFERROR(Y203*I203/H203,"0")</f>
        <v>206.82999999999998</v>
      </c>
      <c r="BO203" s="64">
        <f t="shared" ref="BO203:BO210" si="13">IFERROR(1/J203*(X203/H203),"0")</f>
        <v>0.27918069584736249</v>
      </c>
      <c r="BP203" s="64">
        <f t="shared" ref="BP203:BP210" si="14">IFERROR(1/J203*(Y203/H203),"0")</f>
        <v>0.28030303030303033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159</v>
      </c>
      <c r="Y204" s="546">
        <f t="shared" si="10"/>
        <v>162</v>
      </c>
      <c r="Z204" s="36">
        <f>IFERROR(IF(Y204=0,"",ROUNDUP(Y204/H204,0)*0.00902),"")</f>
        <v>0.27060000000000001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164.59444444444443</v>
      </c>
      <c r="BN204" s="64">
        <f t="shared" si="12"/>
        <v>167.7</v>
      </c>
      <c r="BO204" s="64">
        <f t="shared" si="13"/>
        <v>0.22306397306397305</v>
      </c>
      <c r="BP204" s="64">
        <f t="shared" si="14"/>
        <v>0.22727272727272727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63</v>
      </c>
      <c r="Y206" s="546">
        <f t="shared" si="10"/>
        <v>64.800000000000011</v>
      </c>
      <c r="Z206" s="36">
        <f>IFERROR(IF(Y206=0,"",ROUNDUP(Y206/H206,0)*0.00902),"")</f>
        <v>0.10824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65.216666666666669</v>
      </c>
      <c r="BN206" s="64">
        <f t="shared" si="12"/>
        <v>67.08</v>
      </c>
      <c r="BO206" s="64">
        <f t="shared" si="13"/>
        <v>8.8383838383838384E-2</v>
      </c>
      <c r="BP206" s="64">
        <f t="shared" si="14"/>
        <v>9.0909090909090925E-2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4</v>
      </c>
      <c r="Y208" s="546">
        <f t="shared" si="10"/>
        <v>5.4</v>
      </c>
      <c r="Z208" s="36">
        <f>IFERROR(IF(Y208=0,"",ROUNDUP(Y208/H208,0)*0.00502),"")</f>
        <v>1.506E-2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4.2222222222222223</v>
      </c>
      <c r="BN208" s="64">
        <f t="shared" si="12"/>
        <v>5.7</v>
      </c>
      <c r="BO208" s="64">
        <f t="shared" si="13"/>
        <v>9.4966761633428314E-3</v>
      </c>
      <c r="BP208" s="64">
        <f t="shared" si="14"/>
        <v>1.2820512820512822E-2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6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61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2"/>
      <c r="P211" s="567" t="s">
        <v>75</v>
      </c>
      <c r="Q211" s="568"/>
      <c r="R211" s="568"/>
      <c r="S211" s="568"/>
      <c r="T211" s="568"/>
      <c r="U211" s="568"/>
      <c r="V211" s="569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80.18518518518519</v>
      </c>
      <c r="Y211" s="547">
        <f>IFERROR(Y203/H203,"0")+IFERROR(Y204/H204,"0")+IFERROR(Y205/H205,"0")+IFERROR(Y206/H206,"0")+IFERROR(Y207/H207,"0")+IFERROR(Y208/H208,"0")+IFERROR(Y209/H209,"0")+IFERROR(Y210/H210,"0")</f>
        <v>82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0.72764000000000006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2"/>
      <c r="P212" s="567" t="s">
        <v>75</v>
      </c>
      <c r="Q212" s="568"/>
      <c r="R212" s="568"/>
      <c r="S212" s="568"/>
      <c r="T212" s="568"/>
      <c r="U212" s="568"/>
      <c r="V212" s="569"/>
      <c r="W212" s="37" t="s">
        <v>69</v>
      </c>
      <c r="X212" s="547">
        <f>IFERROR(SUM(X203:X210),"0")</f>
        <v>425</v>
      </c>
      <c r="Y212" s="547">
        <f>IFERROR(SUM(Y203:Y210),"0")</f>
        <v>432</v>
      </c>
      <c r="Z212" s="37"/>
      <c r="AA212" s="548"/>
      <c r="AB212" s="548"/>
      <c r="AC212" s="548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 t="s">
        <v>103</v>
      </c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 t="s">
        <v>106</v>
      </c>
      <c r="AK214" s="68">
        <v>64.8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hidden="1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186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186</v>
      </c>
      <c r="M219" s="33" t="s">
        <v>80</v>
      </c>
      <c r="N219" s="33"/>
      <c r="O219" s="32">
        <v>45</v>
      </c>
      <c r="P219" s="7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28</v>
      </c>
      <c r="Y219" s="546">
        <f t="shared" si="15"/>
        <v>28.799999999999997</v>
      </c>
      <c r="Z219" s="36">
        <f t="shared" si="20"/>
        <v>7.8119999999999995E-2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30.94</v>
      </c>
      <c r="BN219" s="64">
        <f t="shared" si="17"/>
        <v>31.824000000000002</v>
      </c>
      <c r="BO219" s="64">
        <f t="shared" si="18"/>
        <v>6.4102564102564111E-2</v>
      </c>
      <c r="BP219" s="64">
        <f t="shared" si="19"/>
        <v>6.5934065934065936E-2</v>
      </c>
    </row>
    <row r="220" spans="1:68" ht="27" hidden="1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186</v>
      </c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186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61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2"/>
      <c r="P223" s="567" t="s">
        <v>75</v>
      </c>
      <c r="Q223" s="568"/>
      <c r="R223" s="568"/>
      <c r="S223" s="568"/>
      <c r="T223" s="568"/>
      <c r="U223" s="568"/>
      <c r="V223" s="569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11.666666666666668</v>
      </c>
      <c r="Y223" s="547">
        <f>IFERROR(Y214/H214,"0")+IFERROR(Y215/H215,"0")+IFERROR(Y216/H216,"0")+IFERROR(Y217/H217,"0")+IFERROR(Y218/H218,"0")+IFERROR(Y219/H219,"0")+IFERROR(Y220/H220,"0")+IFERROR(Y221/H221,"0")+IFERROR(Y222/H222,"0")</f>
        <v>12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7.8119999999999995E-2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2"/>
      <c r="P224" s="567" t="s">
        <v>75</v>
      </c>
      <c r="Q224" s="568"/>
      <c r="R224" s="568"/>
      <c r="S224" s="568"/>
      <c r="T224" s="568"/>
      <c r="U224" s="568"/>
      <c r="V224" s="569"/>
      <c r="W224" s="37" t="s">
        <v>69</v>
      </c>
      <c r="X224" s="547">
        <f>IFERROR(SUM(X214:X222),"0")</f>
        <v>28</v>
      </c>
      <c r="Y224" s="547">
        <f>IFERROR(SUM(Y214:Y222),"0")</f>
        <v>28.799999999999997</v>
      </c>
      <c r="Z224" s="37"/>
      <c r="AA224" s="548"/>
      <c r="AB224" s="548"/>
      <c r="AC224" s="548"/>
    </row>
    <row r="225" spans="1:68" ht="14.25" hidden="1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 t="s">
        <v>186</v>
      </c>
      <c r="M226" s="33" t="s">
        <v>86</v>
      </c>
      <c r="N226" s="33"/>
      <c r="O226" s="32">
        <v>40</v>
      </c>
      <c r="P226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106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186</v>
      </c>
      <c r="M227" s="33" t="s">
        <v>80</v>
      </c>
      <c r="N227" s="33"/>
      <c r="O227" s="32">
        <v>40</v>
      </c>
      <c r="P227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1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2"/>
      <c r="P228" s="567" t="s">
        <v>75</v>
      </c>
      <c r="Q228" s="568"/>
      <c r="R228" s="568"/>
      <c r="S228" s="568"/>
      <c r="T228" s="568"/>
      <c r="U228" s="568"/>
      <c r="V228" s="569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hidden="1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2"/>
      <c r="P229" s="567" t="s">
        <v>75</v>
      </c>
      <c r="Q229" s="568"/>
      <c r="R229" s="568"/>
      <c r="S229" s="568"/>
      <c r="T229" s="568"/>
      <c r="U229" s="568"/>
      <c r="V229" s="569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hidden="1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hidden="1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5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61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2"/>
      <c r="P241" s="567" t="s">
        <v>75</v>
      </c>
      <c r="Q241" s="568"/>
      <c r="R241" s="568"/>
      <c r="S241" s="568"/>
      <c r="T241" s="568"/>
      <c r="U241" s="568"/>
      <c r="V241" s="569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hidden="1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2"/>
      <c r="P242" s="567" t="s">
        <v>75</v>
      </c>
      <c r="Q242" s="568"/>
      <c r="R242" s="568"/>
      <c r="S242" s="568"/>
      <c r="T242" s="568"/>
      <c r="U242" s="568"/>
      <c r="V242" s="569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hidden="1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1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2"/>
      <c r="P245" s="567" t="s">
        <v>75</v>
      </c>
      <c r="Q245" s="568"/>
      <c r="R245" s="568"/>
      <c r="S245" s="568"/>
      <c r="T245" s="568"/>
      <c r="U245" s="568"/>
      <c r="V245" s="569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2"/>
      <c r="P246" s="567" t="s">
        <v>75</v>
      </c>
      <c r="Q246" s="568"/>
      <c r="R246" s="568"/>
      <c r="S246" s="568"/>
      <c r="T246" s="568"/>
      <c r="U246" s="568"/>
      <c r="V246" s="569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1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2"/>
      <c r="P249" s="567" t="s">
        <v>75</v>
      </c>
      <c r="Q249" s="568"/>
      <c r="R249" s="568"/>
      <c r="S249" s="568"/>
      <c r="T249" s="568"/>
      <c r="U249" s="568"/>
      <c r="V249" s="569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2"/>
      <c r="P250" s="567" t="s">
        <v>75</v>
      </c>
      <c r="Q250" s="568"/>
      <c r="R250" s="568"/>
      <c r="S250" s="568"/>
      <c r="T250" s="568"/>
      <c r="U250" s="568"/>
      <c r="V250" s="569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hidden="1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6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1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2"/>
      <c r="P257" s="567" t="s">
        <v>75</v>
      </c>
      <c r="Q257" s="568"/>
      <c r="R257" s="568"/>
      <c r="S257" s="568"/>
      <c r="T257" s="568"/>
      <c r="U257" s="568"/>
      <c r="V257" s="569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2"/>
      <c r="P258" s="567" t="s">
        <v>75</v>
      </c>
      <c r="Q258" s="568"/>
      <c r="R258" s="568"/>
      <c r="S258" s="568"/>
      <c r="T258" s="568"/>
      <c r="U258" s="568"/>
      <c r="V258" s="569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hidden="1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hidden="1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 t="s">
        <v>103</v>
      </c>
      <c r="M261" s="33" t="s">
        <v>104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106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4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1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2"/>
      <c r="P266" s="567" t="s">
        <v>75</v>
      </c>
      <c r="Q266" s="568"/>
      <c r="R266" s="568"/>
      <c r="S266" s="568"/>
      <c r="T266" s="568"/>
      <c r="U266" s="568"/>
      <c r="V266" s="569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2"/>
      <c r="P267" s="567" t="s">
        <v>75</v>
      </c>
      <c r="Q267" s="568"/>
      <c r="R267" s="568"/>
      <c r="S267" s="568"/>
      <c r="T267" s="568"/>
      <c r="U267" s="568"/>
      <c r="V267" s="569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hidden="1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0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4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1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2"/>
      <c r="P274" s="567" t="s">
        <v>75</v>
      </c>
      <c r="Q274" s="568"/>
      <c r="R274" s="568"/>
      <c r="S274" s="568"/>
      <c r="T274" s="568"/>
      <c r="U274" s="568"/>
      <c r="V274" s="569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2"/>
      <c r="P275" s="567" t="s">
        <v>75</v>
      </c>
      <c r="Q275" s="568"/>
      <c r="R275" s="568"/>
      <c r="S275" s="568"/>
      <c r="T275" s="568"/>
      <c r="U275" s="568"/>
      <c r="V275" s="569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186</v>
      </c>
      <c r="M279" s="33" t="s">
        <v>86</v>
      </c>
      <c r="N279" s="33"/>
      <c r="O279" s="32">
        <v>40</v>
      </c>
      <c r="P279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16</v>
      </c>
      <c r="Y279" s="546">
        <f>IFERROR(IF(X279="",0,CEILING((X279/$H279),1)*$H279),"")</f>
        <v>16.8</v>
      </c>
      <c r="Z279" s="36">
        <f>IFERROR(IF(Y279=0,"",ROUNDUP(Y279/H279,0)*0.00651),"")</f>
        <v>4.5569999999999999E-2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17.680000000000003</v>
      </c>
      <c r="BN279" s="64">
        <f>IFERROR(Y279*I279/H279,"0")</f>
        <v>18.564000000000004</v>
      </c>
      <c r="BO279" s="64">
        <f>IFERROR(1/J279*(X279/H279),"0")</f>
        <v>3.6630036630036632E-2</v>
      </c>
      <c r="BP279" s="64">
        <f>IFERROR(1/J279*(Y279/H279),"0")</f>
        <v>3.8461538461538471E-2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186</v>
      </c>
      <c r="M280" s="33" t="s">
        <v>80</v>
      </c>
      <c r="N280" s="33"/>
      <c r="O280" s="32">
        <v>45</v>
      </c>
      <c r="P280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62</v>
      </c>
      <c r="Y280" s="546">
        <f>IFERROR(IF(X280="",0,CEILING((X280/$H280),1)*$H280),"")</f>
        <v>62.4</v>
      </c>
      <c r="Z280" s="36">
        <f>IFERROR(IF(Y280=0,"",ROUNDUP(Y280/H280,0)*0.00651),"")</f>
        <v>0.16925999999999999</v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66.650000000000006</v>
      </c>
      <c r="BN280" s="64">
        <f>IFERROR(Y280*I280/H280,"0")</f>
        <v>67.08</v>
      </c>
      <c r="BO280" s="64">
        <f>IFERROR(1/J280*(X280/H280),"0")</f>
        <v>0.14194139194139196</v>
      </c>
      <c r="BP280" s="64">
        <f>IFERROR(1/J280*(Y280/H280),"0")</f>
        <v>0.14285714285714288</v>
      </c>
    </row>
    <row r="281" spans="1:68" x14ac:dyDescent="0.2">
      <c r="A281" s="561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2"/>
      <c r="P281" s="567" t="s">
        <v>75</v>
      </c>
      <c r="Q281" s="568"/>
      <c r="R281" s="568"/>
      <c r="S281" s="568"/>
      <c r="T281" s="568"/>
      <c r="U281" s="568"/>
      <c r="V281" s="569"/>
      <c r="W281" s="37" t="s">
        <v>76</v>
      </c>
      <c r="X281" s="547">
        <f>IFERROR(X278/H278,"0")+IFERROR(X279/H279,"0")+IFERROR(X280/H280,"0")</f>
        <v>32.5</v>
      </c>
      <c r="Y281" s="547">
        <f>IFERROR(Y278/H278,"0")+IFERROR(Y279/H279,"0")+IFERROR(Y280/H280,"0")</f>
        <v>33</v>
      </c>
      <c r="Z281" s="547">
        <f>IFERROR(IF(Z278="",0,Z278),"0")+IFERROR(IF(Z279="",0,Z279),"0")+IFERROR(IF(Z280="",0,Z280),"0")</f>
        <v>0.21482999999999999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2"/>
      <c r="P282" s="567" t="s">
        <v>75</v>
      </c>
      <c r="Q282" s="568"/>
      <c r="R282" s="568"/>
      <c r="S282" s="568"/>
      <c r="T282" s="568"/>
      <c r="U282" s="568"/>
      <c r="V282" s="569"/>
      <c r="W282" s="37" t="s">
        <v>69</v>
      </c>
      <c r="X282" s="547">
        <f>IFERROR(SUM(X278:X280),"0")</f>
        <v>78</v>
      </c>
      <c r="Y282" s="547">
        <f>IFERROR(SUM(Y278:Y280),"0")</f>
        <v>79.2</v>
      </c>
      <c r="Z282" s="37"/>
      <c r="AA282" s="548"/>
      <c r="AB282" s="548"/>
      <c r="AC282" s="548"/>
    </row>
    <row r="283" spans="1:68" ht="16.5" hidden="1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1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2"/>
      <c r="P287" s="567" t="s">
        <v>75</v>
      </c>
      <c r="Q287" s="568"/>
      <c r="R287" s="568"/>
      <c r="S287" s="568"/>
      <c r="T287" s="568"/>
      <c r="U287" s="568"/>
      <c r="V287" s="569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2"/>
      <c r="P288" s="567" t="s">
        <v>75</v>
      </c>
      <c r="Q288" s="568"/>
      <c r="R288" s="568"/>
      <c r="S288" s="568"/>
      <c r="T288" s="568"/>
      <c r="U288" s="568"/>
      <c r="V288" s="569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6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1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2"/>
      <c r="P292" s="567" t="s">
        <v>75</v>
      </c>
      <c r="Q292" s="568"/>
      <c r="R292" s="568"/>
      <c r="S292" s="568"/>
      <c r="T292" s="568"/>
      <c r="U292" s="568"/>
      <c r="V292" s="569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2"/>
      <c r="P293" s="567" t="s">
        <v>75</v>
      </c>
      <c r="Q293" s="568"/>
      <c r="R293" s="568"/>
      <c r="S293" s="568"/>
      <c r="T293" s="568"/>
      <c r="U293" s="568"/>
      <c r="V293" s="569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hidden="1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1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62"/>
      <c r="P301" s="567" t="s">
        <v>75</v>
      </c>
      <c r="Q301" s="568"/>
      <c r="R301" s="568"/>
      <c r="S301" s="568"/>
      <c r="T301" s="568"/>
      <c r="U301" s="568"/>
      <c r="V301" s="569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2"/>
      <c r="P302" s="567" t="s">
        <v>75</v>
      </c>
      <c r="Q302" s="568"/>
      <c r="R302" s="568"/>
      <c r="S302" s="568"/>
      <c r="T302" s="568"/>
      <c r="U302" s="568"/>
      <c r="V302" s="569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 t="s">
        <v>110</v>
      </c>
      <c r="M305" s="33" t="s">
        <v>68</v>
      </c>
      <c r="N305" s="33"/>
      <c r="O305" s="32">
        <v>40</v>
      </c>
      <c r="P305" s="7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106</v>
      </c>
      <c r="AK305" s="68">
        <v>50.4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hidden="1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6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 t="s">
        <v>106</v>
      </c>
      <c r="AK308" s="68">
        <v>37.799999999999997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hidden="1" x14ac:dyDescent="0.2">
      <c r="A310" s="561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62"/>
      <c r="P310" s="567" t="s">
        <v>75</v>
      </c>
      <c r="Q310" s="568"/>
      <c r="R310" s="568"/>
      <c r="S310" s="568"/>
      <c r="T310" s="568"/>
      <c r="U310" s="568"/>
      <c r="V310" s="569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hidden="1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2"/>
      <c r="P311" s="567" t="s">
        <v>75</v>
      </c>
      <c r="Q311" s="568"/>
      <c r="R311" s="568"/>
      <c r="S311" s="568"/>
      <c r="T311" s="568"/>
      <c r="U311" s="568"/>
      <c r="V311" s="569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hidden="1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 t="s">
        <v>103</v>
      </c>
      <c r="M313" s="33" t="s">
        <v>80</v>
      </c>
      <c r="N313" s="33"/>
      <c r="O313" s="32">
        <v>40</v>
      </c>
      <c r="P313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 t="s">
        <v>106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1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62"/>
      <c r="P317" s="567" t="s">
        <v>75</v>
      </c>
      <c r="Q317" s="568"/>
      <c r="R317" s="568"/>
      <c r="S317" s="568"/>
      <c r="T317" s="568"/>
      <c r="U317" s="568"/>
      <c r="V317" s="569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2"/>
      <c r="P318" s="567" t="s">
        <v>75</v>
      </c>
      <c r="Q318" s="568"/>
      <c r="R318" s="568"/>
      <c r="S318" s="568"/>
      <c r="T318" s="568"/>
      <c r="U318" s="568"/>
      <c r="V318" s="569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hidden="1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hidden="1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561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62"/>
      <c r="P323" s="567" t="s">
        <v>75</v>
      </c>
      <c r="Q323" s="568"/>
      <c r="R323" s="568"/>
      <c r="S323" s="568"/>
      <c r="T323" s="568"/>
      <c r="U323" s="568"/>
      <c r="V323" s="569"/>
      <c r="W323" s="37" t="s">
        <v>76</v>
      </c>
      <c r="X323" s="547">
        <f>IFERROR(X320/H320,"0")+IFERROR(X321/H321,"0")+IFERROR(X322/H322,"0")</f>
        <v>0</v>
      </c>
      <c r="Y323" s="547">
        <f>IFERROR(Y320/H320,"0")+IFERROR(Y321/H321,"0")+IFERROR(Y322/H322,"0")</f>
        <v>0</v>
      </c>
      <c r="Z323" s="547">
        <f>IFERROR(IF(Z320="",0,Z320),"0")+IFERROR(IF(Z321="",0,Z321),"0")+IFERROR(IF(Z322="",0,Z322),"0")</f>
        <v>0</v>
      </c>
      <c r="AA323" s="548"/>
      <c r="AB323" s="548"/>
      <c r="AC323" s="548"/>
    </row>
    <row r="324" spans="1:68" hidden="1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2"/>
      <c r="P324" s="567" t="s">
        <v>75</v>
      </c>
      <c r="Q324" s="568"/>
      <c r="R324" s="568"/>
      <c r="S324" s="568"/>
      <c r="T324" s="568"/>
      <c r="U324" s="568"/>
      <c r="V324" s="569"/>
      <c r="W324" s="37" t="s">
        <v>69</v>
      </c>
      <c r="X324" s="547">
        <f>IFERROR(SUM(X320:X322),"0")</f>
        <v>0</v>
      </c>
      <c r="Y324" s="547">
        <f>IFERROR(SUM(Y320:Y322),"0")</f>
        <v>0</v>
      </c>
      <c r="Z324" s="37"/>
      <c r="AA324" s="548"/>
      <c r="AB324" s="548"/>
      <c r="AC324" s="548"/>
    </row>
    <row r="325" spans="1:68" ht="14.25" hidden="1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4</v>
      </c>
      <c r="Y326" s="546">
        <f>IFERROR(IF(X326="",0,CEILING((X326/$H326),1)*$H326),"")</f>
        <v>6.08</v>
      </c>
      <c r="Z326" s="36">
        <f>IFERROR(IF(Y326=0,"",ROUNDUP(Y326/H326,0)*0.00902),"")</f>
        <v>1.804E-2</v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4.3552631578947372</v>
      </c>
      <c r="BN326" s="64">
        <f>IFERROR(Y326*I326/H326,"0")</f>
        <v>6.62</v>
      </c>
      <c r="BO326" s="64">
        <f>IFERROR(1/J326*(X326/H326),"0")</f>
        <v>9.9681020733652318E-3</v>
      </c>
      <c r="BP326" s="64">
        <f>IFERROR(1/J326*(Y326/H326),"0")</f>
        <v>1.5151515151515152E-2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186</v>
      </c>
      <c r="M328" s="33" t="s">
        <v>94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1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62"/>
      <c r="P330" s="567" t="s">
        <v>75</v>
      </c>
      <c r="Q330" s="568"/>
      <c r="R330" s="568"/>
      <c r="S330" s="568"/>
      <c r="T330" s="568"/>
      <c r="U330" s="568"/>
      <c r="V330" s="569"/>
      <c r="W330" s="37" t="s">
        <v>76</v>
      </c>
      <c r="X330" s="547">
        <f>IFERROR(X326/H326,"0")+IFERROR(X327/H327,"0")+IFERROR(X328/H328,"0")+IFERROR(X329/H329,"0")</f>
        <v>1.3157894736842106</v>
      </c>
      <c r="Y330" s="547">
        <f>IFERROR(Y326/H326,"0")+IFERROR(Y327/H327,"0")+IFERROR(Y328/H328,"0")+IFERROR(Y329/H329,"0")</f>
        <v>2</v>
      </c>
      <c r="Z330" s="547">
        <f>IFERROR(IF(Z326="",0,Z326),"0")+IFERROR(IF(Z327="",0,Z327),"0")+IFERROR(IF(Z328="",0,Z328),"0")+IFERROR(IF(Z329="",0,Z329),"0")</f>
        <v>1.804E-2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2"/>
      <c r="P331" s="567" t="s">
        <v>75</v>
      </c>
      <c r="Q331" s="568"/>
      <c r="R331" s="568"/>
      <c r="S331" s="568"/>
      <c r="T331" s="568"/>
      <c r="U331" s="568"/>
      <c r="V331" s="569"/>
      <c r="W331" s="37" t="s">
        <v>69</v>
      </c>
      <c r="X331" s="547">
        <f>IFERROR(SUM(X326:X329),"0")</f>
        <v>4</v>
      </c>
      <c r="Y331" s="547">
        <f>IFERROR(SUM(Y326:Y329),"0")</f>
        <v>6.08</v>
      </c>
      <c r="Z331" s="37"/>
      <c r="AA331" s="548"/>
      <c r="AB331" s="548"/>
      <c r="AC331" s="548"/>
    </row>
    <row r="332" spans="1:68" ht="14.25" hidden="1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hidden="1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186</v>
      </c>
      <c r="M333" s="33" t="s">
        <v>534</v>
      </c>
      <c r="N333" s="33"/>
      <c r="O333" s="32">
        <v>730</v>
      </c>
      <c r="P333" s="78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 t="s">
        <v>106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 t="s">
        <v>186</v>
      </c>
      <c r="M334" s="33" t="s">
        <v>534</v>
      </c>
      <c r="N334" s="33"/>
      <c r="O334" s="32">
        <v>730</v>
      </c>
      <c r="P334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 t="s">
        <v>186</v>
      </c>
      <c r="M335" s="33" t="s">
        <v>534</v>
      </c>
      <c r="N335" s="33"/>
      <c r="O335" s="32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1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62"/>
      <c r="P336" s="567" t="s">
        <v>75</v>
      </c>
      <c r="Q336" s="568"/>
      <c r="R336" s="568"/>
      <c r="S336" s="568"/>
      <c r="T336" s="568"/>
      <c r="U336" s="568"/>
      <c r="V336" s="569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hidden="1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2"/>
      <c r="P337" s="567" t="s">
        <v>75</v>
      </c>
      <c r="Q337" s="568"/>
      <c r="R337" s="568"/>
      <c r="S337" s="568"/>
      <c r="T337" s="568"/>
      <c r="U337" s="568"/>
      <c r="V337" s="569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hidden="1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hidden="1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hidden="1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186</v>
      </c>
      <c r="M341" s="33" t="s">
        <v>80</v>
      </c>
      <c r="N341" s="33"/>
      <c r="O341" s="32">
        <v>45</v>
      </c>
      <c r="P341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186</v>
      </c>
      <c r="M342" s="33" t="s">
        <v>86</v>
      </c>
      <c r="N342" s="33"/>
      <c r="O342" s="32">
        <v>40</v>
      </c>
      <c r="P342" s="8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561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62"/>
      <c r="P343" s="567" t="s">
        <v>75</v>
      </c>
      <c r="Q343" s="568"/>
      <c r="R343" s="568"/>
      <c r="S343" s="568"/>
      <c r="T343" s="568"/>
      <c r="U343" s="568"/>
      <c r="V343" s="569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hidden="1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2"/>
      <c r="P344" s="567" t="s">
        <v>75</v>
      </c>
      <c r="Q344" s="568"/>
      <c r="R344" s="568"/>
      <c r="S344" s="568"/>
      <c r="T344" s="568"/>
      <c r="U344" s="568"/>
      <c r="V344" s="569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hidden="1" customHeight="1" x14ac:dyDescent="0.2">
      <c r="A345" s="647" t="s">
        <v>550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48"/>
      <c r="AB345" s="48"/>
      <c r="AC345" s="48"/>
    </row>
    <row r="346" spans="1:68" ht="16.5" hidden="1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hidden="1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1380</v>
      </c>
      <c r="Y348" s="546">
        <f t="shared" ref="Y348:Y354" si="31">IFERROR(IF(X348="",0,CEILING((X348/$H348),1)*$H348),"")</f>
        <v>1380</v>
      </c>
      <c r="Z348" s="36">
        <f>IFERROR(IF(Y348=0,"",ROUNDUP(Y348/H348,0)*0.02175),"")</f>
        <v>2.0009999999999999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1423.2400000000002</v>
      </c>
      <c r="BN348" s="64">
        <f t="shared" ref="BN348:BN354" si="33">IFERROR(Y348*I348/H348,"0")</f>
        <v>1423.2400000000002</v>
      </c>
      <c r="BO348" s="64">
        <f t="shared" ref="BO348:BO354" si="34">IFERROR(1/J348*(X348/H348),"0")</f>
        <v>1.9166666666666665</v>
      </c>
      <c r="BP348" s="64">
        <f t="shared" ref="BP348:BP354" si="35">IFERROR(1/J348*(Y348/H348),"0")</f>
        <v>1.9166666666666665</v>
      </c>
    </row>
    <row r="349" spans="1:68" ht="27" hidden="1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hidden="1" customHeight="1" x14ac:dyDescent="0.25">
      <c r="A350" s="54" t="s">
        <v>558</v>
      </c>
      <c r="B350" s="54" t="s">
        <v>559</v>
      </c>
      <c r="C350" s="31">
        <v>4301012215</v>
      </c>
      <c r="D350" s="552">
        <v>4680115887046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/>
      <c r="M350" s="33" t="s">
        <v>86</v>
      </c>
      <c r="N350" s="33"/>
      <c r="O350" s="32">
        <v>60</v>
      </c>
      <c r="P350" s="59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37.5" hidden="1" customHeight="1" x14ac:dyDescent="0.25">
      <c r="A351" s="54" t="s">
        <v>561</v>
      </c>
      <c r="B351" s="54" t="s">
        <v>562</v>
      </c>
      <c r="C351" s="31">
        <v>4301011867</v>
      </c>
      <c r="D351" s="552">
        <v>4680115884830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6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5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hidden="1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563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61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62"/>
      <c r="P355" s="567" t="s">
        <v>75</v>
      </c>
      <c r="Q355" s="568"/>
      <c r="R355" s="568"/>
      <c r="S355" s="568"/>
      <c r="T355" s="568"/>
      <c r="U355" s="568"/>
      <c r="V355" s="569"/>
      <c r="W355" s="37" t="s">
        <v>76</v>
      </c>
      <c r="X355" s="547">
        <f>IFERROR(X348/H348,"0")+IFERROR(X349/H349,"0")+IFERROR(X350/H350,"0")+IFERROR(X351/H351,"0")+IFERROR(X352/H352,"0")+IFERROR(X353/H353,"0")+IFERROR(X354/H354,"0")</f>
        <v>92</v>
      </c>
      <c r="Y355" s="547">
        <f>IFERROR(Y348/H348,"0")+IFERROR(Y349/H349,"0")+IFERROR(Y350/H350,"0")+IFERROR(Y351/H351,"0")+IFERROR(Y352/H352,"0")+IFERROR(Y353/H353,"0")+IFERROR(Y354/H354,"0")</f>
        <v>92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2.0009999999999999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2"/>
      <c r="P356" s="567" t="s">
        <v>75</v>
      </c>
      <c r="Q356" s="568"/>
      <c r="R356" s="568"/>
      <c r="S356" s="568"/>
      <c r="T356" s="568"/>
      <c r="U356" s="568"/>
      <c r="V356" s="569"/>
      <c r="W356" s="37" t="s">
        <v>69</v>
      </c>
      <c r="X356" s="547">
        <f>IFERROR(SUM(X348:X354),"0")</f>
        <v>1380</v>
      </c>
      <c r="Y356" s="547">
        <f>IFERROR(SUM(Y348:Y354),"0")</f>
        <v>1380</v>
      </c>
      <c r="Z356" s="37"/>
      <c r="AA356" s="548"/>
      <c r="AB356" s="548"/>
      <c r="AC356" s="548"/>
    </row>
    <row r="357" spans="1:68" ht="14.25" hidden="1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1300</v>
      </c>
      <c r="Y358" s="546">
        <f>IFERROR(IF(X358="",0,CEILING((X358/$H358),1)*$H358),"")</f>
        <v>1305</v>
      </c>
      <c r="Z358" s="36">
        <f>IFERROR(IF(Y358=0,"",ROUNDUP(Y358/H358,0)*0.02175),"")</f>
        <v>1.8922499999999998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1340.7333333333333</v>
      </c>
      <c r="BN358" s="64">
        <f>IFERROR(Y358*I358/H358,"0")</f>
        <v>1345.89</v>
      </c>
      <c r="BO358" s="64">
        <f>IFERROR(1/J358*(X358/H358),"0")</f>
        <v>1.8055555555555556</v>
      </c>
      <c r="BP358" s="64">
        <f>IFERROR(1/J358*(Y358/H358),"0")</f>
        <v>1.8125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1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62"/>
      <c r="P360" s="567" t="s">
        <v>75</v>
      </c>
      <c r="Q360" s="568"/>
      <c r="R360" s="568"/>
      <c r="S360" s="568"/>
      <c r="T360" s="568"/>
      <c r="U360" s="568"/>
      <c r="V360" s="569"/>
      <c r="W360" s="37" t="s">
        <v>76</v>
      </c>
      <c r="X360" s="547">
        <f>IFERROR(X358/H358,"0")+IFERROR(X359/H359,"0")</f>
        <v>86.666666666666671</v>
      </c>
      <c r="Y360" s="547">
        <f>IFERROR(Y358/H358,"0")+IFERROR(Y359/H359,"0")</f>
        <v>87</v>
      </c>
      <c r="Z360" s="547">
        <f>IFERROR(IF(Z358="",0,Z358),"0")+IFERROR(IF(Z359="",0,Z359),"0")</f>
        <v>1.8922499999999998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2"/>
      <c r="P361" s="567" t="s">
        <v>75</v>
      </c>
      <c r="Q361" s="568"/>
      <c r="R361" s="568"/>
      <c r="S361" s="568"/>
      <c r="T361" s="568"/>
      <c r="U361" s="568"/>
      <c r="V361" s="569"/>
      <c r="W361" s="37" t="s">
        <v>69</v>
      </c>
      <c r="X361" s="547">
        <f>IFERROR(SUM(X358:X359),"0")</f>
        <v>1300</v>
      </c>
      <c r="Y361" s="547">
        <f>IFERROR(SUM(Y358:Y359),"0")</f>
        <v>1305</v>
      </c>
      <c r="Z361" s="37"/>
      <c r="AA361" s="548"/>
      <c r="AB361" s="548"/>
      <c r="AC361" s="548"/>
    </row>
    <row r="362" spans="1:68" ht="14.25" hidden="1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 t="s">
        <v>103</v>
      </c>
      <c r="M364" s="33" t="s">
        <v>80</v>
      </c>
      <c r="N364" s="33"/>
      <c r="O364" s="32">
        <v>40</v>
      </c>
      <c r="P364" s="8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106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1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62"/>
      <c r="P365" s="567" t="s">
        <v>75</v>
      </c>
      <c r="Q365" s="568"/>
      <c r="R365" s="568"/>
      <c r="S365" s="568"/>
      <c r="T365" s="568"/>
      <c r="U365" s="568"/>
      <c r="V365" s="569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hidden="1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2"/>
      <c r="P366" s="567" t="s">
        <v>75</v>
      </c>
      <c r="Q366" s="568"/>
      <c r="R366" s="568"/>
      <c r="S366" s="568"/>
      <c r="T366" s="568"/>
      <c r="U366" s="568"/>
      <c r="V366" s="569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hidden="1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16</v>
      </c>
      <c r="Y368" s="546">
        <f>IFERROR(IF(X368="",0,CEILING((X368/$H368),1)*$H368),"")</f>
        <v>18</v>
      </c>
      <c r="Z368" s="36">
        <f>IFERROR(IF(Y368=0,"",ROUNDUP(Y368/H368,0)*0.01898),"")</f>
        <v>3.7960000000000001E-2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16.87822222222222</v>
      </c>
      <c r="BN368" s="64">
        <f>IFERROR(Y368*I368/H368,"0")</f>
        <v>18.988</v>
      </c>
      <c r="BO368" s="64">
        <f>IFERROR(1/J368*(X368/H368),"0")</f>
        <v>2.7777777777777776E-2</v>
      </c>
      <c r="BP368" s="64">
        <f>IFERROR(1/J368*(Y368/H368),"0")</f>
        <v>3.125E-2</v>
      </c>
    </row>
    <row r="369" spans="1:68" x14ac:dyDescent="0.2">
      <c r="A369" s="561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62"/>
      <c r="P369" s="567" t="s">
        <v>75</v>
      </c>
      <c r="Q369" s="568"/>
      <c r="R369" s="568"/>
      <c r="S369" s="568"/>
      <c r="T369" s="568"/>
      <c r="U369" s="568"/>
      <c r="V369" s="569"/>
      <c r="W369" s="37" t="s">
        <v>76</v>
      </c>
      <c r="X369" s="547">
        <f>IFERROR(X368/H368,"0")</f>
        <v>1.7777777777777777</v>
      </c>
      <c r="Y369" s="547">
        <f>IFERROR(Y368/H368,"0")</f>
        <v>2</v>
      </c>
      <c r="Z369" s="547">
        <f>IFERROR(IF(Z368="",0,Z368),"0")</f>
        <v>3.7960000000000001E-2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2"/>
      <c r="P370" s="567" t="s">
        <v>75</v>
      </c>
      <c r="Q370" s="568"/>
      <c r="R370" s="568"/>
      <c r="S370" s="568"/>
      <c r="T370" s="568"/>
      <c r="U370" s="568"/>
      <c r="V370" s="569"/>
      <c r="W370" s="37" t="s">
        <v>69</v>
      </c>
      <c r="X370" s="547">
        <f>IFERROR(SUM(X368:X368),"0")</f>
        <v>16</v>
      </c>
      <c r="Y370" s="547">
        <f>IFERROR(SUM(Y368:Y368),"0")</f>
        <v>18</v>
      </c>
      <c r="Z370" s="37"/>
      <c r="AA370" s="548"/>
      <c r="AB370" s="548"/>
      <c r="AC370" s="548"/>
    </row>
    <row r="371" spans="1:68" ht="16.5" hidden="1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hidden="1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hidden="1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1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62"/>
      <c r="P375" s="567" t="s">
        <v>75</v>
      </c>
      <c r="Q375" s="568"/>
      <c r="R375" s="568"/>
      <c r="S375" s="568"/>
      <c r="T375" s="568"/>
      <c r="U375" s="568"/>
      <c r="V375" s="569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2"/>
      <c r="P376" s="567" t="s">
        <v>75</v>
      </c>
      <c r="Q376" s="568"/>
      <c r="R376" s="568"/>
      <c r="S376" s="568"/>
      <c r="T376" s="568"/>
      <c r="U376" s="568"/>
      <c r="V376" s="569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4301031457</v>
      </c>
      <c r="D378" s="552">
        <v>4607091384802</v>
      </c>
      <c r="E378" s="553"/>
      <c r="F378" s="544">
        <v>0.7</v>
      </c>
      <c r="G378" s="32">
        <v>6</v>
      </c>
      <c r="H378" s="544">
        <v>4.2</v>
      </c>
      <c r="I378" s="544">
        <v>4.45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50</v>
      </c>
      <c r="P378" s="68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4301031303</v>
      </c>
      <c r="D379" s="552">
        <v>4607091384802</v>
      </c>
      <c r="E379" s="553"/>
      <c r="F379" s="544">
        <v>0.73</v>
      </c>
      <c r="G379" s="32">
        <v>6</v>
      </c>
      <c r="H379" s="544">
        <v>4.38</v>
      </c>
      <c r="I379" s="544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6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1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62"/>
      <c r="P380" s="567" t="s">
        <v>75</v>
      </c>
      <c r="Q380" s="568"/>
      <c r="R380" s="568"/>
      <c r="S380" s="568"/>
      <c r="T380" s="568"/>
      <c r="U380" s="568"/>
      <c r="V380" s="569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2"/>
      <c r="P381" s="567" t="s">
        <v>75</v>
      </c>
      <c r="Q381" s="568"/>
      <c r="R381" s="568"/>
      <c r="S381" s="568"/>
      <c r="T381" s="568"/>
      <c r="U381" s="568"/>
      <c r="V381" s="569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21</v>
      </c>
      <c r="Y383" s="546">
        <f>IFERROR(IF(X383="",0,CEILING((X383/$H383),1)*$H383),"")</f>
        <v>27</v>
      </c>
      <c r="Z383" s="36">
        <f>IFERROR(IF(Y383=0,"",ROUNDUP(Y383/H383,0)*0.01898),"")</f>
        <v>5.6940000000000004E-2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22.152666666666665</v>
      </c>
      <c r="BN383" s="64">
        <f>IFERROR(Y383*I383/H383,"0")</f>
        <v>28.481999999999996</v>
      </c>
      <c r="BO383" s="64">
        <f>IFERROR(1/J383*(X383/H383),"0")</f>
        <v>3.6458333333333336E-2</v>
      </c>
      <c r="BP383" s="64">
        <f>IFERROR(1/J383*(Y383/H383),"0")</f>
        <v>4.6875E-2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186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6</v>
      </c>
      <c r="Y384" s="546">
        <f>IFERROR(IF(X384="",0,CEILING((X384/$H384),1)*$H384),"")</f>
        <v>7.1999999999999993</v>
      </c>
      <c r="Z384" s="36">
        <f>IFERROR(IF(Y384=0,"",ROUNDUP(Y384/H384,0)*0.00651),"")</f>
        <v>1.9529999999999999E-2</v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6.660000000000001</v>
      </c>
      <c r="BN384" s="64">
        <f>IFERROR(Y384*I384/H384,"0")</f>
        <v>7.9919999999999991</v>
      </c>
      <c r="BO384" s="64">
        <f>IFERROR(1/J384*(X384/H384),"0")</f>
        <v>1.3736263736263738E-2</v>
      </c>
      <c r="BP384" s="64">
        <f>IFERROR(1/J384*(Y384/H384),"0")</f>
        <v>1.6483516483516484E-2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1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62"/>
      <c r="P386" s="567" t="s">
        <v>75</v>
      </c>
      <c r="Q386" s="568"/>
      <c r="R386" s="568"/>
      <c r="S386" s="568"/>
      <c r="T386" s="568"/>
      <c r="U386" s="568"/>
      <c r="V386" s="569"/>
      <c r="W386" s="37" t="s">
        <v>76</v>
      </c>
      <c r="X386" s="547">
        <f>IFERROR(X383/H383,"0")+IFERROR(X384/H384,"0")+IFERROR(X385/H385,"0")</f>
        <v>4.8333333333333339</v>
      </c>
      <c r="Y386" s="547">
        <f>IFERROR(Y383/H383,"0")+IFERROR(Y384/H384,"0")+IFERROR(Y385/H385,"0")</f>
        <v>6</v>
      </c>
      <c r="Z386" s="547">
        <f>IFERROR(IF(Z383="",0,Z383),"0")+IFERROR(IF(Z384="",0,Z384),"0")+IFERROR(IF(Z385="",0,Z385),"0")</f>
        <v>7.647000000000001E-2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2"/>
      <c r="P387" s="567" t="s">
        <v>75</v>
      </c>
      <c r="Q387" s="568"/>
      <c r="R387" s="568"/>
      <c r="S387" s="568"/>
      <c r="T387" s="568"/>
      <c r="U387" s="568"/>
      <c r="V387" s="569"/>
      <c r="W387" s="37" t="s">
        <v>69</v>
      </c>
      <c r="X387" s="547">
        <f>IFERROR(SUM(X383:X385),"0")</f>
        <v>27</v>
      </c>
      <c r="Y387" s="547">
        <f>IFERROR(SUM(Y383:Y385),"0")</f>
        <v>34.200000000000003</v>
      </c>
      <c r="Z387" s="37"/>
      <c r="AA387" s="548"/>
      <c r="AB387" s="548"/>
      <c r="AC387" s="548"/>
    </row>
    <row r="388" spans="1:68" ht="27.75" hidden="1" customHeight="1" x14ac:dyDescent="0.2">
      <c r="A388" s="647" t="s">
        <v>604</v>
      </c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8"/>
      <c r="P388" s="648"/>
      <c r="Q388" s="648"/>
      <c r="R388" s="648"/>
      <c r="S388" s="648"/>
      <c r="T388" s="648"/>
      <c r="U388" s="648"/>
      <c r="V388" s="648"/>
      <c r="W388" s="648"/>
      <c r="X388" s="648"/>
      <c r="Y388" s="648"/>
      <c r="Z388" s="648"/>
      <c r="AA388" s="48"/>
      <c r="AB388" s="48"/>
      <c r="AC388" s="48"/>
    </row>
    <row r="389" spans="1:68" ht="16.5" hidden="1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hidden="1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 t="s">
        <v>110</v>
      </c>
      <c r="M391" s="33" t="s">
        <v>68</v>
      </c>
      <c r="N391" s="33"/>
      <c r="O391" s="32">
        <v>50</v>
      </c>
      <c r="P391" s="5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10</v>
      </c>
      <c r="Y391" s="546">
        <f t="shared" ref="Y391:Y399" si="36">IFERROR(IF(X391="",0,CEILING((X391/$H391),1)*$H391),"")</f>
        <v>10.8</v>
      </c>
      <c r="Z391" s="36">
        <f>IFERROR(IF(Y391=0,"",ROUNDUP(Y391/H391,0)*0.00902),"")</f>
        <v>1.804E-2</v>
      </c>
      <c r="AA391" s="56"/>
      <c r="AB391" s="57"/>
      <c r="AC391" s="439" t="s">
        <v>608</v>
      </c>
      <c r="AG391" s="64"/>
      <c r="AJ391" s="68" t="s">
        <v>106</v>
      </c>
      <c r="AK391" s="68">
        <v>64.8</v>
      </c>
      <c r="BB391" s="440" t="s">
        <v>1</v>
      </c>
      <c r="BM391" s="64">
        <f t="shared" ref="BM391:BM399" si="37">IFERROR(X391*I391/H391,"0")</f>
        <v>10.351851851851851</v>
      </c>
      <c r="BN391" s="64">
        <f t="shared" ref="BN391:BN399" si="38">IFERROR(Y391*I391/H391,"0")</f>
        <v>11.18</v>
      </c>
      <c r="BO391" s="64">
        <f t="shared" ref="BO391:BO399" si="39">IFERROR(1/J391*(X391/H391),"0")</f>
        <v>1.4029180695847361E-2</v>
      </c>
      <c r="BP391" s="64">
        <f t="shared" ref="BP391:BP399" si="40">IFERROR(1/J391*(Y391/H391),"0")</f>
        <v>1.5151515151515152E-2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 t="s">
        <v>110</v>
      </c>
      <c r="M393" s="33" t="s">
        <v>68</v>
      </c>
      <c r="N393" s="33"/>
      <c r="O393" s="32">
        <v>50</v>
      </c>
      <c r="P393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106</v>
      </c>
      <c r="AK393" s="68">
        <v>64.8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hidden="1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 t="s">
        <v>282</v>
      </c>
      <c r="M398" s="33" t="s">
        <v>68</v>
      </c>
      <c r="N398" s="33"/>
      <c r="O398" s="32">
        <v>50</v>
      </c>
      <c r="P398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 t="s">
        <v>106</v>
      </c>
      <c r="AK398" s="68">
        <v>37.799999999999997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hidden="1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61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62"/>
      <c r="P400" s="567" t="s">
        <v>75</v>
      </c>
      <c r="Q400" s="568"/>
      <c r="R400" s="568"/>
      <c r="S400" s="568"/>
      <c r="T400" s="568"/>
      <c r="U400" s="568"/>
      <c r="V400" s="569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1.8518518518518516</v>
      </c>
      <c r="Y400" s="547">
        <f>IFERROR(Y391/H391,"0")+IFERROR(Y392/H392,"0")+IFERROR(Y393/H393,"0")+IFERROR(Y394/H394,"0")+IFERROR(Y395/H395,"0")+IFERROR(Y396/H396,"0")+IFERROR(Y397/H397,"0")+IFERROR(Y398/H398,"0")+IFERROR(Y399/H399,"0")</f>
        <v>2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1.804E-2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2"/>
      <c r="P401" s="567" t="s">
        <v>75</v>
      </c>
      <c r="Q401" s="568"/>
      <c r="R401" s="568"/>
      <c r="S401" s="568"/>
      <c r="T401" s="568"/>
      <c r="U401" s="568"/>
      <c r="V401" s="569"/>
      <c r="W401" s="37" t="s">
        <v>69</v>
      </c>
      <c r="X401" s="547">
        <f>IFERROR(SUM(X391:X399),"0")</f>
        <v>10</v>
      </c>
      <c r="Y401" s="547">
        <f>IFERROR(SUM(Y391:Y399),"0")</f>
        <v>10.8</v>
      </c>
      <c r="Z401" s="37"/>
      <c r="AA401" s="548"/>
      <c r="AB401" s="548"/>
      <c r="AC401" s="548"/>
    </row>
    <row r="402" spans="1:68" ht="14.25" hidden="1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1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62"/>
      <c r="P405" s="567" t="s">
        <v>75</v>
      </c>
      <c r="Q405" s="568"/>
      <c r="R405" s="568"/>
      <c r="S405" s="568"/>
      <c r="T405" s="568"/>
      <c r="U405" s="568"/>
      <c r="V405" s="569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2"/>
      <c r="P406" s="567" t="s">
        <v>75</v>
      </c>
      <c r="Q406" s="568"/>
      <c r="R406" s="568"/>
      <c r="S406" s="568"/>
      <c r="T406" s="568"/>
      <c r="U406" s="568"/>
      <c r="V406" s="569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hidden="1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1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62"/>
      <c r="P410" s="567" t="s">
        <v>75</v>
      </c>
      <c r="Q410" s="568"/>
      <c r="R410" s="568"/>
      <c r="S410" s="568"/>
      <c r="T410" s="568"/>
      <c r="U410" s="568"/>
      <c r="V410" s="569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2"/>
      <c r="P411" s="567" t="s">
        <v>75</v>
      </c>
      <c r="Q411" s="568"/>
      <c r="R411" s="568"/>
      <c r="S411" s="568"/>
      <c r="T411" s="568"/>
      <c r="U411" s="568"/>
      <c r="V411" s="569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 t="s">
        <v>110</v>
      </c>
      <c r="M413" s="33" t="s">
        <v>104</v>
      </c>
      <c r="N413" s="33"/>
      <c r="O413" s="32">
        <v>50</v>
      </c>
      <c r="P413" s="6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14</v>
      </c>
      <c r="Y413" s="546">
        <f>IFERROR(IF(X413="",0,CEILING((X413/$H413),1)*$H413),"")</f>
        <v>16.200000000000003</v>
      </c>
      <c r="Z413" s="36">
        <f>IFERROR(IF(Y413=0,"",ROUNDUP(Y413/H413,0)*0.00902),"")</f>
        <v>2.7060000000000001E-2</v>
      </c>
      <c r="AA413" s="56"/>
      <c r="AB413" s="57"/>
      <c r="AC413" s="463" t="s">
        <v>642</v>
      </c>
      <c r="AG413" s="64"/>
      <c r="AJ413" s="68" t="s">
        <v>106</v>
      </c>
      <c r="AK413" s="68">
        <v>64.8</v>
      </c>
      <c r="BB413" s="464" t="s">
        <v>1</v>
      </c>
      <c r="BM413" s="64">
        <f>IFERROR(X413*I413/H413,"0")</f>
        <v>14.49259259259259</v>
      </c>
      <c r="BN413" s="64">
        <f>IFERROR(Y413*I413/H413,"0")</f>
        <v>16.77</v>
      </c>
      <c r="BO413" s="64">
        <f>IFERROR(1/J413*(X413/H413),"0")</f>
        <v>1.9640852974186308E-2</v>
      </c>
      <c r="BP413" s="64">
        <f>IFERROR(1/J413*(Y413/H413),"0")</f>
        <v>2.2727272727272731E-2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5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61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62"/>
      <c r="P417" s="567" t="s">
        <v>75</v>
      </c>
      <c r="Q417" s="568"/>
      <c r="R417" s="568"/>
      <c r="S417" s="568"/>
      <c r="T417" s="568"/>
      <c r="U417" s="568"/>
      <c r="V417" s="569"/>
      <c r="W417" s="37" t="s">
        <v>76</v>
      </c>
      <c r="X417" s="547">
        <f>IFERROR(X413/H413,"0")+IFERROR(X414/H414,"0")+IFERROR(X415/H415,"0")+IFERROR(X416/H416,"0")</f>
        <v>2.5925925925925926</v>
      </c>
      <c r="Y417" s="547">
        <f>IFERROR(Y413/H413,"0")+IFERROR(Y414/H414,"0")+IFERROR(Y415/H415,"0")+IFERROR(Y416/H416,"0")</f>
        <v>3.0000000000000004</v>
      </c>
      <c r="Z417" s="547">
        <f>IFERROR(IF(Z413="",0,Z413),"0")+IFERROR(IF(Z414="",0,Z414),"0")+IFERROR(IF(Z415="",0,Z415),"0")+IFERROR(IF(Z416="",0,Z416),"0")</f>
        <v>2.7060000000000001E-2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2"/>
      <c r="P418" s="567" t="s">
        <v>75</v>
      </c>
      <c r="Q418" s="568"/>
      <c r="R418" s="568"/>
      <c r="S418" s="568"/>
      <c r="T418" s="568"/>
      <c r="U418" s="568"/>
      <c r="V418" s="569"/>
      <c r="W418" s="37" t="s">
        <v>69</v>
      </c>
      <c r="X418" s="547">
        <f>IFERROR(SUM(X413:X416),"0")</f>
        <v>14</v>
      </c>
      <c r="Y418" s="547">
        <f>IFERROR(SUM(Y413:Y416),"0")</f>
        <v>16.200000000000003</v>
      </c>
      <c r="Z418" s="37"/>
      <c r="AA418" s="548"/>
      <c r="AB418" s="548"/>
      <c r="AC418" s="548"/>
    </row>
    <row r="419" spans="1:68" ht="16.5" hidden="1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hidden="1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hidden="1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1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62"/>
      <c r="P422" s="567" t="s">
        <v>75</v>
      </c>
      <c r="Q422" s="568"/>
      <c r="R422" s="568"/>
      <c r="S422" s="568"/>
      <c r="T422" s="568"/>
      <c r="U422" s="568"/>
      <c r="V422" s="569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hidden="1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2"/>
      <c r="P423" s="567" t="s">
        <v>75</v>
      </c>
      <c r="Q423" s="568"/>
      <c r="R423" s="568"/>
      <c r="S423" s="568"/>
      <c r="T423" s="568"/>
      <c r="U423" s="568"/>
      <c r="V423" s="569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hidden="1" customHeight="1" x14ac:dyDescent="0.2">
      <c r="A424" s="647" t="s">
        <v>655</v>
      </c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8"/>
      <c r="P424" s="648"/>
      <c r="Q424" s="648"/>
      <c r="R424" s="648"/>
      <c r="S424" s="648"/>
      <c r="T424" s="648"/>
      <c r="U424" s="648"/>
      <c r="V424" s="648"/>
      <c r="W424" s="648"/>
      <c r="X424" s="648"/>
      <c r="Y424" s="648"/>
      <c r="Z424" s="648"/>
      <c r="AA424" s="48"/>
      <c r="AB424" s="48"/>
      <c r="AC424" s="48"/>
    </row>
    <row r="425" spans="1:68" ht="16.5" hidden="1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hidden="1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hidden="1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5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56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6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 t="s">
        <v>110</v>
      </c>
      <c r="M438" s="33" t="s">
        <v>104</v>
      </c>
      <c r="N438" s="33"/>
      <c r="O438" s="32">
        <v>60</v>
      </c>
      <c r="P438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 t="s">
        <v>106</v>
      </c>
      <c r="AK438" s="68">
        <v>57.6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hidden="1" x14ac:dyDescent="0.2">
      <c r="A439" s="561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62"/>
      <c r="P439" s="567" t="s">
        <v>75</v>
      </c>
      <c r="Q439" s="568"/>
      <c r="R439" s="568"/>
      <c r="S439" s="568"/>
      <c r="T439" s="568"/>
      <c r="U439" s="568"/>
      <c r="V439" s="569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0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0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548"/>
      <c r="AB439" s="548"/>
      <c r="AC439" s="548"/>
    </row>
    <row r="440" spans="1:68" hidden="1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2"/>
      <c r="P440" s="567" t="s">
        <v>75</v>
      </c>
      <c r="Q440" s="568"/>
      <c r="R440" s="568"/>
      <c r="S440" s="568"/>
      <c r="T440" s="568"/>
      <c r="U440" s="568"/>
      <c r="V440" s="569"/>
      <c r="W440" s="37" t="s">
        <v>69</v>
      </c>
      <c r="X440" s="547">
        <f>IFERROR(SUM(X427:X438),"0")</f>
        <v>0</v>
      </c>
      <c r="Y440" s="547">
        <f>IFERROR(SUM(Y427:Y438),"0")</f>
        <v>0</v>
      </c>
      <c r="Z440" s="37"/>
      <c r="AA440" s="548"/>
      <c r="AB440" s="548"/>
      <c r="AC440" s="548"/>
    </row>
    <row r="441" spans="1:68" ht="14.25" hidden="1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hidden="1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561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62"/>
      <c r="P445" s="567" t="s">
        <v>75</v>
      </c>
      <c r="Q445" s="568"/>
      <c r="R445" s="568"/>
      <c r="S445" s="568"/>
      <c r="T445" s="568"/>
      <c r="U445" s="568"/>
      <c r="V445" s="569"/>
      <c r="W445" s="37" t="s">
        <v>76</v>
      </c>
      <c r="X445" s="547">
        <f>IFERROR(X442/H442,"0")+IFERROR(X443/H443,"0")+IFERROR(X444/H444,"0")</f>
        <v>0</v>
      </c>
      <c r="Y445" s="547">
        <f>IFERROR(Y442/H442,"0")+IFERROR(Y443/H443,"0")+IFERROR(Y444/H444,"0")</f>
        <v>0</v>
      </c>
      <c r="Z445" s="547">
        <f>IFERROR(IF(Z442="",0,Z442),"0")+IFERROR(IF(Z443="",0,Z443),"0")+IFERROR(IF(Z444="",0,Z444),"0")</f>
        <v>0</v>
      </c>
      <c r="AA445" s="548"/>
      <c r="AB445" s="548"/>
      <c r="AC445" s="548"/>
    </row>
    <row r="446" spans="1:68" hidden="1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2"/>
      <c r="P446" s="567" t="s">
        <v>75</v>
      </c>
      <c r="Q446" s="568"/>
      <c r="R446" s="568"/>
      <c r="S446" s="568"/>
      <c r="T446" s="568"/>
      <c r="U446" s="568"/>
      <c r="V446" s="569"/>
      <c r="W446" s="37" t="s">
        <v>69</v>
      </c>
      <c r="X446" s="547">
        <f>IFERROR(SUM(X442:X444),"0")</f>
        <v>0</v>
      </c>
      <c r="Y446" s="547">
        <f>IFERROR(SUM(Y442:Y444),"0")</f>
        <v>0</v>
      </c>
      <c r="Z446" s="37"/>
      <c r="AA446" s="548"/>
      <c r="AB446" s="548"/>
      <c r="AC446" s="548"/>
    </row>
    <row r="447" spans="1:68" ht="14.25" hidden="1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13</v>
      </c>
      <c r="Y448" s="546">
        <f t="shared" ref="Y448:Y453" si="48">IFERROR(IF(X448="",0,CEILING((X448/$H448),1)*$H448),"")</f>
        <v>15.84</v>
      </c>
      <c r="Z448" s="36">
        <f>IFERROR(IF(Y448=0,"",ROUNDUP(Y448/H448,0)*0.01196),"")</f>
        <v>3.5880000000000002E-2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13.861742424242424</v>
      </c>
      <c r="BN448" s="64">
        <f t="shared" ref="BN448:BN453" si="50">IFERROR(Y448*I448/H448,"0")</f>
        <v>16.889999999999997</v>
      </c>
      <c r="BO448" s="64">
        <f t="shared" ref="BO448:BO453" si="51">IFERROR(1/J448*(X448/H448),"0")</f>
        <v>2.3674242424242424E-2</v>
      </c>
      <c r="BP448" s="64">
        <f t="shared" ref="BP448:BP453" si="52">IFERROR(1/J448*(Y448/H448),"0")</f>
        <v>2.8846153846153848E-2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15</v>
      </c>
      <c r="Y449" s="546">
        <f t="shared" si="48"/>
        <v>15.84</v>
      </c>
      <c r="Z449" s="36">
        <f>IFERROR(IF(Y449=0,"",ROUNDUP(Y449/H449,0)*0.01196),"")</f>
        <v>3.5880000000000002E-2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15.994318181818182</v>
      </c>
      <c r="BN449" s="64">
        <f t="shared" si="50"/>
        <v>16.889999999999997</v>
      </c>
      <c r="BO449" s="64">
        <f t="shared" si="51"/>
        <v>2.7316433566433568E-2</v>
      </c>
      <c r="BP449" s="64">
        <f t="shared" si="52"/>
        <v>2.8846153846153848E-2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22</v>
      </c>
      <c r="Y450" s="546">
        <f t="shared" si="48"/>
        <v>26.400000000000002</v>
      </c>
      <c r="Z450" s="36">
        <f>IFERROR(IF(Y450=0,"",ROUNDUP(Y450/H450,0)*0.01196),"")</f>
        <v>5.9799999999999999E-2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23.458333333333332</v>
      </c>
      <c r="BN450" s="64">
        <f t="shared" si="50"/>
        <v>28.15</v>
      </c>
      <c r="BO450" s="64">
        <f t="shared" si="51"/>
        <v>4.0064102564102561E-2</v>
      </c>
      <c r="BP450" s="64">
        <f t="shared" si="52"/>
        <v>4.807692307692308E-2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hidden="1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6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hidden="1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61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62"/>
      <c r="P454" s="567" t="s">
        <v>75</v>
      </c>
      <c r="Q454" s="568"/>
      <c r="R454" s="568"/>
      <c r="S454" s="568"/>
      <c r="T454" s="568"/>
      <c r="U454" s="568"/>
      <c r="V454" s="569"/>
      <c r="W454" s="37" t="s">
        <v>76</v>
      </c>
      <c r="X454" s="547">
        <f>IFERROR(X448/H448,"0")+IFERROR(X449/H449,"0")+IFERROR(X450/H450,"0")+IFERROR(X451/H451,"0")+IFERROR(X452/H452,"0")+IFERROR(X453/H453,"0")</f>
        <v>9.4696969696969688</v>
      </c>
      <c r="Y454" s="547">
        <f>IFERROR(Y448/H448,"0")+IFERROR(Y449/H449,"0")+IFERROR(Y450/H450,"0")+IFERROR(Y451/H451,"0")+IFERROR(Y452/H452,"0")+IFERROR(Y453/H453,"0")</f>
        <v>11</v>
      </c>
      <c r="Z454" s="547">
        <f>IFERROR(IF(Z448="",0,Z448),"0")+IFERROR(IF(Z449="",0,Z449),"0")+IFERROR(IF(Z450="",0,Z450),"0")+IFERROR(IF(Z451="",0,Z451),"0")+IFERROR(IF(Z452="",0,Z452),"0")+IFERROR(IF(Z453="",0,Z453),"0")</f>
        <v>0.13156000000000001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2"/>
      <c r="P455" s="567" t="s">
        <v>75</v>
      </c>
      <c r="Q455" s="568"/>
      <c r="R455" s="568"/>
      <c r="S455" s="568"/>
      <c r="T455" s="568"/>
      <c r="U455" s="568"/>
      <c r="V455" s="569"/>
      <c r="W455" s="37" t="s">
        <v>69</v>
      </c>
      <c r="X455" s="547">
        <f>IFERROR(SUM(X448:X453),"0")</f>
        <v>50</v>
      </c>
      <c r="Y455" s="547">
        <f>IFERROR(SUM(Y448:Y453),"0")</f>
        <v>58.08</v>
      </c>
      <c r="Z455" s="37"/>
      <c r="AA455" s="548"/>
      <c r="AB455" s="548"/>
      <c r="AC455" s="548"/>
    </row>
    <row r="456" spans="1:68" ht="27.75" hidden="1" customHeight="1" x14ac:dyDescent="0.2">
      <c r="A456" s="647" t="s">
        <v>707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hidden="1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84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 t="s">
        <v>103</v>
      </c>
      <c r="M461" s="33" t="s">
        <v>104</v>
      </c>
      <c r="N461" s="33"/>
      <c r="O461" s="32">
        <v>50</v>
      </c>
      <c r="P461" s="7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 t="s">
        <v>106</v>
      </c>
      <c r="AK461" s="68">
        <v>96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61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62"/>
      <c r="P463" s="567" t="s">
        <v>75</v>
      </c>
      <c r="Q463" s="568"/>
      <c r="R463" s="568"/>
      <c r="S463" s="568"/>
      <c r="T463" s="568"/>
      <c r="U463" s="568"/>
      <c r="V463" s="569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hidden="1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62"/>
      <c r="P464" s="567" t="s">
        <v>75</v>
      </c>
      <c r="Q464" s="568"/>
      <c r="R464" s="568"/>
      <c r="S464" s="568"/>
      <c r="T464" s="568"/>
      <c r="U464" s="568"/>
      <c r="V464" s="569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hidden="1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1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2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2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hidden="1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1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62"/>
      <c r="P472" s="567" t="s">
        <v>75</v>
      </c>
      <c r="Q472" s="568"/>
      <c r="R472" s="568"/>
      <c r="S472" s="568"/>
      <c r="T472" s="568"/>
      <c r="U472" s="568"/>
      <c r="V472" s="569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2"/>
      <c r="P473" s="567" t="s">
        <v>75</v>
      </c>
      <c r="Q473" s="568"/>
      <c r="R473" s="568"/>
      <c r="S473" s="568"/>
      <c r="T473" s="568"/>
      <c r="U473" s="568"/>
      <c r="V473" s="569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hidden="1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9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1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62"/>
      <c r="P476" s="567" t="s">
        <v>75</v>
      </c>
      <c r="Q476" s="568"/>
      <c r="R476" s="568"/>
      <c r="S476" s="568"/>
      <c r="T476" s="568"/>
      <c r="U476" s="568"/>
      <c r="V476" s="569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hidden="1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2"/>
      <c r="P477" s="567" t="s">
        <v>75</v>
      </c>
      <c r="Q477" s="568"/>
      <c r="R477" s="568"/>
      <c r="S477" s="568"/>
      <c r="T477" s="568"/>
      <c r="U477" s="568"/>
      <c r="V477" s="569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hidden="1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1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2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2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hidden="1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1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2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2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5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21"/>
      <c r="P488" s="653" t="s">
        <v>741</v>
      </c>
      <c r="Q488" s="654"/>
      <c r="R488" s="654"/>
      <c r="S488" s="654"/>
      <c r="T488" s="654"/>
      <c r="U488" s="654"/>
      <c r="V488" s="655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3504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3555.46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21"/>
      <c r="P489" s="653" t="s">
        <v>742</v>
      </c>
      <c r="Q489" s="654"/>
      <c r="R489" s="654"/>
      <c r="S489" s="654"/>
      <c r="T489" s="654"/>
      <c r="U489" s="654"/>
      <c r="V489" s="655"/>
      <c r="W489" s="37" t="s">
        <v>69</v>
      </c>
      <c r="X489" s="547">
        <f>IFERROR(SUM(BM22:BM485),"0")</f>
        <v>3628.0051180582495</v>
      </c>
      <c r="Y489" s="547">
        <f>IFERROR(SUM(BN22:BN485),"0")</f>
        <v>3682.2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21"/>
      <c r="P490" s="653" t="s">
        <v>743</v>
      </c>
      <c r="Q490" s="654"/>
      <c r="R490" s="654"/>
      <c r="S490" s="654"/>
      <c r="T490" s="654"/>
      <c r="U490" s="654"/>
      <c r="V490" s="655"/>
      <c r="W490" s="37" t="s">
        <v>744</v>
      </c>
      <c r="X490" s="38">
        <f>ROUNDUP(SUM(BO22:BO485),0)</f>
        <v>6</v>
      </c>
      <c r="Y490" s="38">
        <f>ROUNDUP(SUM(BP22:BP485),0)</f>
        <v>6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21"/>
      <c r="P491" s="653" t="s">
        <v>745</v>
      </c>
      <c r="Q491" s="654"/>
      <c r="R491" s="654"/>
      <c r="S491" s="654"/>
      <c r="T491" s="654"/>
      <c r="U491" s="654"/>
      <c r="V491" s="655"/>
      <c r="W491" s="37" t="s">
        <v>69</v>
      </c>
      <c r="X491" s="547">
        <f>GrossWeightTotal+PalletQtyTotal*25</f>
        <v>3778.0051180582495</v>
      </c>
      <c r="Y491" s="547">
        <f>GrossWeightTotalR+PalletQtyTotalR*25</f>
        <v>3832.2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21"/>
      <c r="P492" s="653" t="s">
        <v>746</v>
      </c>
      <c r="Q492" s="654"/>
      <c r="R492" s="654"/>
      <c r="S492" s="654"/>
      <c r="T492" s="654"/>
      <c r="U492" s="654"/>
      <c r="V492" s="655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364.65360456149926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375</v>
      </c>
      <c r="Z492" s="37"/>
      <c r="AA492" s="548"/>
      <c r="AB492" s="548"/>
      <c r="AC492" s="548"/>
    </row>
    <row r="493" spans="1:68" ht="14.25" hidden="1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21"/>
      <c r="P493" s="653" t="s">
        <v>747</v>
      </c>
      <c r="Q493" s="654"/>
      <c r="R493" s="654"/>
      <c r="S493" s="654"/>
      <c r="T493" s="654"/>
      <c r="U493" s="654"/>
      <c r="V493" s="655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5.6365499999999997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98" t="s">
        <v>97</v>
      </c>
      <c r="D495" s="631"/>
      <c r="E495" s="631"/>
      <c r="F495" s="631"/>
      <c r="G495" s="631"/>
      <c r="H495" s="607"/>
      <c r="I495" s="598" t="s">
        <v>263</v>
      </c>
      <c r="J495" s="631"/>
      <c r="K495" s="631"/>
      <c r="L495" s="631"/>
      <c r="M495" s="631"/>
      <c r="N495" s="631"/>
      <c r="O495" s="631"/>
      <c r="P495" s="631"/>
      <c r="Q495" s="631"/>
      <c r="R495" s="607"/>
      <c r="S495" s="598" t="s">
        <v>550</v>
      </c>
      <c r="T495" s="607"/>
      <c r="U495" s="598" t="s">
        <v>604</v>
      </c>
      <c r="V495" s="631"/>
      <c r="W495" s="607"/>
      <c r="X495" s="542" t="s">
        <v>655</v>
      </c>
      <c r="Y495" s="598" t="s">
        <v>707</v>
      </c>
      <c r="Z495" s="607"/>
      <c r="AB495" s="52"/>
      <c r="AC495" s="52"/>
      <c r="AF495" s="543"/>
    </row>
    <row r="496" spans="1:68" ht="14.25" customHeight="1" thickTop="1" x14ac:dyDescent="0.2">
      <c r="A496" s="605" t="s">
        <v>750</v>
      </c>
      <c r="B496" s="598" t="s">
        <v>63</v>
      </c>
      <c r="C496" s="598" t="s">
        <v>98</v>
      </c>
      <c r="D496" s="598" t="s">
        <v>116</v>
      </c>
      <c r="E496" s="598" t="s">
        <v>167</v>
      </c>
      <c r="F496" s="598" t="s">
        <v>190</v>
      </c>
      <c r="G496" s="598" t="s">
        <v>227</v>
      </c>
      <c r="H496" s="598" t="s">
        <v>97</v>
      </c>
      <c r="I496" s="598" t="s">
        <v>264</v>
      </c>
      <c r="J496" s="598" t="s">
        <v>319</v>
      </c>
      <c r="K496" s="598" t="s">
        <v>379</v>
      </c>
      <c r="L496" s="598" t="s">
        <v>420</v>
      </c>
      <c r="M496" s="598" t="s">
        <v>436</v>
      </c>
      <c r="N496" s="543"/>
      <c r="O496" s="598" t="s">
        <v>447</v>
      </c>
      <c r="P496" s="598" t="s">
        <v>456</v>
      </c>
      <c r="Q496" s="598" t="s">
        <v>469</v>
      </c>
      <c r="R496" s="598" t="s">
        <v>540</v>
      </c>
      <c r="S496" s="598" t="s">
        <v>551</v>
      </c>
      <c r="T496" s="598" t="s">
        <v>586</v>
      </c>
      <c r="U496" s="598" t="s">
        <v>605</v>
      </c>
      <c r="V496" s="598" t="s">
        <v>636</v>
      </c>
      <c r="W496" s="598" t="s">
        <v>651</v>
      </c>
      <c r="X496" s="598" t="s">
        <v>655</v>
      </c>
      <c r="Y496" s="598" t="s">
        <v>707</v>
      </c>
      <c r="Z496" s="598" t="s">
        <v>737</v>
      </c>
      <c r="AB496" s="52"/>
      <c r="AC496" s="52"/>
      <c r="AF496" s="543"/>
    </row>
    <row r="497" spans="1:32" ht="13.5" customHeight="1" thickBot="1" x14ac:dyDescent="0.25">
      <c r="A497" s="606"/>
      <c r="B497" s="599"/>
      <c r="C497" s="599"/>
      <c r="D497" s="599"/>
      <c r="E497" s="599"/>
      <c r="F497" s="599"/>
      <c r="G497" s="599"/>
      <c r="H497" s="599"/>
      <c r="I497" s="599"/>
      <c r="J497" s="599"/>
      <c r="K497" s="599"/>
      <c r="L497" s="599"/>
      <c r="M497" s="599"/>
      <c r="N497" s="543"/>
      <c r="O497" s="599"/>
      <c r="P497" s="599"/>
      <c r="Q497" s="599"/>
      <c r="R497" s="599"/>
      <c r="S497" s="599"/>
      <c r="T497" s="599"/>
      <c r="U497" s="599"/>
      <c r="V497" s="599"/>
      <c r="W497" s="599"/>
      <c r="X497" s="599"/>
      <c r="Y497" s="599"/>
      <c r="Z497" s="599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44.400000000000006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8</v>
      </c>
      <c r="E498" s="46">
        <f>IFERROR(Y84*1,"0")+IFERROR(Y85*1,"0")+IFERROR(Y86*1,"0")+IFERROR(Y87*1,"0")+IFERROR(Y91*1,"0")+IFERROR(Y92*1,"0")+IFERROR(Y93*1,"0")+IFERROR(Y94*1,"0")</f>
        <v>18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93.6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23.1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460.8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79.2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6.08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2703</v>
      </c>
      <c r="T498" s="46">
        <f>IFERROR(Y373*1,"0")+IFERROR(Y374*1,"0")+IFERROR(Y378*1,"0")+IFERROR(Y379*1,"0")+IFERROR(Y383*1,"0")+IFERROR(Y384*1,"0")+IFERROR(Y385*1,"0")</f>
        <v>34.200000000000003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10.8</v>
      </c>
      <c r="V498" s="46">
        <f>IFERROR(Y409*1,"0")+IFERROR(Y413*1,"0")+IFERROR(Y414*1,"0")+IFERROR(Y415*1,"0")+IFERROR(Y416*1,"0")</f>
        <v>16.200000000000003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58.08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vfdVnfE1DuYb01A2lR29izc9wgwLjKaEjdoCZ4Sx+wR/QgXe6KpIDPVsxGmqzoCc5WnjSXIO9Km/PoN/rfMvbA==" saltValue="aSu9zWYiDznTAILuO0Fapg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00,00"/>
        <filter val="1 380,00"/>
        <filter val="1,32"/>
        <filter val="1,75"/>
        <filter val="1,78"/>
        <filter val="1,85"/>
        <filter val="10,00"/>
        <filter val="11,08"/>
        <filter val="11,67"/>
        <filter val="13,00"/>
        <filter val="14,00"/>
        <filter val="15,00"/>
        <filter val="159,00"/>
        <filter val="16,00"/>
        <filter val="18,00"/>
        <filter val="199,00"/>
        <filter val="2,59"/>
        <filter val="21,00"/>
        <filter val="22,00"/>
        <filter val="27,00"/>
        <filter val="28,00"/>
        <filter val="3 504,00"/>
        <filter val="3 628,01"/>
        <filter val="3 778,01"/>
        <filter val="30,00"/>
        <filter val="32,50"/>
        <filter val="364,65"/>
        <filter val="39,00"/>
        <filter val="4,00"/>
        <filter val="4,81"/>
        <filter val="4,83"/>
        <filter val="41,00"/>
        <filter val="425,00"/>
        <filter val="46,00"/>
        <filter val="50,00"/>
        <filter val="6"/>
        <filter val="6,00"/>
        <filter val="62,00"/>
        <filter val="63,00"/>
        <filter val="7,00"/>
        <filter val="78,00"/>
        <filter val="8,15"/>
        <filter val="80,19"/>
        <filter val="86,67"/>
        <filter val="9,47"/>
        <filter val="92,00"/>
      </filters>
    </filterColumn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1 X78 X84 X87 X91 X93:X94 X99 X101:X102 X107 X110 X114 X116 X126:X127 X131 X165 X167 X169 X174 X176 X199 X203:X208 X210 X214:X217 X219:X222 X226:X227 X232 X261 X279:X280 X305 X308 X313 X320:X322 X328:X329 X333:X335 X340:X342 X348:X349 X351 X358 X364 X373 X379 X383:X384 X391 X393 X398 X413 X427 X430:X431 X433 X438 X442 X444 X448:X450 X46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xrwV3Rh1i53Mq/y5TIsYkUy2vDj5rAhmyURnH4Zy5xkZqfUKe606g4hNh/nDJ3Ie6NaYFTeLKl0yMseVc/pg0w==" saltValue="x2l4av2CH17h4Zm9WS92i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2026-01-23T12:12:58Z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