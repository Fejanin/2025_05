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8CF8EA8-5506-48E7-8923-4DCAA1DA450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Z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BO91" i="1"/>
  <c r="BM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Y68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114" i="1" l="1"/>
  <c r="BN114" i="1"/>
  <c r="Z114" i="1"/>
  <c r="BP166" i="1"/>
  <c r="BN166" i="1"/>
  <c r="Z166" i="1"/>
  <c r="BP184" i="1"/>
  <c r="BN184" i="1"/>
  <c r="Z184" i="1"/>
  <c r="BP216" i="1"/>
  <c r="BN216" i="1"/>
  <c r="Z216" i="1"/>
  <c r="BP239" i="1"/>
  <c r="BN239" i="1"/>
  <c r="Z239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X492" i="1"/>
  <c r="Z28" i="1"/>
  <c r="BN28" i="1"/>
  <c r="Z46" i="1"/>
  <c r="Z47" i="1" s="1"/>
  <c r="BN46" i="1"/>
  <c r="BP46" i="1"/>
  <c r="Y47" i="1"/>
  <c r="Z52" i="1"/>
  <c r="BN52" i="1"/>
  <c r="Z62" i="1"/>
  <c r="BN62" i="1"/>
  <c r="Z78" i="1"/>
  <c r="BN78" i="1"/>
  <c r="F498" i="1"/>
  <c r="BP137" i="1"/>
  <c r="BN137" i="1"/>
  <c r="Z137" i="1"/>
  <c r="BP174" i="1"/>
  <c r="BN174" i="1"/>
  <c r="Z174" i="1"/>
  <c r="BP206" i="1"/>
  <c r="BN206" i="1"/>
  <c r="Z206" i="1"/>
  <c r="BP226" i="1"/>
  <c r="BN226" i="1"/>
  <c r="Z226" i="1"/>
  <c r="BP264" i="1"/>
  <c r="BN264" i="1"/>
  <c r="Z264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Y95" i="1"/>
  <c r="Y119" i="1"/>
  <c r="Z22" i="1"/>
  <c r="BN22" i="1"/>
  <c r="X488" i="1"/>
  <c r="Y31" i="1"/>
  <c r="Z30" i="1"/>
  <c r="BN30" i="1"/>
  <c r="Z42" i="1"/>
  <c r="BN42" i="1"/>
  <c r="Z54" i="1"/>
  <c r="BN54" i="1"/>
  <c r="Z60" i="1"/>
  <c r="BN60" i="1"/>
  <c r="Y63" i="1"/>
  <c r="Z66" i="1"/>
  <c r="BN66" i="1"/>
  <c r="BP66" i="1"/>
  <c r="Z74" i="1"/>
  <c r="BN74" i="1"/>
  <c r="Y80" i="1"/>
  <c r="Z85" i="1"/>
  <c r="BN85" i="1"/>
  <c r="Z91" i="1"/>
  <c r="BN91" i="1"/>
  <c r="BP91" i="1"/>
  <c r="Y96" i="1"/>
  <c r="Z100" i="1"/>
  <c r="BN100" i="1"/>
  <c r="BP102" i="1"/>
  <c r="BN102" i="1"/>
  <c r="BP110" i="1"/>
  <c r="BN110" i="1"/>
  <c r="Z110" i="1"/>
  <c r="Y133" i="1"/>
  <c r="BP131" i="1"/>
  <c r="BN131" i="1"/>
  <c r="Z131" i="1"/>
  <c r="BP150" i="1"/>
  <c r="BN150" i="1"/>
  <c r="Z150" i="1"/>
  <c r="BP172" i="1"/>
  <c r="BN172" i="1"/>
  <c r="Z172" i="1"/>
  <c r="Y186" i="1"/>
  <c r="BP182" i="1"/>
  <c r="BN182" i="1"/>
  <c r="Z182" i="1"/>
  <c r="BP204" i="1"/>
  <c r="BN204" i="1"/>
  <c r="Z204" i="1"/>
  <c r="BP214" i="1"/>
  <c r="BN214" i="1"/>
  <c r="Z214" i="1"/>
  <c r="BP222" i="1"/>
  <c r="BN222" i="1"/>
  <c r="Z222" i="1"/>
  <c r="BP237" i="1"/>
  <c r="BN237" i="1"/>
  <c r="Z237" i="1"/>
  <c r="BP262" i="1"/>
  <c r="BN262" i="1"/>
  <c r="Z262" i="1"/>
  <c r="BP278" i="1"/>
  <c r="BN278" i="1"/>
  <c r="Z278" i="1"/>
  <c r="BP116" i="1"/>
  <c r="BN116" i="1"/>
  <c r="Z116" i="1"/>
  <c r="BP142" i="1"/>
  <c r="BN142" i="1"/>
  <c r="Z142" i="1"/>
  <c r="BP168" i="1"/>
  <c r="BN168" i="1"/>
  <c r="Z168" i="1"/>
  <c r="BP176" i="1"/>
  <c r="BN176" i="1"/>
  <c r="Z176" i="1"/>
  <c r="Y190" i="1"/>
  <c r="Y189" i="1"/>
  <c r="BP188" i="1"/>
  <c r="BN188" i="1"/>
  <c r="Z188" i="1"/>
  <c r="Z189" i="1" s="1"/>
  <c r="BP193" i="1"/>
  <c r="BN193" i="1"/>
  <c r="Z193" i="1"/>
  <c r="BP208" i="1"/>
  <c r="BN208" i="1"/>
  <c r="Z208" i="1"/>
  <c r="BP218" i="1"/>
  <c r="BN218" i="1"/>
  <c r="Z218" i="1"/>
  <c r="BP233" i="1"/>
  <c r="BN233" i="1"/>
  <c r="Z233" i="1"/>
  <c r="BP253" i="1"/>
  <c r="BN253" i="1"/>
  <c r="Z253" i="1"/>
  <c r="BP271" i="1"/>
  <c r="BN271" i="1"/>
  <c r="Z271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111" i="1"/>
  <c r="Y118" i="1"/>
  <c r="G498" i="1"/>
  <c r="Y134" i="1"/>
  <c r="Y145" i="1"/>
  <c r="Y153" i="1"/>
  <c r="I498" i="1"/>
  <c r="Y179" i="1"/>
  <c r="Y185" i="1"/>
  <c r="Y196" i="1"/>
  <c r="Y281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Y330" i="1"/>
  <c r="Y337" i="1"/>
  <c r="Y387" i="1"/>
  <c r="Y386" i="1"/>
  <c r="Y481" i="1"/>
  <c r="H9" i="1"/>
  <c r="A10" i="1"/>
  <c r="B498" i="1"/>
  <c r="X489" i="1"/>
  <c r="X490" i="1"/>
  <c r="Z23" i="1"/>
  <c r="Z24" i="1" s="1"/>
  <c r="BN23" i="1"/>
  <c r="Y24" i="1"/>
  <c r="Z27" i="1"/>
  <c r="BN27" i="1"/>
  <c r="BP27" i="1"/>
  <c r="Z29" i="1"/>
  <c r="BN29" i="1"/>
  <c r="Y32" i="1"/>
  <c r="C498" i="1"/>
  <c r="Z41" i="1"/>
  <c r="Z43" i="1" s="1"/>
  <c r="BN41" i="1"/>
  <c r="Y44" i="1"/>
  <c r="D498" i="1"/>
  <c r="Y58" i="1"/>
  <c r="BP51" i="1"/>
  <c r="BN51" i="1"/>
  <c r="Z51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F9" i="1"/>
  <c r="J9" i="1"/>
  <c r="Y25" i="1"/>
  <c r="Y43" i="1"/>
  <c r="BP53" i="1"/>
  <c r="BN53" i="1"/>
  <c r="Z53" i="1"/>
  <c r="Y57" i="1"/>
  <c r="BP61" i="1"/>
  <c r="BN61" i="1"/>
  <c r="Z61" i="1"/>
  <c r="Z63" i="1" s="1"/>
  <c r="BP73" i="1"/>
  <c r="BN73" i="1"/>
  <c r="Z73" i="1"/>
  <c r="BP86" i="1"/>
  <c r="BN86" i="1"/>
  <c r="Z86" i="1"/>
  <c r="Z92" i="1"/>
  <c r="BN92" i="1"/>
  <c r="BP92" i="1"/>
  <c r="Z94" i="1"/>
  <c r="BN94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Y112" i="1"/>
  <c r="Z115" i="1"/>
  <c r="BN115" i="1"/>
  <c r="BP115" i="1"/>
  <c r="Z117" i="1"/>
  <c r="BN117" i="1"/>
  <c r="Z121" i="1"/>
  <c r="Z122" i="1" s="1"/>
  <c r="BN121" i="1"/>
  <c r="BP121" i="1"/>
  <c r="Y122" i="1"/>
  <c r="Z126" i="1"/>
  <c r="Z128" i="1" s="1"/>
  <c r="BN126" i="1"/>
  <c r="BP126" i="1"/>
  <c r="Y129" i="1"/>
  <c r="Z132" i="1"/>
  <c r="Z133" i="1" s="1"/>
  <c r="BN132" i="1"/>
  <c r="BP132" i="1"/>
  <c r="Z136" i="1"/>
  <c r="BN136" i="1"/>
  <c r="BP136" i="1"/>
  <c r="Y139" i="1"/>
  <c r="H498" i="1"/>
  <c r="Z143" i="1"/>
  <c r="Z144" i="1" s="1"/>
  <c r="BN143" i="1"/>
  <c r="BP143" i="1"/>
  <c r="Y144" i="1"/>
  <c r="Z147" i="1"/>
  <c r="BN147" i="1"/>
  <c r="BP147" i="1"/>
  <c r="Z149" i="1"/>
  <c r="BN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5" i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Y180" i="1"/>
  <c r="Z183" i="1"/>
  <c r="Z185" i="1" s="1"/>
  <c r="BN183" i="1"/>
  <c r="BP183" i="1"/>
  <c r="J498" i="1"/>
  <c r="Z194" i="1"/>
  <c r="Z195" i="1" s="1"/>
  <c r="BN194" i="1"/>
  <c r="BP194" i="1"/>
  <c r="Y195" i="1"/>
  <c r="Z198" i="1"/>
  <c r="Z200" i="1" s="1"/>
  <c r="BN198" i="1"/>
  <c r="BP198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Z343" i="1" s="1"/>
  <c r="Y105" i="1"/>
  <c r="Y128" i="1"/>
  <c r="Y163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Z274" i="1" s="1"/>
  <c r="Y274" i="1"/>
  <c r="BP279" i="1"/>
  <c r="BN279" i="1"/>
  <c r="Z279" i="1"/>
  <c r="BP297" i="1"/>
  <c r="BN297" i="1"/>
  <c r="Z297" i="1"/>
  <c r="Z301" i="1" s="1"/>
  <c r="Q498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BP329" i="1"/>
  <c r="BN329" i="1"/>
  <c r="Z329" i="1"/>
  <c r="Y331" i="1"/>
  <c r="Y336" i="1"/>
  <c r="BP333" i="1"/>
  <c r="BN333" i="1"/>
  <c r="Z333" i="1"/>
  <c r="Z336" i="1" s="1"/>
  <c r="BP349" i="1"/>
  <c r="BN349" i="1"/>
  <c r="Z349" i="1"/>
  <c r="Y355" i="1"/>
  <c r="BP353" i="1"/>
  <c r="BN353" i="1"/>
  <c r="Z353" i="1"/>
  <c r="BP374" i="1"/>
  <c r="BN374" i="1"/>
  <c r="Z374" i="1"/>
  <c r="Z375" i="1" s="1"/>
  <c r="Y376" i="1"/>
  <c r="Y381" i="1"/>
  <c r="BP378" i="1"/>
  <c r="BN378" i="1"/>
  <c r="Z378" i="1"/>
  <c r="Z380" i="1" s="1"/>
  <c r="BP392" i="1"/>
  <c r="BN392" i="1"/>
  <c r="Z392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498" i="1"/>
  <c r="Y282" i="1"/>
  <c r="P498" i="1"/>
  <c r="Y287" i="1"/>
  <c r="S498" i="1"/>
  <c r="BP351" i="1"/>
  <c r="BN351" i="1"/>
  <c r="Z351" i="1"/>
  <c r="BP359" i="1"/>
  <c r="BN359" i="1"/>
  <c r="Z359" i="1"/>
  <c r="Y361" i="1"/>
  <c r="Y366" i="1"/>
  <c r="BP363" i="1"/>
  <c r="BN363" i="1"/>
  <c r="Z363" i="1"/>
  <c r="Z365" i="1" s="1"/>
  <c r="Y380" i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U49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63" i="1" l="1"/>
  <c r="Z360" i="1"/>
  <c r="Z317" i="1"/>
  <c r="Z310" i="1"/>
  <c r="Z281" i="1"/>
  <c r="Z138" i="1"/>
  <c r="Z118" i="1"/>
  <c r="Z111" i="1"/>
  <c r="Z104" i="1"/>
  <c r="Z400" i="1"/>
  <c r="Z355" i="1"/>
  <c r="Z266" i="1"/>
  <c r="Z223" i="1"/>
  <c r="Z95" i="1"/>
  <c r="Y489" i="1"/>
  <c r="Z439" i="1"/>
  <c r="Y490" i="1"/>
  <c r="Z454" i="1"/>
  <c r="Z417" i="1"/>
  <c r="Z257" i="1"/>
  <c r="Z211" i="1"/>
  <c r="Z330" i="1"/>
  <c r="Z179" i="1"/>
  <c r="Z152" i="1"/>
  <c r="Y488" i="1"/>
  <c r="Y492" i="1"/>
  <c r="X491" i="1"/>
  <c r="Z241" i="1"/>
  <c r="Z88" i="1"/>
  <c r="Z75" i="1"/>
  <c r="Z57" i="1"/>
  <c r="Z31" i="1"/>
  <c r="Y491" i="1" l="1"/>
  <c r="Z493" i="1"/>
</calcChain>
</file>

<file path=xl/sharedStrings.xml><?xml version="1.0" encoding="utf-8"?>
<sst xmlns="http://schemas.openxmlformats.org/spreadsheetml/2006/main" count="2208" uniqueCount="768">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</sst>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46048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0.41666666666666669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19</v>
      </c>
      <c r="Y40" s="546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19.721296296296295</v>
      </c>
      <c r="BN40" s="64">
        <f>IFERROR(Y40*I40/H40,"0")</f>
        <v>22.42</v>
      </c>
      <c r="BO40" s="64">
        <f>IFERROR(1/J40*(X40/H40),"0")</f>
        <v>2.7488425925925923E-2</v>
      </c>
      <c r="BP40" s="64">
        <f>IFERROR(1/J40*(Y40/H40),"0")</f>
        <v>3.125E-2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4301011565</v>
      </c>
      <c r="D41" s="552">
        <v>4680115882539</v>
      </c>
      <c r="E41" s="553"/>
      <c r="F41" s="544">
        <v>0.37</v>
      </c>
      <c r="G41" s="32">
        <v>10</v>
      </c>
      <c r="H41" s="544">
        <v>3.7</v>
      </c>
      <c r="I41" s="544">
        <v>3.89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4301011382</v>
      </c>
      <c r="D42" s="552">
        <v>4607091385687</v>
      </c>
      <c r="E42" s="553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1.7592592592592591</v>
      </c>
      <c r="Y43" s="547">
        <f>IFERROR(Y40/H40,"0")+IFERROR(Y41/H41,"0")+IFERROR(Y42/H42,"0")</f>
        <v>2</v>
      </c>
      <c r="Z43" s="547">
        <f>IFERROR(IF(Z40="",0,Z40),"0")+IFERROR(IF(Z41="",0,Z41),"0")+IFERROR(IF(Z42="",0,Z42),"0")</f>
        <v>3.7960000000000001E-2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19</v>
      </c>
      <c r="Y44" s="547">
        <f>IFERROR(SUM(Y40:Y42),"0")</f>
        <v>21.6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115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16</v>
      </c>
      <c r="Y54" s="546">
        <f t="shared" si="0"/>
        <v>16</v>
      </c>
      <c r="Z54" s="36">
        <f>IFERROR(IF(Y54=0,"",ROUNDUP(Y54/H54,0)*0.00902),"")</f>
        <v>3.6080000000000001E-2</v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16.760000000000002</v>
      </c>
      <c r="BN54" s="64">
        <f t="shared" si="2"/>
        <v>16.760000000000002</v>
      </c>
      <c r="BO54" s="64">
        <f t="shared" si="3"/>
        <v>3.0303030303030304E-2</v>
      </c>
      <c r="BP54" s="64">
        <f t="shared" si="4"/>
        <v>3.0303030303030304E-2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131</v>
      </c>
      <c r="B56" s="54" t="s">
        <v>132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4</v>
      </c>
      <c r="Y57" s="547">
        <f>IFERROR(Y51/H51,"0")+IFERROR(Y52/H52,"0")+IFERROR(Y53/H53,"0")+IFERROR(Y54/H54,"0")+IFERROR(Y55/H55,"0")+IFERROR(Y56/H56,"0")</f>
        <v>4</v>
      </c>
      <c r="Z57" s="547">
        <f>IFERROR(IF(Z51="",0,Z51),"0")+IFERROR(IF(Z52="",0,Z52),"0")+IFERROR(IF(Z53="",0,Z53),"0")+IFERROR(IF(Z54="",0,Z54),"0")+IFERROR(IF(Z55="",0,Z55),"0")+IFERROR(IF(Z56="",0,Z56),"0")</f>
        <v>3.6080000000000001E-2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16</v>
      </c>
      <c r="Y58" s="547">
        <f>IFERROR(SUM(Y51:Y56),"0")</f>
        <v>16</v>
      </c>
      <c r="Z58" s="37"/>
      <c r="AA58" s="548"/>
      <c r="AB58" s="548"/>
      <c r="AC58" s="548"/>
    </row>
    <row r="59" spans="1:68" ht="14.25" hidden="1" customHeight="1" x14ac:dyDescent="0.25">
      <c r="A59" s="558" t="s">
        <v>134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135</v>
      </c>
      <c r="B60" s="54" t="s">
        <v>136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148</v>
      </c>
      <c r="B71" s="54" t="s">
        <v>149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150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151</v>
      </c>
      <c r="B72" s="54" t="s">
        <v>152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154</v>
      </c>
      <c r="B73" s="54" t="s">
        <v>155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150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158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159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160</v>
      </c>
      <c r="B78" s="54" t="s">
        <v>161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/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162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163</v>
      </c>
      <c r="B79" s="54" t="s">
        <v>164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166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hidden="1" customHeight="1" x14ac:dyDescent="0.25">
      <c r="A84" s="54" t="s">
        <v>167</v>
      </c>
      <c r="B84" s="54" t="s">
        <v>168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169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170</v>
      </c>
      <c r="B85" s="54" t="s">
        <v>171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172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173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169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hidden="1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hidden="1" customHeight="1" x14ac:dyDescent="0.25">
      <c r="A91" s="54" t="s">
        <v>178</v>
      </c>
      <c r="B91" s="54" t="s">
        <v>179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207</v>
      </c>
      <c r="Y93" s="546">
        <f>IFERROR(IF(X93="",0,CEILING((X93/$H93),1)*$H93),"")</f>
        <v>207.9</v>
      </c>
      <c r="Z93" s="36">
        <f>IFERROR(IF(Y93=0,"",ROUNDUP(Y93/H93,0)*0.00651),"")</f>
        <v>0.50126999999999999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226.31999999999996</v>
      </c>
      <c r="BN93" s="64">
        <f>IFERROR(Y93*I93/H93,"0")</f>
        <v>227.304</v>
      </c>
      <c r="BO93" s="64">
        <f>IFERROR(1/J93*(X93/H93),"0")</f>
        <v>0.42124542124542125</v>
      </c>
      <c r="BP93" s="64">
        <f>IFERROR(1/J93*(Y93/H93),"0")</f>
        <v>0.42307692307692313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76.666666666666657</v>
      </c>
      <c r="Y95" s="547">
        <f>IFERROR(Y91/H91,"0")+IFERROR(Y92/H92,"0")+IFERROR(Y93/H93,"0")+IFERROR(Y94/H94,"0")</f>
        <v>77</v>
      </c>
      <c r="Z95" s="547">
        <f>IFERROR(IF(Z91="",0,Z91),"0")+IFERROR(IF(Z92="",0,Z92),"0")+IFERROR(IF(Z93="",0,Z93),"0")+IFERROR(IF(Z94="",0,Z94),"0")</f>
        <v>0.50126999999999999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207</v>
      </c>
      <c r="Y96" s="547">
        <f>IFERROR(SUM(Y91:Y94),"0")</f>
        <v>207.9</v>
      </c>
      <c r="Z96" s="37"/>
      <c r="AA96" s="548"/>
      <c r="AB96" s="548"/>
      <c r="AC96" s="548"/>
    </row>
    <row r="97" spans="1:68" ht="16.5" hidden="1" customHeight="1" x14ac:dyDescent="0.25">
      <c r="A97" s="560" t="s">
        <v>188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hidden="1" customHeight="1" x14ac:dyDescent="0.25">
      <c r="A99" s="54" t="s">
        <v>189</v>
      </c>
      <c r="B99" s="54" t="s">
        <v>190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192</v>
      </c>
      <c r="B100" s="54" t="s">
        <v>193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172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194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199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191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134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/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hidden="1" customHeight="1" x14ac:dyDescent="0.25">
      <c r="A114" s="54" t="s">
        <v>213</v>
      </c>
      <c r="B114" s="54" t="s">
        <v>214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266</v>
      </c>
      <c r="Y116" s="546">
        <f>IFERROR(IF(X116="",0,CEILING((X116/$H116),1)*$H116),"")</f>
        <v>267.3</v>
      </c>
      <c r="Z116" s="36">
        <f>IFERROR(IF(Y116=0,"",ROUNDUP(Y116/H116,0)*0.00651),"")</f>
        <v>0.64449000000000001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290.82666666666665</v>
      </c>
      <c r="BN116" s="64">
        <f>IFERROR(Y116*I116/H116,"0")</f>
        <v>292.24799999999999</v>
      </c>
      <c r="BO116" s="64">
        <f>IFERROR(1/J116*(X116/H116),"0")</f>
        <v>0.54131054131054135</v>
      </c>
      <c r="BP116" s="64">
        <f>IFERROR(1/J116*(Y116/H116),"0")</f>
        <v>0.54395604395604402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98.518518518518519</v>
      </c>
      <c r="Y118" s="547">
        <f>IFERROR(Y114/H114,"0")+IFERROR(Y115/H115,"0")+IFERROR(Y116/H116,"0")+IFERROR(Y117/H117,"0")</f>
        <v>99</v>
      </c>
      <c r="Z118" s="547">
        <f>IFERROR(IF(Z114="",0,Z114),"0")+IFERROR(IF(Z115="",0,Z115),"0")+IFERROR(IF(Z116="",0,Z116),"0")+IFERROR(IF(Z117="",0,Z117),"0")</f>
        <v>0.64449000000000001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266</v>
      </c>
      <c r="Y119" s="547">
        <f>IFERROR(SUM(Y114:Y117),"0")</f>
        <v>267.3</v>
      </c>
      <c r="Z119" s="37"/>
      <c r="AA119" s="548"/>
      <c r="AB119" s="548"/>
      <c r="AC119" s="548"/>
    </row>
    <row r="120" spans="1:68" ht="14.25" hidden="1" customHeight="1" x14ac:dyDescent="0.25">
      <c r="A120" s="558" t="s">
        <v>159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134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199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199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70</v>
      </c>
      <c r="Y167" s="546">
        <f t="shared" si="5"/>
        <v>71.400000000000006</v>
      </c>
      <c r="Z167" s="36">
        <f>IFERROR(IF(Y167=0,"",ROUNDUP(Y167/H167,0)*0.00902),"")</f>
        <v>0.15334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73.166666666666657</v>
      </c>
      <c r="BN167" s="64">
        <f t="shared" si="7"/>
        <v>74.63000000000001</v>
      </c>
      <c r="BO167" s="64">
        <f t="shared" si="8"/>
        <v>0.12626262626262624</v>
      </c>
      <c r="BP167" s="64">
        <f t="shared" si="9"/>
        <v>0.12878787878787878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2</v>
      </c>
      <c r="Y169" s="546">
        <f t="shared" si="5"/>
        <v>2.1</v>
      </c>
      <c r="Z169" s="36">
        <f>IFERROR(IF(Y169=0,"",ROUNDUP(Y169/H169,0)*0.00502),"")</f>
        <v>5.0200000000000002E-3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2.1238095238095238</v>
      </c>
      <c r="BN169" s="64">
        <f t="shared" si="7"/>
        <v>2.23</v>
      </c>
      <c r="BO169" s="64">
        <f t="shared" si="8"/>
        <v>4.0700040700040706E-3</v>
      </c>
      <c r="BP169" s="64">
        <f t="shared" si="9"/>
        <v>4.2735042735042739E-3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1</v>
      </c>
      <c r="Y174" s="546">
        <f t="shared" si="5"/>
        <v>1.8</v>
      </c>
      <c r="Z174" s="36">
        <f>IFERROR(IF(Y174=0,"",ROUNDUP(Y174/H174,0)*0.00502),"")</f>
        <v>5.0200000000000002E-3</v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1.0722222222222222</v>
      </c>
      <c r="BN174" s="64">
        <f t="shared" si="7"/>
        <v>1.9299999999999997</v>
      </c>
      <c r="BO174" s="64">
        <f t="shared" si="8"/>
        <v>2.3741690408357078E-3</v>
      </c>
      <c r="BP174" s="64">
        <f t="shared" si="9"/>
        <v>4.2735042735042739E-3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172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18.174603174603174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19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0.16338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73</v>
      </c>
      <c r="Y180" s="547">
        <f>IFERROR(SUM(Y165:Y178),"0")</f>
        <v>75.3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1</v>
      </c>
      <c r="Y183" s="546">
        <f>IFERROR(IF(X183="",0,CEILING((X183/$H183),1)*$H183),"")</f>
        <v>1.26</v>
      </c>
      <c r="Z183" s="36">
        <f>IFERROR(IF(Y183=0,"",ROUNDUP(Y183/H183,0)*0.0059),"")</f>
        <v>5.8999999999999999E-3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1.1507936507936507</v>
      </c>
      <c r="BN183" s="64">
        <f>IFERROR(Y183*I183/H183,"0")</f>
        <v>1.45</v>
      </c>
      <c r="BO183" s="64">
        <f>IFERROR(1/J183*(X183/H183),"0")</f>
        <v>3.6743092298647849E-3</v>
      </c>
      <c r="BP183" s="64">
        <f>IFERROR(1/J183*(Y183/H183),"0")</f>
        <v>4.6296296296296294E-3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2</v>
      </c>
      <c r="Y184" s="546">
        <f>IFERROR(IF(X184="",0,CEILING((X184/$H184),1)*$H184),"")</f>
        <v>2.52</v>
      </c>
      <c r="Z184" s="36">
        <f>IFERROR(IF(Y184=0,"",ROUNDUP(Y184/H184,0)*0.0059),"")</f>
        <v>1.18E-2</v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2.3015873015873014</v>
      </c>
      <c r="BN184" s="64">
        <f>IFERROR(Y184*I184/H184,"0")</f>
        <v>2.9</v>
      </c>
      <c r="BO184" s="64">
        <f>IFERROR(1/J184*(X184/H184),"0")</f>
        <v>7.3486184597295699E-3</v>
      </c>
      <c r="BP184" s="64">
        <f>IFERROR(1/J184*(Y184/H184),"0")</f>
        <v>9.2592592592592587E-3</v>
      </c>
    </row>
    <row r="185" spans="1:68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2.3809523809523809</v>
      </c>
      <c r="Y185" s="547">
        <f>IFERROR(Y182/H182,"0")+IFERROR(Y183/H183,"0")+IFERROR(Y184/H184,"0")</f>
        <v>3</v>
      </c>
      <c r="Z185" s="547">
        <f>IFERROR(IF(Z182="",0,Z182),"0")+IFERROR(IF(Z183="",0,Z183),"0")+IFERROR(IF(Z184="",0,Z184),"0")</f>
        <v>1.77E-2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3</v>
      </c>
      <c r="Y186" s="547">
        <f>IFERROR(SUM(Y182:Y184),"0")</f>
        <v>3.7800000000000002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1</v>
      </c>
      <c r="Y188" s="546">
        <f>IFERROR(IF(X188="",0,CEILING((X188/$H188),1)*$H188),"")</f>
        <v>1.26</v>
      </c>
      <c r="Z188" s="36">
        <f>IFERROR(IF(Y188=0,"",ROUNDUP(Y188/H188,0)*0.0059),"")</f>
        <v>5.8999999999999999E-3</v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1.1507936507936507</v>
      </c>
      <c r="BN188" s="64">
        <f>IFERROR(Y188*I188/H188,"0")</f>
        <v>1.45</v>
      </c>
      <c r="BO188" s="64">
        <f>IFERROR(1/J188*(X188/H188),"0")</f>
        <v>3.6743092298647849E-3</v>
      </c>
      <c r="BP188" s="64">
        <f>IFERROR(1/J188*(Y188/H188),"0")</f>
        <v>4.6296296296296294E-3</v>
      </c>
    </row>
    <row r="189" spans="1:68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0.79365079365079361</v>
      </c>
      <c r="Y189" s="547">
        <f>IFERROR(Y188/H188,"0")</f>
        <v>1</v>
      </c>
      <c r="Z189" s="547">
        <f>IFERROR(IF(Z188="",0,Z188),"0")</f>
        <v>5.8999999999999999E-3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1</v>
      </c>
      <c r="Y190" s="547">
        <f>IFERROR(SUM(Y188:Y188),"0")</f>
        <v>1.26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134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199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199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199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24</v>
      </c>
      <c r="Y206" s="546">
        <f t="shared" si="10"/>
        <v>27</v>
      </c>
      <c r="Z206" s="36">
        <f>IFERROR(IF(Y206=0,"",ROUNDUP(Y206/H206,0)*0.00902),"")</f>
        <v>4.5100000000000001E-2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24.844444444444441</v>
      </c>
      <c r="BN206" s="64">
        <f t="shared" si="12"/>
        <v>27.95</v>
      </c>
      <c r="BO206" s="64">
        <f t="shared" si="13"/>
        <v>3.3670033670033662E-2</v>
      </c>
      <c r="BP206" s="64">
        <f t="shared" si="14"/>
        <v>3.787878787878788E-2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23</v>
      </c>
      <c r="Y208" s="546">
        <f t="shared" si="10"/>
        <v>23.400000000000002</v>
      </c>
      <c r="Z208" s="36">
        <f>IFERROR(IF(Y208=0,"",ROUNDUP(Y208/H208,0)*0.00502),"")</f>
        <v>6.5259999999999999E-2</v>
      </c>
      <c r="AA208" s="56"/>
      <c r="AB208" s="57"/>
      <c r="AC208" s="253" t="s">
        <v>335</v>
      </c>
      <c r="AG208" s="64"/>
      <c r="AJ208" s="68"/>
      <c r="AK208" s="68">
        <v>0</v>
      </c>
      <c r="BB208" s="254" t="s">
        <v>1</v>
      </c>
      <c r="BM208" s="64">
        <f t="shared" si="11"/>
        <v>24.277777777777775</v>
      </c>
      <c r="BN208" s="64">
        <f t="shared" si="12"/>
        <v>24.7</v>
      </c>
      <c r="BO208" s="64">
        <f t="shared" si="13"/>
        <v>5.4605887939221276E-2</v>
      </c>
      <c r="BP208" s="64">
        <f t="shared" si="14"/>
        <v>5.5555555555555559E-2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21</v>
      </c>
      <c r="Y210" s="546">
        <f t="shared" si="10"/>
        <v>21.6</v>
      </c>
      <c r="Z210" s="36">
        <f>IFERROR(IF(Y210=0,"",ROUNDUP(Y210/H210,0)*0.00502),"")</f>
        <v>6.0240000000000002E-2</v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1"/>
        <v>22.166666666666664</v>
      </c>
      <c r="BN210" s="64">
        <f t="shared" si="12"/>
        <v>22.8</v>
      </c>
      <c r="BO210" s="64">
        <f t="shared" si="13"/>
        <v>4.9857549857549859E-2</v>
      </c>
      <c r="BP210" s="64">
        <f t="shared" si="14"/>
        <v>5.1282051282051287E-2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28.888888888888886</v>
      </c>
      <c r="Y211" s="547">
        <f>IFERROR(Y203/H203,"0")+IFERROR(Y204/H204,"0")+IFERROR(Y205/H205,"0")+IFERROR(Y206/H206,"0")+IFERROR(Y207/H207,"0")+IFERROR(Y208/H208,"0")+IFERROR(Y209/H209,"0")+IFERROR(Y210/H210,"0")</f>
        <v>30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0.1706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68</v>
      </c>
      <c r="Y212" s="547">
        <f>IFERROR(SUM(Y203:Y210),"0")</f>
        <v>72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34</v>
      </c>
      <c r="Y215" s="546">
        <f t="shared" si="15"/>
        <v>40.5</v>
      </c>
      <c r="Z215" s="36">
        <f>IFERROR(IF(Y215=0,"",ROUNDUP(Y215/H215,0)*0.01898),"")</f>
        <v>9.4899999999999998E-2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35.998024691358026</v>
      </c>
      <c r="BN215" s="64">
        <f t="shared" si="17"/>
        <v>42.88</v>
      </c>
      <c r="BO215" s="64">
        <f t="shared" si="18"/>
        <v>6.558641975308642E-2</v>
      </c>
      <c r="BP215" s="64">
        <f t="shared" si="19"/>
        <v>7.8125E-2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220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23</v>
      </c>
      <c r="Y217" s="546">
        <f t="shared" si="15"/>
        <v>24</v>
      </c>
      <c r="Z217" s="36">
        <f t="shared" ref="Z217:Z222" si="20">IFERROR(IF(Y217=0,"",ROUNDUP(Y217/H217,0)*0.00651),"")</f>
        <v>6.5100000000000005E-2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25.587499999999999</v>
      </c>
      <c r="BN217" s="64">
        <f t="shared" si="17"/>
        <v>26.7</v>
      </c>
      <c r="BO217" s="64">
        <f t="shared" si="18"/>
        <v>5.2655677655677663E-2</v>
      </c>
      <c r="BP217" s="64">
        <f t="shared" si="19"/>
        <v>5.4945054945054951E-2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220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173</v>
      </c>
      <c r="Y219" s="546">
        <f t="shared" si="15"/>
        <v>175.2</v>
      </c>
      <c r="Z219" s="36">
        <f t="shared" si="20"/>
        <v>0.47522999999999999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191.16500000000002</v>
      </c>
      <c r="BN219" s="64">
        <f t="shared" si="17"/>
        <v>193.596</v>
      </c>
      <c r="BO219" s="64">
        <f t="shared" si="18"/>
        <v>0.39606227106227115</v>
      </c>
      <c r="BP219" s="64">
        <f t="shared" si="19"/>
        <v>0.40109890109890112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180</v>
      </c>
      <c r="Y220" s="546">
        <f t="shared" si="15"/>
        <v>180</v>
      </c>
      <c r="Z220" s="36">
        <f t="shared" si="20"/>
        <v>0.48825000000000002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198.9</v>
      </c>
      <c r="BN220" s="64">
        <f t="shared" si="17"/>
        <v>198.9</v>
      </c>
      <c r="BO220" s="64">
        <f t="shared" si="18"/>
        <v>0.41208791208791212</v>
      </c>
      <c r="BP220" s="64">
        <f t="shared" si="19"/>
        <v>0.41208791208791212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220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46</v>
      </c>
      <c r="Y221" s="546">
        <f t="shared" si="15"/>
        <v>48</v>
      </c>
      <c r="Z221" s="36">
        <f t="shared" si="20"/>
        <v>0.13020000000000001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50.830000000000005</v>
      </c>
      <c r="BN221" s="64">
        <f t="shared" si="17"/>
        <v>53.040000000000006</v>
      </c>
      <c r="BO221" s="64">
        <f t="shared" si="18"/>
        <v>0.10531135531135533</v>
      </c>
      <c r="BP221" s="64">
        <f t="shared" si="19"/>
        <v>0.1098901098901099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220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180.03086419753086</v>
      </c>
      <c r="Y223" s="547">
        <f>IFERROR(Y214/H214,"0")+IFERROR(Y215/H215,"0")+IFERROR(Y216/H216,"0")+IFERROR(Y217/H217,"0")+IFERROR(Y218/H218,"0")+IFERROR(Y219/H219,"0")+IFERROR(Y220/H220,"0")+IFERROR(Y221/H221,"0")+IFERROR(Y222/H222,"0")</f>
        <v>183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1.2536800000000001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456</v>
      </c>
      <c r="Y224" s="547">
        <f>IFERROR(SUM(Y214:Y222),"0")</f>
        <v>467.7</v>
      </c>
      <c r="Z224" s="37"/>
      <c r="AA224" s="548"/>
      <c r="AB224" s="548"/>
      <c r="AC224" s="548"/>
    </row>
    <row r="225" spans="1:68" ht="14.25" hidden="1" customHeight="1" x14ac:dyDescent="0.25">
      <c r="A225" s="558" t="s">
        <v>159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134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1</v>
      </c>
      <c r="Y248" s="546">
        <f>IFERROR(IF(X248="",0,CEILING((X248/$H248),1)*$H248),"")</f>
        <v>1.8</v>
      </c>
      <c r="Z248" s="36">
        <f>IFERROR(IF(Y248=0,"",ROUNDUP(Y248/H248,0)*0.0059),"")</f>
        <v>5.8999999999999999E-3</v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1.0972222222222223</v>
      </c>
      <c r="BN248" s="64">
        <f>IFERROR(Y248*I248/H248,"0")</f>
        <v>1.9750000000000001</v>
      </c>
      <c r="BO248" s="64">
        <f>IFERROR(1/J248*(X248/H248),"0")</f>
        <v>2.5720164609053498E-3</v>
      </c>
      <c r="BP248" s="64">
        <f>IFERROR(1/J248*(Y248/H248),"0")</f>
        <v>4.6296296296296294E-3</v>
      </c>
    </row>
    <row r="249" spans="1:68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0.55555555555555558</v>
      </c>
      <c r="Y249" s="547">
        <f>IFERROR(Y248/H248,"0")</f>
        <v>1</v>
      </c>
      <c r="Z249" s="547">
        <f>IFERROR(IF(Z248="",0,Z248),"0")</f>
        <v>5.8999999999999999E-3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1</v>
      </c>
      <c r="Y250" s="547">
        <f>IFERROR(SUM(Y248:Y248),"0")</f>
        <v>1.8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220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21</v>
      </c>
      <c r="Y279" s="546">
        <f>IFERROR(IF(X279="",0,CEILING((X279/$H279),1)*$H279),"")</f>
        <v>21.599999999999998</v>
      </c>
      <c r="Z279" s="36">
        <f>IFERROR(IF(Y279=0,"",ROUNDUP(Y279/H279,0)*0.00651),"")</f>
        <v>5.8590000000000003E-2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23.205000000000002</v>
      </c>
      <c r="BN279" s="64">
        <f>IFERROR(Y279*I279/H279,"0")</f>
        <v>23.868000000000002</v>
      </c>
      <c r="BO279" s="64">
        <f>IFERROR(1/J279*(X279/H279),"0")</f>
        <v>4.807692307692308E-2</v>
      </c>
      <c r="BP279" s="64">
        <f>IFERROR(1/J279*(Y279/H279),"0")</f>
        <v>4.9450549450549455E-2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220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8.75</v>
      </c>
      <c r="Y281" s="547">
        <f>IFERROR(Y278/H278,"0")+IFERROR(Y279/H279,"0")+IFERROR(Y280/H280,"0")</f>
        <v>9</v>
      </c>
      <c r="Z281" s="547">
        <f>IFERROR(IF(Z278="",0,Z278),"0")+IFERROR(IF(Z279="",0,Z279),"0")+IFERROR(IF(Z280="",0,Z280),"0")</f>
        <v>5.8590000000000003E-2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21</v>
      </c>
      <c r="Y282" s="547">
        <f>IFERROR(SUM(Y278:Y280),"0")</f>
        <v>21.599999999999998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159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hidden="1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3</v>
      </c>
      <c r="Y328" s="546">
        <f>IFERROR(IF(X328="",0,CEILING((X328/$H328),1)*$H328),"")</f>
        <v>5.0999999999999996</v>
      </c>
      <c r="Z328" s="36">
        <f>IFERROR(IF(Y328=0,"",ROUNDUP(Y328/H328,0)*0.00651),"")</f>
        <v>1.302E-2</v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3.4764705882352946</v>
      </c>
      <c r="BN328" s="64">
        <f>IFERROR(Y328*I328/H328,"0")</f>
        <v>5.91</v>
      </c>
      <c r="BO328" s="64">
        <f>IFERROR(1/J328*(X328/H328),"0")</f>
        <v>6.4641241111829352E-3</v>
      </c>
      <c r="BP328" s="64">
        <f>IFERROR(1/J328*(Y328/H328),"0")</f>
        <v>1.098901098901099E-2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16</v>
      </c>
      <c r="Y329" s="546">
        <f>IFERROR(IF(X329="",0,CEILING((X329/$H329),1)*$H329),"")</f>
        <v>17.849999999999998</v>
      </c>
      <c r="Z329" s="36">
        <f>IFERROR(IF(Y329=0,"",ROUNDUP(Y329/H329,0)*0.00651),"")</f>
        <v>4.5569999999999999E-2</v>
      </c>
      <c r="AA329" s="56"/>
      <c r="AB329" s="57"/>
      <c r="AC329" s="387" t="s">
        <v>524</v>
      </c>
      <c r="AG329" s="64"/>
      <c r="AJ329" s="68"/>
      <c r="AK329" s="68">
        <v>0</v>
      </c>
      <c r="BB329" s="388" t="s">
        <v>1</v>
      </c>
      <c r="BM329" s="64">
        <f>IFERROR(X329*I329/H329,"0")</f>
        <v>18.070588235294117</v>
      </c>
      <c r="BN329" s="64">
        <f>IFERROR(Y329*I329/H329,"0")</f>
        <v>20.16</v>
      </c>
      <c r="BO329" s="64">
        <f>IFERROR(1/J329*(X329/H329),"0")</f>
        <v>3.4475328592975661E-2</v>
      </c>
      <c r="BP329" s="64">
        <f>IFERROR(1/J329*(Y329/H329),"0")</f>
        <v>3.8461538461538464E-2</v>
      </c>
    </row>
    <row r="330" spans="1:68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7.4509803921568638</v>
      </c>
      <c r="Y330" s="547">
        <f>IFERROR(Y326/H326,"0")+IFERROR(Y327/H327,"0")+IFERROR(Y328/H328,"0")+IFERROR(Y329/H329,"0")</f>
        <v>9</v>
      </c>
      <c r="Z330" s="547">
        <f>IFERROR(IF(Z326="",0,Z326),"0")+IFERROR(IF(Z327="",0,Z327),"0")+IFERROR(IF(Z328="",0,Z328),"0")+IFERROR(IF(Z329="",0,Z329),"0")</f>
        <v>5.8590000000000003E-2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19</v>
      </c>
      <c r="Y331" s="547">
        <f>IFERROR(SUM(Y326:Y329),"0")</f>
        <v>22.949999999999996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1</v>
      </c>
      <c r="Y334" s="546">
        <f>IFERROR(IF(X334="",0,CEILING((X334/$H334),1)*$H334),"")</f>
        <v>2</v>
      </c>
      <c r="Z334" s="36">
        <f>IFERROR(IF(Y334=0,"",ROUNDUP(Y334/H334,0)*0.00474),"")</f>
        <v>4.7400000000000003E-3</v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1.1200000000000001</v>
      </c>
      <c r="BN334" s="64">
        <f>IFERROR(Y334*I334/H334,"0")</f>
        <v>2.2400000000000002</v>
      </c>
      <c r="BO334" s="64">
        <f>IFERROR(1/J334*(X334/H334),"0")</f>
        <v>2.1008403361344537E-3</v>
      </c>
      <c r="BP334" s="64">
        <f>IFERROR(1/J334*(Y334/H334),"0")</f>
        <v>4.2016806722689074E-3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0.5</v>
      </c>
      <c r="Y336" s="547">
        <f>IFERROR(Y333/H333,"0")+IFERROR(Y334/H334,"0")+IFERROR(Y335/H335,"0")</f>
        <v>1</v>
      </c>
      <c r="Z336" s="547">
        <f>IFERROR(IF(Z333="",0,Z333),"0")+IFERROR(IF(Z334="",0,Z334),"0")+IFERROR(IF(Z335="",0,Z335),"0")</f>
        <v>4.7400000000000003E-3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1</v>
      </c>
      <c r="Y337" s="547">
        <f>IFERROR(SUM(Y333:Y335),"0")</f>
        <v>2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hidden="1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ref="Y348:Y354" si="31">IFERROR(IF(X348="",0,CEILING((X348/$H348),1)*$H348),"")</f>
        <v>0</v>
      </c>
      <c r="Z348" s="36" t="str">
        <f>IFERROR(IF(Y348=0,"",ROUNDUP(Y348/H348,0)*0.02175),"")</f>
        <v/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0</v>
      </c>
      <c r="BN348" s="64">
        <f t="shared" ref="BN348:BN354" si="33">IFERROR(Y348*I348/H348,"0")</f>
        <v>0</v>
      </c>
      <c r="BO348" s="64">
        <f t="shared" ref="BO348:BO354" si="34">IFERROR(1/J348*(X348/H348),"0")</f>
        <v>0</v>
      </c>
      <c r="BP348" s="64">
        <f t="shared" ref="BP348:BP354" si="35">IFERROR(1/J348*(Y348/H348),"0")</f>
        <v>0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hidden="1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hidden="1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0</v>
      </c>
      <c r="Y355" s="547">
        <f>IFERROR(Y348/H348,"0")+IFERROR(Y349/H349,"0")+IFERROR(Y350/H350,"0")+IFERROR(Y351/H351,"0")+IFERROR(Y352/H352,"0")+IFERROR(Y353/H353,"0")+IFERROR(Y354/H354,"0")</f>
        <v>0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548"/>
      <c r="AB355" s="548"/>
      <c r="AC355" s="548"/>
    </row>
    <row r="356" spans="1:68" hidden="1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0</v>
      </c>
      <c r="Y356" s="547">
        <f>IFERROR(SUM(Y348:Y354),"0")</f>
        <v>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134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159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69</v>
      </c>
      <c r="Y368" s="546">
        <f>IFERROR(IF(X368="",0,CEILING((X368/$H368),1)*$H368),"")</f>
        <v>72</v>
      </c>
      <c r="Z368" s="36">
        <f>IFERROR(IF(Y368=0,"",ROUNDUP(Y368/H368,0)*0.01898),"")</f>
        <v>0.15184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72.787333333333336</v>
      </c>
      <c r="BN368" s="64">
        <f>IFERROR(Y368*I368/H368,"0")</f>
        <v>75.951999999999998</v>
      </c>
      <c r="BO368" s="64">
        <f>IFERROR(1/J368*(X368/H368),"0")</f>
        <v>0.11979166666666667</v>
      </c>
      <c r="BP368" s="64">
        <f>IFERROR(1/J368*(Y368/H368),"0")</f>
        <v>0.125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7.666666666666667</v>
      </c>
      <c r="Y369" s="547">
        <f>IFERROR(Y368/H368,"0")</f>
        <v>8</v>
      </c>
      <c r="Z369" s="547">
        <f>IFERROR(IF(Z368="",0,Z368),"0")</f>
        <v>0.15184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69</v>
      </c>
      <c r="Y370" s="547">
        <f>IFERROR(SUM(Y368:Y368),"0")</f>
        <v>72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hidden="1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hidden="1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199</v>
      </c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134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199</v>
      </c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/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64</v>
      </c>
      <c r="Y430" s="546">
        <f t="shared" si="42"/>
        <v>68.64</v>
      </c>
      <c r="Z430" s="36">
        <f t="shared" si="43"/>
        <v>0.15548000000000001</v>
      </c>
      <c r="AA430" s="56"/>
      <c r="AB430" s="57"/>
      <c r="AC430" s="479" t="s">
        <v>664</v>
      </c>
      <c r="AG430" s="64"/>
      <c r="AJ430" s="68"/>
      <c r="AK430" s="68">
        <v>0</v>
      </c>
      <c r="BB430" s="480" t="s">
        <v>1</v>
      </c>
      <c r="BM430" s="64">
        <f t="shared" si="44"/>
        <v>68.242424242424235</v>
      </c>
      <c r="BN430" s="64">
        <f t="shared" si="45"/>
        <v>73.19</v>
      </c>
      <c r="BO430" s="64">
        <f t="shared" si="46"/>
        <v>0.11655011655011656</v>
      </c>
      <c r="BP430" s="64">
        <f t="shared" si="47"/>
        <v>0.125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127</v>
      </c>
      <c r="Y431" s="546">
        <f t="shared" si="42"/>
        <v>132</v>
      </c>
      <c r="Z431" s="36">
        <f t="shared" si="43"/>
        <v>0.29899999999999999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135.41856060606059</v>
      </c>
      <c r="BN431" s="64">
        <f t="shared" si="45"/>
        <v>140.75</v>
      </c>
      <c r="BO431" s="64">
        <f t="shared" si="46"/>
        <v>0.23127913752913754</v>
      </c>
      <c r="BP431" s="64">
        <f t="shared" si="47"/>
        <v>0.24038461538461539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56</v>
      </c>
      <c r="Y433" s="546">
        <f t="shared" si="42"/>
        <v>58.080000000000005</v>
      </c>
      <c r="Z433" s="36">
        <f t="shared" si="43"/>
        <v>0.13156000000000001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59.712121212121204</v>
      </c>
      <c r="BN433" s="64">
        <f t="shared" si="45"/>
        <v>61.93</v>
      </c>
      <c r="BO433" s="64">
        <f t="shared" si="46"/>
        <v>0.10198135198135198</v>
      </c>
      <c r="BP433" s="64">
        <f t="shared" si="47"/>
        <v>0.10576923076923078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15</v>
      </c>
      <c r="Y438" s="546">
        <f t="shared" si="42"/>
        <v>19.2</v>
      </c>
      <c r="Z438" s="36">
        <f>IFERROR(IF(Y438=0,"",ROUNDUP(Y438/H438,0)*0.00902),"")</f>
        <v>3.6080000000000001E-2</v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21.593750000000004</v>
      </c>
      <c r="BN438" s="64">
        <f t="shared" si="45"/>
        <v>27.64</v>
      </c>
      <c r="BO438" s="64">
        <f t="shared" si="46"/>
        <v>2.3674242424242424E-2</v>
      </c>
      <c r="BP438" s="64">
        <f t="shared" si="47"/>
        <v>3.0303030303030304E-2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49.905303030303031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53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0.62212000000000001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262</v>
      </c>
      <c r="Y440" s="547">
        <f>IFERROR(SUM(Y427:Y438),"0")</f>
        <v>277.91999999999996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134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hidden="1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0</v>
      </c>
      <c r="Y445" s="547">
        <f>IFERROR(Y442/H442,"0")+IFERROR(Y443/H443,"0")+IFERROR(Y444/H444,"0")</f>
        <v>0</v>
      </c>
      <c r="Z445" s="547">
        <f>IFERROR(IF(Z442="",0,Z442),"0")+IFERROR(IF(Z443="",0,Z443),"0")+IFERROR(IF(Z444="",0,Z444),"0")</f>
        <v>0</v>
      </c>
      <c r="AA445" s="548"/>
      <c r="AB445" s="548"/>
      <c r="AC445" s="548"/>
    </row>
    <row r="446" spans="1:68" hidden="1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0</v>
      </c>
      <c r="Y446" s="547">
        <f>IFERROR(SUM(Y442:Y444),"0")</f>
        <v>0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13</v>
      </c>
      <c r="Y448" s="546">
        <f t="shared" ref="Y448:Y453" si="48">IFERROR(IF(X448="",0,CEILING((X448/$H448),1)*$H448),"")</f>
        <v>15.84</v>
      </c>
      <c r="Z448" s="36">
        <f>IFERROR(IF(Y448=0,"",ROUNDUP(Y448/H448,0)*0.01196),"")</f>
        <v>3.5880000000000002E-2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13.861742424242424</v>
      </c>
      <c r="BN448" s="64">
        <f t="shared" ref="BN448:BN453" si="50">IFERROR(Y448*I448/H448,"0")</f>
        <v>16.889999999999997</v>
      </c>
      <c r="BO448" s="64">
        <f t="shared" ref="BO448:BO453" si="51">IFERROR(1/J448*(X448/H448),"0")</f>
        <v>2.3674242424242424E-2</v>
      </c>
      <c r="BP448" s="64">
        <f t="shared" ref="BP448:BP453" si="52">IFERROR(1/J448*(Y448/H448),"0")</f>
        <v>2.8846153846153848E-2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37</v>
      </c>
      <c r="Y449" s="546">
        <f t="shared" si="48"/>
        <v>42.24</v>
      </c>
      <c r="Z449" s="36">
        <f>IFERROR(IF(Y449=0,"",ROUNDUP(Y449/H449,0)*0.01196),"")</f>
        <v>9.5680000000000001E-2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39.452651515151516</v>
      </c>
      <c r="BN449" s="64">
        <f t="shared" si="50"/>
        <v>45.04</v>
      </c>
      <c r="BO449" s="64">
        <f t="shared" si="51"/>
        <v>6.7380536130536128E-2</v>
      </c>
      <c r="BP449" s="64">
        <f t="shared" si="52"/>
        <v>7.6923076923076927E-2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68</v>
      </c>
      <c r="Y450" s="546">
        <f t="shared" si="48"/>
        <v>68.64</v>
      </c>
      <c r="Z450" s="36">
        <f>IFERROR(IF(Y450=0,"",ROUNDUP(Y450/H450,0)*0.01196),"")</f>
        <v>0.15548000000000001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72.507575757575751</v>
      </c>
      <c r="BN450" s="64">
        <f t="shared" si="50"/>
        <v>73.19</v>
      </c>
      <c r="BO450" s="64">
        <f t="shared" si="51"/>
        <v>0.12383449883449885</v>
      </c>
      <c r="BP450" s="64">
        <f t="shared" si="52"/>
        <v>0.125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22.348484848484848</v>
      </c>
      <c r="Y454" s="547">
        <f>IFERROR(Y448/H448,"0")+IFERROR(Y449/H449,"0")+IFERROR(Y450/H450,"0")+IFERROR(Y451/H451,"0")+IFERROR(Y452/H452,"0")+IFERROR(Y453/H453,"0")</f>
        <v>24</v>
      </c>
      <c r="Z454" s="547">
        <f>IFERROR(IF(Z448="",0,Z448),"0")+IFERROR(IF(Z449="",0,Z449),"0")+IFERROR(IF(Z450="",0,Z450),"0")+IFERROR(IF(Z451="",0,Z451),"0")+IFERROR(IF(Z452="",0,Z452),"0")+IFERROR(IF(Z453="",0,Z453),"0")</f>
        <v>0.28704000000000002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118</v>
      </c>
      <c r="Y455" s="547">
        <f>IFERROR(SUM(Y448:Y453),"0")</f>
        <v>126.72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134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159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134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1600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1657.8299999999997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1738.9086896957433</v>
      </c>
      <c r="Y489" s="547">
        <f>IFERROR(SUM(BN22:BN485),"0")</f>
        <v>1802.6230000000005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4</v>
      </c>
      <c r="Y490" s="38">
        <f>ROUNDUP(SUM(BP22:BP485),0)</f>
        <v>4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1838.9086896957433</v>
      </c>
      <c r="Y491" s="547">
        <f>GrossWeightTotalR+PalletQtyTotalR*25</f>
        <v>1902.6230000000005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508.39039437323754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523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4.0198800000000006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115</v>
      </c>
      <c r="E496" s="598" t="s">
        <v>166</v>
      </c>
      <c r="F496" s="598" t="s">
        <v>188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21.6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16</v>
      </c>
      <c r="E498" s="46">
        <f>IFERROR(Y84*1,"0")+IFERROR(Y85*1,"0")+IFERROR(Y86*1,"0")+IFERROR(Y87*1,"0")+IFERROR(Y91*1,"0")+IFERROR(Y92*1,"0")+IFERROR(Y93*1,"0")+IFERROR(Y94*1,"0")</f>
        <v>207.9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267.3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80.34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539.70000000000005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1.8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21.599999999999998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24.949999999999996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72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404.63999999999993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SP+2rpF1CHzF0r6oUBMxItQ/AQvmVxlUEX701q6SXmQXJO10vUqjLmrpmyso6JIbNnj9Bjei8HCHbZmU25v/A==" saltValue="T7laWNbSYL1YokHyFxTBv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0"/>
        <filter val="0,56"/>
        <filter val="0,79"/>
        <filter val="1 600,00"/>
        <filter val="1 738,91"/>
        <filter val="1 838,91"/>
        <filter val="1,00"/>
        <filter val="1,76"/>
        <filter val="118,00"/>
        <filter val="127,00"/>
        <filter val="13,00"/>
        <filter val="15,00"/>
        <filter val="16,00"/>
        <filter val="173,00"/>
        <filter val="18,17"/>
        <filter val="180,00"/>
        <filter val="180,03"/>
        <filter val="19,00"/>
        <filter val="2,00"/>
        <filter val="2,38"/>
        <filter val="207,00"/>
        <filter val="21,00"/>
        <filter val="22,35"/>
        <filter val="23,00"/>
        <filter val="24,00"/>
        <filter val="262,00"/>
        <filter val="266,00"/>
        <filter val="28,89"/>
        <filter val="3,00"/>
        <filter val="34,00"/>
        <filter val="37,00"/>
        <filter val="4"/>
        <filter val="4,00"/>
        <filter val="456,00"/>
        <filter val="46,00"/>
        <filter val="49,91"/>
        <filter val="508,39"/>
        <filter val="56,00"/>
        <filter val="64,00"/>
        <filter val="68,00"/>
        <filter val="69,00"/>
        <filter val="7,45"/>
        <filter val="7,67"/>
        <filter val="70,00"/>
        <filter val="73,00"/>
        <filter val="76,67"/>
        <filter val="8,75"/>
        <filter val="98,52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4 X91 X99 X102 X114 X116 X165 X167 X169 X203:X204 X206 X217 X219:X222 X279:X280 X321 X348:X350 X358 X383 X391 X413 X431 X433 X442 X448:X450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APb3210/kGw2rvkFGrc8ZrXDqFGYZDNB5RuOSy6NEu7V6D0DofNtJM2je9HANG/PH5IOua/qpyyGkBUwt3gRBg==" saltValue="imeC2FGV8E7e9yIJ3/KBO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