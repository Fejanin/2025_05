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AED736B-16AF-48EB-A91F-B8A9A07B2A7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3" i="1" s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Y323" i="1" s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Z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X64" i="1"/>
  <c r="X63" i="1"/>
  <c r="BO62" i="1"/>
  <c r="BM62" i="1"/>
  <c r="Y62" i="1"/>
  <c r="BP62" i="1" s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0" i="1" s="1"/>
  <c r="BM22" i="1"/>
  <c r="Y22" i="1"/>
  <c r="B498" i="1" s="1"/>
  <c r="P22" i="1"/>
  <c r="H10" i="1"/>
  <c r="A9" i="1"/>
  <c r="F10" i="1" s="1"/>
  <c r="D7" i="1"/>
  <c r="Q6" i="1"/>
  <c r="P2" i="1"/>
  <c r="BP100" i="1" l="1"/>
  <c r="BN100" i="1"/>
  <c r="BP114" i="1"/>
  <c r="BN114" i="1"/>
  <c r="Z114" i="1"/>
  <c r="BP166" i="1"/>
  <c r="BN166" i="1"/>
  <c r="Z166" i="1"/>
  <c r="BP184" i="1"/>
  <c r="BN184" i="1"/>
  <c r="Z184" i="1"/>
  <c r="BP216" i="1"/>
  <c r="BN216" i="1"/>
  <c r="Z216" i="1"/>
  <c r="BP239" i="1"/>
  <c r="BN239" i="1"/>
  <c r="Z239" i="1"/>
  <c r="BP280" i="1"/>
  <c r="BN280" i="1"/>
  <c r="Z280" i="1"/>
  <c r="BP314" i="1"/>
  <c r="BN314" i="1"/>
  <c r="Z314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Z27" i="1"/>
  <c r="BN27" i="1"/>
  <c r="Y32" i="1"/>
  <c r="Z54" i="1"/>
  <c r="BN54" i="1"/>
  <c r="Z66" i="1"/>
  <c r="BN66" i="1"/>
  <c r="Z85" i="1"/>
  <c r="BN85" i="1"/>
  <c r="Z100" i="1"/>
  <c r="BP137" i="1"/>
  <c r="BN137" i="1"/>
  <c r="Z137" i="1"/>
  <c r="BP174" i="1"/>
  <c r="BN174" i="1"/>
  <c r="Z174" i="1"/>
  <c r="BP206" i="1"/>
  <c r="BN206" i="1"/>
  <c r="Z206" i="1"/>
  <c r="BP226" i="1"/>
  <c r="BN226" i="1"/>
  <c r="Z226" i="1"/>
  <c r="BP264" i="1"/>
  <c r="BN264" i="1"/>
  <c r="Z264" i="1"/>
  <c r="BP300" i="1"/>
  <c r="BN300" i="1"/>
  <c r="Z300" i="1"/>
  <c r="BP326" i="1"/>
  <c r="BN326" i="1"/>
  <c r="Z326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Y119" i="1"/>
  <c r="X489" i="1"/>
  <c r="X491" i="1" s="1"/>
  <c r="Z23" i="1"/>
  <c r="BN23" i="1"/>
  <c r="X488" i="1"/>
  <c r="Y31" i="1"/>
  <c r="Z29" i="1"/>
  <c r="BN29" i="1"/>
  <c r="C498" i="1"/>
  <c r="Z52" i="1"/>
  <c r="BN52" i="1"/>
  <c r="Z56" i="1"/>
  <c r="BN56" i="1"/>
  <c r="Z62" i="1"/>
  <c r="BN62" i="1"/>
  <c r="Y68" i="1"/>
  <c r="Z72" i="1"/>
  <c r="BN72" i="1"/>
  <c r="Z78" i="1"/>
  <c r="BN78" i="1"/>
  <c r="BP78" i="1"/>
  <c r="Z87" i="1"/>
  <c r="BN87" i="1"/>
  <c r="Y95" i="1"/>
  <c r="Z93" i="1"/>
  <c r="BN93" i="1"/>
  <c r="F498" i="1"/>
  <c r="Z102" i="1"/>
  <c r="BN102" i="1"/>
  <c r="BP110" i="1"/>
  <c r="BN110" i="1"/>
  <c r="Z110" i="1"/>
  <c r="Y133" i="1"/>
  <c r="BP131" i="1"/>
  <c r="BN131" i="1"/>
  <c r="Z131" i="1"/>
  <c r="BP150" i="1"/>
  <c r="BN150" i="1"/>
  <c r="Z150" i="1"/>
  <c r="BP172" i="1"/>
  <c r="BN172" i="1"/>
  <c r="Z172" i="1"/>
  <c r="Y186" i="1"/>
  <c r="BP182" i="1"/>
  <c r="BN182" i="1"/>
  <c r="Z182" i="1"/>
  <c r="BP204" i="1"/>
  <c r="BN204" i="1"/>
  <c r="Z204" i="1"/>
  <c r="BP214" i="1"/>
  <c r="BN214" i="1"/>
  <c r="Z214" i="1"/>
  <c r="BP222" i="1"/>
  <c r="BN222" i="1"/>
  <c r="Z222" i="1"/>
  <c r="BP237" i="1"/>
  <c r="BN237" i="1"/>
  <c r="Z237" i="1"/>
  <c r="BP262" i="1"/>
  <c r="BN262" i="1"/>
  <c r="Z262" i="1"/>
  <c r="BP278" i="1"/>
  <c r="BN278" i="1"/>
  <c r="Z278" i="1"/>
  <c r="BP116" i="1"/>
  <c r="BN116" i="1"/>
  <c r="Z116" i="1"/>
  <c r="H498" i="1"/>
  <c r="BP142" i="1"/>
  <c r="BN142" i="1"/>
  <c r="Z142" i="1"/>
  <c r="BP168" i="1"/>
  <c r="BN168" i="1"/>
  <c r="Z168" i="1"/>
  <c r="BP176" i="1"/>
  <c r="BN176" i="1"/>
  <c r="Z176" i="1"/>
  <c r="Y190" i="1"/>
  <c r="Y189" i="1"/>
  <c r="BP188" i="1"/>
  <c r="BN188" i="1"/>
  <c r="Z188" i="1"/>
  <c r="Z189" i="1" s="1"/>
  <c r="BP193" i="1"/>
  <c r="BN193" i="1"/>
  <c r="Z193" i="1"/>
  <c r="BP208" i="1"/>
  <c r="BN208" i="1"/>
  <c r="Z208" i="1"/>
  <c r="BP218" i="1"/>
  <c r="BN218" i="1"/>
  <c r="Z218" i="1"/>
  <c r="BP233" i="1"/>
  <c r="BN233" i="1"/>
  <c r="Z233" i="1"/>
  <c r="BP253" i="1"/>
  <c r="BN253" i="1"/>
  <c r="Z253" i="1"/>
  <c r="BP271" i="1"/>
  <c r="BN271" i="1"/>
  <c r="Z271" i="1"/>
  <c r="BP285" i="1"/>
  <c r="BN285" i="1"/>
  <c r="Z285" i="1"/>
  <c r="BP304" i="1"/>
  <c r="BN304" i="1"/>
  <c r="Z304" i="1"/>
  <c r="BP316" i="1"/>
  <c r="BN316" i="1"/>
  <c r="Z316" i="1"/>
  <c r="BP328" i="1"/>
  <c r="BN328" i="1"/>
  <c r="Z328" i="1"/>
  <c r="Y111" i="1"/>
  <c r="Y118" i="1"/>
  <c r="G498" i="1"/>
  <c r="Y134" i="1"/>
  <c r="Y145" i="1"/>
  <c r="Y153" i="1"/>
  <c r="I498" i="1"/>
  <c r="Y179" i="1"/>
  <c r="Y185" i="1"/>
  <c r="Y196" i="1"/>
  <c r="Y281" i="1"/>
  <c r="Q498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42" i="1"/>
  <c r="BN342" i="1"/>
  <c r="Z342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498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63" i="1"/>
  <c r="BP459" i="1"/>
  <c r="BN459" i="1"/>
  <c r="Z459" i="1"/>
  <c r="Y330" i="1"/>
  <c r="Y337" i="1"/>
  <c r="Y387" i="1"/>
  <c r="Y386" i="1"/>
  <c r="Y481" i="1"/>
  <c r="H9" i="1"/>
  <c r="A10" i="1"/>
  <c r="Y24" i="1"/>
  <c r="F9" i="1"/>
  <c r="J9" i="1"/>
  <c r="Z22" i="1"/>
  <c r="Z24" i="1" s="1"/>
  <c r="BN22" i="1"/>
  <c r="BP22" i="1"/>
  <c r="X492" i="1"/>
  <c r="Y25" i="1"/>
  <c r="Z28" i="1"/>
  <c r="BN28" i="1"/>
  <c r="BP28" i="1"/>
  <c r="Z30" i="1"/>
  <c r="BN30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BP55" i="1"/>
  <c r="BN55" i="1"/>
  <c r="Z55" i="1"/>
  <c r="Y64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Y96" i="1"/>
  <c r="BP92" i="1"/>
  <c r="BN92" i="1"/>
  <c r="Z92" i="1"/>
  <c r="Y44" i="1"/>
  <c r="D498" i="1"/>
  <c r="Y58" i="1"/>
  <c r="BP51" i="1"/>
  <c r="BN51" i="1"/>
  <c r="BP53" i="1"/>
  <c r="BN53" i="1"/>
  <c r="Z53" i="1"/>
  <c r="Z57" i="1" s="1"/>
  <c r="Y57" i="1"/>
  <c r="BP61" i="1"/>
  <c r="BN61" i="1"/>
  <c r="Z61" i="1"/>
  <c r="Z63" i="1" s="1"/>
  <c r="BP73" i="1"/>
  <c r="BN73" i="1"/>
  <c r="Z73" i="1"/>
  <c r="BP86" i="1"/>
  <c r="BN86" i="1"/>
  <c r="Z86" i="1"/>
  <c r="BP94" i="1"/>
  <c r="BN94" i="1"/>
  <c r="Z94" i="1"/>
  <c r="Z99" i="1"/>
  <c r="BN99" i="1"/>
  <c r="BP99" i="1"/>
  <c r="Z101" i="1"/>
  <c r="BN101" i="1"/>
  <c r="Z103" i="1"/>
  <c r="BN103" i="1"/>
  <c r="Y104" i="1"/>
  <c r="Z107" i="1"/>
  <c r="BN107" i="1"/>
  <c r="BP107" i="1"/>
  <c r="Z109" i="1"/>
  <c r="BN109" i="1"/>
  <c r="Y112" i="1"/>
  <c r="Z115" i="1"/>
  <c r="Z118" i="1" s="1"/>
  <c r="BN115" i="1"/>
  <c r="BP115" i="1"/>
  <c r="Z117" i="1"/>
  <c r="BN117" i="1"/>
  <c r="Z121" i="1"/>
  <c r="Z122" i="1" s="1"/>
  <c r="BN121" i="1"/>
  <c r="BP121" i="1"/>
  <c r="Y122" i="1"/>
  <c r="Z126" i="1"/>
  <c r="Z128" i="1" s="1"/>
  <c r="BN126" i="1"/>
  <c r="BP126" i="1"/>
  <c r="Y129" i="1"/>
  <c r="Z132" i="1"/>
  <c r="BN132" i="1"/>
  <c r="BP132" i="1"/>
  <c r="Z136" i="1"/>
  <c r="Z138" i="1" s="1"/>
  <c r="BN136" i="1"/>
  <c r="BP136" i="1"/>
  <c r="Y139" i="1"/>
  <c r="Z143" i="1"/>
  <c r="Z144" i="1" s="1"/>
  <c r="BN143" i="1"/>
  <c r="BP143" i="1"/>
  <c r="Y144" i="1"/>
  <c r="Z147" i="1"/>
  <c r="BN147" i="1"/>
  <c r="BP147" i="1"/>
  <c r="Z149" i="1"/>
  <c r="BN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5" i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Y180" i="1"/>
  <c r="Z183" i="1"/>
  <c r="Z185" i="1" s="1"/>
  <c r="BN183" i="1"/>
  <c r="BP183" i="1"/>
  <c r="J498" i="1"/>
  <c r="Z194" i="1"/>
  <c r="Z195" i="1" s="1"/>
  <c r="BN194" i="1"/>
  <c r="BP194" i="1"/>
  <c r="Y195" i="1"/>
  <c r="Z198" i="1"/>
  <c r="Z200" i="1" s="1"/>
  <c r="BN198" i="1"/>
  <c r="BP198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Y105" i="1"/>
  <c r="Y128" i="1"/>
  <c r="Y163" i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Z223" i="1" s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Z257" i="1" s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Z274" i="1" s="1"/>
  <c r="Y274" i="1"/>
  <c r="Z281" i="1"/>
  <c r="BP279" i="1"/>
  <c r="BN279" i="1"/>
  <c r="Z279" i="1"/>
  <c r="Z301" i="1"/>
  <c r="BP297" i="1"/>
  <c r="BN297" i="1"/>
  <c r="Z297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BP329" i="1"/>
  <c r="BN329" i="1"/>
  <c r="Z329" i="1"/>
  <c r="Y331" i="1"/>
  <c r="Y336" i="1"/>
  <c r="BP333" i="1"/>
  <c r="BN333" i="1"/>
  <c r="Z333" i="1"/>
  <c r="Z336" i="1" s="1"/>
  <c r="BP349" i="1"/>
  <c r="BN349" i="1"/>
  <c r="Z349" i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Z417" i="1" s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O498" i="1"/>
  <c r="Y282" i="1"/>
  <c r="P498" i="1"/>
  <c r="Y287" i="1"/>
  <c r="S498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Z400" i="1" s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BP480" i="1"/>
  <c r="BN480" i="1"/>
  <c r="Z480" i="1"/>
  <c r="Y482" i="1"/>
  <c r="Z498" i="1"/>
  <c r="Y486" i="1"/>
  <c r="BP485" i="1"/>
  <c r="BN485" i="1"/>
  <c r="Z485" i="1"/>
  <c r="Z486" i="1" s="1"/>
  <c r="Y487" i="1"/>
  <c r="Y439" i="1"/>
  <c r="Z481" i="1" l="1"/>
  <c r="Z405" i="1"/>
  <c r="Z317" i="1"/>
  <c r="Z133" i="1"/>
  <c r="Z31" i="1"/>
  <c r="Z439" i="1"/>
  <c r="Z211" i="1"/>
  <c r="Z310" i="1"/>
  <c r="Z95" i="1"/>
  <c r="Z355" i="1"/>
  <c r="Z88" i="1"/>
  <c r="Z454" i="1"/>
  <c r="Z75" i="1"/>
  <c r="Y489" i="1"/>
  <c r="Y492" i="1"/>
  <c r="Z463" i="1"/>
  <c r="Z266" i="1"/>
  <c r="Z241" i="1"/>
  <c r="Z330" i="1"/>
  <c r="Z179" i="1"/>
  <c r="Z152" i="1"/>
  <c r="Z111" i="1"/>
  <c r="Z104" i="1"/>
  <c r="Z43" i="1"/>
  <c r="Z493" i="1" s="1"/>
  <c r="Y488" i="1"/>
  <c r="Y490" i="1"/>
  <c r="Y491" i="1" l="1"/>
</calcChain>
</file>

<file path=xl/sharedStrings.xml><?xml version="1.0" encoding="utf-8"?>
<sst xmlns="http://schemas.openxmlformats.org/spreadsheetml/2006/main" count="2284" uniqueCount="768">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</sst>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46048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0.5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481</v>
      </c>
      <c r="Y40" s="546">
        <f>IFERROR(IF(X40="",0,CEILING((X40/$H40),1)*$H40),"")</f>
        <v>486.00000000000006</v>
      </c>
      <c r="Z40" s="36">
        <f>IFERROR(IF(Y40=0,"",ROUNDUP(Y40/H40,0)*0.01898),"")</f>
        <v>0.85409999999999997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499.26018518518515</v>
      </c>
      <c r="BN40" s="64">
        <f>IFERROR(Y40*I40/H40,"0")</f>
        <v>504.4500000000001</v>
      </c>
      <c r="BO40" s="64">
        <f>IFERROR(1/J40*(X40/H40),"0")</f>
        <v>0.69589120370370361</v>
      </c>
      <c r="BP40" s="64">
        <f>IFERROR(1/J40*(Y40/H40),"0")</f>
        <v>0.703125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44.537037037037031</v>
      </c>
      <c r="Y43" s="547">
        <f>IFERROR(Y40/H40,"0")+IFERROR(Y41/H41,"0")+IFERROR(Y42/H42,"0")</f>
        <v>45</v>
      </c>
      <c r="Z43" s="547">
        <f>IFERROR(IF(Z40="",0,Z40),"0")+IFERROR(IF(Z41="",0,Z41),"0")+IFERROR(IF(Z42="",0,Z42),"0")</f>
        <v>0.85409999999999997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481</v>
      </c>
      <c r="Y44" s="547">
        <f>IFERROR(SUM(Y40:Y42),"0")</f>
        <v>486.00000000000006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44</v>
      </c>
      <c r="Y51" s="546">
        <f t="shared" ref="Y51:Y56" si="0">IFERROR(IF(X51="",0,CEILING((X51/$H51),1)*$H51),"")</f>
        <v>44.8</v>
      </c>
      <c r="Z51" s="36">
        <f>IFERROR(IF(Y51=0,"",ROUNDUP(Y51/H51,0)*0.01898),"")</f>
        <v>7.5920000000000001E-2</v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45.610714285714288</v>
      </c>
      <c r="BN51" s="64">
        <f t="shared" ref="BN51:BN56" si="2">IFERROR(Y51*I51/H51,"0")</f>
        <v>46.44</v>
      </c>
      <c r="BO51" s="64">
        <f t="shared" ref="BO51:BO56" si="3">IFERROR(1/J51*(X51/H51),"0")</f>
        <v>6.1383928571428575E-2</v>
      </c>
      <c r="BP51" s="64">
        <f t="shared" ref="BP51:BP56" si="4">IFERROR(1/J51*(Y51/H51),"0")</f>
        <v>6.25E-2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287</v>
      </c>
      <c r="Y52" s="546">
        <f t="shared" si="0"/>
        <v>291.60000000000002</v>
      </c>
      <c r="Z52" s="36">
        <f>IFERROR(IF(Y52=0,"",ROUNDUP(Y52/H52,0)*0.01898),"")</f>
        <v>0.51246000000000003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297.89537037037042</v>
      </c>
      <c r="BN52" s="64">
        <f t="shared" si="2"/>
        <v>302.67000000000007</v>
      </c>
      <c r="BO52" s="64">
        <f t="shared" si="3"/>
        <v>0.41521990740740738</v>
      </c>
      <c r="BP52" s="64">
        <f t="shared" si="4"/>
        <v>0.421875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30.5026455026455</v>
      </c>
      <c r="Y57" s="547">
        <f>IFERROR(Y51/H51,"0")+IFERROR(Y52/H52,"0")+IFERROR(Y53/H53,"0")+IFERROR(Y54/H54,"0")+IFERROR(Y55/H55,"0")+IFERROR(Y56/H56,"0")</f>
        <v>31</v>
      </c>
      <c r="Z57" s="547">
        <f>IFERROR(IF(Z51="",0,Z51),"0")+IFERROR(IF(Z52="",0,Z52),"0")+IFERROR(IF(Z53="",0,Z53),"0")+IFERROR(IF(Z54="",0,Z54),"0")+IFERROR(IF(Z55="",0,Z55),"0")+IFERROR(IF(Z56="",0,Z56),"0")</f>
        <v>0.58838000000000001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331</v>
      </c>
      <c r="Y58" s="547">
        <f>IFERROR(SUM(Y51:Y56),"0")</f>
        <v>336.40000000000003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130</v>
      </c>
      <c r="Y60" s="546">
        <f>IFERROR(IF(X60="",0,CEILING((X60/$H60),1)*$H60),"")</f>
        <v>140.4</v>
      </c>
      <c r="Z60" s="36">
        <f>IFERROR(IF(Y60=0,"",ROUNDUP(Y60/H60,0)*0.01898),"")</f>
        <v>0.24674000000000001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134.93518518518519</v>
      </c>
      <c r="BN60" s="64">
        <f>IFERROR(Y60*I60/H60,"0")</f>
        <v>145.73000000000002</v>
      </c>
      <c r="BO60" s="64">
        <f>IFERROR(1/J60*(X60/H60),"0")</f>
        <v>0.18807870370370369</v>
      </c>
      <c r="BP60" s="64">
        <f>IFERROR(1/J60*(Y60/H60),"0")</f>
        <v>0.203125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12.037037037037036</v>
      </c>
      <c r="Y63" s="547">
        <f>IFERROR(Y60/H60,"0")+IFERROR(Y61/H61,"0")+IFERROR(Y62/H62,"0")</f>
        <v>13</v>
      </c>
      <c r="Z63" s="547">
        <f>IFERROR(IF(Z60="",0,Z60),"0")+IFERROR(IF(Z61="",0,Z61),"0")+IFERROR(IF(Z62="",0,Z62),"0")</f>
        <v>0.24674000000000001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130</v>
      </c>
      <c r="Y64" s="547">
        <f>IFERROR(SUM(Y60:Y62),"0")</f>
        <v>140.4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59</v>
      </c>
      <c r="Y78" s="546">
        <f>IFERROR(IF(X78="",0,CEILING((X78/$H78),1)*$H78),"")</f>
        <v>62.4</v>
      </c>
      <c r="Z78" s="36">
        <f>IFERROR(IF(Y78=0,"",ROUNDUP(Y78/H78,0)*0.01898),"")</f>
        <v>0.15184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62.101282051282055</v>
      </c>
      <c r="BN78" s="64">
        <f>IFERROR(Y78*I78/H78,"0")</f>
        <v>65.680000000000007</v>
      </c>
      <c r="BO78" s="64">
        <f>IFERROR(1/J78*(X78/H78),"0")</f>
        <v>0.11818910256410256</v>
      </c>
      <c r="BP78" s="64">
        <f>IFERROR(1/J78*(Y78/H78),"0")</f>
        <v>0.125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7.5641025641025639</v>
      </c>
      <c r="Y80" s="547">
        <f>IFERROR(Y78/H78,"0")+IFERROR(Y79/H79,"0")</f>
        <v>8</v>
      </c>
      <c r="Z80" s="547">
        <f>IFERROR(IF(Z78="",0,Z78),"0")+IFERROR(IF(Z79="",0,Z79),"0")</f>
        <v>0.15184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59</v>
      </c>
      <c r="Y81" s="547">
        <f>IFERROR(SUM(Y78:Y79),"0")</f>
        <v>62.4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384</v>
      </c>
      <c r="Y84" s="546">
        <f>IFERROR(IF(X84="",0,CEILING((X84/$H84),1)*$H84),"")</f>
        <v>388.8</v>
      </c>
      <c r="Z84" s="36">
        <f>IFERROR(IF(Y84=0,"",ROUNDUP(Y84/H84,0)*0.01898),"")</f>
        <v>0.68328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398.57777777777778</v>
      </c>
      <c r="BN84" s="64">
        <f>IFERROR(Y84*I84/H84,"0")</f>
        <v>403.56</v>
      </c>
      <c r="BO84" s="64">
        <f>IFERROR(1/J84*(X84/H84),"0")</f>
        <v>0.55555555555555547</v>
      </c>
      <c r="BP84" s="64">
        <f>IFERROR(1/J84*(Y84/H84),"0")</f>
        <v>0.5625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35.55555555555555</v>
      </c>
      <c r="Y88" s="547">
        <f>IFERROR(Y84/H84,"0")+IFERROR(Y85/H85,"0")+IFERROR(Y86/H86,"0")+IFERROR(Y87/H87,"0")</f>
        <v>36</v>
      </c>
      <c r="Z88" s="547">
        <f>IFERROR(IF(Z84="",0,Z84),"0")+IFERROR(IF(Z85="",0,Z85),"0")+IFERROR(IF(Z86="",0,Z86),"0")+IFERROR(IF(Z87="",0,Z87),"0")</f>
        <v>0.68328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384</v>
      </c>
      <c r="Y89" s="547">
        <f>IFERROR(SUM(Y84:Y87),"0")</f>
        <v>388.8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41</v>
      </c>
      <c r="Y91" s="546">
        <f>IFERROR(IF(X91="",0,CEILING((X91/$H91),1)*$H91),"")</f>
        <v>48.599999999999994</v>
      </c>
      <c r="Z91" s="36">
        <f>IFERROR(IF(Y91=0,"",ROUNDUP(Y91/H91,0)*0.01898),"")</f>
        <v>0.11388000000000001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43.500493827160497</v>
      </c>
      <c r="BN91" s="64">
        <f>IFERROR(Y91*I91/H91,"0")</f>
        <v>51.563999999999993</v>
      </c>
      <c r="BO91" s="64">
        <f>IFERROR(1/J91*(X91/H91),"0")</f>
        <v>7.908950617283951E-2</v>
      </c>
      <c r="BP91" s="64">
        <f>IFERROR(1/J91*(Y91/H91),"0")</f>
        <v>9.375E-2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5.0617283950617287</v>
      </c>
      <c r="Y95" s="547">
        <f>IFERROR(Y91/H91,"0")+IFERROR(Y92/H92,"0")+IFERROR(Y93/H93,"0")+IFERROR(Y94/H94,"0")</f>
        <v>6</v>
      </c>
      <c r="Z95" s="547">
        <f>IFERROR(IF(Z91="",0,Z91),"0")+IFERROR(IF(Z92="",0,Z92),"0")+IFERROR(IF(Z93="",0,Z93),"0")+IFERROR(IF(Z94="",0,Z94),"0")</f>
        <v>0.11388000000000001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41</v>
      </c>
      <c r="Y96" s="547">
        <f>IFERROR(SUM(Y91:Y94),"0")</f>
        <v>48.599999999999994</v>
      </c>
      <c r="Z96" s="37"/>
      <c r="AA96" s="548"/>
      <c r="AB96" s="548"/>
      <c r="AC96" s="548"/>
    </row>
    <row r="97" spans="1:68" ht="16.5" hidden="1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51</v>
      </c>
      <c r="Y102" s="546">
        <f>IFERROR(IF(X102="",0,CEILING((X102/$H102),1)*$H102),"")</f>
        <v>54</v>
      </c>
      <c r="Z102" s="36">
        <f>IFERROR(IF(Y102=0,"",ROUNDUP(Y102/H102,0)*0.00902),"")</f>
        <v>0.10824</v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53.153333333333336</v>
      </c>
      <c r="BN102" s="64">
        <f>IFERROR(Y102*I102/H102,"0")</f>
        <v>56.28</v>
      </c>
      <c r="BO102" s="64">
        <f>IFERROR(1/J102*(X102/H102),"0")</f>
        <v>8.585858585858587E-2</v>
      </c>
      <c r="BP102" s="64">
        <f>IFERROR(1/J102*(Y102/H102),"0")</f>
        <v>9.0909090909090912E-2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11.333333333333334</v>
      </c>
      <c r="Y104" s="547">
        <f>IFERROR(Y99/H99,"0")+IFERROR(Y100/H100,"0")+IFERROR(Y101/H101,"0")+IFERROR(Y102/H102,"0")+IFERROR(Y103/H103,"0")</f>
        <v>12</v>
      </c>
      <c r="Z104" s="547">
        <f>IFERROR(IF(Z99="",0,Z99),"0")+IFERROR(IF(Z100="",0,Z100),"0")+IFERROR(IF(Z101="",0,Z101),"0")+IFERROR(IF(Z102="",0,Z102),"0")+IFERROR(IF(Z103="",0,Z103),"0")</f>
        <v>0.10824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51</v>
      </c>
      <c r="Y105" s="547">
        <f>IFERROR(SUM(Y99:Y103),"0")</f>
        <v>54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146</v>
      </c>
      <c r="Y114" s="546">
        <f>IFERROR(IF(X114="",0,CEILING((X114/$H114),1)*$H114),"")</f>
        <v>153.9</v>
      </c>
      <c r="Z114" s="36">
        <f>IFERROR(IF(Y114=0,"",ROUNDUP(Y114/H114,0)*0.01898),"")</f>
        <v>0.36062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154.79604938271606</v>
      </c>
      <c r="BN114" s="64">
        <f>IFERROR(Y114*I114/H114,"0")</f>
        <v>163.172</v>
      </c>
      <c r="BO114" s="64">
        <f>IFERROR(1/J114*(X114/H114),"0")</f>
        <v>0.28163580246913583</v>
      </c>
      <c r="BP114" s="64">
        <f>IFERROR(1/J114*(Y114/H114),"0")</f>
        <v>0.296875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209</v>
      </c>
      <c r="Y116" s="546">
        <f>IFERROR(IF(X116="",0,CEILING((X116/$H116),1)*$H116),"")</f>
        <v>210.60000000000002</v>
      </c>
      <c r="Z116" s="36">
        <f>IFERROR(IF(Y116=0,"",ROUNDUP(Y116/H116,0)*0.00651),"")</f>
        <v>0.50778000000000001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228.50666666666663</v>
      </c>
      <c r="BN116" s="64">
        <f>IFERROR(Y116*I116/H116,"0")</f>
        <v>230.25600000000003</v>
      </c>
      <c r="BO116" s="64">
        <f>IFERROR(1/J116*(X116/H116),"0")</f>
        <v>0.42531542531542532</v>
      </c>
      <c r="BP116" s="64">
        <f>IFERROR(1/J116*(Y116/H116),"0")</f>
        <v>0.4285714285714286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95.432098765432102</v>
      </c>
      <c r="Y118" s="547">
        <f>IFERROR(Y114/H114,"0")+IFERROR(Y115/H115,"0")+IFERROR(Y116/H116,"0")+IFERROR(Y117/H117,"0")</f>
        <v>97</v>
      </c>
      <c r="Z118" s="547">
        <f>IFERROR(IF(Z114="",0,Z114),"0")+IFERROR(IF(Z115="",0,Z115),"0")+IFERROR(IF(Z116="",0,Z116),"0")+IFERROR(IF(Z117="",0,Z117),"0")</f>
        <v>0.86840000000000006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355</v>
      </c>
      <c r="Y119" s="547">
        <f>IFERROR(SUM(Y114:Y117),"0")</f>
        <v>364.5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/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18</v>
      </c>
      <c r="Y165" s="546">
        <f t="shared" ref="Y165:Y178" si="5">IFERROR(IF(X165="",0,CEILING((X165/$H165),1)*$H165),"")</f>
        <v>21</v>
      </c>
      <c r="Z165" s="36">
        <f>IFERROR(IF(Y165=0,"",ROUNDUP(Y165/H165,0)*0.00902),"")</f>
        <v>4.5100000000000001E-2</v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ref="BM165:BM178" si="6">IFERROR(X165*I165/H165,"0")</f>
        <v>19.071428571428573</v>
      </c>
      <c r="BN165" s="64">
        <f t="shared" ref="BN165:BN178" si="7">IFERROR(Y165*I165/H165,"0")</f>
        <v>22.25</v>
      </c>
      <c r="BO165" s="64">
        <f t="shared" ref="BO165:BO178" si="8">IFERROR(1/J165*(X165/H165),"0")</f>
        <v>3.2467532467532464E-2</v>
      </c>
      <c r="BP165" s="64">
        <f t="shared" ref="BP165:BP178" si="9">IFERROR(1/J165*(Y165/H165),"0")</f>
        <v>3.787878787878788E-2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2</v>
      </c>
      <c r="Y174" s="546">
        <f t="shared" si="5"/>
        <v>3.6</v>
      </c>
      <c r="Z174" s="36">
        <f>IFERROR(IF(Y174=0,"",ROUNDUP(Y174/H174,0)*0.00502),"")</f>
        <v>1.004E-2</v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2.1444444444444444</v>
      </c>
      <c r="BN174" s="64">
        <f t="shared" si="7"/>
        <v>3.8599999999999994</v>
      </c>
      <c r="BO174" s="64">
        <f t="shared" si="8"/>
        <v>4.7483380816714157E-3</v>
      </c>
      <c r="BP174" s="64">
        <f t="shared" si="9"/>
        <v>8.5470085470085479E-3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201</v>
      </c>
      <c r="Y176" s="546">
        <f t="shared" si="5"/>
        <v>201.60000000000002</v>
      </c>
      <c r="Z176" s="36">
        <f>IFERROR(IF(Y176=0,"",ROUNDUP(Y176/H176,0)*0.00502),"")</f>
        <v>0.48192000000000002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210.57142857142858</v>
      </c>
      <c r="BN176" s="64">
        <f t="shared" si="7"/>
        <v>211.20000000000005</v>
      </c>
      <c r="BO176" s="64">
        <f t="shared" si="8"/>
        <v>0.40903540903540903</v>
      </c>
      <c r="BP176" s="64">
        <f t="shared" si="9"/>
        <v>0.4102564102564103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101.1111111111111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103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0.53705999999999998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221</v>
      </c>
      <c r="Y180" s="547">
        <f>IFERROR(SUM(Y165:Y178),"0")</f>
        <v>226.20000000000002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1</v>
      </c>
      <c r="Y183" s="546">
        <f>IFERROR(IF(X183="",0,CEILING((X183/$H183),1)*$H183),"")</f>
        <v>1.26</v>
      </c>
      <c r="Z183" s="36">
        <f>IFERROR(IF(Y183=0,"",ROUNDUP(Y183/H183,0)*0.0059),"")</f>
        <v>5.8999999999999999E-3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1.1507936507936507</v>
      </c>
      <c r="BN183" s="64">
        <f>IFERROR(Y183*I183/H183,"0")</f>
        <v>1.45</v>
      </c>
      <c r="BO183" s="64">
        <f>IFERROR(1/J183*(X183/H183),"0")</f>
        <v>3.6743092298647849E-3</v>
      </c>
      <c r="BP183" s="64">
        <f>IFERROR(1/J183*(Y183/H183),"0")</f>
        <v>4.6296296296296294E-3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0.79365079365079361</v>
      </c>
      <c r="Y185" s="547">
        <f>IFERROR(Y182/H182,"0")+IFERROR(Y183/H183,"0")+IFERROR(Y184/H184,"0")</f>
        <v>1</v>
      </c>
      <c r="Z185" s="547">
        <f>IFERROR(IF(Z182="",0,Z182),"0")+IFERROR(IF(Z183="",0,Z183),"0")+IFERROR(IF(Z184="",0,Z184),"0")</f>
        <v>5.8999999999999999E-3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1</v>
      </c>
      <c r="Y186" s="547">
        <f>IFERROR(SUM(Y182:Y184),"0")</f>
        <v>1.26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6</v>
      </c>
      <c r="Y188" s="546">
        <f>IFERROR(IF(X188="",0,CEILING((X188/$H188),1)*$H188),"")</f>
        <v>6.3</v>
      </c>
      <c r="Z188" s="36">
        <f>IFERROR(IF(Y188=0,"",ROUNDUP(Y188/H188,0)*0.0059),"")</f>
        <v>2.9499999999999998E-2</v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6.9047619047619042</v>
      </c>
      <c r="BN188" s="64">
        <f>IFERROR(Y188*I188/H188,"0")</f>
        <v>7.25</v>
      </c>
      <c r="BO188" s="64">
        <f>IFERROR(1/J188*(X188/H188),"0")</f>
        <v>2.2045855379188711E-2</v>
      </c>
      <c r="BP188" s="64">
        <f>IFERROR(1/J188*(Y188/H188),"0")</f>
        <v>2.3148148148148147E-2</v>
      </c>
    </row>
    <row r="189" spans="1:68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4.7619047619047619</v>
      </c>
      <c r="Y189" s="547">
        <f>IFERROR(Y188/H188,"0")</f>
        <v>5</v>
      </c>
      <c r="Z189" s="547">
        <f>IFERROR(IF(Z188="",0,Z188),"0")</f>
        <v>2.9499999999999998E-2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6</v>
      </c>
      <c r="Y190" s="547">
        <f>IFERROR(SUM(Y188:Y188),"0")</f>
        <v>6.3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 t="s">
        <v>186</v>
      </c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106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82</v>
      </c>
      <c r="Y204" s="546">
        <f t="shared" si="10"/>
        <v>86.4</v>
      </c>
      <c r="Z204" s="36">
        <f>IFERROR(IF(Y204=0,"",ROUNDUP(Y204/H204,0)*0.00902),"")</f>
        <v>0.14432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84.885185185185179</v>
      </c>
      <c r="BN204" s="64">
        <f t="shared" si="12"/>
        <v>89.44</v>
      </c>
      <c r="BO204" s="64">
        <f t="shared" si="13"/>
        <v>0.11503928170594836</v>
      </c>
      <c r="BP204" s="64">
        <f t="shared" si="14"/>
        <v>0.12121212121212122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79</v>
      </c>
      <c r="Y206" s="546">
        <f t="shared" si="10"/>
        <v>81</v>
      </c>
      <c r="Z206" s="36">
        <f>IFERROR(IF(Y206=0,"",ROUNDUP(Y206/H206,0)*0.00902),"")</f>
        <v>0.1353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81.779629629629625</v>
      </c>
      <c r="BN206" s="64">
        <f t="shared" si="12"/>
        <v>83.85</v>
      </c>
      <c r="BO206" s="64">
        <f t="shared" si="13"/>
        <v>0.11083052749719416</v>
      </c>
      <c r="BP206" s="64">
        <f t="shared" si="14"/>
        <v>0.11363636363636363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27</v>
      </c>
      <c r="Y207" s="546">
        <f t="shared" si="10"/>
        <v>27</v>
      </c>
      <c r="Z207" s="36">
        <f>IFERROR(IF(Y207=0,"",ROUNDUP(Y207/H207,0)*0.00502),"")</f>
        <v>7.5300000000000006E-2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28.95</v>
      </c>
      <c r="BN207" s="64">
        <f t="shared" si="12"/>
        <v>28.95</v>
      </c>
      <c r="BO207" s="64">
        <f t="shared" si="13"/>
        <v>6.4102564102564111E-2</v>
      </c>
      <c r="BP207" s="64">
        <f t="shared" si="14"/>
        <v>6.4102564102564111E-2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17</v>
      </c>
      <c r="Y208" s="546">
        <f t="shared" si="10"/>
        <v>18</v>
      </c>
      <c r="Z208" s="36">
        <f>IFERROR(IF(Y208=0,"",ROUNDUP(Y208/H208,0)*0.00502),"")</f>
        <v>5.0200000000000002E-2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17.944444444444443</v>
      </c>
      <c r="BN208" s="64">
        <f t="shared" si="12"/>
        <v>18.999999999999996</v>
      </c>
      <c r="BO208" s="64">
        <f t="shared" si="13"/>
        <v>4.0360873694207031E-2</v>
      </c>
      <c r="BP208" s="64">
        <f t="shared" si="14"/>
        <v>4.2735042735042736E-2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66</v>
      </c>
      <c r="Y210" s="546">
        <f t="shared" si="10"/>
        <v>66.600000000000009</v>
      </c>
      <c r="Z210" s="36">
        <f>IFERROR(IF(Y210=0,"",ROUNDUP(Y210/H210,0)*0.00502),"")</f>
        <v>0.18574000000000002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69.666666666666657</v>
      </c>
      <c r="BN210" s="64">
        <f t="shared" si="12"/>
        <v>70.3</v>
      </c>
      <c r="BO210" s="64">
        <f t="shared" si="13"/>
        <v>0.15669515669515671</v>
      </c>
      <c r="BP210" s="64">
        <f t="shared" si="14"/>
        <v>0.15811965811965817</v>
      </c>
    </row>
    <row r="211" spans="1:68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90.925925925925924</v>
      </c>
      <c r="Y211" s="547">
        <f>IFERROR(Y203/H203,"0")+IFERROR(Y204/H204,"0")+IFERROR(Y205/H205,"0")+IFERROR(Y206/H206,"0")+IFERROR(Y207/H207,"0")+IFERROR(Y208/H208,"0")+IFERROR(Y209/H209,"0")+IFERROR(Y210/H210,"0")</f>
        <v>93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0.59086000000000005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271</v>
      </c>
      <c r="Y212" s="547">
        <f>IFERROR(SUM(Y203:Y210),"0")</f>
        <v>279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358</v>
      </c>
      <c r="Y216" s="546">
        <f t="shared" si="15"/>
        <v>365.4</v>
      </c>
      <c r="Z216" s="36">
        <f>IFERROR(IF(Y216=0,"",ROUNDUP(Y216/H216,0)*0.01898),"")</f>
        <v>0.79715999999999998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378.32781609195411</v>
      </c>
      <c r="BN216" s="64">
        <f t="shared" si="17"/>
        <v>386.14800000000002</v>
      </c>
      <c r="BO216" s="64">
        <f t="shared" si="18"/>
        <v>0.64295977011494254</v>
      </c>
      <c r="BP216" s="64">
        <f t="shared" si="19"/>
        <v>0.65625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244</v>
      </c>
      <c r="Y220" s="546">
        <f t="shared" si="15"/>
        <v>244.79999999999998</v>
      </c>
      <c r="Z220" s="36">
        <f t="shared" si="20"/>
        <v>0.66402000000000005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269.62000000000006</v>
      </c>
      <c r="BN220" s="64">
        <f t="shared" si="17"/>
        <v>270.50400000000002</v>
      </c>
      <c r="BO220" s="64">
        <f t="shared" si="18"/>
        <v>0.55860805860805873</v>
      </c>
      <c r="BP220" s="64">
        <f t="shared" si="19"/>
        <v>0.56043956043956045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255</v>
      </c>
      <c r="Y221" s="546">
        <f t="shared" si="15"/>
        <v>256.8</v>
      </c>
      <c r="Z221" s="36">
        <f t="shared" si="20"/>
        <v>0.69657000000000002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281.77500000000003</v>
      </c>
      <c r="BN221" s="64">
        <f t="shared" si="17"/>
        <v>283.76400000000007</v>
      </c>
      <c r="BO221" s="64">
        <f t="shared" si="18"/>
        <v>0.58379120879120883</v>
      </c>
      <c r="BP221" s="64">
        <f t="shared" si="19"/>
        <v>0.58791208791208804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30</v>
      </c>
      <c r="Y222" s="546">
        <f t="shared" si="15"/>
        <v>31.2</v>
      </c>
      <c r="Z222" s="36">
        <f t="shared" si="20"/>
        <v>8.4629999999999997E-2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33.225000000000001</v>
      </c>
      <c r="BN222" s="64">
        <f t="shared" si="17"/>
        <v>34.554000000000002</v>
      </c>
      <c r="BO222" s="64">
        <f t="shared" si="18"/>
        <v>6.8681318681318687E-2</v>
      </c>
      <c r="BP222" s="64">
        <f t="shared" si="19"/>
        <v>7.1428571428571438E-2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261.56609195402302</v>
      </c>
      <c r="Y223" s="547">
        <f>IFERROR(Y214/H214,"0")+IFERROR(Y215/H215,"0")+IFERROR(Y216/H216,"0")+IFERROR(Y217/H217,"0")+IFERROR(Y218/H218,"0")+IFERROR(Y219/H219,"0")+IFERROR(Y220/H220,"0")+IFERROR(Y221/H221,"0")+IFERROR(Y222/H222,"0")</f>
        <v>264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2.2423800000000003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887</v>
      </c>
      <c r="Y224" s="547">
        <f>IFERROR(SUM(Y214:Y222),"0")</f>
        <v>898.2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60</v>
      </c>
      <c r="Y226" s="546">
        <f>IFERROR(IF(X226="",0,CEILING((X226/$H226),1)*$H226),"")</f>
        <v>60</v>
      </c>
      <c r="Z226" s="36">
        <f>IFERROR(IF(Y226=0,"",ROUNDUP(Y226/H226,0)*0.00651),"")</f>
        <v>0.16275000000000001</v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66.300000000000011</v>
      </c>
      <c r="BN226" s="64">
        <f>IFERROR(Y226*I226/H226,"0")</f>
        <v>66.300000000000011</v>
      </c>
      <c r="BO226" s="64">
        <f>IFERROR(1/J226*(X226/H226),"0")</f>
        <v>0.13736263736263737</v>
      </c>
      <c r="BP226" s="64">
        <f>IFERROR(1/J226*(Y226/H226),"0")</f>
        <v>0.13736263736263737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25</v>
      </c>
      <c r="Y228" s="547">
        <f>IFERROR(Y226/H226,"0")+IFERROR(Y227/H227,"0")</f>
        <v>25</v>
      </c>
      <c r="Z228" s="547">
        <f>IFERROR(IF(Z226="",0,Z226),"0")+IFERROR(IF(Z227="",0,Z227),"0")</f>
        <v>0.16275000000000001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60</v>
      </c>
      <c r="Y229" s="547">
        <f>IFERROR(SUM(Y226:Y227),"0")</f>
        <v>60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4</v>
      </c>
      <c r="Y232" s="546">
        <f t="shared" ref="Y232:Y240" si="21">IFERROR(IF(X232="",0,CEILING((X232/$H232),1)*$H232),"")</f>
        <v>11.6</v>
      </c>
      <c r="Z232" s="36">
        <f>IFERROR(IF(Y232=0,"",ROUNDUP(Y232/H232,0)*0.01898),"")</f>
        <v>1.898E-2</v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4.1413793103448278</v>
      </c>
      <c r="BN232" s="64">
        <f t="shared" ref="BN232:BN240" si="23">IFERROR(Y232*I232/H232,"0")</f>
        <v>12.01</v>
      </c>
      <c r="BO232" s="64">
        <f t="shared" ref="BO232:BO240" si="24">IFERROR(1/J232*(X232/H232),"0")</f>
        <v>5.387931034482759E-3</v>
      </c>
      <c r="BP232" s="64">
        <f t="shared" ref="BP232:BP240" si="25">IFERROR(1/J232*(Y232/H232),"0")</f>
        <v>1.5625E-2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0.34482758620689657</v>
      </c>
      <c r="Y241" s="547">
        <f>IFERROR(Y232/H232,"0")+IFERROR(Y233/H233,"0")+IFERROR(Y234/H234,"0")+IFERROR(Y235/H235,"0")+IFERROR(Y236/H236,"0")+IFERROR(Y237/H237,"0")+IFERROR(Y238/H238,"0")+IFERROR(Y239/H239,"0")+IFERROR(Y240/H240,"0")</f>
        <v>1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1.898E-2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4</v>
      </c>
      <c r="Y242" s="547">
        <f>IFERROR(SUM(Y232:Y240),"0")</f>
        <v>11.6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2</v>
      </c>
      <c r="Y254" s="546">
        <f>IFERROR(IF(X254="",0,CEILING((X254/$H254),1)*$H254),"")</f>
        <v>2.7</v>
      </c>
      <c r="Z254" s="36">
        <f>IFERROR(IF(Y254=0,"",ROUNDUP(Y254/H254,0)*0.0059),"")</f>
        <v>1.77E-2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2.4222222222222225</v>
      </c>
      <c r="BN254" s="64">
        <f>IFERROR(Y254*I254/H254,"0")</f>
        <v>3.2700000000000005</v>
      </c>
      <c r="BO254" s="64">
        <f>IFERROR(1/J254*(X254/H254),"0")</f>
        <v>1.0288065843621399E-2</v>
      </c>
      <c r="BP254" s="64">
        <f>IFERROR(1/J254*(Y254/H254),"0")</f>
        <v>1.3888888888888888E-2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1</v>
      </c>
      <c r="Y255" s="546">
        <f>IFERROR(IF(X255="",0,CEILING((X255/$H255),1)*$H255),"")</f>
        <v>1.98</v>
      </c>
      <c r="Z255" s="36">
        <f>IFERROR(IF(Y255=0,"",ROUNDUP(Y255/H255,0)*0.0059),"")</f>
        <v>1.18E-2</v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1.1919191919191918</v>
      </c>
      <c r="BN255" s="64">
        <f>IFERROR(Y255*I255/H255,"0")</f>
        <v>2.36</v>
      </c>
      <c r="BO255" s="64">
        <f>IFERROR(1/J255*(X255/H255),"0")</f>
        <v>4.6763935652824546E-3</v>
      </c>
      <c r="BP255" s="64">
        <f>IFERROR(1/J255*(Y255/H255),"0")</f>
        <v>9.2592592592592587E-3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2</v>
      </c>
      <c r="Y256" s="546">
        <f>IFERROR(IF(X256="",0,CEILING((X256/$H256),1)*$H256),"")</f>
        <v>2.9699999999999998</v>
      </c>
      <c r="Z256" s="36">
        <f>IFERROR(IF(Y256=0,"",ROUNDUP(Y256/H256,0)*0.0059),"")</f>
        <v>1.77E-2</v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2.3838383838383836</v>
      </c>
      <c r="BN256" s="64">
        <f>IFERROR(Y256*I256/H256,"0")</f>
        <v>3.5399999999999996</v>
      </c>
      <c r="BO256" s="64">
        <f>IFERROR(1/J256*(X256/H256),"0")</f>
        <v>9.3527871305649091E-3</v>
      </c>
      <c r="BP256" s="64">
        <f>IFERROR(1/J256*(Y256/H256),"0")</f>
        <v>1.3888888888888886E-2</v>
      </c>
    </row>
    <row r="257" spans="1:68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5.2525252525252526</v>
      </c>
      <c r="Y257" s="547">
        <f>IFERROR(Y252/H252,"0")+IFERROR(Y253/H253,"0")+IFERROR(Y254/H254,"0")+IFERROR(Y255/H255,"0")+IFERROR(Y256/H256,"0")</f>
        <v>8</v>
      </c>
      <c r="Z257" s="547">
        <f>IFERROR(IF(Z252="",0,Z252),"0")+IFERROR(IF(Z253="",0,Z253),"0")+IFERROR(IF(Z254="",0,Z254),"0")+IFERROR(IF(Z255="",0,Z255),"0")+IFERROR(IF(Z256="",0,Z256),"0")</f>
        <v>4.7199999999999999E-2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5</v>
      </c>
      <c r="Y258" s="547">
        <f>IFERROR(SUM(Y252:Y256),"0")</f>
        <v>7.6499999999999995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 t="s">
        <v>103</v>
      </c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106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8</v>
      </c>
      <c r="Y279" s="546">
        <f>IFERROR(IF(X279="",0,CEILING((X279/$H279),1)*$H279),"")</f>
        <v>9.6</v>
      </c>
      <c r="Z279" s="36">
        <f>IFERROR(IF(Y279=0,"",ROUNDUP(Y279/H279,0)*0.00651),"")</f>
        <v>2.6040000000000001E-2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8.8400000000000016</v>
      </c>
      <c r="BN279" s="64">
        <f>IFERROR(Y279*I279/H279,"0")</f>
        <v>10.608000000000001</v>
      </c>
      <c r="BO279" s="64">
        <f>IFERROR(1/J279*(X279/H279),"0")</f>
        <v>1.8315018315018316E-2</v>
      </c>
      <c r="BP279" s="64">
        <f>IFERROR(1/J279*(Y279/H279),"0")</f>
        <v>2.197802197802198E-2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49</v>
      </c>
      <c r="Y280" s="546">
        <f>IFERROR(IF(X280="",0,CEILING((X280/$H280),1)*$H280),"")</f>
        <v>50.4</v>
      </c>
      <c r="Z280" s="36">
        <f>IFERROR(IF(Y280=0,"",ROUNDUP(Y280/H280,0)*0.00651),"")</f>
        <v>0.13671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52.675000000000004</v>
      </c>
      <c r="BN280" s="64">
        <f>IFERROR(Y280*I280/H280,"0")</f>
        <v>54.180000000000007</v>
      </c>
      <c r="BO280" s="64">
        <f>IFERROR(1/J280*(X280/H280),"0")</f>
        <v>0.1121794871794872</v>
      </c>
      <c r="BP280" s="64">
        <f>IFERROR(1/J280*(Y280/H280),"0")</f>
        <v>0.11538461538461539</v>
      </c>
    </row>
    <row r="281" spans="1:68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23.75</v>
      </c>
      <c r="Y281" s="547">
        <f>IFERROR(Y278/H278,"0")+IFERROR(Y279/H279,"0")+IFERROR(Y280/H280,"0")</f>
        <v>25</v>
      </c>
      <c r="Z281" s="547">
        <f>IFERROR(IF(Z278="",0,Z278),"0")+IFERROR(IF(Z279="",0,Z279),"0")+IFERROR(IF(Z280="",0,Z280),"0")</f>
        <v>0.16275000000000001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57</v>
      </c>
      <c r="Y282" s="547">
        <f>IFERROR(SUM(Y278:Y280),"0")</f>
        <v>60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9</v>
      </c>
      <c r="Y309" s="546">
        <f t="shared" si="26"/>
        <v>9</v>
      </c>
      <c r="Z309" s="36">
        <f>IFERROR(IF(Y309=0,"",ROUNDUP(Y309/H309,0)*0.00651),"")</f>
        <v>3.2550000000000003E-2</v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10.139999999999999</v>
      </c>
      <c r="BN309" s="64">
        <f t="shared" si="28"/>
        <v>10.139999999999999</v>
      </c>
      <c r="BO309" s="64">
        <f t="shared" si="29"/>
        <v>2.7472527472527476E-2</v>
      </c>
      <c r="BP309" s="64">
        <f t="shared" si="30"/>
        <v>2.7472527472527476E-2</v>
      </c>
    </row>
    <row r="310" spans="1:68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5</v>
      </c>
      <c r="Y310" s="547">
        <f>IFERROR(Y304/H304,"0")+IFERROR(Y305/H305,"0")+IFERROR(Y306/H306,"0")+IFERROR(Y307/H307,"0")+IFERROR(Y308/H308,"0")+IFERROR(Y309/H309,"0")</f>
        <v>5</v>
      </c>
      <c r="Z310" s="547">
        <f>IFERROR(IF(Z304="",0,Z304),"0")+IFERROR(IF(Z305="",0,Z305),"0")+IFERROR(IF(Z306="",0,Z306),"0")+IFERROR(IF(Z307="",0,Z307),"0")+IFERROR(IF(Z308="",0,Z308),"0")+IFERROR(IF(Z309="",0,Z309),"0")</f>
        <v>3.2550000000000003E-2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9</v>
      </c>
      <c r="Y311" s="547">
        <f>IFERROR(SUM(Y304:Y309),"0")</f>
        <v>9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hidden="1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17</v>
      </c>
      <c r="Y329" s="546">
        <f>IFERROR(IF(X329="",0,CEILING((X329/$H329),1)*$H329),"")</f>
        <v>17.849999999999998</v>
      </c>
      <c r="Z329" s="36">
        <f>IFERROR(IF(Y329=0,"",ROUNDUP(Y329/H329,0)*0.00651),"")</f>
        <v>4.5569999999999999E-2</v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19.200000000000003</v>
      </c>
      <c r="BN329" s="64">
        <f>IFERROR(Y329*I329/H329,"0")</f>
        <v>20.16</v>
      </c>
      <c r="BO329" s="64">
        <f>IFERROR(1/J329*(X329/H329),"0")</f>
        <v>3.6630036630036632E-2</v>
      </c>
      <c r="BP329" s="64">
        <f>IFERROR(1/J329*(Y329/H329),"0")</f>
        <v>3.8461538461538464E-2</v>
      </c>
    </row>
    <row r="330" spans="1:68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6.666666666666667</v>
      </c>
      <c r="Y330" s="547">
        <f>IFERROR(Y326/H326,"0")+IFERROR(Y327/H327,"0")+IFERROR(Y328/H328,"0")+IFERROR(Y329/H329,"0")</f>
        <v>7</v>
      </c>
      <c r="Z330" s="547">
        <f>IFERROR(IF(Z326="",0,Z326),"0")+IFERROR(IF(Z327="",0,Z327),"0")+IFERROR(IF(Z328="",0,Z328),"0")+IFERROR(IF(Z329="",0,Z329),"0")</f>
        <v>4.5569999999999999E-2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17</v>
      </c>
      <c r="Y331" s="547">
        <f>IFERROR(SUM(Y326:Y329),"0")</f>
        <v>17.849999999999998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5</v>
      </c>
      <c r="Y333" s="546">
        <f>IFERROR(IF(X333="",0,CEILING((X333/$H333),1)*$H333),"")</f>
        <v>6</v>
      </c>
      <c r="Z333" s="36">
        <f>IFERROR(IF(Y333=0,"",ROUNDUP(Y333/H333,0)*0.00474),"")</f>
        <v>1.422E-2</v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5.6000000000000005</v>
      </c>
      <c r="BN333" s="64">
        <f>IFERROR(Y333*I333/H333,"0")</f>
        <v>6.7200000000000006</v>
      </c>
      <c r="BO333" s="64">
        <f>IFERROR(1/J333*(X333/H333),"0")</f>
        <v>1.0504201680672268E-2</v>
      </c>
      <c r="BP333" s="64">
        <f>IFERROR(1/J333*(Y333/H333),"0")</f>
        <v>1.2605042016806723E-2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6</v>
      </c>
      <c r="Y334" s="546">
        <f>IFERROR(IF(X334="",0,CEILING((X334/$H334),1)*$H334),"")</f>
        <v>6</v>
      </c>
      <c r="Z334" s="36">
        <f>IFERROR(IF(Y334=0,"",ROUNDUP(Y334/H334,0)*0.00474),"")</f>
        <v>1.422E-2</v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6.7200000000000006</v>
      </c>
      <c r="BN334" s="64">
        <f>IFERROR(Y334*I334/H334,"0")</f>
        <v>6.7200000000000006</v>
      </c>
      <c r="BO334" s="64">
        <f>IFERROR(1/J334*(X334/H334),"0")</f>
        <v>1.2605042016806723E-2</v>
      </c>
      <c r="BP334" s="64">
        <f>IFERROR(1/J334*(Y334/H334),"0")</f>
        <v>1.2605042016806723E-2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5.5</v>
      </c>
      <c r="Y336" s="547">
        <f>IFERROR(Y333/H333,"0")+IFERROR(Y334/H334,"0")+IFERROR(Y335/H335,"0")</f>
        <v>6</v>
      </c>
      <c r="Z336" s="547">
        <f>IFERROR(IF(Z333="",0,Z333),"0")+IFERROR(IF(Z334="",0,Z334),"0")+IFERROR(IF(Z335="",0,Z335),"0")</f>
        <v>2.844E-2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11</v>
      </c>
      <c r="Y337" s="547">
        <f>IFERROR(SUM(Y333:Y335),"0")</f>
        <v>12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hidden="1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543</v>
      </c>
      <c r="Y348" s="546">
        <f t="shared" ref="Y348:Y354" si="31">IFERROR(IF(X348="",0,CEILING((X348/$H348),1)*$H348),"")</f>
        <v>555</v>
      </c>
      <c r="Z348" s="36">
        <f>IFERROR(IF(Y348=0,"",ROUNDUP(Y348/H348,0)*0.02175),"")</f>
        <v>0.80474999999999997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560.01400000000001</v>
      </c>
      <c r="BN348" s="64">
        <f t="shared" ref="BN348:BN354" si="33">IFERROR(Y348*I348/H348,"0")</f>
        <v>572.39</v>
      </c>
      <c r="BO348" s="64">
        <f t="shared" ref="BO348:BO354" si="34">IFERROR(1/J348*(X348/H348),"0")</f>
        <v>0.75416666666666665</v>
      </c>
      <c r="BP348" s="64">
        <f t="shared" ref="BP348:BP354" si="35">IFERROR(1/J348*(Y348/H348),"0")</f>
        <v>0.77083333333333326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438</v>
      </c>
      <c r="Y349" s="546">
        <f t="shared" si="31"/>
        <v>450</v>
      </c>
      <c r="Z349" s="36">
        <f>IFERROR(IF(Y349=0,"",ROUNDUP(Y349/H349,0)*0.02175),"")</f>
        <v>0.65249999999999997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451.72400000000005</v>
      </c>
      <c r="BN349" s="64">
        <f t="shared" si="33"/>
        <v>464.1</v>
      </c>
      <c r="BO349" s="64">
        <f t="shared" si="34"/>
        <v>0.60833333333333328</v>
      </c>
      <c r="BP349" s="64">
        <f t="shared" si="35"/>
        <v>0.625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350</v>
      </c>
      <c r="Y350" s="546">
        <f t="shared" si="31"/>
        <v>360</v>
      </c>
      <c r="Z350" s="36">
        <f>IFERROR(IF(Y350=0,"",ROUNDUP(Y350/H350,0)*0.02175),"")</f>
        <v>0.52200000000000002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360.96666666666664</v>
      </c>
      <c r="BN350" s="64">
        <f t="shared" si="33"/>
        <v>371.28</v>
      </c>
      <c r="BO350" s="64">
        <f t="shared" si="34"/>
        <v>0.48611111111111105</v>
      </c>
      <c r="BP350" s="64">
        <f t="shared" si="35"/>
        <v>0.5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88.733333333333334</v>
      </c>
      <c r="Y355" s="547">
        <f>IFERROR(Y348/H348,"0")+IFERROR(Y349/H349,"0")+IFERROR(Y350/H350,"0")+IFERROR(Y351/H351,"0")+IFERROR(Y352/H352,"0")+IFERROR(Y353/H353,"0")+IFERROR(Y354/H354,"0")</f>
        <v>91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1.97925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1331</v>
      </c>
      <c r="Y356" s="547">
        <f>IFERROR(SUM(Y348:Y354),"0")</f>
        <v>1365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455</v>
      </c>
      <c r="Y358" s="546">
        <f>IFERROR(IF(X358="",0,CEILING((X358/$H358),1)*$H358),"")</f>
        <v>465</v>
      </c>
      <c r="Z358" s="36">
        <f>IFERROR(IF(Y358=0,"",ROUNDUP(Y358/H358,0)*0.02175),"")</f>
        <v>0.6742499999999999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469.25666666666672</v>
      </c>
      <c r="BN358" s="64">
        <f>IFERROR(Y358*I358/H358,"0")</f>
        <v>479.57</v>
      </c>
      <c r="BO358" s="64">
        <f>IFERROR(1/J358*(X358/H358),"0")</f>
        <v>0.63194444444444442</v>
      </c>
      <c r="BP358" s="64">
        <f>IFERROR(1/J358*(Y358/H358),"0")</f>
        <v>0.64583333333333326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30.333333333333332</v>
      </c>
      <c r="Y360" s="547">
        <f>IFERROR(Y358/H358,"0")+IFERROR(Y359/H359,"0")</f>
        <v>31</v>
      </c>
      <c r="Z360" s="547">
        <f>IFERROR(IF(Z358="",0,Z358),"0")+IFERROR(IF(Z359="",0,Z359),"0")</f>
        <v>0.6742499999999999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455</v>
      </c>
      <c r="Y361" s="547">
        <f>IFERROR(SUM(Y358:Y359),"0")</f>
        <v>465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hidden="1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hidden="1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 t="s">
        <v>110</v>
      </c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 t="s">
        <v>106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503</v>
      </c>
      <c r="Y383" s="546">
        <f>IFERROR(IF(X383="",0,CEILING((X383/$H383),1)*$H383),"")</f>
        <v>504</v>
      </c>
      <c r="Z383" s="36">
        <f>IFERROR(IF(Y383=0,"",ROUNDUP(Y383/H383,0)*0.01898),"")</f>
        <v>1.06288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530.60911111111113</v>
      </c>
      <c r="BN383" s="64">
        <f>IFERROR(Y383*I383/H383,"0")</f>
        <v>531.66399999999999</v>
      </c>
      <c r="BO383" s="64">
        <f>IFERROR(1/J383*(X383/H383),"0")</f>
        <v>0.87326388888888884</v>
      </c>
      <c r="BP383" s="64">
        <f>IFERROR(1/J383*(Y383/H383),"0")</f>
        <v>0.875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55.888888888888886</v>
      </c>
      <c r="Y386" s="547">
        <f>IFERROR(Y383/H383,"0")+IFERROR(Y384/H384,"0")+IFERROR(Y385/H385,"0")</f>
        <v>56</v>
      </c>
      <c r="Z386" s="547">
        <f>IFERROR(IF(Z383="",0,Z383),"0")+IFERROR(IF(Z384="",0,Z384),"0")+IFERROR(IF(Z385="",0,Z385),"0")</f>
        <v>1.06288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503</v>
      </c>
      <c r="Y387" s="547">
        <f>IFERROR(SUM(Y383:Y385),"0")</f>
        <v>504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118</v>
      </c>
      <c r="Y427" s="546">
        <f t="shared" ref="Y427:Y438" si="42">IFERROR(IF(X427="",0,CEILING((X427/$H427),1)*$H427),"")</f>
        <v>121.44000000000001</v>
      </c>
      <c r="Z427" s="36">
        <f t="shared" ref="Z427:Z433" si="43">IFERROR(IF(Y427=0,"",ROUNDUP(Y427/H427,0)*0.01196),"")</f>
        <v>0.27507999999999999</v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125.8219696969697</v>
      </c>
      <c r="BN427" s="64">
        <f t="shared" ref="BN427:BN438" si="45">IFERROR(Y427*I427/H427,"0")</f>
        <v>129.49</v>
      </c>
      <c r="BO427" s="64">
        <f t="shared" ref="BO427:BO438" si="46">IFERROR(1/J427*(X427/H427),"0")</f>
        <v>0.21488927738927741</v>
      </c>
      <c r="BP427" s="64">
        <f t="shared" ref="BP427:BP438" si="47">IFERROR(1/J427*(Y427/H427),"0")</f>
        <v>0.22115384615384617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275</v>
      </c>
      <c r="Y431" s="546">
        <f t="shared" si="42"/>
        <v>279.84000000000003</v>
      </c>
      <c r="Z431" s="36">
        <f t="shared" si="43"/>
        <v>0.63388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293.22916666666663</v>
      </c>
      <c r="BN431" s="64">
        <f t="shared" si="45"/>
        <v>298.39000000000004</v>
      </c>
      <c r="BO431" s="64">
        <f t="shared" si="46"/>
        <v>0.50080128205128205</v>
      </c>
      <c r="BP431" s="64">
        <f t="shared" si="47"/>
        <v>0.50961538461538469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86</v>
      </c>
      <c r="Y435" s="546">
        <f t="shared" si="42"/>
        <v>86.399999999999991</v>
      </c>
      <c r="Z435" s="36">
        <f>IFERROR(IF(Y435=0,"",ROUNDUP(Y435/H435,0)*0.00902),"")</f>
        <v>0.16236</v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123.80416666666667</v>
      </c>
      <c r="BN435" s="64">
        <f t="shared" si="45"/>
        <v>124.38000000000001</v>
      </c>
      <c r="BO435" s="64">
        <f t="shared" si="46"/>
        <v>0.13573232323232323</v>
      </c>
      <c r="BP435" s="64">
        <f t="shared" si="47"/>
        <v>0.13636363636363635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92.348484848484844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94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1.0713200000000001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479</v>
      </c>
      <c r="Y440" s="547">
        <f>IFERROR(SUM(Y427:Y438),"0")</f>
        <v>487.68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569</v>
      </c>
      <c r="Y442" s="546">
        <f>IFERROR(IF(X442="",0,CEILING((X442/$H442),1)*$H442),"")</f>
        <v>570.24</v>
      </c>
      <c r="Z442" s="36">
        <f>IFERROR(IF(Y442=0,"",ROUNDUP(Y442/H442,0)*0.01196),"")</f>
        <v>1.2916799999999999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606.717803030303</v>
      </c>
      <c r="BN442" s="64">
        <f>IFERROR(Y442*I442/H442,"0")</f>
        <v>608.04</v>
      </c>
      <c r="BO442" s="64">
        <f>IFERROR(1/J442*(X442/H442),"0")</f>
        <v>1.0362033799533801</v>
      </c>
      <c r="BP442" s="64">
        <f>IFERROR(1/J442*(Y442/H442),"0")</f>
        <v>1.0384615384615385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114</v>
      </c>
      <c r="Y444" s="546">
        <f>IFERROR(IF(X444="",0,CEILING((X444/$H444),1)*$H444),"")</f>
        <v>115.19999999999999</v>
      </c>
      <c r="Z444" s="36">
        <f>IFERROR(IF(Y444=0,"",ROUNDUP(Y444/H444,0)*0.00902),"")</f>
        <v>0.21648000000000001</v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164.11250000000001</v>
      </c>
      <c r="BN444" s="64">
        <f>IFERROR(Y444*I444/H444,"0")</f>
        <v>165.84</v>
      </c>
      <c r="BO444" s="64">
        <f>IFERROR(1/J444*(X444/H444),"0")</f>
        <v>0.17992424242424243</v>
      </c>
      <c r="BP444" s="64">
        <f>IFERROR(1/J444*(Y444/H444),"0")</f>
        <v>0.18181818181818182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131.5151515151515</v>
      </c>
      <c r="Y445" s="547">
        <f>IFERROR(Y442/H442,"0")+IFERROR(Y443/H443,"0")+IFERROR(Y444/H444,"0")</f>
        <v>132</v>
      </c>
      <c r="Z445" s="547">
        <f>IFERROR(IF(Z442="",0,Z442),"0")+IFERROR(IF(Z443="",0,Z443),"0")+IFERROR(IF(Z444="",0,Z444),"0")</f>
        <v>1.5081599999999999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683</v>
      </c>
      <c r="Y446" s="547">
        <f>IFERROR(SUM(Y442:Y444),"0")</f>
        <v>685.44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hidden="1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272</v>
      </c>
      <c r="Y449" s="546">
        <f t="shared" si="48"/>
        <v>274.56</v>
      </c>
      <c r="Z449" s="36">
        <f>IFERROR(IF(Y449=0,"",ROUNDUP(Y449/H449,0)*0.01196),"")</f>
        <v>0.62192000000000003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290.030303030303</v>
      </c>
      <c r="BN449" s="64">
        <f t="shared" si="50"/>
        <v>292.76</v>
      </c>
      <c r="BO449" s="64">
        <f t="shared" si="51"/>
        <v>0.49533799533799538</v>
      </c>
      <c r="BP449" s="64">
        <f t="shared" si="52"/>
        <v>0.5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653</v>
      </c>
      <c r="Y450" s="546">
        <f t="shared" si="48"/>
        <v>654.72</v>
      </c>
      <c r="Z450" s="36">
        <f>IFERROR(IF(Y450=0,"",ROUNDUP(Y450/H450,0)*0.01196),"")</f>
        <v>1.4830399999999999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696.28598484848476</v>
      </c>
      <c r="BN450" s="64">
        <f t="shared" si="50"/>
        <v>698.12</v>
      </c>
      <c r="BO450" s="64">
        <f t="shared" si="51"/>
        <v>1.189175407925408</v>
      </c>
      <c r="BP450" s="64">
        <f t="shared" si="52"/>
        <v>1.1923076923076923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175.18939393939394</v>
      </c>
      <c r="Y454" s="547">
        <f>IFERROR(Y448/H448,"0")+IFERROR(Y449/H449,"0")+IFERROR(Y450/H450,"0")+IFERROR(Y451/H451,"0")+IFERROR(Y452/H452,"0")+IFERROR(Y453/H453,"0")</f>
        <v>176</v>
      </c>
      <c r="Z454" s="547">
        <f>IFERROR(IF(Z448="",0,Z448),"0")+IFERROR(IF(Z449="",0,Z449),"0")+IFERROR(IF(Z450="",0,Z450),"0")+IFERROR(IF(Z451="",0,Z451),"0")+IFERROR(IF(Z452="",0,Z452),"0")+IFERROR(IF(Z453="",0,Z453),"0")</f>
        <v>2.1049600000000002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925</v>
      </c>
      <c r="Y455" s="547">
        <f>IFERROR(SUM(Y448:Y453),"0")</f>
        <v>929.28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7757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7906.56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8256.5403547182923</v>
      </c>
      <c r="Y489" s="547">
        <f>IFERROR(SUM(BN22:BN485),"0")</f>
        <v>8414.3540000000012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14</v>
      </c>
      <c r="Y490" s="38">
        <f>ROUNDUP(SUM(BP22:BP485),0)</f>
        <v>14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8606.5403547182923</v>
      </c>
      <c r="Y491" s="547">
        <f>GrossWeightTotalR+PalletQtyTotalR*25</f>
        <v>8764.3540000000012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1346.7048281008051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1371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15.91962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190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486.00000000000006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539.20000000000005</v>
      </c>
      <c r="E498" s="46">
        <f>IFERROR(Y84*1,"0")+IFERROR(Y85*1,"0")+IFERROR(Y86*1,"0")+IFERROR(Y87*1,"0")+IFERROR(Y91*1,"0")+IFERROR(Y92*1,"0")+IFERROR(Y93*1,"0")+IFERROR(Y94*1,"0")</f>
        <v>437.4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418.5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233.76000000000002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1237.2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19.25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60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38.849999999999994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1830</v>
      </c>
      <c r="T498" s="46">
        <f>IFERROR(Y373*1,"0")+IFERROR(Y374*1,"0")+IFERROR(Y378*1,"0")+IFERROR(Y379*1,"0")+IFERROR(Y383*1,"0")+IFERROR(Y384*1,"0")+IFERROR(Y385*1,"0")</f>
        <v>504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2102.4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fnz0DG5DRnjJHhCnQRq2YTTa9uvGcHaAiAay2SESnKKo4UuJQRxCkWI9o2YNV+q3J90/sJ4nTcs8+MmCxx0OYw==" saltValue="c1Vg350yDZ4Cj/oCuRd2x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4"/>
        <filter val="0,79"/>
        <filter val="1 331,00"/>
        <filter val="1 346,70"/>
        <filter val="1,00"/>
        <filter val="101,11"/>
        <filter val="11,00"/>
        <filter val="11,33"/>
        <filter val="114,00"/>
        <filter val="118,00"/>
        <filter val="12,04"/>
        <filter val="130,00"/>
        <filter val="131,52"/>
        <filter val="14"/>
        <filter val="146,00"/>
        <filter val="17,00"/>
        <filter val="175,19"/>
        <filter val="18,00"/>
        <filter val="2,00"/>
        <filter val="201,00"/>
        <filter val="209,00"/>
        <filter val="221,00"/>
        <filter val="23,75"/>
        <filter val="244,00"/>
        <filter val="25,00"/>
        <filter val="255,00"/>
        <filter val="261,57"/>
        <filter val="27,00"/>
        <filter val="271,00"/>
        <filter val="272,00"/>
        <filter val="275,00"/>
        <filter val="287,00"/>
        <filter val="30,00"/>
        <filter val="30,33"/>
        <filter val="30,50"/>
        <filter val="331,00"/>
        <filter val="35,56"/>
        <filter val="350,00"/>
        <filter val="355,00"/>
        <filter val="358,00"/>
        <filter val="384,00"/>
        <filter val="4,00"/>
        <filter val="4,76"/>
        <filter val="41,00"/>
        <filter val="438,00"/>
        <filter val="44,00"/>
        <filter val="44,54"/>
        <filter val="455,00"/>
        <filter val="479,00"/>
        <filter val="481,00"/>
        <filter val="49,00"/>
        <filter val="5,00"/>
        <filter val="5,06"/>
        <filter val="5,25"/>
        <filter val="5,50"/>
        <filter val="503,00"/>
        <filter val="51,00"/>
        <filter val="543,00"/>
        <filter val="55,89"/>
        <filter val="569,00"/>
        <filter val="57,00"/>
        <filter val="59,00"/>
        <filter val="6,00"/>
        <filter val="6,67"/>
        <filter val="60,00"/>
        <filter val="653,00"/>
        <filter val="66,00"/>
        <filter val="683,00"/>
        <filter val="7 757,00"/>
        <filter val="7,56"/>
        <filter val="79,00"/>
        <filter val="8 256,54"/>
        <filter val="8 606,54"/>
        <filter val="8,00"/>
        <filter val="82,00"/>
        <filter val="86,00"/>
        <filter val="88,73"/>
        <filter val="887,00"/>
        <filter val="9,00"/>
        <filter val="90,93"/>
        <filter val="92,35"/>
        <filter val="925,00"/>
        <filter val="95,43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1 X167 X169 X176 X194 X203:X208 X210 X214:X217 X219:X222 X239 X261 X263 X279:X280 X305 X313 X321 X328:X329 X341:X342 X348:X350 X358 X373 X378 X383:X384 X393 X427 X430:X431 X433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nRcQEMPvMMmv2SF8IJ/JgXk+B1RH85izkwPFln9byq4yteWfcc6RwY+XBRJyrm2yQPtRJm/89Z1REextb5Prdg==" saltValue="PKk/GTZvaZqeR9LB7x0h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