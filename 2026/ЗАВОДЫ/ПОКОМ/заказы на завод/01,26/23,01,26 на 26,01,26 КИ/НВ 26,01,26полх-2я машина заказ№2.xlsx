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D3E35E5-AC3A-4AD1-884A-3BFDA888C47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BP480" i="1" s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Y469" i="1" s="1"/>
  <c r="P466" i="1"/>
  <c r="X464" i="1"/>
  <c r="X463" i="1"/>
  <c r="BO462" i="1"/>
  <c r="BM462" i="1"/>
  <c r="Y462" i="1"/>
  <c r="BP462" i="1" s="1"/>
  <c r="P462" i="1"/>
  <c r="BO461" i="1"/>
  <c r="BM461" i="1"/>
  <c r="Y461" i="1"/>
  <c r="P461" i="1"/>
  <c r="BO460" i="1"/>
  <c r="BM460" i="1"/>
  <c r="Y460" i="1"/>
  <c r="BP460" i="1" s="1"/>
  <c r="P460" i="1"/>
  <c r="BP459" i="1"/>
  <c r="BO459" i="1"/>
  <c r="BN459" i="1"/>
  <c r="BM459" i="1"/>
  <c r="Z459" i="1"/>
  <c r="Y459" i="1"/>
  <c r="P459" i="1"/>
  <c r="X455" i="1"/>
  <c r="X454" i="1"/>
  <c r="BO453" i="1"/>
  <c r="BM453" i="1"/>
  <c r="Y453" i="1"/>
  <c r="P453" i="1"/>
  <c r="BO452" i="1"/>
  <c r="BM452" i="1"/>
  <c r="Y452" i="1"/>
  <c r="BP452" i="1" s="1"/>
  <c r="P452" i="1"/>
  <c r="BO451" i="1"/>
  <c r="BM451" i="1"/>
  <c r="Y451" i="1"/>
  <c r="P451" i="1"/>
  <c r="BO450" i="1"/>
  <c r="BM450" i="1"/>
  <c r="Y450" i="1"/>
  <c r="BP450" i="1" s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BP444" i="1" s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BP438" i="1" s="1"/>
  <c r="P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BO434" i="1"/>
  <c r="BM434" i="1"/>
  <c r="Y434" i="1"/>
  <c r="BP434" i="1" s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BP404" i="1" s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BP398" i="1" s="1"/>
  <c r="P398" i="1"/>
  <c r="BO397" i="1"/>
  <c r="BM397" i="1"/>
  <c r="Y397" i="1"/>
  <c r="P397" i="1"/>
  <c r="BO396" i="1"/>
  <c r="BM396" i="1"/>
  <c r="Y396" i="1"/>
  <c r="BP396" i="1" s="1"/>
  <c r="P396" i="1"/>
  <c r="BP395" i="1"/>
  <c r="BO395" i="1"/>
  <c r="BN395" i="1"/>
  <c r="BM395" i="1"/>
  <c r="Z395" i="1"/>
  <c r="Y395" i="1"/>
  <c r="P395" i="1"/>
  <c r="BO394" i="1"/>
  <c r="BM394" i="1"/>
  <c r="Y394" i="1"/>
  <c r="BP394" i="1" s="1"/>
  <c r="P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BP384" i="1" s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Y381" i="1" s="1"/>
  <c r="P378" i="1"/>
  <c r="X376" i="1"/>
  <c r="X375" i="1"/>
  <c r="BO374" i="1"/>
  <c r="BM374" i="1"/>
  <c r="Y374" i="1"/>
  <c r="BP374" i="1" s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6" i="1" s="1"/>
  <c r="P363" i="1"/>
  <c r="X361" i="1"/>
  <c r="X360" i="1"/>
  <c r="BO359" i="1"/>
  <c r="BM359" i="1"/>
  <c r="Y359" i="1"/>
  <c r="BP359" i="1" s="1"/>
  <c r="P359" i="1"/>
  <c r="BP358" i="1"/>
  <c r="BO358" i="1"/>
  <c r="BN358" i="1"/>
  <c r="BM358" i="1"/>
  <c r="Z358" i="1"/>
  <c r="Y358" i="1"/>
  <c r="P358" i="1"/>
  <c r="X356" i="1"/>
  <c r="X355" i="1"/>
  <c r="BO354" i="1"/>
  <c r="BM354" i="1"/>
  <c r="Y354" i="1"/>
  <c r="BP354" i="1" s="1"/>
  <c r="P354" i="1"/>
  <c r="BO353" i="1"/>
  <c r="BM353" i="1"/>
  <c r="Y353" i="1"/>
  <c r="BP353" i="1" s="1"/>
  <c r="P353" i="1"/>
  <c r="BO352" i="1"/>
  <c r="BM352" i="1"/>
  <c r="Y352" i="1"/>
  <c r="P352" i="1"/>
  <c r="BO351" i="1"/>
  <c r="BM351" i="1"/>
  <c r="Y351" i="1"/>
  <c r="BP351" i="1" s="1"/>
  <c r="P351" i="1"/>
  <c r="BO350" i="1"/>
  <c r="BM350" i="1"/>
  <c r="Y350" i="1"/>
  <c r="P350" i="1"/>
  <c r="BO349" i="1"/>
  <c r="BM349" i="1"/>
  <c r="Y349" i="1"/>
  <c r="BP349" i="1" s="1"/>
  <c r="P349" i="1"/>
  <c r="BO348" i="1"/>
  <c r="BM348" i="1"/>
  <c r="Y348" i="1"/>
  <c r="P348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BP335" i="1" s="1"/>
  <c r="P335" i="1"/>
  <c r="BO334" i="1"/>
  <c r="BM334" i="1"/>
  <c r="Y334" i="1"/>
  <c r="BP334" i="1" s="1"/>
  <c r="P334" i="1"/>
  <c r="BO333" i="1"/>
  <c r="BM333" i="1"/>
  <c r="Y333" i="1"/>
  <c r="Z333" i="1" s="1"/>
  <c r="P333" i="1"/>
  <c r="X331" i="1"/>
  <c r="X330" i="1"/>
  <c r="BO329" i="1"/>
  <c r="BM329" i="1"/>
  <c r="Y329" i="1"/>
  <c r="BP329" i="1" s="1"/>
  <c r="P329" i="1"/>
  <c r="BO328" i="1"/>
  <c r="BM328" i="1"/>
  <c r="Y328" i="1"/>
  <c r="BP328" i="1" s="1"/>
  <c r="P328" i="1"/>
  <c r="BO327" i="1"/>
  <c r="BM327" i="1"/>
  <c r="Y327" i="1"/>
  <c r="BP327" i="1" s="1"/>
  <c r="P327" i="1"/>
  <c r="BO326" i="1"/>
  <c r="BM326" i="1"/>
  <c r="Y326" i="1"/>
  <c r="Y331" i="1" s="1"/>
  <c r="P326" i="1"/>
  <c r="X324" i="1"/>
  <c r="X323" i="1"/>
  <c r="BO322" i="1"/>
  <c r="BM322" i="1"/>
  <c r="Y322" i="1"/>
  <c r="P322" i="1"/>
  <c r="BO321" i="1"/>
  <c r="BM321" i="1"/>
  <c r="Y321" i="1"/>
  <c r="Y323" i="1" s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BP297" i="1" s="1"/>
  <c r="P297" i="1"/>
  <c r="BP296" i="1"/>
  <c r="BO296" i="1"/>
  <c r="BN296" i="1"/>
  <c r="BM296" i="1"/>
  <c r="Z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Y229" i="1" s="1"/>
  <c r="P226" i="1"/>
  <c r="X224" i="1"/>
  <c r="X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201" i="1"/>
  <c r="X200" i="1"/>
  <c r="BO199" i="1"/>
  <c r="BM199" i="1"/>
  <c r="Y199" i="1"/>
  <c r="P199" i="1"/>
  <c r="BO198" i="1"/>
  <c r="BM198" i="1"/>
  <c r="Y198" i="1"/>
  <c r="Y201" i="1" s="1"/>
  <c r="P198" i="1"/>
  <c r="X196" i="1"/>
  <c r="X195" i="1"/>
  <c r="BO194" i="1"/>
  <c r="BM194" i="1"/>
  <c r="Y194" i="1"/>
  <c r="BP194" i="1" s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Y152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X139" i="1"/>
  <c r="X138" i="1"/>
  <c r="BO137" i="1"/>
  <c r="BM137" i="1"/>
  <c r="Y137" i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Y112" i="1" s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6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60" i="1" l="1"/>
  <c r="BN60" i="1"/>
  <c r="Z60" i="1"/>
  <c r="BP91" i="1"/>
  <c r="BN91" i="1"/>
  <c r="Z91" i="1"/>
  <c r="BP131" i="1"/>
  <c r="BN131" i="1"/>
  <c r="Z131" i="1"/>
  <c r="BP172" i="1"/>
  <c r="BN172" i="1"/>
  <c r="Z172" i="1"/>
  <c r="BP203" i="1"/>
  <c r="BN203" i="1"/>
  <c r="Z203" i="1"/>
  <c r="BP227" i="1"/>
  <c r="BN227" i="1"/>
  <c r="Z227" i="1"/>
  <c r="BP256" i="1"/>
  <c r="BN256" i="1"/>
  <c r="Z256" i="1"/>
  <c r="BP285" i="1"/>
  <c r="BN285" i="1"/>
  <c r="Z285" i="1"/>
  <c r="BP314" i="1"/>
  <c r="BN314" i="1"/>
  <c r="Z314" i="1"/>
  <c r="BP350" i="1"/>
  <c r="BN350" i="1"/>
  <c r="Z350" i="1"/>
  <c r="BP391" i="1"/>
  <c r="BN391" i="1"/>
  <c r="Z391" i="1"/>
  <c r="Y423" i="1"/>
  <c r="Y422" i="1"/>
  <c r="BP421" i="1"/>
  <c r="BN421" i="1"/>
  <c r="Z421" i="1"/>
  <c r="Z422" i="1" s="1"/>
  <c r="BP427" i="1"/>
  <c r="BN427" i="1"/>
  <c r="Z427" i="1"/>
  <c r="BP451" i="1"/>
  <c r="BN451" i="1"/>
  <c r="Z451" i="1"/>
  <c r="B498" i="1"/>
  <c r="X490" i="1"/>
  <c r="Z41" i="1"/>
  <c r="BN41" i="1"/>
  <c r="D498" i="1"/>
  <c r="BP74" i="1"/>
  <c r="BN74" i="1"/>
  <c r="Z74" i="1"/>
  <c r="BP110" i="1"/>
  <c r="BN110" i="1"/>
  <c r="Z110" i="1"/>
  <c r="BP150" i="1"/>
  <c r="BN150" i="1"/>
  <c r="Z150" i="1"/>
  <c r="BP182" i="1"/>
  <c r="BN182" i="1"/>
  <c r="Z182" i="1"/>
  <c r="BP215" i="1"/>
  <c r="BN215" i="1"/>
  <c r="Z215" i="1"/>
  <c r="BP238" i="1"/>
  <c r="BN238" i="1"/>
  <c r="Z238" i="1"/>
  <c r="BP270" i="1"/>
  <c r="BN270" i="1"/>
  <c r="Z270" i="1"/>
  <c r="BP300" i="1"/>
  <c r="BN300" i="1"/>
  <c r="Z300" i="1"/>
  <c r="Y370" i="1"/>
  <c r="Y369" i="1"/>
  <c r="BP368" i="1"/>
  <c r="BN368" i="1"/>
  <c r="Z368" i="1"/>
  <c r="Z369" i="1" s="1"/>
  <c r="BP373" i="1"/>
  <c r="BN373" i="1"/>
  <c r="Z373" i="1"/>
  <c r="BP399" i="1"/>
  <c r="BN399" i="1"/>
  <c r="Z399" i="1"/>
  <c r="BP435" i="1"/>
  <c r="BN435" i="1"/>
  <c r="Z435" i="1"/>
  <c r="BP467" i="1"/>
  <c r="BN467" i="1"/>
  <c r="Z467" i="1"/>
  <c r="Y288" i="1"/>
  <c r="BP102" i="1"/>
  <c r="BN102" i="1"/>
  <c r="Z102" i="1"/>
  <c r="BP127" i="1"/>
  <c r="BN127" i="1"/>
  <c r="Z127" i="1"/>
  <c r="BP148" i="1"/>
  <c r="BN148" i="1"/>
  <c r="Z148" i="1"/>
  <c r="BP170" i="1"/>
  <c r="BN170" i="1"/>
  <c r="Z170" i="1"/>
  <c r="BP178" i="1"/>
  <c r="BN178" i="1"/>
  <c r="Z178" i="1"/>
  <c r="BP199" i="1"/>
  <c r="BN199" i="1"/>
  <c r="Z199" i="1"/>
  <c r="BP209" i="1"/>
  <c r="BN209" i="1"/>
  <c r="Z209" i="1"/>
  <c r="BP221" i="1"/>
  <c r="BN221" i="1"/>
  <c r="Z221" i="1"/>
  <c r="BP236" i="1"/>
  <c r="BN236" i="1"/>
  <c r="Z236" i="1"/>
  <c r="BP254" i="1"/>
  <c r="BN254" i="1"/>
  <c r="Z254" i="1"/>
  <c r="BP265" i="1"/>
  <c r="BN265" i="1"/>
  <c r="Z265" i="1"/>
  <c r="BP280" i="1"/>
  <c r="BN280" i="1"/>
  <c r="Z280" i="1"/>
  <c r="BP298" i="1"/>
  <c r="BN298" i="1"/>
  <c r="Z298" i="1"/>
  <c r="X489" i="1"/>
  <c r="Z23" i="1"/>
  <c r="BN23" i="1"/>
  <c r="X488" i="1"/>
  <c r="Y31" i="1"/>
  <c r="Z29" i="1"/>
  <c r="BN29" i="1"/>
  <c r="C498" i="1"/>
  <c r="Z52" i="1"/>
  <c r="BN52" i="1"/>
  <c r="Z56" i="1"/>
  <c r="BN56" i="1"/>
  <c r="Y64" i="1"/>
  <c r="Z62" i="1"/>
  <c r="BN62" i="1"/>
  <c r="Y68" i="1"/>
  <c r="Z72" i="1"/>
  <c r="BN72" i="1"/>
  <c r="Z78" i="1"/>
  <c r="BN78" i="1"/>
  <c r="BP78" i="1"/>
  <c r="E498" i="1"/>
  <c r="Z87" i="1"/>
  <c r="BN87" i="1"/>
  <c r="Y95" i="1"/>
  <c r="Z93" i="1"/>
  <c r="BN93" i="1"/>
  <c r="F498" i="1"/>
  <c r="Y118" i="1"/>
  <c r="BP114" i="1"/>
  <c r="BN114" i="1"/>
  <c r="Z114" i="1"/>
  <c r="BP137" i="1"/>
  <c r="BN137" i="1"/>
  <c r="Z137" i="1"/>
  <c r="I498" i="1"/>
  <c r="Y180" i="1"/>
  <c r="BP166" i="1"/>
  <c r="BN166" i="1"/>
  <c r="Z166" i="1"/>
  <c r="BP174" i="1"/>
  <c r="BN174" i="1"/>
  <c r="Z174" i="1"/>
  <c r="BP184" i="1"/>
  <c r="BN184" i="1"/>
  <c r="Z184" i="1"/>
  <c r="BP205" i="1"/>
  <c r="BN205" i="1"/>
  <c r="Z205" i="1"/>
  <c r="BP217" i="1"/>
  <c r="BN217" i="1"/>
  <c r="Z217" i="1"/>
  <c r="Y241" i="1"/>
  <c r="BP232" i="1"/>
  <c r="BN232" i="1"/>
  <c r="Z232" i="1"/>
  <c r="BP240" i="1"/>
  <c r="BN240" i="1"/>
  <c r="Z240" i="1"/>
  <c r="BP261" i="1"/>
  <c r="BN261" i="1"/>
  <c r="Z261" i="1"/>
  <c r="BP272" i="1"/>
  <c r="BN272" i="1"/>
  <c r="Z272" i="1"/>
  <c r="BP273" i="1"/>
  <c r="BN273" i="1"/>
  <c r="Z273" i="1"/>
  <c r="BP291" i="1"/>
  <c r="BN291" i="1"/>
  <c r="Z291" i="1"/>
  <c r="Y311" i="1"/>
  <c r="BP304" i="1"/>
  <c r="BN304" i="1"/>
  <c r="Z304" i="1"/>
  <c r="BP316" i="1"/>
  <c r="BN316" i="1"/>
  <c r="Z316" i="1"/>
  <c r="Y343" i="1"/>
  <c r="BP340" i="1"/>
  <c r="BN340" i="1"/>
  <c r="Z340" i="1"/>
  <c r="BP352" i="1"/>
  <c r="BN352" i="1"/>
  <c r="Z352" i="1"/>
  <c r="BP379" i="1"/>
  <c r="BN379" i="1"/>
  <c r="Z379" i="1"/>
  <c r="BP393" i="1"/>
  <c r="BN393" i="1"/>
  <c r="Z393" i="1"/>
  <c r="Y405" i="1"/>
  <c r="BP403" i="1"/>
  <c r="BN403" i="1"/>
  <c r="Z403" i="1"/>
  <c r="BP429" i="1"/>
  <c r="BN429" i="1"/>
  <c r="Z429" i="1"/>
  <c r="BP437" i="1"/>
  <c r="BN437" i="1"/>
  <c r="Z437" i="1"/>
  <c r="BP453" i="1"/>
  <c r="BN453" i="1"/>
  <c r="Z453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Y481" i="1"/>
  <c r="BP479" i="1"/>
  <c r="BN479" i="1"/>
  <c r="Z479" i="1"/>
  <c r="Y119" i="1"/>
  <c r="Y133" i="1"/>
  <c r="Y186" i="1"/>
  <c r="Y211" i="1"/>
  <c r="Y223" i="1"/>
  <c r="Y258" i="1"/>
  <c r="BP308" i="1"/>
  <c r="BN308" i="1"/>
  <c r="Z308" i="1"/>
  <c r="BP322" i="1"/>
  <c r="BN322" i="1"/>
  <c r="Z322" i="1"/>
  <c r="Y355" i="1"/>
  <c r="BP348" i="1"/>
  <c r="BN348" i="1"/>
  <c r="Z348" i="1"/>
  <c r="BP364" i="1"/>
  <c r="BN364" i="1"/>
  <c r="Z364" i="1"/>
  <c r="BP385" i="1"/>
  <c r="BN385" i="1"/>
  <c r="Z385" i="1"/>
  <c r="BP397" i="1"/>
  <c r="BN397" i="1"/>
  <c r="Z397" i="1"/>
  <c r="BP416" i="1"/>
  <c r="BN416" i="1"/>
  <c r="Z416" i="1"/>
  <c r="BP433" i="1"/>
  <c r="BN433" i="1"/>
  <c r="Z433" i="1"/>
  <c r="Y455" i="1"/>
  <c r="BP449" i="1"/>
  <c r="BN449" i="1"/>
  <c r="Z449" i="1"/>
  <c r="BP461" i="1"/>
  <c r="BN461" i="1"/>
  <c r="Z461" i="1"/>
  <c r="Y317" i="1"/>
  <c r="Y324" i="1"/>
  <c r="Y337" i="1"/>
  <c r="Y360" i="1"/>
  <c r="Y376" i="1"/>
  <c r="Y387" i="1"/>
  <c r="Y400" i="1"/>
  <c r="V498" i="1"/>
  <c r="Y418" i="1"/>
  <c r="X498" i="1"/>
  <c r="Y445" i="1"/>
  <c r="Y463" i="1"/>
  <c r="H9" i="1"/>
  <c r="A10" i="1"/>
  <c r="Y24" i="1"/>
  <c r="Y32" i="1"/>
  <c r="Y36" i="1"/>
  <c r="Y44" i="1"/>
  <c r="Y48" i="1"/>
  <c r="Y57" i="1"/>
  <c r="Y63" i="1"/>
  <c r="Y69" i="1"/>
  <c r="Y75" i="1"/>
  <c r="Y81" i="1"/>
  <c r="Y88" i="1"/>
  <c r="Y96" i="1"/>
  <c r="Y105" i="1"/>
  <c r="Z108" i="1"/>
  <c r="BN108" i="1"/>
  <c r="BP109" i="1"/>
  <c r="BN109" i="1"/>
  <c r="Z109" i="1"/>
  <c r="BP117" i="1"/>
  <c r="BN117" i="1"/>
  <c r="Z117" i="1"/>
  <c r="Y122" i="1"/>
  <c r="BP121" i="1"/>
  <c r="BN121" i="1"/>
  <c r="Z121" i="1"/>
  <c r="Z122" i="1" s="1"/>
  <c r="Y123" i="1"/>
  <c r="G498" i="1"/>
  <c r="Y129" i="1"/>
  <c r="BP126" i="1"/>
  <c r="BN126" i="1"/>
  <c r="Z126" i="1"/>
  <c r="Z128" i="1" s="1"/>
  <c r="Y128" i="1"/>
  <c r="F9" i="1"/>
  <c r="J9" i="1"/>
  <c r="Z22" i="1"/>
  <c r="BN22" i="1"/>
  <c r="BP22" i="1"/>
  <c r="X492" i="1"/>
  <c r="Y25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Z63" i="1" s="1"/>
  <c r="BN61" i="1"/>
  <c r="Z67" i="1"/>
  <c r="Z68" i="1" s="1"/>
  <c r="BN67" i="1"/>
  <c r="Z71" i="1"/>
  <c r="BN71" i="1"/>
  <c r="BP71" i="1"/>
  <c r="Z73" i="1"/>
  <c r="BN73" i="1"/>
  <c r="Z79" i="1"/>
  <c r="Z80" i="1" s="1"/>
  <c r="BN79" i="1"/>
  <c r="Z84" i="1"/>
  <c r="BN84" i="1"/>
  <c r="BP84" i="1"/>
  <c r="Z86" i="1"/>
  <c r="BN86" i="1"/>
  <c r="Y89" i="1"/>
  <c r="Z92" i="1"/>
  <c r="BN92" i="1"/>
  <c r="Z94" i="1"/>
  <c r="BN94" i="1"/>
  <c r="Z99" i="1"/>
  <c r="BN99" i="1"/>
  <c r="BP99" i="1"/>
  <c r="Z101" i="1"/>
  <c r="BN101" i="1"/>
  <c r="Z103" i="1"/>
  <c r="BN103" i="1"/>
  <c r="Y104" i="1"/>
  <c r="Z107" i="1"/>
  <c r="BN107" i="1"/>
  <c r="BP107" i="1"/>
  <c r="Y111" i="1"/>
  <c r="BP115" i="1"/>
  <c r="BN115" i="1"/>
  <c r="Z115" i="1"/>
  <c r="Y134" i="1"/>
  <c r="Y138" i="1"/>
  <c r="Y145" i="1"/>
  <c r="Y153" i="1"/>
  <c r="Y157" i="1"/>
  <c r="Y163" i="1"/>
  <c r="Y179" i="1"/>
  <c r="Y185" i="1"/>
  <c r="Y196" i="1"/>
  <c r="Y200" i="1"/>
  <c r="Y212" i="1"/>
  <c r="Y224" i="1"/>
  <c r="Y228" i="1"/>
  <c r="Y257" i="1"/>
  <c r="Y266" i="1"/>
  <c r="Y274" i="1"/>
  <c r="Y281" i="1"/>
  <c r="BP279" i="1"/>
  <c r="BN279" i="1"/>
  <c r="Z279" i="1"/>
  <c r="Z281" i="1" s="1"/>
  <c r="Z132" i="1"/>
  <c r="Z133" i="1" s="1"/>
  <c r="BN132" i="1"/>
  <c r="Z136" i="1"/>
  <c r="BN136" i="1"/>
  <c r="BP136" i="1"/>
  <c r="H498" i="1"/>
  <c r="Z143" i="1"/>
  <c r="Z144" i="1" s="1"/>
  <c r="BN143" i="1"/>
  <c r="Y144" i="1"/>
  <c r="Z147" i="1"/>
  <c r="BN147" i="1"/>
  <c r="BP147" i="1"/>
  <c r="Z149" i="1"/>
  <c r="BN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5" i="1"/>
  <c r="BN165" i="1"/>
  <c r="BP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Z183" i="1"/>
  <c r="Z185" i="1" s="1"/>
  <c r="BN183" i="1"/>
  <c r="J498" i="1"/>
  <c r="Z194" i="1"/>
  <c r="Z195" i="1" s="1"/>
  <c r="BN194" i="1"/>
  <c r="Y195" i="1"/>
  <c r="Z198" i="1"/>
  <c r="BN198" i="1"/>
  <c r="BP198" i="1"/>
  <c r="Z204" i="1"/>
  <c r="BN204" i="1"/>
  <c r="Z206" i="1"/>
  <c r="BN206" i="1"/>
  <c r="Z208" i="1"/>
  <c r="BN208" i="1"/>
  <c r="Z210" i="1"/>
  <c r="BN210" i="1"/>
  <c r="Z214" i="1"/>
  <c r="BN214" i="1"/>
  <c r="BP214" i="1"/>
  <c r="Z216" i="1"/>
  <c r="BN216" i="1"/>
  <c r="Z218" i="1"/>
  <c r="BN218" i="1"/>
  <c r="Z220" i="1"/>
  <c r="BN220" i="1"/>
  <c r="Z222" i="1"/>
  <c r="BN222" i="1"/>
  <c r="Z226" i="1"/>
  <c r="Z228" i="1" s="1"/>
  <c r="BN226" i="1"/>
  <c r="BP226" i="1"/>
  <c r="K498" i="1"/>
  <c r="Z233" i="1"/>
  <c r="BN233" i="1"/>
  <c r="Z235" i="1"/>
  <c r="BN235" i="1"/>
  <c r="Z237" i="1"/>
  <c r="BN237" i="1"/>
  <c r="Z239" i="1"/>
  <c r="BN239" i="1"/>
  <c r="Y242" i="1"/>
  <c r="Z253" i="1"/>
  <c r="BN253" i="1"/>
  <c r="Z255" i="1"/>
  <c r="BN255" i="1"/>
  <c r="L498" i="1"/>
  <c r="Z262" i="1"/>
  <c r="BN262" i="1"/>
  <c r="Z264" i="1"/>
  <c r="BN264" i="1"/>
  <c r="Y267" i="1"/>
  <c r="M498" i="1"/>
  <c r="Y275" i="1"/>
  <c r="Z271" i="1"/>
  <c r="BN271" i="1"/>
  <c r="O498" i="1"/>
  <c r="Y282" i="1"/>
  <c r="P498" i="1"/>
  <c r="Z286" i="1"/>
  <c r="Z287" i="1" s="1"/>
  <c r="BN286" i="1"/>
  <c r="BP286" i="1"/>
  <c r="Y287" i="1"/>
  <c r="Z290" i="1"/>
  <c r="BN290" i="1"/>
  <c r="BP290" i="1"/>
  <c r="Y293" i="1"/>
  <c r="Q498" i="1"/>
  <c r="Z297" i="1"/>
  <c r="BN297" i="1"/>
  <c r="Z299" i="1"/>
  <c r="BN299" i="1"/>
  <c r="Y302" i="1"/>
  <c r="Z305" i="1"/>
  <c r="BN305" i="1"/>
  <c r="Z307" i="1"/>
  <c r="BN307" i="1"/>
  <c r="Z309" i="1"/>
  <c r="BN309" i="1"/>
  <c r="Y310" i="1"/>
  <c r="Z313" i="1"/>
  <c r="BN313" i="1"/>
  <c r="BP313" i="1"/>
  <c r="Z315" i="1"/>
  <c r="BN315" i="1"/>
  <c r="Y318" i="1"/>
  <c r="Z321" i="1"/>
  <c r="BN321" i="1"/>
  <c r="BP321" i="1"/>
  <c r="Z327" i="1"/>
  <c r="BN327" i="1"/>
  <c r="Z329" i="1"/>
  <c r="BN329" i="1"/>
  <c r="Y330" i="1"/>
  <c r="BN333" i="1"/>
  <c r="BP333" i="1"/>
  <c r="Z335" i="1"/>
  <c r="BN335" i="1"/>
  <c r="Y336" i="1"/>
  <c r="Z354" i="1"/>
  <c r="BN354" i="1"/>
  <c r="Y361" i="1"/>
  <c r="Y365" i="1"/>
  <c r="Y380" i="1"/>
  <c r="Y386" i="1"/>
  <c r="Y406" i="1"/>
  <c r="Y411" i="1"/>
  <c r="BP415" i="1"/>
  <c r="BN415" i="1"/>
  <c r="Y417" i="1"/>
  <c r="BP428" i="1"/>
  <c r="BN428" i="1"/>
  <c r="Z428" i="1"/>
  <c r="BP432" i="1"/>
  <c r="BN432" i="1"/>
  <c r="Z432" i="1"/>
  <c r="Y301" i="1"/>
  <c r="Z326" i="1"/>
  <c r="BN326" i="1"/>
  <c r="BP326" i="1"/>
  <c r="Z328" i="1"/>
  <c r="BN328" i="1"/>
  <c r="Z334" i="1"/>
  <c r="Z336" i="1" s="1"/>
  <c r="BN334" i="1"/>
  <c r="R498" i="1"/>
  <c r="Z341" i="1"/>
  <c r="Z343" i="1" s="1"/>
  <c r="BN341" i="1"/>
  <c r="Y344" i="1"/>
  <c r="S498" i="1"/>
  <c r="Z349" i="1"/>
  <c r="BN349" i="1"/>
  <c r="Z351" i="1"/>
  <c r="BN351" i="1"/>
  <c r="Z353" i="1"/>
  <c r="BN353" i="1"/>
  <c r="Y356" i="1"/>
  <c r="Z359" i="1"/>
  <c r="Z360" i="1" s="1"/>
  <c r="BN359" i="1"/>
  <c r="Z363" i="1"/>
  <c r="Z365" i="1" s="1"/>
  <c r="BN363" i="1"/>
  <c r="BP363" i="1"/>
  <c r="T498" i="1"/>
  <c r="Z374" i="1"/>
  <c r="Z375" i="1" s="1"/>
  <c r="BN374" i="1"/>
  <c r="Y375" i="1"/>
  <c r="Z378" i="1"/>
  <c r="Z380" i="1" s="1"/>
  <c r="BN378" i="1"/>
  <c r="BP378" i="1"/>
  <c r="Z384" i="1"/>
  <c r="BN384" i="1"/>
  <c r="U498" i="1"/>
  <c r="Z392" i="1"/>
  <c r="BN392" i="1"/>
  <c r="Z394" i="1"/>
  <c r="BN394" i="1"/>
  <c r="Z396" i="1"/>
  <c r="BN396" i="1"/>
  <c r="Z398" i="1"/>
  <c r="BN398" i="1"/>
  <c r="Y401" i="1"/>
  <c r="Z404" i="1"/>
  <c r="Z405" i="1" s="1"/>
  <c r="BN404" i="1"/>
  <c r="Z409" i="1"/>
  <c r="Z410" i="1" s="1"/>
  <c r="BN409" i="1"/>
  <c r="BP409" i="1"/>
  <c r="Y410" i="1"/>
  <c r="Z413" i="1"/>
  <c r="BN413" i="1"/>
  <c r="BP413" i="1"/>
  <c r="Z415" i="1"/>
  <c r="BP430" i="1"/>
  <c r="BN430" i="1"/>
  <c r="Z430" i="1"/>
  <c r="Y440" i="1"/>
  <c r="Y446" i="1"/>
  <c r="Y454" i="1"/>
  <c r="Y464" i="1"/>
  <c r="Y468" i="1"/>
  <c r="Y482" i="1"/>
  <c r="Y487" i="1"/>
  <c r="W498" i="1"/>
  <c r="Y498" i="1"/>
  <c r="Z434" i="1"/>
  <c r="BN434" i="1"/>
  <c r="Z436" i="1"/>
  <c r="BN436" i="1"/>
  <c r="Z438" i="1"/>
  <c r="BN438" i="1"/>
  <c r="Y439" i="1"/>
  <c r="Z442" i="1"/>
  <c r="BN442" i="1"/>
  <c r="BP442" i="1"/>
  <c r="Z444" i="1"/>
  <c r="BN444" i="1"/>
  <c r="Z448" i="1"/>
  <c r="BN448" i="1"/>
  <c r="BP448" i="1"/>
  <c r="Z450" i="1"/>
  <c r="BN450" i="1"/>
  <c r="Z452" i="1"/>
  <c r="BN452" i="1"/>
  <c r="Z460" i="1"/>
  <c r="BN460" i="1"/>
  <c r="Z462" i="1"/>
  <c r="BN462" i="1"/>
  <c r="Z466" i="1"/>
  <c r="Z468" i="1" s="1"/>
  <c r="BN466" i="1"/>
  <c r="BP466" i="1"/>
  <c r="Z480" i="1"/>
  <c r="BN480" i="1"/>
  <c r="Z485" i="1"/>
  <c r="Z486" i="1" s="1"/>
  <c r="BN485" i="1"/>
  <c r="BP485" i="1"/>
  <c r="Y486" i="1"/>
  <c r="Z481" i="1" l="1"/>
  <c r="Z454" i="1"/>
  <c r="Z386" i="1"/>
  <c r="Z323" i="1"/>
  <c r="Z274" i="1"/>
  <c r="Z118" i="1"/>
  <c r="Z111" i="1"/>
  <c r="Z24" i="1"/>
  <c r="X491" i="1"/>
  <c r="Z439" i="1"/>
  <c r="Z301" i="1"/>
  <c r="Z257" i="1"/>
  <c r="Z211" i="1"/>
  <c r="Z95" i="1"/>
  <c r="Z463" i="1"/>
  <c r="Z400" i="1"/>
  <c r="Z355" i="1"/>
  <c r="Z330" i="1"/>
  <c r="Z310" i="1"/>
  <c r="Z292" i="1"/>
  <c r="Z266" i="1"/>
  <c r="Z241" i="1"/>
  <c r="Z200" i="1"/>
  <c r="Z138" i="1"/>
  <c r="Z75" i="1"/>
  <c r="Z57" i="1"/>
  <c r="Z31" i="1"/>
  <c r="Z493" i="1" s="1"/>
  <c r="Y489" i="1"/>
  <c r="Z445" i="1"/>
  <c r="Z417" i="1"/>
  <c r="Z317" i="1"/>
  <c r="Z223" i="1"/>
  <c r="Z179" i="1"/>
  <c r="Z152" i="1"/>
  <c r="Z104" i="1"/>
  <c r="Z88" i="1"/>
  <c r="Z43" i="1"/>
  <c r="Y488" i="1"/>
  <c r="Y490" i="1"/>
  <c r="Y492" i="1"/>
  <c r="Y491" i="1" l="1"/>
</calcChain>
</file>

<file path=xl/sharedStrings.xml><?xml version="1.0" encoding="utf-8"?>
<sst xmlns="http://schemas.openxmlformats.org/spreadsheetml/2006/main" count="2320" uniqueCount="768">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</sst>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Z15" sqref="Z15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46048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0.41666666666666669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0</v>
      </c>
      <c r="Y43" s="547">
        <f>IFERROR(Y40/H40,"0")+IFERROR(Y41/H41,"0")+IFERROR(Y42/H42,"0")</f>
        <v>0</v>
      </c>
      <c r="Z43" s="547">
        <f>IFERROR(IF(Z40="",0,Z40),"0")+IFERROR(IF(Z41="",0,Z41),"0")+IFERROR(IF(Z42="",0,Z42),"0")</f>
        <v>0</v>
      </c>
      <c r="AA43" s="548"/>
      <c r="AB43" s="548"/>
      <c r="AC43" s="548"/>
    </row>
    <row r="44" spans="1:68" hidden="1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0</v>
      </c>
      <c r="Y44" s="547">
        <f>IFERROR(SUM(Y40:Y42),"0")</f>
        <v>0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250</v>
      </c>
      <c r="Y52" s="546">
        <f t="shared" si="0"/>
        <v>259.20000000000005</v>
      </c>
      <c r="Z52" s="36">
        <f>IFERROR(IF(Y52=0,"",ROUNDUP(Y52/H52,0)*0.01898),"")</f>
        <v>0.45552000000000004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259.4907407407407</v>
      </c>
      <c r="BN52" s="64">
        <f t="shared" si="2"/>
        <v>269.04000000000002</v>
      </c>
      <c r="BO52" s="64">
        <f t="shared" si="3"/>
        <v>0.36168981481481477</v>
      </c>
      <c r="BP52" s="64">
        <f t="shared" si="4"/>
        <v>0.37500000000000006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23.148148148148145</v>
      </c>
      <c r="Y57" s="547">
        <f>IFERROR(Y51/H51,"0")+IFERROR(Y52/H52,"0")+IFERROR(Y53/H53,"0")+IFERROR(Y54/H54,"0")+IFERROR(Y55/H55,"0")+IFERROR(Y56/H56,"0")</f>
        <v>24.000000000000004</v>
      </c>
      <c r="Z57" s="547">
        <f>IFERROR(IF(Z51="",0,Z51),"0")+IFERROR(IF(Z52="",0,Z52),"0")+IFERROR(IF(Z53="",0,Z53),"0")+IFERROR(IF(Z54="",0,Z54),"0")+IFERROR(IF(Z55="",0,Z55),"0")+IFERROR(IF(Z56="",0,Z56),"0")</f>
        <v>0.45552000000000004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250</v>
      </c>
      <c r="Y58" s="547">
        <f>IFERROR(SUM(Y51:Y56),"0")</f>
        <v>259.20000000000005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80</v>
      </c>
      <c r="Y60" s="546">
        <f>IFERROR(IF(X60="",0,CEILING((X60/$H60),1)*$H60),"")</f>
        <v>86.4</v>
      </c>
      <c r="Z60" s="36">
        <f>IFERROR(IF(Y60=0,"",ROUNDUP(Y60/H60,0)*0.01898),"")</f>
        <v>0.15184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83.037037037037038</v>
      </c>
      <c r="BN60" s="64">
        <f>IFERROR(Y60*I60/H60,"0")</f>
        <v>89.68</v>
      </c>
      <c r="BO60" s="64">
        <f>IFERROR(1/J60*(X60/H60),"0")</f>
        <v>0.11574074074074073</v>
      </c>
      <c r="BP60" s="64">
        <f>IFERROR(1/J60*(Y60/H60),"0")</f>
        <v>0.125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7.4074074074074066</v>
      </c>
      <c r="Y63" s="547">
        <f>IFERROR(Y60/H60,"0")+IFERROR(Y61/H61,"0")+IFERROR(Y62/H62,"0")</f>
        <v>8</v>
      </c>
      <c r="Z63" s="547">
        <f>IFERROR(IF(Z60="",0,Z60),"0")+IFERROR(IF(Z61="",0,Z61),"0")+IFERROR(IF(Z62="",0,Z62),"0")</f>
        <v>0.15184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80</v>
      </c>
      <c r="Y64" s="547">
        <f>IFERROR(SUM(Y60:Y62),"0")</f>
        <v>86.4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hidden="1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hidden="1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0</v>
      </c>
      <c r="Y88" s="547">
        <f>IFERROR(Y84/H84,"0")+IFERROR(Y85/H85,"0")+IFERROR(Y86/H86,"0")+IFERROR(Y87/H87,"0")</f>
        <v>0</v>
      </c>
      <c r="Z88" s="547">
        <f>IFERROR(IF(Z84="",0,Z84),"0")+IFERROR(IF(Z85="",0,Z85),"0")+IFERROR(IF(Z86="",0,Z86),"0")+IFERROR(IF(Z87="",0,Z87),"0")</f>
        <v>0</v>
      </c>
      <c r="AA88" s="548"/>
      <c r="AB88" s="548"/>
      <c r="AC88" s="548"/>
    </row>
    <row r="89" spans="1:68" hidden="1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0</v>
      </c>
      <c r="Y89" s="547">
        <f>IFERROR(SUM(Y84:Y87),"0")</f>
        <v>0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400</v>
      </c>
      <c r="Y91" s="546">
        <f>IFERROR(IF(X91="",0,CEILING((X91/$H91),1)*$H91),"")</f>
        <v>405</v>
      </c>
      <c r="Z91" s="36">
        <f>IFERROR(IF(Y91=0,"",ROUNDUP(Y91/H91,0)*0.01898),"")</f>
        <v>0.94900000000000007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424.39506172839509</v>
      </c>
      <c r="BN91" s="64">
        <f>IFERROR(Y91*I91/H91,"0")</f>
        <v>429.7</v>
      </c>
      <c r="BO91" s="64">
        <f>IFERROR(1/J91*(X91/H91),"0")</f>
        <v>0.77160493827160492</v>
      </c>
      <c r="BP91" s="64">
        <f>IFERROR(1/J91*(Y91/H91),"0")</f>
        <v>0.78125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54</v>
      </c>
      <c r="Y93" s="546">
        <f>IFERROR(IF(X93="",0,CEILING((X93/$H93),1)*$H93),"")</f>
        <v>54</v>
      </c>
      <c r="Z93" s="36">
        <f>IFERROR(IF(Y93=0,"",ROUNDUP(Y93/H93,0)*0.00651),"")</f>
        <v>0.13020000000000001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59.039999999999992</v>
      </c>
      <c r="BN93" s="64">
        <f>IFERROR(Y93*I93/H93,"0")</f>
        <v>59.039999999999992</v>
      </c>
      <c r="BO93" s="64">
        <f>IFERROR(1/J93*(X93/H93),"0")</f>
        <v>0.1098901098901099</v>
      </c>
      <c r="BP93" s="64">
        <f>IFERROR(1/J93*(Y93/H93),"0")</f>
        <v>0.1098901098901099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69.382716049382708</v>
      </c>
      <c r="Y95" s="547">
        <f>IFERROR(Y91/H91,"0")+IFERROR(Y92/H92,"0")+IFERROR(Y93/H93,"0")+IFERROR(Y94/H94,"0")</f>
        <v>70</v>
      </c>
      <c r="Z95" s="547">
        <f>IFERROR(IF(Z91="",0,Z91),"0")+IFERROR(IF(Z92="",0,Z92),"0")+IFERROR(IF(Z93="",0,Z93),"0")+IFERROR(IF(Z94="",0,Z94),"0")</f>
        <v>1.0792000000000002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454</v>
      </c>
      <c r="Y96" s="547">
        <f>IFERROR(SUM(Y91:Y94),"0")</f>
        <v>459</v>
      </c>
      <c r="Z96" s="37"/>
      <c r="AA96" s="548"/>
      <c r="AB96" s="548"/>
      <c r="AC96" s="548"/>
    </row>
    <row r="97" spans="1:68" ht="16.5" hidden="1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200</v>
      </c>
      <c r="Y99" s="546">
        <f>IFERROR(IF(X99="",0,CEILING((X99/$H99),1)*$H99),"")</f>
        <v>205.20000000000002</v>
      </c>
      <c r="Z99" s="36">
        <f>IFERROR(IF(Y99=0,"",ROUNDUP(Y99/H99,0)*0.01898),"")</f>
        <v>0.36062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207.59259259259258</v>
      </c>
      <c r="BN99" s="64">
        <f>IFERROR(Y99*I99/H99,"0")</f>
        <v>212.99</v>
      </c>
      <c r="BO99" s="64">
        <f>IFERROR(1/J99*(X99/H99),"0")</f>
        <v>0.28935185185185186</v>
      </c>
      <c r="BP99" s="64">
        <f>IFERROR(1/J99*(Y99/H99),"0")</f>
        <v>0.296875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18.518518518518519</v>
      </c>
      <c r="Y104" s="547">
        <f>IFERROR(Y99/H99,"0")+IFERROR(Y100/H100,"0")+IFERROR(Y101/H101,"0")+IFERROR(Y102/H102,"0")+IFERROR(Y103/H103,"0")</f>
        <v>19</v>
      </c>
      <c r="Z104" s="547">
        <f>IFERROR(IF(Z99="",0,Z99),"0")+IFERROR(IF(Z100="",0,Z100),"0")+IFERROR(IF(Z101="",0,Z101),"0")+IFERROR(IF(Z102="",0,Z102),"0")+IFERROR(IF(Z103="",0,Z103),"0")</f>
        <v>0.36062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200</v>
      </c>
      <c r="Y105" s="547">
        <f>IFERROR(SUM(Y99:Y103),"0")</f>
        <v>205.20000000000002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hidden="1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45</v>
      </c>
      <c r="Y116" s="546">
        <f>IFERROR(IF(X116="",0,CEILING((X116/$H116),1)*$H116),"")</f>
        <v>45.900000000000006</v>
      </c>
      <c r="Z116" s="36">
        <f>IFERROR(IF(Y116=0,"",ROUNDUP(Y116/H116,0)*0.00651),"")</f>
        <v>0.11067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49.199999999999996</v>
      </c>
      <c r="BN116" s="64">
        <f>IFERROR(Y116*I116/H116,"0")</f>
        <v>50.183999999999997</v>
      </c>
      <c r="BO116" s="64">
        <f>IFERROR(1/J116*(X116/H116),"0")</f>
        <v>9.1575091575091569E-2</v>
      </c>
      <c r="BP116" s="64">
        <f>IFERROR(1/J116*(Y116/H116),"0")</f>
        <v>9.3406593406593408E-2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16.666666666666664</v>
      </c>
      <c r="Y118" s="547">
        <f>IFERROR(Y114/H114,"0")+IFERROR(Y115/H115,"0")+IFERROR(Y116/H116,"0")+IFERROR(Y117/H117,"0")</f>
        <v>17</v>
      </c>
      <c r="Z118" s="547">
        <f>IFERROR(IF(Z114="",0,Z114),"0")+IFERROR(IF(Z115="",0,Z115),"0")+IFERROR(IF(Z116="",0,Z116),"0")+IFERROR(IF(Z117="",0,Z117),"0")</f>
        <v>0.11067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45</v>
      </c>
      <c r="Y119" s="547">
        <f>IFERROR(SUM(Y114:Y117),"0")</f>
        <v>45.900000000000006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200</v>
      </c>
      <c r="Y165" s="546">
        <f t="shared" ref="Y165:Y178" si="5">IFERROR(IF(X165="",0,CEILING((X165/$H165),1)*$H165),"")</f>
        <v>201.60000000000002</v>
      </c>
      <c r="Z165" s="36">
        <f>IFERROR(IF(Y165=0,"",ROUNDUP(Y165/H165,0)*0.00902),"")</f>
        <v>0.43296000000000001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211.9047619047619</v>
      </c>
      <c r="BN165" s="64">
        <f t="shared" ref="BN165:BN178" si="7">IFERROR(Y165*I165/H165,"0")</f>
        <v>213.60000000000002</v>
      </c>
      <c r="BO165" s="64">
        <f t="shared" ref="BO165:BO178" si="8">IFERROR(1/J165*(X165/H165),"0")</f>
        <v>0.36075036075036077</v>
      </c>
      <c r="BP165" s="64">
        <f t="shared" ref="BP165:BP178" si="9">IFERROR(1/J165*(Y165/H165),"0")</f>
        <v>0.36363636363636365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47.61904761904762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48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0.43296000000000001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200</v>
      </c>
      <c r="Y180" s="547">
        <f>IFERROR(SUM(Y165:Y178),"0")</f>
        <v>201.60000000000002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186</v>
      </c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hidden="1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hidden="1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hidden="1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0</v>
      </c>
      <c r="Y211" s="547">
        <f>IFERROR(Y203/H203,"0")+IFERROR(Y204/H204,"0")+IFERROR(Y205/H205,"0")+IFERROR(Y206/H206,"0")+IFERROR(Y207/H207,"0")+IFERROR(Y208/H208,"0")+IFERROR(Y209/H209,"0")+IFERROR(Y210/H210,"0")</f>
        <v>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48"/>
      <c r="AB211" s="548"/>
      <c r="AC211" s="548"/>
    </row>
    <row r="212" spans="1:68" hidden="1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0</v>
      </c>
      <c r="Y212" s="547">
        <f>IFERROR(SUM(Y203:Y210),"0")</f>
        <v>0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80</v>
      </c>
      <c r="Y219" s="546">
        <f t="shared" si="15"/>
        <v>81.599999999999994</v>
      </c>
      <c r="Z219" s="36">
        <f t="shared" si="20"/>
        <v>0.22134000000000001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88.40000000000002</v>
      </c>
      <c r="BN219" s="64">
        <f t="shared" si="17"/>
        <v>90.168000000000006</v>
      </c>
      <c r="BO219" s="64">
        <f t="shared" si="18"/>
        <v>0.18315018315018317</v>
      </c>
      <c r="BP219" s="64">
        <f t="shared" si="19"/>
        <v>0.18681318681318682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33.333333333333336</v>
      </c>
      <c r="Y223" s="547">
        <f>IFERROR(Y214/H214,"0")+IFERROR(Y215/H215,"0")+IFERROR(Y216/H216,"0")+IFERROR(Y217/H217,"0")+IFERROR(Y218/H218,"0")+IFERROR(Y219/H219,"0")+IFERROR(Y220/H220,"0")+IFERROR(Y221/H221,"0")+IFERROR(Y222/H222,"0")</f>
        <v>34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0.22134000000000001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80</v>
      </c>
      <c r="Y224" s="547">
        <f>IFERROR(SUM(Y214:Y222),"0")</f>
        <v>81.599999999999994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 t="s">
        <v>186</v>
      </c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186</v>
      </c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150</v>
      </c>
      <c r="Y304" s="546">
        <f t="shared" ref="Y304:Y309" si="26">IFERROR(IF(X304="",0,CEILING((X304/$H304),1)*$H304),"")</f>
        <v>151.20000000000002</v>
      </c>
      <c r="Z304" s="36">
        <f>IFERROR(IF(Y304=0,"",ROUNDUP(Y304/H304,0)*0.00902),"")</f>
        <v>0.32472000000000001</v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158.92857142857142</v>
      </c>
      <c r="BN304" s="64">
        <f t="shared" ref="BN304:BN309" si="28">IFERROR(Y304*I304/H304,"0")</f>
        <v>160.20000000000002</v>
      </c>
      <c r="BO304" s="64">
        <f t="shared" ref="BO304:BO309" si="29">IFERROR(1/J304*(X304/H304),"0")</f>
        <v>0.27056277056277056</v>
      </c>
      <c r="BP304" s="64">
        <f t="shared" ref="BP304:BP309" si="30">IFERROR(1/J304*(Y304/H304),"0")</f>
        <v>0.27272727272727271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35.714285714285715</v>
      </c>
      <c r="Y310" s="547">
        <f>IFERROR(Y304/H304,"0")+IFERROR(Y305/H305,"0")+IFERROR(Y306/H306,"0")+IFERROR(Y307/H307,"0")+IFERROR(Y308/H308,"0")+IFERROR(Y309/H309,"0")</f>
        <v>36</v>
      </c>
      <c r="Z310" s="547">
        <f>IFERROR(IF(Z304="",0,Z304),"0")+IFERROR(IF(Z305="",0,Z305),"0")+IFERROR(IF(Z306="",0,Z306),"0")+IFERROR(IF(Z307="",0,Z307),"0")+IFERROR(IF(Z308="",0,Z308),"0")+IFERROR(IF(Z309="",0,Z309),"0")</f>
        <v>0.32472000000000001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150</v>
      </c>
      <c r="Y311" s="547">
        <f>IFERROR(SUM(Y304:Y309),"0")</f>
        <v>151.20000000000002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250</v>
      </c>
      <c r="Y320" s="546">
        <f>IFERROR(IF(X320="",0,CEILING((X320/$H320),1)*$H320),"")</f>
        <v>252</v>
      </c>
      <c r="Z320" s="36">
        <f>IFERROR(IF(Y320=0,"",ROUNDUP(Y320/H320,0)*0.01898),"")</f>
        <v>0.56940000000000002</v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264.70238095238096</v>
      </c>
      <c r="BN320" s="64">
        <f>IFERROR(Y320*I320/H320,"0")</f>
        <v>266.82</v>
      </c>
      <c r="BO320" s="64">
        <f>IFERROR(1/J320*(X320/H320),"0")</f>
        <v>0.46502976190476186</v>
      </c>
      <c r="BP320" s="64">
        <f>IFERROR(1/J320*(Y320/H320),"0")</f>
        <v>0.46875</v>
      </c>
    </row>
    <row r="321" spans="1:68" ht="27" hidden="1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29.761904761904759</v>
      </c>
      <c r="Y323" s="547">
        <f>IFERROR(Y320/H320,"0")+IFERROR(Y321/H321,"0")+IFERROR(Y322/H322,"0")</f>
        <v>30</v>
      </c>
      <c r="Z323" s="547">
        <f>IFERROR(IF(Z320="",0,Z320),"0")+IFERROR(IF(Z321="",0,Z321),"0")+IFERROR(IF(Z322="",0,Z322),"0")</f>
        <v>0.56940000000000002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250</v>
      </c>
      <c r="Y324" s="547">
        <f>IFERROR(SUM(Y320:Y322),"0")</f>
        <v>252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186</v>
      </c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 t="s">
        <v>106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 t="s">
        <v>186</v>
      </c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 t="s">
        <v>186</v>
      </c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hidden="1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1000</v>
      </c>
      <c r="Y348" s="546">
        <f t="shared" ref="Y348:Y354" si="31">IFERROR(IF(X348="",0,CEILING((X348/$H348),1)*$H348),"")</f>
        <v>1005</v>
      </c>
      <c r="Z348" s="36">
        <f>IFERROR(IF(Y348=0,"",ROUNDUP(Y348/H348,0)*0.02175),"")</f>
        <v>1.4572499999999999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1031.3333333333333</v>
      </c>
      <c r="BN348" s="64">
        <f t="shared" ref="BN348:BN354" si="33">IFERROR(Y348*I348/H348,"0")</f>
        <v>1036.49</v>
      </c>
      <c r="BO348" s="64">
        <f t="shared" ref="BO348:BO354" si="34">IFERROR(1/J348*(X348/H348),"0")</f>
        <v>1.3888888888888888</v>
      </c>
      <c r="BP348" s="64">
        <f t="shared" ref="BP348:BP354" si="35">IFERROR(1/J348*(Y348/H348),"0")</f>
        <v>1.3958333333333333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1500</v>
      </c>
      <c r="Y349" s="546">
        <f t="shared" si="31"/>
        <v>1500</v>
      </c>
      <c r="Z349" s="36">
        <f>IFERROR(IF(Y349=0,"",ROUNDUP(Y349/H349,0)*0.02175),"")</f>
        <v>2.1749999999999998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1547</v>
      </c>
      <c r="BN349" s="64">
        <f t="shared" si="33"/>
        <v>1547</v>
      </c>
      <c r="BO349" s="64">
        <f t="shared" si="34"/>
        <v>2.083333333333333</v>
      </c>
      <c r="BP349" s="64">
        <f t="shared" si="35"/>
        <v>2.083333333333333</v>
      </c>
    </row>
    <row r="350" spans="1:68" ht="27" hidden="1" customHeight="1" x14ac:dyDescent="0.25">
      <c r="A350" s="54" t="s">
        <v>558</v>
      </c>
      <c r="B350" s="54" t="s">
        <v>559</v>
      </c>
      <c r="C350" s="31">
        <v>4301012215</v>
      </c>
      <c r="D350" s="552">
        <v>4680115887046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86</v>
      </c>
      <c r="N350" s="33"/>
      <c r="O350" s="32">
        <v>60</v>
      </c>
      <c r="P350" s="59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2">
        <v>4680115884830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6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500</v>
      </c>
      <c r="Y351" s="546">
        <f t="shared" si="31"/>
        <v>510</v>
      </c>
      <c r="Z351" s="36">
        <f>IFERROR(IF(Y351=0,"",ROUNDUP(Y351/H351,0)*0.02175),"")</f>
        <v>0.73949999999999994</v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2"/>
        <v>515.66666666666663</v>
      </c>
      <c r="BN351" s="64">
        <f t="shared" si="33"/>
        <v>525.98</v>
      </c>
      <c r="BO351" s="64">
        <f t="shared" si="34"/>
        <v>0.69444444444444442</v>
      </c>
      <c r="BP351" s="64">
        <f t="shared" si="35"/>
        <v>0.70833333333333326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563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200.00000000000003</v>
      </c>
      <c r="Y355" s="547">
        <f>IFERROR(Y348/H348,"0")+IFERROR(Y349/H349,"0")+IFERROR(Y350/H350,"0")+IFERROR(Y351/H351,"0")+IFERROR(Y352/H352,"0")+IFERROR(Y353/H353,"0")+IFERROR(Y354/H354,"0")</f>
        <v>201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4.3717499999999996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3000</v>
      </c>
      <c r="Y356" s="547">
        <f>IFERROR(SUM(Y348:Y354),"0")</f>
        <v>3015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3000</v>
      </c>
      <c r="Y358" s="546">
        <f>IFERROR(IF(X358="",0,CEILING((X358/$H358),1)*$H358),"")</f>
        <v>3000</v>
      </c>
      <c r="Z358" s="36">
        <f>IFERROR(IF(Y358=0,"",ROUNDUP(Y358/H358,0)*0.02175),"")</f>
        <v>4.3499999999999996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3094</v>
      </c>
      <c r="BN358" s="64">
        <f>IFERROR(Y358*I358/H358,"0")</f>
        <v>3094</v>
      </c>
      <c r="BO358" s="64">
        <f>IFERROR(1/J358*(X358/H358),"0")</f>
        <v>4.1666666666666661</v>
      </c>
      <c r="BP358" s="64">
        <f>IFERROR(1/J358*(Y358/H358),"0")</f>
        <v>4.1666666666666661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200</v>
      </c>
      <c r="Y360" s="547">
        <f>IFERROR(Y358/H358,"0")+IFERROR(Y359/H359,"0")</f>
        <v>200</v>
      </c>
      <c r="Z360" s="547">
        <f>IFERROR(IF(Z358="",0,Z358),"0")+IFERROR(IF(Z359="",0,Z359),"0")</f>
        <v>4.3499999999999996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3000</v>
      </c>
      <c r="Y361" s="547">
        <f>IFERROR(SUM(Y358:Y359),"0")</f>
        <v>3000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 t="s">
        <v>103</v>
      </c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250</v>
      </c>
      <c r="Y364" s="546">
        <f>IFERROR(IF(X364="",0,CEILING((X364/$H364),1)*$H364),"")</f>
        <v>252</v>
      </c>
      <c r="Z364" s="36">
        <f>IFERROR(IF(Y364=0,"",ROUNDUP(Y364/H364,0)*0.01898),"")</f>
        <v>0.53144000000000002</v>
      </c>
      <c r="AA364" s="56"/>
      <c r="AB364" s="57"/>
      <c r="AC364" s="421" t="s">
        <v>582</v>
      </c>
      <c r="AG364" s="64"/>
      <c r="AJ364" s="68" t="s">
        <v>106</v>
      </c>
      <c r="AK364" s="68">
        <v>72</v>
      </c>
      <c r="BB364" s="422" t="s">
        <v>1</v>
      </c>
      <c r="BM364" s="64">
        <f>IFERROR(X364*I364/H364,"0")</f>
        <v>263.72222222222223</v>
      </c>
      <c r="BN364" s="64">
        <f>IFERROR(Y364*I364/H364,"0")</f>
        <v>265.83199999999999</v>
      </c>
      <c r="BO364" s="64">
        <f>IFERROR(1/J364*(X364/H364),"0")</f>
        <v>0.43402777777777779</v>
      </c>
      <c r="BP364" s="64">
        <f>IFERROR(1/J364*(Y364/H364),"0")</f>
        <v>0.4375</v>
      </c>
    </row>
    <row r="365" spans="1:68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27.777777777777779</v>
      </c>
      <c r="Y365" s="547">
        <f>IFERROR(Y363/H363,"0")+IFERROR(Y364/H364,"0")</f>
        <v>28</v>
      </c>
      <c r="Z365" s="547">
        <f>IFERROR(IF(Z363="",0,Z363),"0")+IFERROR(IF(Z364="",0,Z364),"0")</f>
        <v>0.53144000000000002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250</v>
      </c>
      <c r="Y366" s="547">
        <f>IFERROR(SUM(Y363:Y364),"0")</f>
        <v>252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200</v>
      </c>
      <c r="Y368" s="546">
        <f>IFERROR(IF(X368="",0,CEILING((X368/$H368),1)*$H368),"")</f>
        <v>207</v>
      </c>
      <c r="Z368" s="36">
        <f>IFERROR(IF(Y368=0,"",ROUNDUP(Y368/H368,0)*0.01898),"")</f>
        <v>0.43653999999999998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210.97777777777776</v>
      </c>
      <c r="BN368" s="64">
        <f>IFERROR(Y368*I368/H368,"0")</f>
        <v>218.36199999999999</v>
      </c>
      <c r="BO368" s="64">
        <f>IFERROR(1/J368*(X368/H368),"0")</f>
        <v>0.34722222222222221</v>
      </c>
      <c r="BP368" s="64">
        <f>IFERROR(1/J368*(Y368/H368),"0")</f>
        <v>0.359375</v>
      </c>
    </row>
    <row r="369" spans="1:68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22.222222222222221</v>
      </c>
      <c r="Y369" s="547">
        <f>IFERROR(Y368/H368,"0")</f>
        <v>23</v>
      </c>
      <c r="Z369" s="547">
        <f>IFERROR(IF(Z368="",0,Z368),"0")</f>
        <v>0.43653999999999998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200</v>
      </c>
      <c r="Y370" s="547">
        <f>IFERROR(SUM(Y368:Y368),"0")</f>
        <v>207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hidden="1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4301031457</v>
      </c>
      <c r="D378" s="552">
        <v>4607091384802</v>
      </c>
      <c r="E378" s="553"/>
      <c r="F378" s="544">
        <v>0.7</v>
      </c>
      <c r="G378" s="32">
        <v>6</v>
      </c>
      <c r="H378" s="544">
        <v>4.2</v>
      </c>
      <c r="I378" s="544">
        <v>4.45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50</v>
      </c>
      <c r="P378" s="6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4301031303</v>
      </c>
      <c r="D379" s="552">
        <v>4607091384802</v>
      </c>
      <c r="E379" s="553"/>
      <c r="F379" s="544">
        <v>0.73</v>
      </c>
      <c r="G379" s="32">
        <v>6</v>
      </c>
      <c r="H379" s="544">
        <v>4.38</v>
      </c>
      <c r="I379" s="544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6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hidden="1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0</v>
      </c>
      <c r="Y386" s="547">
        <f>IFERROR(Y383/H383,"0")+IFERROR(Y384/H384,"0")+IFERROR(Y385/H385,"0")</f>
        <v>0</v>
      </c>
      <c r="Z386" s="547">
        <f>IFERROR(IF(Z383="",0,Z383),"0")+IFERROR(IF(Z384="",0,Z384),"0")+IFERROR(IF(Z385="",0,Z385),"0")</f>
        <v>0</v>
      </c>
      <c r="AA386" s="548"/>
      <c r="AB386" s="548"/>
      <c r="AC386" s="548"/>
    </row>
    <row r="387" spans="1:68" hidden="1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0</v>
      </c>
      <c r="Y387" s="547">
        <f>IFERROR(SUM(Y383:Y385),"0")</f>
        <v>0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 t="s">
        <v>110</v>
      </c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200</v>
      </c>
      <c r="Y391" s="546">
        <f t="shared" ref="Y391:Y399" si="36">IFERROR(IF(X391="",0,CEILING((X391/$H391),1)*$H391),"")</f>
        <v>205.20000000000002</v>
      </c>
      <c r="Z391" s="36">
        <f>IFERROR(IF(Y391=0,"",ROUNDUP(Y391/H391,0)*0.00902),"")</f>
        <v>0.34276000000000001</v>
      </c>
      <c r="AA391" s="56"/>
      <c r="AB391" s="57"/>
      <c r="AC391" s="439" t="s">
        <v>608</v>
      </c>
      <c r="AG391" s="64"/>
      <c r="AJ391" s="68" t="s">
        <v>106</v>
      </c>
      <c r="AK391" s="68">
        <v>64.8</v>
      </c>
      <c r="BB391" s="440" t="s">
        <v>1</v>
      </c>
      <c r="BM391" s="64">
        <f t="shared" ref="BM391:BM399" si="37">IFERROR(X391*I391/H391,"0")</f>
        <v>207.03703703703701</v>
      </c>
      <c r="BN391" s="64">
        <f t="shared" ref="BN391:BN399" si="38">IFERROR(Y391*I391/H391,"0")</f>
        <v>212.42</v>
      </c>
      <c r="BO391" s="64">
        <f t="shared" ref="BO391:BO399" si="39">IFERROR(1/J391*(X391/H391),"0")</f>
        <v>0.28058361391694725</v>
      </c>
      <c r="BP391" s="64">
        <f t="shared" ref="BP391:BP399" si="40">IFERROR(1/J391*(Y391/H391),"0")</f>
        <v>0.2878787878787879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50</v>
      </c>
      <c r="Y392" s="546">
        <f t="shared" si="36"/>
        <v>54</v>
      </c>
      <c r="Z392" s="36">
        <f>IFERROR(IF(Y392=0,"",ROUNDUP(Y392/H392,0)*0.00902),"")</f>
        <v>9.0200000000000002E-2</v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51.759259259259252</v>
      </c>
      <c r="BN392" s="64">
        <f t="shared" si="38"/>
        <v>55.9</v>
      </c>
      <c r="BO392" s="64">
        <f t="shared" si="39"/>
        <v>7.0145903479236812E-2</v>
      </c>
      <c r="BP392" s="64">
        <f t="shared" si="40"/>
        <v>7.575757575757576E-2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300</v>
      </c>
      <c r="Y393" s="546">
        <f t="shared" si="36"/>
        <v>302.40000000000003</v>
      </c>
      <c r="Z393" s="36">
        <f>IFERROR(IF(Y393=0,"",ROUNDUP(Y393/H393,0)*0.00902),"")</f>
        <v>0.50512000000000001</v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310.55555555555554</v>
      </c>
      <c r="BN393" s="64">
        <f t="shared" si="38"/>
        <v>313.04000000000002</v>
      </c>
      <c r="BO393" s="64">
        <f t="shared" si="39"/>
        <v>0.42087542087542085</v>
      </c>
      <c r="BP393" s="64">
        <f t="shared" si="40"/>
        <v>0.42424242424242425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10.5</v>
      </c>
      <c r="Y396" s="546">
        <f t="shared" si="36"/>
        <v>10.5</v>
      </c>
      <c r="Z396" s="36">
        <f t="shared" si="41"/>
        <v>2.5100000000000001E-2</v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11.149999999999999</v>
      </c>
      <c r="BN396" s="64">
        <f t="shared" si="38"/>
        <v>11.149999999999999</v>
      </c>
      <c r="BO396" s="64">
        <f t="shared" si="39"/>
        <v>2.1367521367521368E-2</v>
      </c>
      <c r="BP396" s="64">
        <f t="shared" si="40"/>
        <v>2.1367521367521368E-2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 t="s">
        <v>282</v>
      </c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 t="s">
        <v>106</v>
      </c>
      <c r="AK398" s="68">
        <v>37.799999999999997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106.85185185185185</v>
      </c>
      <c r="Y400" s="547">
        <f>IFERROR(Y391/H391,"0")+IFERROR(Y392/H392,"0")+IFERROR(Y393/H393,"0")+IFERROR(Y394/H394,"0")+IFERROR(Y395/H395,"0")+IFERROR(Y396/H396,"0")+IFERROR(Y397/H397,"0")+IFERROR(Y398/H398,"0")+IFERROR(Y399/H399,"0")</f>
        <v>109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0.96318000000000004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560.5</v>
      </c>
      <c r="Y401" s="547">
        <f>IFERROR(SUM(Y391:Y399),"0")</f>
        <v>572.10000000000014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 t="s">
        <v>110</v>
      </c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 t="s">
        <v>106</v>
      </c>
      <c r="AK413" s="68">
        <v>64.8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35</v>
      </c>
      <c r="Y416" s="546">
        <f>IFERROR(IF(X416="",0,CEILING((X416/$H416),1)*$H416),"")</f>
        <v>35.700000000000003</v>
      </c>
      <c r="Z416" s="36">
        <f>IFERROR(IF(Y416=0,"",ROUNDUP(Y416/H416,0)*0.00502),"")</f>
        <v>8.5339999999999999E-2</v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37.166666666666664</v>
      </c>
      <c r="BN416" s="64">
        <f>IFERROR(Y416*I416/H416,"0")</f>
        <v>37.910000000000004</v>
      </c>
      <c r="BO416" s="64">
        <f>IFERROR(1/J416*(X416/H416),"0")</f>
        <v>7.1225071225071226E-2</v>
      </c>
      <c r="BP416" s="64">
        <f>IFERROR(1/J416*(Y416/H416),"0")</f>
        <v>7.2649572649572655E-2</v>
      </c>
    </row>
    <row r="417" spans="1:68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16.666666666666664</v>
      </c>
      <c r="Y417" s="547">
        <f>IFERROR(Y413/H413,"0")+IFERROR(Y414/H414,"0")+IFERROR(Y415/H415,"0")+IFERROR(Y416/H416,"0")</f>
        <v>17</v>
      </c>
      <c r="Z417" s="547">
        <f>IFERROR(IF(Z413="",0,Z413),"0")+IFERROR(IF(Z414="",0,Z414),"0")+IFERROR(IF(Z415="",0,Z415),"0")+IFERROR(IF(Z416="",0,Z416),"0")</f>
        <v>8.5339999999999999E-2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35</v>
      </c>
      <c r="Y418" s="547">
        <f>IFERROR(SUM(Y413:Y416),"0")</f>
        <v>35.700000000000003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hidden="1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450</v>
      </c>
      <c r="Y433" s="546">
        <f t="shared" si="42"/>
        <v>454.08000000000004</v>
      </c>
      <c r="Z433" s="36">
        <f t="shared" si="43"/>
        <v>1.0285599999999999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479.82954545454544</v>
      </c>
      <c r="BN433" s="64">
        <f t="shared" si="45"/>
        <v>484.18</v>
      </c>
      <c r="BO433" s="64">
        <f t="shared" si="46"/>
        <v>0.81949300699300698</v>
      </c>
      <c r="BP433" s="64">
        <f t="shared" si="47"/>
        <v>0.82692307692307698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 t="s">
        <v>110</v>
      </c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 t="s">
        <v>106</v>
      </c>
      <c r="AK438" s="68">
        <v>57.6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85.22727272727272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86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1.0285599999999999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450</v>
      </c>
      <c r="Y440" s="547">
        <f>IFERROR(SUM(Y427:Y438),"0")</f>
        <v>454.08000000000004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300</v>
      </c>
      <c r="Y442" s="546">
        <f>IFERROR(IF(X442="",0,CEILING((X442/$H442),1)*$H442),"")</f>
        <v>300.96000000000004</v>
      </c>
      <c r="Z442" s="36">
        <f>IFERROR(IF(Y442=0,"",ROUNDUP(Y442/H442,0)*0.01196),"")</f>
        <v>0.68171999999999999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319.88636363636363</v>
      </c>
      <c r="BN442" s="64">
        <f>IFERROR(Y442*I442/H442,"0")</f>
        <v>320.91000000000003</v>
      </c>
      <c r="BO442" s="64">
        <f>IFERROR(1/J442*(X442/H442),"0")</f>
        <v>0.54632867132867136</v>
      </c>
      <c r="BP442" s="64">
        <f>IFERROR(1/J442*(Y442/H442),"0")</f>
        <v>0.54807692307692313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56.818181818181813</v>
      </c>
      <c r="Y445" s="547">
        <f>IFERROR(Y442/H442,"0")+IFERROR(Y443/H443,"0")+IFERROR(Y444/H444,"0")</f>
        <v>57.000000000000007</v>
      </c>
      <c r="Z445" s="547">
        <f>IFERROR(IF(Z442="",0,Z442),"0")+IFERROR(IF(Z443="",0,Z443),"0")+IFERROR(IF(Z444="",0,Z444),"0")</f>
        <v>0.68171999999999999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300</v>
      </c>
      <c r="Y446" s="547">
        <f>IFERROR(SUM(Y442:Y444),"0")</f>
        <v>300.96000000000004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120</v>
      </c>
      <c r="Y448" s="546">
        <f t="shared" ref="Y448:Y453" si="48">IFERROR(IF(X448="",0,CEILING((X448/$H448),1)*$H448),"")</f>
        <v>121.44000000000001</v>
      </c>
      <c r="Z448" s="36">
        <f>IFERROR(IF(Y448=0,"",ROUNDUP(Y448/H448,0)*0.01196),"")</f>
        <v>0.27507999999999999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127.95454545454545</v>
      </c>
      <c r="BN448" s="64">
        <f t="shared" ref="BN448:BN453" si="50">IFERROR(Y448*I448/H448,"0")</f>
        <v>129.49</v>
      </c>
      <c r="BO448" s="64">
        <f t="shared" ref="BO448:BO453" si="51">IFERROR(1/J448*(X448/H448),"0")</f>
        <v>0.21853146853146854</v>
      </c>
      <c r="BP448" s="64">
        <f t="shared" ref="BP448:BP453" si="52">IFERROR(1/J448*(Y448/H448),"0")</f>
        <v>0.22115384615384617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100</v>
      </c>
      <c r="Y449" s="546">
        <f t="shared" si="48"/>
        <v>100.32000000000001</v>
      </c>
      <c r="Z449" s="36">
        <f>IFERROR(IF(Y449=0,"",ROUNDUP(Y449/H449,0)*0.01196),"")</f>
        <v>0.22724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106.62878787878788</v>
      </c>
      <c r="BN449" s="64">
        <f t="shared" si="50"/>
        <v>106.97</v>
      </c>
      <c r="BO449" s="64">
        <f t="shared" si="51"/>
        <v>0.18210955710955709</v>
      </c>
      <c r="BP449" s="64">
        <f t="shared" si="52"/>
        <v>0.18269230769230771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180</v>
      </c>
      <c r="Y450" s="546">
        <f t="shared" si="48"/>
        <v>184.8</v>
      </c>
      <c r="Z450" s="36">
        <f>IFERROR(IF(Y450=0,"",ROUNDUP(Y450/H450,0)*0.01196),"")</f>
        <v>0.41860000000000003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191.93181818181816</v>
      </c>
      <c r="BN450" s="64">
        <f t="shared" si="50"/>
        <v>197.04999999999998</v>
      </c>
      <c r="BO450" s="64">
        <f t="shared" si="51"/>
        <v>0.32779720279720276</v>
      </c>
      <c r="BP450" s="64">
        <f t="shared" si="52"/>
        <v>0.33653846153846156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75.757575757575751</v>
      </c>
      <c r="Y454" s="547">
        <f>IFERROR(Y448/H448,"0")+IFERROR(Y449/H449,"0")+IFERROR(Y450/H450,"0")+IFERROR(Y451/H451,"0")+IFERROR(Y452/H452,"0")+IFERROR(Y453/H453,"0")</f>
        <v>77</v>
      </c>
      <c r="Z454" s="547">
        <f>IFERROR(IF(Z448="",0,Z448),"0")+IFERROR(IF(Z449="",0,Z449),"0")+IFERROR(IF(Z450="",0,Z450),"0")+IFERROR(IF(Z451="",0,Z451),"0")+IFERROR(IF(Z452="",0,Z452),"0")+IFERROR(IF(Z453="",0,Z453),"0")</f>
        <v>0.92091999999999996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400</v>
      </c>
      <c r="Y455" s="547">
        <f>IFERROR(SUM(Y448:Y453),"0")</f>
        <v>406.56000000000006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hidden="1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9904.5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9985.5000000000018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10313.290725509058</v>
      </c>
      <c r="Y489" s="547">
        <f>IFERROR(SUM(BN22:BN485),"0")</f>
        <v>10398.105999999998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16</v>
      </c>
      <c r="Y490" s="38">
        <f>ROUNDUP(SUM(BP22:BP485),0)</f>
        <v>16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10713.290725509058</v>
      </c>
      <c r="Y491" s="547">
        <f>GrossWeightTotalR+PalletQtyTotalR*25</f>
        <v>10798.105999999998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1072.8735770402436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1084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17.075719999999997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190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345.6</v>
      </c>
      <c r="E498" s="46">
        <f>IFERROR(Y84*1,"0")+IFERROR(Y85*1,"0")+IFERROR(Y86*1,"0")+IFERROR(Y87*1,"0")+IFERROR(Y91*1,"0")+IFERROR(Y92*1,"0")+IFERROR(Y93*1,"0")+IFERROR(Y94*1,"0")</f>
        <v>459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251.10000000000002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201.60000000000002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81.599999999999994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403.20000000000005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6474</v>
      </c>
      <c r="T498" s="46">
        <f>IFERROR(Y373*1,"0")+IFERROR(Y374*1,"0")+IFERROR(Y378*1,"0")+IFERROR(Y379*1,"0")+IFERROR(Y383*1,"0")+IFERROR(Y384*1,"0")+IFERROR(Y385*1,"0")</f>
        <v>0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572.10000000000014</v>
      </c>
      <c r="V498" s="46">
        <f>IFERROR(Y409*1,"0")+IFERROR(Y413*1,"0")+IFERROR(Y414*1,"0")+IFERROR(Y415*1,"0")+IFERROR(Y416*1,"0")</f>
        <v>35.700000000000003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1161.6000000000001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vfdVnfE1DuYb01A2lR29izc9wgwLjKaEjdoCZ4Sx+wR/QgXe6KpIDPVsxGmqzoCc5WnjSXIO9Km/PoN/rfMvbA==" saltValue="aSu9zWYiDznTAILuO0Fap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72,87"/>
        <filter val="1 500,00"/>
        <filter val="10 313,29"/>
        <filter val="10 713,29"/>
        <filter val="10,50"/>
        <filter val="100,00"/>
        <filter val="106,85"/>
        <filter val="120,00"/>
        <filter val="150,00"/>
        <filter val="16"/>
        <filter val="16,67"/>
        <filter val="18,52"/>
        <filter val="180,00"/>
        <filter val="200,00"/>
        <filter val="22,22"/>
        <filter val="23,15"/>
        <filter val="250,00"/>
        <filter val="27,78"/>
        <filter val="29,76"/>
        <filter val="3 000,00"/>
        <filter val="300,00"/>
        <filter val="33,33"/>
        <filter val="35,00"/>
        <filter val="35,71"/>
        <filter val="400,00"/>
        <filter val="45,00"/>
        <filter val="450,00"/>
        <filter val="454,00"/>
        <filter val="47,62"/>
        <filter val="50,00"/>
        <filter val="500,00"/>
        <filter val="54,00"/>
        <filter val="56,82"/>
        <filter val="560,50"/>
        <filter val="69,38"/>
        <filter val="7,41"/>
        <filter val="75,76"/>
        <filter val="80,00"/>
        <filter val="85,23"/>
        <filter val="9 904,50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1 X165 X167 X169 X174 X176 X199 X203:X208 X210 X214:X217 X219:X222 X226:X227 X232 X261 X279:X280 X305 X308 X313 X320:X322 X328:X329 X333:X335 X340:X342 X348:X349 X351 X358 X364 X373 X379 X383:X384 X391 X393 X398 X413 X427 X430:X431 X433 X438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xrwV3Rh1i53Mq/y5TIsYkUy2vDj5rAhmyURnH4Zy5xkZqfUKe606g4hNh/nDJ3Ie6NaYFTeLKl0yMseVc/pg0w==" saltValue="x2l4av2CH17h4Zm9WS92i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