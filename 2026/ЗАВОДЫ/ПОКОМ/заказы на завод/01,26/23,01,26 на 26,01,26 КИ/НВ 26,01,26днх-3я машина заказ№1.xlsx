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EAAC171-8E5C-47C5-BFC9-45DBEAAC23B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Y468" i="1" s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Z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Y405" i="1" s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Y375" i="1" s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Z263" i="1" s="1"/>
  <c r="P263" i="1"/>
  <c r="BO262" i="1"/>
  <c r="BM262" i="1"/>
  <c r="Y262" i="1"/>
  <c r="P262" i="1"/>
  <c r="BO261" i="1"/>
  <c r="BM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X201" i="1"/>
  <c r="X200" i="1"/>
  <c r="BO199" i="1"/>
  <c r="BM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X180" i="1"/>
  <c r="X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Z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Y180" i="1" s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39" i="1"/>
  <c r="X138" i="1"/>
  <c r="BO137" i="1"/>
  <c r="BM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BP131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Y122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Y112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Y190" i="1" l="1"/>
  <c r="Y189" i="1"/>
  <c r="BP188" i="1"/>
  <c r="BN188" i="1"/>
  <c r="Z188" i="1"/>
  <c r="Z189" i="1" s="1"/>
  <c r="BP193" i="1"/>
  <c r="BN193" i="1"/>
  <c r="Z193" i="1"/>
  <c r="BP219" i="1"/>
  <c r="BN219" i="1"/>
  <c r="Z219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78" i="1"/>
  <c r="BN278" i="1"/>
  <c r="Z278" i="1"/>
  <c r="BP308" i="1"/>
  <c r="BN308" i="1"/>
  <c r="Z308" i="1"/>
  <c r="BP334" i="1"/>
  <c r="BN334" i="1"/>
  <c r="Z334" i="1"/>
  <c r="BP384" i="1"/>
  <c r="BN384" i="1"/>
  <c r="Z384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X489" i="1"/>
  <c r="Z23" i="1"/>
  <c r="BN23" i="1"/>
  <c r="X488" i="1"/>
  <c r="Y31" i="1"/>
  <c r="Z52" i="1"/>
  <c r="BN52" i="1"/>
  <c r="Z62" i="1"/>
  <c r="BN62" i="1"/>
  <c r="Z78" i="1"/>
  <c r="BN78" i="1"/>
  <c r="E498" i="1"/>
  <c r="Z93" i="1"/>
  <c r="BN93" i="1"/>
  <c r="F498" i="1"/>
  <c r="Z110" i="1"/>
  <c r="BN110" i="1"/>
  <c r="Z131" i="1"/>
  <c r="BN131" i="1"/>
  <c r="Z150" i="1"/>
  <c r="BN150" i="1"/>
  <c r="I498" i="1"/>
  <c r="BP168" i="1"/>
  <c r="BN168" i="1"/>
  <c r="BP176" i="1"/>
  <c r="BN176" i="1"/>
  <c r="Z176" i="1"/>
  <c r="BP207" i="1"/>
  <c r="BN207" i="1"/>
  <c r="Z207" i="1"/>
  <c r="BP234" i="1"/>
  <c r="BN234" i="1"/>
  <c r="Z234" i="1"/>
  <c r="BP298" i="1"/>
  <c r="BN298" i="1"/>
  <c r="Z298" i="1"/>
  <c r="BP322" i="1"/>
  <c r="BN322" i="1"/>
  <c r="Z322" i="1"/>
  <c r="BP353" i="1"/>
  <c r="BN353" i="1"/>
  <c r="Z353" i="1"/>
  <c r="BP398" i="1"/>
  <c r="BN398" i="1"/>
  <c r="Z398" i="1"/>
  <c r="BP435" i="1"/>
  <c r="BN435" i="1"/>
  <c r="Z435" i="1"/>
  <c r="BP467" i="1"/>
  <c r="BN467" i="1"/>
  <c r="Z46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BP85" i="1"/>
  <c r="BN85" i="1"/>
  <c r="Z85" i="1"/>
  <c r="BP100" i="1"/>
  <c r="BN100" i="1"/>
  <c r="Z100" i="1"/>
  <c r="Y118" i="1"/>
  <c r="BP114" i="1"/>
  <c r="BN114" i="1"/>
  <c r="Z114" i="1"/>
  <c r="BP137" i="1"/>
  <c r="BN137" i="1"/>
  <c r="Z137" i="1"/>
  <c r="BP166" i="1"/>
  <c r="BN166" i="1"/>
  <c r="Z166" i="1"/>
  <c r="BP174" i="1"/>
  <c r="BN174" i="1"/>
  <c r="Z174" i="1"/>
  <c r="BP184" i="1"/>
  <c r="BN184" i="1"/>
  <c r="Z184" i="1"/>
  <c r="BP205" i="1"/>
  <c r="BN205" i="1"/>
  <c r="Z205" i="1"/>
  <c r="BP217" i="1"/>
  <c r="BN217" i="1"/>
  <c r="Z217" i="1"/>
  <c r="BP232" i="1"/>
  <c r="BN232" i="1"/>
  <c r="Z232" i="1"/>
  <c r="BP240" i="1"/>
  <c r="BN240" i="1"/>
  <c r="Z240" i="1"/>
  <c r="BP261" i="1"/>
  <c r="BN261" i="1"/>
  <c r="Z261" i="1"/>
  <c r="BP273" i="1"/>
  <c r="BN273" i="1"/>
  <c r="Z273" i="1"/>
  <c r="Q498" i="1"/>
  <c r="BP296" i="1"/>
  <c r="BN296" i="1"/>
  <c r="Z296" i="1"/>
  <c r="BP306" i="1"/>
  <c r="BN306" i="1"/>
  <c r="Z306" i="1"/>
  <c r="Y324" i="1"/>
  <c r="BP320" i="1"/>
  <c r="BN320" i="1"/>
  <c r="Z320" i="1"/>
  <c r="Y323" i="1"/>
  <c r="B498" i="1"/>
  <c r="X490" i="1"/>
  <c r="Z27" i="1"/>
  <c r="BN27" i="1"/>
  <c r="BP27" i="1"/>
  <c r="Z41" i="1"/>
  <c r="BN41" i="1"/>
  <c r="D498" i="1"/>
  <c r="Z54" i="1"/>
  <c r="BN54" i="1"/>
  <c r="Z60" i="1"/>
  <c r="BN60" i="1"/>
  <c r="BP60" i="1"/>
  <c r="Z66" i="1"/>
  <c r="BN66" i="1"/>
  <c r="BP66" i="1"/>
  <c r="Y76" i="1"/>
  <c r="Z74" i="1"/>
  <c r="BN74" i="1"/>
  <c r="Y95" i="1"/>
  <c r="BP91" i="1"/>
  <c r="BN91" i="1"/>
  <c r="Z91" i="1"/>
  <c r="BP108" i="1"/>
  <c r="BN108" i="1"/>
  <c r="Z108" i="1"/>
  <c r="G498" i="1"/>
  <c r="BP127" i="1"/>
  <c r="BN127" i="1"/>
  <c r="Z127" i="1"/>
  <c r="Y152" i="1"/>
  <c r="BP148" i="1"/>
  <c r="BN148" i="1"/>
  <c r="Z148" i="1"/>
  <c r="BP170" i="1"/>
  <c r="BN170" i="1"/>
  <c r="Z170" i="1"/>
  <c r="BP178" i="1"/>
  <c r="BN178" i="1"/>
  <c r="Z178" i="1"/>
  <c r="BP199" i="1"/>
  <c r="BN199" i="1"/>
  <c r="Z199" i="1"/>
  <c r="BP209" i="1"/>
  <c r="BN209" i="1"/>
  <c r="Z209" i="1"/>
  <c r="BP221" i="1"/>
  <c r="BN221" i="1"/>
  <c r="Z221" i="1"/>
  <c r="BP236" i="1"/>
  <c r="BN236" i="1"/>
  <c r="Z236" i="1"/>
  <c r="BP254" i="1"/>
  <c r="BN254" i="1"/>
  <c r="Z254" i="1"/>
  <c r="BP264" i="1"/>
  <c r="BN264" i="1"/>
  <c r="Z264" i="1"/>
  <c r="BP341" i="1"/>
  <c r="BN341" i="1"/>
  <c r="Z341" i="1"/>
  <c r="BP359" i="1"/>
  <c r="BN359" i="1"/>
  <c r="Z359" i="1"/>
  <c r="BP392" i="1"/>
  <c r="BN392" i="1"/>
  <c r="Z392" i="1"/>
  <c r="BP404" i="1"/>
  <c r="BN404" i="1"/>
  <c r="Z404" i="1"/>
  <c r="Y410" i="1"/>
  <c r="BP409" i="1"/>
  <c r="BN409" i="1"/>
  <c r="Z409" i="1"/>
  <c r="Z410" i="1" s="1"/>
  <c r="BP413" i="1"/>
  <c r="BN413" i="1"/>
  <c r="Z413" i="1"/>
  <c r="BP429" i="1"/>
  <c r="BN429" i="1"/>
  <c r="Z429" i="1"/>
  <c r="BP437" i="1"/>
  <c r="BN437" i="1"/>
  <c r="Z437" i="1"/>
  <c r="BP453" i="1"/>
  <c r="BN453" i="1"/>
  <c r="Z453" i="1"/>
  <c r="Y80" i="1"/>
  <c r="Y133" i="1"/>
  <c r="Y186" i="1"/>
  <c r="Y211" i="1"/>
  <c r="Y223" i="1"/>
  <c r="Y258" i="1"/>
  <c r="BP280" i="1"/>
  <c r="BN280" i="1"/>
  <c r="Z280" i="1"/>
  <c r="BP285" i="1"/>
  <c r="BN285" i="1"/>
  <c r="Z285" i="1"/>
  <c r="BP300" i="1"/>
  <c r="BN300" i="1"/>
  <c r="Z300" i="1"/>
  <c r="BP314" i="1"/>
  <c r="BN314" i="1"/>
  <c r="Z314" i="1"/>
  <c r="BP328" i="1"/>
  <c r="BN328" i="1"/>
  <c r="Z328" i="1"/>
  <c r="BP351" i="1"/>
  <c r="BN351" i="1"/>
  <c r="Z351" i="1"/>
  <c r="BP374" i="1"/>
  <c r="BN374" i="1"/>
  <c r="Z374" i="1"/>
  <c r="BP378" i="1"/>
  <c r="BN378" i="1"/>
  <c r="Z378" i="1"/>
  <c r="BP396" i="1"/>
  <c r="BN396" i="1"/>
  <c r="Z396" i="1"/>
  <c r="BP416" i="1"/>
  <c r="BN416" i="1"/>
  <c r="Z416" i="1"/>
  <c r="BP433" i="1"/>
  <c r="BN433" i="1"/>
  <c r="Z433" i="1"/>
  <c r="BP449" i="1"/>
  <c r="BN449" i="1"/>
  <c r="Z449" i="1"/>
  <c r="BP461" i="1"/>
  <c r="BN461" i="1"/>
  <c r="Z461" i="1"/>
  <c r="Y282" i="1"/>
  <c r="Y281" i="1"/>
  <c r="Y310" i="1"/>
  <c r="Y365" i="1"/>
  <c r="X498" i="1"/>
  <c r="W498" i="1"/>
  <c r="Y24" i="1"/>
  <c r="Y32" i="1"/>
  <c r="Y36" i="1"/>
  <c r="Y44" i="1"/>
  <c r="Y48" i="1"/>
  <c r="Y57" i="1"/>
  <c r="Y63" i="1"/>
  <c r="Y69" i="1"/>
  <c r="Y75" i="1"/>
  <c r="Y81" i="1"/>
  <c r="Y88" i="1"/>
  <c r="Y96" i="1"/>
  <c r="Y105" i="1"/>
  <c r="Y111" i="1"/>
  <c r="Y119" i="1"/>
  <c r="Y123" i="1"/>
  <c r="Y128" i="1"/>
  <c r="Y134" i="1"/>
  <c r="Y138" i="1"/>
  <c r="Y145" i="1"/>
  <c r="Y153" i="1"/>
  <c r="Y157" i="1"/>
  <c r="Y163" i="1"/>
  <c r="Y179" i="1"/>
  <c r="Y185" i="1"/>
  <c r="Y196" i="1"/>
  <c r="Y200" i="1"/>
  <c r="Y212" i="1"/>
  <c r="BP216" i="1"/>
  <c r="BN216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BP255" i="1"/>
  <c r="BN255" i="1"/>
  <c r="Z255" i="1"/>
  <c r="BP272" i="1"/>
  <c r="BN272" i="1"/>
  <c r="Z272" i="1"/>
  <c r="BP299" i="1"/>
  <c r="BN299" i="1"/>
  <c r="Z299" i="1"/>
  <c r="BP327" i="1"/>
  <c r="BN327" i="1"/>
  <c r="Z327" i="1"/>
  <c r="Y331" i="1"/>
  <c r="BP335" i="1"/>
  <c r="BN335" i="1"/>
  <c r="Z335" i="1"/>
  <c r="Y337" i="1"/>
  <c r="R498" i="1"/>
  <c r="Y343" i="1"/>
  <c r="BP340" i="1"/>
  <c r="BN340" i="1"/>
  <c r="Z340" i="1"/>
  <c r="Y344" i="1"/>
  <c r="BP350" i="1"/>
  <c r="BN350" i="1"/>
  <c r="Z350" i="1"/>
  <c r="BP354" i="1"/>
  <c r="BN354" i="1"/>
  <c r="Z354" i="1"/>
  <c r="Y356" i="1"/>
  <c r="Y361" i="1"/>
  <c r="BP358" i="1"/>
  <c r="BN358" i="1"/>
  <c r="Z358" i="1"/>
  <c r="Z360" i="1" s="1"/>
  <c r="Y360" i="1"/>
  <c r="H9" i="1"/>
  <c r="A10" i="1"/>
  <c r="F9" i="1"/>
  <c r="J9" i="1"/>
  <c r="Z22" i="1"/>
  <c r="Z24" i="1" s="1"/>
  <c r="BN22" i="1"/>
  <c r="BP22" i="1"/>
  <c r="X492" i="1"/>
  <c r="Y25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8" i="1" s="1"/>
  <c r="BN67" i="1"/>
  <c r="Z71" i="1"/>
  <c r="Z75" i="1" s="1"/>
  <c r="BN71" i="1"/>
  <c r="BP71" i="1"/>
  <c r="Z73" i="1"/>
  <c r="BN73" i="1"/>
  <c r="Z79" i="1"/>
  <c r="Z80" i="1" s="1"/>
  <c r="BN79" i="1"/>
  <c r="Z84" i="1"/>
  <c r="BN84" i="1"/>
  <c r="BP84" i="1"/>
  <c r="Z86" i="1"/>
  <c r="BN86" i="1"/>
  <c r="Y89" i="1"/>
  <c r="Z92" i="1"/>
  <c r="BN92" i="1"/>
  <c r="Z94" i="1"/>
  <c r="BN94" i="1"/>
  <c r="Z99" i="1"/>
  <c r="BN99" i="1"/>
  <c r="BP99" i="1"/>
  <c r="Z101" i="1"/>
  <c r="BN101" i="1"/>
  <c r="Z103" i="1"/>
  <c r="BN103" i="1"/>
  <c r="Y104" i="1"/>
  <c r="Z107" i="1"/>
  <c r="BN107" i="1"/>
  <c r="BP107" i="1"/>
  <c r="Z109" i="1"/>
  <c r="BN109" i="1"/>
  <c r="Z115" i="1"/>
  <c r="BN115" i="1"/>
  <c r="Z117" i="1"/>
  <c r="BN117" i="1"/>
  <c r="Z121" i="1"/>
  <c r="Z122" i="1" s="1"/>
  <c r="BN121" i="1"/>
  <c r="BP121" i="1"/>
  <c r="Z126" i="1"/>
  <c r="Z128" i="1" s="1"/>
  <c r="BN126" i="1"/>
  <c r="BP126" i="1"/>
  <c r="Y129" i="1"/>
  <c r="Z132" i="1"/>
  <c r="Z133" i="1" s="1"/>
  <c r="BN132" i="1"/>
  <c r="Z136" i="1"/>
  <c r="BN136" i="1"/>
  <c r="BP136" i="1"/>
  <c r="H498" i="1"/>
  <c r="Z143" i="1"/>
  <c r="Z144" i="1" s="1"/>
  <c r="BN143" i="1"/>
  <c r="Y144" i="1"/>
  <c r="Z147" i="1"/>
  <c r="Z152" i="1" s="1"/>
  <c r="BN147" i="1"/>
  <c r="BP147" i="1"/>
  <c r="Z149" i="1"/>
  <c r="BN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5" i="1"/>
  <c r="Z179" i="1" s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J498" i="1"/>
  <c r="Z194" i="1"/>
  <c r="Z195" i="1" s="1"/>
  <c r="BN194" i="1"/>
  <c r="Y195" i="1"/>
  <c r="Z198" i="1"/>
  <c r="BN198" i="1"/>
  <c r="BP198" i="1"/>
  <c r="Z204" i="1"/>
  <c r="BN204" i="1"/>
  <c r="Z206" i="1"/>
  <c r="BN206" i="1"/>
  <c r="Z208" i="1"/>
  <c r="BN208" i="1"/>
  <c r="Z210" i="1"/>
  <c r="BN210" i="1"/>
  <c r="Z214" i="1"/>
  <c r="BN214" i="1"/>
  <c r="BP214" i="1"/>
  <c r="Z216" i="1"/>
  <c r="BP220" i="1"/>
  <c r="BN220" i="1"/>
  <c r="Z220" i="1"/>
  <c r="Y228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BP286" i="1"/>
  <c r="BN286" i="1"/>
  <c r="Z286" i="1"/>
  <c r="Z287" i="1" s="1"/>
  <c r="Y288" i="1"/>
  <c r="Y293" i="1"/>
  <c r="BP290" i="1"/>
  <c r="BN290" i="1"/>
  <c r="Z290" i="1"/>
  <c r="Z292" i="1" s="1"/>
  <c r="Y292" i="1"/>
  <c r="BP307" i="1"/>
  <c r="BN307" i="1"/>
  <c r="Z307" i="1"/>
  <c r="BP315" i="1"/>
  <c r="BN315" i="1"/>
  <c r="Z315" i="1"/>
  <c r="BP379" i="1"/>
  <c r="BN379" i="1"/>
  <c r="Z379" i="1"/>
  <c r="Z380" i="1" s="1"/>
  <c r="Y381" i="1"/>
  <c r="Y386" i="1"/>
  <c r="BP383" i="1"/>
  <c r="BN383" i="1"/>
  <c r="Z383" i="1"/>
  <c r="Y387" i="1"/>
  <c r="BP393" i="1"/>
  <c r="BN393" i="1"/>
  <c r="Z393" i="1"/>
  <c r="BP397" i="1"/>
  <c r="BN397" i="1"/>
  <c r="Z397" i="1"/>
  <c r="BP414" i="1"/>
  <c r="BN414" i="1"/>
  <c r="Z414" i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Y446" i="1"/>
  <c r="BP450" i="1"/>
  <c r="BN450" i="1"/>
  <c r="Z450" i="1"/>
  <c r="Y454" i="1"/>
  <c r="K498" i="1"/>
  <c r="Y242" i="1"/>
  <c r="L498" i="1"/>
  <c r="Y266" i="1"/>
  <c r="BP263" i="1"/>
  <c r="BN263" i="1"/>
  <c r="BP265" i="1"/>
  <c r="BN265" i="1"/>
  <c r="Z265" i="1"/>
  <c r="Y267" i="1"/>
  <c r="M498" i="1"/>
  <c r="Y275" i="1"/>
  <c r="BP270" i="1"/>
  <c r="BN270" i="1"/>
  <c r="Z270" i="1"/>
  <c r="Z274" i="1" s="1"/>
  <c r="Y274" i="1"/>
  <c r="BP279" i="1"/>
  <c r="BN279" i="1"/>
  <c r="Z279" i="1"/>
  <c r="Z281" i="1" s="1"/>
  <c r="BP297" i="1"/>
  <c r="BN297" i="1"/>
  <c r="Z297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Y330" i="1"/>
  <c r="BP329" i="1"/>
  <c r="BN329" i="1"/>
  <c r="Z329" i="1"/>
  <c r="Y336" i="1"/>
  <c r="BP333" i="1"/>
  <c r="BN333" i="1"/>
  <c r="Z333" i="1"/>
  <c r="Z336" i="1" s="1"/>
  <c r="BP342" i="1"/>
  <c r="BN342" i="1"/>
  <c r="Z342" i="1"/>
  <c r="Y355" i="1"/>
  <c r="BP348" i="1"/>
  <c r="BN348" i="1"/>
  <c r="Z348" i="1"/>
  <c r="BP352" i="1"/>
  <c r="BN352" i="1"/>
  <c r="Z352" i="1"/>
  <c r="BP364" i="1"/>
  <c r="BN364" i="1"/>
  <c r="Z364" i="1"/>
  <c r="Z365" i="1" s="1"/>
  <c r="Y366" i="1"/>
  <c r="Y369" i="1"/>
  <c r="BP368" i="1"/>
  <c r="BN368" i="1"/>
  <c r="Z368" i="1"/>
  <c r="Z369" i="1" s="1"/>
  <c r="Y370" i="1"/>
  <c r="T498" i="1"/>
  <c r="Y376" i="1"/>
  <c r="BP373" i="1"/>
  <c r="BN373" i="1"/>
  <c r="Z373" i="1"/>
  <c r="Y380" i="1"/>
  <c r="BP385" i="1"/>
  <c r="BN385" i="1"/>
  <c r="Z385" i="1"/>
  <c r="U498" i="1"/>
  <c r="Y400" i="1"/>
  <c r="BP391" i="1"/>
  <c r="BN391" i="1"/>
  <c r="Z391" i="1"/>
  <c r="BP395" i="1"/>
  <c r="BN395" i="1"/>
  <c r="Z395" i="1"/>
  <c r="BP399" i="1"/>
  <c r="BN399" i="1"/>
  <c r="Z399" i="1"/>
  <c r="Y401" i="1"/>
  <c r="Y406" i="1"/>
  <c r="BP403" i="1"/>
  <c r="BN403" i="1"/>
  <c r="Z403" i="1"/>
  <c r="Z405" i="1" s="1"/>
  <c r="S498" i="1"/>
  <c r="BP460" i="1"/>
  <c r="BN460" i="1"/>
  <c r="Z460" i="1"/>
  <c r="Y498" i="1"/>
  <c r="Y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P498" i="1"/>
  <c r="Y287" i="1"/>
  <c r="Y302" i="1"/>
  <c r="V498" i="1"/>
  <c r="Y411" i="1"/>
  <c r="Y418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55" i="1"/>
  <c r="BP448" i="1"/>
  <c r="BN448" i="1"/>
  <c r="Z448" i="1"/>
  <c r="BP452" i="1"/>
  <c r="BN452" i="1"/>
  <c r="Z452" i="1"/>
  <c r="Y463" i="1"/>
  <c r="BP462" i="1"/>
  <c r="BN462" i="1"/>
  <c r="Z462" i="1"/>
  <c r="Y469" i="1"/>
  <c r="BP466" i="1"/>
  <c r="BN466" i="1"/>
  <c r="Z466" i="1"/>
  <c r="Z468" i="1" s="1"/>
  <c r="Y481" i="1"/>
  <c r="Y439" i="1"/>
  <c r="Z375" i="1" l="1"/>
  <c r="Z323" i="1"/>
  <c r="Z317" i="1"/>
  <c r="Z310" i="1"/>
  <c r="Z301" i="1"/>
  <c r="Z266" i="1"/>
  <c r="Z257" i="1"/>
  <c r="X491" i="1"/>
  <c r="Z211" i="1"/>
  <c r="Z118" i="1"/>
  <c r="Z31" i="1"/>
  <c r="Z463" i="1"/>
  <c r="Z417" i="1"/>
  <c r="Z241" i="1"/>
  <c r="Z200" i="1"/>
  <c r="Z138" i="1"/>
  <c r="Z95" i="1"/>
  <c r="Z330" i="1"/>
  <c r="Z439" i="1"/>
  <c r="Z454" i="1"/>
  <c r="Z400" i="1"/>
  <c r="Z355" i="1"/>
  <c r="Z386" i="1"/>
  <c r="Z111" i="1"/>
  <c r="Z104" i="1"/>
  <c r="Z88" i="1"/>
  <c r="Z43" i="1"/>
  <c r="Y488" i="1"/>
  <c r="Y490" i="1"/>
  <c r="Z343" i="1"/>
  <c r="Y492" i="1"/>
  <c r="Z445" i="1"/>
  <c r="Z223" i="1"/>
  <c r="Y489" i="1"/>
  <c r="Y491" i="1" s="1"/>
  <c r="Z493" i="1" l="1"/>
</calcChain>
</file>

<file path=xl/sharedStrings.xml><?xml version="1.0" encoding="utf-8"?>
<sst xmlns="http://schemas.openxmlformats.org/spreadsheetml/2006/main" count="2284" uniqueCount="768">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</sst>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116" sqref="AA116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46048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0.45833333333333331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0</v>
      </c>
      <c r="Y40" s="546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0</v>
      </c>
      <c r="Y43" s="547">
        <f>IFERROR(Y40/H40,"0")+IFERROR(Y41/H41,"0")+IFERROR(Y42/H42,"0")</f>
        <v>0</v>
      </c>
      <c r="Z43" s="547">
        <f>IFERROR(IF(Z40="",0,Z40),"0")+IFERROR(IF(Z41="",0,Z41),"0")+IFERROR(IF(Z42="",0,Z42),"0")</f>
        <v>0</v>
      </c>
      <c r="AA43" s="548"/>
      <c r="AB43" s="548"/>
      <c r="AC43" s="548"/>
    </row>
    <row r="44" spans="1:68" hidden="1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0</v>
      </c>
      <c r="Y44" s="547">
        <f>IFERROR(SUM(Y40:Y42),"0")</f>
        <v>0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hidden="1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hidden="1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 t="s">
        <v>110</v>
      </c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hidden="1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hidden="1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hidden="1" customHeight="1" x14ac:dyDescent="0.25">
      <c r="A97" s="560" t="s">
        <v>190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hidden="1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180</v>
      </c>
      <c r="Y116" s="546">
        <f>IFERROR(IF(X116="",0,CEILING((X116/$H116),1)*$H116),"")</f>
        <v>180.9</v>
      </c>
      <c r="Z116" s="36">
        <f>IFERROR(IF(Y116=0,"",ROUNDUP(Y116/H116,0)*0.00651),"")</f>
        <v>0.43617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196.79999999999998</v>
      </c>
      <c r="BN116" s="64">
        <f>IFERROR(Y116*I116/H116,"0")</f>
        <v>197.78399999999999</v>
      </c>
      <c r="BO116" s="64">
        <f>IFERROR(1/J116*(X116/H116),"0")</f>
        <v>0.36630036630036628</v>
      </c>
      <c r="BP116" s="64">
        <f>IFERROR(1/J116*(Y116/H116),"0")</f>
        <v>0.36813186813186816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66.666666666666657</v>
      </c>
      <c r="Y118" s="547">
        <f>IFERROR(Y114/H114,"0")+IFERROR(Y115/H115,"0")+IFERROR(Y116/H116,"0")+IFERROR(Y117/H117,"0")</f>
        <v>67</v>
      </c>
      <c r="Z118" s="547">
        <f>IFERROR(IF(Z114="",0,Z114),"0")+IFERROR(IF(Z115="",0,Z115),"0")+IFERROR(IF(Z116="",0,Z116),"0")+IFERROR(IF(Z117="",0,Z117),"0")</f>
        <v>0.43617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180</v>
      </c>
      <c r="Y119" s="547">
        <f>IFERROR(SUM(Y114:Y117),"0")</f>
        <v>180.9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186</v>
      </c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/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110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210</v>
      </c>
      <c r="Y176" s="546">
        <f t="shared" si="5"/>
        <v>210</v>
      </c>
      <c r="Z176" s="36">
        <f>IFERROR(IF(Y176=0,"",ROUNDUP(Y176/H176,0)*0.00502),"")</f>
        <v>0.502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220.00000000000003</v>
      </c>
      <c r="BN176" s="64">
        <f t="shared" si="7"/>
        <v>220.00000000000003</v>
      </c>
      <c r="BO176" s="64">
        <f t="shared" si="8"/>
        <v>0.42735042735042739</v>
      </c>
      <c r="BP176" s="64">
        <f t="shared" si="9"/>
        <v>0.42735042735042739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100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100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0.502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210</v>
      </c>
      <c r="Y180" s="547">
        <f>IFERROR(SUM(Y165:Y178),"0")</f>
        <v>210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 t="s">
        <v>186</v>
      </c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106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/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110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 t="s">
        <v>103</v>
      </c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 t="s">
        <v>106</v>
      </c>
      <c r="AK214" s="68">
        <v>64.8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186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186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320</v>
      </c>
      <c r="Y220" s="546">
        <f t="shared" si="15"/>
        <v>321.59999999999997</v>
      </c>
      <c r="Z220" s="36">
        <f t="shared" si="20"/>
        <v>0.87234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353.60000000000008</v>
      </c>
      <c r="BN220" s="64">
        <f t="shared" si="17"/>
        <v>355.36799999999999</v>
      </c>
      <c r="BO220" s="64">
        <f t="shared" si="18"/>
        <v>0.73260073260073266</v>
      </c>
      <c r="BP220" s="64">
        <f t="shared" si="19"/>
        <v>0.73626373626373631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186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186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133.33333333333334</v>
      </c>
      <c r="Y223" s="547">
        <f>IFERROR(Y214/H214,"0")+IFERROR(Y215/H215,"0")+IFERROR(Y216/H216,"0")+IFERROR(Y217/H217,"0")+IFERROR(Y218/H218,"0")+IFERROR(Y219/H219,"0")+IFERROR(Y220/H220,"0")+IFERROR(Y221/H221,"0")+IFERROR(Y222/H222,"0")</f>
        <v>134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0.87234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320</v>
      </c>
      <c r="Y224" s="547">
        <f>IFERROR(SUM(Y214:Y222),"0")</f>
        <v>321.59999999999997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/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 t="s">
        <v>110</v>
      </c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106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 t="s">
        <v>103</v>
      </c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106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 t="s">
        <v>103</v>
      </c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106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186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186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 t="s">
        <v>110</v>
      </c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106</v>
      </c>
      <c r="AK305" s="68">
        <v>50.4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 t="s">
        <v>103</v>
      </c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 t="s">
        <v>106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/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/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hidden="1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 t="s">
        <v>186</v>
      </c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106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/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 t="s">
        <v>186</v>
      </c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 t="s">
        <v>186</v>
      </c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hidden="1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0</v>
      </c>
      <c r="Y348" s="546">
        <f t="shared" ref="Y348:Y354" si="31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0</v>
      </c>
      <c r="BN348" s="64">
        <f t="shared" ref="BN348:BN354" si="33">IFERROR(Y348*I348/H348,"0")</f>
        <v>0</v>
      </c>
      <c r="BO348" s="64">
        <f t="shared" ref="BO348:BO354" si="34">IFERROR(1/J348*(X348/H348),"0")</f>
        <v>0</v>
      </c>
      <c r="BP348" s="64">
        <f t="shared" ref="BP348:BP354" si="35">IFERROR(1/J348*(Y348/H348),"0")</f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37.5" hidden="1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hidden="1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0</v>
      </c>
      <c r="Y355" s="547">
        <f>IFERROR(Y348/H348,"0")+IFERROR(Y349/H349,"0")+IFERROR(Y350/H350,"0")+IFERROR(Y351/H351,"0")+IFERROR(Y352/H352,"0")+IFERROR(Y353/H353,"0")+IFERROR(Y354/H354,"0")</f>
        <v>0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548"/>
      <c r="AB355" s="548"/>
      <c r="AC355" s="548"/>
    </row>
    <row r="356" spans="1:68" hidden="1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0</v>
      </c>
      <c r="Y356" s="547">
        <f>IFERROR(SUM(Y348:Y354),"0")</f>
        <v>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400</v>
      </c>
      <c r="Y358" s="546">
        <f>IFERROR(IF(X358="",0,CEILING((X358/$H358),1)*$H358),"")</f>
        <v>405</v>
      </c>
      <c r="Z358" s="36">
        <f>IFERROR(IF(Y358=0,"",ROUNDUP(Y358/H358,0)*0.02175),"")</f>
        <v>0.58724999999999994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412.53333333333336</v>
      </c>
      <c r="BN358" s="64">
        <f>IFERROR(Y358*I358/H358,"0")</f>
        <v>417.69</v>
      </c>
      <c r="BO358" s="64">
        <f>IFERROR(1/J358*(X358/H358),"0")</f>
        <v>0.55555555555555558</v>
      </c>
      <c r="BP358" s="64">
        <f>IFERROR(1/J358*(Y358/H358),"0")</f>
        <v>0.5625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26.666666666666668</v>
      </c>
      <c r="Y360" s="547">
        <f>IFERROR(Y358/H358,"0")+IFERROR(Y359/H359,"0")</f>
        <v>27</v>
      </c>
      <c r="Z360" s="547">
        <f>IFERROR(IF(Z358="",0,Z358),"0")+IFERROR(IF(Z359="",0,Z359),"0")</f>
        <v>0.58724999999999994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400</v>
      </c>
      <c r="Y361" s="547">
        <f>IFERROR(SUM(Y358:Y359),"0")</f>
        <v>405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hidden="1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 t="s">
        <v>103</v>
      </c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 t="s">
        <v>106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 t="s">
        <v>110</v>
      </c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 t="s">
        <v>106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1090</v>
      </c>
      <c r="Y383" s="546">
        <f>IFERROR(IF(X383="",0,CEILING((X383/$H383),1)*$H383),"")</f>
        <v>1098</v>
      </c>
      <c r="Z383" s="36">
        <f>IFERROR(IF(Y383=0,"",ROUNDUP(Y383/H383,0)*0.01898),"")</f>
        <v>2.3155600000000001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1149.8288888888887</v>
      </c>
      <c r="BN383" s="64">
        <f>IFERROR(Y383*I383/H383,"0")</f>
        <v>1158.268</v>
      </c>
      <c r="BO383" s="64">
        <f>IFERROR(1/J383*(X383/H383),"0")</f>
        <v>1.8923611111111112</v>
      </c>
      <c r="BP383" s="64">
        <f>IFERROR(1/J383*(Y383/H383),"0")</f>
        <v>1.90625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186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121.11111111111111</v>
      </c>
      <c r="Y386" s="547">
        <f>IFERROR(Y383/H383,"0")+IFERROR(Y384/H384,"0")+IFERROR(Y385/H385,"0")</f>
        <v>122</v>
      </c>
      <c r="Z386" s="547">
        <f>IFERROR(IF(Z383="",0,Z383),"0")+IFERROR(IF(Z384="",0,Z384),"0")+IFERROR(IF(Z385="",0,Z385),"0")</f>
        <v>2.3155600000000001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1090</v>
      </c>
      <c r="Y387" s="547">
        <f>IFERROR(SUM(Y383:Y385),"0")</f>
        <v>1098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 t="s">
        <v>110</v>
      </c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 t="s">
        <v>106</v>
      </c>
      <c r="AK393" s="68">
        <v>64.8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300</v>
      </c>
      <c r="Y431" s="546">
        <f t="shared" si="42"/>
        <v>300.96000000000004</v>
      </c>
      <c r="Z431" s="36">
        <f t="shared" si="43"/>
        <v>0.68171999999999999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319.88636363636363</v>
      </c>
      <c r="BN431" s="64">
        <f t="shared" si="45"/>
        <v>320.91000000000003</v>
      </c>
      <c r="BO431" s="64">
        <f t="shared" si="46"/>
        <v>0.54632867132867136</v>
      </c>
      <c r="BP431" s="64">
        <f t="shared" si="47"/>
        <v>0.54807692307692313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56.818181818181813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57.000000000000007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0.68171999999999999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300</v>
      </c>
      <c r="Y440" s="547">
        <f>IFERROR(SUM(Y427:Y438),"0")</f>
        <v>300.96000000000004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400</v>
      </c>
      <c r="Y442" s="546">
        <f>IFERROR(IF(X442="",0,CEILING((X442/$H442),1)*$H442),"")</f>
        <v>401.28000000000003</v>
      </c>
      <c r="Z442" s="36">
        <f>IFERROR(IF(Y442=0,"",ROUNDUP(Y442/H442,0)*0.01196),"")</f>
        <v>0.90895999999999999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426.5151515151515</v>
      </c>
      <c r="BN442" s="64">
        <f>IFERROR(Y442*I442/H442,"0")</f>
        <v>427.88</v>
      </c>
      <c r="BO442" s="64">
        <f>IFERROR(1/J442*(X442/H442),"0")</f>
        <v>0.72843822843822836</v>
      </c>
      <c r="BP442" s="64">
        <f>IFERROR(1/J442*(Y442/H442),"0")</f>
        <v>0.73076923076923084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75.757575757575751</v>
      </c>
      <c r="Y445" s="547">
        <f>IFERROR(Y442/H442,"0")+IFERROR(Y443/H443,"0")+IFERROR(Y444/H444,"0")</f>
        <v>76</v>
      </c>
      <c r="Z445" s="547">
        <f>IFERROR(IF(Z442="",0,Z442),"0")+IFERROR(IF(Z443="",0,Z443),"0")+IFERROR(IF(Z444="",0,Z444),"0")</f>
        <v>0.90895999999999999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400</v>
      </c>
      <c r="Y446" s="547">
        <f>IFERROR(SUM(Y442:Y444),"0")</f>
        <v>401.28000000000003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hidden="1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hidden="1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0</v>
      </c>
      <c r="Y454" s="547">
        <f>IFERROR(Y448/H448,"0")+IFERROR(Y449/H449,"0")+IFERROR(Y450/H450,"0")+IFERROR(Y451/H451,"0")+IFERROR(Y452/H452,"0")+IFERROR(Y453/H453,"0")</f>
        <v>0</v>
      </c>
      <c r="Z454" s="547">
        <f>IFERROR(IF(Z448="",0,Z448),"0")+IFERROR(IF(Z449="",0,Z449),"0")+IFERROR(IF(Z450="",0,Z450),"0")+IFERROR(IF(Z451="",0,Z451),"0")+IFERROR(IF(Z452="",0,Z452),"0")+IFERROR(IF(Z453="",0,Z453),"0")</f>
        <v>0</v>
      </c>
      <c r="AA454" s="548"/>
      <c r="AB454" s="548"/>
      <c r="AC454" s="548"/>
    </row>
    <row r="455" spans="1:68" hidden="1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0</v>
      </c>
      <c r="Y455" s="547">
        <f>IFERROR(SUM(Y448:Y453),"0")</f>
        <v>0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 t="s">
        <v>103</v>
      </c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 t="s">
        <v>106</v>
      </c>
      <c r="AK461" s="68">
        <v>96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 t="s">
        <v>103</v>
      </c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 t="s">
        <v>106</v>
      </c>
      <c r="AK475" s="68">
        <v>72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2900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2917.7400000000002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3079.1637373737371</v>
      </c>
      <c r="Y489" s="547">
        <f>IFERROR(SUM(BN22:BN485),"0")</f>
        <v>3097.9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6</v>
      </c>
      <c r="Y490" s="38">
        <f>ROUNDUP(SUM(BP22:BP485),0)</f>
        <v>6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3229.1637373737371</v>
      </c>
      <c r="Y491" s="547">
        <f>GrossWeightTotalR+PalletQtyTotalR*25</f>
        <v>3247.9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580.35353535353534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583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6.3040000000000003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190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180.9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210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321.59999999999997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405</v>
      </c>
      <c r="T498" s="46">
        <f>IFERROR(Y373*1,"0")+IFERROR(Y374*1,"0")+IFERROR(Y378*1,"0")+IFERROR(Y379*1,"0")+IFERROR(Y383*1,"0")+IFERROR(Y384*1,"0")+IFERROR(Y385*1,"0")</f>
        <v>1098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702.24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fnz0DG5DRnjJHhCnQRq2YTTa9uvGcHaAiAay2SESnKKo4UuJQRxCkWI9o2YNV+q3J90/sJ4nTcs8+MmCxx0OYw==" saltValue="c1Vg350yDZ4Cj/oCuRd2x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0,00"/>
        <filter val="100,00"/>
        <filter val="121,11"/>
        <filter val="133,33"/>
        <filter val="180,00"/>
        <filter val="2 900,00"/>
        <filter val="210,00"/>
        <filter val="26,67"/>
        <filter val="3 079,16"/>
        <filter val="3 229,16"/>
        <filter val="300,00"/>
        <filter val="320,00"/>
        <filter val="400,00"/>
        <filter val="56,82"/>
        <filter val="580,35"/>
        <filter val="6"/>
        <filter val="66,67"/>
        <filter val="75,76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8 X84 X86:X87 X91 X93:X94 X99 X101:X102 X107 X114 X116 X126:X127 X131 X167 X169 X176 X194 X203:X208 X210 X214:X217 X219:X222 X239 X261 X263 X279:X280 X305 X313 X321 X328:X329 X341:X342 X348:X350 X358 X373 X378 X383:X384 X393 X427 X430:X431 X433 X442 X444 X448:X450 X46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nRcQEMPvMMmv2SF8IJ/JgXk+B1RH85izkwPFln9byq4yteWfcc6RwY+XBRJyrm2yQPtRJm/89Z1REextb5Prdg==" saltValue="PKk/GTZvaZqeR9LB7x0h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