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B672A08-527E-4DBE-AA47-F50185A213B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O341" i="1"/>
  <c r="BM341" i="1"/>
  <c r="Y341" i="1"/>
  <c r="P341" i="1"/>
  <c r="BO340" i="1"/>
  <c r="BM340" i="1"/>
  <c r="Y340" i="1"/>
  <c r="Y343" i="1" s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4" i="1"/>
  <c r="X323" i="1"/>
  <c r="BO322" i="1"/>
  <c r="BM322" i="1"/>
  <c r="Y322" i="1"/>
  <c r="P322" i="1"/>
  <c r="BO321" i="1"/>
  <c r="BM321" i="1"/>
  <c r="Y321" i="1"/>
  <c r="Y323" i="1" s="1"/>
  <c r="P321" i="1"/>
  <c r="BP320" i="1"/>
  <c r="BO320" i="1"/>
  <c r="BN320" i="1"/>
  <c r="BM320" i="1"/>
  <c r="Z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BP280" i="1" s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O262" i="1"/>
  <c r="BM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BP226" i="1" s="1"/>
  <c r="P226" i="1"/>
  <c r="X224" i="1"/>
  <c r="X223" i="1"/>
  <c r="BO222" i="1"/>
  <c r="BM222" i="1"/>
  <c r="Y222" i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O216" i="1"/>
  <c r="BM216" i="1"/>
  <c r="Y216" i="1"/>
  <c r="BP216" i="1" s="1"/>
  <c r="P216" i="1"/>
  <c r="BO215" i="1"/>
  <c r="BM215" i="1"/>
  <c r="Y215" i="1"/>
  <c r="P215" i="1"/>
  <c r="BO214" i="1"/>
  <c r="BM214" i="1"/>
  <c r="Y214" i="1"/>
  <c r="P214" i="1"/>
  <c r="X212" i="1"/>
  <c r="X211" i="1"/>
  <c r="BO210" i="1"/>
  <c r="BM210" i="1"/>
  <c r="Y210" i="1"/>
  <c r="BP210" i="1" s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X201" i="1"/>
  <c r="X200" i="1"/>
  <c r="BO199" i="1"/>
  <c r="BM199" i="1"/>
  <c r="Y199" i="1"/>
  <c r="Z199" i="1" s="1"/>
  <c r="P199" i="1"/>
  <c r="BO198" i="1"/>
  <c r="BM198" i="1"/>
  <c r="Y198" i="1"/>
  <c r="Y200" i="1" s="1"/>
  <c r="P198" i="1"/>
  <c r="X196" i="1"/>
  <c r="X195" i="1"/>
  <c r="BO194" i="1"/>
  <c r="BM194" i="1"/>
  <c r="Y194" i="1"/>
  <c r="Y196" i="1" s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P182" i="1"/>
  <c r="X180" i="1"/>
  <c r="X179" i="1"/>
  <c r="BO178" i="1"/>
  <c r="BM178" i="1"/>
  <c r="Y178" i="1"/>
  <c r="BP178" i="1" s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Y157" i="1" s="1"/>
  <c r="P155" i="1"/>
  <c r="X153" i="1"/>
  <c r="X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BP149" i="1" s="1"/>
  <c r="P149" i="1"/>
  <c r="BO148" i="1"/>
  <c r="BM148" i="1"/>
  <c r="Y148" i="1"/>
  <c r="BP148" i="1" s="1"/>
  <c r="P148" i="1"/>
  <c r="BO147" i="1"/>
  <c r="BM147" i="1"/>
  <c r="Y147" i="1"/>
  <c r="Y153" i="1" s="1"/>
  <c r="P147" i="1"/>
  <c r="X145" i="1"/>
  <c r="X144" i="1"/>
  <c r="BO143" i="1"/>
  <c r="BM143" i="1"/>
  <c r="Y143" i="1"/>
  <c r="Y145" i="1" s="1"/>
  <c r="P143" i="1"/>
  <c r="BP142" i="1"/>
  <c r="BO142" i="1"/>
  <c r="BN142" i="1"/>
  <c r="BM142" i="1"/>
  <c r="Z142" i="1"/>
  <c r="Y142" i="1"/>
  <c r="P142" i="1"/>
  <c r="X139" i="1"/>
  <c r="X138" i="1"/>
  <c r="BO137" i="1"/>
  <c r="BM137" i="1"/>
  <c r="Y137" i="1"/>
  <c r="BP137" i="1" s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O131" i="1"/>
  <c r="BM131" i="1"/>
  <c r="Y131" i="1"/>
  <c r="P131" i="1"/>
  <c r="X129" i="1"/>
  <c r="X128" i="1"/>
  <c r="BO127" i="1"/>
  <c r="BM127" i="1"/>
  <c r="Y127" i="1"/>
  <c r="BP127" i="1" s="1"/>
  <c r="P127" i="1"/>
  <c r="BO126" i="1"/>
  <c r="BM126" i="1"/>
  <c r="Y126" i="1"/>
  <c r="G498" i="1" s="1"/>
  <c r="P126" i="1"/>
  <c r="X123" i="1"/>
  <c r="X122" i="1"/>
  <c r="BO121" i="1"/>
  <c r="BM121" i="1"/>
  <c r="Y121" i="1"/>
  <c r="Y123" i="1" s="1"/>
  <c r="P121" i="1"/>
  <c r="X119" i="1"/>
  <c r="X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BO114" i="1"/>
  <c r="BM114" i="1"/>
  <c r="Y114" i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Y111" i="1" s="1"/>
  <c r="P107" i="1"/>
  <c r="X105" i="1"/>
  <c r="X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BP85" i="1" s="1"/>
  <c r="P85" i="1"/>
  <c r="BO84" i="1"/>
  <c r="BM84" i="1"/>
  <c r="Y84" i="1"/>
  <c r="P84" i="1"/>
  <c r="X81" i="1"/>
  <c r="X80" i="1"/>
  <c r="BO79" i="1"/>
  <c r="BM79" i="1"/>
  <c r="Y79" i="1"/>
  <c r="P79" i="1"/>
  <c r="BP78" i="1"/>
  <c r="BO78" i="1"/>
  <c r="BN78" i="1"/>
  <c r="BM78" i="1"/>
  <c r="Z78" i="1"/>
  <c r="Y78" i="1"/>
  <c r="P78" i="1"/>
  <c r="X76" i="1"/>
  <c r="X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P67" i="1"/>
  <c r="BO66" i="1"/>
  <c r="BM66" i="1"/>
  <c r="Y66" i="1"/>
  <c r="Y68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P61" i="1"/>
  <c r="BO60" i="1"/>
  <c r="BM60" i="1"/>
  <c r="Y60" i="1"/>
  <c r="BP60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Y51" i="1"/>
  <c r="Z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498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P28" i="1"/>
  <c r="BO27" i="1"/>
  <c r="BM27" i="1"/>
  <c r="Y27" i="1"/>
  <c r="Y31" i="1" s="1"/>
  <c r="P27" i="1"/>
  <c r="X25" i="1"/>
  <c r="X488" i="1" s="1"/>
  <c r="X24" i="1"/>
  <c r="BP23" i="1"/>
  <c r="BO23" i="1"/>
  <c r="BN23" i="1"/>
  <c r="BM23" i="1"/>
  <c r="Z23" i="1"/>
  <c r="Y23" i="1"/>
  <c r="P23" i="1"/>
  <c r="BO22" i="1"/>
  <c r="BM22" i="1"/>
  <c r="X489" i="1" s="1"/>
  <c r="Y22" i="1"/>
  <c r="P22" i="1"/>
  <c r="H10" i="1"/>
  <c r="A9" i="1"/>
  <c r="A10" i="1" s="1"/>
  <c r="D7" i="1"/>
  <c r="Q6" i="1"/>
  <c r="P2" i="1"/>
  <c r="BP150" i="1" l="1"/>
  <c r="BN150" i="1"/>
  <c r="Z150" i="1"/>
  <c r="BP182" i="1"/>
  <c r="BN182" i="1"/>
  <c r="Z182" i="1"/>
  <c r="BP214" i="1"/>
  <c r="BN214" i="1"/>
  <c r="Z214" i="1"/>
  <c r="BP237" i="1"/>
  <c r="BN237" i="1"/>
  <c r="Z237" i="1"/>
  <c r="BP278" i="1"/>
  <c r="BN278" i="1"/>
  <c r="Z278" i="1"/>
  <c r="BP314" i="1"/>
  <c r="BN314" i="1"/>
  <c r="Z314" i="1"/>
  <c r="BP350" i="1"/>
  <c r="BN350" i="1"/>
  <c r="Z350" i="1"/>
  <c r="BP393" i="1"/>
  <c r="BN393" i="1"/>
  <c r="Z393" i="1"/>
  <c r="BP429" i="1"/>
  <c r="BN429" i="1"/>
  <c r="Z429" i="1"/>
  <c r="BP453" i="1"/>
  <c r="BN453" i="1"/>
  <c r="Z453" i="1"/>
  <c r="Z29" i="1"/>
  <c r="BN29" i="1"/>
  <c r="Z56" i="1"/>
  <c r="BN56" i="1"/>
  <c r="Z72" i="1"/>
  <c r="BN72" i="1"/>
  <c r="Z87" i="1"/>
  <c r="BN87" i="1"/>
  <c r="Y95" i="1"/>
  <c r="Z102" i="1"/>
  <c r="BN102" i="1"/>
  <c r="BP131" i="1"/>
  <c r="BN131" i="1"/>
  <c r="Z131" i="1"/>
  <c r="BP172" i="1"/>
  <c r="BN172" i="1"/>
  <c r="Z172" i="1"/>
  <c r="BP204" i="1"/>
  <c r="BN204" i="1"/>
  <c r="Z204" i="1"/>
  <c r="BP222" i="1"/>
  <c r="BN222" i="1"/>
  <c r="Z222" i="1"/>
  <c r="BP262" i="1"/>
  <c r="BN262" i="1"/>
  <c r="Z262" i="1"/>
  <c r="Q498" i="1"/>
  <c r="BP300" i="1"/>
  <c r="BN300" i="1"/>
  <c r="Z300" i="1"/>
  <c r="BP326" i="1"/>
  <c r="BN326" i="1"/>
  <c r="Z326" i="1"/>
  <c r="BP364" i="1"/>
  <c r="BN364" i="1"/>
  <c r="Z364" i="1"/>
  <c r="Y370" i="1"/>
  <c r="Y369" i="1"/>
  <c r="BP368" i="1"/>
  <c r="BN368" i="1"/>
  <c r="Z368" i="1"/>
  <c r="Z369" i="1" s="1"/>
  <c r="BP373" i="1"/>
  <c r="BN373" i="1"/>
  <c r="Z373" i="1"/>
  <c r="BP403" i="1"/>
  <c r="BN403" i="1"/>
  <c r="Z403" i="1"/>
  <c r="BP437" i="1"/>
  <c r="BN437" i="1"/>
  <c r="Z437" i="1"/>
  <c r="Y473" i="1"/>
  <c r="Y472" i="1"/>
  <c r="BP471" i="1"/>
  <c r="BN471" i="1"/>
  <c r="Z471" i="1"/>
  <c r="Z472" i="1" s="1"/>
  <c r="Y477" i="1"/>
  <c r="Y476" i="1"/>
  <c r="BP475" i="1"/>
  <c r="BN475" i="1"/>
  <c r="Z475" i="1"/>
  <c r="Z476" i="1" s="1"/>
  <c r="BP479" i="1"/>
  <c r="BN479" i="1"/>
  <c r="Z479" i="1"/>
  <c r="Y118" i="1"/>
  <c r="Y134" i="1"/>
  <c r="I498" i="1"/>
  <c r="Y179" i="1"/>
  <c r="Y185" i="1"/>
  <c r="Y281" i="1"/>
  <c r="BP298" i="1"/>
  <c r="BN298" i="1"/>
  <c r="Z298" i="1"/>
  <c r="BP308" i="1"/>
  <c r="BN308" i="1"/>
  <c r="Z308" i="1"/>
  <c r="BP322" i="1"/>
  <c r="BN322" i="1"/>
  <c r="Z322" i="1"/>
  <c r="BP341" i="1"/>
  <c r="BN341" i="1"/>
  <c r="Z341" i="1"/>
  <c r="BP342" i="1"/>
  <c r="BN342" i="1"/>
  <c r="Z342" i="1"/>
  <c r="BP348" i="1"/>
  <c r="BN348" i="1"/>
  <c r="Z348" i="1"/>
  <c r="Y360" i="1"/>
  <c r="BP358" i="1"/>
  <c r="BN358" i="1"/>
  <c r="Z358" i="1"/>
  <c r="BP385" i="1"/>
  <c r="BN385" i="1"/>
  <c r="Z385" i="1"/>
  <c r="BP391" i="1"/>
  <c r="BN391" i="1"/>
  <c r="Z391" i="1"/>
  <c r="BP399" i="1"/>
  <c r="BN399" i="1"/>
  <c r="Z399" i="1"/>
  <c r="Y423" i="1"/>
  <c r="W498" i="1"/>
  <c r="Y422" i="1"/>
  <c r="BP421" i="1"/>
  <c r="BN421" i="1"/>
  <c r="Z421" i="1"/>
  <c r="Z422" i="1" s="1"/>
  <c r="BP427" i="1"/>
  <c r="BN427" i="1"/>
  <c r="Z427" i="1"/>
  <c r="BP435" i="1"/>
  <c r="BN435" i="1"/>
  <c r="Z435" i="1"/>
  <c r="BP451" i="1"/>
  <c r="BN451" i="1"/>
  <c r="Z451" i="1"/>
  <c r="BP467" i="1"/>
  <c r="BN467" i="1"/>
  <c r="Z467" i="1"/>
  <c r="B498" i="1"/>
  <c r="X490" i="1"/>
  <c r="X491" i="1" s="1"/>
  <c r="Z27" i="1"/>
  <c r="BN27" i="1"/>
  <c r="BP27" i="1"/>
  <c r="Y32" i="1"/>
  <c r="Z41" i="1"/>
  <c r="BN41" i="1"/>
  <c r="Z54" i="1"/>
  <c r="BN54" i="1"/>
  <c r="Z60" i="1"/>
  <c r="BN60" i="1"/>
  <c r="Y63" i="1"/>
  <c r="Z66" i="1"/>
  <c r="BN66" i="1"/>
  <c r="BP66" i="1"/>
  <c r="Z74" i="1"/>
  <c r="BN74" i="1"/>
  <c r="Y80" i="1"/>
  <c r="Z85" i="1"/>
  <c r="BN85" i="1"/>
  <c r="Z91" i="1"/>
  <c r="BN91" i="1"/>
  <c r="BP91" i="1"/>
  <c r="Z100" i="1"/>
  <c r="BN100" i="1"/>
  <c r="Z108" i="1"/>
  <c r="BN108" i="1"/>
  <c r="Z114" i="1"/>
  <c r="BN114" i="1"/>
  <c r="BP114" i="1"/>
  <c r="Y119" i="1"/>
  <c r="Z127" i="1"/>
  <c r="BN127" i="1"/>
  <c r="Y133" i="1"/>
  <c r="Z137" i="1"/>
  <c r="BN137" i="1"/>
  <c r="H498" i="1"/>
  <c r="Z148" i="1"/>
  <c r="BN148" i="1"/>
  <c r="Z166" i="1"/>
  <c r="BN166" i="1"/>
  <c r="Z170" i="1"/>
  <c r="BN170" i="1"/>
  <c r="Z174" i="1"/>
  <c r="BN174" i="1"/>
  <c r="Z178" i="1"/>
  <c r="BN178" i="1"/>
  <c r="Y186" i="1"/>
  <c r="Z184" i="1"/>
  <c r="BN184" i="1"/>
  <c r="Z206" i="1"/>
  <c r="BN206" i="1"/>
  <c r="Z210" i="1"/>
  <c r="BN210" i="1"/>
  <c r="Z216" i="1"/>
  <c r="BN216" i="1"/>
  <c r="Z220" i="1"/>
  <c r="BN220" i="1"/>
  <c r="Z226" i="1"/>
  <c r="BN226" i="1"/>
  <c r="Z235" i="1"/>
  <c r="BN235" i="1"/>
  <c r="Z239" i="1"/>
  <c r="BN239" i="1"/>
  <c r="Z255" i="1"/>
  <c r="BN255" i="1"/>
  <c r="Z264" i="1"/>
  <c r="BN264" i="1"/>
  <c r="Z273" i="1"/>
  <c r="BN273" i="1"/>
  <c r="Z280" i="1"/>
  <c r="BN280" i="1"/>
  <c r="BP285" i="1"/>
  <c r="BN285" i="1"/>
  <c r="Z285" i="1"/>
  <c r="BP304" i="1"/>
  <c r="BN304" i="1"/>
  <c r="Z304" i="1"/>
  <c r="BP316" i="1"/>
  <c r="BN316" i="1"/>
  <c r="Z316" i="1"/>
  <c r="BP328" i="1"/>
  <c r="BN328" i="1"/>
  <c r="Z328" i="1"/>
  <c r="BP352" i="1"/>
  <c r="BN352" i="1"/>
  <c r="Z352" i="1"/>
  <c r="BP379" i="1"/>
  <c r="BN379" i="1"/>
  <c r="Z379" i="1"/>
  <c r="BP395" i="1"/>
  <c r="BN395" i="1"/>
  <c r="Z395" i="1"/>
  <c r="BP414" i="1"/>
  <c r="BN414" i="1"/>
  <c r="Z414" i="1"/>
  <c r="BP431" i="1"/>
  <c r="BN431" i="1"/>
  <c r="Z431" i="1"/>
  <c r="BP443" i="1"/>
  <c r="BN443" i="1"/>
  <c r="Z443" i="1"/>
  <c r="Y463" i="1"/>
  <c r="BP459" i="1"/>
  <c r="BN459" i="1"/>
  <c r="Z459" i="1"/>
  <c r="Y330" i="1"/>
  <c r="Y337" i="1"/>
  <c r="Y387" i="1"/>
  <c r="Y386" i="1"/>
  <c r="Y481" i="1"/>
  <c r="F9" i="1"/>
  <c r="J9" i="1"/>
  <c r="F10" i="1"/>
  <c r="Z22" i="1"/>
  <c r="Z24" i="1" s="1"/>
  <c r="BN22" i="1"/>
  <c r="BP22" i="1"/>
  <c r="X492" i="1"/>
  <c r="Y25" i="1"/>
  <c r="Z28" i="1"/>
  <c r="BN28" i="1"/>
  <c r="BP28" i="1"/>
  <c r="Z30" i="1"/>
  <c r="BN30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BP55" i="1"/>
  <c r="BN55" i="1"/>
  <c r="Z55" i="1"/>
  <c r="Y64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Z80" i="1" s="1"/>
  <c r="Y81" i="1"/>
  <c r="E498" i="1"/>
  <c r="Y89" i="1"/>
  <c r="BP84" i="1"/>
  <c r="BN84" i="1"/>
  <c r="Z84" i="1"/>
  <c r="Y88" i="1"/>
  <c r="BP92" i="1"/>
  <c r="BN92" i="1"/>
  <c r="Z92" i="1"/>
  <c r="H9" i="1"/>
  <c r="Y24" i="1"/>
  <c r="Y44" i="1"/>
  <c r="D498" i="1"/>
  <c r="Y58" i="1"/>
  <c r="BP51" i="1"/>
  <c r="BN51" i="1"/>
  <c r="BP53" i="1"/>
  <c r="BN53" i="1"/>
  <c r="Z53" i="1"/>
  <c r="Y57" i="1"/>
  <c r="BP61" i="1"/>
  <c r="BN61" i="1"/>
  <c r="Z61" i="1"/>
  <c r="Z63" i="1" s="1"/>
  <c r="BP73" i="1"/>
  <c r="BN73" i="1"/>
  <c r="Z73" i="1"/>
  <c r="BP86" i="1"/>
  <c r="BN86" i="1"/>
  <c r="Z86" i="1"/>
  <c r="BP94" i="1"/>
  <c r="BN94" i="1"/>
  <c r="Z94" i="1"/>
  <c r="Y96" i="1"/>
  <c r="F498" i="1"/>
  <c r="Y105" i="1"/>
  <c r="Y104" i="1"/>
  <c r="BP99" i="1"/>
  <c r="BN99" i="1"/>
  <c r="Z99" i="1"/>
  <c r="Z101" i="1"/>
  <c r="BN101" i="1"/>
  <c r="Z103" i="1"/>
  <c r="BN103" i="1"/>
  <c r="Z107" i="1"/>
  <c r="Z111" i="1" s="1"/>
  <c r="BN107" i="1"/>
  <c r="BP107" i="1"/>
  <c r="Z109" i="1"/>
  <c r="BN109" i="1"/>
  <c r="Y112" i="1"/>
  <c r="Z115" i="1"/>
  <c r="Z118" i="1" s="1"/>
  <c r="BN115" i="1"/>
  <c r="BP115" i="1"/>
  <c r="Z117" i="1"/>
  <c r="BN117" i="1"/>
  <c r="Z121" i="1"/>
  <c r="Z122" i="1" s="1"/>
  <c r="BN121" i="1"/>
  <c r="BP121" i="1"/>
  <c r="Y122" i="1"/>
  <c r="Z126" i="1"/>
  <c r="Z128" i="1" s="1"/>
  <c r="BN126" i="1"/>
  <c r="BP126" i="1"/>
  <c r="Y129" i="1"/>
  <c r="Z132" i="1"/>
  <c r="BN132" i="1"/>
  <c r="BP132" i="1"/>
  <c r="Z136" i="1"/>
  <c r="Z138" i="1" s="1"/>
  <c r="BN136" i="1"/>
  <c r="BP136" i="1"/>
  <c r="Y139" i="1"/>
  <c r="Z143" i="1"/>
  <c r="Z144" i="1" s="1"/>
  <c r="BN143" i="1"/>
  <c r="BP143" i="1"/>
  <c r="Y144" i="1"/>
  <c r="Z147" i="1"/>
  <c r="Z152" i="1" s="1"/>
  <c r="BN147" i="1"/>
  <c r="BP147" i="1"/>
  <c r="Z149" i="1"/>
  <c r="BN149" i="1"/>
  <c r="Z151" i="1"/>
  <c r="BN151" i="1"/>
  <c r="Y152" i="1"/>
  <c r="Z155" i="1"/>
  <c r="Z156" i="1" s="1"/>
  <c r="BN155" i="1"/>
  <c r="BP155" i="1"/>
  <c r="Y156" i="1"/>
  <c r="Z161" i="1"/>
  <c r="Z162" i="1" s="1"/>
  <c r="BN161" i="1"/>
  <c r="BP161" i="1"/>
  <c r="Y162" i="1"/>
  <c r="Z165" i="1"/>
  <c r="Z179" i="1" s="1"/>
  <c r="BN165" i="1"/>
  <c r="BP165" i="1"/>
  <c r="Z167" i="1"/>
  <c r="BN167" i="1"/>
  <c r="Z169" i="1"/>
  <c r="BN169" i="1"/>
  <c r="Z171" i="1"/>
  <c r="BN171" i="1"/>
  <c r="Z173" i="1"/>
  <c r="BN173" i="1"/>
  <c r="Z175" i="1"/>
  <c r="BN175" i="1"/>
  <c r="Z177" i="1"/>
  <c r="BN177" i="1"/>
  <c r="Y180" i="1"/>
  <c r="Z183" i="1"/>
  <c r="Z185" i="1" s="1"/>
  <c r="BN183" i="1"/>
  <c r="BP183" i="1"/>
  <c r="J498" i="1"/>
  <c r="Z194" i="1"/>
  <c r="Z195" i="1" s="1"/>
  <c r="BN194" i="1"/>
  <c r="BP194" i="1"/>
  <c r="Y195" i="1"/>
  <c r="Z198" i="1"/>
  <c r="Z200" i="1" s="1"/>
  <c r="BN198" i="1"/>
  <c r="BP198" i="1"/>
  <c r="BP199" i="1"/>
  <c r="BN199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BP335" i="1"/>
  <c r="BN335" i="1"/>
  <c r="Z335" i="1"/>
  <c r="R498" i="1"/>
  <c r="Y344" i="1"/>
  <c r="BP340" i="1"/>
  <c r="BN340" i="1"/>
  <c r="Z340" i="1"/>
  <c r="Z343" i="1" s="1"/>
  <c r="BP374" i="1"/>
  <c r="BN374" i="1"/>
  <c r="Z374" i="1"/>
  <c r="Y376" i="1"/>
  <c r="Y381" i="1"/>
  <c r="BP378" i="1"/>
  <c r="BN378" i="1"/>
  <c r="Z378" i="1"/>
  <c r="Z380" i="1" s="1"/>
  <c r="Y380" i="1"/>
  <c r="Y128" i="1"/>
  <c r="Y163" i="1"/>
  <c r="Y201" i="1"/>
  <c r="Y212" i="1"/>
  <c r="BP203" i="1"/>
  <c r="BN203" i="1"/>
  <c r="Z203" i="1"/>
  <c r="Z211" i="1" s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Z228" i="1" s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M498" i="1"/>
  <c r="Y275" i="1"/>
  <c r="BP270" i="1"/>
  <c r="BN270" i="1"/>
  <c r="Z270" i="1"/>
  <c r="Y274" i="1"/>
  <c r="BP279" i="1"/>
  <c r="BN279" i="1"/>
  <c r="Z279" i="1"/>
  <c r="BP297" i="1"/>
  <c r="BN297" i="1"/>
  <c r="Z297" i="1"/>
  <c r="Z301" i="1" s="1"/>
  <c r="Y301" i="1"/>
  <c r="BP305" i="1"/>
  <c r="BN305" i="1"/>
  <c r="Z305" i="1"/>
  <c r="Z310" i="1" s="1"/>
  <c r="BP309" i="1"/>
  <c r="BN309" i="1"/>
  <c r="Z309" i="1"/>
  <c r="Y311" i="1"/>
  <c r="Y318" i="1"/>
  <c r="BP313" i="1"/>
  <c r="BN313" i="1"/>
  <c r="Z313" i="1"/>
  <c r="Z317" i="1" s="1"/>
  <c r="Y317" i="1"/>
  <c r="BP321" i="1"/>
  <c r="BN321" i="1"/>
  <c r="Z321" i="1"/>
  <c r="Z323" i="1" s="1"/>
  <c r="BP329" i="1"/>
  <c r="BN329" i="1"/>
  <c r="Z329" i="1"/>
  <c r="Y331" i="1"/>
  <c r="Y336" i="1"/>
  <c r="BP333" i="1"/>
  <c r="BN333" i="1"/>
  <c r="Z333" i="1"/>
  <c r="Z336" i="1" s="1"/>
  <c r="BP349" i="1"/>
  <c r="BN349" i="1"/>
  <c r="Z349" i="1"/>
  <c r="Y355" i="1"/>
  <c r="BP353" i="1"/>
  <c r="BN353" i="1"/>
  <c r="Z353" i="1"/>
  <c r="BP392" i="1"/>
  <c r="BN392" i="1"/>
  <c r="Z392" i="1"/>
  <c r="U498" i="1"/>
  <c r="BP396" i="1"/>
  <c r="BN396" i="1"/>
  <c r="Z396" i="1"/>
  <c r="Y400" i="1"/>
  <c r="BP404" i="1"/>
  <c r="BN404" i="1"/>
  <c r="Z404" i="1"/>
  <c r="Z405" i="1" s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O498" i="1"/>
  <c r="Y282" i="1"/>
  <c r="P498" i="1"/>
  <c r="Y287" i="1"/>
  <c r="S498" i="1"/>
  <c r="BP351" i="1"/>
  <c r="BN351" i="1"/>
  <c r="Z351" i="1"/>
  <c r="BP359" i="1"/>
  <c r="BN359" i="1"/>
  <c r="Z359" i="1"/>
  <c r="Z360" i="1" s="1"/>
  <c r="Y361" i="1"/>
  <c r="Y366" i="1"/>
  <c r="BP363" i="1"/>
  <c r="BN363" i="1"/>
  <c r="Z363" i="1"/>
  <c r="Z365" i="1" s="1"/>
  <c r="BP384" i="1"/>
  <c r="BN384" i="1"/>
  <c r="Z384" i="1"/>
  <c r="Y401" i="1"/>
  <c r="BP394" i="1"/>
  <c r="BN394" i="1"/>
  <c r="Z394" i="1"/>
  <c r="BP398" i="1"/>
  <c r="BN398" i="1"/>
  <c r="Z398" i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Z468" i="1" s="1"/>
  <c r="Y468" i="1"/>
  <c r="Y498" i="1"/>
  <c r="Y356" i="1"/>
  <c r="T498" i="1"/>
  <c r="Y375" i="1"/>
  <c r="X498" i="1"/>
  <c r="BP430" i="1"/>
  <c r="BN430" i="1"/>
  <c r="Z430" i="1"/>
  <c r="BP434" i="1"/>
  <c r="BN434" i="1"/>
  <c r="Z434" i="1"/>
  <c r="Z439" i="1" s="1"/>
  <c r="BP438" i="1"/>
  <c r="BN438" i="1"/>
  <c r="Z438" i="1"/>
  <c r="Y445" i="1"/>
  <c r="BP442" i="1"/>
  <c r="BN442" i="1"/>
  <c r="Z442" i="1"/>
  <c r="Z445" i="1" s="1"/>
  <c r="BP450" i="1"/>
  <c r="BN450" i="1"/>
  <c r="Z450" i="1"/>
  <c r="BP460" i="1"/>
  <c r="BN460" i="1"/>
  <c r="Z460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39" i="1"/>
  <c r="Z281" i="1" l="1"/>
  <c r="Z375" i="1"/>
  <c r="Z133" i="1"/>
  <c r="Z400" i="1"/>
  <c r="Z386" i="1"/>
  <c r="Z417" i="1"/>
  <c r="Z355" i="1"/>
  <c r="Z274" i="1"/>
  <c r="Z257" i="1"/>
  <c r="Z223" i="1"/>
  <c r="Z57" i="1"/>
  <c r="Z88" i="1"/>
  <c r="Z31" i="1"/>
  <c r="Z454" i="1"/>
  <c r="Z463" i="1"/>
  <c r="Z266" i="1"/>
  <c r="Z241" i="1"/>
  <c r="Z104" i="1"/>
  <c r="Z43" i="1"/>
  <c r="Y488" i="1"/>
  <c r="Y490" i="1"/>
  <c r="Z330" i="1"/>
  <c r="Y492" i="1"/>
  <c r="Z95" i="1"/>
  <c r="Z75" i="1"/>
  <c r="Y489" i="1"/>
  <c r="Z493" i="1" l="1"/>
  <c r="Y491" i="1"/>
</calcChain>
</file>

<file path=xl/sharedStrings.xml><?xml version="1.0" encoding="utf-8"?>
<sst xmlns="http://schemas.openxmlformats.org/spreadsheetml/2006/main" count="2282" uniqueCount="768">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</sst>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6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44" xfId="0" applyBorder="1" applyProtection="1">
      <protection hidden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3" t="s">
        <v>0</v>
      </c>
      <c r="E1" s="580"/>
      <c r="F1" s="580"/>
      <c r="G1" s="12" t="s">
        <v>1</v>
      </c>
      <c r="H1" s="633" t="s">
        <v>2</v>
      </c>
      <c r="I1" s="580"/>
      <c r="J1" s="580"/>
      <c r="K1" s="580"/>
      <c r="L1" s="580"/>
      <c r="M1" s="580"/>
      <c r="N1" s="580"/>
      <c r="O1" s="580"/>
      <c r="P1" s="580"/>
      <c r="Q1" s="580"/>
      <c r="R1" s="579" t="s">
        <v>3</v>
      </c>
      <c r="S1" s="580"/>
      <c r="T1" s="5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5" t="s">
        <v>8</v>
      </c>
      <c r="B5" s="654"/>
      <c r="C5" s="655"/>
      <c r="D5" s="634"/>
      <c r="E5" s="635"/>
      <c r="F5" s="831" t="s">
        <v>9</v>
      </c>
      <c r="G5" s="655"/>
      <c r="H5" s="634" t="s">
        <v>767</v>
      </c>
      <c r="I5" s="781"/>
      <c r="J5" s="781"/>
      <c r="K5" s="781"/>
      <c r="L5" s="781"/>
      <c r="M5" s="635"/>
      <c r="N5" s="58"/>
      <c r="P5" s="24" t="s">
        <v>10</v>
      </c>
      <c r="Q5" s="834">
        <v>46048</v>
      </c>
      <c r="R5" s="671"/>
      <c r="T5" s="720" t="s">
        <v>11</v>
      </c>
      <c r="U5" s="721"/>
      <c r="V5" s="722" t="s">
        <v>12</v>
      </c>
      <c r="W5" s="671"/>
      <c r="AB5" s="51"/>
      <c r="AC5" s="51"/>
      <c r="AD5" s="51"/>
      <c r="AE5" s="51"/>
    </row>
    <row r="6" spans="1:32" s="539" customFormat="1" ht="24" customHeight="1" x14ac:dyDescent="0.2">
      <c r="A6" s="675" t="s">
        <v>13</v>
      </c>
      <c r="B6" s="654"/>
      <c r="C6" s="655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71"/>
      <c r="N6" s="59"/>
      <c r="P6" s="24" t="s">
        <v>15</v>
      </c>
      <c r="Q6" s="825" t="str">
        <f>IF(Q5=0," ",CHOOSE(WEEKDAY(Q5,2),"Понедельник","Вторник","Среда","Четверг","Пятница","Суббота","Воскресенье"))</f>
        <v>Понедельник</v>
      </c>
      <c r="R6" s="553"/>
      <c r="T6" s="725" t="s">
        <v>16</v>
      </c>
      <c r="U6" s="721"/>
      <c r="V6" s="766" t="s">
        <v>17</v>
      </c>
      <c r="W6" s="623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87" t="str">
        <f>IFERROR(VLOOKUP(DeliveryAddress,Table,3,0),1)</f>
        <v>1</v>
      </c>
      <c r="E7" s="588"/>
      <c r="F7" s="588"/>
      <c r="G7" s="588"/>
      <c r="H7" s="588"/>
      <c r="I7" s="588"/>
      <c r="J7" s="588"/>
      <c r="K7" s="588"/>
      <c r="L7" s="588"/>
      <c r="M7" s="589"/>
      <c r="N7" s="60"/>
      <c r="P7" s="24"/>
      <c r="Q7" s="42"/>
      <c r="R7" s="42"/>
      <c r="T7" s="559"/>
      <c r="U7" s="721"/>
      <c r="V7" s="767"/>
      <c r="W7" s="768"/>
      <c r="AB7" s="51"/>
      <c r="AC7" s="51"/>
      <c r="AD7" s="51"/>
      <c r="AE7" s="51"/>
    </row>
    <row r="8" spans="1:32" s="539" customFormat="1" ht="25.5" customHeight="1" x14ac:dyDescent="0.2">
      <c r="A8" s="855" t="s">
        <v>18</v>
      </c>
      <c r="B8" s="568"/>
      <c r="C8" s="569"/>
      <c r="D8" s="590" t="s">
        <v>19</v>
      </c>
      <c r="E8" s="591"/>
      <c r="F8" s="591"/>
      <c r="G8" s="591"/>
      <c r="H8" s="591"/>
      <c r="I8" s="591"/>
      <c r="J8" s="591"/>
      <c r="K8" s="591"/>
      <c r="L8" s="591"/>
      <c r="M8" s="592"/>
      <c r="N8" s="61"/>
      <c r="P8" s="24" t="s">
        <v>20</v>
      </c>
      <c r="Q8" s="685">
        <v>0.375</v>
      </c>
      <c r="R8" s="589"/>
      <c r="T8" s="559"/>
      <c r="U8" s="721"/>
      <c r="V8" s="767"/>
      <c r="W8" s="768"/>
      <c r="AB8" s="51"/>
      <c r="AC8" s="51"/>
      <c r="AD8" s="51"/>
      <c r="AE8" s="51"/>
    </row>
    <row r="9" spans="1:32" s="539" customFormat="1" ht="39.950000000000003" customHeight="1" x14ac:dyDescent="0.2">
      <c r="A9" s="6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6"/>
      <c r="E9" s="572"/>
      <c r="F9" s="6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7"/>
      <c r="P9" s="26" t="s">
        <v>21</v>
      </c>
      <c r="Q9" s="666"/>
      <c r="R9" s="667"/>
      <c r="T9" s="559"/>
      <c r="U9" s="721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6"/>
      <c r="E10" s="572"/>
      <c r="F10" s="6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8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6"/>
      <c r="R10" s="727"/>
      <c r="U10" s="24" t="s">
        <v>23</v>
      </c>
      <c r="V10" s="622" t="s">
        <v>24</v>
      </c>
      <c r="W10" s="623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808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6" t="s">
        <v>29</v>
      </c>
      <c r="B12" s="654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5"/>
      <c r="N12" s="62"/>
      <c r="P12" s="24" t="s">
        <v>30</v>
      </c>
      <c r="Q12" s="685"/>
      <c r="R12" s="589"/>
      <c r="S12" s="23"/>
      <c r="U12" s="24"/>
      <c r="V12" s="580"/>
      <c r="W12" s="559"/>
      <c r="AB12" s="51"/>
      <c r="AC12" s="51"/>
      <c r="AD12" s="51"/>
      <c r="AE12" s="51"/>
    </row>
    <row r="13" spans="1:32" s="539" customFormat="1" ht="23.25" customHeight="1" x14ac:dyDescent="0.2">
      <c r="A13" s="716" t="s">
        <v>31</v>
      </c>
      <c r="B13" s="654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5"/>
      <c r="N13" s="62"/>
      <c r="O13" s="26"/>
      <c r="P13" s="26" t="s">
        <v>32</v>
      </c>
      <c r="Q13" s="808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6" t="s">
        <v>33</v>
      </c>
      <c r="B14" s="654"/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1" t="s">
        <v>34</v>
      </c>
      <c r="B15" s="654"/>
      <c r="C15" s="654"/>
      <c r="D15" s="654"/>
      <c r="E15" s="654"/>
      <c r="F15" s="654"/>
      <c r="G15" s="654"/>
      <c r="H15" s="654"/>
      <c r="I15" s="654"/>
      <c r="J15" s="654"/>
      <c r="K15" s="654"/>
      <c r="L15" s="654"/>
      <c r="M15" s="655"/>
      <c r="N15" s="63"/>
      <c r="P15" s="704" t="s">
        <v>35</v>
      </c>
      <c r="Q15" s="580"/>
      <c r="R15" s="580"/>
      <c r="S15" s="580"/>
      <c r="T15" s="5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1" t="s">
        <v>38</v>
      </c>
      <c r="D17" s="596" t="s">
        <v>39</v>
      </c>
      <c r="E17" s="659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8"/>
      <c r="R17" s="658"/>
      <c r="S17" s="658"/>
      <c r="T17" s="659"/>
      <c r="U17" s="862" t="s">
        <v>51</v>
      </c>
      <c r="V17" s="655"/>
      <c r="W17" s="596" t="s">
        <v>52</v>
      </c>
      <c r="X17" s="596" t="s">
        <v>53</v>
      </c>
      <c r="Y17" s="863" t="s">
        <v>54</v>
      </c>
      <c r="Z17" s="779" t="s">
        <v>55</v>
      </c>
      <c r="AA17" s="751" t="s">
        <v>56</v>
      </c>
      <c r="AB17" s="751" t="s">
        <v>57</v>
      </c>
      <c r="AC17" s="751" t="s">
        <v>58</v>
      </c>
      <c r="AD17" s="751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0"/>
      <c r="E18" s="662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0"/>
      <c r="Q18" s="661"/>
      <c r="R18" s="661"/>
      <c r="S18" s="661"/>
      <c r="T18" s="662"/>
      <c r="U18" s="67" t="s">
        <v>61</v>
      </c>
      <c r="V18" s="67" t="s">
        <v>62</v>
      </c>
      <c r="W18" s="597"/>
      <c r="X18" s="597"/>
      <c r="Y18" s="864"/>
      <c r="Z18" s="780"/>
      <c r="AA18" s="752"/>
      <c r="AB18" s="752"/>
      <c r="AC18" s="752"/>
      <c r="AD18" s="828"/>
      <c r="AE18" s="829"/>
      <c r="AF18" s="830"/>
      <c r="AG18" s="66"/>
      <c r="BD18" s="65"/>
    </row>
    <row r="19" spans="1:68" ht="27.75" hidden="1" customHeight="1" x14ac:dyDescent="0.2">
      <c r="A19" s="647" t="s">
        <v>63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48"/>
      <c r="P19" s="648"/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48"/>
      <c r="AB19" s="48"/>
      <c r="AC19" s="48"/>
    </row>
    <row r="20" spans="1:68" ht="16.5" hidden="1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1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2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2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1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62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hidden="1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2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hidden="1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76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1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62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hidden="1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2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hidden="1" customHeight="1" x14ac:dyDescent="0.2">
      <c r="A37" s="647" t="s">
        <v>97</v>
      </c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8"/>
      <c r="P37" s="648"/>
      <c r="Q37" s="648"/>
      <c r="R37" s="648"/>
      <c r="S37" s="648"/>
      <c r="T37" s="648"/>
      <c r="U37" s="648"/>
      <c r="V37" s="648"/>
      <c r="W37" s="648"/>
      <c r="X37" s="648"/>
      <c r="Y37" s="648"/>
      <c r="Z37" s="648"/>
      <c r="AA37" s="48"/>
      <c r="AB37" s="48"/>
      <c r="AC37" s="48"/>
    </row>
    <row r="38" spans="1:68" ht="16.5" hidden="1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hidden="1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100</v>
      </c>
      <c r="Y40" s="546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260</v>
      </c>
      <c r="Y41" s="546">
        <f>IFERROR(IF(X41="",0,CEILING((X41/$H41),1)*$H41),"")</f>
        <v>260</v>
      </c>
      <c r="Z41" s="36">
        <f>IFERROR(IF(Y41=0,"",ROUNDUP(Y41/H41,0)*0.00902),"")</f>
        <v>0.58630000000000004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272.35000000000002</v>
      </c>
      <c r="BN41" s="64">
        <f>IFERROR(Y41*I41/H41,"0")</f>
        <v>272.35000000000002</v>
      </c>
      <c r="BO41" s="64">
        <f>IFERROR(1/J41*(X41/H41),"0")</f>
        <v>0.49242424242424243</v>
      </c>
      <c r="BP41" s="64">
        <f>IFERROR(1/J41*(Y41/H41),"0")</f>
        <v>0.49242424242424243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62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47">
        <f>IFERROR(X40/H40,"0")+IFERROR(X41/H41,"0")+IFERROR(X42/H42,"0")</f>
        <v>74.259259259259267</v>
      </c>
      <c r="Y43" s="547">
        <f>IFERROR(Y40/H40,"0")+IFERROR(Y41/H41,"0")+IFERROR(Y42/H42,"0")</f>
        <v>75</v>
      </c>
      <c r="Z43" s="547">
        <f>IFERROR(IF(Z40="",0,Z40),"0")+IFERROR(IF(Z41="",0,Z41),"0")+IFERROR(IF(Z42="",0,Z42),"0")</f>
        <v>0.77610000000000001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2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47">
        <f>IFERROR(SUM(X40:X42),"0")</f>
        <v>360</v>
      </c>
      <c r="Y44" s="547">
        <f>IFERROR(SUM(Y40:Y42),"0")</f>
        <v>368</v>
      </c>
      <c r="Z44" s="37"/>
      <c r="AA44" s="548"/>
      <c r="AB44" s="548"/>
      <c r="AC44" s="548"/>
    </row>
    <row r="45" spans="1:68" ht="14.25" hidden="1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1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62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hidden="1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2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hidden="1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hidden="1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5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5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200</v>
      </c>
      <c r="Y52" s="546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207.59259259259258</v>
      </c>
      <c r="BN52" s="64">
        <f t="shared" si="2"/>
        <v>212.99</v>
      </c>
      <c r="BO52" s="64">
        <f t="shared" si="3"/>
        <v>0.28935185185185186</v>
      </c>
      <c r="BP52" s="64">
        <f t="shared" si="4"/>
        <v>0.296875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61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360</v>
      </c>
      <c r="Y56" s="546">
        <f t="shared" si="0"/>
        <v>360</v>
      </c>
      <c r="Z56" s="36">
        <f>IFERROR(IF(Y56=0,"",ROUNDUP(Y56/H56,0)*0.00902),"")</f>
        <v>0.72160000000000002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375.20000000000005</v>
      </c>
      <c r="BN56" s="64">
        <f t="shared" si="2"/>
        <v>375.20000000000005</v>
      </c>
      <c r="BO56" s="64">
        <f t="shared" si="3"/>
        <v>0.60606060606060608</v>
      </c>
      <c r="BP56" s="64">
        <f t="shared" si="4"/>
        <v>0.60606060606060608</v>
      </c>
    </row>
    <row r="57" spans="1:68" x14ac:dyDescent="0.2">
      <c r="A57" s="561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62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47">
        <f>IFERROR(X51/H51,"0")+IFERROR(X52/H52,"0")+IFERROR(X53/H53,"0")+IFERROR(X54/H54,"0")+IFERROR(X55/H55,"0")+IFERROR(X56/H56,"0")</f>
        <v>98.518518518518519</v>
      </c>
      <c r="Y57" s="547">
        <f>IFERROR(Y51/H51,"0")+IFERROR(Y52/H52,"0")+IFERROR(Y53/H53,"0")+IFERROR(Y54/H54,"0")+IFERROR(Y55/H55,"0")+IFERROR(Y56/H56,"0")</f>
        <v>99</v>
      </c>
      <c r="Z57" s="547">
        <f>IFERROR(IF(Z51="",0,Z51),"0")+IFERROR(IF(Z52="",0,Z52),"0")+IFERROR(IF(Z53="",0,Z53),"0")+IFERROR(IF(Z54="",0,Z54),"0")+IFERROR(IF(Z55="",0,Z55),"0")+IFERROR(IF(Z56="",0,Z56),"0")</f>
        <v>1.08222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2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47">
        <f>IFERROR(SUM(X51:X56),"0")</f>
        <v>560</v>
      </c>
      <c r="Y58" s="547">
        <f>IFERROR(SUM(Y51:Y56),"0")</f>
        <v>565.20000000000005</v>
      </c>
      <c r="Z58" s="37"/>
      <c r="AA58" s="548"/>
      <c r="AB58" s="548"/>
      <c r="AC58" s="548"/>
    </row>
    <row r="59" spans="1:68" ht="14.25" hidden="1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120</v>
      </c>
      <c r="Y60" s="546">
        <f>IFERROR(IF(X60="",0,CEILING((X60/$H60),1)*$H60),"")</f>
        <v>129.60000000000002</v>
      </c>
      <c r="Z60" s="36">
        <f>IFERROR(IF(Y60=0,"",ROUNDUP(Y60/H60,0)*0.01898),"")</f>
        <v>0.22776000000000002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124.55555555555556</v>
      </c>
      <c r="BN60" s="64">
        <f>IFERROR(Y60*I60/H60,"0")</f>
        <v>134.52000000000001</v>
      </c>
      <c r="BO60" s="64">
        <f>IFERROR(1/J60*(X60/H60),"0")</f>
        <v>0.1736111111111111</v>
      </c>
      <c r="BP60" s="64">
        <f>IFERROR(1/J60*(Y60/H60),"0")</f>
        <v>0.18750000000000003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126</v>
      </c>
      <c r="Y62" s="546">
        <f>IFERROR(IF(X62="",0,CEILING((X62/$H62),1)*$H62),"")</f>
        <v>126.9</v>
      </c>
      <c r="Z62" s="36">
        <f>IFERROR(IF(Y62=0,"",ROUNDUP(Y62/H62,0)*0.00651),"")</f>
        <v>0.30597000000000002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134.39999999999998</v>
      </c>
      <c r="BN62" s="64">
        <f>IFERROR(Y62*I62/H62,"0")</f>
        <v>135.35999999999999</v>
      </c>
      <c r="BO62" s="64">
        <f>IFERROR(1/J62*(X62/H62),"0")</f>
        <v>0.25641025641025644</v>
      </c>
      <c r="BP62" s="64">
        <f>IFERROR(1/J62*(Y62/H62),"0")</f>
        <v>0.25824175824175827</v>
      </c>
    </row>
    <row r="63" spans="1:68" x14ac:dyDescent="0.2">
      <c r="A63" s="561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62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47">
        <f>IFERROR(X60/H60,"0")+IFERROR(X61/H61,"0")+IFERROR(X62/H62,"0")</f>
        <v>57.777777777777771</v>
      </c>
      <c r="Y63" s="547">
        <f>IFERROR(Y60/H60,"0")+IFERROR(Y61/H61,"0")+IFERROR(Y62/H62,"0")</f>
        <v>59</v>
      </c>
      <c r="Z63" s="547">
        <f>IFERROR(IF(Z60="",0,Z60),"0")+IFERROR(IF(Z61="",0,Z61),"0")+IFERROR(IF(Z62="",0,Z62),"0")</f>
        <v>0.53373000000000004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2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47">
        <f>IFERROR(SUM(X60:X62),"0")</f>
        <v>246</v>
      </c>
      <c r="Y64" s="547">
        <f>IFERROR(SUM(Y60:Y62),"0")</f>
        <v>256.5</v>
      </c>
      <c r="Z64" s="37"/>
      <c r="AA64" s="548"/>
      <c r="AB64" s="548"/>
      <c r="AC64" s="548"/>
    </row>
    <row r="65" spans="1:68" ht="14.25" hidden="1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1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62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hidden="1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2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hidden="1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6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1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62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hidden="1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2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hidden="1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30</v>
      </c>
      <c r="Y78" s="546">
        <f>IFERROR(IF(X78="",0,CEILING((X78/$H78),1)*$H78),"")</f>
        <v>31.2</v>
      </c>
      <c r="Z78" s="36">
        <f>IFERROR(IF(Y78=0,"",ROUNDUP(Y78/H78,0)*0.01898),"")</f>
        <v>7.5920000000000001E-2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31.57692307692308</v>
      </c>
      <c r="BN78" s="64">
        <f>IFERROR(Y78*I78/H78,"0")</f>
        <v>32.840000000000003</v>
      </c>
      <c r="BO78" s="64">
        <f>IFERROR(1/J78*(X78/H78),"0")</f>
        <v>6.0096153846153848E-2</v>
      </c>
      <c r="BP78" s="64">
        <f>IFERROR(1/J78*(Y78/H78),"0")</f>
        <v>6.25E-2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1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62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47">
        <f>IFERROR(X78/H78,"0")+IFERROR(X79/H79,"0")</f>
        <v>3.8461538461538463</v>
      </c>
      <c r="Y80" s="547">
        <f>IFERROR(Y78/H78,"0")+IFERROR(Y79/H79,"0")</f>
        <v>4</v>
      </c>
      <c r="Z80" s="547">
        <f>IFERROR(IF(Z78="",0,Z78),"0")+IFERROR(IF(Z79="",0,Z79),"0")</f>
        <v>7.5920000000000001E-2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2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47">
        <f>IFERROR(SUM(X78:X79),"0")</f>
        <v>30</v>
      </c>
      <c r="Y81" s="547">
        <f>IFERROR(SUM(Y78:Y79),"0")</f>
        <v>31.2</v>
      </c>
      <c r="Z81" s="37"/>
      <c r="AA81" s="548"/>
      <c r="AB81" s="548"/>
      <c r="AC81" s="548"/>
    </row>
    <row r="82" spans="1:68" ht="16.5" hidden="1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hidden="1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110</v>
      </c>
      <c r="Y84" s="546">
        <f>IFERROR(IF(X84="",0,CEILING((X84/$H84),1)*$H84),"")</f>
        <v>118.80000000000001</v>
      </c>
      <c r="Z84" s="36">
        <f>IFERROR(IF(Y84=0,"",ROUNDUP(Y84/H84,0)*0.01898),"")</f>
        <v>0.20877999999999999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114.17592592592594</v>
      </c>
      <c r="BN84" s="64">
        <f>IFERROR(Y84*I84/H84,"0")</f>
        <v>123.31000000000002</v>
      </c>
      <c r="BO84" s="64">
        <f>IFERROR(1/J84*(X84/H84),"0")</f>
        <v>0.15914351851851852</v>
      </c>
      <c r="BP84" s="64">
        <f>IFERROR(1/J84*(Y84/H84),"0")</f>
        <v>0.171875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/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315</v>
      </c>
      <c r="Y87" s="546">
        <f>IFERROR(IF(X87="",0,CEILING((X87/$H87),1)*$H87),"")</f>
        <v>315</v>
      </c>
      <c r="Z87" s="36">
        <f>IFERROR(IF(Y87=0,"",ROUNDUP(Y87/H87,0)*0.00902),"")</f>
        <v>0.63139999999999996</v>
      </c>
      <c r="AA87" s="56"/>
      <c r="AB87" s="57"/>
      <c r="AC87" s="131" t="s">
        <v>170</v>
      </c>
      <c r="AG87" s="64"/>
      <c r="AJ87" s="68"/>
      <c r="AK87" s="68">
        <v>0</v>
      </c>
      <c r="BB87" s="132" t="s">
        <v>1</v>
      </c>
      <c r="BM87" s="64">
        <f>IFERROR(X87*I87/H87,"0")</f>
        <v>328.3</v>
      </c>
      <c r="BN87" s="64">
        <f>IFERROR(Y87*I87/H87,"0")</f>
        <v>328.3</v>
      </c>
      <c r="BO87" s="64">
        <f>IFERROR(1/J87*(X87/H87),"0")</f>
        <v>0.53030303030303028</v>
      </c>
      <c r="BP87" s="64">
        <f>IFERROR(1/J87*(Y87/H87),"0")</f>
        <v>0.53030303030303028</v>
      </c>
    </row>
    <row r="88" spans="1:68" x14ac:dyDescent="0.2">
      <c r="A88" s="561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62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47">
        <f>IFERROR(X84/H84,"0")+IFERROR(X85/H85,"0")+IFERROR(X86/H86,"0")+IFERROR(X87/H87,"0")</f>
        <v>80.18518518518519</v>
      </c>
      <c r="Y88" s="547">
        <f>IFERROR(Y84/H84,"0")+IFERROR(Y85/H85,"0")+IFERROR(Y86/H86,"0")+IFERROR(Y87/H87,"0")</f>
        <v>81</v>
      </c>
      <c r="Z88" s="547">
        <f>IFERROR(IF(Z84="",0,Z84),"0")+IFERROR(IF(Z85="",0,Z85),"0")+IFERROR(IF(Z86="",0,Z86),"0")+IFERROR(IF(Z87="",0,Z87),"0")</f>
        <v>0.84017999999999993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2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47">
        <f>IFERROR(SUM(X84:X87),"0")</f>
        <v>425</v>
      </c>
      <c r="Y89" s="547">
        <f>IFERROR(SUM(Y84:Y87),"0")</f>
        <v>433.8</v>
      </c>
      <c r="Z89" s="37"/>
      <c r="AA89" s="548"/>
      <c r="AB89" s="548"/>
      <c r="AC89" s="548"/>
    </row>
    <row r="90" spans="1:68" ht="14.25" hidden="1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4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200</v>
      </c>
      <c r="Y91" s="546">
        <f>IFERROR(IF(X91="",0,CEILING((X91/$H91),1)*$H91),"")</f>
        <v>202.5</v>
      </c>
      <c r="Z91" s="36">
        <f>IFERROR(IF(Y91=0,"",ROUNDUP(Y91/H91,0)*0.01898),"")</f>
        <v>0.47450000000000003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212.19753086419755</v>
      </c>
      <c r="BN91" s="64">
        <f>IFERROR(Y91*I91/H91,"0")</f>
        <v>214.85</v>
      </c>
      <c r="BO91" s="64">
        <f>IFERROR(1/J91*(X91/H91),"0")</f>
        <v>0.38580246913580246</v>
      </c>
      <c r="BP91" s="64">
        <f>IFERROR(1/J91*(Y91/H91),"0")</f>
        <v>0.390625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585</v>
      </c>
      <c r="Y93" s="546">
        <f>IFERROR(IF(X93="",0,CEILING((X93/$H93),1)*$H93),"")</f>
        <v>585.90000000000009</v>
      </c>
      <c r="Z93" s="36">
        <f>IFERROR(IF(Y93=0,"",ROUNDUP(Y93/H93,0)*0.00651),"")</f>
        <v>1.4126700000000001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639.6</v>
      </c>
      <c r="BN93" s="64">
        <f>IFERROR(Y93*I93/H93,"0")</f>
        <v>640.58400000000006</v>
      </c>
      <c r="BO93" s="64">
        <f>IFERROR(1/J93*(X93/H93),"0")</f>
        <v>1.1904761904761905</v>
      </c>
      <c r="BP93" s="64">
        <f>IFERROR(1/J93*(Y93/H93),"0")</f>
        <v>1.1923076923076925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62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47">
        <f>IFERROR(X91/H91,"0")+IFERROR(X92/H92,"0")+IFERROR(X93/H93,"0")+IFERROR(X94/H94,"0")</f>
        <v>241.35802469135803</v>
      </c>
      <c r="Y95" s="547">
        <f>IFERROR(Y91/H91,"0")+IFERROR(Y92/H92,"0")+IFERROR(Y93/H93,"0")+IFERROR(Y94/H94,"0")</f>
        <v>242.00000000000003</v>
      </c>
      <c r="Z95" s="547">
        <f>IFERROR(IF(Z91="",0,Z91),"0")+IFERROR(IF(Z92="",0,Z92),"0")+IFERROR(IF(Z93="",0,Z93),"0")+IFERROR(IF(Z94="",0,Z94),"0")</f>
        <v>1.8871700000000002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2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47">
        <f>IFERROR(SUM(X91:X94),"0")</f>
        <v>785</v>
      </c>
      <c r="Y96" s="547">
        <f>IFERROR(SUM(Y91:Y94),"0")</f>
        <v>788.40000000000009</v>
      </c>
      <c r="Z96" s="37"/>
      <c r="AA96" s="548"/>
      <c r="AB96" s="548"/>
      <c r="AC96" s="548"/>
    </row>
    <row r="97" spans="1:68" ht="16.5" hidden="1" customHeight="1" x14ac:dyDescent="0.25">
      <c r="A97" s="560" t="s">
        <v>189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hidden="1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2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50</v>
      </c>
      <c r="Y99" s="546">
        <f>IFERROR(IF(X99="",0,CEILING((X99/$H99),1)*$H99),"")</f>
        <v>54</v>
      </c>
      <c r="Z99" s="36">
        <f>IFERROR(IF(Y99=0,"",ROUNDUP(Y99/H99,0)*0.01898),"")</f>
        <v>9.4899999999999998E-2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51.898148148148145</v>
      </c>
      <c r="BN99" s="64">
        <f>IFERROR(Y99*I99/H99,"0")</f>
        <v>56.05</v>
      </c>
      <c r="BO99" s="64">
        <f>IFERROR(1/J99*(X99/H99),"0")</f>
        <v>7.2337962962962965E-2</v>
      </c>
      <c r="BP99" s="64">
        <f>IFERROR(1/J99*(Y99/H99),"0")</f>
        <v>7.8125E-2</v>
      </c>
    </row>
    <row r="100" spans="1:68" ht="27" hidden="1" customHeight="1" x14ac:dyDescent="0.25">
      <c r="A100" s="54" t="s">
        <v>193</v>
      </c>
      <c r="B100" s="54" t="s">
        <v>194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0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292.5</v>
      </c>
      <c r="Y102" s="546">
        <f>IFERROR(IF(X102="",0,CEILING((X102/$H102),1)*$H102),"")</f>
        <v>292.5</v>
      </c>
      <c r="Z102" s="36">
        <f>IFERROR(IF(Y102=0,"",ROUNDUP(Y102/H102,0)*0.00902),"")</f>
        <v>0.58630000000000004</v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304.85000000000002</v>
      </c>
      <c r="BN102" s="64">
        <f>IFERROR(Y102*I102/H102,"0")</f>
        <v>304.85000000000002</v>
      </c>
      <c r="BO102" s="64">
        <f>IFERROR(1/J102*(X102/H102),"0")</f>
        <v>0.49242424242424243</v>
      </c>
      <c r="BP102" s="64">
        <f>IFERROR(1/J102*(Y102/H102),"0")</f>
        <v>0.49242424242424243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62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47">
        <f>IFERROR(X99/H99,"0")+IFERROR(X100/H100,"0")+IFERROR(X101/H101,"0")+IFERROR(X102/H102,"0")+IFERROR(X103/H103,"0")</f>
        <v>69.629629629629633</v>
      </c>
      <c r="Y104" s="547">
        <f>IFERROR(Y99/H99,"0")+IFERROR(Y100/H100,"0")+IFERROR(Y101/H101,"0")+IFERROR(Y102/H102,"0")+IFERROR(Y103/H103,"0")</f>
        <v>70</v>
      </c>
      <c r="Z104" s="547">
        <f>IFERROR(IF(Z99="",0,Z99),"0")+IFERROR(IF(Z100="",0,Z100),"0")+IFERROR(IF(Z101="",0,Z101),"0")+IFERROR(IF(Z102="",0,Z102),"0")+IFERROR(IF(Z103="",0,Z103),"0")</f>
        <v>0.68120000000000003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2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47">
        <f>IFERROR(SUM(X99:X103),"0")</f>
        <v>342.5</v>
      </c>
      <c r="Y105" s="547">
        <f>IFERROR(SUM(Y99:Y103),"0")</f>
        <v>346.5</v>
      </c>
      <c r="Z105" s="37"/>
      <c r="AA105" s="548"/>
      <c r="AB105" s="548"/>
      <c r="AC105" s="548"/>
    </row>
    <row r="106" spans="1:68" ht="14.25" hidden="1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205</v>
      </c>
      <c r="B108" s="54" t="s">
        <v>206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3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1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62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hidden="1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2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hidden="1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213</v>
      </c>
      <c r="B114" s="54" t="s">
        <v>214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250</v>
      </c>
      <c r="Y114" s="546">
        <f>IFERROR(IF(X114="",0,CEILING((X114/$H114),1)*$H114),"")</f>
        <v>251.1</v>
      </c>
      <c r="Z114" s="36">
        <f>IFERROR(IF(Y114=0,"",ROUNDUP(Y114/H114,0)*0.01898),"")</f>
        <v>0.58838000000000001</v>
      </c>
      <c r="AA114" s="56"/>
      <c r="AB114" s="57"/>
      <c r="AC114" s="159" t="s">
        <v>215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265.06172839506172</v>
      </c>
      <c r="BN114" s="64">
        <f>IFERROR(Y114*I114/H114,"0")</f>
        <v>266.22799999999995</v>
      </c>
      <c r="BO114" s="64">
        <f>IFERROR(1/J114*(X114/H114),"0")</f>
        <v>0.48225308641975312</v>
      </c>
      <c r="BP114" s="64">
        <f>IFERROR(1/J114*(Y114/H114),"0")</f>
        <v>0.484375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220</v>
      </c>
      <c r="M116" s="33" t="s">
        <v>86</v>
      </c>
      <c r="N116" s="33"/>
      <c r="O116" s="32">
        <v>45</v>
      </c>
      <c r="P116" s="65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540</v>
      </c>
      <c r="Y116" s="546">
        <f>IFERROR(IF(X116="",0,CEILING((X116/$H116),1)*$H116),"")</f>
        <v>540</v>
      </c>
      <c r="Z116" s="36">
        <f>IFERROR(IF(Y116=0,"",ROUNDUP(Y116/H116,0)*0.00651),"")</f>
        <v>1.302</v>
      </c>
      <c r="AA116" s="56"/>
      <c r="AB116" s="57"/>
      <c r="AC116" s="163" t="s">
        <v>215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590.4</v>
      </c>
      <c r="BN116" s="64">
        <f>IFERROR(Y116*I116/H116,"0")</f>
        <v>590.4</v>
      </c>
      <c r="BO116" s="64">
        <f>IFERROR(1/J116*(X116/H116),"0")</f>
        <v>1.098901098901099</v>
      </c>
      <c r="BP116" s="64">
        <f>IFERROR(1/J116*(Y116/H116),"0")</f>
        <v>1.098901098901099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 t="s">
        <v>220</v>
      </c>
      <c r="M117" s="33" t="s">
        <v>80</v>
      </c>
      <c r="N117" s="33"/>
      <c r="O117" s="32">
        <v>45</v>
      </c>
      <c r="P117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9</v>
      </c>
      <c r="Y117" s="546">
        <f>IFERROR(IF(X117="",0,CEILING((X117/$H117),1)*$H117),"")</f>
        <v>9</v>
      </c>
      <c r="Z117" s="36">
        <f>IFERROR(IF(Y117=0,"",ROUNDUP(Y117/H117,0)*0.00651),"")</f>
        <v>3.2550000000000003E-2</v>
      </c>
      <c r="AA117" s="56"/>
      <c r="AB117" s="57"/>
      <c r="AC117" s="165" t="s">
        <v>223</v>
      </c>
      <c r="AG117" s="64"/>
      <c r="AJ117" s="68" t="s">
        <v>106</v>
      </c>
      <c r="AK117" s="68">
        <v>25.2</v>
      </c>
      <c r="BB117" s="166" t="s">
        <v>1</v>
      </c>
      <c r="BM117" s="64">
        <f>IFERROR(X117*I117/H117,"0")</f>
        <v>9.9</v>
      </c>
      <c r="BN117" s="64">
        <f>IFERROR(Y117*I117/H117,"0")</f>
        <v>9.9</v>
      </c>
      <c r="BO117" s="64">
        <f>IFERROR(1/J117*(X117/H117),"0")</f>
        <v>2.7472527472527476E-2</v>
      </c>
      <c r="BP117" s="64">
        <f>IFERROR(1/J117*(Y117/H117),"0")</f>
        <v>2.7472527472527476E-2</v>
      </c>
    </row>
    <row r="118" spans="1:68" x14ac:dyDescent="0.2">
      <c r="A118" s="561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62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47">
        <f>IFERROR(X114/H114,"0")+IFERROR(X115/H115,"0")+IFERROR(X116/H116,"0")+IFERROR(X117/H117,"0")</f>
        <v>235.8641975308642</v>
      </c>
      <c r="Y118" s="547">
        <f>IFERROR(Y114/H114,"0")+IFERROR(Y115/H115,"0")+IFERROR(Y116/H116,"0")+IFERROR(Y117/H117,"0")</f>
        <v>236</v>
      </c>
      <c r="Z118" s="547">
        <f>IFERROR(IF(Z114="",0,Z114),"0")+IFERROR(IF(Z115="",0,Z115),"0")+IFERROR(IF(Z116="",0,Z116),"0")+IFERROR(IF(Z117="",0,Z117),"0")</f>
        <v>1.92293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2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47">
        <f>IFERROR(SUM(X114:X117),"0")</f>
        <v>799</v>
      </c>
      <c r="Y119" s="547">
        <f>IFERROR(SUM(Y114:Y117),"0")</f>
        <v>800.1</v>
      </c>
      <c r="Z119" s="37"/>
      <c r="AA119" s="548"/>
      <c r="AB119" s="548"/>
      <c r="AC119" s="548"/>
    </row>
    <row r="120" spans="1:68" ht="14.25" hidden="1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 t="s">
        <v>220</v>
      </c>
      <c r="M121" s="33" t="s">
        <v>80</v>
      </c>
      <c r="N121" s="33"/>
      <c r="O121" s="32">
        <v>40</v>
      </c>
      <c r="P121" s="8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115.5</v>
      </c>
      <c r="Y121" s="546">
        <f>IFERROR(IF(X121="",0,CEILING((X121/$H121),1)*$H121),"")</f>
        <v>116.82</v>
      </c>
      <c r="Z121" s="36">
        <f>IFERROR(IF(Y121=0,"",ROUNDUP(Y121/H121,0)*0.00651),"")</f>
        <v>0.38408999999999999</v>
      </c>
      <c r="AA121" s="56"/>
      <c r="AB121" s="57"/>
      <c r="AC121" s="167" t="s">
        <v>226</v>
      </c>
      <c r="AG121" s="64"/>
      <c r="AJ121" s="68" t="s">
        <v>106</v>
      </c>
      <c r="AK121" s="68">
        <v>27.72</v>
      </c>
      <c r="BB121" s="168" t="s">
        <v>1</v>
      </c>
      <c r="BM121" s="64">
        <f>IFERROR(X121*I121/H121,"0")</f>
        <v>130.54999999999998</v>
      </c>
      <c r="BN121" s="64">
        <f>IFERROR(Y121*I121/H121,"0")</f>
        <v>132.042</v>
      </c>
      <c r="BO121" s="64">
        <f>IFERROR(1/J121*(X121/H121),"0")</f>
        <v>0.32051282051282054</v>
      </c>
      <c r="BP121" s="64">
        <f>IFERROR(1/J121*(Y121/H121),"0")</f>
        <v>0.32417582417582419</v>
      </c>
    </row>
    <row r="122" spans="1:68" x14ac:dyDescent="0.2">
      <c r="A122" s="561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62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47">
        <f>IFERROR(X121/H121,"0")</f>
        <v>58.333333333333336</v>
      </c>
      <c r="Y122" s="547">
        <f>IFERROR(Y121/H121,"0")</f>
        <v>59</v>
      </c>
      <c r="Z122" s="547">
        <f>IFERROR(IF(Z121="",0,Z121),"0")</f>
        <v>0.38408999999999999</v>
      </c>
      <c r="AA122" s="548"/>
      <c r="AB122" s="548"/>
      <c r="AC122" s="548"/>
    </row>
    <row r="123" spans="1:68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2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47">
        <f>IFERROR(SUM(X121:X121),"0")</f>
        <v>115.5</v>
      </c>
      <c r="Y123" s="547">
        <f>IFERROR(SUM(Y121:Y121),"0")</f>
        <v>116.82</v>
      </c>
      <c r="Z123" s="37"/>
      <c r="AA123" s="548"/>
      <c r="AB123" s="548"/>
      <c r="AC123" s="548"/>
    </row>
    <row r="124" spans="1:68" ht="16.5" hidden="1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hidden="1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220</v>
      </c>
      <c r="M127" s="33" t="s">
        <v>94</v>
      </c>
      <c r="N127" s="33"/>
      <c r="O127" s="32">
        <v>90</v>
      </c>
      <c r="P127" s="8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200</v>
      </c>
      <c r="Y127" s="546">
        <f>IFERROR(IF(X127="",0,CEILING((X127/$H127),1)*$H127),"")</f>
        <v>201.60000000000002</v>
      </c>
      <c r="Z127" s="36">
        <f>IFERROR(IF(Y127=0,"",ROUNDUP(Y127/H127,0)*0.00651),"")</f>
        <v>0.41012999999999999</v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211.25</v>
      </c>
      <c r="BN127" s="64">
        <f>IFERROR(Y127*I127/H127,"0")</f>
        <v>212.94</v>
      </c>
      <c r="BO127" s="64">
        <f>IFERROR(1/J127*(X127/H127),"0")</f>
        <v>0.34340659340659341</v>
      </c>
      <c r="BP127" s="64">
        <f>IFERROR(1/J127*(Y127/H127),"0")</f>
        <v>0.3461538461538462</v>
      </c>
    </row>
    <row r="128" spans="1:68" x14ac:dyDescent="0.2">
      <c r="A128" s="561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62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47">
        <f>IFERROR(X126/H126,"0")+IFERROR(X127/H127,"0")</f>
        <v>62.5</v>
      </c>
      <c r="Y128" s="547">
        <f>IFERROR(Y126/H126,"0")+IFERROR(Y127/H127,"0")</f>
        <v>63.000000000000007</v>
      </c>
      <c r="Z128" s="547">
        <f>IFERROR(IF(Z126="",0,Z126),"0")+IFERROR(IF(Z127="",0,Z127),"0")</f>
        <v>0.41012999999999999</v>
      </c>
      <c r="AA128" s="548"/>
      <c r="AB128" s="548"/>
      <c r="AC128" s="548"/>
    </row>
    <row r="129" spans="1:68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2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47">
        <f>IFERROR(SUM(X126:X127),"0")</f>
        <v>200</v>
      </c>
      <c r="Y129" s="547">
        <f>IFERROR(SUM(Y126:Y127),"0")</f>
        <v>201.60000000000002</v>
      </c>
      <c r="Z129" s="37"/>
      <c r="AA129" s="548"/>
      <c r="AB129" s="548"/>
      <c r="AC129" s="548"/>
    </row>
    <row r="130" spans="1:68" ht="14.25" hidden="1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220</v>
      </c>
      <c r="M131" s="33" t="s">
        <v>94</v>
      </c>
      <c r="N131" s="33"/>
      <c r="O131" s="32">
        <v>90</v>
      </c>
      <c r="P131" s="64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105</v>
      </c>
      <c r="Y131" s="546">
        <f>IFERROR(IF(X131="",0,CEILING((X131/$H131),1)*$H131),"")</f>
        <v>106.39999999999999</v>
      </c>
      <c r="Z131" s="36">
        <f>IFERROR(IF(Y131=0,"",ROUNDUP(Y131/H131,0)*0.00651),"")</f>
        <v>0.24738000000000002</v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115.05</v>
      </c>
      <c r="BN131" s="64">
        <f>IFERROR(Y131*I131/H131,"0")</f>
        <v>116.58399999999999</v>
      </c>
      <c r="BO131" s="64">
        <f>IFERROR(1/J131*(X131/H131),"0")</f>
        <v>0.20604395604395606</v>
      </c>
      <c r="BP131" s="64">
        <f>IFERROR(1/J131*(Y131/H131),"0")</f>
        <v>0.2087912087912088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1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62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47">
        <f>IFERROR(X131/H131,"0")+IFERROR(X132/H132,"0")</f>
        <v>37.5</v>
      </c>
      <c r="Y133" s="547">
        <f>IFERROR(Y131/H131,"0")+IFERROR(Y132/H132,"0")</f>
        <v>38</v>
      </c>
      <c r="Z133" s="547">
        <f>IFERROR(IF(Z131="",0,Z131),"0")+IFERROR(IF(Z132="",0,Z132),"0")</f>
        <v>0.24738000000000002</v>
      </c>
      <c r="AA133" s="548"/>
      <c r="AB133" s="548"/>
      <c r="AC133" s="548"/>
    </row>
    <row r="134" spans="1:68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2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47">
        <f>IFERROR(SUM(X131:X132),"0")</f>
        <v>105</v>
      </c>
      <c r="Y134" s="547">
        <f>IFERROR(SUM(Y131:Y132),"0")</f>
        <v>106.39999999999999</v>
      </c>
      <c r="Z134" s="37"/>
      <c r="AA134" s="548"/>
      <c r="AB134" s="548"/>
      <c r="AC134" s="548"/>
    </row>
    <row r="135" spans="1:68" ht="14.25" hidden="1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 t="s">
        <v>220</v>
      </c>
      <c r="M137" s="33" t="s">
        <v>94</v>
      </c>
      <c r="N137" s="33"/>
      <c r="O137" s="32">
        <v>60</v>
      </c>
      <c r="P137" s="69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165</v>
      </c>
      <c r="Y137" s="546">
        <f>IFERROR(IF(X137="",0,CEILING((X137/$H137),1)*$H137),"")</f>
        <v>166.32000000000002</v>
      </c>
      <c r="Z137" s="36">
        <f>IFERROR(IF(Y137=0,"",ROUNDUP(Y137/H137,0)*0.00651),"")</f>
        <v>0.41012999999999999</v>
      </c>
      <c r="AA137" s="56"/>
      <c r="AB137" s="57"/>
      <c r="AC137" s="179" t="s">
        <v>230</v>
      </c>
      <c r="AG137" s="64"/>
      <c r="AJ137" s="68" t="s">
        <v>106</v>
      </c>
      <c r="AK137" s="68">
        <v>36.96</v>
      </c>
      <c r="BB137" s="180" t="s">
        <v>1</v>
      </c>
      <c r="BM137" s="64">
        <f>IFERROR(X137*I137/H137,"0")</f>
        <v>181.75</v>
      </c>
      <c r="BN137" s="64">
        <f>IFERROR(Y137*I137/H137,"0")</f>
        <v>183.20400000000001</v>
      </c>
      <c r="BO137" s="64">
        <f>IFERROR(1/J137*(X137/H137),"0")</f>
        <v>0.34340659340659341</v>
      </c>
      <c r="BP137" s="64">
        <f>IFERROR(1/J137*(Y137/H137),"0")</f>
        <v>0.3461538461538462</v>
      </c>
    </row>
    <row r="138" spans="1:68" x14ac:dyDescent="0.2">
      <c r="A138" s="561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62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47">
        <f>IFERROR(X136/H136,"0")+IFERROR(X137/H137,"0")</f>
        <v>62.5</v>
      </c>
      <c r="Y138" s="547">
        <f>IFERROR(Y136/H136,"0")+IFERROR(Y137/H137,"0")</f>
        <v>63.000000000000007</v>
      </c>
      <c r="Z138" s="547">
        <f>IFERROR(IF(Z136="",0,Z136),"0")+IFERROR(IF(Z137="",0,Z137),"0")</f>
        <v>0.41012999999999999</v>
      </c>
      <c r="AA138" s="548"/>
      <c r="AB138" s="548"/>
      <c r="AC138" s="548"/>
    </row>
    <row r="139" spans="1:68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2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47">
        <f>IFERROR(SUM(X136:X137),"0")</f>
        <v>165</v>
      </c>
      <c r="Y139" s="547">
        <f>IFERROR(SUM(Y136:Y137),"0")</f>
        <v>166.32000000000002</v>
      </c>
      <c r="Z139" s="37"/>
      <c r="AA139" s="548"/>
      <c r="AB139" s="548"/>
      <c r="AC139" s="548"/>
    </row>
    <row r="140" spans="1:68" ht="16.5" hidden="1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hidden="1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1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62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hidden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2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hidden="1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2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70</v>
      </c>
      <c r="Y147" s="546">
        <f>IFERROR(IF(X147="",0,CEILING((X147/$H147),1)*$H147),"")</f>
        <v>71.400000000000006</v>
      </c>
      <c r="Z147" s="36">
        <f>IFERROR(IF(Y147=0,"",ROUNDUP(Y147/H147,0)*0.00902),"")</f>
        <v>0.15334</v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73.166666666666657</v>
      </c>
      <c r="BN147" s="64">
        <f>IFERROR(Y147*I147/H147,"0")</f>
        <v>74.63000000000001</v>
      </c>
      <c r="BO147" s="64">
        <f>IFERROR(1/J147*(X147/H147),"0")</f>
        <v>0.12626262626262624</v>
      </c>
      <c r="BP147" s="64">
        <f>IFERROR(1/J147*(Y147/H147),"0")</f>
        <v>0.12878787878787878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6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80</v>
      </c>
      <c r="Y149" s="546">
        <f>IFERROR(IF(X149="",0,CEILING((X149/$H149),1)*$H149),"")</f>
        <v>84</v>
      </c>
      <c r="Z149" s="36">
        <f>IFERROR(IF(Y149=0,"",ROUNDUP(Y149/H149,0)*0.00902),"")</f>
        <v>0.1804</v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83.619047619047606</v>
      </c>
      <c r="BN149" s="64">
        <f>IFERROR(Y149*I149/H149,"0")</f>
        <v>87.8</v>
      </c>
      <c r="BO149" s="64">
        <f>IFERROR(1/J149*(X149/H149),"0")</f>
        <v>0.14430014430014429</v>
      </c>
      <c r="BP149" s="64">
        <f>IFERROR(1/J149*(Y149/H149),"0")</f>
        <v>0.15151515151515152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5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80</v>
      </c>
      <c r="Y151" s="546">
        <f>IFERROR(IF(X151="",0,CEILING((X151/$H151),1)*$H151),"")</f>
        <v>84</v>
      </c>
      <c r="Z151" s="36">
        <f>IFERROR(IF(Y151=0,"",ROUNDUP(Y151/H151,0)*0.00902),"")</f>
        <v>0.1804</v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83.619047619047606</v>
      </c>
      <c r="BN151" s="64">
        <f>IFERROR(Y151*I151/H151,"0")</f>
        <v>87.8</v>
      </c>
      <c r="BO151" s="64">
        <f>IFERROR(1/J151*(X151/H151),"0")</f>
        <v>0.14430014430014429</v>
      </c>
      <c r="BP151" s="64">
        <f>IFERROR(1/J151*(Y151/H151),"0")</f>
        <v>0.15151515151515152</v>
      </c>
    </row>
    <row r="152" spans="1:68" x14ac:dyDescent="0.2">
      <c r="A152" s="561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62"/>
      <c r="P152" s="567" t="s">
        <v>75</v>
      </c>
      <c r="Q152" s="568"/>
      <c r="R152" s="568"/>
      <c r="S152" s="568"/>
      <c r="T152" s="568"/>
      <c r="U152" s="568"/>
      <c r="V152" s="569"/>
      <c r="W152" s="37" t="s">
        <v>76</v>
      </c>
      <c r="X152" s="547">
        <f>IFERROR(X147/H147,"0")+IFERROR(X148/H148,"0")+IFERROR(X149/H149,"0")+IFERROR(X150/H150,"0")+IFERROR(X151/H151,"0")</f>
        <v>54.761904761904759</v>
      </c>
      <c r="Y152" s="547">
        <f>IFERROR(Y147/H147,"0")+IFERROR(Y148/H148,"0")+IFERROR(Y149/H149,"0")+IFERROR(Y150/H150,"0")+IFERROR(Y151/H151,"0")</f>
        <v>57</v>
      </c>
      <c r="Z152" s="547">
        <f>IFERROR(IF(Z147="",0,Z147),"0")+IFERROR(IF(Z148="",0,Z148),"0")+IFERROR(IF(Z149="",0,Z149),"0")+IFERROR(IF(Z150="",0,Z150),"0")+IFERROR(IF(Z151="",0,Z151),"0")</f>
        <v>0.51414000000000004</v>
      </c>
      <c r="AA152" s="548"/>
      <c r="AB152" s="548"/>
      <c r="AC152" s="548"/>
    </row>
    <row r="153" spans="1:68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62"/>
      <c r="P153" s="567" t="s">
        <v>75</v>
      </c>
      <c r="Q153" s="568"/>
      <c r="R153" s="568"/>
      <c r="S153" s="568"/>
      <c r="T153" s="568"/>
      <c r="U153" s="568"/>
      <c r="V153" s="569"/>
      <c r="W153" s="37" t="s">
        <v>69</v>
      </c>
      <c r="X153" s="547">
        <f>IFERROR(SUM(X147:X151),"0")</f>
        <v>230</v>
      </c>
      <c r="Y153" s="547">
        <f>IFERROR(SUM(Y147:Y151),"0")</f>
        <v>239.4</v>
      </c>
      <c r="Z153" s="37"/>
      <c r="AA153" s="548"/>
      <c r="AB153" s="548"/>
      <c r="AC153" s="548"/>
    </row>
    <row r="154" spans="1:68" ht="14.25" hidden="1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1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62"/>
      <c r="P156" s="567" t="s">
        <v>75</v>
      </c>
      <c r="Q156" s="568"/>
      <c r="R156" s="568"/>
      <c r="S156" s="568"/>
      <c r="T156" s="568"/>
      <c r="U156" s="568"/>
      <c r="V156" s="569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62"/>
      <c r="P157" s="567" t="s">
        <v>75</v>
      </c>
      <c r="Q157" s="568"/>
      <c r="R157" s="568"/>
      <c r="S157" s="568"/>
      <c r="T157" s="568"/>
      <c r="U157" s="568"/>
      <c r="V157" s="569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647" t="s">
        <v>263</v>
      </c>
      <c r="B158" s="648"/>
      <c r="C158" s="648"/>
      <c r="D158" s="648"/>
      <c r="E158" s="648"/>
      <c r="F158" s="648"/>
      <c r="G158" s="648"/>
      <c r="H158" s="648"/>
      <c r="I158" s="648"/>
      <c r="J158" s="648"/>
      <c r="K158" s="648"/>
      <c r="L158" s="648"/>
      <c r="M158" s="648"/>
      <c r="N158" s="648"/>
      <c r="O158" s="648"/>
      <c r="P158" s="648"/>
      <c r="Q158" s="648"/>
      <c r="R158" s="648"/>
      <c r="S158" s="648"/>
      <c r="T158" s="648"/>
      <c r="U158" s="648"/>
      <c r="V158" s="648"/>
      <c r="W158" s="648"/>
      <c r="X158" s="648"/>
      <c r="Y158" s="648"/>
      <c r="Z158" s="648"/>
      <c r="AA158" s="48"/>
      <c r="AB158" s="48"/>
      <c r="AC158" s="48"/>
    </row>
    <row r="159" spans="1:68" ht="16.5" hidden="1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hidden="1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1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62"/>
      <c r="P162" s="567" t="s">
        <v>75</v>
      </c>
      <c r="Q162" s="568"/>
      <c r="R162" s="568"/>
      <c r="S162" s="568"/>
      <c r="T162" s="568"/>
      <c r="U162" s="568"/>
      <c r="V162" s="569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62"/>
      <c r="P163" s="567" t="s">
        <v>75</v>
      </c>
      <c r="Q163" s="568"/>
      <c r="R163" s="568"/>
      <c r="S163" s="568"/>
      <c r="T163" s="568"/>
      <c r="U163" s="568"/>
      <c r="V163" s="569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6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60</v>
      </c>
      <c r="Y165" s="546">
        <f t="shared" ref="Y165:Y178" si="5">IFERROR(IF(X165="",0,CEILING((X165/$H165),1)*$H165),"")</f>
        <v>63</v>
      </c>
      <c r="Z165" s="36">
        <f>IFERROR(IF(Y165=0,"",ROUNDUP(Y165/H165,0)*0.00902),"")</f>
        <v>0.1353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63.571428571428569</v>
      </c>
      <c r="BN165" s="64">
        <f t="shared" ref="BN165:BN178" si="7">IFERROR(Y165*I165/H165,"0")</f>
        <v>66.75</v>
      </c>
      <c r="BO165" s="64">
        <f t="shared" ref="BO165:BO178" si="8">IFERROR(1/J165*(X165/H165),"0")</f>
        <v>0.10822510822510822</v>
      </c>
      <c r="BP165" s="64">
        <f t="shared" ref="BP165:BP178" si="9">IFERROR(1/J165*(Y165/H165),"0")</f>
        <v>0.11363636363636365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6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30</v>
      </c>
      <c r="Y166" s="546">
        <f t="shared" si="5"/>
        <v>33.6</v>
      </c>
      <c r="Z166" s="36">
        <f>IFERROR(IF(Y166=0,"",ROUNDUP(Y166/H166,0)*0.00902),"")</f>
        <v>7.2160000000000002E-2</v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si="6"/>
        <v>31.785714285714285</v>
      </c>
      <c r="BN166" s="64">
        <f t="shared" si="7"/>
        <v>35.6</v>
      </c>
      <c r="BO166" s="64">
        <f t="shared" si="8"/>
        <v>5.4112554112554112E-2</v>
      </c>
      <c r="BP166" s="64">
        <f t="shared" si="9"/>
        <v>6.0606060606060608E-2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110</v>
      </c>
      <c r="Y167" s="546">
        <f t="shared" si="5"/>
        <v>113.4</v>
      </c>
      <c r="Z167" s="36">
        <f>IFERROR(IF(Y167=0,"",ROUNDUP(Y167/H167,0)*0.00902),"")</f>
        <v>0.24354000000000001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114.97619047619047</v>
      </c>
      <c r="BN167" s="64">
        <f t="shared" si="7"/>
        <v>118.52999999999999</v>
      </c>
      <c r="BO167" s="64">
        <f t="shared" si="8"/>
        <v>0.1984126984126984</v>
      </c>
      <c r="BP167" s="64">
        <f t="shared" si="9"/>
        <v>0.20454545454545456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8.8000000000000007</v>
      </c>
      <c r="Y168" s="546">
        <f t="shared" si="5"/>
        <v>8.8000000000000007</v>
      </c>
      <c r="Z168" s="36">
        <f>IFERROR(IF(Y168=0,"",ROUNDUP(Y168/H168,0)*0.00556),"")</f>
        <v>6.1159999999999999E-2</v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10.23</v>
      </c>
      <c r="BN168" s="64">
        <f t="shared" si="7"/>
        <v>10.23</v>
      </c>
      <c r="BO168" s="64">
        <f t="shared" si="8"/>
        <v>5.0925925925925923E-2</v>
      </c>
      <c r="BP168" s="64">
        <f t="shared" si="9"/>
        <v>5.0925925925925923E-2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 t="s">
        <v>282</v>
      </c>
      <c r="M171" s="33" t="s">
        <v>68</v>
      </c>
      <c r="N171" s="33"/>
      <c r="O171" s="32">
        <v>40</v>
      </c>
      <c r="P171" s="6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122.5</v>
      </c>
      <c r="Y171" s="546">
        <f t="shared" si="5"/>
        <v>123.9</v>
      </c>
      <c r="Z171" s="36">
        <f>IFERROR(IF(Y171=0,"",ROUNDUP(Y171/H171,0)*0.00502),"")</f>
        <v>0.29618</v>
      </c>
      <c r="AA171" s="56"/>
      <c r="AB171" s="57"/>
      <c r="AC171" s="211" t="s">
        <v>273</v>
      </c>
      <c r="AG171" s="64"/>
      <c r="AJ171" s="68" t="s">
        <v>106</v>
      </c>
      <c r="AK171" s="68">
        <v>37.799999999999997</v>
      </c>
      <c r="BB171" s="212" t="s">
        <v>1</v>
      </c>
      <c r="BM171" s="64">
        <f t="shared" si="6"/>
        <v>130.08333333333334</v>
      </c>
      <c r="BN171" s="64">
        <f t="shared" si="7"/>
        <v>131.57</v>
      </c>
      <c r="BO171" s="64">
        <f t="shared" si="8"/>
        <v>0.2492877492877493</v>
      </c>
      <c r="BP171" s="64">
        <f t="shared" si="9"/>
        <v>0.25213675213675218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6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6.4</v>
      </c>
      <c r="Y175" s="546">
        <f t="shared" si="5"/>
        <v>6.4</v>
      </c>
      <c r="Z175" s="36">
        <f>IFERROR(IF(Y175=0,"",ROUNDUP(Y175/H175,0)*0.00417),"")</f>
        <v>3.3360000000000001E-2</v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8.08</v>
      </c>
      <c r="BN175" s="64">
        <f t="shared" si="7"/>
        <v>8.08</v>
      </c>
      <c r="BO175" s="64">
        <f t="shared" si="8"/>
        <v>2.3809523809523808E-2</v>
      </c>
      <c r="BP175" s="64">
        <f t="shared" si="9"/>
        <v>2.3809523809523808E-2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157.5</v>
      </c>
      <c r="Y176" s="546">
        <f t="shared" si="5"/>
        <v>157.5</v>
      </c>
      <c r="Z176" s="36">
        <f>IFERROR(IF(Y176=0,"",ROUNDUP(Y176/H176,0)*0.00502),"")</f>
        <v>0.3765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165</v>
      </c>
      <c r="BN176" s="64">
        <f t="shared" si="7"/>
        <v>165</v>
      </c>
      <c r="BO176" s="64">
        <f t="shared" si="8"/>
        <v>0.32051282051282054</v>
      </c>
      <c r="BP176" s="64">
        <f t="shared" si="9"/>
        <v>0.32051282051282054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1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2"/>
      <c r="P179" s="567" t="s">
        <v>75</v>
      </c>
      <c r="Q179" s="568"/>
      <c r="R179" s="568"/>
      <c r="S179" s="568"/>
      <c r="T179" s="568"/>
      <c r="U179" s="568"/>
      <c r="V179" s="569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199.95238095238096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203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1.2182000000000002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2"/>
      <c r="P180" s="567" t="s">
        <v>75</v>
      </c>
      <c r="Q180" s="568"/>
      <c r="R180" s="568"/>
      <c r="S180" s="568"/>
      <c r="T180" s="568"/>
      <c r="U180" s="568"/>
      <c r="V180" s="569"/>
      <c r="W180" s="37" t="s">
        <v>69</v>
      </c>
      <c r="X180" s="547">
        <f>IFERROR(SUM(X165:X178),"0")</f>
        <v>495.2</v>
      </c>
      <c r="Y180" s="547">
        <f>IFERROR(SUM(Y165:Y178),"0")</f>
        <v>506.6</v>
      </c>
      <c r="Z180" s="37"/>
      <c r="AA180" s="548"/>
      <c r="AB180" s="548"/>
      <c r="AC180" s="548"/>
    </row>
    <row r="181" spans="1:68" ht="14.25" hidden="1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14</v>
      </c>
      <c r="Y184" s="546">
        <f>IFERROR(IF(X184="",0,CEILING((X184/$H184),1)*$H184),"")</f>
        <v>15.120000000000001</v>
      </c>
      <c r="Z184" s="36">
        <f>IFERROR(IF(Y184=0,"",ROUNDUP(Y184/H184,0)*0.0059),"")</f>
        <v>7.0800000000000002E-2</v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16.111111111111111</v>
      </c>
      <c r="BN184" s="64">
        <f>IFERROR(Y184*I184/H184,"0")</f>
        <v>17.399999999999999</v>
      </c>
      <c r="BO184" s="64">
        <f>IFERROR(1/J184*(X184/H184),"0")</f>
        <v>5.1440329218106991E-2</v>
      </c>
      <c r="BP184" s="64">
        <f>IFERROR(1/J184*(Y184/H184),"0")</f>
        <v>5.5555555555555552E-2</v>
      </c>
    </row>
    <row r="185" spans="1:68" x14ac:dyDescent="0.2">
      <c r="A185" s="561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2"/>
      <c r="P185" s="567" t="s">
        <v>75</v>
      </c>
      <c r="Q185" s="568"/>
      <c r="R185" s="568"/>
      <c r="S185" s="568"/>
      <c r="T185" s="568"/>
      <c r="U185" s="568"/>
      <c r="V185" s="569"/>
      <c r="W185" s="37" t="s">
        <v>76</v>
      </c>
      <c r="X185" s="547">
        <f>IFERROR(X182/H182,"0")+IFERROR(X183/H183,"0")+IFERROR(X184/H184,"0")</f>
        <v>11.111111111111111</v>
      </c>
      <c r="Y185" s="547">
        <f>IFERROR(Y182/H182,"0")+IFERROR(Y183/H183,"0")+IFERROR(Y184/H184,"0")</f>
        <v>12</v>
      </c>
      <c r="Z185" s="547">
        <f>IFERROR(IF(Z182="",0,Z182),"0")+IFERROR(IF(Z183="",0,Z183),"0")+IFERROR(IF(Z184="",0,Z184),"0")</f>
        <v>7.0800000000000002E-2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2"/>
      <c r="P186" s="567" t="s">
        <v>75</v>
      </c>
      <c r="Q186" s="568"/>
      <c r="R186" s="568"/>
      <c r="S186" s="568"/>
      <c r="T186" s="568"/>
      <c r="U186" s="568"/>
      <c r="V186" s="569"/>
      <c r="W186" s="37" t="s">
        <v>69</v>
      </c>
      <c r="X186" s="547">
        <f>IFERROR(SUM(X182:X184),"0")</f>
        <v>14</v>
      </c>
      <c r="Y186" s="547">
        <f>IFERROR(SUM(Y182:Y184),"0")</f>
        <v>15.120000000000001</v>
      </c>
      <c r="Z186" s="37"/>
      <c r="AA186" s="548"/>
      <c r="AB186" s="548"/>
      <c r="AC186" s="548"/>
    </row>
    <row r="187" spans="1:68" ht="14.25" hidden="1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7.0000000000000009</v>
      </c>
      <c r="Y188" s="546">
        <f>IFERROR(IF(X188="",0,CEILING((X188/$H188),1)*$H188),"")</f>
        <v>7.5600000000000005</v>
      </c>
      <c r="Z188" s="36">
        <f>IFERROR(IF(Y188=0,"",ROUNDUP(Y188/H188,0)*0.0059),"")</f>
        <v>3.5400000000000001E-2</v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8.0555555555555554</v>
      </c>
      <c r="BN188" s="64">
        <f>IFERROR(Y188*I188/H188,"0")</f>
        <v>8.6999999999999993</v>
      </c>
      <c r="BO188" s="64">
        <f>IFERROR(1/J188*(X188/H188),"0")</f>
        <v>2.5720164609053499E-2</v>
      </c>
      <c r="BP188" s="64">
        <f>IFERROR(1/J188*(Y188/H188),"0")</f>
        <v>2.7777777777777776E-2</v>
      </c>
    </row>
    <row r="189" spans="1:68" x14ac:dyDescent="0.2">
      <c r="A189" s="561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2"/>
      <c r="P189" s="567" t="s">
        <v>75</v>
      </c>
      <c r="Q189" s="568"/>
      <c r="R189" s="568"/>
      <c r="S189" s="568"/>
      <c r="T189" s="568"/>
      <c r="U189" s="568"/>
      <c r="V189" s="569"/>
      <c r="W189" s="37" t="s">
        <v>76</v>
      </c>
      <c r="X189" s="547">
        <f>IFERROR(X188/H188,"0")</f>
        <v>5.5555555555555562</v>
      </c>
      <c r="Y189" s="547">
        <f>IFERROR(Y188/H188,"0")</f>
        <v>6</v>
      </c>
      <c r="Z189" s="547">
        <f>IFERROR(IF(Z188="",0,Z188),"0")</f>
        <v>3.5400000000000001E-2</v>
      </c>
      <c r="AA189" s="548"/>
      <c r="AB189" s="548"/>
      <c r="AC189" s="548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2"/>
      <c r="P190" s="567" t="s">
        <v>75</v>
      </c>
      <c r="Q190" s="568"/>
      <c r="R190" s="568"/>
      <c r="S190" s="568"/>
      <c r="T190" s="568"/>
      <c r="U190" s="568"/>
      <c r="V190" s="569"/>
      <c r="W190" s="37" t="s">
        <v>69</v>
      </c>
      <c r="X190" s="547">
        <f>IFERROR(SUM(X188:X188),"0")</f>
        <v>7.0000000000000009</v>
      </c>
      <c r="Y190" s="547">
        <f>IFERROR(SUM(Y188:Y188),"0")</f>
        <v>7.5600000000000005</v>
      </c>
      <c r="Z190" s="37"/>
      <c r="AA190" s="548"/>
      <c r="AB190" s="548"/>
      <c r="AC190" s="548"/>
    </row>
    <row r="191" spans="1:68" ht="16.5" hidden="1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hidden="1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1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2"/>
      <c r="P195" s="567" t="s">
        <v>75</v>
      </c>
      <c r="Q195" s="568"/>
      <c r="R195" s="568"/>
      <c r="S195" s="568"/>
      <c r="T195" s="568"/>
      <c r="U195" s="568"/>
      <c r="V195" s="569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2"/>
      <c r="P196" s="567" t="s">
        <v>75</v>
      </c>
      <c r="Q196" s="568"/>
      <c r="R196" s="568"/>
      <c r="S196" s="568"/>
      <c r="T196" s="568"/>
      <c r="U196" s="568"/>
      <c r="V196" s="569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hidden="1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/>
      <c r="M199" s="33" t="s">
        <v>104</v>
      </c>
      <c r="N199" s="33"/>
      <c r="O199" s="32">
        <v>50</v>
      </c>
      <c r="P199" s="85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1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2"/>
      <c r="P200" s="567" t="s">
        <v>75</v>
      </c>
      <c r="Q200" s="568"/>
      <c r="R200" s="568"/>
      <c r="S200" s="568"/>
      <c r="T200" s="568"/>
      <c r="U200" s="568"/>
      <c r="V200" s="569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2"/>
      <c r="P201" s="567" t="s">
        <v>75</v>
      </c>
      <c r="Q201" s="568"/>
      <c r="R201" s="568"/>
      <c r="S201" s="568"/>
      <c r="T201" s="568"/>
      <c r="U201" s="568"/>
      <c r="V201" s="569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150</v>
      </c>
      <c r="Y203" s="546">
        <f t="shared" ref="Y203:Y210" si="10">IFERROR(IF(X203="",0,CEILING((X203/$H203),1)*$H203),"")</f>
        <v>151.20000000000002</v>
      </c>
      <c r="Z203" s="36">
        <f>IFERROR(IF(Y203=0,"",ROUNDUP(Y203/H203,0)*0.00902),"")</f>
        <v>0.25256000000000001</v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155.27777777777777</v>
      </c>
      <c r="BN203" s="64">
        <f t="shared" ref="BN203:BN210" si="12">IFERROR(Y203*I203/H203,"0")</f>
        <v>156.52000000000001</v>
      </c>
      <c r="BO203" s="64">
        <f t="shared" ref="BO203:BO210" si="13">IFERROR(1/J203*(X203/H203),"0")</f>
        <v>0.21043771043771042</v>
      </c>
      <c r="BP203" s="64">
        <f t="shared" ref="BP203:BP210" si="14">IFERROR(1/J203*(Y203/H203),"0")</f>
        <v>0.21212121212121213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40</v>
      </c>
      <c r="Y204" s="546">
        <f t="shared" si="10"/>
        <v>43.2</v>
      </c>
      <c r="Z204" s="36">
        <f>IFERROR(IF(Y204=0,"",ROUNDUP(Y204/H204,0)*0.00902),"")</f>
        <v>7.2160000000000002E-2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41.407407407407405</v>
      </c>
      <c r="BN204" s="64">
        <f t="shared" si="12"/>
        <v>44.72</v>
      </c>
      <c r="BO204" s="64">
        <f t="shared" si="13"/>
        <v>5.6116722783389444E-2</v>
      </c>
      <c r="BP204" s="64">
        <f t="shared" si="14"/>
        <v>6.0606060606060608E-2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400</v>
      </c>
      <c r="Y205" s="546">
        <f t="shared" si="10"/>
        <v>405</v>
      </c>
      <c r="Z205" s="36">
        <f>IFERROR(IF(Y205=0,"",ROUNDUP(Y205/H205,0)*0.00902),"")</f>
        <v>0.67649999999999999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414.07407407407402</v>
      </c>
      <c r="BN205" s="64">
        <f t="shared" si="12"/>
        <v>419.24999999999994</v>
      </c>
      <c r="BO205" s="64">
        <f t="shared" si="13"/>
        <v>0.5611672278338945</v>
      </c>
      <c r="BP205" s="64">
        <f t="shared" si="14"/>
        <v>0.56818181818181823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50</v>
      </c>
      <c r="Y206" s="546">
        <f t="shared" si="10"/>
        <v>54</v>
      </c>
      <c r="Z206" s="36">
        <f>IFERROR(IF(Y206=0,"",ROUNDUP(Y206/H206,0)*0.00902),"")</f>
        <v>9.0200000000000002E-2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51.759259259259252</v>
      </c>
      <c r="BN206" s="64">
        <f t="shared" si="12"/>
        <v>55.9</v>
      </c>
      <c r="BO206" s="64">
        <f t="shared" si="13"/>
        <v>7.0145903479236812E-2</v>
      </c>
      <c r="BP206" s="64">
        <f t="shared" si="14"/>
        <v>7.575757575757576E-2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60</v>
      </c>
      <c r="Y207" s="546">
        <f t="shared" si="10"/>
        <v>61.2</v>
      </c>
      <c r="Z207" s="36">
        <f>IFERROR(IF(Y207=0,"",ROUNDUP(Y207/H207,0)*0.00502),"")</f>
        <v>0.17068</v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64.333333333333329</v>
      </c>
      <c r="BN207" s="64">
        <f t="shared" si="12"/>
        <v>65.62</v>
      </c>
      <c r="BO207" s="64">
        <f t="shared" si="13"/>
        <v>0.14245014245014248</v>
      </c>
      <c r="BP207" s="64">
        <f t="shared" si="14"/>
        <v>0.14529914529914531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45</v>
      </c>
      <c r="Y208" s="546">
        <f t="shared" si="10"/>
        <v>45</v>
      </c>
      <c r="Z208" s="36">
        <f>IFERROR(IF(Y208=0,"",ROUNDUP(Y208/H208,0)*0.00502),"")</f>
        <v>0.1255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47.5</v>
      </c>
      <c r="BN208" s="64">
        <f t="shared" si="12"/>
        <v>47.5</v>
      </c>
      <c r="BO208" s="64">
        <f t="shared" si="13"/>
        <v>0.10683760683760685</v>
      </c>
      <c r="BP208" s="64">
        <f t="shared" si="14"/>
        <v>0.10683760683760685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 t="s">
        <v>282</v>
      </c>
      <c r="M209" s="33" t="s">
        <v>68</v>
      </c>
      <c r="N209" s="33"/>
      <c r="O209" s="32">
        <v>40</v>
      </c>
      <c r="P209" s="6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75</v>
      </c>
      <c r="Y209" s="546">
        <f t="shared" si="10"/>
        <v>75.600000000000009</v>
      </c>
      <c r="Z209" s="36">
        <f>IFERROR(IF(Y209=0,"",ROUNDUP(Y209/H209,0)*0.00502),"")</f>
        <v>0.21084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1"/>
        <v>79.166666666666671</v>
      </c>
      <c r="BN209" s="64">
        <f t="shared" si="12"/>
        <v>79.800000000000011</v>
      </c>
      <c r="BO209" s="64">
        <f t="shared" si="13"/>
        <v>0.17806267806267806</v>
      </c>
      <c r="BP209" s="64">
        <f t="shared" si="14"/>
        <v>0.17948717948717954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68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60</v>
      </c>
      <c r="Y210" s="546">
        <f t="shared" si="10"/>
        <v>61.2</v>
      </c>
      <c r="Z210" s="36">
        <f>IFERROR(IF(Y210=0,"",ROUNDUP(Y210/H210,0)*0.00502),"")</f>
        <v>0.17068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63.333333333333329</v>
      </c>
      <c r="BN210" s="64">
        <f t="shared" si="12"/>
        <v>64.599999999999994</v>
      </c>
      <c r="BO210" s="64">
        <f t="shared" si="13"/>
        <v>0.14245014245014248</v>
      </c>
      <c r="BP210" s="64">
        <f t="shared" si="14"/>
        <v>0.14529914529914531</v>
      </c>
    </row>
    <row r="211" spans="1:68" x14ac:dyDescent="0.2">
      <c r="A211" s="561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2"/>
      <c r="P211" s="567" t="s">
        <v>75</v>
      </c>
      <c r="Q211" s="568"/>
      <c r="R211" s="568"/>
      <c r="S211" s="568"/>
      <c r="T211" s="568"/>
      <c r="U211" s="568"/>
      <c r="V211" s="569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251.85185185185188</v>
      </c>
      <c r="Y211" s="547">
        <f>IFERROR(Y203/H203,"0")+IFERROR(Y204/H204,"0")+IFERROR(Y205/H205,"0")+IFERROR(Y206/H206,"0")+IFERROR(Y207/H207,"0")+IFERROR(Y208/H208,"0")+IFERROR(Y209/H209,"0")+IFERROR(Y210/H210,"0")</f>
        <v>256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1.7691199999999998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2"/>
      <c r="P212" s="567" t="s">
        <v>75</v>
      </c>
      <c r="Q212" s="568"/>
      <c r="R212" s="568"/>
      <c r="S212" s="568"/>
      <c r="T212" s="568"/>
      <c r="U212" s="568"/>
      <c r="V212" s="569"/>
      <c r="W212" s="37" t="s">
        <v>69</v>
      </c>
      <c r="X212" s="547">
        <f>IFERROR(SUM(X203:X210),"0")</f>
        <v>880</v>
      </c>
      <c r="Y212" s="547">
        <f>IFERROR(SUM(Y203:Y210),"0")</f>
        <v>896.4000000000002</v>
      </c>
      <c r="Z212" s="37"/>
      <c r="AA212" s="548"/>
      <c r="AB212" s="548"/>
      <c r="AC212" s="548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140</v>
      </c>
      <c r="Y216" s="546">
        <f t="shared" si="15"/>
        <v>147.89999999999998</v>
      </c>
      <c r="Z216" s="36">
        <f>IFERROR(IF(Y216=0,"",ROUNDUP(Y216/H216,0)*0.01898),"")</f>
        <v>0.32266</v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147.94942528735635</v>
      </c>
      <c r="BN216" s="64">
        <f t="shared" si="17"/>
        <v>156.298</v>
      </c>
      <c r="BO216" s="64">
        <f t="shared" si="18"/>
        <v>0.25143678160919541</v>
      </c>
      <c r="BP216" s="64">
        <f t="shared" si="19"/>
        <v>0.265625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220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400</v>
      </c>
      <c r="Y217" s="546">
        <f t="shared" si="15"/>
        <v>400.8</v>
      </c>
      <c r="Z217" s="36">
        <f t="shared" ref="Z217:Z222" si="20">IFERROR(IF(Y217=0,"",ROUNDUP(Y217/H217,0)*0.00651),"")</f>
        <v>1.08717</v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445</v>
      </c>
      <c r="BN217" s="64">
        <f t="shared" si="17"/>
        <v>445.89</v>
      </c>
      <c r="BO217" s="64">
        <f t="shared" si="18"/>
        <v>0.91575091575091594</v>
      </c>
      <c r="BP217" s="64">
        <f t="shared" si="19"/>
        <v>0.91758241758241765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220</v>
      </c>
      <c r="M219" s="33" t="s">
        <v>80</v>
      </c>
      <c r="N219" s="33"/>
      <c r="O219" s="32">
        <v>45</v>
      </c>
      <c r="P219" s="7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260</v>
      </c>
      <c r="Y219" s="546">
        <f t="shared" si="15"/>
        <v>261.59999999999997</v>
      </c>
      <c r="Z219" s="36">
        <f t="shared" si="20"/>
        <v>0.70959000000000005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287.3</v>
      </c>
      <c r="BN219" s="64">
        <f t="shared" si="17"/>
        <v>289.06799999999998</v>
      </c>
      <c r="BO219" s="64">
        <f t="shared" si="18"/>
        <v>0.59523809523809534</v>
      </c>
      <c r="BP219" s="64">
        <f t="shared" si="19"/>
        <v>0.59890109890109888</v>
      </c>
    </row>
    <row r="220" spans="1:68" ht="27" hidden="1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/>
      <c r="AK220" s="68">
        <v>0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220</v>
      </c>
      <c r="M221" s="33" t="s">
        <v>86</v>
      </c>
      <c r="N221" s="33"/>
      <c r="O221" s="32">
        <v>40</v>
      </c>
      <c r="P221" s="5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88</v>
      </c>
      <c r="Y221" s="546">
        <f t="shared" si="15"/>
        <v>88.8</v>
      </c>
      <c r="Z221" s="36">
        <f t="shared" si="20"/>
        <v>0.24087</v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97.240000000000009</v>
      </c>
      <c r="BN221" s="64">
        <f t="shared" si="17"/>
        <v>98.124000000000009</v>
      </c>
      <c r="BO221" s="64">
        <f t="shared" si="18"/>
        <v>0.2014652014652015</v>
      </c>
      <c r="BP221" s="64">
        <f t="shared" si="19"/>
        <v>0.20329670329670332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220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240</v>
      </c>
      <c r="Y222" s="546">
        <f t="shared" si="15"/>
        <v>240</v>
      </c>
      <c r="Z222" s="36">
        <f t="shared" si="20"/>
        <v>0.65100000000000002</v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265.8</v>
      </c>
      <c r="BN222" s="64">
        <f t="shared" si="17"/>
        <v>265.8</v>
      </c>
      <c r="BO222" s="64">
        <f t="shared" si="18"/>
        <v>0.5494505494505495</v>
      </c>
      <c r="BP222" s="64">
        <f t="shared" si="19"/>
        <v>0.5494505494505495</v>
      </c>
    </row>
    <row r="223" spans="1:68" x14ac:dyDescent="0.2">
      <c r="A223" s="561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2"/>
      <c r="P223" s="567" t="s">
        <v>75</v>
      </c>
      <c r="Q223" s="568"/>
      <c r="R223" s="568"/>
      <c r="S223" s="568"/>
      <c r="T223" s="568"/>
      <c r="U223" s="568"/>
      <c r="V223" s="569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427.75862068965523</v>
      </c>
      <c r="Y223" s="547">
        <f>IFERROR(Y214/H214,"0")+IFERROR(Y215/H215,"0")+IFERROR(Y216/H216,"0")+IFERROR(Y217/H217,"0")+IFERROR(Y218/H218,"0")+IFERROR(Y219/H219,"0")+IFERROR(Y220/H220,"0")+IFERROR(Y221/H221,"0")+IFERROR(Y222/H222,"0")</f>
        <v>430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3.0112899999999998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2"/>
      <c r="P224" s="567" t="s">
        <v>75</v>
      </c>
      <c r="Q224" s="568"/>
      <c r="R224" s="568"/>
      <c r="S224" s="568"/>
      <c r="T224" s="568"/>
      <c r="U224" s="568"/>
      <c r="V224" s="569"/>
      <c r="W224" s="37" t="s">
        <v>69</v>
      </c>
      <c r="X224" s="547">
        <f>IFERROR(SUM(X214:X222),"0")</f>
        <v>1128</v>
      </c>
      <c r="Y224" s="547">
        <f>IFERROR(SUM(Y214:Y222),"0")</f>
        <v>1139.0999999999999</v>
      </c>
      <c r="Z224" s="37"/>
      <c r="AA224" s="548"/>
      <c r="AB224" s="548"/>
      <c r="AC224" s="548"/>
    </row>
    <row r="225" spans="1:68" ht="14.25" hidden="1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 t="s">
        <v>220</v>
      </c>
      <c r="M226" s="33" t="s">
        <v>86</v>
      </c>
      <c r="N226" s="33"/>
      <c r="O226" s="32">
        <v>40</v>
      </c>
      <c r="P226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8</v>
      </c>
      <c r="Y226" s="546">
        <f>IFERROR(IF(X226="",0,CEILING((X226/$H226),1)*$H226),"")</f>
        <v>9.6</v>
      </c>
      <c r="Z226" s="36">
        <f>IFERROR(IF(Y226=0,"",ROUNDUP(Y226/H226,0)*0.00651),"")</f>
        <v>2.6040000000000001E-2</v>
      </c>
      <c r="AA226" s="56"/>
      <c r="AB226" s="57"/>
      <c r="AC226" s="277" t="s">
        <v>375</v>
      </c>
      <c r="AG226" s="64"/>
      <c r="AJ226" s="68" t="s">
        <v>106</v>
      </c>
      <c r="AK226" s="68">
        <v>33.6</v>
      </c>
      <c r="BB226" s="278" t="s">
        <v>1</v>
      </c>
      <c r="BM226" s="64">
        <f>IFERROR(X226*I226/H226,"0")</f>
        <v>8.8400000000000016</v>
      </c>
      <c r="BN226" s="64">
        <f>IFERROR(Y226*I226/H226,"0")</f>
        <v>10.608000000000001</v>
      </c>
      <c r="BO226" s="64">
        <f>IFERROR(1/J226*(X226/H226),"0")</f>
        <v>1.8315018315018316E-2</v>
      </c>
      <c r="BP226" s="64">
        <f>IFERROR(1/J226*(Y226/H226),"0")</f>
        <v>2.197802197802198E-2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220</v>
      </c>
      <c r="M227" s="33" t="s">
        <v>80</v>
      </c>
      <c r="N227" s="33"/>
      <c r="O227" s="32">
        <v>40</v>
      </c>
      <c r="P227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8</v>
      </c>
      <c r="Y227" s="546">
        <f>IFERROR(IF(X227="",0,CEILING((X227/$H227),1)*$H227),"")</f>
        <v>9.6</v>
      </c>
      <c r="Z227" s="36">
        <f>IFERROR(IF(Y227=0,"",ROUNDUP(Y227/H227,0)*0.00651),"")</f>
        <v>2.6040000000000001E-2</v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8.8400000000000016</v>
      </c>
      <c r="BN227" s="64">
        <f>IFERROR(Y227*I227/H227,"0")</f>
        <v>10.608000000000001</v>
      </c>
      <c r="BO227" s="64">
        <f>IFERROR(1/J227*(X227/H227),"0")</f>
        <v>1.8315018315018316E-2</v>
      </c>
      <c r="BP227" s="64">
        <f>IFERROR(1/J227*(Y227/H227),"0")</f>
        <v>2.197802197802198E-2</v>
      </c>
    </row>
    <row r="228" spans="1:68" x14ac:dyDescent="0.2">
      <c r="A228" s="561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2"/>
      <c r="P228" s="567" t="s">
        <v>75</v>
      </c>
      <c r="Q228" s="568"/>
      <c r="R228" s="568"/>
      <c r="S228" s="568"/>
      <c r="T228" s="568"/>
      <c r="U228" s="568"/>
      <c r="V228" s="569"/>
      <c r="W228" s="37" t="s">
        <v>76</v>
      </c>
      <c r="X228" s="547">
        <f>IFERROR(X226/H226,"0")+IFERROR(X227/H227,"0")</f>
        <v>6.666666666666667</v>
      </c>
      <c r="Y228" s="547">
        <f>IFERROR(Y226/H226,"0")+IFERROR(Y227/H227,"0")</f>
        <v>8</v>
      </c>
      <c r="Z228" s="547">
        <f>IFERROR(IF(Z226="",0,Z226),"0")+IFERROR(IF(Z227="",0,Z227),"0")</f>
        <v>5.2080000000000001E-2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2"/>
      <c r="P229" s="567" t="s">
        <v>75</v>
      </c>
      <c r="Q229" s="568"/>
      <c r="R229" s="568"/>
      <c r="S229" s="568"/>
      <c r="T229" s="568"/>
      <c r="U229" s="568"/>
      <c r="V229" s="569"/>
      <c r="W229" s="37" t="s">
        <v>69</v>
      </c>
      <c r="X229" s="547">
        <f>IFERROR(SUM(X226:X227),"0")</f>
        <v>16</v>
      </c>
      <c r="Y229" s="547">
        <f>IFERROR(SUM(Y226:Y227),"0")</f>
        <v>19.2</v>
      </c>
      <c r="Z229" s="37"/>
      <c r="AA229" s="548"/>
      <c r="AB229" s="548"/>
      <c r="AC229" s="548"/>
    </row>
    <row r="230" spans="1:68" ht="16.5" hidden="1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hidden="1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20</v>
      </c>
      <c r="Y232" s="546">
        <f t="shared" ref="Y232:Y240" si="21">IFERROR(IF(X232="",0,CEILING((X232/$H232),1)*$H232),"")</f>
        <v>23.2</v>
      </c>
      <c r="Z232" s="36">
        <f>IFERROR(IF(Y232=0,"",ROUNDUP(Y232/H232,0)*0.01898),"")</f>
        <v>3.7960000000000001E-2</v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20.706896551724139</v>
      </c>
      <c r="BN232" s="64">
        <f t="shared" ref="BN232:BN240" si="23">IFERROR(Y232*I232/H232,"0")</f>
        <v>24.02</v>
      </c>
      <c r="BO232" s="64">
        <f t="shared" ref="BO232:BO240" si="24">IFERROR(1/J232*(X232/H232),"0")</f>
        <v>2.6939655172413795E-2</v>
      </c>
      <c r="BP232" s="64">
        <f t="shared" ref="BP232:BP240" si="25">IFERROR(1/J232*(Y232/H232),"0")</f>
        <v>3.125E-2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 t="s">
        <v>103</v>
      </c>
      <c r="M234" s="33" t="s">
        <v>104</v>
      </c>
      <c r="N234" s="33"/>
      <c r="O234" s="32">
        <v>55</v>
      </c>
      <c r="P234" s="6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40</v>
      </c>
      <c r="Y234" s="546">
        <f t="shared" si="21"/>
        <v>46.4</v>
      </c>
      <c r="Z234" s="36">
        <f>IFERROR(IF(Y234=0,"",ROUNDUP(Y234/H234,0)*0.01898),"")</f>
        <v>7.5920000000000001E-2</v>
      </c>
      <c r="AA234" s="56"/>
      <c r="AB234" s="57"/>
      <c r="AC234" s="285" t="s">
        <v>388</v>
      </c>
      <c r="AG234" s="64"/>
      <c r="AJ234" s="68" t="s">
        <v>106</v>
      </c>
      <c r="AK234" s="68">
        <v>92.8</v>
      </c>
      <c r="BB234" s="286" t="s">
        <v>1</v>
      </c>
      <c r="BM234" s="64">
        <f t="shared" si="22"/>
        <v>41.413793103448278</v>
      </c>
      <c r="BN234" s="64">
        <f t="shared" si="23"/>
        <v>48.04</v>
      </c>
      <c r="BO234" s="64">
        <f t="shared" si="24"/>
        <v>5.387931034482759E-2</v>
      </c>
      <c r="BP234" s="64">
        <f t="shared" si="25"/>
        <v>6.25E-2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 t="s">
        <v>110</v>
      </c>
      <c r="M235" s="33" t="s">
        <v>104</v>
      </c>
      <c r="N235" s="33"/>
      <c r="O235" s="32">
        <v>55</v>
      </c>
      <c r="P235" s="71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16</v>
      </c>
      <c r="Y235" s="546">
        <f t="shared" si="21"/>
        <v>16</v>
      </c>
      <c r="Z235" s="36">
        <f>IFERROR(IF(Y235=0,"",ROUNDUP(Y235/H235,0)*0.00902),"")</f>
        <v>3.6080000000000001E-2</v>
      </c>
      <c r="AA235" s="56"/>
      <c r="AB235" s="57"/>
      <c r="AC235" s="287" t="s">
        <v>382</v>
      </c>
      <c r="AG235" s="64"/>
      <c r="AJ235" s="68" t="s">
        <v>106</v>
      </c>
      <c r="AK235" s="68">
        <v>48</v>
      </c>
      <c r="BB235" s="288" t="s">
        <v>1</v>
      </c>
      <c r="BM235" s="64">
        <f t="shared" si="22"/>
        <v>16.760000000000002</v>
      </c>
      <c r="BN235" s="64">
        <f t="shared" si="23"/>
        <v>16.760000000000002</v>
      </c>
      <c r="BO235" s="64">
        <f t="shared" si="24"/>
        <v>3.0303030303030304E-2</v>
      </c>
      <c r="BP235" s="64">
        <f t="shared" si="25"/>
        <v>3.0303030303030304E-2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5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 t="s">
        <v>110</v>
      </c>
      <c r="M239" s="33" t="s">
        <v>104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12</v>
      </c>
      <c r="Y239" s="546">
        <f t="shared" si="21"/>
        <v>12</v>
      </c>
      <c r="Z239" s="36">
        <f>IFERROR(IF(Y239=0,"",ROUNDUP(Y239/H239,0)*0.00902),"")</f>
        <v>2.7060000000000001E-2</v>
      </c>
      <c r="AA239" s="56"/>
      <c r="AB239" s="57"/>
      <c r="AC239" s="295" t="s">
        <v>388</v>
      </c>
      <c r="AG239" s="64"/>
      <c r="AJ239" s="68" t="s">
        <v>106</v>
      </c>
      <c r="AK239" s="68">
        <v>48</v>
      </c>
      <c r="BB239" s="296" t="s">
        <v>1</v>
      </c>
      <c r="BM239" s="64">
        <f t="shared" si="22"/>
        <v>12.57</v>
      </c>
      <c r="BN239" s="64">
        <f t="shared" si="23"/>
        <v>12.57</v>
      </c>
      <c r="BO239" s="64">
        <f t="shared" si="24"/>
        <v>2.2727272727272728E-2</v>
      </c>
      <c r="BP239" s="64">
        <f t="shared" si="25"/>
        <v>2.2727272727272728E-2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61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2"/>
      <c r="P241" s="567" t="s">
        <v>75</v>
      </c>
      <c r="Q241" s="568"/>
      <c r="R241" s="568"/>
      <c r="S241" s="568"/>
      <c r="T241" s="568"/>
      <c r="U241" s="568"/>
      <c r="V241" s="569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12.172413793103448</v>
      </c>
      <c r="Y241" s="547">
        <f>IFERROR(Y232/H232,"0")+IFERROR(Y233/H233,"0")+IFERROR(Y234/H234,"0")+IFERROR(Y235/H235,"0")+IFERROR(Y236/H236,"0")+IFERROR(Y237/H237,"0")+IFERROR(Y238/H238,"0")+IFERROR(Y239/H239,"0")+IFERROR(Y240/H240,"0")</f>
        <v>13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0.17702000000000001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2"/>
      <c r="P242" s="567" t="s">
        <v>75</v>
      </c>
      <c r="Q242" s="568"/>
      <c r="R242" s="568"/>
      <c r="S242" s="568"/>
      <c r="T242" s="568"/>
      <c r="U242" s="568"/>
      <c r="V242" s="569"/>
      <c r="W242" s="37" t="s">
        <v>69</v>
      </c>
      <c r="X242" s="547">
        <f>IFERROR(SUM(X232:X240),"0")</f>
        <v>88</v>
      </c>
      <c r="Y242" s="547">
        <f>IFERROR(SUM(Y232:Y240),"0")</f>
        <v>97.6</v>
      </c>
      <c r="Z242" s="37"/>
      <c r="AA242" s="548"/>
      <c r="AB242" s="548"/>
      <c r="AC242" s="548"/>
    </row>
    <row r="243" spans="1:68" ht="14.25" hidden="1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1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2"/>
      <c r="P245" s="567" t="s">
        <v>75</v>
      </c>
      <c r="Q245" s="568"/>
      <c r="R245" s="568"/>
      <c r="S245" s="568"/>
      <c r="T245" s="568"/>
      <c r="U245" s="568"/>
      <c r="V245" s="569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2"/>
      <c r="P246" s="567" t="s">
        <v>75</v>
      </c>
      <c r="Q246" s="568"/>
      <c r="R246" s="568"/>
      <c r="S246" s="568"/>
      <c r="T246" s="568"/>
      <c r="U246" s="568"/>
      <c r="V246" s="569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hidden="1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1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2"/>
      <c r="P249" s="567" t="s">
        <v>75</v>
      </c>
      <c r="Q249" s="568"/>
      <c r="R249" s="568"/>
      <c r="S249" s="568"/>
      <c r="T249" s="568"/>
      <c r="U249" s="568"/>
      <c r="V249" s="569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hidden="1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2"/>
      <c r="P250" s="567" t="s">
        <v>75</v>
      </c>
      <c r="Q250" s="568"/>
      <c r="R250" s="568"/>
      <c r="S250" s="568"/>
      <c r="T250" s="568"/>
      <c r="U250" s="568"/>
      <c r="V250" s="569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hidden="1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6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12</v>
      </c>
      <c r="Y253" s="546">
        <f>IFERROR(IF(X253="",0,CEILING((X253/$H253),1)*$H253),"")</f>
        <v>12.6</v>
      </c>
      <c r="Z253" s="36">
        <f>IFERROR(IF(Y253=0,"",ROUNDUP(Y253/H253,0)*0.0059),"")</f>
        <v>4.1299999999999996E-2</v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13.166666666666668</v>
      </c>
      <c r="BN253" s="64">
        <f>IFERROR(Y253*I253/H253,"0")</f>
        <v>13.825000000000001</v>
      </c>
      <c r="BO253" s="64">
        <f>IFERROR(1/J253*(X253/H253),"0")</f>
        <v>3.0864197530864192E-2</v>
      </c>
      <c r="BP253" s="64">
        <f>IFERROR(1/J253*(Y253/H253),"0")</f>
        <v>3.2407407407407406E-2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1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2"/>
      <c r="P257" s="567" t="s">
        <v>75</v>
      </c>
      <c r="Q257" s="568"/>
      <c r="R257" s="568"/>
      <c r="S257" s="568"/>
      <c r="T257" s="568"/>
      <c r="U257" s="568"/>
      <c r="V257" s="569"/>
      <c r="W257" s="37" t="s">
        <v>76</v>
      </c>
      <c r="X257" s="547">
        <f>IFERROR(X252/H252,"0")+IFERROR(X253/H253,"0")+IFERROR(X254/H254,"0")+IFERROR(X255/H255,"0")+IFERROR(X256/H256,"0")</f>
        <v>6.6666666666666661</v>
      </c>
      <c r="Y257" s="547">
        <f>IFERROR(Y252/H252,"0")+IFERROR(Y253/H253,"0")+IFERROR(Y254/H254,"0")+IFERROR(Y255/H255,"0")+IFERROR(Y256/H256,"0")</f>
        <v>7</v>
      </c>
      <c r="Z257" s="547">
        <f>IFERROR(IF(Z252="",0,Z252),"0")+IFERROR(IF(Z253="",0,Z253),"0")+IFERROR(IF(Z254="",0,Z254),"0")+IFERROR(IF(Z255="",0,Z255),"0")+IFERROR(IF(Z256="",0,Z256),"0")</f>
        <v>4.1299999999999996E-2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2"/>
      <c r="P258" s="567" t="s">
        <v>75</v>
      </c>
      <c r="Q258" s="568"/>
      <c r="R258" s="568"/>
      <c r="S258" s="568"/>
      <c r="T258" s="568"/>
      <c r="U258" s="568"/>
      <c r="V258" s="569"/>
      <c r="W258" s="37" t="s">
        <v>69</v>
      </c>
      <c r="X258" s="547">
        <f>IFERROR(SUM(X252:X256),"0")</f>
        <v>12</v>
      </c>
      <c r="Y258" s="547">
        <f>IFERROR(SUM(Y252:Y256),"0")</f>
        <v>12.6</v>
      </c>
      <c r="Z258" s="37"/>
      <c r="AA258" s="548"/>
      <c r="AB258" s="548"/>
      <c r="AC258" s="548"/>
    </row>
    <row r="259" spans="1:68" ht="16.5" hidden="1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hidden="1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4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1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2"/>
      <c r="P266" s="567" t="s">
        <v>75</v>
      </c>
      <c r="Q266" s="568"/>
      <c r="R266" s="568"/>
      <c r="S266" s="568"/>
      <c r="T266" s="568"/>
      <c r="U266" s="568"/>
      <c r="V266" s="569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2"/>
      <c r="P267" s="567" t="s">
        <v>75</v>
      </c>
      <c r="Q267" s="568"/>
      <c r="R267" s="568"/>
      <c r="S267" s="568"/>
      <c r="T267" s="568"/>
      <c r="U267" s="568"/>
      <c r="V267" s="569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hidden="1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hidden="1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0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4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1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2"/>
      <c r="P274" s="567" t="s">
        <v>75</v>
      </c>
      <c r="Q274" s="568"/>
      <c r="R274" s="568"/>
      <c r="S274" s="568"/>
      <c r="T274" s="568"/>
      <c r="U274" s="568"/>
      <c r="V274" s="569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2"/>
      <c r="P275" s="567" t="s">
        <v>75</v>
      </c>
      <c r="Q275" s="568"/>
      <c r="R275" s="568"/>
      <c r="S275" s="568"/>
      <c r="T275" s="568"/>
      <c r="U275" s="568"/>
      <c r="V275" s="569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hidden="1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220</v>
      </c>
      <c r="M279" s="33" t="s">
        <v>86</v>
      </c>
      <c r="N279" s="33"/>
      <c r="O279" s="32">
        <v>40</v>
      </c>
      <c r="P279" s="7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80</v>
      </c>
      <c r="Y279" s="546">
        <f>IFERROR(IF(X279="",0,CEILING((X279/$H279),1)*$H279),"")</f>
        <v>81.599999999999994</v>
      </c>
      <c r="Z279" s="36">
        <f>IFERROR(IF(Y279=0,"",ROUNDUP(Y279/H279,0)*0.00651),"")</f>
        <v>0.22134000000000001</v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88.40000000000002</v>
      </c>
      <c r="BN279" s="64">
        <f>IFERROR(Y279*I279/H279,"0")</f>
        <v>90.168000000000006</v>
      </c>
      <c r="BO279" s="64">
        <f>IFERROR(1/J279*(X279/H279),"0")</f>
        <v>0.18315018315018317</v>
      </c>
      <c r="BP279" s="64">
        <f>IFERROR(1/J279*(Y279/H279),"0")</f>
        <v>0.18681318681318682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200</v>
      </c>
      <c r="Y280" s="546">
        <f>IFERROR(IF(X280="",0,CEILING((X280/$H280),1)*$H280),"")</f>
        <v>201.6</v>
      </c>
      <c r="Z280" s="36">
        <f>IFERROR(IF(Y280=0,"",ROUNDUP(Y280/H280,0)*0.00651),"")</f>
        <v>0.54683999999999999</v>
      </c>
      <c r="AA280" s="56"/>
      <c r="AB280" s="57"/>
      <c r="AC280" s="335" t="s">
        <v>450</v>
      </c>
      <c r="AG280" s="64"/>
      <c r="AJ280" s="68"/>
      <c r="AK280" s="68">
        <v>0</v>
      </c>
      <c r="BB280" s="336" t="s">
        <v>1</v>
      </c>
      <c r="BM280" s="64">
        <f>IFERROR(X280*I280/H280,"0")</f>
        <v>215</v>
      </c>
      <c r="BN280" s="64">
        <f>IFERROR(Y280*I280/H280,"0")</f>
        <v>216.72000000000003</v>
      </c>
      <c r="BO280" s="64">
        <f>IFERROR(1/J280*(X280/H280),"0")</f>
        <v>0.45787545787545797</v>
      </c>
      <c r="BP280" s="64">
        <f>IFERROR(1/J280*(Y280/H280),"0")</f>
        <v>0.46153846153846156</v>
      </c>
    </row>
    <row r="281" spans="1:68" x14ac:dyDescent="0.2">
      <c r="A281" s="561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2"/>
      <c r="P281" s="567" t="s">
        <v>75</v>
      </c>
      <c r="Q281" s="568"/>
      <c r="R281" s="568"/>
      <c r="S281" s="568"/>
      <c r="T281" s="568"/>
      <c r="U281" s="568"/>
      <c r="V281" s="569"/>
      <c r="W281" s="37" t="s">
        <v>76</v>
      </c>
      <c r="X281" s="547">
        <f>IFERROR(X278/H278,"0")+IFERROR(X279/H279,"0")+IFERROR(X280/H280,"0")</f>
        <v>116.66666666666669</v>
      </c>
      <c r="Y281" s="547">
        <f>IFERROR(Y278/H278,"0")+IFERROR(Y279/H279,"0")+IFERROR(Y280/H280,"0")</f>
        <v>118</v>
      </c>
      <c r="Z281" s="547">
        <f>IFERROR(IF(Z278="",0,Z278),"0")+IFERROR(IF(Z279="",0,Z279),"0")+IFERROR(IF(Z280="",0,Z280),"0")</f>
        <v>0.76817999999999997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2"/>
      <c r="P282" s="567" t="s">
        <v>75</v>
      </c>
      <c r="Q282" s="568"/>
      <c r="R282" s="568"/>
      <c r="S282" s="568"/>
      <c r="T282" s="568"/>
      <c r="U282" s="568"/>
      <c r="V282" s="569"/>
      <c r="W282" s="37" t="s">
        <v>69</v>
      </c>
      <c r="X282" s="547">
        <f>IFERROR(SUM(X278:X280),"0")</f>
        <v>280</v>
      </c>
      <c r="Y282" s="547">
        <f>IFERROR(SUM(Y278:Y280),"0")</f>
        <v>283.2</v>
      </c>
      <c r="Z282" s="37"/>
      <c r="AA282" s="548"/>
      <c r="AB282" s="548"/>
      <c r="AC282" s="548"/>
    </row>
    <row r="283" spans="1:68" ht="16.5" hidden="1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1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2"/>
      <c r="P287" s="567" t="s">
        <v>75</v>
      </c>
      <c r="Q287" s="568"/>
      <c r="R287" s="568"/>
      <c r="S287" s="568"/>
      <c r="T287" s="568"/>
      <c r="U287" s="568"/>
      <c r="V287" s="569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2"/>
      <c r="P288" s="567" t="s">
        <v>75</v>
      </c>
      <c r="Q288" s="568"/>
      <c r="R288" s="568"/>
      <c r="S288" s="568"/>
      <c r="T288" s="568"/>
      <c r="U288" s="568"/>
      <c r="V288" s="569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6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1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2"/>
      <c r="P292" s="567" t="s">
        <v>75</v>
      </c>
      <c r="Q292" s="568"/>
      <c r="R292" s="568"/>
      <c r="S292" s="568"/>
      <c r="T292" s="568"/>
      <c r="U292" s="568"/>
      <c r="V292" s="569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2"/>
      <c r="P293" s="567" t="s">
        <v>75</v>
      </c>
      <c r="Q293" s="568"/>
      <c r="R293" s="568"/>
      <c r="S293" s="568"/>
      <c r="T293" s="568"/>
      <c r="U293" s="568"/>
      <c r="V293" s="569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hidden="1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hidden="1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hidden="1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5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1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1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62"/>
      <c r="P301" s="567" t="s">
        <v>75</v>
      </c>
      <c r="Q301" s="568"/>
      <c r="R301" s="568"/>
      <c r="S301" s="568"/>
      <c r="T301" s="568"/>
      <c r="U301" s="568"/>
      <c r="V301" s="569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hidden="1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2"/>
      <c r="P302" s="567" t="s">
        <v>75</v>
      </c>
      <c r="Q302" s="568"/>
      <c r="R302" s="568"/>
      <c r="S302" s="568"/>
      <c r="T302" s="568"/>
      <c r="U302" s="568"/>
      <c r="V302" s="569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hidden="1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hidden="1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8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40</v>
      </c>
      <c r="P305" s="7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 t="s">
        <v>282</v>
      </c>
      <c r="M307" s="33" t="s">
        <v>68</v>
      </c>
      <c r="N307" s="33"/>
      <c r="O307" s="32">
        <v>40</v>
      </c>
      <c r="P307" s="87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 t="s">
        <v>106</v>
      </c>
      <c r="AK307" s="68">
        <v>37.799999999999997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68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157.5</v>
      </c>
      <c r="Y308" s="546">
        <f t="shared" si="26"/>
        <v>157.5</v>
      </c>
      <c r="Z308" s="36">
        <f>IFERROR(IF(Y308=0,"",ROUNDUP(Y308/H308,0)*0.00502),"")</f>
        <v>0.3765</v>
      </c>
      <c r="AA308" s="56"/>
      <c r="AB308" s="57"/>
      <c r="AC308" s="363" t="s">
        <v>497</v>
      </c>
      <c r="AG308" s="64"/>
      <c r="AJ308" s="68" t="s">
        <v>106</v>
      </c>
      <c r="AK308" s="68">
        <v>37.799999999999997</v>
      </c>
      <c r="BB308" s="364" t="s">
        <v>1</v>
      </c>
      <c r="BM308" s="64">
        <f t="shared" si="27"/>
        <v>165</v>
      </c>
      <c r="BN308" s="64">
        <f t="shared" si="28"/>
        <v>165</v>
      </c>
      <c r="BO308" s="64">
        <f t="shared" si="29"/>
        <v>0.32051282051282054</v>
      </c>
      <c r="BP308" s="64">
        <f t="shared" si="30"/>
        <v>0.32051282051282054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 t="s">
        <v>220</v>
      </c>
      <c r="M309" s="33" t="s">
        <v>68</v>
      </c>
      <c r="N309" s="33"/>
      <c r="O309" s="32">
        <v>40</v>
      </c>
      <c r="P309" s="73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24</v>
      </c>
      <c r="Y309" s="546">
        <f t="shared" si="26"/>
        <v>25.2</v>
      </c>
      <c r="Z309" s="36">
        <f>IFERROR(IF(Y309=0,"",ROUNDUP(Y309/H309,0)*0.00651),"")</f>
        <v>9.1139999999999999E-2</v>
      </c>
      <c r="AA309" s="56"/>
      <c r="AB309" s="57"/>
      <c r="AC309" s="365" t="s">
        <v>500</v>
      </c>
      <c r="AG309" s="64"/>
      <c r="AJ309" s="68" t="s">
        <v>106</v>
      </c>
      <c r="AK309" s="68">
        <v>25.2</v>
      </c>
      <c r="BB309" s="366" t="s">
        <v>1</v>
      </c>
      <c r="BM309" s="64">
        <f t="shared" si="27"/>
        <v>27.04</v>
      </c>
      <c r="BN309" s="64">
        <f t="shared" si="28"/>
        <v>28.391999999999999</v>
      </c>
      <c r="BO309" s="64">
        <f t="shared" si="29"/>
        <v>7.3260073260073263E-2</v>
      </c>
      <c r="BP309" s="64">
        <f t="shared" si="30"/>
        <v>7.6923076923076927E-2</v>
      </c>
    </row>
    <row r="310" spans="1:68" x14ac:dyDescent="0.2">
      <c r="A310" s="561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62"/>
      <c r="P310" s="567" t="s">
        <v>75</v>
      </c>
      <c r="Q310" s="568"/>
      <c r="R310" s="568"/>
      <c r="S310" s="568"/>
      <c r="T310" s="568"/>
      <c r="U310" s="568"/>
      <c r="V310" s="569"/>
      <c r="W310" s="37" t="s">
        <v>76</v>
      </c>
      <c r="X310" s="547">
        <f>IFERROR(X304/H304,"0")+IFERROR(X305/H305,"0")+IFERROR(X306/H306,"0")+IFERROR(X307/H307,"0")+IFERROR(X308/H308,"0")+IFERROR(X309/H309,"0")</f>
        <v>88.333333333333329</v>
      </c>
      <c r="Y310" s="547">
        <f>IFERROR(Y304/H304,"0")+IFERROR(Y305/H305,"0")+IFERROR(Y306/H306,"0")+IFERROR(Y307/H307,"0")+IFERROR(Y308/H308,"0")+IFERROR(Y309/H309,"0")</f>
        <v>89</v>
      </c>
      <c r="Z310" s="547">
        <f>IFERROR(IF(Z304="",0,Z304),"0")+IFERROR(IF(Z305="",0,Z305),"0")+IFERROR(IF(Z306="",0,Z306),"0")+IFERROR(IF(Z307="",0,Z307),"0")+IFERROR(IF(Z308="",0,Z308),"0")+IFERROR(IF(Z309="",0,Z309),"0")</f>
        <v>0.46764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2"/>
      <c r="P311" s="567" t="s">
        <v>75</v>
      </c>
      <c r="Q311" s="568"/>
      <c r="R311" s="568"/>
      <c r="S311" s="568"/>
      <c r="T311" s="568"/>
      <c r="U311" s="568"/>
      <c r="V311" s="569"/>
      <c r="W311" s="37" t="s">
        <v>69</v>
      </c>
      <c r="X311" s="547">
        <f>IFERROR(SUM(X304:X309),"0")</f>
        <v>181.5</v>
      </c>
      <c r="Y311" s="547">
        <f>IFERROR(SUM(Y304:Y309),"0")</f>
        <v>182.7</v>
      </c>
      <c r="Z311" s="37"/>
      <c r="AA311" s="548"/>
      <c r="AB311" s="548"/>
      <c r="AC311" s="548"/>
    </row>
    <row r="312" spans="1:68" ht="14.25" hidden="1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hidden="1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1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62"/>
      <c r="P317" s="567" t="s">
        <v>75</v>
      </c>
      <c r="Q317" s="568"/>
      <c r="R317" s="568"/>
      <c r="S317" s="568"/>
      <c r="T317" s="568"/>
      <c r="U317" s="568"/>
      <c r="V317" s="569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hidden="1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2"/>
      <c r="P318" s="567" t="s">
        <v>75</v>
      </c>
      <c r="Q318" s="568"/>
      <c r="R318" s="568"/>
      <c r="S318" s="568"/>
      <c r="T318" s="568"/>
      <c r="U318" s="568"/>
      <c r="V318" s="569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hidden="1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20</v>
      </c>
      <c r="Y320" s="546">
        <f>IFERROR(IF(X320="",0,CEILING((X320/$H320),1)*$H320),"")</f>
        <v>25.200000000000003</v>
      </c>
      <c r="Z320" s="36">
        <f>IFERROR(IF(Y320=0,"",ROUNDUP(Y320/H320,0)*0.01898),"")</f>
        <v>5.6940000000000004E-2</v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21.176190476190474</v>
      </c>
      <c r="BN320" s="64">
        <f>IFERROR(Y320*I320/H320,"0")</f>
        <v>26.682000000000002</v>
      </c>
      <c r="BO320" s="64">
        <f>IFERROR(1/J320*(X320/H320),"0")</f>
        <v>3.7202380952380952E-2</v>
      </c>
      <c r="BP320" s="64">
        <f>IFERROR(1/J320*(Y320/H320),"0")</f>
        <v>4.6875E-2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650</v>
      </c>
      <c r="Y321" s="546">
        <f>IFERROR(IF(X321="",0,CEILING((X321/$H321),1)*$H321),"")</f>
        <v>655.19999999999993</v>
      </c>
      <c r="Z321" s="36">
        <f>IFERROR(IF(Y321=0,"",ROUNDUP(Y321/H321,0)*0.01898),"")</f>
        <v>1.59432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691.16666666666674</v>
      </c>
      <c r="BN321" s="64">
        <f>IFERROR(Y321*I321/H321,"0")</f>
        <v>696.69600000000003</v>
      </c>
      <c r="BO321" s="64">
        <f>IFERROR(1/J321*(X321/H321),"0")</f>
        <v>1.3020833333333333</v>
      </c>
      <c r="BP321" s="64">
        <f>IFERROR(1/J321*(Y321/H321),"0")</f>
        <v>1.3125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160</v>
      </c>
      <c r="Y322" s="546">
        <f>IFERROR(IF(X322="",0,CEILING((X322/$H322),1)*$H322),"")</f>
        <v>168</v>
      </c>
      <c r="Z322" s="36">
        <f>IFERROR(IF(Y322=0,"",ROUNDUP(Y322/H322,0)*0.01898),"")</f>
        <v>0.37959999999999999</v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169.40952380952379</v>
      </c>
      <c r="BN322" s="64">
        <f>IFERROR(Y322*I322/H322,"0")</f>
        <v>177.88</v>
      </c>
      <c r="BO322" s="64">
        <f>IFERROR(1/J322*(X322/H322),"0")</f>
        <v>0.29761904761904762</v>
      </c>
      <c r="BP322" s="64">
        <f>IFERROR(1/J322*(Y322/H322),"0")</f>
        <v>0.3125</v>
      </c>
    </row>
    <row r="323" spans="1:68" x14ac:dyDescent="0.2">
      <c r="A323" s="561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62"/>
      <c r="P323" s="567" t="s">
        <v>75</v>
      </c>
      <c r="Q323" s="568"/>
      <c r="R323" s="568"/>
      <c r="S323" s="568"/>
      <c r="T323" s="568"/>
      <c r="U323" s="568"/>
      <c r="V323" s="569"/>
      <c r="W323" s="37" t="s">
        <v>76</v>
      </c>
      <c r="X323" s="547">
        <f>IFERROR(X320/H320,"0")+IFERROR(X321/H321,"0")+IFERROR(X322/H322,"0")</f>
        <v>104.76190476190476</v>
      </c>
      <c r="Y323" s="547">
        <f>IFERROR(Y320/H320,"0")+IFERROR(Y321/H321,"0")+IFERROR(Y322/H322,"0")</f>
        <v>107</v>
      </c>
      <c r="Z323" s="547">
        <f>IFERROR(IF(Z320="",0,Z320),"0")+IFERROR(IF(Z321="",0,Z321),"0")+IFERROR(IF(Z322="",0,Z322),"0")</f>
        <v>2.0308600000000001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2"/>
      <c r="P324" s="567" t="s">
        <v>75</v>
      </c>
      <c r="Q324" s="568"/>
      <c r="R324" s="568"/>
      <c r="S324" s="568"/>
      <c r="T324" s="568"/>
      <c r="U324" s="568"/>
      <c r="V324" s="569"/>
      <c r="W324" s="37" t="s">
        <v>69</v>
      </c>
      <c r="X324" s="547">
        <f>IFERROR(SUM(X320:X322),"0")</f>
        <v>830</v>
      </c>
      <c r="Y324" s="547">
        <f>IFERROR(SUM(Y320:Y322),"0")</f>
        <v>848.4</v>
      </c>
      <c r="Z324" s="37"/>
      <c r="AA324" s="548"/>
      <c r="AB324" s="548"/>
      <c r="AC324" s="548"/>
    </row>
    <row r="325" spans="1:68" ht="14.25" hidden="1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hidden="1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220</v>
      </c>
      <c r="M328" s="33" t="s">
        <v>94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220</v>
      </c>
      <c r="M329" s="33" t="s">
        <v>94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1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62"/>
      <c r="P330" s="567" t="s">
        <v>75</v>
      </c>
      <c r="Q330" s="568"/>
      <c r="R330" s="568"/>
      <c r="S330" s="568"/>
      <c r="T330" s="568"/>
      <c r="U330" s="568"/>
      <c r="V330" s="569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hidden="1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2"/>
      <c r="P331" s="567" t="s">
        <v>75</v>
      </c>
      <c r="Q331" s="568"/>
      <c r="R331" s="568"/>
      <c r="S331" s="568"/>
      <c r="T331" s="568"/>
      <c r="U331" s="568"/>
      <c r="V331" s="569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hidden="1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hidden="1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220</v>
      </c>
      <c r="M333" s="33" t="s">
        <v>534</v>
      </c>
      <c r="N333" s="33"/>
      <c r="O333" s="32">
        <v>730</v>
      </c>
      <c r="P333" s="78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 t="s">
        <v>106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 t="s">
        <v>220</v>
      </c>
      <c r="M335" s="33" t="s">
        <v>534</v>
      </c>
      <c r="N335" s="33"/>
      <c r="O335" s="32">
        <v>730</v>
      </c>
      <c r="P335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 t="s">
        <v>106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61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62"/>
      <c r="P336" s="567" t="s">
        <v>75</v>
      </c>
      <c r="Q336" s="568"/>
      <c r="R336" s="568"/>
      <c r="S336" s="568"/>
      <c r="T336" s="568"/>
      <c r="U336" s="568"/>
      <c r="V336" s="569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hidden="1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2"/>
      <c r="P337" s="567" t="s">
        <v>75</v>
      </c>
      <c r="Q337" s="568"/>
      <c r="R337" s="568"/>
      <c r="S337" s="568"/>
      <c r="T337" s="568"/>
      <c r="U337" s="568"/>
      <c r="V337" s="569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hidden="1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hidden="1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hidden="1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/>
      <c r="M340" s="33" t="s">
        <v>86</v>
      </c>
      <c r="N340" s="33"/>
      <c r="O340" s="32">
        <v>45</v>
      </c>
      <c r="P340" s="6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220</v>
      </c>
      <c r="M341" s="33" t="s">
        <v>80</v>
      </c>
      <c r="N341" s="33"/>
      <c r="O341" s="32">
        <v>45</v>
      </c>
      <c r="P341" s="8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525</v>
      </c>
      <c r="Y341" s="546">
        <f>IFERROR(IF(X341="",0,CEILING((X341/$H341),1)*$H341),"")</f>
        <v>525</v>
      </c>
      <c r="Z341" s="36">
        <f>IFERROR(IF(Y341=0,"",ROUNDUP(Y341/H341,0)*0.00651),"")</f>
        <v>1.6274999999999999</v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588</v>
      </c>
      <c r="BN341" s="64">
        <f>IFERROR(Y341*I341/H341,"0")</f>
        <v>588</v>
      </c>
      <c r="BO341" s="64">
        <f>IFERROR(1/J341*(X341/H341),"0")</f>
        <v>1.3736263736263736</v>
      </c>
      <c r="BP341" s="64">
        <f>IFERROR(1/J341*(Y341/H341),"0")</f>
        <v>1.3736263736263736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220</v>
      </c>
      <c r="M342" s="33" t="s">
        <v>86</v>
      </c>
      <c r="N342" s="33"/>
      <c r="O342" s="32">
        <v>40</v>
      </c>
      <c r="P342" s="8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525</v>
      </c>
      <c r="Y342" s="546">
        <f>IFERROR(IF(X342="",0,CEILING((X342/$H342),1)*$H342),"")</f>
        <v>525</v>
      </c>
      <c r="Z342" s="36">
        <f>IFERROR(IF(Y342=0,"",ROUNDUP(Y342/H342,0)*0.00651),"")</f>
        <v>1.6274999999999999</v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585</v>
      </c>
      <c r="BN342" s="64">
        <f>IFERROR(Y342*I342/H342,"0")</f>
        <v>585</v>
      </c>
      <c r="BO342" s="64">
        <f>IFERROR(1/J342*(X342/H342),"0")</f>
        <v>1.3736263736263736</v>
      </c>
      <c r="BP342" s="64">
        <f>IFERROR(1/J342*(Y342/H342),"0")</f>
        <v>1.3736263736263736</v>
      </c>
    </row>
    <row r="343" spans="1:68" x14ac:dyDescent="0.2">
      <c r="A343" s="561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62"/>
      <c r="P343" s="567" t="s">
        <v>75</v>
      </c>
      <c r="Q343" s="568"/>
      <c r="R343" s="568"/>
      <c r="S343" s="568"/>
      <c r="T343" s="568"/>
      <c r="U343" s="568"/>
      <c r="V343" s="569"/>
      <c r="W343" s="37" t="s">
        <v>76</v>
      </c>
      <c r="X343" s="547">
        <f>IFERROR(X340/H340,"0")+IFERROR(X341/H341,"0")+IFERROR(X342/H342,"0")</f>
        <v>500</v>
      </c>
      <c r="Y343" s="547">
        <f>IFERROR(Y340/H340,"0")+IFERROR(Y341/H341,"0")+IFERROR(Y342/H342,"0")</f>
        <v>500</v>
      </c>
      <c r="Z343" s="547">
        <f>IFERROR(IF(Z340="",0,Z340),"0")+IFERROR(IF(Z341="",0,Z341),"0")+IFERROR(IF(Z342="",0,Z342),"0")</f>
        <v>3.2549999999999999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2"/>
      <c r="P344" s="567" t="s">
        <v>75</v>
      </c>
      <c r="Q344" s="568"/>
      <c r="R344" s="568"/>
      <c r="S344" s="568"/>
      <c r="T344" s="568"/>
      <c r="U344" s="568"/>
      <c r="V344" s="569"/>
      <c r="W344" s="37" t="s">
        <v>69</v>
      </c>
      <c r="X344" s="547">
        <f>IFERROR(SUM(X340:X342),"0")</f>
        <v>1050</v>
      </c>
      <c r="Y344" s="547">
        <f>IFERROR(SUM(Y340:Y342),"0")</f>
        <v>1050</v>
      </c>
      <c r="Z344" s="37"/>
      <c r="AA344" s="548"/>
      <c r="AB344" s="548"/>
      <c r="AC344" s="548"/>
    </row>
    <row r="345" spans="1:68" ht="27.75" hidden="1" customHeight="1" x14ac:dyDescent="0.2">
      <c r="A345" s="647" t="s">
        <v>550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48"/>
      <c r="AB345" s="48"/>
      <c r="AC345" s="48"/>
    </row>
    <row r="346" spans="1:68" ht="16.5" hidden="1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hidden="1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/>
      <c r="M348" s="33" t="s">
        <v>68</v>
      </c>
      <c r="N348" s="33"/>
      <c r="O348" s="32">
        <v>60</v>
      </c>
      <c r="P348" s="8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1000</v>
      </c>
      <c r="Y348" s="546">
        <f t="shared" ref="Y348:Y354" si="31">IFERROR(IF(X348="",0,CEILING((X348/$H348),1)*$H348),"")</f>
        <v>1005</v>
      </c>
      <c r="Z348" s="36">
        <f>IFERROR(IF(Y348=0,"",ROUNDUP(Y348/H348,0)*0.02175),"")</f>
        <v>1.4572499999999999</v>
      </c>
      <c r="AA348" s="56"/>
      <c r="AB348" s="57"/>
      <c r="AC348" s="401" t="s">
        <v>554</v>
      </c>
      <c r="AG348" s="64"/>
      <c r="AJ348" s="68"/>
      <c r="AK348" s="68">
        <v>0</v>
      </c>
      <c r="BB348" s="402" t="s">
        <v>1</v>
      </c>
      <c r="BM348" s="64">
        <f t="shared" ref="BM348:BM354" si="32">IFERROR(X348*I348/H348,"0")</f>
        <v>1031.3333333333333</v>
      </c>
      <c r="BN348" s="64">
        <f t="shared" ref="BN348:BN354" si="33">IFERROR(Y348*I348/H348,"0")</f>
        <v>1036.49</v>
      </c>
      <c r="BO348" s="64">
        <f t="shared" ref="BO348:BO354" si="34">IFERROR(1/J348*(X348/H348),"0")</f>
        <v>1.3888888888888888</v>
      </c>
      <c r="BP348" s="64">
        <f t="shared" ref="BP348:BP354" si="35">IFERROR(1/J348*(Y348/H348),"0")</f>
        <v>1.3958333333333333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/>
      <c r="M349" s="33" t="s">
        <v>68</v>
      </c>
      <c r="N349" s="33"/>
      <c r="O349" s="32">
        <v>60</v>
      </c>
      <c r="P349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900</v>
      </c>
      <c r="Y349" s="546">
        <f t="shared" si="31"/>
        <v>900</v>
      </c>
      <c r="Z349" s="36">
        <f>IFERROR(IF(Y349=0,"",ROUNDUP(Y349/H349,0)*0.02175),"")</f>
        <v>1.3049999999999999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si="32"/>
        <v>928.2</v>
      </c>
      <c r="BN349" s="64">
        <f t="shared" si="33"/>
        <v>928.2</v>
      </c>
      <c r="BO349" s="64">
        <f t="shared" si="34"/>
        <v>1.25</v>
      </c>
      <c r="BP349" s="64">
        <f t="shared" si="35"/>
        <v>1.25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/>
      <c r="M350" s="33" t="s">
        <v>68</v>
      </c>
      <c r="N350" s="33"/>
      <c r="O350" s="32">
        <v>60</v>
      </c>
      <c r="P350" s="5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1500</v>
      </c>
      <c r="Y350" s="546">
        <f t="shared" si="31"/>
        <v>1500</v>
      </c>
      <c r="Z350" s="36">
        <f>IFERROR(IF(Y350=0,"",ROUNDUP(Y350/H350,0)*0.02175),"")</f>
        <v>2.1749999999999998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2"/>
        <v>1547</v>
      </c>
      <c r="BN350" s="64">
        <f t="shared" si="33"/>
        <v>1547</v>
      </c>
      <c r="BO350" s="64">
        <f t="shared" si="34"/>
        <v>2.083333333333333</v>
      </c>
      <c r="BP350" s="64">
        <f t="shared" si="35"/>
        <v>2.083333333333333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550</v>
      </c>
      <c r="Y351" s="546">
        <f t="shared" si="31"/>
        <v>555</v>
      </c>
      <c r="Z351" s="36">
        <f>IFERROR(IF(Y351=0,"",ROUNDUP(Y351/H351,0)*0.02175),"")</f>
        <v>0.80474999999999997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567.23333333333335</v>
      </c>
      <c r="BN351" s="64">
        <f t="shared" si="33"/>
        <v>572.39</v>
      </c>
      <c r="BO351" s="64">
        <f t="shared" si="34"/>
        <v>0.76388888888888884</v>
      </c>
      <c r="BP351" s="64">
        <f t="shared" si="35"/>
        <v>0.77083333333333326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56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7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hidden="1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61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62"/>
      <c r="P355" s="567" t="s">
        <v>75</v>
      </c>
      <c r="Q355" s="568"/>
      <c r="R355" s="568"/>
      <c r="S355" s="568"/>
      <c r="T355" s="568"/>
      <c r="U355" s="568"/>
      <c r="V355" s="569"/>
      <c r="W355" s="37" t="s">
        <v>76</v>
      </c>
      <c r="X355" s="547">
        <f>IFERROR(X348/H348,"0")+IFERROR(X349/H349,"0")+IFERROR(X350/H350,"0")+IFERROR(X351/H351,"0")+IFERROR(X352/H352,"0")+IFERROR(X353/H353,"0")+IFERROR(X354/H354,"0")</f>
        <v>263.33333333333337</v>
      </c>
      <c r="Y355" s="547">
        <f>IFERROR(Y348/H348,"0")+IFERROR(Y349/H349,"0")+IFERROR(Y350/H350,"0")+IFERROR(Y351/H351,"0")+IFERROR(Y352/H352,"0")+IFERROR(Y353/H353,"0")+IFERROR(Y354/H354,"0")</f>
        <v>264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5.742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2"/>
      <c r="P356" s="567" t="s">
        <v>75</v>
      </c>
      <c r="Q356" s="568"/>
      <c r="R356" s="568"/>
      <c r="S356" s="568"/>
      <c r="T356" s="568"/>
      <c r="U356" s="568"/>
      <c r="V356" s="569"/>
      <c r="W356" s="37" t="s">
        <v>69</v>
      </c>
      <c r="X356" s="547">
        <f>IFERROR(SUM(X348:X354),"0")</f>
        <v>3950</v>
      </c>
      <c r="Y356" s="547">
        <f>IFERROR(SUM(Y348:Y354),"0")</f>
        <v>3960</v>
      </c>
      <c r="Z356" s="37"/>
      <c r="AA356" s="548"/>
      <c r="AB356" s="548"/>
      <c r="AC356" s="548"/>
    </row>
    <row r="357" spans="1:68" ht="14.25" hidden="1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/>
      <c r="M358" s="33" t="s">
        <v>104</v>
      </c>
      <c r="N358" s="33"/>
      <c r="O358" s="32">
        <v>50</v>
      </c>
      <c r="P358" s="6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1400</v>
      </c>
      <c r="Y358" s="546">
        <f>IFERROR(IF(X358="",0,CEILING((X358/$H358),1)*$H358),"")</f>
        <v>1410</v>
      </c>
      <c r="Z358" s="36">
        <f>IFERROR(IF(Y358=0,"",ROUNDUP(Y358/H358,0)*0.02175),"")</f>
        <v>2.0444999999999998</v>
      </c>
      <c r="AA358" s="56"/>
      <c r="AB358" s="57"/>
      <c r="AC358" s="415" t="s">
        <v>573</v>
      </c>
      <c r="AG358" s="64"/>
      <c r="AJ358" s="68"/>
      <c r="AK358" s="68">
        <v>0</v>
      </c>
      <c r="BB358" s="416" t="s">
        <v>1</v>
      </c>
      <c r="BM358" s="64">
        <f>IFERROR(X358*I358/H358,"0")</f>
        <v>1443.8666666666666</v>
      </c>
      <c r="BN358" s="64">
        <f>IFERROR(Y358*I358/H358,"0")</f>
        <v>1454.18</v>
      </c>
      <c r="BO358" s="64">
        <f>IFERROR(1/J358*(X358/H358),"0")</f>
        <v>1.9444444444444442</v>
      </c>
      <c r="BP358" s="64">
        <f>IFERROR(1/J358*(Y358/H358),"0")</f>
        <v>1.9583333333333333</v>
      </c>
    </row>
    <row r="359" spans="1:68" ht="27" hidden="1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1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62"/>
      <c r="P360" s="567" t="s">
        <v>75</v>
      </c>
      <c r="Q360" s="568"/>
      <c r="R360" s="568"/>
      <c r="S360" s="568"/>
      <c r="T360" s="568"/>
      <c r="U360" s="568"/>
      <c r="V360" s="569"/>
      <c r="W360" s="37" t="s">
        <v>76</v>
      </c>
      <c r="X360" s="547">
        <f>IFERROR(X358/H358,"0")+IFERROR(X359/H359,"0")</f>
        <v>93.333333333333329</v>
      </c>
      <c r="Y360" s="547">
        <f>IFERROR(Y358/H358,"0")+IFERROR(Y359/H359,"0")</f>
        <v>94</v>
      </c>
      <c r="Z360" s="547">
        <f>IFERROR(IF(Z358="",0,Z358),"0")+IFERROR(IF(Z359="",0,Z359),"0")</f>
        <v>2.0444999999999998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2"/>
      <c r="P361" s="567" t="s">
        <v>75</v>
      </c>
      <c r="Q361" s="568"/>
      <c r="R361" s="568"/>
      <c r="S361" s="568"/>
      <c r="T361" s="568"/>
      <c r="U361" s="568"/>
      <c r="V361" s="569"/>
      <c r="W361" s="37" t="s">
        <v>69</v>
      </c>
      <c r="X361" s="547">
        <f>IFERROR(SUM(X358:X359),"0")</f>
        <v>1400</v>
      </c>
      <c r="Y361" s="547">
        <f>IFERROR(SUM(Y358:Y359),"0")</f>
        <v>1410</v>
      </c>
      <c r="Z361" s="37"/>
      <c r="AA361" s="548"/>
      <c r="AB361" s="548"/>
      <c r="AC361" s="548"/>
    </row>
    <row r="362" spans="1:68" ht="14.25" hidden="1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hidden="1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 t="s">
        <v>103</v>
      </c>
      <c r="M364" s="33" t="s">
        <v>80</v>
      </c>
      <c r="N364" s="33"/>
      <c r="O364" s="32">
        <v>40</v>
      </c>
      <c r="P364" s="8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 t="s">
        <v>106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1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62"/>
      <c r="P365" s="567" t="s">
        <v>75</v>
      </c>
      <c r="Q365" s="568"/>
      <c r="R365" s="568"/>
      <c r="S365" s="568"/>
      <c r="T365" s="568"/>
      <c r="U365" s="568"/>
      <c r="V365" s="569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hidden="1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2"/>
      <c r="P366" s="567" t="s">
        <v>75</v>
      </c>
      <c r="Q366" s="568"/>
      <c r="R366" s="568"/>
      <c r="S366" s="568"/>
      <c r="T366" s="568"/>
      <c r="U366" s="568"/>
      <c r="V366" s="569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hidden="1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40</v>
      </c>
      <c r="Y368" s="546">
        <f>IFERROR(IF(X368="",0,CEILING((X368/$H368),1)*$H368),"")</f>
        <v>45</v>
      </c>
      <c r="Z368" s="36">
        <f>IFERROR(IF(Y368=0,"",ROUNDUP(Y368/H368,0)*0.01898),"")</f>
        <v>9.4899999999999998E-2</v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42.195555555555558</v>
      </c>
      <c r="BN368" s="64">
        <f>IFERROR(Y368*I368/H368,"0")</f>
        <v>47.47</v>
      </c>
      <c r="BO368" s="64">
        <f>IFERROR(1/J368*(X368/H368),"0")</f>
        <v>6.9444444444444448E-2</v>
      </c>
      <c r="BP368" s="64">
        <f>IFERROR(1/J368*(Y368/H368),"0")</f>
        <v>7.8125E-2</v>
      </c>
    </row>
    <row r="369" spans="1:68" x14ac:dyDescent="0.2">
      <c r="A369" s="561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62"/>
      <c r="P369" s="567" t="s">
        <v>75</v>
      </c>
      <c r="Q369" s="568"/>
      <c r="R369" s="568"/>
      <c r="S369" s="568"/>
      <c r="T369" s="568"/>
      <c r="U369" s="568"/>
      <c r="V369" s="569"/>
      <c r="W369" s="37" t="s">
        <v>76</v>
      </c>
      <c r="X369" s="547">
        <f>IFERROR(X368/H368,"0")</f>
        <v>4.4444444444444446</v>
      </c>
      <c r="Y369" s="547">
        <f>IFERROR(Y368/H368,"0")</f>
        <v>5</v>
      </c>
      <c r="Z369" s="547">
        <f>IFERROR(IF(Z368="",0,Z368),"0")</f>
        <v>9.4899999999999998E-2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2"/>
      <c r="P370" s="567" t="s">
        <v>75</v>
      </c>
      <c r="Q370" s="568"/>
      <c r="R370" s="568"/>
      <c r="S370" s="568"/>
      <c r="T370" s="568"/>
      <c r="U370" s="568"/>
      <c r="V370" s="569"/>
      <c r="W370" s="37" t="s">
        <v>69</v>
      </c>
      <c r="X370" s="547">
        <f>IFERROR(SUM(X368:X368),"0")</f>
        <v>40</v>
      </c>
      <c r="Y370" s="547">
        <f>IFERROR(SUM(Y368:Y368),"0")</f>
        <v>45</v>
      </c>
      <c r="Z370" s="37"/>
      <c r="AA370" s="548"/>
      <c r="AB370" s="548"/>
      <c r="AC370" s="548"/>
    </row>
    <row r="371" spans="1:68" ht="16.5" hidden="1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hidden="1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8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50</v>
      </c>
      <c r="Y373" s="546">
        <f>IFERROR(IF(X373="",0,CEILING((X373/$H373),1)*$H373),"")</f>
        <v>60</v>
      </c>
      <c r="Z373" s="36">
        <f>IFERROR(IF(Y373=0,"",ROUNDUP(Y373/H373,0)*0.01898),"")</f>
        <v>9.4899999999999998E-2</v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51.708333333333336</v>
      </c>
      <c r="BN373" s="64">
        <f>IFERROR(Y373*I373/H373,"0")</f>
        <v>62.050000000000004</v>
      </c>
      <c r="BO373" s="64">
        <f>IFERROR(1/J373*(X373/H373),"0")</f>
        <v>6.5104166666666671E-2</v>
      </c>
      <c r="BP373" s="64">
        <f>IFERROR(1/J373*(Y373/H373),"0")</f>
        <v>7.8125E-2</v>
      </c>
    </row>
    <row r="374" spans="1:68" ht="37.5" hidden="1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1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62"/>
      <c r="P375" s="567" t="s">
        <v>75</v>
      </c>
      <c r="Q375" s="568"/>
      <c r="R375" s="568"/>
      <c r="S375" s="568"/>
      <c r="T375" s="568"/>
      <c r="U375" s="568"/>
      <c r="V375" s="569"/>
      <c r="W375" s="37" t="s">
        <v>76</v>
      </c>
      <c r="X375" s="547">
        <f>IFERROR(X373/H373,"0")+IFERROR(X374/H374,"0")</f>
        <v>4.166666666666667</v>
      </c>
      <c r="Y375" s="547">
        <f>IFERROR(Y373/H373,"0")+IFERROR(Y374/H374,"0")</f>
        <v>5</v>
      </c>
      <c r="Z375" s="547">
        <f>IFERROR(IF(Z373="",0,Z373),"0")+IFERROR(IF(Z374="",0,Z374),"0")</f>
        <v>9.4899999999999998E-2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2"/>
      <c r="P376" s="567" t="s">
        <v>75</v>
      </c>
      <c r="Q376" s="568"/>
      <c r="R376" s="568"/>
      <c r="S376" s="568"/>
      <c r="T376" s="568"/>
      <c r="U376" s="568"/>
      <c r="V376" s="569"/>
      <c r="W376" s="37" t="s">
        <v>69</v>
      </c>
      <c r="X376" s="547">
        <f>IFERROR(SUM(X373:X374),"0")</f>
        <v>50</v>
      </c>
      <c r="Y376" s="547">
        <f>IFERROR(SUM(Y373:Y374),"0")</f>
        <v>60</v>
      </c>
      <c r="Z376" s="37"/>
      <c r="AA376" s="548"/>
      <c r="AB376" s="548"/>
      <c r="AC376" s="548"/>
    </row>
    <row r="377" spans="1:68" ht="14.25" hidden="1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35</v>
      </c>
      <c r="P378" s="68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6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1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62"/>
      <c r="P380" s="567" t="s">
        <v>75</v>
      </c>
      <c r="Q380" s="568"/>
      <c r="R380" s="568"/>
      <c r="S380" s="568"/>
      <c r="T380" s="568"/>
      <c r="U380" s="568"/>
      <c r="V380" s="569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hidden="1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2"/>
      <c r="P381" s="567" t="s">
        <v>75</v>
      </c>
      <c r="Q381" s="568"/>
      <c r="R381" s="568"/>
      <c r="S381" s="568"/>
      <c r="T381" s="568"/>
      <c r="U381" s="568"/>
      <c r="V381" s="569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hidden="1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20</v>
      </c>
      <c r="Y383" s="546">
        <f>IFERROR(IF(X383="",0,CEILING((X383/$H383),1)*$H383),"")</f>
        <v>27</v>
      </c>
      <c r="Z383" s="36">
        <f>IFERROR(IF(Y383=0,"",ROUNDUP(Y383/H383,0)*0.01898),"")</f>
        <v>5.6940000000000004E-2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21.097777777777779</v>
      </c>
      <c r="BN383" s="64">
        <f>IFERROR(Y383*I383/H383,"0")</f>
        <v>28.481999999999996</v>
      </c>
      <c r="BO383" s="64">
        <f>IFERROR(1/J383*(X383/H383),"0")</f>
        <v>3.4722222222222224E-2</v>
      </c>
      <c r="BP383" s="64">
        <f>IFERROR(1/J383*(Y383/H383),"0")</f>
        <v>4.6875E-2</v>
      </c>
    </row>
    <row r="384" spans="1:68" ht="27" hidden="1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61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62"/>
      <c r="P386" s="567" t="s">
        <v>75</v>
      </c>
      <c r="Q386" s="568"/>
      <c r="R386" s="568"/>
      <c r="S386" s="568"/>
      <c r="T386" s="568"/>
      <c r="U386" s="568"/>
      <c r="V386" s="569"/>
      <c r="W386" s="37" t="s">
        <v>76</v>
      </c>
      <c r="X386" s="547">
        <f>IFERROR(X383/H383,"0")+IFERROR(X384/H384,"0")+IFERROR(X385/H385,"0")</f>
        <v>2.2222222222222223</v>
      </c>
      <c r="Y386" s="547">
        <f>IFERROR(Y383/H383,"0")+IFERROR(Y384/H384,"0")+IFERROR(Y385/H385,"0")</f>
        <v>3</v>
      </c>
      <c r="Z386" s="547">
        <f>IFERROR(IF(Z383="",0,Z383),"0")+IFERROR(IF(Z384="",0,Z384),"0")+IFERROR(IF(Z385="",0,Z385),"0")</f>
        <v>5.6940000000000004E-2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2"/>
      <c r="P387" s="567" t="s">
        <v>75</v>
      </c>
      <c r="Q387" s="568"/>
      <c r="R387" s="568"/>
      <c r="S387" s="568"/>
      <c r="T387" s="568"/>
      <c r="U387" s="568"/>
      <c r="V387" s="569"/>
      <c r="W387" s="37" t="s">
        <v>69</v>
      </c>
      <c r="X387" s="547">
        <f>IFERROR(SUM(X383:X385),"0")</f>
        <v>20</v>
      </c>
      <c r="Y387" s="547">
        <f>IFERROR(SUM(Y383:Y385),"0")</f>
        <v>27</v>
      </c>
      <c r="Z387" s="37"/>
      <c r="AA387" s="548"/>
      <c r="AB387" s="548"/>
      <c r="AC387" s="548"/>
    </row>
    <row r="388" spans="1:68" ht="27.75" hidden="1" customHeight="1" x14ac:dyDescent="0.2">
      <c r="A388" s="647" t="s">
        <v>604</v>
      </c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8"/>
      <c r="P388" s="648"/>
      <c r="Q388" s="648"/>
      <c r="R388" s="648"/>
      <c r="S388" s="648"/>
      <c r="T388" s="648"/>
      <c r="U388" s="648"/>
      <c r="V388" s="648"/>
      <c r="W388" s="648"/>
      <c r="X388" s="648"/>
      <c r="Y388" s="648"/>
      <c r="Z388" s="648"/>
      <c r="AA388" s="48"/>
      <c r="AB388" s="48"/>
      <c r="AC388" s="48"/>
    </row>
    <row r="389" spans="1:68" ht="16.5" hidden="1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hidden="1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hidden="1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7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8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 t="s">
        <v>282</v>
      </c>
      <c r="M395" s="33" t="s">
        <v>68</v>
      </c>
      <c r="N395" s="33"/>
      <c r="O395" s="32">
        <v>50</v>
      </c>
      <c r="P395" s="73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14</v>
      </c>
      <c r="Y395" s="546">
        <f t="shared" si="36"/>
        <v>14.700000000000001</v>
      </c>
      <c r="Z395" s="36">
        <f t="shared" si="41"/>
        <v>3.5140000000000005E-2</v>
      </c>
      <c r="AA395" s="56"/>
      <c r="AB395" s="57"/>
      <c r="AC395" s="447" t="s">
        <v>608</v>
      </c>
      <c r="AG395" s="64"/>
      <c r="AJ395" s="68" t="s">
        <v>106</v>
      </c>
      <c r="AK395" s="68">
        <v>37.799999999999997</v>
      </c>
      <c r="BB395" s="448" t="s">
        <v>1</v>
      </c>
      <c r="BM395" s="64">
        <f t="shared" si="37"/>
        <v>14.866666666666665</v>
      </c>
      <c r="BN395" s="64">
        <f t="shared" si="38"/>
        <v>15.61</v>
      </c>
      <c r="BO395" s="64">
        <f t="shared" si="39"/>
        <v>2.8490028490028491E-2</v>
      </c>
      <c r="BP395" s="64">
        <f t="shared" si="40"/>
        <v>2.9914529914529919E-2</v>
      </c>
    </row>
    <row r="396" spans="1:68" ht="37.5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282</v>
      </c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45.5</v>
      </c>
      <c r="Y396" s="546">
        <f t="shared" si="36"/>
        <v>46.2</v>
      </c>
      <c r="Z396" s="36">
        <f t="shared" si="41"/>
        <v>0.11044000000000001</v>
      </c>
      <c r="AA396" s="56"/>
      <c r="AB396" s="57"/>
      <c r="AC396" s="449" t="s">
        <v>621</v>
      </c>
      <c r="AG396" s="64"/>
      <c r="AJ396" s="68" t="s">
        <v>106</v>
      </c>
      <c r="AK396" s="68">
        <v>37.799999999999997</v>
      </c>
      <c r="BB396" s="450" t="s">
        <v>1</v>
      </c>
      <c r="BM396" s="64">
        <f t="shared" si="37"/>
        <v>48.316666666666663</v>
      </c>
      <c r="BN396" s="64">
        <f t="shared" si="38"/>
        <v>49.06</v>
      </c>
      <c r="BO396" s="64">
        <f t="shared" si="39"/>
        <v>9.2592592592592587E-2</v>
      </c>
      <c r="BP396" s="64">
        <f t="shared" si="40"/>
        <v>9.401709401709403E-2</v>
      </c>
    </row>
    <row r="397" spans="1:68" ht="27" hidden="1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 t="s">
        <v>282</v>
      </c>
      <c r="M398" s="33" t="s">
        <v>68</v>
      </c>
      <c r="N398" s="33"/>
      <c r="O398" s="32">
        <v>50</v>
      </c>
      <c r="P398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91</v>
      </c>
      <c r="Y398" s="546">
        <f t="shared" si="36"/>
        <v>92.4</v>
      </c>
      <c r="Z398" s="36">
        <f t="shared" si="41"/>
        <v>0.22088000000000002</v>
      </c>
      <c r="AA398" s="56"/>
      <c r="AB398" s="57"/>
      <c r="AC398" s="453" t="s">
        <v>627</v>
      </c>
      <c r="AG398" s="64"/>
      <c r="AJ398" s="68" t="s">
        <v>106</v>
      </c>
      <c r="AK398" s="68">
        <v>37.799999999999997</v>
      </c>
      <c r="BB398" s="454" t="s">
        <v>1</v>
      </c>
      <c r="BM398" s="64">
        <f t="shared" si="37"/>
        <v>96.633333333333326</v>
      </c>
      <c r="BN398" s="64">
        <f t="shared" si="38"/>
        <v>98.12</v>
      </c>
      <c r="BO398" s="64">
        <f t="shared" si="39"/>
        <v>0.18518518518518517</v>
      </c>
      <c r="BP398" s="64">
        <f t="shared" si="40"/>
        <v>0.18803418803418806</v>
      </c>
    </row>
    <row r="399" spans="1:68" ht="37.5" hidden="1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61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62"/>
      <c r="P400" s="567" t="s">
        <v>75</v>
      </c>
      <c r="Q400" s="568"/>
      <c r="R400" s="568"/>
      <c r="S400" s="568"/>
      <c r="T400" s="568"/>
      <c r="U400" s="568"/>
      <c r="V400" s="569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71.666666666666657</v>
      </c>
      <c r="Y400" s="547">
        <f>IFERROR(Y391/H391,"0")+IFERROR(Y392/H392,"0")+IFERROR(Y393/H393,"0")+IFERROR(Y394/H394,"0")+IFERROR(Y395/H395,"0")+IFERROR(Y396/H396,"0")+IFERROR(Y397/H397,"0")+IFERROR(Y398/H398,"0")+IFERROR(Y399/H399,"0")</f>
        <v>73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0.36646000000000001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2"/>
      <c r="P401" s="567" t="s">
        <v>75</v>
      </c>
      <c r="Q401" s="568"/>
      <c r="R401" s="568"/>
      <c r="S401" s="568"/>
      <c r="T401" s="568"/>
      <c r="U401" s="568"/>
      <c r="V401" s="569"/>
      <c r="W401" s="37" t="s">
        <v>69</v>
      </c>
      <c r="X401" s="547">
        <f>IFERROR(SUM(X391:X399),"0")</f>
        <v>150.5</v>
      </c>
      <c r="Y401" s="547">
        <f>IFERROR(SUM(Y391:Y399),"0")</f>
        <v>153.30000000000001</v>
      </c>
      <c r="Z401" s="37"/>
      <c r="AA401" s="548"/>
      <c r="AB401" s="548"/>
      <c r="AC401" s="548"/>
    </row>
    <row r="402" spans="1:68" ht="14.25" hidden="1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hidden="1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1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62"/>
      <c r="P405" s="567" t="s">
        <v>75</v>
      </c>
      <c r="Q405" s="568"/>
      <c r="R405" s="568"/>
      <c r="S405" s="568"/>
      <c r="T405" s="568"/>
      <c r="U405" s="568"/>
      <c r="V405" s="569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2"/>
      <c r="P406" s="567" t="s">
        <v>75</v>
      </c>
      <c r="Q406" s="568"/>
      <c r="R406" s="568"/>
      <c r="S406" s="568"/>
      <c r="T406" s="568"/>
      <c r="U406" s="568"/>
      <c r="V406" s="569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hidden="1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hidden="1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hidden="1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1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62"/>
      <c r="P410" s="567" t="s">
        <v>75</v>
      </c>
      <c r="Q410" s="568"/>
      <c r="R410" s="568"/>
      <c r="S410" s="568"/>
      <c r="T410" s="568"/>
      <c r="U410" s="568"/>
      <c r="V410" s="569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hidden="1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2"/>
      <c r="P411" s="567" t="s">
        <v>75</v>
      </c>
      <c r="Q411" s="568"/>
      <c r="R411" s="568"/>
      <c r="S411" s="568"/>
      <c r="T411" s="568"/>
      <c r="U411" s="568"/>
      <c r="V411" s="569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hidden="1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hidden="1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4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56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14</v>
      </c>
      <c r="Y416" s="546">
        <f>IFERROR(IF(X416="",0,CEILING((X416/$H416),1)*$H416),"")</f>
        <v>14.700000000000001</v>
      </c>
      <c r="Z416" s="36">
        <f>IFERROR(IF(Y416=0,"",ROUNDUP(Y416/H416,0)*0.00502),"")</f>
        <v>3.5140000000000005E-2</v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14.866666666666665</v>
      </c>
      <c r="BN416" s="64">
        <f>IFERROR(Y416*I416/H416,"0")</f>
        <v>15.61</v>
      </c>
      <c r="BO416" s="64">
        <f>IFERROR(1/J416*(X416/H416),"0")</f>
        <v>2.8490028490028491E-2</v>
      </c>
      <c r="BP416" s="64">
        <f>IFERROR(1/J416*(Y416/H416),"0")</f>
        <v>2.9914529914529919E-2</v>
      </c>
    </row>
    <row r="417" spans="1:68" x14ac:dyDescent="0.2">
      <c r="A417" s="561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62"/>
      <c r="P417" s="567" t="s">
        <v>75</v>
      </c>
      <c r="Q417" s="568"/>
      <c r="R417" s="568"/>
      <c r="S417" s="568"/>
      <c r="T417" s="568"/>
      <c r="U417" s="568"/>
      <c r="V417" s="569"/>
      <c r="W417" s="37" t="s">
        <v>76</v>
      </c>
      <c r="X417" s="547">
        <f>IFERROR(X413/H413,"0")+IFERROR(X414/H414,"0")+IFERROR(X415/H415,"0")+IFERROR(X416/H416,"0")</f>
        <v>6.6666666666666661</v>
      </c>
      <c r="Y417" s="547">
        <f>IFERROR(Y413/H413,"0")+IFERROR(Y414/H414,"0")+IFERROR(Y415/H415,"0")+IFERROR(Y416/H416,"0")</f>
        <v>7</v>
      </c>
      <c r="Z417" s="547">
        <f>IFERROR(IF(Z413="",0,Z413),"0")+IFERROR(IF(Z414="",0,Z414),"0")+IFERROR(IF(Z415="",0,Z415),"0")+IFERROR(IF(Z416="",0,Z416),"0")</f>
        <v>3.5140000000000005E-2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2"/>
      <c r="P418" s="567" t="s">
        <v>75</v>
      </c>
      <c r="Q418" s="568"/>
      <c r="R418" s="568"/>
      <c r="S418" s="568"/>
      <c r="T418" s="568"/>
      <c r="U418" s="568"/>
      <c r="V418" s="569"/>
      <c r="W418" s="37" t="s">
        <v>69</v>
      </c>
      <c r="X418" s="547">
        <f>IFERROR(SUM(X413:X416),"0")</f>
        <v>14</v>
      </c>
      <c r="Y418" s="547">
        <f>IFERROR(SUM(Y413:Y416),"0")</f>
        <v>14.700000000000001</v>
      </c>
      <c r="Z418" s="37"/>
      <c r="AA418" s="548"/>
      <c r="AB418" s="548"/>
      <c r="AC418" s="548"/>
    </row>
    <row r="419" spans="1:68" ht="16.5" hidden="1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hidden="1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 t="s">
        <v>220</v>
      </c>
      <c r="M421" s="33" t="s">
        <v>68</v>
      </c>
      <c r="N421" s="33"/>
      <c r="O421" s="32">
        <v>50</v>
      </c>
      <c r="P421" s="83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20</v>
      </c>
      <c r="Y421" s="546">
        <f>IFERROR(IF(X421="",0,CEILING((X421/$H421),1)*$H421),"")</f>
        <v>20.399999999999999</v>
      </c>
      <c r="Z421" s="36">
        <f>IFERROR(IF(Y421=0,"",ROUNDUP(Y421/H421,0)*0.00651),"")</f>
        <v>0.11067</v>
      </c>
      <c r="AA421" s="56"/>
      <c r="AB421" s="57"/>
      <c r="AC421" s="471" t="s">
        <v>654</v>
      </c>
      <c r="AG421" s="64"/>
      <c r="AJ421" s="68" t="s">
        <v>106</v>
      </c>
      <c r="AK421" s="68">
        <v>16.8</v>
      </c>
      <c r="BB421" s="472" t="s">
        <v>1</v>
      </c>
      <c r="BM421" s="64">
        <f>IFERROR(X421*I421/H421,"0")</f>
        <v>35</v>
      </c>
      <c r="BN421" s="64">
        <f>IFERROR(Y421*I421/H421,"0")</f>
        <v>35.699999999999996</v>
      </c>
      <c r="BO421" s="64">
        <f>IFERROR(1/J421*(X421/H421),"0")</f>
        <v>9.1575091575091583E-2</v>
      </c>
      <c r="BP421" s="64">
        <f>IFERROR(1/J421*(Y421/H421),"0")</f>
        <v>9.3406593406593408E-2</v>
      </c>
    </row>
    <row r="422" spans="1:68" x14ac:dyDescent="0.2">
      <c r="A422" s="561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62"/>
      <c r="P422" s="567" t="s">
        <v>75</v>
      </c>
      <c r="Q422" s="568"/>
      <c r="R422" s="568"/>
      <c r="S422" s="568"/>
      <c r="T422" s="568"/>
      <c r="U422" s="568"/>
      <c r="V422" s="569"/>
      <c r="W422" s="37" t="s">
        <v>76</v>
      </c>
      <c r="X422" s="547">
        <f>IFERROR(X421/H421,"0")</f>
        <v>16.666666666666668</v>
      </c>
      <c r="Y422" s="547">
        <f>IFERROR(Y421/H421,"0")</f>
        <v>17</v>
      </c>
      <c r="Z422" s="547">
        <f>IFERROR(IF(Z421="",0,Z421),"0")</f>
        <v>0.11067</v>
      </c>
      <c r="AA422" s="548"/>
      <c r="AB422" s="548"/>
      <c r="AC422" s="548"/>
    </row>
    <row r="423" spans="1:68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2"/>
      <c r="P423" s="567" t="s">
        <v>75</v>
      </c>
      <c r="Q423" s="568"/>
      <c r="R423" s="568"/>
      <c r="S423" s="568"/>
      <c r="T423" s="568"/>
      <c r="U423" s="568"/>
      <c r="V423" s="569"/>
      <c r="W423" s="37" t="s">
        <v>69</v>
      </c>
      <c r="X423" s="547">
        <f>IFERROR(SUM(X421:X421),"0")</f>
        <v>20</v>
      </c>
      <c r="Y423" s="547">
        <f>IFERROR(SUM(Y421:Y421),"0")</f>
        <v>20.399999999999999</v>
      </c>
      <c r="Z423" s="37"/>
      <c r="AA423" s="548"/>
      <c r="AB423" s="548"/>
      <c r="AC423" s="548"/>
    </row>
    <row r="424" spans="1:68" ht="27.75" hidden="1" customHeight="1" x14ac:dyDescent="0.2">
      <c r="A424" s="647" t="s">
        <v>655</v>
      </c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8"/>
      <c r="P424" s="648"/>
      <c r="Q424" s="648"/>
      <c r="R424" s="648"/>
      <c r="S424" s="648"/>
      <c r="T424" s="648"/>
      <c r="U424" s="648"/>
      <c r="V424" s="648"/>
      <c r="W424" s="648"/>
      <c r="X424" s="648"/>
      <c r="Y424" s="648"/>
      <c r="Z424" s="648"/>
      <c r="AA424" s="48"/>
      <c r="AB424" s="48"/>
      <c r="AC424" s="48"/>
    </row>
    <row r="425" spans="1:68" ht="16.5" hidden="1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hidden="1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5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80</v>
      </c>
      <c r="Y427" s="546">
        <f t="shared" ref="Y427:Y438" si="42">IFERROR(IF(X427="",0,CEILING((X427/$H427),1)*$H427),"")</f>
        <v>84.48</v>
      </c>
      <c r="Z427" s="36">
        <f t="shared" ref="Z427:Z433" si="43">IFERROR(IF(Y427=0,"",ROUNDUP(Y427/H427,0)*0.01196),"")</f>
        <v>0.19136</v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85.303030303030297</v>
      </c>
      <c r="BN427" s="64">
        <f t="shared" ref="BN427:BN438" si="45">IFERROR(Y427*I427/H427,"0")</f>
        <v>90.08</v>
      </c>
      <c r="BO427" s="64">
        <f t="shared" ref="BO427:BO438" si="46">IFERROR(1/J427*(X427/H427),"0")</f>
        <v>0.14568764568764569</v>
      </c>
      <c r="BP427" s="64">
        <f t="shared" ref="BP427:BP438" si="47">IFERROR(1/J427*(Y427/H427),"0")</f>
        <v>0.15384615384615385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56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1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16.5" hidden="1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6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150</v>
      </c>
      <c r="Y433" s="546">
        <f t="shared" si="42"/>
        <v>153.12</v>
      </c>
      <c r="Z433" s="36">
        <f t="shared" si="43"/>
        <v>0.34683999999999998</v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159.94318181818181</v>
      </c>
      <c r="BN433" s="64">
        <f t="shared" si="45"/>
        <v>163.26999999999998</v>
      </c>
      <c r="BO433" s="64">
        <f t="shared" si="46"/>
        <v>0.27316433566433568</v>
      </c>
      <c r="BP433" s="64">
        <f t="shared" si="47"/>
        <v>0.27884615384615385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132</v>
      </c>
      <c r="Y435" s="546">
        <f t="shared" si="42"/>
        <v>134.4</v>
      </c>
      <c r="Z435" s="36">
        <f>IFERROR(IF(Y435=0,"",ROUNDUP(Y435/H435,0)*0.00902),"")</f>
        <v>0.25256000000000001</v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190.02500000000001</v>
      </c>
      <c r="BN435" s="64">
        <f t="shared" si="45"/>
        <v>193.48000000000002</v>
      </c>
      <c r="BO435" s="64">
        <f t="shared" si="46"/>
        <v>0.20833333333333334</v>
      </c>
      <c r="BP435" s="64">
        <f t="shared" si="47"/>
        <v>0.21212121212121215</v>
      </c>
    </row>
    <row r="436" spans="1:68" ht="27" hidden="1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4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1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198</v>
      </c>
      <c r="Y438" s="546">
        <f t="shared" si="42"/>
        <v>201.6</v>
      </c>
      <c r="Z438" s="36">
        <f>IFERROR(IF(Y438=0,"",ROUNDUP(Y438/H438,0)*0.00902),"")</f>
        <v>0.37884000000000001</v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285.03750000000002</v>
      </c>
      <c r="BN438" s="64">
        <f t="shared" si="45"/>
        <v>290.22000000000003</v>
      </c>
      <c r="BO438" s="64">
        <f t="shared" si="46"/>
        <v>0.3125</v>
      </c>
      <c r="BP438" s="64">
        <f t="shared" si="47"/>
        <v>0.31818181818181818</v>
      </c>
    </row>
    <row r="439" spans="1:68" x14ac:dyDescent="0.2">
      <c r="A439" s="561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62"/>
      <c r="P439" s="567" t="s">
        <v>75</v>
      </c>
      <c r="Q439" s="568"/>
      <c r="R439" s="568"/>
      <c r="S439" s="568"/>
      <c r="T439" s="568"/>
      <c r="U439" s="568"/>
      <c r="V439" s="569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112.31060606060606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115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1.1696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2"/>
      <c r="P440" s="567" t="s">
        <v>75</v>
      </c>
      <c r="Q440" s="568"/>
      <c r="R440" s="568"/>
      <c r="S440" s="568"/>
      <c r="T440" s="568"/>
      <c r="U440" s="568"/>
      <c r="V440" s="569"/>
      <c r="W440" s="37" t="s">
        <v>69</v>
      </c>
      <c r="X440" s="547">
        <f>IFERROR(SUM(X427:X438),"0")</f>
        <v>560</v>
      </c>
      <c r="Y440" s="547">
        <f>IFERROR(SUM(Y427:Y438),"0")</f>
        <v>573.6</v>
      </c>
      <c r="Z440" s="37"/>
      <c r="AA440" s="548"/>
      <c r="AB440" s="548"/>
      <c r="AC440" s="548"/>
    </row>
    <row r="441" spans="1:68" ht="14.25" hidden="1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7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60</v>
      </c>
      <c r="Y442" s="546">
        <f>IFERROR(IF(X442="",0,CEILING((X442/$H442),1)*$H442),"")</f>
        <v>63.36</v>
      </c>
      <c r="Z442" s="36">
        <f>IFERROR(IF(Y442=0,"",ROUNDUP(Y442/H442,0)*0.01196),"")</f>
        <v>0.14352000000000001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63.977272727272727</v>
      </c>
      <c r="BN442" s="64">
        <f>IFERROR(Y442*I442/H442,"0")</f>
        <v>67.559999999999988</v>
      </c>
      <c r="BO442" s="64">
        <f>IFERROR(1/J442*(X442/H442),"0")</f>
        <v>0.10926573426573427</v>
      </c>
      <c r="BP442" s="64">
        <f>IFERROR(1/J442*(Y442/H442),"0")</f>
        <v>0.11538461538461539</v>
      </c>
    </row>
    <row r="443" spans="1:68" ht="16.5" hidden="1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1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62"/>
      <c r="P445" s="567" t="s">
        <v>75</v>
      </c>
      <c r="Q445" s="568"/>
      <c r="R445" s="568"/>
      <c r="S445" s="568"/>
      <c r="T445" s="568"/>
      <c r="U445" s="568"/>
      <c r="V445" s="569"/>
      <c r="W445" s="37" t="s">
        <v>76</v>
      </c>
      <c r="X445" s="547">
        <f>IFERROR(X442/H442,"0")+IFERROR(X443/H443,"0")+IFERROR(X444/H444,"0")</f>
        <v>11.363636363636363</v>
      </c>
      <c r="Y445" s="547">
        <f>IFERROR(Y442/H442,"0")+IFERROR(Y443/H443,"0")+IFERROR(Y444/H444,"0")</f>
        <v>12</v>
      </c>
      <c r="Z445" s="547">
        <f>IFERROR(IF(Z442="",0,Z442),"0")+IFERROR(IF(Z443="",0,Z443),"0")+IFERROR(IF(Z444="",0,Z444),"0")</f>
        <v>0.14352000000000001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2"/>
      <c r="P446" s="567" t="s">
        <v>75</v>
      </c>
      <c r="Q446" s="568"/>
      <c r="R446" s="568"/>
      <c r="S446" s="568"/>
      <c r="T446" s="568"/>
      <c r="U446" s="568"/>
      <c r="V446" s="569"/>
      <c r="W446" s="37" t="s">
        <v>69</v>
      </c>
      <c r="X446" s="547">
        <f>IFERROR(SUM(X442:X444),"0")</f>
        <v>60</v>
      </c>
      <c r="Y446" s="547">
        <f>IFERROR(SUM(Y442:Y444),"0")</f>
        <v>63.36</v>
      </c>
      <c r="Z446" s="37"/>
      <c r="AA446" s="548"/>
      <c r="AB446" s="548"/>
      <c r="AC446" s="548"/>
    </row>
    <row r="447" spans="1:68" ht="14.25" hidden="1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4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40</v>
      </c>
      <c r="Y448" s="546">
        <f t="shared" ref="Y448:Y453" si="48">IFERROR(IF(X448="",0,CEILING((X448/$H448),1)*$H448),"")</f>
        <v>42.24</v>
      </c>
      <c r="Z448" s="36">
        <f>IFERROR(IF(Y448=0,"",ROUNDUP(Y448/H448,0)*0.01196),"")</f>
        <v>9.5680000000000001E-2</v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42.651515151515149</v>
      </c>
      <c r="BN448" s="64">
        <f t="shared" ref="BN448:BN453" si="50">IFERROR(Y448*I448/H448,"0")</f>
        <v>45.04</v>
      </c>
      <c r="BO448" s="64">
        <f t="shared" ref="BO448:BO453" si="51">IFERROR(1/J448*(X448/H448),"0")</f>
        <v>7.2843822843822847E-2</v>
      </c>
      <c r="BP448" s="64">
        <f t="shared" ref="BP448:BP453" si="52">IFERROR(1/J448*(Y448/H448),"0")</f>
        <v>7.6923076923076927E-2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50</v>
      </c>
      <c r="Y449" s="546">
        <f t="shared" si="48"/>
        <v>52.800000000000004</v>
      </c>
      <c r="Z449" s="36">
        <f>IFERROR(IF(Y449=0,"",ROUNDUP(Y449/H449,0)*0.01196),"")</f>
        <v>0.1196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53.314393939393938</v>
      </c>
      <c r="BN449" s="64">
        <f t="shared" si="50"/>
        <v>56.3</v>
      </c>
      <c r="BO449" s="64">
        <f t="shared" si="51"/>
        <v>9.1054778554778545E-2</v>
      </c>
      <c r="BP449" s="64">
        <f t="shared" si="52"/>
        <v>9.6153846153846159E-2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50</v>
      </c>
      <c r="Y450" s="546">
        <f t="shared" si="48"/>
        <v>52.800000000000004</v>
      </c>
      <c r="Z450" s="36">
        <f>IFERROR(IF(Y450=0,"",ROUNDUP(Y450/H450,0)*0.01196),"")</f>
        <v>0.1196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53.314393939393938</v>
      </c>
      <c r="BN450" s="64">
        <f t="shared" si="50"/>
        <v>56.3</v>
      </c>
      <c r="BO450" s="64">
        <f t="shared" si="51"/>
        <v>9.1054778554778545E-2</v>
      </c>
      <c r="BP450" s="64">
        <f t="shared" si="52"/>
        <v>9.6153846153846159E-2</v>
      </c>
    </row>
    <row r="451" spans="1:68" ht="27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 t="s">
        <v>110</v>
      </c>
      <c r="M451" s="33" t="s">
        <v>104</v>
      </c>
      <c r="N451" s="33"/>
      <c r="O451" s="32">
        <v>70</v>
      </c>
      <c r="P451" s="73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30</v>
      </c>
      <c r="Y451" s="546">
        <f t="shared" si="48"/>
        <v>33.6</v>
      </c>
      <c r="Z451" s="36">
        <f>IFERROR(IF(Y451=0,"",ROUNDUP(Y451/H451,0)*0.00902),"")</f>
        <v>6.3140000000000002E-2</v>
      </c>
      <c r="AA451" s="56"/>
      <c r="AB451" s="57"/>
      <c r="AC451" s="509" t="s">
        <v>694</v>
      </c>
      <c r="AG451" s="64"/>
      <c r="AJ451" s="68" t="s">
        <v>106</v>
      </c>
      <c r="AK451" s="68">
        <v>57.6</v>
      </c>
      <c r="BB451" s="510" t="s">
        <v>1</v>
      </c>
      <c r="BM451" s="64">
        <f t="shared" si="49"/>
        <v>43.187500000000007</v>
      </c>
      <c r="BN451" s="64">
        <f t="shared" si="50"/>
        <v>48.370000000000005</v>
      </c>
      <c r="BO451" s="64">
        <f t="shared" si="51"/>
        <v>4.7348484848484848E-2</v>
      </c>
      <c r="BP451" s="64">
        <f t="shared" si="52"/>
        <v>5.3030303030303039E-2</v>
      </c>
    </row>
    <row r="452" spans="1:68" ht="27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 t="s">
        <v>110</v>
      </c>
      <c r="M452" s="33" t="s">
        <v>68</v>
      </c>
      <c r="N452" s="33"/>
      <c r="O452" s="32">
        <v>70</v>
      </c>
      <c r="P452" s="6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12</v>
      </c>
      <c r="Y452" s="546">
        <f t="shared" si="48"/>
        <v>14.399999999999999</v>
      </c>
      <c r="Z452" s="36">
        <f>IFERROR(IF(Y452=0,"",ROUNDUP(Y452/H452,0)*0.00902),"")</f>
        <v>2.7060000000000001E-2</v>
      </c>
      <c r="AA452" s="56"/>
      <c r="AB452" s="57"/>
      <c r="AC452" s="511" t="s">
        <v>697</v>
      </c>
      <c r="AG452" s="64"/>
      <c r="AJ452" s="68" t="s">
        <v>106</v>
      </c>
      <c r="AK452" s="68">
        <v>57.6</v>
      </c>
      <c r="BB452" s="512" t="s">
        <v>1</v>
      </c>
      <c r="BM452" s="64">
        <f t="shared" si="49"/>
        <v>16.675000000000001</v>
      </c>
      <c r="BN452" s="64">
        <f t="shared" si="50"/>
        <v>20.009999999999998</v>
      </c>
      <c r="BO452" s="64">
        <f t="shared" si="51"/>
        <v>1.893939393939394E-2</v>
      </c>
      <c r="BP452" s="64">
        <f t="shared" si="52"/>
        <v>2.2727272727272728E-2</v>
      </c>
    </row>
    <row r="453" spans="1:68" ht="27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 t="s">
        <v>110</v>
      </c>
      <c r="M453" s="33" t="s">
        <v>68</v>
      </c>
      <c r="N453" s="33"/>
      <c r="O453" s="32">
        <v>70</v>
      </c>
      <c r="P453" s="6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96</v>
      </c>
      <c r="Y453" s="546">
        <f t="shared" si="48"/>
        <v>96</v>
      </c>
      <c r="Z453" s="36">
        <f>IFERROR(IF(Y453=0,"",ROUNDUP(Y453/H453,0)*0.00902),"")</f>
        <v>0.1804</v>
      </c>
      <c r="AA453" s="56"/>
      <c r="AB453" s="57"/>
      <c r="AC453" s="513" t="s">
        <v>700</v>
      </c>
      <c r="AG453" s="64"/>
      <c r="AJ453" s="68" t="s">
        <v>106</v>
      </c>
      <c r="AK453" s="68">
        <v>57.6</v>
      </c>
      <c r="BB453" s="514" t="s">
        <v>1</v>
      </c>
      <c r="BM453" s="64">
        <f t="shared" si="49"/>
        <v>133.4</v>
      </c>
      <c r="BN453" s="64">
        <f t="shared" si="50"/>
        <v>133.4</v>
      </c>
      <c r="BO453" s="64">
        <f t="shared" si="51"/>
        <v>0.15151515151515152</v>
      </c>
      <c r="BP453" s="64">
        <f t="shared" si="52"/>
        <v>0.15151515151515152</v>
      </c>
    </row>
    <row r="454" spans="1:68" x14ac:dyDescent="0.2">
      <c r="A454" s="561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62"/>
      <c r="P454" s="567" t="s">
        <v>75</v>
      </c>
      <c r="Q454" s="568"/>
      <c r="R454" s="568"/>
      <c r="S454" s="568"/>
      <c r="T454" s="568"/>
      <c r="U454" s="568"/>
      <c r="V454" s="569"/>
      <c r="W454" s="37" t="s">
        <v>76</v>
      </c>
      <c r="X454" s="547">
        <f>IFERROR(X448/H448,"0")+IFERROR(X449/H449,"0")+IFERROR(X450/H450,"0")+IFERROR(X451/H451,"0")+IFERROR(X452/H452,"0")+IFERROR(X453/H453,"0")</f>
        <v>55.265151515151516</v>
      </c>
      <c r="Y454" s="547">
        <f>IFERROR(Y448/H448,"0")+IFERROR(Y449/H449,"0")+IFERROR(Y450/H450,"0")+IFERROR(Y451/H451,"0")+IFERROR(Y452/H452,"0")+IFERROR(Y453/H453,"0")</f>
        <v>58</v>
      </c>
      <c r="Z454" s="547">
        <f>IFERROR(IF(Z448="",0,Z448),"0")+IFERROR(IF(Z449="",0,Z449),"0")+IFERROR(IF(Z450="",0,Z450),"0")+IFERROR(IF(Z451="",0,Z451),"0")+IFERROR(IF(Z452="",0,Z452),"0")+IFERROR(IF(Z453="",0,Z453),"0")</f>
        <v>0.60548000000000002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2"/>
      <c r="P455" s="567" t="s">
        <v>75</v>
      </c>
      <c r="Q455" s="568"/>
      <c r="R455" s="568"/>
      <c r="S455" s="568"/>
      <c r="T455" s="568"/>
      <c r="U455" s="568"/>
      <c r="V455" s="569"/>
      <c r="W455" s="37" t="s">
        <v>69</v>
      </c>
      <c r="X455" s="547">
        <f>IFERROR(SUM(X448:X453),"0")</f>
        <v>278</v>
      </c>
      <c r="Y455" s="547">
        <f>IFERROR(SUM(Y448:Y453),"0")</f>
        <v>291.84000000000003</v>
      </c>
      <c r="Z455" s="37"/>
      <c r="AA455" s="548"/>
      <c r="AB455" s="548"/>
      <c r="AC455" s="548"/>
    </row>
    <row r="456" spans="1:68" ht="27.75" hidden="1" customHeight="1" x14ac:dyDescent="0.2">
      <c r="A456" s="647" t="s">
        <v>707</v>
      </c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8"/>
      <c r="P456" s="648"/>
      <c r="Q456" s="648"/>
      <c r="R456" s="648"/>
      <c r="S456" s="648"/>
      <c r="T456" s="648"/>
      <c r="U456" s="648"/>
      <c r="V456" s="648"/>
      <c r="W456" s="648"/>
      <c r="X456" s="648"/>
      <c r="Y456" s="648"/>
      <c r="Z456" s="648"/>
      <c r="AA456" s="48"/>
      <c r="AB456" s="48"/>
      <c r="AC456" s="48"/>
    </row>
    <row r="457" spans="1:68" ht="16.5" hidden="1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hidden="1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hidden="1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84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/>
      <c r="M461" s="33" t="s">
        <v>104</v>
      </c>
      <c r="N461" s="33"/>
      <c r="O461" s="32">
        <v>50</v>
      </c>
      <c r="P461" s="7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60</v>
      </c>
      <c r="Y461" s="546">
        <f>IFERROR(IF(X461="",0,CEILING((X461/$H461),1)*$H461),"")</f>
        <v>60</v>
      </c>
      <c r="Z461" s="36">
        <f>IFERROR(IF(Y461=0,"",ROUNDUP(Y461/H461,0)*0.01898),"")</f>
        <v>9.4899999999999998E-2</v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62.050000000000004</v>
      </c>
      <c r="BN461" s="64">
        <f>IFERROR(Y461*I461/H461,"0")</f>
        <v>62.050000000000004</v>
      </c>
      <c r="BO461" s="64">
        <f>IFERROR(1/J461*(X461/H461),"0")</f>
        <v>7.8125E-2</v>
      </c>
      <c r="BP461" s="64">
        <f>IFERROR(1/J461*(Y461/H461),"0")</f>
        <v>7.8125E-2</v>
      </c>
    </row>
    <row r="462" spans="1:68" ht="27" hidden="1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61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62"/>
      <c r="P463" s="567" t="s">
        <v>75</v>
      </c>
      <c r="Q463" s="568"/>
      <c r="R463" s="568"/>
      <c r="S463" s="568"/>
      <c r="T463" s="568"/>
      <c r="U463" s="568"/>
      <c r="V463" s="569"/>
      <c r="W463" s="37" t="s">
        <v>76</v>
      </c>
      <c r="X463" s="547">
        <f>IFERROR(X459/H459,"0")+IFERROR(X460/H460,"0")+IFERROR(X461/H461,"0")+IFERROR(X462/H462,"0")</f>
        <v>5</v>
      </c>
      <c r="Y463" s="547">
        <f>IFERROR(Y459/H459,"0")+IFERROR(Y460/H460,"0")+IFERROR(Y461/H461,"0")+IFERROR(Y462/H462,"0")</f>
        <v>5</v>
      </c>
      <c r="Z463" s="547">
        <f>IFERROR(IF(Z459="",0,Z459),"0")+IFERROR(IF(Z460="",0,Z460),"0")+IFERROR(IF(Z461="",0,Z461),"0")+IFERROR(IF(Z462="",0,Z462),"0")</f>
        <v>9.4899999999999998E-2</v>
      </c>
      <c r="AA463" s="548"/>
      <c r="AB463" s="548"/>
      <c r="AC463" s="548"/>
    </row>
    <row r="464" spans="1:68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62"/>
      <c r="P464" s="567" t="s">
        <v>75</v>
      </c>
      <c r="Q464" s="568"/>
      <c r="R464" s="568"/>
      <c r="S464" s="568"/>
      <c r="T464" s="568"/>
      <c r="U464" s="568"/>
      <c r="V464" s="569"/>
      <c r="W464" s="37" t="s">
        <v>69</v>
      </c>
      <c r="X464" s="547">
        <f>IFERROR(SUM(X459:X462),"0")</f>
        <v>60</v>
      </c>
      <c r="Y464" s="547">
        <f>IFERROR(SUM(Y459:Y462),"0")</f>
        <v>60</v>
      </c>
      <c r="Z464" s="37"/>
      <c r="AA464" s="548"/>
      <c r="AB464" s="548"/>
      <c r="AC464" s="548"/>
    </row>
    <row r="465" spans="1:68" ht="14.25" hidden="1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hidden="1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7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1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2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2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hidden="1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hidden="1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1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62"/>
      <c r="P472" s="567" t="s">
        <v>75</v>
      </c>
      <c r="Q472" s="568"/>
      <c r="R472" s="568"/>
      <c r="S472" s="568"/>
      <c r="T472" s="568"/>
      <c r="U472" s="568"/>
      <c r="V472" s="569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hidden="1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2"/>
      <c r="P473" s="567" t="s">
        <v>75</v>
      </c>
      <c r="Q473" s="568"/>
      <c r="R473" s="568"/>
      <c r="S473" s="568"/>
      <c r="T473" s="568"/>
      <c r="U473" s="568"/>
      <c r="V473" s="569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hidden="1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9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1600</v>
      </c>
      <c r="Y475" s="546">
        <f>IFERROR(IF(X475="",0,CEILING((X475/$H475),1)*$H475),"")</f>
        <v>1602</v>
      </c>
      <c r="Z475" s="36">
        <f>IFERROR(IF(Y475=0,"",ROUNDUP(Y475/H475,0)*0.01898),"")</f>
        <v>3.3784399999999999</v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1687.8222222222221</v>
      </c>
      <c r="BN475" s="64">
        <f>IFERROR(Y475*I475/H475,"0")</f>
        <v>1689.9319999999998</v>
      </c>
      <c r="BO475" s="64">
        <f>IFERROR(1/J475*(X475/H475),"0")</f>
        <v>2.7777777777777777</v>
      </c>
      <c r="BP475" s="64">
        <f>IFERROR(1/J475*(Y475/H475),"0")</f>
        <v>2.78125</v>
      </c>
    </row>
    <row r="476" spans="1:68" x14ac:dyDescent="0.2">
      <c r="A476" s="561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62"/>
      <c r="P476" s="567" t="s">
        <v>75</v>
      </c>
      <c r="Q476" s="568"/>
      <c r="R476" s="568"/>
      <c r="S476" s="568"/>
      <c r="T476" s="568"/>
      <c r="U476" s="568"/>
      <c r="V476" s="569"/>
      <c r="W476" s="37" t="s">
        <v>76</v>
      </c>
      <c r="X476" s="547">
        <f>IFERROR(X475/H475,"0")</f>
        <v>177.77777777777777</v>
      </c>
      <c r="Y476" s="547">
        <f>IFERROR(Y475/H475,"0")</f>
        <v>178</v>
      </c>
      <c r="Z476" s="547">
        <f>IFERROR(IF(Z475="",0,Z475),"0")</f>
        <v>3.3784399999999999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2"/>
      <c r="P477" s="567" t="s">
        <v>75</v>
      </c>
      <c r="Q477" s="568"/>
      <c r="R477" s="568"/>
      <c r="S477" s="568"/>
      <c r="T477" s="568"/>
      <c r="U477" s="568"/>
      <c r="V477" s="569"/>
      <c r="W477" s="37" t="s">
        <v>69</v>
      </c>
      <c r="X477" s="547">
        <f>IFERROR(SUM(X475:X475),"0")</f>
        <v>1600</v>
      </c>
      <c r="Y477" s="547">
        <f>IFERROR(SUM(Y475:Y475),"0")</f>
        <v>1602</v>
      </c>
      <c r="Z477" s="37"/>
      <c r="AA477" s="548"/>
      <c r="AB477" s="548"/>
      <c r="AC477" s="548"/>
    </row>
    <row r="478" spans="1:68" ht="14.25" hidden="1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hidden="1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6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1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2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2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hidden="1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hidden="1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hidden="1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1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2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2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5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21"/>
      <c r="P488" s="653" t="s">
        <v>741</v>
      </c>
      <c r="Q488" s="654"/>
      <c r="R488" s="654"/>
      <c r="S488" s="654"/>
      <c r="T488" s="654"/>
      <c r="U488" s="654"/>
      <c r="V488" s="655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17547.2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17759.920000000002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21"/>
      <c r="P489" s="653" t="s">
        <v>742</v>
      </c>
      <c r="Q489" s="654"/>
      <c r="R489" s="654"/>
      <c r="S489" s="654"/>
      <c r="T489" s="654"/>
      <c r="U489" s="654"/>
      <c r="V489" s="655"/>
      <c r="W489" s="37" t="s">
        <v>69</v>
      </c>
      <c r="X489" s="547">
        <f>IFERROR(SUM(BM22:BM485),"0")</f>
        <v>18744.403153940566</v>
      </c>
      <c r="Y489" s="547">
        <f>IFERROR(SUM(BN22:BN485),"0")</f>
        <v>18973.125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21"/>
      <c r="P490" s="653" t="s">
        <v>743</v>
      </c>
      <c r="Q490" s="654"/>
      <c r="R490" s="654"/>
      <c r="S490" s="654"/>
      <c r="T490" s="654"/>
      <c r="U490" s="654"/>
      <c r="V490" s="655"/>
      <c r="W490" s="37" t="s">
        <v>744</v>
      </c>
      <c r="X490" s="38">
        <f>ROUNDUP(SUM(BO22:BO485),0)</f>
        <v>32</v>
      </c>
      <c r="Y490" s="38">
        <f>ROUNDUP(SUM(BP22:BP485),0)</f>
        <v>32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21"/>
      <c r="P491" s="653" t="s">
        <v>745</v>
      </c>
      <c r="Q491" s="654"/>
      <c r="R491" s="654"/>
      <c r="S491" s="654"/>
      <c r="T491" s="654"/>
      <c r="U491" s="654"/>
      <c r="V491" s="655"/>
      <c r="W491" s="37" t="s">
        <v>69</v>
      </c>
      <c r="X491" s="547">
        <f>GrossWeightTotal+PalletQtyTotal*25</f>
        <v>19544.403153940566</v>
      </c>
      <c r="Y491" s="547">
        <f>GrossWeightTotalR+PalletQtyTotalR*25</f>
        <v>19773.125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21"/>
      <c r="P492" s="653" t="s">
        <v>746</v>
      </c>
      <c r="Q492" s="654"/>
      <c r="R492" s="654"/>
      <c r="S492" s="654"/>
      <c r="T492" s="654"/>
      <c r="U492" s="654"/>
      <c r="V492" s="655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3692.7483283000524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3731</v>
      </c>
      <c r="Z492" s="37"/>
      <c r="AA492" s="548"/>
      <c r="AB492" s="548"/>
      <c r="AC492" s="548"/>
    </row>
    <row r="493" spans="1:68" ht="14.25" hidden="1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21"/>
      <c r="P493" s="653" t="s">
        <v>747</v>
      </c>
      <c r="Q493" s="654"/>
      <c r="R493" s="654"/>
      <c r="S493" s="654"/>
      <c r="T493" s="654"/>
      <c r="U493" s="654"/>
      <c r="V493" s="655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36.59966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98" t="s">
        <v>97</v>
      </c>
      <c r="D495" s="631"/>
      <c r="E495" s="631"/>
      <c r="F495" s="631"/>
      <c r="G495" s="631"/>
      <c r="H495" s="607"/>
      <c r="I495" s="598" t="s">
        <v>263</v>
      </c>
      <c r="J495" s="631"/>
      <c r="K495" s="631"/>
      <c r="L495" s="631"/>
      <c r="M495" s="631"/>
      <c r="N495" s="631"/>
      <c r="O495" s="631"/>
      <c r="P495" s="631"/>
      <c r="Q495" s="631"/>
      <c r="R495" s="607"/>
      <c r="S495" s="598" t="s">
        <v>550</v>
      </c>
      <c r="T495" s="607"/>
      <c r="U495" s="598" t="s">
        <v>604</v>
      </c>
      <c r="V495" s="631"/>
      <c r="W495" s="607"/>
      <c r="X495" s="542" t="s">
        <v>655</v>
      </c>
      <c r="Y495" s="598" t="s">
        <v>707</v>
      </c>
      <c r="Z495" s="607"/>
      <c r="AB495" s="52"/>
      <c r="AC495" s="52"/>
      <c r="AF495" s="543"/>
    </row>
    <row r="496" spans="1:68" ht="14.25" customHeight="1" thickTop="1" x14ac:dyDescent="0.2">
      <c r="A496" s="605" t="s">
        <v>750</v>
      </c>
      <c r="B496" s="598" t="s">
        <v>63</v>
      </c>
      <c r="C496" s="598" t="s">
        <v>98</v>
      </c>
      <c r="D496" s="598" t="s">
        <v>116</v>
      </c>
      <c r="E496" s="598" t="s">
        <v>167</v>
      </c>
      <c r="F496" s="598" t="s">
        <v>189</v>
      </c>
      <c r="G496" s="598" t="s">
        <v>227</v>
      </c>
      <c r="H496" s="598" t="s">
        <v>97</v>
      </c>
      <c r="I496" s="598" t="s">
        <v>264</v>
      </c>
      <c r="J496" s="598" t="s">
        <v>319</v>
      </c>
      <c r="K496" s="598" t="s">
        <v>379</v>
      </c>
      <c r="L496" s="598" t="s">
        <v>420</v>
      </c>
      <c r="M496" s="598" t="s">
        <v>436</v>
      </c>
      <c r="N496" s="543"/>
      <c r="O496" s="598" t="s">
        <v>447</v>
      </c>
      <c r="P496" s="598" t="s">
        <v>456</v>
      </c>
      <c r="Q496" s="598" t="s">
        <v>469</v>
      </c>
      <c r="R496" s="598" t="s">
        <v>540</v>
      </c>
      <c r="S496" s="598" t="s">
        <v>551</v>
      </c>
      <c r="T496" s="598" t="s">
        <v>586</v>
      </c>
      <c r="U496" s="598" t="s">
        <v>605</v>
      </c>
      <c r="V496" s="598" t="s">
        <v>636</v>
      </c>
      <c r="W496" s="598" t="s">
        <v>651</v>
      </c>
      <c r="X496" s="598" t="s">
        <v>655</v>
      </c>
      <c r="Y496" s="598" t="s">
        <v>707</v>
      </c>
      <c r="Z496" s="598" t="s">
        <v>737</v>
      </c>
      <c r="AB496" s="52"/>
      <c r="AC496" s="52"/>
      <c r="AF496" s="543"/>
    </row>
    <row r="497" spans="1:32" ht="13.5" customHeight="1" thickBot="1" x14ac:dyDescent="0.25">
      <c r="A497" s="606"/>
      <c r="B497" s="599"/>
      <c r="C497" s="599"/>
      <c r="D497" s="599"/>
      <c r="E497" s="599"/>
      <c r="F497" s="599"/>
      <c r="G497" s="599"/>
      <c r="H497" s="599"/>
      <c r="I497" s="599"/>
      <c r="J497" s="599"/>
      <c r="K497" s="599"/>
      <c r="L497" s="599"/>
      <c r="M497" s="599"/>
      <c r="N497" s="543"/>
      <c r="O497" s="599"/>
      <c r="P497" s="599"/>
      <c r="Q497" s="599"/>
      <c r="R497" s="599"/>
      <c r="S497" s="599"/>
      <c r="T497" s="599"/>
      <c r="U497" s="599"/>
      <c r="V497" s="599"/>
      <c r="W497" s="599"/>
      <c r="X497" s="599"/>
      <c r="Y497" s="599"/>
      <c r="Z497" s="599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368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852.90000000000009</v>
      </c>
      <c r="E498" s="46">
        <f>IFERROR(Y84*1,"0")+IFERROR(Y85*1,"0")+IFERROR(Y86*1,"0")+IFERROR(Y87*1,"0")+IFERROR(Y91*1,"0")+IFERROR(Y92*1,"0")+IFERROR(Y93*1,"0")+IFERROR(Y94*1,"0")</f>
        <v>1222.2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1263.4199999999998</v>
      </c>
      <c r="G498" s="46">
        <f>IFERROR(Y126*1,"0")+IFERROR(Y127*1,"0")+IFERROR(Y131*1,"0")+IFERROR(Y132*1,"0")+IFERROR(Y136*1,"0")+IFERROR(Y137*1,"0")</f>
        <v>474.32000000000005</v>
      </c>
      <c r="H498" s="46">
        <f>IFERROR(Y142*1,"0")+IFERROR(Y143*1,"0")+IFERROR(Y147*1,"0")+IFERROR(Y148*1,"0")+IFERROR(Y149*1,"0")+IFERROR(Y150*1,"0")+IFERROR(Y151*1,"0")+IFERROR(Y155*1,"0")</f>
        <v>239.4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529.28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2054.6999999999998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110.19999999999999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283.2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1031.0999999999999</v>
      </c>
      <c r="R498" s="46">
        <f>IFERROR(Y340*1,"0")+IFERROR(Y341*1,"0")+IFERROR(Y342*1,"0")</f>
        <v>1050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5415</v>
      </c>
      <c r="T498" s="46">
        <f>IFERROR(Y373*1,"0")+IFERROR(Y374*1,"0")+IFERROR(Y378*1,"0")+IFERROR(Y379*1,"0")+IFERROR(Y383*1,"0")+IFERROR(Y384*1,"0")+IFERROR(Y385*1,"0")</f>
        <v>87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153.30000000000001</v>
      </c>
      <c r="V498" s="46">
        <f>IFERROR(Y409*1,"0")+IFERROR(Y413*1,"0")+IFERROR(Y414*1,"0")+IFERROR(Y415*1,"0")+IFERROR(Y416*1,"0")</f>
        <v>14.700000000000001</v>
      </c>
      <c r="W498" s="46">
        <f>IFERROR(Y421*1,"0")</f>
        <v>20.399999999999999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928.8</v>
      </c>
      <c r="Y498" s="46">
        <f>IFERROR(Y459*1,"0")+IFERROR(Y460*1,"0")+IFERROR(Y461*1,"0")+IFERROR(Y462*1,"0")+IFERROR(Y466*1,"0")+IFERROR(Y467*1,"0")+IFERROR(Y471*1,"0")+IFERROR(Y475*1,"0")+IFERROR(Y479*1,"0")+IFERROR(Y480*1,"0")</f>
        <v>1662</v>
      </c>
      <c r="Z498" s="46">
        <f>IFERROR(Y485*1,"0")</f>
        <v>0</v>
      </c>
      <c r="AB498" s="52"/>
      <c r="AC498" s="52"/>
      <c r="AF498" s="543"/>
    </row>
  </sheetData>
  <sheetProtection algorithmName="SHA-512" hashValue="n9N6r4Lc0RAz94GviOfo5MzAmgDtOYZtc8v07MnizkElJq/v3r6KQi0zUZ3/S6HxhVmOkpMXf7pSorANe8CjAQ==" saltValue="C3eOmH3VZaTjM7qMMCZPhQ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50,00"/>
        <filter val="1 128,00"/>
        <filter val="1 400,00"/>
        <filter val="1 500,00"/>
        <filter val="1 600,00"/>
        <filter val="100,00"/>
        <filter val="104,76"/>
        <filter val="105,00"/>
        <filter val="11,11"/>
        <filter val="11,36"/>
        <filter val="110,00"/>
        <filter val="112,31"/>
        <filter val="115,50"/>
        <filter val="116,67"/>
        <filter val="12,00"/>
        <filter val="12,17"/>
        <filter val="120,00"/>
        <filter val="122,50"/>
        <filter val="126,00"/>
        <filter val="132,00"/>
        <filter val="14,00"/>
        <filter val="140,00"/>
        <filter val="150,00"/>
        <filter val="150,50"/>
        <filter val="157,50"/>
        <filter val="16,00"/>
        <filter val="16,67"/>
        <filter val="160,00"/>
        <filter val="165,00"/>
        <filter val="17 547,20"/>
        <filter val="177,78"/>
        <filter val="18 744,40"/>
        <filter val="181,50"/>
        <filter val="19 544,40"/>
        <filter val="198,00"/>
        <filter val="199,95"/>
        <filter val="2,22"/>
        <filter val="20,00"/>
        <filter val="200,00"/>
        <filter val="230,00"/>
        <filter val="235,86"/>
        <filter val="24,00"/>
        <filter val="240,00"/>
        <filter val="241,36"/>
        <filter val="246,00"/>
        <filter val="250,00"/>
        <filter val="251,85"/>
        <filter val="260,00"/>
        <filter val="263,33"/>
        <filter val="278,00"/>
        <filter val="280,00"/>
        <filter val="292,50"/>
        <filter val="3 692,75"/>
        <filter val="3 950,00"/>
        <filter val="3,85"/>
        <filter val="30,00"/>
        <filter val="315,00"/>
        <filter val="32"/>
        <filter val="342,50"/>
        <filter val="360,00"/>
        <filter val="37,50"/>
        <filter val="4,17"/>
        <filter val="4,44"/>
        <filter val="40,00"/>
        <filter val="400,00"/>
        <filter val="425,00"/>
        <filter val="427,76"/>
        <filter val="45,00"/>
        <filter val="45,50"/>
        <filter val="495,20"/>
        <filter val="5,00"/>
        <filter val="5,56"/>
        <filter val="50,00"/>
        <filter val="500,00"/>
        <filter val="525,00"/>
        <filter val="54,76"/>
        <filter val="540,00"/>
        <filter val="55,27"/>
        <filter val="550,00"/>
        <filter val="560,00"/>
        <filter val="57,78"/>
        <filter val="58,33"/>
        <filter val="585,00"/>
        <filter val="6,40"/>
        <filter val="6,67"/>
        <filter val="60,00"/>
        <filter val="62,50"/>
        <filter val="650,00"/>
        <filter val="69,63"/>
        <filter val="7,00"/>
        <filter val="70,00"/>
        <filter val="71,67"/>
        <filter val="74,26"/>
        <filter val="75,00"/>
        <filter val="785,00"/>
        <filter val="799,00"/>
        <filter val="8,00"/>
        <filter val="8,80"/>
        <filter val="80,00"/>
        <filter val="80,19"/>
        <filter val="830,00"/>
        <filter val="88,00"/>
        <filter val="88,33"/>
        <filter val="880,00"/>
        <filter val="9,00"/>
        <filter val="900,00"/>
        <filter val="91,00"/>
        <filter val="93,33"/>
        <filter val="96,00"/>
        <filter val="98,52"/>
      </filters>
    </filterColumn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M496:M497"/>
    <mergeCell ref="O496:O497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D291:E291"/>
    <mergeCell ref="D239:E239"/>
    <mergeCell ref="P174:T174"/>
    <mergeCell ref="P149:T149"/>
    <mergeCell ref="A339:Z339"/>
    <mergeCell ref="D218:E218"/>
    <mergeCell ref="A347:Z34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104:V104"/>
    <mergeCell ref="A372:Z372"/>
    <mergeCell ref="P386:V386"/>
    <mergeCell ref="P393:T393"/>
    <mergeCell ref="D374:E374"/>
    <mergeCell ref="A338:Z338"/>
    <mergeCell ref="D127:E127"/>
    <mergeCell ref="P304:T304"/>
    <mergeCell ref="D176:E176"/>
    <mergeCell ref="D93:E93"/>
    <mergeCell ref="A133:O134"/>
    <mergeCell ref="D391:E391"/>
    <mergeCell ref="D220:E220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P468:V468"/>
    <mergeCell ref="A160:Z160"/>
    <mergeCell ref="A141:Z141"/>
    <mergeCell ref="A144:O145"/>
    <mergeCell ref="A135:Z135"/>
    <mergeCell ref="P161:T161"/>
    <mergeCell ref="P459:T459"/>
    <mergeCell ref="D198:E198"/>
    <mergeCell ref="D296:E296"/>
    <mergeCell ref="P275:V275"/>
    <mergeCell ref="D427:E427"/>
    <mergeCell ref="P366:V366"/>
    <mergeCell ref="D349:E349"/>
    <mergeCell ref="P455:V455"/>
    <mergeCell ref="A454:O455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81:V81"/>
    <mergeCell ref="D51:E51"/>
    <mergeCell ref="P306:T306"/>
    <mergeCell ref="P157:V157"/>
    <mergeCell ref="A38:Z38"/>
    <mergeCell ref="P249:V249"/>
    <mergeCell ref="P207:T207"/>
    <mergeCell ref="P299:T299"/>
    <mergeCell ref="D203:E203"/>
    <mergeCell ref="P232:T232"/>
    <mergeCell ref="P152:V152"/>
    <mergeCell ref="A82:Z82"/>
    <mergeCell ref="P51:T51"/>
    <mergeCell ref="P58:V58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A419:Z419"/>
    <mergeCell ref="Q496:Q497"/>
    <mergeCell ref="S496:S497"/>
    <mergeCell ref="P454:V454"/>
    <mergeCell ref="D485:E485"/>
    <mergeCell ref="P451:T451"/>
    <mergeCell ref="A470:Z470"/>
    <mergeCell ref="A375:O376"/>
    <mergeCell ref="D399:E399"/>
    <mergeCell ref="A439:O440"/>
    <mergeCell ref="P309:T309"/>
    <mergeCell ref="D193:E193"/>
    <mergeCell ref="P206:T206"/>
    <mergeCell ref="P448:T448"/>
    <mergeCell ref="P233:T233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P204:T204"/>
    <mergeCell ref="D348:E348"/>
    <mergeCell ref="D62:E62"/>
    <mergeCell ref="D56:E56"/>
    <mergeCell ref="P216:T216"/>
    <mergeCell ref="D137:E137"/>
    <mergeCell ref="P360:V360"/>
    <mergeCell ref="P80:V80"/>
    <mergeCell ref="D74:E74"/>
    <mergeCell ref="P87:T87"/>
    <mergeCell ref="D335:E335"/>
    <mergeCell ref="D188:E188"/>
    <mergeCell ref="P322:T322"/>
    <mergeCell ref="D132:E132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8 X84 X91 X99 X102 X107 X114 X116:X117 X121 X127 X131 X137 X165:X167 X169 X171 X176 X203:X210 X216:X217 X219 X221:X222 X226:X227 X232 X234:X235 X239 X279 X307:X309 X320:X322 X328:X329 X333 X335 X341:X342 X364 X373 X383 X395:X396 X398 X421 X427 X431 X433 X442 X448:X453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0aZSfaOEA6RK2CWYuiBWyyoHCsS8+3LlxZdCMjQ5LKOkY0NGWWCLBFj5COrNHwY974ilkAJLafeOy+8R77C3Zg==" saltValue="gv1fKt/SzzPqzLvUVk9ib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2026-01-23T12:00:47Z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