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BFE1B62-1185-4CC9-9805-5FFB83EC07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Y336" i="1" s="1"/>
  <c r="P333" i="1"/>
  <c r="X331" i="1"/>
  <c r="X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BP327" i="1" s="1"/>
  <c r="P327" i="1"/>
  <c r="BO326" i="1"/>
  <c r="BM326" i="1"/>
  <c r="Y326" i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Y318" i="1" s="1"/>
  <c r="P313" i="1"/>
  <c r="X311" i="1"/>
  <c r="X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O306" i="1"/>
  <c r="BM306" i="1"/>
  <c r="Y306" i="1"/>
  <c r="P306" i="1"/>
  <c r="BO305" i="1"/>
  <c r="BM305" i="1"/>
  <c r="Y305" i="1"/>
  <c r="BP305" i="1" s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3" i="1" s="1"/>
  <c r="P290" i="1"/>
  <c r="X288" i="1"/>
  <c r="X287" i="1"/>
  <c r="BO286" i="1"/>
  <c r="BM286" i="1"/>
  <c r="Y286" i="1"/>
  <c r="BP286" i="1" s="1"/>
  <c r="P286" i="1"/>
  <c r="BO285" i="1"/>
  <c r="BM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M498" i="1" s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Z155" i="1"/>
  <c r="Z156" i="1" s="1"/>
  <c r="Y155" i="1"/>
  <c r="P155" i="1"/>
  <c r="X153" i="1"/>
  <c r="X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Y118" i="1" s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N86" i="1"/>
  <c r="BM86" i="1"/>
  <c r="Z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1" i="1" s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Y162" i="1" l="1"/>
  <c r="BP161" i="1"/>
  <c r="BN161" i="1"/>
  <c r="Z161" i="1"/>
  <c r="Z162" i="1" s="1"/>
  <c r="BP165" i="1"/>
  <c r="BN165" i="1"/>
  <c r="Z165" i="1"/>
  <c r="BP194" i="1"/>
  <c r="BN194" i="1"/>
  <c r="Z194" i="1"/>
  <c r="BP218" i="1"/>
  <c r="BN218" i="1"/>
  <c r="Z218" i="1"/>
  <c r="BP253" i="1"/>
  <c r="BN253" i="1"/>
  <c r="Z253" i="1"/>
  <c r="BP291" i="1"/>
  <c r="BN291" i="1"/>
  <c r="Z291" i="1"/>
  <c r="BP316" i="1"/>
  <c r="BN316" i="1"/>
  <c r="Z316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2" i="1"/>
  <c r="BN22" i="1"/>
  <c r="Y25" i="1"/>
  <c r="Z42" i="1"/>
  <c r="BN42" i="1"/>
  <c r="Z61" i="1"/>
  <c r="BN61" i="1"/>
  <c r="Z79" i="1"/>
  <c r="BN79" i="1"/>
  <c r="Z99" i="1"/>
  <c r="BN99" i="1"/>
  <c r="Y104" i="1"/>
  <c r="Z109" i="1"/>
  <c r="BN109" i="1"/>
  <c r="Z132" i="1"/>
  <c r="BN132" i="1"/>
  <c r="Z149" i="1"/>
  <c r="BN149" i="1"/>
  <c r="Y157" i="1"/>
  <c r="Y156" i="1"/>
  <c r="BP155" i="1"/>
  <c r="BN155" i="1"/>
  <c r="BP173" i="1"/>
  <c r="BN173" i="1"/>
  <c r="Z173" i="1"/>
  <c r="BP208" i="1"/>
  <c r="BN208" i="1"/>
  <c r="Z208" i="1"/>
  <c r="BP233" i="1"/>
  <c r="BN233" i="1"/>
  <c r="Z233" i="1"/>
  <c r="BP271" i="1"/>
  <c r="BN271" i="1"/>
  <c r="Z271" i="1"/>
  <c r="BP273" i="1"/>
  <c r="BN273" i="1"/>
  <c r="Z273" i="1"/>
  <c r="BP304" i="1"/>
  <c r="BN304" i="1"/>
  <c r="Z304" i="1"/>
  <c r="BP328" i="1"/>
  <c r="BN328" i="1"/>
  <c r="Z328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X492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Z55" i="1"/>
  <c r="BN55" i="1"/>
  <c r="Z67" i="1"/>
  <c r="BN67" i="1"/>
  <c r="Y75" i="1"/>
  <c r="Z73" i="1"/>
  <c r="BN73" i="1"/>
  <c r="Z84" i="1"/>
  <c r="BN84" i="1"/>
  <c r="Y89" i="1"/>
  <c r="BP101" i="1"/>
  <c r="BN101" i="1"/>
  <c r="Z101" i="1"/>
  <c r="BP115" i="1"/>
  <c r="BN115" i="1"/>
  <c r="Z115" i="1"/>
  <c r="Y138" i="1"/>
  <c r="BP136" i="1"/>
  <c r="BN136" i="1"/>
  <c r="Z136" i="1"/>
  <c r="BP151" i="1"/>
  <c r="BN151" i="1"/>
  <c r="Z151" i="1"/>
  <c r="BP171" i="1"/>
  <c r="BN171" i="1"/>
  <c r="Z171" i="1"/>
  <c r="BP183" i="1"/>
  <c r="BN183" i="1"/>
  <c r="Z183" i="1"/>
  <c r="BP206" i="1"/>
  <c r="BN206" i="1"/>
  <c r="Z206" i="1"/>
  <c r="BP216" i="1"/>
  <c r="BN216" i="1"/>
  <c r="Z216" i="1"/>
  <c r="Y228" i="1"/>
  <c r="BP226" i="1"/>
  <c r="BN226" i="1"/>
  <c r="Z226" i="1"/>
  <c r="BP239" i="1"/>
  <c r="BN239" i="1"/>
  <c r="Z239" i="1"/>
  <c r="BP264" i="1"/>
  <c r="BN264" i="1"/>
  <c r="Z264" i="1"/>
  <c r="BP94" i="1"/>
  <c r="BN94" i="1"/>
  <c r="Z94" i="1"/>
  <c r="Y111" i="1"/>
  <c r="BP107" i="1"/>
  <c r="BN107" i="1"/>
  <c r="Z107" i="1"/>
  <c r="Y123" i="1"/>
  <c r="Y122" i="1"/>
  <c r="BP121" i="1"/>
  <c r="BN121" i="1"/>
  <c r="Z121" i="1"/>
  <c r="Z122" i="1" s="1"/>
  <c r="BP126" i="1"/>
  <c r="BN126" i="1"/>
  <c r="Z126" i="1"/>
  <c r="Y153" i="1"/>
  <c r="BP147" i="1"/>
  <c r="BN147" i="1"/>
  <c r="Z147" i="1"/>
  <c r="BP167" i="1"/>
  <c r="BN167" i="1"/>
  <c r="Z167" i="1"/>
  <c r="BP175" i="1"/>
  <c r="BN175" i="1"/>
  <c r="Z175" i="1"/>
  <c r="BP198" i="1"/>
  <c r="BN198" i="1"/>
  <c r="Z198" i="1"/>
  <c r="Z200" i="1" s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8" i="1"/>
  <c r="BN278" i="1"/>
  <c r="Z278" i="1"/>
  <c r="Y302" i="1"/>
  <c r="BP296" i="1"/>
  <c r="BN296" i="1"/>
  <c r="Z296" i="1"/>
  <c r="BP306" i="1"/>
  <c r="BN306" i="1"/>
  <c r="Z306" i="1"/>
  <c r="Y324" i="1"/>
  <c r="BP320" i="1"/>
  <c r="BN320" i="1"/>
  <c r="Z320" i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95" i="1"/>
  <c r="Y112" i="1"/>
  <c r="Y129" i="1"/>
  <c r="Y139" i="1"/>
  <c r="H498" i="1"/>
  <c r="Y152" i="1"/>
  <c r="Y180" i="1"/>
  <c r="J498" i="1"/>
  <c r="Y224" i="1"/>
  <c r="BP285" i="1"/>
  <c r="BN285" i="1"/>
  <c r="Z285" i="1"/>
  <c r="BP300" i="1"/>
  <c r="BN300" i="1"/>
  <c r="Z300" i="1"/>
  <c r="BP314" i="1"/>
  <c r="BN314" i="1"/>
  <c r="Z314" i="1"/>
  <c r="Y330" i="1"/>
  <c r="BP326" i="1"/>
  <c r="BN326" i="1"/>
  <c r="Z326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Y310" i="1"/>
  <c r="Y387" i="1"/>
  <c r="Y386" i="1"/>
  <c r="Y481" i="1"/>
  <c r="H9" i="1"/>
  <c r="A10" i="1"/>
  <c r="B498" i="1"/>
  <c r="X489" i="1"/>
  <c r="X490" i="1"/>
  <c r="Z23" i="1"/>
  <c r="Z24" i="1" s="1"/>
  <c r="BN23" i="1"/>
  <c r="BP23" i="1"/>
  <c r="Y24" i="1"/>
  <c r="X488" i="1"/>
  <c r="Z27" i="1"/>
  <c r="BN27" i="1"/>
  <c r="BP27" i="1"/>
  <c r="Z29" i="1"/>
  <c r="BN29" i="1"/>
  <c r="Y32" i="1"/>
  <c r="C498" i="1"/>
  <c r="Z41" i="1"/>
  <c r="BN41" i="1"/>
  <c r="BP41" i="1"/>
  <c r="Y44" i="1"/>
  <c r="D498" i="1"/>
  <c r="Y57" i="1"/>
  <c r="Z52" i="1"/>
  <c r="BN52" i="1"/>
  <c r="BP54" i="1"/>
  <c r="BN54" i="1"/>
  <c r="Z54" i="1"/>
  <c r="F9" i="1"/>
  <c r="J9" i="1"/>
  <c r="BP56" i="1"/>
  <c r="BN56" i="1"/>
  <c r="Z56" i="1"/>
  <c r="Y58" i="1"/>
  <c r="Y64" i="1"/>
  <c r="Y63" i="1"/>
  <c r="BP60" i="1"/>
  <c r="BN60" i="1"/>
  <c r="Z60" i="1"/>
  <c r="Z62" i="1"/>
  <c r="BN62" i="1"/>
  <c r="Z66" i="1"/>
  <c r="BN66" i="1"/>
  <c r="BP66" i="1"/>
  <c r="Y69" i="1"/>
  <c r="Z72" i="1"/>
  <c r="BN72" i="1"/>
  <c r="BP72" i="1"/>
  <c r="Z74" i="1"/>
  <c r="BN74" i="1"/>
  <c r="Z78" i="1"/>
  <c r="Z80" i="1" s="1"/>
  <c r="BN78" i="1"/>
  <c r="BP78" i="1"/>
  <c r="Y81" i="1"/>
  <c r="E498" i="1"/>
  <c r="Z85" i="1"/>
  <c r="BN85" i="1"/>
  <c r="BP85" i="1"/>
  <c r="Z87" i="1"/>
  <c r="BN87" i="1"/>
  <c r="Y88" i="1"/>
  <c r="Z91" i="1"/>
  <c r="BN91" i="1"/>
  <c r="BP91" i="1"/>
  <c r="Z93" i="1"/>
  <c r="BN93" i="1"/>
  <c r="Y96" i="1"/>
  <c r="F498" i="1"/>
  <c r="Z100" i="1"/>
  <c r="BN100" i="1"/>
  <c r="BP100" i="1"/>
  <c r="Z102" i="1"/>
  <c r="BN102" i="1"/>
  <c r="Y105" i="1"/>
  <c r="Z108" i="1"/>
  <c r="BN108" i="1"/>
  <c r="BP108" i="1"/>
  <c r="Z110" i="1"/>
  <c r="BN110" i="1"/>
  <c r="Z114" i="1"/>
  <c r="BN114" i="1"/>
  <c r="BP114" i="1"/>
  <c r="Z116" i="1"/>
  <c r="BN116" i="1"/>
  <c r="Y119" i="1"/>
  <c r="G498" i="1"/>
  <c r="Z127" i="1"/>
  <c r="Z128" i="1" s="1"/>
  <c r="BN127" i="1"/>
  <c r="BP127" i="1"/>
  <c r="Y128" i="1"/>
  <c r="Z131" i="1"/>
  <c r="Z133" i="1" s="1"/>
  <c r="BN131" i="1"/>
  <c r="BP131" i="1"/>
  <c r="Y134" i="1"/>
  <c r="Z137" i="1"/>
  <c r="Z138" i="1" s="1"/>
  <c r="BN137" i="1"/>
  <c r="BP137" i="1"/>
  <c r="Z142" i="1"/>
  <c r="Z144" i="1" s="1"/>
  <c r="BN142" i="1"/>
  <c r="BP142" i="1"/>
  <c r="Y145" i="1"/>
  <c r="Z148" i="1"/>
  <c r="BN148" i="1"/>
  <c r="BP148" i="1"/>
  <c r="Z150" i="1"/>
  <c r="BN150" i="1"/>
  <c r="I498" i="1"/>
  <c r="Y163" i="1"/>
  <c r="Z166" i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Y179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BN193" i="1"/>
  <c r="BP193" i="1"/>
  <c r="Y196" i="1"/>
  <c r="Y200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Y144" i="1"/>
  <c r="Y195" i="1"/>
  <c r="BP199" i="1"/>
  <c r="BN199" i="1"/>
  <c r="BP205" i="1"/>
  <c r="BN205" i="1"/>
  <c r="Z205" i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Y274" i="1"/>
  <c r="Y281" i="1"/>
  <c r="Y288" i="1"/>
  <c r="Y292" i="1"/>
  <c r="Y301" i="1"/>
  <c r="Y311" i="1"/>
  <c r="Y317" i="1"/>
  <c r="Y323" i="1"/>
  <c r="Y331" i="1"/>
  <c r="Y337" i="1"/>
  <c r="R498" i="1"/>
  <c r="Y344" i="1"/>
  <c r="Y343" i="1"/>
  <c r="BP349" i="1"/>
  <c r="BN349" i="1"/>
  <c r="Z349" i="1"/>
  <c r="BP353" i="1"/>
  <c r="BN353" i="1"/>
  <c r="Z353" i="1"/>
  <c r="BP374" i="1"/>
  <c r="BN374" i="1"/>
  <c r="Z374" i="1"/>
  <c r="Z375" i="1" s="1"/>
  <c r="Y376" i="1"/>
  <c r="Y381" i="1"/>
  <c r="BP378" i="1"/>
  <c r="BN378" i="1"/>
  <c r="Z378" i="1"/>
  <c r="Z380" i="1" s="1"/>
  <c r="BP392" i="1"/>
  <c r="BN392" i="1"/>
  <c r="Z392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Q498" i="1"/>
  <c r="Z270" i="1"/>
  <c r="BN270" i="1"/>
  <c r="BP270" i="1"/>
  <c r="Z272" i="1"/>
  <c r="BN272" i="1"/>
  <c r="Y275" i="1"/>
  <c r="O498" i="1"/>
  <c r="Z279" i="1"/>
  <c r="Z281" i="1" s="1"/>
  <c r="BN279" i="1"/>
  <c r="Y282" i="1"/>
  <c r="P498" i="1"/>
  <c r="Z286" i="1"/>
  <c r="Z287" i="1" s="1"/>
  <c r="BN286" i="1"/>
  <c r="Y287" i="1"/>
  <c r="Z290" i="1"/>
  <c r="Z292" i="1" s="1"/>
  <c r="BN290" i="1"/>
  <c r="BP290" i="1"/>
  <c r="Z297" i="1"/>
  <c r="BN297" i="1"/>
  <c r="Z299" i="1"/>
  <c r="BN299" i="1"/>
  <c r="Z305" i="1"/>
  <c r="BN305" i="1"/>
  <c r="Z307" i="1"/>
  <c r="BN307" i="1"/>
  <c r="Z309" i="1"/>
  <c r="BN309" i="1"/>
  <c r="Z313" i="1"/>
  <c r="BN313" i="1"/>
  <c r="BP313" i="1"/>
  <c r="Z315" i="1"/>
  <c r="BN315" i="1"/>
  <c r="Z321" i="1"/>
  <c r="BN321" i="1"/>
  <c r="Z327" i="1"/>
  <c r="BN327" i="1"/>
  <c r="Z329" i="1"/>
  <c r="BN329" i="1"/>
  <c r="Z333" i="1"/>
  <c r="BN333" i="1"/>
  <c r="BP333" i="1"/>
  <c r="Z335" i="1"/>
  <c r="BN335" i="1"/>
  <c r="Z340" i="1"/>
  <c r="Z343" i="1" s="1"/>
  <c r="BN340" i="1"/>
  <c r="BP340" i="1"/>
  <c r="S498" i="1"/>
  <c r="BP351" i="1"/>
  <c r="BN351" i="1"/>
  <c r="Z351" i="1"/>
  <c r="Z355" i="1" s="1"/>
  <c r="Y355" i="1"/>
  <c r="BP359" i="1"/>
  <c r="BN359" i="1"/>
  <c r="Z359" i="1"/>
  <c r="Z360" i="1" s="1"/>
  <c r="Y361" i="1"/>
  <c r="Y366" i="1"/>
  <c r="BP363" i="1"/>
  <c r="BN363" i="1"/>
  <c r="Z363" i="1"/>
  <c r="Y380" i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U49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365" i="1" l="1"/>
  <c r="Z323" i="1"/>
  <c r="Z195" i="1"/>
  <c r="Z152" i="1"/>
  <c r="Z75" i="1"/>
  <c r="Z68" i="1"/>
  <c r="Z43" i="1"/>
  <c r="Z439" i="1"/>
  <c r="Z336" i="1"/>
  <c r="Z330" i="1"/>
  <c r="Z274" i="1"/>
  <c r="Z223" i="1"/>
  <c r="Y490" i="1"/>
  <c r="Y489" i="1"/>
  <c r="Z57" i="1"/>
  <c r="Y488" i="1"/>
  <c r="Z310" i="1"/>
  <c r="Z301" i="1"/>
  <c r="Z400" i="1"/>
  <c r="Z179" i="1"/>
  <c r="Z111" i="1"/>
  <c r="Z104" i="1"/>
  <c r="Z88" i="1"/>
  <c r="Y491" i="1"/>
  <c r="Z454" i="1"/>
  <c r="Z417" i="1"/>
  <c r="Z257" i="1"/>
  <c r="Z211" i="1"/>
  <c r="X491" i="1"/>
  <c r="Z317" i="1"/>
  <c r="Z266" i="1"/>
  <c r="Z241" i="1"/>
  <c r="Z185" i="1"/>
  <c r="Z118" i="1"/>
  <c r="Z95" i="1"/>
  <c r="Z63" i="1"/>
  <c r="Z493" i="1" s="1"/>
  <c r="Z31" i="1"/>
  <c r="Y492" i="1"/>
</calcChain>
</file>

<file path=xl/sharedStrings.xml><?xml version="1.0" encoding="utf-8"?>
<sst xmlns="http://schemas.openxmlformats.org/spreadsheetml/2006/main" count="2320" uniqueCount="768">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</sst>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348" sqref="AA348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46048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0.41666666666666669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hidden="1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hidden="1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hidden="1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hidden="1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0</v>
      </c>
      <c r="Y118" s="547">
        <f>IFERROR(Y114/H114,"0")+IFERROR(Y115/H115,"0")+IFERROR(Y116/H116,"0")+IFERROR(Y117/H117,"0")</f>
        <v>0</v>
      </c>
      <c r="Z118" s="547">
        <f>IFERROR(IF(Z114="",0,Z114),"0")+IFERROR(IF(Z115="",0,Z115),"0")+IFERROR(IF(Z116="",0,Z116),"0")+IFERROR(IF(Z117="",0,Z117),"0")</f>
        <v>0</v>
      </c>
      <c r="AA118" s="548"/>
      <c r="AB118" s="548"/>
      <c r="AC118" s="548"/>
    </row>
    <row r="119" spans="1:68" hidden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0</v>
      </c>
      <c r="Y119" s="547">
        <f>IFERROR(SUM(Y114:Y117),"0")</f>
        <v>0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186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hidden="1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0</v>
      </c>
      <c r="Y223" s="547">
        <f>IFERROR(Y214/H214,"0")+IFERROR(Y215/H215,"0")+IFERROR(Y216/H216,"0")+IFERROR(Y217/H217,"0")+IFERROR(Y218/H218,"0")+IFERROR(Y219/H219,"0")+IFERROR(Y220/H220,"0")+IFERROR(Y221/H221,"0")+IFERROR(Y222/H222,"0")</f>
        <v>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48"/>
      <c r="AB223" s="548"/>
      <c r="AC223" s="548"/>
    </row>
    <row r="224" spans="1:68" hidden="1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0</v>
      </c>
      <c r="Y224" s="547">
        <f>IFERROR(SUM(Y214:Y222),"0")</f>
        <v>0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186</v>
      </c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186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hidden="1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186</v>
      </c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 t="s">
        <v>186</v>
      </c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186</v>
      </c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1120</v>
      </c>
      <c r="Y348" s="546">
        <f t="shared" ref="Y348:Y354" si="31">IFERROR(IF(X348="",0,CEILING((X348/$H348),1)*$H348),"")</f>
        <v>1125</v>
      </c>
      <c r="Z348" s="36">
        <f>IFERROR(IF(Y348=0,"",ROUNDUP(Y348/H348,0)*0.02175),"")</f>
        <v>1.6312499999999999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1155.0933333333335</v>
      </c>
      <c r="BN348" s="64">
        <f t="shared" ref="BN348:BN354" si="33">IFERROR(Y348*I348/H348,"0")</f>
        <v>1160.25</v>
      </c>
      <c r="BO348" s="64">
        <f t="shared" ref="BO348:BO354" si="34">IFERROR(1/J348*(X348/H348),"0")</f>
        <v>1.5555555555555556</v>
      </c>
      <c r="BP348" s="64">
        <f t="shared" ref="BP348:BP354" si="35">IFERROR(1/J348*(Y348/H348),"0")</f>
        <v>1.5625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4301012215</v>
      </c>
      <c r="D350" s="552">
        <v>4680115887046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5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2">
        <v>4680115884830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563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74.666666666666671</v>
      </c>
      <c r="Y355" s="547">
        <f>IFERROR(Y348/H348,"0")+IFERROR(Y349/H349,"0")+IFERROR(Y350/H350,"0")+IFERROR(Y351/H351,"0")+IFERROR(Y352/H352,"0")+IFERROR(Y353/H353,"0")+IFERROR(Y354/H354,"0")</f>
        <v>75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1.6312499999999999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1120</v>
      </c>
      <c r="Y356" s="547">
        <f>IFERROR(SUM(Y348:Y354),"0")</f>
        <v>1125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1200</v>
      </c>
      <c r="Y358" s="546">
        <f>IFERROR(IF(X358="",0,CEILING((X358/$H358),1)*$H358),"")</f>
        <v>1200</v>
      </c>
      <c r="Z358" s="36">
        <f>IFERROR(IF(Y358=0,"",ROUNDUP(Y358/H358,0)*0.02175),"")</f>
        <v>1.7399999999999998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1237.5999999999999</v>
      </c>
      <c r="BN358" s="64">
        <f>IFERROR(Y358*I358/H358,"0")</f>
        <v>1237.5999999999999</v>
      </c>
      <c r="BO358" s="64">
        <f>IFERROR(1/J358*(X358/H358),"0")</f>
        <v>1.6666666666666665</v>
      </c>
      <c r="BP358" s="64">
        <f>IFERROR(1/J358*(Y358/H358),"0")</f>
        <v>1.6666666666666665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80</v>
      </c>
      <c r="Y360" s="547">
        <f>IFERROR(Y358/H358,"0")+IFERROR(Y359/H359,"0")</f>
        <v>80</v>
      </c>
      <c r="Z360" s="547">
        <f>IFERROR(IF(Z358="",0,Z358),"0")+IFERROR(IF(Z359="",0,Z359),"0")</f>
        <v>1.7399999999999998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1200</v>
      </c>
      <c r="Y361" s="547">
        <f>IFERROR(SUM(Y358:Y359),"0")</f>
        <v>1200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4301031457</v>
      </c>
      <c r="D378" s="552">
        <v>4607091384802</v>
      </c>
      <c r="E378" s="553"/>
      <c r="F378" s="544">
        <v>0.7</v>
      </c>
      <c r="G378" s="32">
        <v>6</v>
      </c>
      <c r="H378" s="544">
        <v>4.2</v>
      </c>
      <c r="I378" s="544">
        <v>4.45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50</v>
      </c>
      <c r="P378" s="6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4301031303</v>
      </c>
      <c r="D379" s="552">
        <v>4607091384802</v>
      </c>
      <c r="E379" s="553"/>
      <c r="F379" s="544">
        <v>0.73</v>
      </c>
      <c r="G379" s="32">
        <v>6</v>
      </c>
      <c r="H379" s="544">
        <v>4.38</v>
      </c>
      <c r="I379" s="544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6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hidden="1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hidden="1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110</v>
      </c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110</v>
      </c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 t="s">
        <v>110</v>
      </c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 t="s">
        <v>106</v>
      </c>
      <c r="AK438" s="68">
        <v>57.6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hidden="1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548"/>
      <c r="AB439" s="548"/>
      <c r="AC439" s="548"/>
    </row>
    <row r="440" spans="1:68" hidden="1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0</v>
      </c>
      <c r="Y440" s="547">
        <f>IFERROR(SUM(Y427:Y438),"0")</f>
        <v>0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hidden="1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hidden="1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hidden="1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hidden="1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0</v>
      </c>
      <c r="Y454" s="547">
        <f>IFERROR(Y448/H448,"0")+IFERROR(Y449/H449,"0")+IFERROR(Y450/H450,"0")+IFERROR(Y451/H451,"0")+IFERROR(Y452/H452,"0")+IFERROR(Y453/H453,"0")</f>
        <v>0</v>
      </c>
      <c r="Z454" s="547">
        <f>IFERROR(IF(Z448="",0,Z448),"0")+IFERROR(IF(Z449="",0,Z449),"0")+IFERROR(IF(Z450="",0,Z450),"0")+IFERROR(IF(Z451="",0,Z451),"0")+IFERROR(IF(Z452="",0,Z452),"0")+IFERROR(IF(Z453="",0,Z453),"0")</f>
        <v>0</v>
      </c>
      <c r="AA454" s="548"/>
      <c r="AB454" s="548"/>
      <c r="AC454" s="548"/>
    </row>
    <row r="455" spans="1:68" hidden="1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0</v>
      </c>
      <c r="Y455" s="547">
        <f>IFERROR(SUM(Y448:Y453),"0")</f>
        <v>0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2320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2325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2392.6933333333336</v>
      </c>
      <c r="Y489" s="547">
        <f>IFERROR(SUM(BN22:BN485),"0")</f>
        <v>2397.85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4</v>
      </c>
      <c r="Y490" s="38">
        <f>ROUNDUP(SUM(BP22:BP485),0)</f>
        <v>4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2492.6933333333336</v>
      </c>
      <c r="Y491" s="547">
        <f>GrossWeightTotalR+PalletQtyTotalR*25</f>
        <v>2497.85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154.66666666666669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155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3.3712499999999999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2325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0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0,00"/>
        <filter val="1 200,00"/>
        <filter val="154,67"/>
        <filter val="2 320,00"/>
        <filter val="2 392,69"/>
        <filter val="2 492,69"/>
        <filter val="4"/>
        <filter val="74,67"/>
        <filter val="80,0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1 X165 X167 X169 X174 X176 X199 X203:X208 X210 X214:X217 X219:X222 X226:X227 X232 X261 X279:X280 X305 X308 X313 X320:X322 X328:X329 X333:X335 X340:X342 X348:X349 X351 X358 X364 X373 X379 X383:X384 X391 X393 X398 X413 X427 X430:X431 X433 X438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