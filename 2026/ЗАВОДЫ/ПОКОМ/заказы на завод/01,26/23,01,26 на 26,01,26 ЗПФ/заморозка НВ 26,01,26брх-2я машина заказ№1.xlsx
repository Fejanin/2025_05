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860188-5FDE-4ADC-AB1B-F2AFA7C21B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O262" i="1"/>
  <c r="BM262" i="1"/>
  <c r="Z262" i="1"/>
  <c r="Y262" i="1"/>
  <c r="BN262" i="1" s="1"/>
  <c r="P262" i="1"/>
  <c r="BO261" i="1"/>
  <c r="BM261" i="1"/>
  <c r="Z261" i="1"/>
  <c r="Y261" i="1"/>
  <c r="P261" i="1"/>
  <c r="BO260" i="1"/>
  <c r="BM260" i="1"/>
  <c r="Z260" i="1"/>
  <c r="Y260" i="1"/>
  <c r="BN260" i="1" s="1"/>
  <c r="P260" i="1"/>
  <c r="BO259" i="1"/>
  <c r="BM259" i="1"/>
  <c r="Z259" i="1"/>
  <c r="Y259" i="1"/>
  <c r="P259" i="1"/>
  <c r="BO258" i="1"/>
  <c r="BM258" i="1"/>
  <c r="Z258" i="1"/>
  <c r="Y258" i="1"/>
  <c r="BN258" i="1" s="1"/>
  <c r="P258" i="1"/>
  <c r="BO257" i="1"/>
  <c r="BM257" i="1"/>
  <c r="Z257" i="1"/>
  <c r="Y257" i="1"/>
  <c r="P257" i="1"/>
  <c r="BO256" i="1"/>
  <c r="BM256" i="1"/>
  <c r="Z256" i="1"/>
  <c r="Y256" i="1"/>
  <c r="BN256" i="1" s="1"/>
  <c r="P256" i="1"/>
  <c r="BO255" i="1"/>
  <c r="BM255" i="1"/>
  <c r="Z255" i="1"/>
  <c r="Y255" i="1"/>
  <c r="P255" i="1"/>
  <c r="BO254" i="1"/>
  <c r="BM254" i="1"/>
  <c r="Z254" i="1"/>
  <c r="Y254" i="1"/>
  <c r="P254" i="1"/>
  <c r="X252" i="1"/>
  <c r="X251" i="1"/>
  <c r="BO250" i="1"/>
  <c r="BM250" i="1"/>
  <c r="Z250" i="1"/>
  <c r="Y250" i="1"/>
  <c r="BN250" i="1" s="1"/>
  <c r="P250" i="1"/>
  <c r="BO249" i="1"/>
  <c r="BM249" i="1"/>
  <c r="Z249" i="1"/>
  <c r="Y249" i="1"/>
  <c r="P249" i="1"/>
  <c r="BO248" i="1"/>
  <c r="BM248" i="1"/>
  <c r="Z248" i="1"/>
  <c r="Y248" i="1"/>
  <c r="BN248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N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Z212" i="1" s="1"/>
  <c r="Y210" i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N196" i="1"/>
  <c r="BM196" i="1"/>
  <c r="Z196" i="1"/>
  <c r="Z201" i="1" s="1"/>
  <c r="Y196" i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N181" i="1" s="1"/>
  <c r="P181" i="1"/>
  <c r="BO180" i="1"/>
  <c r="BM180" i="1"/>
  <c r="Z180" i="1"/>
  <c r="Y180" i="1"/>
  <c r="P180" i="1"/>
  <c r="BO179" i="1"/>
  <c r="BM179" i="1"/>
  <c r="Z179" i="1"/>
  <c r="Y179" i="1"/>
  <c r="Y183" i="1" s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Y124" i="1"/>
  <c r="BN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N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N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BN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A10" i="1" s="1"/>
  <c r="D7" i="1"/>
  <c r="Q6" i="1"/>
  <c r="P2" i="1"/>
  <c r="X267" i="1" l="1"/>
  <c r="X266" i="1"/>
  <c r="Z56" i="1"/>
  <c r="Z70" i="1"/>
  <c r="Y83" i="1"/>
  <c r="Z135" i="1"/>
  <c r="Z147" i="1"/>
  <c r="Z174" i="1"/>
  <c r="BN200" i="1"/>
  <c r="Z251" i="1"/>
  <c r="Y264" i="1"/>
  <c r="BP102" i="1"/>
  <c r="BP124" i="1"/>
  <c r="BP179" i="1"/>
  <c r="Y187" i="1"/>
  <c r="BP240" i="1"/>
  <c r="BP250" i="1"/>
  <c r="BP254" i="1"/>
  <c r="BP258" i="1"/>
  <c r="BP262" i="1"/>
  <c r="Y76" i="1"/>
  <c r="Y93" i="1"/>
  <c r="Z109" i="1"/>
  <c r="Z120" i="1"/>
  <c r="Y126" i="1"/>
  <c r="Y135" i="1"/>
  <c r="BN140" i="1"/>
  <c r="Y147" i="1"/>
  <c r="BN173" i="1"/>
  <c r="Z183" i="1"/>
  <c r="BP181" i="1"/>
  <c r="Y184" i="1"/>
  <c r="BN186" i="1"/>
  <c r="BP192" i="1"/>
  <c r="BN198" i="1"/>
  <c r="BP205" i="1"/>
  <c r="Y212" i="1"/>
  <c r="BP248" i="1"/>
  <c r="Z264" i="1"/>
  <c r="BP256" i="1"/>
  <c r="BP260" i="1"/>
  <c r="X268" i="1"/>
  <c r="X269" i="1" s="1"/>
  <c r="BP53" i="1"/>
  <c r="BP55" i="1"/>
  <c r="BP69" i="1"/>
  <c r="Y104" i="1"/>
  <c r="BP114" i="1"/>
  <c r="BP116" i="1"/>
  <c r="BP118" i="1"/>
  <c r="BP128" i="1"/>
  <c r="BN133" i="1"/>
  <c r="Z141" i="1"/>
  <c r="BN145" i="1"/>
  <c r="BN179" i="1"/>
  <c r="Y202" i="1"/>
  <c r="BN205" i="1"/>
  <c r="Y206" i="1"/>
  <c r="BP210" i="1"/>
  <c r="BP244" i="1"/>
  <c r="Y35" i="1"/>
  <c r="Y41" i="1"/>
  <c r="Y48" i="1"/>
  <c r="Z76" i="1"/>
  <c r="Z93" i="1"/>
  <c r="Z103" i="1"/>
  <c r="BP186" i="1"/>
  <c r="BN192" i="1"/>
  <c r="Y193" i="1"/>
  <c r="BP196" i="1"/>
  <c r="Y213" i="1"/>
  <c r="BN254" i="1"/>
  <c r="Y265" i="1"/>
  <c r="Z28" i="1"/>
  <c r="X270" i="1"/>
  <c r="Z34" i="1"/>
  <c r="Z41" i="1"/>
  <c r="Z48" i="1"/>
  <c r="Y57" i="1"/>
  <c r="Y70" i="1"/>
  <c r="Z82" i="1"/>
  <c r="Y109" i="1"/>
  <c r="Y120" i="1"/>
  <c r="Z125" i="1"/>
  <c r="BN128" i="1"/>
  <c r="Y129" i="1"/>
  <c r="BP133" i="1"/>
  <c r="BP145" i="1"/>
  <c r="BN210" i="1"/>
  <c r="BN244" i="1"/>
  <c r="Y245" i="1"/>
  <c r="F9" i="1"/>
  <c r="J9" i="1"/>
  <c r="F10" i="1"/>
  <c r="BN22" i="1"/>
  <c r="H9" i="1"/>
  <c r="Y28" i="1"/>
  <c r="Y29" i="1"/>
  <c r="BN23" i="1"/>
  <c r="BN24" i="1"/>
  <c r="BN26" i="1"/>
  <c r="BN33" i="1"/>
  <c r="Y34" i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Y103" i="1"/>
  <c r="BN107" i="1"/>
  <c r="BP107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25" i="1"/>
  <c r="BN27" i="1"/>
  <c r="BN32" i="1"/>
  <c r="BP32" i="1"/>
  <c r="BN40" i="1"/>
  <c r="BN45" i="1"/>
  <c r="BP45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8" i="1" l="1"/>
  <c r="Z271" i="1"/>
  <c r="Y270" i="1"/>
  <c r="Y267" i="1"/>
  <c r="Y266" i="1"/>
  <c r="B279" i="1" l="1"/>
  <c r="Y269" i="1"/>
  <c r="C279" i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<sst xmlns="http://schemas.openxmlformats.org/spreadsheetml/2006/main" count="1208" uniqueCount="393">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</sst>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46048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0.45833333333333331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14</v>
      </c>
      <c r="Y39" s="26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14</v>
      </c>
      <c r="Y41" s="268">
        <f>IFERROR(SUM(Y39:Y40),"0")</f>
        <v>14</v>
      </c>
      <c r="Z41" s="268">
        <f>IFERROR(IF(Z39="",0,Z39),"0")+IFERROR(IF(Z40="",0,Z40),"0")</f>
        <v>0.13174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21</v>
      </c>
      <c r="Y42" s="268">
        <f>IFERROR(SUMPRODUCT(Y39:Y40*H39:H40),"0")</f>
        <v>21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12</v>
      </c>
      <c r="Y48" s="268">
        <f>IFERROR(SUM(Y45:Y47),"0")</f>
        <v>12</v>
      </c>
      <c r="Z48" s="268">
        <f>IFERROR(IF(Z45="",0,Z45),"0")+IFERROR(IF(Z46="",0,Z46),"0")+IFERROR(IF(Z47="",0,Z47),"0")</f>
        <v>0.186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67.199999999999989</v>
      </c>
      <c r="Y49" s="268">
        <f>IFERROR(SUMPRODUCT(Y45:Y47*H45:H47),"0")</f>
        <v>67.199999999999989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12</v>
      </c>
      <c r="Y52" s="26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36</v>
      </c>
      <c r="Y53" s="26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36</v>
      </c>
      <c r="Y55" s="267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84</v>
      </c>
      <c r="Y56" s="268">
        <f>IFERROR(SUM(Y52:Y55),"0")</f>
        <v>84</v>
      </c>
      <c r="Z56" s="268">
        <f>IFERROR(IF(Z52="",0,Z52),"0")+IFERROR(IF(Z53="",0,Z53),"0")+IFERROR(IF(Z54="",0,Z54),"0")+IFERROR(IF(Z55="",0,Z55),"0")</f>
        <v>1.302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588</v>
      </c>
      <c r="Y57" s="268">
        <f>IFERROR(SUMPRODUCT(Y52:Y55*H52:H55),"0")</f>
        <v>588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145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84</v>
      </c>
      <c r="Y81" s="26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84</v>
      </c>
      <c r="Y82" s="268">
        <f>IFERROR(SUM(Y80:Y81),"0")</f>
        <v>84</v>
      </c>
      <c r="Z82" s="268">
        <f>IFERROR(IF(Z80="",0,Z80),"0")+IFERROR(IF(Z81="",0,Z81),"0")</f>
        <v>0.72743999999999998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420</v>
      </c>
      <c r="Y83" s="268">
        <f>IFERROR(SUMPRODUCT(Y80:Y81*H80:H81),"0")</f>
        <v>420</v>
      </c>
      <c r="Z83" s="37"/>
      <c r="AA83" s="269"/>
      <c r="AB83" s="269"/>
      <c r="AC83" s="269"/>
    </row>
    <row r="84" spans="1:68" ht="16.5" hidden="1" customHeight="1" x14ac:dyDescent="0.25">
      <c r="A84" s="281" t="s">
        <v>152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hidden="1" customHeight="1" x14ac:dyDescent="0.25">
      <c r="A86" s="54" t="s">
        <v>153</v>
      </c>
      <c r="B86" s="54" t="s">
        <v>154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hidden="1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hidden="1" customHeight="1" x14ac:dyDescent="0.25">
      <c r="A89" s="281" t="s">
        <v>156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157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14</v>
      </c>
      <c r="Y92" s="267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hidden="1" customHeight="1" x14ac:dyDescent="0.25">
      <c r="A95" s="281" t="s">
        <v>164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hidden="1" customHeight="1" x14ac:dyDescent="0.25">
      <c r="A99" s="54" t="s">
        <v>169</v>
      </c>
      <c r="B99" s="54" t="s">
        <v>170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42</v>
      </c>
      <c r="Y100" s="267">
        <f t="shared" si="6"/>
        <v>42</v>
      </c>
      <c r="Z100" s="36">
        <f t="shared" si="7"/>
        <v>0.75095999999999996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14</v>
      </c>
      <c r="Y101" s="267">
        <f t="shared" si="6"/>
        <v>14</v>
      </c>
      <c r="Z101" s="36">
        <f t="shared" si="7"/>
        <v>0.25031999999999999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68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72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126</v>
      </c>
      <c r="Y103" s="268">
        <f>IFERROR(SUM(Y97:Y102),"0")</f>
        <v>126</v>
      </c>
      <c r="Z103" s="268">
        <f>IFERROR(IF(Z97="",0,Z97),"0")+IFERROR(IF(Z98="",0,Z98),"0")+IFERROR(IF(Z99="",0,Z99),"0")+IFERROR(IF(Z100="",0,Z100),"0")+IFERROR(IF(Z101="",0,Z101),"0")+IFERROR(IF(Z102="",0,Z102),"0")</f>
        <v>2.2528799999999998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376.32</v>
      </c>
      <c r="Y104" s="268">
        <f>IFERROR(SUMPRODUCT(Y97:Y102*H97:H102),"0")</f>
        <v>376.32</v>
      </c>
      <c r="Z104" s="37"/>
      <c r="AA104" s="269"/>
      <c r="AB104" s="269"/>
      <c r="AC104" s="269"/>
    </row>
    <row r="105" spans="1:68" ht="16.5" hidden="1" customHeight="1" x14ac:dyDescent="0.25">
      <c r="A105" s="281" t="s">
        <v>179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14</v>
      </c>
      <c r="Y108" s="26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14</v>
      </c>
      <c r="Y109" s="268">
        <f>IFERROR(SUM(Y107:Y108),"0")</f>
        <v>14</v>
      </c>
      <c r="Z109" s="268">
        <f>IFERROR(IF(Z107="",0,Z107),"0")+IFERROR(IF(Z108="",0,Z108),"0")</f>
        <v>0.25031999999999999</v>
      </c>
      <c r="AA109" s="269"/>
      <c r="AB109" s="269"/>
      <c r="AC109" s="269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50.4</v>
      </c>
      <c r="Y110" s="268">
        <f>IFERROR(SUMPRODUCT(Y107:Y108*H107:H108),"0")</f>
        <v>50.4</v>
      </c>
      <c r="Z110" s="37"/>
      <c r="AA110" s="269"/>
      <c r="AB110" s="269"/>
      <c r="AC110" s="269"/>
    </row>
    <row r="111" spans="1:68" ht="16.5" hidden="1" customHeight="1" x14ac:dyDescent="0.25">
      <c r="A111" s="281" t="s">
        <v>185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24</v>
      </c>
      <c r="Y115" s="267">
        <f t="shared" si="12"/>
        <v>24</v>
      </c>
      <c r="Z115" s="36">
        <f t="shared" si="13"/>
        <v>0.372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72</v>
      </c>
      <c r="Y116" s="267">
        <f t="shared" si="12"/>
        <v>72</v>
      </c>
      <c r="Z116" s="36">
        <f t="shared" si="13"/>
        <v>1.1160000000000001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24</v>
      </c>
      <c r="Y118" s="267">
        <f t="shared" si="12"/>
        <v>24</v>
      </c>
      <c r="Z118" s="36">
        <f t="shared" si="13"/>
        <v>0.372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132</v>
      </c>
      <c r="Y119" s="267">
        <f t="shared" si="12"/>
        <v>132</v>
      </c>
      <c r="Z119" s="36">
        <f t="shared" si="13"/>
        <v>2.0459999999999998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252</v>
      </c>
      <c r="Y120" s="268">
        <f>IFERROR(SUM(Y113:Y119),"0")</f>
        <v>252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3.9059999999999997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1735.2</v>
      </c>
      <c r="Y121" s="268">
        <f>IFERROR(SUMPRODUCT(Y113:Y119*H113:H119),"0")</f>
        <v>1735.2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206</v>
      </c>
      <c r="B124" s="54" t="s">
        <v>207</v>
      </c>
      <c r="C124" s="31">
        <v>4301135670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97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99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209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213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98</v>
      </c>
      <c r="Y135" s="268">
        <f>IFERROR(SUM(Y133:Y134),"0")</f>
        <v>98</v>
      </c>
      <c r="Z135" s="268">
        <f>IFERROR(IF(Z133="",0,Z133),"0")+IFERROR(IF(Z134="",0,Z134),"0")</f>
        <v>1.75224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294</v>
      </c>
      <c r="Y136" s="268">
        <f>IFERROR(SUMPRODUCT(Y133:Y134*H133:H134),"0")</f>
        <v>294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56</v>
      </c>
      <c r="Y140" s="267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56</v>
      </c>
      <c r="Y141" s="268">
        <f>IFERROR(SUM(Y139:Y140),"0")</f>
        <v>56</v>
      </c>
      <c r="Z141" s="268">
        <f>IFERROR(IF(Z139="",0,Z139),"0")+IFERROR(IF(Z140="",0,Z140),"0")</f>
        <v>1.0012799999999999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168</v>
      </c>
      <c r="Y142" s="268">
        <f>IFERROR(SUMPRODUCT(Y139:Y140*H139:H140),"0")</f>
        <v>168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42</v>
      </c>
      <c r="Y145" s="267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28</v>
      </c>
      <c r="Y146" s="267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70</v>
      </c>
      <c r="Y147" s="268">
        <f>IFERROR(SUM(Y145:Y146),"0")</f>
        <v>70</v>
      </c>
      <c r="Z147" s="268">
        <f>IFERROR(IF(Z145="",0,Z145),"0")+IFERROR(IF(Z146="",0,Z146),"0")</f>
        <v>1.2515999999999998</v>
      </c>
      <c r="AA147" s="269"/>
      <c r="AB147" s="269"/>
      <c r="AC147" s="269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168</v>
      </c>
      <c r="Y148" s="268">
        <f>IFERROR(SUMPRODUCT(Y145:Y146*H145:H146),"0")</f>
        <v>168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14</v>
      </c>
      <c r="Y151" s="26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14</v>
      </c>
      <c r="Y152" s="268">
        <f>IFERROR(SUM(Y151:Y151),"0")</f>
        <v>14</v>
      </c>
      <c r="Z152" s="268">
        <f>IFERROR(IF(Z151="",0,Z151),"0")</f>
        <v>0.25031999999999999</v>
      </c>
      <c r="AA152" s="269"/>
      <c r="AB152" s="269"/>
      <c r="AC152" s="269"/>
    </row>
    <row r="153" spans="1:68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42</v>
      </c>
      <c r="Y153" s="268">
        <f>IFERROR(SUMPRODUCT(Y151:Y151*H151:H151),"0")</f>
        <v>42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68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72</v>
      </c>
      <c r="AK156" s="71">
        <v>1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209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68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72</v>
      </c>
      <c r="AK161" s="71">
        <v>1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0</v>
      </c>
      <c r="Y166" s="267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0</v>
      </c>
      <c r="Y167" s="268">
        <f>IFERROR(SUM(Y166:Y166),"0")</f>
        <v>0</v>
      </c>
      <c r="Z167" s="268">
        <f>IFERROR(IF(Z166="",0,Z166),"0")</f>
        <v>0</v>
      </c>
      <c r="AA167" s="269"/>
      <c r="AB167" s="269"/>
      <c r="AC167" s="269"/>
    </row>
    <row r="168" spans="1:68" hidden="1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0</v>
      </c>
      <c r="Y168" s="268">
        <f>IFERROR(SUMPRODUCT(Y166:Y166*H166:H166),"0")</f>
        <v>0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36</v>
      </c>
      <c r="Y173" s="267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36</v>
      </c>
      <c r="Y174" s="268">
        <f>IFERROR(SUM(Y172:Y173),"0")</f>
        <v>36</v>
      </c>
      <c r="Z174" s="268">
        <f>IFERROR(IF(Z172="",0,Z172),"0")+IFERROR(IF(Z173="",0,Z173),"0")</f>
        <v>0.31175999999999998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180</v>
      </c>
      <c r="Y175" s="268">
        <f>IFERROR(SUMPRODUCT(Y172:Y173*H172:H173),"0")</f>
        <v>180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14</v>
      </c>
      <c r="Y180" s="267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14</v>
      </c>
      <c r="Y183" s="268">
        <f>IFERROR(SUM(Y179:Y182),"0")</f>
        <v>14</v>
      </c>
      <c r="Z183" s="268">
        <f>IFERROR(IF(Z179="",0,Z179),"0")+IFERROR(IF(Z180="",0,Z180),"0")+IFERROR(IF(Z181="",0,Z181),"0")+IFERROR(IF(Z182="",0,Z182),"0")</f>
        <v>0.25031999999999999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42</v>
      </c>
      <c r="Y184" s="268">
        <f>IFERROR(SUMPRODUCT(Y179:Y182*H179:H182),"0")</f>
        <v>42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14</v>
      </c>
      <c r="Y192" s="26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14</v>
      </c>
      <c r="Y193" s="268">
        <f>IFERROR(SUM(Y192:Y192),"0")</f>
        <v>14</v>
      </c>
      <c r="Z193" s="268">
        <f>IFERROR(IF(Z192="",0,Z192),"0")</f>
        <v>0.25031999999999999</v>
      </c>
      <c r="AA193" s="269"/>
      <c r="AB193" s="269"/>
      <c r="AC193" s="269"/>
    </row>
    <row r="194" spans="1:68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38.64</v>
      </c>
      <c r="Y194" s="268">
        <f>IFERROR(SUMPRODUCT(Y192:Y192*H192:H192),"0")</f>
        <v>38.64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72</v>
      </c>
      <c r="Y223" s="267">
        <f>IFERROR(IF(X223="","",X223),"")</f>
        <v>72</v>
      </c>
      <c r="Z223" s="36">
        <f>IFERROR(IF(X223="","",X223*0.0155),"")</f>
        <v>1.1160000000000001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378.86399999999998</v>
      </c>
      <c r="BN223" s="67">
        <f>IFERROR(Y223*I223,"0")</f>
        <v>378.86399999999998</v>
      </c>
      <c r="BO223" s="67">
        <f>IFERROR(X223/J223,"0")</f>
        <v>0.8571428571428571</v>
      </c>
      <c r="BP223" s="67">
        <f>IFERROR(Y223/J223,"0")</f>
        <v>0.8571428571428571</v>
      </c>
    </row>
    <row r="224" spans="1:68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72</v>
      </c>
      <c r="Y224" s="268">
        <f>IFERROR(SUM(Y223:Y223),"0")</f>
        <v>72</v>
      </c>
      <c r="Z224" s="268">
        <f>IFERROR(IF(Z223="",0,Z223),"0")</f>
        <v>1.1160000000000001</v>
      </c>
      <c r="AA224" s="269"/>
      <c r="AB224" s="269"/>
      <c r="AC224" s="269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360</v>
      </c>
      <c r="Y225" s="268">
        <f>IFERROR(SUMPRODUCT(Y223:Y223*H223:H223),"0")</f>
        <v>360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24</v>
      </c>
      <c r="Y240" s="267">
        <f>IFERROR(IF(X240="","",X240),"")</f>
        <v>24</v>
      </c>
      <c r="Z240" s="36">
        <f>IFERROR(IF(X240="","",X240*0.0155),"")</f>
        <v>0.372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174.72</v>
      </c>
      <c r="BN240" s="67">
        <f>IFERROR(Y240*I240,"0")</f>
        <v>174.72</v>
      </c>
      <c r="BO240" s="67">
        <f>IFERROR(X240/J240,"0")</f>
        <v>0.2857142857142857</v>
      </c>
      <c r="BP240" s="67">
        <f>IFERROR(Y240/J240,"0")</f>
        <v>0.2857142857142857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24</v>
      </c>
      <c r="Y241" s="268">
        <f>IFERROR(SUM(Y239:Y240),"0")</f>
        <v>24</v>
      </c>
      <c r="Z241" s="268">
        <f>IFERROR(IF(Z239="",0,Z239),"0")+IFERROR(IF(Z240="",0,Z240),"0")</f>
        <v>0.372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168</v>
      </c>
      <c r="Y242" s="268">
        <f>IFERROR(SUMPRODUCT(Y239:Y240*H239:H240),"0")</f>
        <v>168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12</v>
      </c>
      <c r="Y244" s="267">
        <f>IFERROR(IF(X244="","",X244),"")</f>
        <v>12</v>
      </c>
      <c r="Z244" s="36">
        <f>IFERROR(IF(X244="","",X244*0.0155),"")</f>
        <v>0.186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75.12</v>
      </c>
      <c r="BN244" s="67">
        <f>IFERROR(Y244*I244,"0")</f>
        <v>75.12</v>
      </c>
      <c r="BO244" s="67">
        <f>IFERROR(X244/J244,"0")</f>
        <v>0.14285714285714285</v>
      </c>
      <c r="BP244" s="67">
        <f>IFERROR(Y244/J244,"0")</f>
        <v>0.14285714285714285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12</v>
      </c>
      <c r="Y245" s="268">
        <f>IFERROR(SUM(Y244:Y244),"0")</f>
        <v>12</v>
      </c>
      <c r="Z245" s="268">
        <f>IFERROR(IF(Z244="",0,Z244),"0")</f>
        <v>0.186</v>
      </c>
      <c r="AA245" s="269"/>
      <c r="AB245" s="269"/>
      <c r="AC245" s="269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72</v>
      </c>
      <c r="Y246" s="268">
        <f>IFERROR(SUMPRODUCT(Y244:Y244*H244:H244),"0")</f>
        <v>72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24</v>
      </c>
      <c r="Y249" s="267">
        <f>IFERROR(IF(X249="","",X249),"")</f>
        <v>24</v>
      </c>
      <c r="Z249" s="36">
        <f>IFERROR(IF(X249="","",X249*0.0155),"")</f>
        <v>0.372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125.64000000000001</v>
      </c>
      <c r="BN249" s="67">
        <f>IFERROR(Y249*I249,"0")</f>
        <v>125.64000000000001</v>
      </c>
      <c r="BO249" s="67">
        <f>IFERROR(X249/J249,"0")</f>
        <v>0.2857142857142857</v>
      </c>
      <c r="BP249" s="67">
        <f>IFERROR(Y249/J249,"0")</f>
        <v>0.2857142857142857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24</v>
      </c>
      <c r="Y251" s="268">
        <f>IFERROR(SUM(Y248:Y250),"0")</f>
        <v>24</v>
      </c>
      <c r="Z251" s="268">
        <f>IFERROR(IF(Z248="",0,Z248),"0")+IFERROR(IF(Z249="",0,Z249),"0")+IFERROR(IF(Z250="",0,Z250),"0")</f>
        <v>0.372</v>
      </c>
      <c r="AA251" s="269"/>
      <c r="AB251" s="269"/>
      <c r="AC251" s="269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120</v>
      </c>
      <c r="Y252" s="268">
        <f>IFERROR(SUMPRODUCT(Y248:Y250*H248:H250),"0")</f>
        <v>120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14</v>
      </c>
      <c r="Y255" s="267">
        <f t="shared" si="18"/>
        <v>14</v>
      </c>
      <c r="Z255" s="36">
        <f>IFERROR(IF(X255="","",X255*0.00936),"")</f>
        <v>0.13103999999999999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54.488</v>
      </c>
      <c r="BN255" s="67">
        <f t="shared" si="20"/>
        <v>54.488</v>
      </c>
      <c r="BO255" s="67">
        <f t="shared" si="21"/>
        <v>0.1111111111111111</v>
      </c>
      <c r="BP255" s="67">
        <f t="shared" si="22"/>
        <v>0.1111111111111111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68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72</v>
      </c>
      <c r="AK257" s="71">
        <v>1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68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72</v>
      </c>
      <c r="AK258" s="71">
        <v>1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28</v>
      </c>
      <c r="Y264" s="268">
        <f>IFERROR(SUM(Y254:Y263),"0")</f>
        <v>28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0.26207999999999998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93.800000000000011</v>
      </c>
      <c r="Y265" s="268">
        <f>IFERROR(SUMPRODUCT(Y254:Y263*H254:H263),"0")</f>
        <v>93.800000000000011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5292.56</v>
      </c>
      <c r="Y266" s="268">
        <f>IFERROR(Y29+Y35+Y42+Y49+Y57+Y62+Y66+Y71+Y77+Y83+Y88+Y94+Y104+Y110+Y121+Y126+Y130+Y136+Y142+Y148+Y153+Y158+Y163+Y168+Y175+Y184+Y188+Y194+Y202+Y207+Y213+Y219+Y225+Y231+Y235+Y242+Y246+Y252+Y265,"0")</f>
        <v>5292.56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5753.5468000000001</v>
      </c>
      <c r="Y267" s="268">
        <f>IFERROR(SUM(BN22:BN263),"0")</f>
        <v>5753.5468000000001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14</v>
      </c>
      <c r="Y268" s="38">
        <f>ROUNDUP(SUM(BP22:BP263),0)</f>
        <v>14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6103.5468000000001</v>
      </c>
      <c r="Y269" s="268">
        <f>GrossWeightTotalR+PalletQtyTotalR*25</f>
        <v>6103.5468000000001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1116</v>
      </c>
      <c r="Y270" s="268">
        <f>IFERROR(Y28+Y34+Y41+Y48+Y56+Y61+Y65+Y70+Y76+Y82+Y87+Y93+Y103+Y109+Y120+Y125+Y129+Y135+Y141+Y147+Y152+Y157+Y162+Y167+Y174+Y183+Y187+Y193+Y201+Y206+Y212+Y218+Y224+Y230+Y234+Y241+Y245+Y251+Y264,"0")</f>
        <v>1116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17.319580000000002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145</v>
      </c>
      <c r="I274" s="270" t="s">
        <v>152</v>
      </c>
      <c r="J274" s="270" t="s">
        <v>156</v>
      </c>
      <c r="K274" s="270" t="s">
        <v>164</v>
      </c>
      <c r="L274" s="270" t="s">
        <v>179</v>
      </c>
      <c r="M274" s="270" t="s">
        <v>185</v>
      </c>
      <c r="N274" s="264"/>
      <c r="O274" s="270" t="s">
        <v>213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21</v>
      </c>
      <c r="E276" s="46">
        <f>IFERROR(X45*H45,"0")+IFERROR(X46*H46,"0")+IFERROR(X47*H47,"0")</f>
        <v>67.199999999999989</v>
      </c>
      <c r="F276" s="46">
        <f>IFERROR(X52*H52,"0")+IFERROR(X53*H53,"0")+IFERROR(X54*H54,"0")+IFERROR(X55*H55,"0")</f>
        <v>588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420</v>
      </c>
      <c r="I276" s="46">
        <f>IFERROR(X86*H86,"0")</f>
        <v>0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376.32</v>
      </c>
      <c r="L276" s="46">
        <f>IFERROR(X107*H107,"0")+IFERROR(X108*H108,"0")</f>
        <v>50.4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1735.2</v>
      </c>
      <c r="N276" s="264"/>
      <c r="O276" s="46">
        <f>IFERROR(X133*H133,"0")+IFERROR(X134*H134,"0")</f>
        <v>294</v>
      </c>
      <c r="P276" s="46">
        <f>IFERROR(X139*H139,"0")+IFERROR(X140*H140,"0")</f>
        <v>168</v>
      </c>
      <c r="Q276" s="46">
        <f>IFERROR(X145*H145,"0")+IFERROR(X146*H146,"0")</f>
        <v>168</v>
      </c>
      <c r="R276" s="46">
        <f>IFERROR(X151*H151,"0")</f>
        <v>42</v>
      </c>
      <c r="S276" s="46">
        <f>IFERROR(X156*H156,"0")</f>
        <v>0</v>
      </c>
      <c r="T276" s="46">
        <f>IFERROR(X161*H161,"0")</f>
        <v>0</v>
      </c>
      <c r="U276" s="46">
        <f>IFERROR(X166*H166,"0")</f>
        <v>0</v>
      </c>
      <c r="V276" s="46">
        <f>IFERROR(X172*H172,"0")+IFERROR(X173*H173,"0")</f>
        <v>180</v>
      </c>
      <c r="W276" s="46">
        <f>IFERROR(X179*H179,"0")+IFERROR(X180*H180,"0")+IFERROR(X181*H181,"0")+IFERROR(X182*H182,"0")+IFERROR(X186*H186,"0")</f>
        <v>42</v>
      </c>
      <c r="X276" s="46">
        <f>IFERROR(X192*H192,"0")+IFERROR(X196*H196,"0")+IFERROR(X197*H197,"0")+IFERROR(X198*H198,"0")+IFERROR(X199*H199,"0")+IFERROR(X200*H200,"0")</f>
        <v>38.64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360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453.8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3604.7999999999997</v>
      </c>
      <c r="B279" s="60">
        <f>SUMPRODUCT(--(BB:BB="ПГП"),--(W:W="кор"),H:H,Y:Y)+SUMPRODUCT(--(BB:BB="ПГП"),--(W:W="кг"),Y:Y)</f>
        <v>1687.76</v>
      </c>
      <c r="C279" s="60">
        <f>SUMPRODUCT(--(BB:BB="КИЗ"),--(W:W="кор"),H:H,Y:Y)+SUMPRODUCT(--(BB:BB="КИЗ"),--(W:W="кг"),Y:Y)</f>
        <v>0</v>
      </c>
    </row>
  </sheetData>
  <sheetProtection algorithmName="SHA-512" hashValue="OrU0yAoe0kmbfOzRmFYrjd1dcxkwKNiOI+a2yGzlyG12RAp8dk0bFsuXm68pbgh09f/+7nAfbBb2ZX50nCIHzw==" saltValue="1saXBKAcs3ZdrH8r89GlG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6,00"/>
        <filter val="1 735,20"/>
        <filter val="12,00"/>
        <filter val="120,00"/>
        <filter val="126,00"/>
        <filter val="132,00"/>
        <filter val="14"/>
        <filter val="14,00"/>
        <filter val="168,00"/>
        <filter val="180,00"/>
        <filter val="201,60"/>
        <filter val="21,00"/>
        <filter val="24,00"/>
        <filter val="252,00"/>
        <filter val="28,00"/>
        <filter val="294,00"/>
        <filter val="36,00"/>
        <filter val="360,00"/>
        <filter val="376,32"/>
        <filter val="38,64"/>
        <filter val="42,00"/>
        <filter val="420,00"/>
        <filter val="5 292,56"/>
        <filter val="5 753,55"/>
        <filter val="50,40"/>
        <filter val="56,00"/>
        <filter val="588,00"/>
        <filter val="6 103,55"/>
        <filter val="67,20"/>
        <filter val="70,00"/>
        <filter val="72,00"/>
        <filter val="84,00"/>
        <filter val="86,40"/>
        <filter val="93,80"/>
        <filter val="98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4 X117 X123 X128 X139 X145:X146 X156 X161 X172 X182 X186 X196:X200 X210:X211 X217 X229 X233 X239 X250 X254 X257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3 X115:X116 X118:X119 X124 X133 X140 X151 X166 X173 X179:X181 X192 X205 X223 X240 X244 X248:X249 X255:X256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6KN5EOLjnWHRqEqw/l9k+rkjQf6PWaQLZX5Aa/ygOQnRkqgw2f38eVR/w2VioDqBRigJL1SDE0Cyr19mkklY1Q==" saltValue="CBrohds+WZ82CV1xxaDa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