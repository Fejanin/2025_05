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AAAE92-49EC-49A8-842C-92E3BB3184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63" i="1" s="1"/>
  <c r="Y253" i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Y251" i="1" s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Y239" i="1"/>
  <c r="BP239" i="1" s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P232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P222" i="1"/>
  <c r="X218" i="1"/>
  <c r="X217" i="1"/>
  <c r="BO216" i="1"/>
  <c r="BM216" i="1"/>
  <c r="Z216" i="1"/>
  <c r="Z217" i="1" s="1"/>
  <c r="Y216" i="1"/>
  <c r="Y218" i="1" s="1"/>
  <c r="P216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Y172" i="1"/>
  <c r="BP172" i="1" s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BP144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BP32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28" i="1" l="1"/>
  <c r="X267" i="1"/>
  <c r="Z34" i="1"/>
  <c r="BN32" i="1"/>
  <c r="Z41" i="1"/>
  <c r="Z48" i="1"/>
  <c r="BN45" i="1"/>
  <c r="BN47" i="1"/>
  <c r="Y56" i="1"/>
  <c r="Y71" i="1"/>
  <c r="BN69" i="1"/>
  <c r="Y77" i="1"/>
  <c r="Z82" i="1"/>
  <c r="BN80" i="1"/>
  <c r="BN172" i="1"/>
  <c r="Y182" i="1"/>
  <c r="Z182" i="1"/>
  <c r="BN185" i="1"/>
  <c r="BP185" i="1"/>
  <c r="Y186" i="1"/>
  <c r="BN191" i="1"/>
  <c r="BP191" i="1"/>
  <c r="Y192" i="1"/>
  <c r="Z200" i="1"/>
  <c r="BN195" i="1"/>
  <c r="BN197" i="1"/>
  <c r="BN199" i="1"/>
  <c r="BN239" i="1"/>
  <c r="Y183" i="1"/>
  <c r="Y29" i="1"/>
  <c r="X266" i="1"/>
  <c r="BN23" i="1"/>
  <c r="BN25" i="1"/>
  <c r="BN27" i="1"/>
  <c r="X265" i="1"/>
  <c r="Y34" i="1"/>
  <c r="Y42" i="1"/>
  <c r="BN40" i="1"/>
  <c r="Y49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BN123" i="1"/>
  <c r="BP123" i="1"/>
  <c r="Y124" i="1"/>
  <c r="BN127" i="1"/>
  <c r="BP127" i="1"/>
  <c r="Y128" i="1"/>
  <c r="Z134" i="1"/>
  <c r="BN132" i="1"/>
  <c r="Z146" i="1"/>
  <c r="BN144" i="1"/>
  <c r="Z173" i="1"/>
  <c r="BN178" i="1"/>
  <c r="BP178" i="1"/>
  <c r="BN180" i="1"/>
  <c r="BN204" i="1"/>
  <c r="BP204" i="1"/>
  <c r="Y205" i="1"/>
  <c r="Z211" i="1"/>
  <c r="BN209" i="1"/>
  <c r="Z240" i="1"/>
  <c r="BN243" i="1"/>
  <c r="BP243" i="1"/>
  <c r="Y244" i="1"/>
  <c r="Z250" i="1"/>
  <c r="BN247" i="1"/>
  <c r="BP247" i="1"/>
  <c r="BN249" i="1"/>
  <c r="Y263" i="1"/>
  <c r="Y264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Z270" i="1" l="1"/>
  <c r="X268" i="1"/>
  <c r="Y265" i="1"/>
  <c r="Y267" i="1"/>
  <c r="Y266" i="1"/>
  <c r="Y269" i="1"/>
  <c r="Y268" i="1" l="1"/>
  <c r="A278" i="1" s="1"/>
  <c r="C278" i="1"/>
  <c r="B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<sst xmlns="http://schemas.openxmlformats.org/spreadsheetml/2006/main" count="1199" uniqueCount="390">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</sst>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46048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0.45833333333333331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12</v>
      </c>
      <c r="Y26" s="265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12</v>
      </c>
      <c r="Y28" s="266">
        <f>IFERROR(SUM(Y22:Y27),"0")</f>
        <v>12</v>
      </c>
      <c r="Z28" s="266">
        <f>IFERROR(IF(Z22="",0,Z22),"0")+IFERROR(IF(Z23="",0,Z23),"0")+IFERROR(IF(Z24="",0,Z24),"0")+IFERROR(IF(Z25="",0,Z25),"0")+IFERROR(IF(Z26="",0,Z26),"0")+IFERROR(IF(Z27="",0,Z27),"0")</f>
        <v>0.186</v>
      </c>
      <c r="AA28" s="267"/>
      <c r="AB28" s="267"/>
      <c r="AC28" s="267"/>
    </row>
    <row r="29" spans="1:68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86.4</v>
      </c>
      <c r="Y29" s="266">
        <f>IFERROR(SUMPRODUCT(Y22:Y27*H22:H27),"0")</f>
        <v>86.4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28</v>
      </c>
      <c r="Y39" s="265">
        <f>IFERROR(IF(X39="","",X39),"")</f>
        <v>28</v>
      </c>
      <c r="Z39" s="36">
        <f>IFERROR(IF(X39="","",X39*0.00941),"")</f>
        <v>0.26347999999999999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53.810400000000001</v>
      </c>
      <c r="BN39" s="67">
        <f>IFERROR(Y39*I39,"0")</f>
        <v>53.810400000000001</v>
      </c>
      <c r="BO39" s="67">
        <f>IFERROR(X39/J39,"0")</f>
        <v>0.2</v>
      </c>
      <c r="BP39" s="67">
        <f>IFERROR(Y39/J39,"0")</f>
        <v>0.2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14</v>
      </c>
      <c r="Y40" s="265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42</v>
      </c>
      <c r="Y41" s="266">
        <f>IFERROR(SUM(Y39:Y40),"0")</f>
        <v>42</v>
      </c>
      <c r="Z41" s="266">
        <f>IFERROR(IF(Z39="",0,Z39),"0")+IFERROR(IF(Z40="",0,Z40),"0")</f>
        <v>0.39522000000000002</v>
      </c>
      <c r="AA41" s="267"/>
      <c r="AB41" s="267"/>
      <c r="AC41" s="2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63</v>
      </c>
      <c r="Y42" s="266">
        <f>IFERROR(SUMPRODUCT(Y39:Y40*H39:H40),"0")</f>
        <v>63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24</v>
      </c>
      <c r="Y45" s="265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24</v>
      </c>
      <c r="Y46" s="265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36</v>
      </c>
      <c r="Y47" s="265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84</v>
      </c>
      <c r="Y48" s="266">
        <f>IFERROR(SUM(Y45:Y47),"0")</f>
        <v>84</v>
      </c>
      <c r="Z48" s="266">
        <f>IFERROR(IF(Z45="",0,Z45),"0")+IFERROR(IF(Z46="",0,Z46),"0")+IFERROR(IF(Z47="",0,Z47),"0")</f>
        <v>1.302</v>
      </c>
      <c r="AA48" s="267"/>
      <c r="AB48" s="267"/>
      <c r="AC48" s="2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470.4</v>
      </c>
      <c r="Y49" s="266">
        <f>IFERROR(SUMPRODUCT(Y45:Y47*H45:H47),"0")</f>
        <v>470.4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12</v>
      </c>
      <c r="Y53" s="265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12</v>
      </c>
      <c r="Y56" s="266">
        <f>IFERROR(SUM(Y52:Y55),"0")</f>
        <v>12</v>
      </c>
      <c r="Z56" s="266">
        <f>IFERROR(IF(Z52="",0,Z52),"0")+IFERROR(IF(Z53="",0,Z53),"0")+IFERROR(IF(Z54="",0,Z54),"0")+IFERROR(IF(Z55="",0,Z55),"0")</f>
        <v>0.186</v>
      </c>
      <c r="AA56" s="267"/>
      <c r="AB56" s="267"/>
      <c r="AC56" s="2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84</v>
      </c>
      <c r="Y57" s="266">
        <f>IFERROR(SUMPRODUCT(Y52:Y55*H52:H55),"0")</f>
        <v>84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180</v>
      </c>
      <c r="Y81" s="265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180</v>
      </c>
      <c r="Y82" s="266">
        <f>IFERROR(SUM(Y80:Y81),"0")</f>
        <v>180</v>
      </c>
      <c r="Z82" s="266">
        <f>IFERROR(IF(Z80="",0,Z80),"0")+IFERROR(IF(Z81="",0,Z81),"0")</f>
        <v>1.5588</v>
      </c>
      <c r="AA82" s="267"/>
      <c r="AB82" s="267"/>
      <c r="AC82" s="2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900</v>
      </c>
      <c r="Y83" s="266">
        <f>IFERROR(SUMPRODUCT(Y80:Y81*H80:H81),"0")</f>
        <v>900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hidden="1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56</v>
      </c>
      <c r="Y91" s="265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28</v>
      </c>
      <c r="Y92" s="265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84</v>
      </c>
      <c r="Y93" s="266">
        <f>IFERROR(SUM(Y91:Y92),"0")</f>
        <v>84</v>
      </c>
      <c r="Z93" s="266">
        <f>IFERROR(IF(Z91="",0,Z91),"0")+IFERROR(IF(Z92="",0,Z92),"0")</f>
        <v>1.5019199999999999</v>
      </c>
      <c r="AA93" s="267"/>
      <c r="AB93" s="267"/>
      <c r="AC93" s="2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302.39999999999998</v>
      </c>
      <c r="Y94" s="266">
        <f>IFERROR(SUMPRODUCT(Y91:Y92*H91:H92),"0")</f>
        <v>302.39999999999998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14</v>
      </c>
      <c r="Y97" s="265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hidden="1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56</v>
      </c>
      <c r="Y99" s="265">
        <f t="shared" si="6"/>
        <v>56</v>
      </c>
      <c r="Z99" s="36">
        <f t="shared" si="7"/>
        <v>1.0012799999999999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56</v>
      </c>
      <c r="Y100" s="265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126</v>
      </c>
      <c r="Y103" s="266">
        <f>IFERROR(SUM(Y97:Y102),"0")</f>
        <v>126</v>
      </c>
      <c r="Z103" s="266">
        <f>IFERROR(IF(Z97="",0,Z97),"0")+IFERROR(IF(Z98="",0,Z98),"0")+IFERROR(IF(Z99="",0,Z99),"0")+IFERROR(IF(Z100="",0,Z100),"0")+IFERROR(IF(Z101="",0,Z101),"0")+IFERROR(IF(Z102="",0,Z102),"0")</f>
        <v>2.2528799999999998</v>
      </c>
      <c r="AA103" s="267"/>
      <c r="AB103" s="267"/>
      <c r="AC103" s="2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362.88</v>
      </c>
      <c r="Y104" s="266">
        <f>IFERROR(SUMPRODUCT(Y97:Y102*H97:H102),"0")</f>
        <v>362.88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42</v>
      </c>
      <c r="Y107" s="265">
        <f>IFERROR(IF(X107="","",X107),"")</f>
        <v>42</v>
      </c>
      <c r="Z107" s="36">
        <f>IFERROR(IF(X107="","",X107*0.00936),"")</f>
        <v>0.39312000000000002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104.63040000000001</v>
      </c>
      <c r="BN107" s="67">
        <f>IFERROR(Y107*I107,"0")</f>
        <v>104.63040000000001</v>
      </c>
      <c r="BO107" s="67">
        <f>IFERROR(X107/J107,"0")</f>
        <v>0.33333333333333331</v>
      </c>
      <c r="BP107" s="67">
        <f>IFERROR(Y107/J107,"0")</f>
        <v>0.33333333333333331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14</v>
      </c>
      <c r="Y108" s="265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56</v>
      </c>
      <c r="Y109" s="266">
        <f>IFERROR(SUM(Y107:Y108),"0")</f>
        <v>56</v>
      </c>
      <c r="Z109" s="266">
        <f>IFERROR(IF(Z107="",0,Z107),"0")+IFERROR(IF(Z108="",0,Z108),"0")</f>
        <v>0.64344000000000001</v>
      </c>
      <c r="AA109" s="267"/>
      <c r="AB109" s="267"/>
      <c r="AC109" s="2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141.12</v>
      </c>
      <c r="Y110" s="266">
        <f>IFERROR(SUMPRODUCT(Y107:Y108*H107:H108),"0")</f>
        <v>141.12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24</v>
      </c>
      <c r="Y113" s="265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24</v>
      </c>
      <c r="Y116" s="265">
        <f t="shared" si="12"/>
        <v>24</v>
      </c>
      <c r="Z116" s="36">
        <f t="shared" si="13"/>
        <v>0.372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96</v>
      </c>
      <c r="Y119" s="265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144</v>
      </c>
      <c r="Y120" s="266">
        <f>IFERROR(SUM(Y113:Y119),"0")</f>
        <v>144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67"/>
      <c r="AB120" s="267"/>
      <c r="AC120" s="267"/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1008</v>
      </c>
      <c r="Y121" s="266">
        <f>IFERROR(SUMPRODUCT(Y113:Y119*H113:H119),"0")</f>
        <v>1008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84</v>
      </c>
      <c r="Y132" s="265">
        <f>IFERROR(IF(X132="","",X132),"")</f>
        <v>84</v>
      </c>
      <c r="Z132" s="36">
        <f>IFERROR(IF(X132="","",X132*0.01788),"")</f>
        <v>1.5019199999999999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311.10239999999999</v>
      </c>
      <c r="BN132" s="67">
        <f>IFERROR(Y132*I132,"0")</f>
        <v>311.10239999999999</v>
      </c>
      <c r="BO132" s="67">
        <f>IFERROR(X132/J132,"0")</f>
        <v>1.2</v>
      </c>
      <c r="BP132" s="67">
        <f>IFERROR(Y132/J132,"0")</f>
        <v>1.2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42</v>
      </c>
      <c r="Y133" s="265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126</v>
      </c>
      <c r="Y134" s="266">
        <f>IFERROR(SUM(Y132:Y133),"0")</f>
        <v>126</v>
      </c>
      <c r="Z134" s="266">
        <f>IFERROR(IF(Z132="",0,Z132),"0")+IFERROR(IF(Z133="",0,Z133),"0")</f>
        <v>2.2528799999999998</v>
      </c>
      <c r="AA134" s="267"/>
      <c r="AB134" s="267"/>
      <c r="AC134" s="267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378</v>
      </c>
      <c r="Y135" s="266">
        <f>IFERROR(SUMPRODUCT(Y132:Y133*H132:H133),"0")</f>
        <v>378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hidden="1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14</v>
      </c>
      <c r="Y139" s="26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14</v>
      </c>
      <c r="Y140" s="266">
        <f>IFERROR(SUM(Y138:Y139),"0")</f>
        <v>14</v>
      </c>
      <c r="Z140" s="266">
        <f>IFERROR(IF(Z138="",0,Z138),"0")+IFERROR(IF(Z139="",0,Z139),"0")</f>
        <v>0.25031999999999999</v>
      </c>
      <c r="AA140" s="267"/>
      <c r="AB140" s="267"/>
      <c r="AC140" s="267"/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42</v>
      </c>
      <c r="Y141" s="266">
        <f>IFERROR(SUMPRODUCT(Y138:Y139*H138:H139),"0")</f>
        <v>42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14</v>
      </c>
      <c r="Y144" s="265">
        <f>IFERROR(IF(X144="","",X144),"")</f>
        <v>14</v>
      </c>
      <c r="Z144" s="36">
        <f>IFERROR(IF(X144="","",X144*0.01788),"")</f>
        <v>0.25031999999999999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37.520000000000003</v>
      </c>
      <c r="BN144" s="67">
        <f>IFERROR(Y144*I144,"0")</f>
        <v>37.520000000000003</v>
      </c>
      <c r="BO144" s="67">
        <f>IFERROR(X144/J144,"0")</f>
        <v>0.2</v>
      </c>
      <c r="BP144" s="67">
        <f>IFERROR(Y144/J144,"0")</f>
        <v>0.2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14</v>
      </c>
      <c r="Y145" s="26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28</v>
      </c>
      <c r="Y146" s="266">
        <f>IFERROR(SUM(Y144:Y145),"0")</f>
        <v>28</v>
      </c>
      <c r="Z146" s="266">
        <f>IFERROR(IF(Z144="",0,Z144),"0")+IFERROR(IF(Z145="",0,Z145),"0")</f>
        <v>0.50063999999999997</v>
      </c>
      <c r="AA146" s="267"/>
      <c r="AB146" s="267"/>
      <c r="AC146" s="2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67.2</v>
      </c>
      <c r="Y147" s="266">
        <f>IFERROR(SUMPRODUCT(Y144:Y145*H144:H145),"0")</f>
        <v>67.2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hidden="1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hidden="1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hidden="1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24</v>
      </c>
      <c r="Y172" s="265">
        <f>IFERROR(IF(X172="","",X172),"")</f>
        <v>24</v>
      </c>
      <c r="Z172" s="36">
        <f>IFERROR(IF(X172="","",X172*0.00866),"")</f>
        <v>0.20783999999999997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125.11679999999998</v>
      </c>
      <c r="BN172" s="67">
        <f>IFERROR(Y172*I172,"0")</f>
        <v>125.11679999999998</v>
      </c>
      <c r="BO172" s="67">
        <f>IFERROR(X172/J172,"0")</f>
        <v>0.16666666666666666</v>
      </c>
      <c r="BP172" s="67">
        <f>IFERROR(Y172/J172,"0")</f>
        <v>0.16666666666666666</v>
      </c>
    </row>
    <row r="173" spans="1:68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24</v>
      </c>
      <c r="Y173" s="266">
        <f>IFERROR(SUM(Y171:Y172),"0")</f>
        <v>24</v>
      </c>
      <c r="Z173" s="266">
        <f>IFERROR(IF(Z171="",0,Z171),"0")+IFERROR(IF(Z172="",0,Z172),"0")</f>
        <v>0.20783999999999997</v>
      </c>
      <c r="AA173" s="267"/>
      <c r="AB173" s="267"/>
      <c r="AC173" s="267"/>
    </row>
    <row r="174" spans="1:68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120</v>
      </c>
      <c r="Y174" s="266">
        <f>IFERROR(SUMPRODUCT(Y171:Y172*H171:H172),"0")</f>
        <v>120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56</v>
      </c>
      <c r="Y178" s="265">
        <f>IFERROR(IF(X178="","",X178),"")</f>
        <v>56</v>
      </c>
      <c r="Z178" s="36">
        <f>IFERROR(IF(X178="","",X178*0.01788),"")</f>
        <v>1.0012799999999999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189.72800000000001</v>
      </c>
      <c r="BN178" s="67">
        <f>IFERROR(Y178*I178,"0")</f>
        <v>189.72800000000001</v>
      </c>
      <c r="BO178" s="67">
        <f>IFERROR(X178/J178,"0")</f>
        <v>0.8</v>
      </c>
      <c r="BP178" s="67">
        <f>IFERROR(Y178/J178,"0")</f>
        <v>0.8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14</v>
      </c>
      <c r="Y179" s="265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28</v>
      </c>
      <c r="Y180" s="265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104.608</v>
      </c>
      <c r="BN180" s="67">
        <f>IFERROR(Y180*I180,"0")</f>
        <v>104.608</v>
      </c>
      <c r="BO180" s="67">
        <f>IFERROR(X180/J180,"0")</f>
        <v>0.4</v>
      </c>
      <c r="BP180" s="67">
        <f>IFERROR(Y180/J180,"0")</f>
        <v>0.4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98</v>
      </c>
      <c r="Y182" s="266">
        <f>IFERROR(SUM(Y178:Y181),"0")</f>
        <v>98</v>
      </c>
      <c r="Z182" s="266">
        <f>IFERROR(IF(Z178="",0,Z178),"0")+IFERROR(IF(Z179="",0,Z179),"0")+IFERROR(IF(Z180="",0,Z180),"0")+IFERROR(IF(Z181="",0,Z181),"0")</f>
        <v>1.7522399999999998</v>
      </c>
      <c r="AA182" s="267"/>
      <c r="AB182" s="267"/>
      <c r="AC182" s="2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294</v>
      </c>
      <c r="Y183" s="266">
        <f>IFERROR(SUMPRODUCT(Y178:Y181*H178:H181),"0")</f>
        <v>294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84</v>
      </c>
      <c r="Y191" s="265">
        <f>IFERROR(IF(X191="","",X191),"")</f>
        <v>84</v>
      </c>
      <c r="Z191" s="36">
        <f>IFERROR(IF(X191="","",X191*0.01788),"")</f>
        <v>1.5019199999999999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250.32</v>
      </c>
      <c r="BN191" s="67">
        <f>IFERROR(Y191*I191,"0")</f>
        <v>250.32</v>
      </c>
      <c r="BO191" s="67">
        <f>IFERROR(X191/J191,"0")</f>
        <v>1.2</v>
      </c>
      <c r="BP191" s="67">
        <f>IFERROR(Y191/J191,"0")</f>
        <v>1.2</v>
      </c>
    </row>
    <row r="192" spans="1:68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84</v>
      </c>
      <c r="Y192" s="266">
        <f>IFERROR(SUM(Y191:Y191),"0")</f>
        <v>84</v>
      </c>
      <c r="Z192" s="266">
        <f>IFERROR(IF(Z191="",0,Z191),"0")</f>
        <v>1.5019199999999999</v>
      </c>
      <c r="AA192" s="267"/>
      <c r="AB192" s="267"/>
      <c r="AC192" s="267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231.83999999999997</v>
      </c>
      <c r="Y193" s="266">
        <f>IFERROR(SUMPRODUCT(Y191:Y191*H191:H191),"0")</f>
        <v>231.83999999999997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192</v>
      </c>
      <c r="Y204" s="265">
        <f>IFERROR(IF(X204="","",X204),"")</f>
        <v>192</v>
      </c>
      <c r="Z204" s="36">
        <f>IFERROR(IF(X204="","",X204*0.0155),"")</f>
        <v>2.976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1004.1600000000001</v>
      </c>
      <c r="BN204" s="67">
        <f>IFERROR(Y204*I204,"0")</f>
        <v>1004.1600000000001</v>
      </c>
      <c r="BO204" s="67">
        <f>IFERROR(X204/J204,"0")</f>
        <v>2.2857142857142856</v>
      </c>
      <c r="BP204" s="67">
        <f>IFERROR(Y204/J204,"0")</f>
        <v>2.2857142857142856</v>
      </c>
    </row>
    <row r="205" spans="1:68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192</v>
      </c>
      <c r="Y205" s="266">
        <f>IFERROR(SUM(Y204:Y204),"0")</f>
        <v>192</v>
      </c>
      <c r="Z205" s="266">
        <f>IFERROR(IF(Z204="",0,Z204),"0")</f>
        <v>2.976</v>
      </c>
      <c r="AA205" s="267"/>
      <c r="AB205" s="267"/>
      <c r="AC205" s="267"/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960</v>
      </c>
      <c r="Y206" s="266">
        <f>IFERROR(SUMPRODUCT(Y204:Y204*H204:H204),"0")</f>
        <v>960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24</v>
      </c>
      <c r="Y243" s="265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150.24</v>
      </c>
      <c r="BN243" s="67">
        <f>IFERROR(Y243*I243,"0")</f>
        <v>150.24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24</v>
      </c>
      <c r="Y244" s="266">
        <f>IFERROR(SUM(Y243:Y243),"0")</f>
        <v>24</v>
      </c>
      <c r="Z244" s="266">
        <f>IFERROR(IF(Z243="",0,Z243),"0")</f>
        <v>0.372</v>
      </c>
      <c r="AA244" s="267"/>
      <c r="AB244" s="267"/>
      <c r="AC244" s="2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144</v>
      </c>
      <c r="Y245" s="266">
        <f>IFERROR(SUMPRODUCT(Y243:Y243*H243:H243),"0")</f>
        <v>144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14</v>
      </c>
      <c r="Y247" s="265">
        <f>IFERROR(IF(X247="","",X247),"")</f>
        <v>14</v>
      </c>
      <c r="Z247" s="36">
        <f>IFERROR(IF(X247="","",X247*0.00936),"")</f>
        <v>0.13103999999999999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40.468400000000003</v>
      </c>
      <c r="BN247" s="67">
        <f>IFERROR(Y247*I247,"0")</f>
        <v>40.468400000000003</v>
      </c>
      <c r="BO247" s="67">
        <f>IFERROR(X247/J247,"0")</f>
        <v>0.1111111111111111</v>
      </c>
      <c r="BP247" s="67">
        <f>IFERROR(Y247/J247,"0")</f>
        <v>0.1111111111111111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96</v>
      </c>
      <c r="Y248" s="265">
        <f>IFERROR(IF(X248="","",X248),"")</f>
        <v>96</v>
      </c>
      <c r="Z248" s="36">
        <f>IFERROR(IF(X248="","",X248*0.0155),"")</f>
        <v>1.488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502.56000000000006</v>
      </c>
      <c r="BN248" s="67">
        <f>IFERROR(Y248*I248,"0")</f>
        <v>502.56000000000006</v>
      </c>
      <c r="BO248" s="67">
        <f>IFERROR(X248/J248,"0")</f>
        <v>1.1428571428571428</v>
      </c>
      <c r="BP248" s="67">
        <f>IFERROR(Y248/J248,"0")</f>
        <v>1.1428571428571428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110</v>
      </c>
      <c r="Y250" s="266">
        <f>IFERROR(SUM(Y247:Y249),"0")</f>
        <v>110</v>
      </c>
      <c r="Z250" s="266">
        <f>IFERROR(IF(Z247="",0,Z247),"0")+IFERROR(IF(Z248="",0,Z248),"0")+IFERROR(IF(Z249="",0,Z249),"0")</f>
        <v>1.61904</v>
      </c>
      <c r="AA250" s="267"/>
      <c r="AB250" s="267"/>
      <c r="AC250" s="267"/>
    </row>
    <row r="251" spans="1:68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517.79999999999995</v>
      </c>
      <c r="Y251" s="266">
        <f>IFERROR(SUMPRODUCT(Y247:Y249*H247:H249),"0")</f>
        <v>517.79999999999995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12</v>
      </c>
      <c r="Y255" s="265">
        <f t="shared" si="18"/>
        <v>12</v>
      </c>
      <c r="Z255" s="36">
        <f>IFERROR(IF(X255="","",X255*0.0155),"")</f>
        <v>0.186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68.820000000000007</v>
      </c>
      <c r="BN255" s="67">
        <f t="shared" si="20"/>
        <v>68.820000000000007</v>
      </c>
      <c r="BO255" s="67">
        <f t="shared" si="21"/>
        <v>0.14285714285714285</v>
      </c>
      <c r="BP255" s="67">
        <f t="shared" si="22"/>
        <v>0.14285714285714285</v>
      </c>
    </row>
    <row r="256" spans="1:68" ht="27" hidden="1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56</v>
      </c>
      <c r="Y257" s="265">
        <f t="shared" si="18"/>
        <v>56</v>
      </c>
      <c r="Z257" s="36">
        <f t="shared" si="23"/>
        <v>0.52415999999999996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217.952</v>
      </c>
      <c r="BN257" s="67">
        <f t="shared" si="20"/>
        <v>217.952</v>
      </c>
      <c r="BO257" s="67">
        <f t="shared" si="21"/>
        <v>0.44444444444444442</v>
      </c>
      <c r="BP257" s="67">
        <f t="shared" si="22"/>
        <v>0.44444444444444442</v>
      </c>
    </row>
    <row r="258" spans="1:68" ht="37.5" hidden="1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68</v>
      </c>
      <c r="Y263" s="266">
        <f>IFERROR(SUM(Y253:Y262),"0")</f>
        <v>68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0.7101599999999999</v>
      </c>
      <c r="AA263" s="267"/>
      <c r="AB263" s="267"/>
      <c r="AC263" s="267"/>
    </row>
    <row r="264" spans="1:68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273.20000000000005</v>
      </c>
      <c r="Y264" s="266">
        <f>IFERROR(SUMPRODUCT(Y253:Y262*H253:H262),"0")</f>
        <v>273.20000000000005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6446.24</v>
      </c>
      <c r="Y265" s="266">
        <f>IFERROR(Y29+Y35+Y42+Y49+Y57+Y62+Y66+Y71+Y77+Y83+Y88+Y94+Y104+Y110+Y121+Y125+Y129+Y135+Y141+Y147+Y152+Y157+Y162+Y167+Y174+Y183+Y187+Y193+Y201+Y206+Y212+Y218+Y224+Y230+Y234+Y241+Y245+Y251+Y264,"0")</f>
        <v>6446.24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7011.9951999999994</v>
      </c>
      <c r="Y266" s="266">
        <f>IFERROR(SUM(BN22:BN262),"0")</f>
        <v>7011.9951999999994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18</v>
      </c>
      <c r="Y267" s="38">
        <f>ROUNDUP(SUM(BP22:BP262),0)</f>
        <v>18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7461.9951999999994</v>
      </c>
      <c r="Y268" s="266">
        <f>GrossWeightTotalR+PalletQtyTotalR*25</f>
        <v>7461.9951999999994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1508</v>
      </c>
      <c r="Y269" s="266">
        <f>IFERROR(Y28+Y34+Y41+Y48+Y56+Y61+Y65+Y70+Y76+Y82+Y87+Y93+Y103+Y109+Y120+Y124+Y128+Y134+Y140+Y146+Y151+Y156+Y161+Y166+Y173+Y182+Y186+Y192+Y200+Y205+Y211+Y217+Y223+Y229+Y233+Y240+Y244+Y250+Y263,"0")</f>
        <v>1508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22.401299999999996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86.4</v>
      </c>
      <c r="C275" s="46">
        <f>IFERROR(X32*H32,"0")+IFERROR(X33*H33,"0")</f>
        <v>0</v>
      </c>
      <c r="D275" s="46">
        <f>IFERROR(X39*H39,"0")+IFERROR(X40*H40,"0")</f>
        <v>63</v>
      </c>
      <c r="E275" s="46">
        <f>IFERROR(X45*H45,"0")+IFERROR(X46*H46,"0")+IFERROR(X47*H47,"0")</f>
        <v>470.4</v>
      </c>
      <c r="F275" s="46">
        <f>IFERROR(X52*H52,"0")+IFERROR(X53*H53,"0")+IFERROR(X54*H54,"0")+IFERROR(X55*H55,"0")</f>
        <v>84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900</v>
      </c>
      <c r="I275" s="46">
        <f>IFERROR(X86*H86,"0")</f>
        <v>0</v>
      </c>
      <c r="J275" s="46">
        <f>IFERROR(X91*H91,"0")+IFERROR(X92*H92,"0")</f>
        <v>302.39999999999998</v>
      </c>
      <c r="K275" s="46">
        <f>IFERROR(X97*H97,"0")+IFERROR(X98*H98,"0")+IFERROR(X99*H99,"0")+IFERROR(X100*H100,"0")+IFERROR(X101*H101,"0")+IFERROR(X102*H102,"0")</f>
        <v>362.88</v>
      </c>
      <c r="L275" s="46">
        <f>IFERROR(X107*H107,"0")+IFERROR(X108*H108,"0")</f>
        <v>141.12</v>
      </c>
      <c r="M275" s="46">
        <f>IFERROR(X113*H113,"0")+IFERROR(X114*H114,"0")+IFERROR(X115*H115,"0")+IFERROR(X116*H116,"0")+IFERROR(X117*H117,"0")+IFERROR(X118*H118,"0")+IFERROR(X119*H119,"0")+IFERROR(X123*H123,"0")+IFERROR(X127*H127,"0")</f>
        <v>1008</v>
      </c>
      <c r="N275" s="262"/>
      <c r="O275" s="46">
        <f>IFERROR(X132*H132,"0")+IFERROR(X133*H133,"0")</f>
        <v>378</v>
      </c>
      <c r="P275" s="46">
        <f>IFERROR(X138*H138,"0")+IFERROR(X139*H139,"0")</f>
        <v>42</v>
      </c>
      <c r="Q275" s="46">
        <f>IFERROR(X144*H144,"0")+IFERROR(X145*H145,"0")</f>
        <v>67.2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120</v>
      </c>
      <c r="W275" s="46">
        <f>IFERROR(X178*H178,"0")+IFERROR(X179*H179,"0")+IFERROR(X180*H180,"0")+IFERROR(X181*H181,"0")+IFERROR(X185*H185,"0")</f>
        <v>294</v>
      </c>
      <c r="X275" s="46">
        <f>IFERROR(X191*H191,"0")+IFERROR(X195*H195,"0")+IFERROR(X196*H196,"0")+IFERROR(X197*H197,"0")+IFERROR(X198*H198,"0")+IFERROR(X199*H199,"0")</f>
        <v>231.83999999999997</v>
      </c>
      <c r="Y275" s="46">
        <f>IFERROR(X204*H204,"0")</f>
        <v>960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935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3628.8</v>
      </c>
      <c r="B278" s="60">
        <f>SUMPRODUCT(--(BB:BB="ПГП"),--(W:W="кор"),H:H,Y:Y)+SUMPRODUCT(--(BB:BB="ПГП"),--(W:W="кг"),Y:Y)</f>
        <v>2817.4399999999996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508,00"/>
        <filter val="110,00"/>
        <filter val="12,00"/>
        <filter val="120,00"/>
        <filter val="126,00"/>
        <filter val="14,00"/>
        <filter val="141,12"/>
        <filter val="144,00"/>
        <filter val="18"/>
        <filter val="180,00"/>
        <filter val="192,00"/>
        <filter val="231,84"/>
        <filter val="24,00"/>
        <filter val="273,20"/>
        <filter val="28,00"/>
        <filter val="294,00"/>
        <filter val="302,40"/>
        <filter val="36,00"/>
        <filter val="362,88"/>
        <filter val="378,00"/>
        <filter val="42,00"/>
        <filter val="470,40"/>
        <filter val="517,80"/>
        <filter val="56,00"/>
        <filter val="6 446,24"/>
        <filter val="63,00"/>
        <filter val="67,20"/>
        <filter val="68,00"/>
        <filter val="7 012,00"/>
        <filter val="7 462,00"/>
        <filter val="84,00"/>
        <filter val="86,40"/>
        <filter val="900,00"/>
        <filter val="96,00"/>
        <filter val="960,00"/>
        <filter val="98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