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5C135C9-906C-488A-8521-D37EC26DA6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64" i="1" s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BO248" i="1"/>
  <c r="BM248" i="1"/>
  <c r="Z248" i="1"/>
  <c r="Y248" i="1"/>
  <c r="Y252" i="1" s="1"/>
  <c r="P248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Y240" i="1"/>
  <c r="BP240" i="1" s="1"/>
  <c r="P240" i="1"/>
  <c r="BO239" i="1"/>
  <c r="BM239" i="1"/>
  <c r="Z239" i="1"/>
  <c r="Y239" i="1"/>
  <c r="P239" i="1"/>
  <c r="X235" i="1"/>
  <c r="X234" i="1"/>
  <c r="BO233" i="1"/>
  <c r="BM233" i="1"/>
  <c r="Z233" i="1"/>
  <c r="Z234" i="1" s="1"/>
  <c r="Y233" i="1"/>
  <c r="P233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P223" i="1"/>
  <c r="X219" i="1"/>
  <c r="X218" i="1"/>
  <c r="BO217" i="1"/>
  <c r="BM217" i="1"/>
  <c r="Z217" i="1"/>
  <c r="Z218" i="1" s="1"/>
  <c r="Y217" i="1"/>
  <c r="Y219" i="1" s="1"/>
  <c r="P217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Y124" i="1"/>
  <c r="BP124" i="1" s="1"/>
  <c r="P124" i="1"/>
  <c r="BO123" i="1"/>
  <c r="BM123" i="1"/>
  <c r="Z123" i="1"/>
  <c r="Y123" i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J9" i="1" l="1"/>
  <c r="Z28" i="1"/>
  <c r="BN22" i="1"/>
  <c r="BN24" i="1"/>
  <c r="BN26" i="1"/>
  <c r="X270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Y126" i="1"/>
  <c r="BN124" i="1"/>
  <c r="BN173" i="1"/>
  <c r="Y183" i="1"/>
  <c r="Z183" i="1"/>
  <c r="BN186" i="1"/>
  <c r="BP186" i="1"/>
  <c r="Y187" i="1"/>
  <c r="BN192" i="1"/>
  <c r="BP192" i="1"/>
  <c r="Y193" i="1"/>
  <c r="Z201" i="1"/>
  <c r="BN196" i="1"/>
  <c r="BN198" i="1"/>
  <c r="BN200" i="1"/>
  <c r="BN240" i="1"/>
  <c r="Y184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0" i="1"/>
  <c r="Z120" i="1"/>
  <c r="BN114" i="1"/>
  <c r="BN116" i="1"/>
  <c r="BN118" i="1"/>
  <c r="Z125" i="1"/>
  <c r="BN128" i="1"/>
  <c r="BP128" i="1"/>
  <c r="Y129" i="1"/>
  <c r="Z135" i="1"/>
  <c r="BN133" i="1"/>
  <c r="Z147" i="1"/>
  <c r="BN145" i="1"/>
  <c r="Z174" i="1"/>
  <c r="BN179" i="1"/>
  <c r="BP179" i="1"/>
  <c r="BN181" i="1"/>
  <c r="BN205" i="1"/>
  <c r="BP205" i="1"/>
  <c r="Y206" i="1"/>
  <c r="Z212" i="1"/>
  <c r="BN210" i="1"/>
  <c r="Z241" i="1"/>
  <c r="BN244" i="1"/>
  <c r="BP244" i="1"/>
  <c r="Y245" i="1"/>
  <c r="Z251" i="1"/>
  <c r="BN248" i="1"/>
  <c r="BP248" i="1"/>
  <c r="BN250" i="1"/>
  <c r="Y264" i="1"/>
  <c r="Y265" i="1"/>
  <c r="Y29" i="1"/>
  <c r="Y34" i="1"/>
  <c r="Y42" i="1"/>
  <c r="Y49" i="1"/>
  <c r="Y56" i="1"/>
  <c r="Y71" i="1"/>
  <c r="Y77" i="1"/>
  <c r="Y82" i="1"/>
  <c r="Y94" i="1"/>
  <c r="Y103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H9" i="1"/>
  <c r="X267" i="1"/>
  <c r="X268" i="1"/>
  <c r="BN23" i="1"/>
  <c r="BN25" i="1"/>
  <c r="BN27" i="1"/>
  <c r="X266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Y135" i="1"/>
  <c r="BN134" i="1"/>
  <c r="Z141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2" i="1"/>
  <c r="Y213" i="1"/>
  <c r="Y218" i="1"/>
  <c r="BP217" i="1"/>
  <c r="BN217" i="1"/>
  <c r="Y225" i="1"/>
  <c r="Y230" i="1"/>
  <c r="BP229" i="1"/>
  <c r="BN229" i="1"/>
  <c r="Y235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Z271" i="1" l="1"/>
  <c r="Y267" i="1"/>
  <c r="Y268" i="1"/>
  <c r="Y270" i="1"/>
  <c r="X269" i="1"/>
  <c r="Y266" i="1"/>
  <c r="Y269" i="1" l="1"/>
  <c r="C279" i="1"/>
  <c r="B279" i="1"/>
  <c r="A279" i="1"/>
</calcChain>
</file>

<file path=xl/sharedStrings.xml><?xml version="1.0" encoding="utf-8"?>
<sst xmlns="http://schemas.openxmlformats.org/spreadsheetml/2006/main" count="1208" uniqueCount="393">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</sst>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9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24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85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1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28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4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9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59" customWidth="1"/>
    <col min="19" max="19" width="6.140625" style="2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59" customWidth="1"/>
    <col min="25" max="25" width="11" style="259" customWidth="1"/>
    <col min="26" max="26" width="10" style="259" customWidth="1"/>
    <col min="27" max="27" width="11.5703125" style="259" customWidth="1"/>
    <col min="28" max="28" width="10.42578125" style="259" customWidth="1"/>
    <col min="29" max="29" width="30" style="2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59" customWidth="1"/>
    <col min="34" max="34" width="9.140625" style="259" customWidth="1"/>
    <col min="35" max="16384" width="9.140625" style="259"/>
  </cols>
  <sheetData>
    <row r="1" spans="1:32" s="263" customFormat="1" ht="45" customHeight="1" x14ac:dyDescent="0.2">
      <c r="A1" s="41"/>
      <c r="B1" s="41"/>
      <c r="C1" s="41"/>
      <c r="D1" s="315" t="s">
        <v>0</v>
      </c>
      <c r="E1" s="316"/>
      <c r="F1" s="316"/>
      <c r="G1" s="12" t="s">
        <v>1</v>
      </c>
      <c r="H1" s="315" t="s">
        <v>2</v>
      </c>
      <c r="I1" s="316"/>
      <c r="J1" s="316"/>
      <c r="K1" s="316"/>
      <c r="L1" s="316"/>
      <c r="M1" s="316"/>
      <c r="N1" s="316"/>
      <c r="O1" s="316"/>
      <c r="P1" s="316"/>
      <c r="Q1" s="316"/>
      <c r="R1" s="323" t="s">
        <v>3</v>
      </c>
      <c r="S1" s="316"/>
      <c r="T1" s="31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3" customFormat="1" ht="23.45" customHeight="1" x14ac:dyDescent="0.2">
      <c r="A5" s="342" t="s">
        <v>8</v>
      </c>
      <c r="B5" s="330"/>
      <c r="C5" s="331"/>
      <c r="D5" s="325"/>
      <c r="E5" s="326"/>
      <c r="F5" s="435" t="s">
        <v>9</v>
      </c>
      <c r="G5" s="331"/>
      <c r="H5" s="325" t="s">
        <v>392</v>
      </c>
      <c r="I5" s="429"/>
      <c r="J5" s="429"/>
      <c r="K5" s="429"/>
      <c r="L5" s="429"/>
      <c r="M5" s="326"/>
      <c r="N5" s="61"/>
      <c r="P5" s="24" t="s">
        <v>10</v>
      </c>
      <c r="Q5" s="426">
        <v>46048</v>
      </c>
      <c r="R5" s="340"/>
      <c r="T5" s="355" t="s">
        <v>11</v>
      </c>
      <c r="U5" s="350"/>
      <c r="V5" s="356" t="s">
        <v>12</v>
      </c>
      <c r="W5" s="340"/>
      <c r="AB5" s="51"/>
      <c r="AC5" s="51"/>
      <c r="AD5" s="51"/>
      <c r="AE5" s="51"/>
    </row>
    <row r="6" spans="1:32" s="263" customFormat="1" ht="24" customHeight="1" x14ac:dyDescent="0.2">
      <c r="A6" s="342" t="s">
        <v>13</v>
      </c>
      <c r="B6" s="330"/>
      <c r="C6" s="331"/>
      <c r="D6" s="448" t="s">
        <v>14</v>
      </c>
      <c r="E6" s="449"/>
      <c r="F6" s="449"/>
      <c r="G6" s="449"/>
      <c r="H6" s="449"/>
      <c r="I6" s="449"/>
      <c r="J6" s="449"/>
      <c r="K6" s="449"/>
      <c r="L6" s="449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9"/>
      <c r="T6" s="349" t="s">
        <v>16</v>
      </c>
      <c r="U6" s="350"/>
      <c r="V6" s="401" t="s">
        <v>17</v>
      </c>
      <c r="W6" s="309"/>
      <c r="AB6" s="51"/>
      <c r="AC6" s="51"/>
      <c r="AD6" s="51"/>
      <c r="AE6" s="51"/>
    </row>
    <row r="7" spans="1:32" s="263" customFormat="1" ht="21.75" hidden="1" customHeight="1" x14ac:dyDescent="0.2">
      <c r="A7" s="55"/>
      <c r="B7" s="55"/>
      <c r="C7" s="55"/>
      <c r="D7" s="292" t="str">
        <f>IFERROR(VLOOKUP(DeliveryAddress,Table,3,0),1)</f>
        <v>1</v>
      </c>
      <c r="E7" s="293"/>
      <c r="F7" s="293"/>
      <c r="G7" s="293"/>
      <c r="H7" s="293"/>
      <c r="I7" s="293"/>
      <c r="J7" s="293"/>
      <c r="K7" s="293"/>
      <c r="L7" s="293"/>
      <c r="M7" s="294"/>
      <c r="N7" s="63"/>
      <c r="P7" s="24"/>
      <c r="Q7" s="42"/>
      <c r="R7" s="42"/>
      <c r="T7" s="285"/>
      <c r="U7" s="350"/>
      <c r="V7" s="402"/>
      <c r="W7" s="403"/>
      <c r="AB7" s="51"/>
      <c r="AC7" s="51"/>
      <c r="AD7" s="51"/>
      <c r="AE7" s="51"/>
    </row>
    <row r="8" spans="1:32" s="263" customFormat="1" ht="25.5" customHeight="1" x14ac:dyDescent="0.2">
      <c r="A8" s="441" t="s">
        <v>18</v>
      </c>
      <c r="B8" s="274"/>
      <c r="C8" s="275"/>
      <c r="D8" s="296" t="s">
        <v>19</v>
      </c>
      <c r="E8" s="297"/>
      <c r="F8" s="297"/>
      <c r="G8" s="297"/>
      <c r="H8" s="297"/>
      <c r="I8" s="297"/>
      <c r="J8" s="297"/>
      <c r="K8" s="297"/>
      <c r="L8" s="297"/>
      <c r="M8" s="298"/>
      <c r="N8" s="64"/>
      <c r="P8" s="24" t="s">
        <v>20</v>
      </c>
      <c r="Q8" s="348">
        <v>0.5</v>
      </c>
      <c r="R8" s="294"/>
      <c r="T8" s="285"/>
      <c r="U8" s="350"/>
      <c r="V8" s="402"/>
      <c r="W8" s="403"/>
      <c r="AB8" s="51"/>
      <c r="AC8" s="51"/>
      <c r="AD8" s="51"/>
      <c r="AE8" s="51"/>
    </row>
    <row r="9" spans="1:32" s="263" customFormat="1" ht="39.950000000000003" customHeight="1" x14ac:dyDescent="0.2">
      <c r="A9" s="3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61"/>
      <c r="E9" s="281"/>
      <c r="F9" s="3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4"/>
      <c r="P9" s="26" t="s">
        <v>21</v>
      </c>
      <c r="Q9" s="304"/>
      <c r="R9" s="305"/>
      <c r="T9" s="285"/>
      <c r="U9" s="350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3" customFormat="1" ht="26.45" customHeight="1" x14ac:dyDescent="0.2">
      <c r="A10" s="3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61"/>
      <c r="E10" s="281"/>
      <c r="F10" s="3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3" t="str">
        <f>IFERROR(VLOOKUP($D$10,Proxy,2,FALSE),"")</f>
        <v/>
      </c>
      <c r="I10" s="285"/>
      <c r="J10" s="285"/>
      <c r="K10" s="285"/>
      <c r="L10" s="285"/>
      <c r="M10" s="285"/>
      <c r="N10" s="262"/>
      <c r="P10" s="26" t="s">
        <v>22</v>
      </c>
      <c r="Q10" s="351"/>
      <c r="R10" s="352"/>
      <c r="U10" s="24" t="s">
        <v>23</v>
      </c>
      <c r="V10" s="308" t="s">
        <v>24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28" t="s">
        <v>28</v>
      </c>
      <c r="W11" s="305"/>
      <c r="X11" s="45"/>
      <c r="Y11" s="45"/>
      <c r="Z11" s="45"/>
      <c r="AA11" s="45"/>
      <c r="AB11" s="51"/>
      <c r="AC11" s="51"/>
      <c r="AD11" s="51"/>
      <c r="AE11" s="51"/>
    </row>
    <row r="12" spans="1:32" s="263" customFormat="1" ht="18.600000000000001" customHeight="1" x14ac:dyDescent="0.2">
      <c r="A12" s="367" t="s">
        <v>29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1"/>
      <c r="N12" s="65"/>
      <c r="P12" s="24" t="s">
        <v>30</v>
      </c>
      <c r="Q12" s="348"/>
      <c r="R12" s="294"/>
      <c r="S12" s="23"/>
      <c r="U12" s="24"/>
      <c r="V12" s="316"/>
      <c r="W12" s="285"/>
      <c r="AB12" s="51"/>
      <c r="AC12" s="51"/>
      <c r="AD12" s="51"/>
      <c r="AE12" s="51"/>
    </row>
    <row r="13" spans="1:32" s="263" customFormat="1" ht="23.25" customHeight="1" x14ac:dyDescent="0.2">
      <c r="A13" s="367" t="s">
        <v>31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1"/>
      <c r="N13" s="65"/>
      <c r="O13" s="26"/>
      <c r="P13" s="26" t="s">
        <v>32</v>
      </c>
      <c r="Q13" s="428"/>
      <c r="R13" s="30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3" customFormat="1" ht="18.600000000000001" customHeight="1" x14ac:dyDescent="0.2">
      <c r="A14" s="367" t="s">
        <v>33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3" customFormat="1" ht="22.5" customHeight="1" x14ac:dyDescent="0.2">
      <c r="A15" s="381" t="s">
        <v>34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1"/>
      <c r="N15" s="66"/>
      <c r="P15" s="370" t="s">
        <v>35</v>
      </c>
      <c r="Q15" s="316"/>
      <c r="R15" s="316"/>
      <c r="S15" s="316"/>
      <c r="T15" s="31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0" t="s">
        <v>36</v>
      </c>
      <c r="B17" s="290" t="s">
        <v>37</v>
      </c>
      <c r="C17" s="354" t="s">
        <v>38</v>
      </c>
      <c r="D17" s="290" t="s">
        <v>39</v>
      </c>
      <c r="E17" s="300"/>
      <c r="F17" s="290" t="s">
        <v>40</v>
      </c>
      <c r="G17" s="290" t="s">
        <v>41</v>
      </c>
      <c r="H17" s="290" t="s">
        <v>42</v>
      </c>
      <c r="I17" s="290" t="s">
        <v>43</v>
      </c>
      <c r="J17" s="290" t="s">
        <v>44</v>
      </c>
      <c r="K17" s="290" t="s">
        <v>45</v>
      </c>
      <c r="L17" s="290" t="s">
        <v>46</v>
      </c>
      <c r="M17" s="290" t="s">
        <v>47</v>
      </c>
      <c r="N17" s="290" t="s">
        <v>48</v>
      </c>
      <c r="O17" s="290" t="s">
        <v>49</v>
      </c>
      <c r="P17" s="290" t="s">
        <v>50</v>
      </c>
      <c r="Q17" s="299"/>
      <c r="R17" s="299"/>
      <c r="S17" s="299"/>
      <c r="T17" s="300"/>
      <c r="U17" s="452" t="s">
        <v>51</v>
      </c>
      <c r="V17" s="331"/>
      <c r="W17" s="290" t="s">
        <v>52</v>
      </c>
      <c r="X17" s="290" t="s">
        <v>53</v>
      </c>
      <c r="Y17" s="453" t="s">
        <v>54</v>
      </c>
      <c r="Z17" s="411" t="s">
        <v>55</v>
      </c>
      <c r="AA17" s="394" t="s">
        <v>56</v>
      </c>
      <c r="AB17" s="394" t="s">
        <v>57</v>
      </c>
      <c r="AC17" s="394" t="s">
        <v>58</v>
      </c>
      <c r="AD17" s="394" t="s">
        <v>59</v>
      </c>
      <c r="AE17" s="430"/>
      <c r="AF17" s="431"/>
      <c r="AG17" s="69"/>
      <c r="BD17" s="68" t="s">
        <v>60</v>
      </c>
    </row>
    <row r="18" spans="1:68" ht="14.25" customHeight="1" x14ac:dyDescent="0.2">
      <c r="A18" s="291"/>
      <c r="B18" s="291"/>
      <c r="C18" s="291"/>
      <c r="D18" s="301"/>
      <c r="E18" s="303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301"/>
      <c r="Q18" s="302"/>
      <c r="R18" s="302"/>
      <c r="S18" s="302"/>
      <c r="T18" s="303"/>
      <c r="U18" s="70" t="s">
        <v>61</v>
      </c>
      <c r="V18" s="70" t="s">
        <v>62</v>
      </c>
      <c r="W18" s="291"/>
      <c r="X18" s="291"/>
      <c r="Y18" s="454"/>
      <c r="Z18" s="412"/>
      <c r="AA18" s="395"/>
      <c r="AB18" s="395"/>
      <c r="AC18" s="395"/>
      <c r="AD18" s="432"/>
      <c r="AE18" s="433"/>
      <c r="AF18" s="434"/>
      <c r="AG18" s="69"/>
      <c r="BD18" s="68"/>
    </row>
    <row r="19" spans="1:68" ht="27.75" hidden="1" customHeight="1" x14ac:dyDescent="0.2">
      <c r="A19" s="282" t="s">
        <v>63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hidden="1" customHeight="1" x14ac:dyDescent="0.25">
      <c r="A20" s="284" t="s">
        <v>63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1"/>
      <c r="AB20" s="261"/>
      <c r="AC20" s="261"/>
    </row>
    <row r="21" spans="1:68" ht="14.25" hidden="1" customHeight="1" x14ac:dyDescent="0.25">
      <c r="A21" s="312" t="s">
        <v>64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0"/>
      <c r="AB21" s="260"/>
      <c r="AC21" s="260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8">
        <v>4607111035912</v>
      </c>
      <c r="E22" s="279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1"/>
      <c r="R22" s="271"/>
      <c r="S22" s="271"/>
      <c r="T22" s="272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8">
        <v>4607111035103</v>
      </c>
      <c r="E23" s="279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74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1"/>
      <c r="R23" s="271"/>
      <c r="S23" s="271"/>
      <c r="T23" s="272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8">
        <v>4607111035929</v>
      </c>
      <c r="E24" s="279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1"/>
      <c r="R24" s="271"/>
      <c r="S24" s="271"/>
      <c r="T24" s="272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8">
        <v>4607111035882</v>
      </c>
      <c r="E25" s="279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1"/>
      <c r="R25" s="271"/>
      <c r="S25" s="271"/>
      <c r="T25" s="272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8">
        <v>4607111035110</v>
      </c>
      <c r="E26" s="279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1"/>
      <c r="R26" s="271"/>
      <c r="S26" s="271"/>
      <c r="T26" s="272"/>
      <c r="U26" s="34"/>
      <c r="V26" s="34"/>
      <c r="W26" s="35" t="s">
        <v>70</v>
      </c>
      <c r="X26" s="266">
        <v>0</v>
      </c>
      <c r="Y26" s="267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8">
        <v>4607111035905</v>
      </c>
      <c r="E27" s="279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9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1"/>
      <c r="R27" s="271"/>
      <c r="S27" s="271"/>
      <c r="T27" s="272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86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7"/>
      <c r="P28" s="273" t="s">
        <v>83</v>
      </c>
      <c r="Q28" s="274"/>
      <c r="R28" s="274"/>
      <c r="S28" s="274"/>
      <c r="T28" s="274"/>
      <c r="U28" s="274"/>
      <c r="V28" s="275"/>
      <c r="W28" s="37" t="s">
        <v>70</v>
      </c>
      <c r="X28" s="268">
        <f>IFERROR(SUM(X22:X27),"0")</f>
        <v>0</v>
      </c>
      <c r="Y28" s="268">
        <f>IFERROR(SUM(Y22:Y27),"0")</f>
        <v>0</v>
      </c>
      <c r="Z28" s="268">
        <f>IFERROR(IF(Z22="",0,Z22),"0")+IFERROR(IF(Z23="",0,Z23),"0")+IFERROR(IF(Z24="",0,Z24),"0")+IFERROR(IF(Z25="",0,Z25),"0")+IFERROR(IF(Z26="",0,Z26),"0")+IFERROR(IF(Z27="",0,Z27),"0")</f>
        <v>0</v>
      </c>
      <c r="AA28" s="269"/>
      <c r="AB28" s="269"/>
      <c r="AC28" s="269"/>
    </row>
    <row r="29" spans="1:68" hidden="1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7"/>
      <c r="P29" s="273" t="s">
        <v>83</v>
      </c>
      <c r="Q29" s="274"/>
      <c r="R29" s="274"/>
      <c r="S29" s="274"/>
      <c r="T29" s="274"/>
      <c r="U29" s="274"/>
      <c r="V29" s="275"/>
      <c r="W29" s="37" t="s">
        <v>84</v>
      </c>
      <c r="X29" s="268">
        <f>IFERROR(SUMPRODUCT(X22:X27*H22:H27),"0")</f>
        <v>0</v>
      </c>
      <c r="Y29" s="268">
        <f>IFERROR(SUMPRODUCT(Y22:Y27*H22:H27),"0")</f>
        <v>0</v>
      </c>
      <c r="Z29" s="37"/>
      <c r="AA29" s="269"/>
      <c r="AB29" s="269"/>
      <c r="AC29" s="269"/>
    </row>
    <row r="30" spans="1:68" ht="16.5" hidden="1" customHeight="1" x14ac:dyDescent="0.25">
      <c r="A30" s="284" t="s">
        <v>85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1"/>
      <c r="AB30" s="261"/>
      <c r="AC30" s="261"/>
    </row>
    <row r="31" spans="1:68" ht="14.25" hidden="1" customHeight="1" x14ac:dyDescent="0.25">
      <c r="A31" s="312" t="s">
        <v>64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0"/>
      <c r="AB31" s="260"/>
      <c r="AC31" s="260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8">
        <v>4607111039019</v>
      </c>
      <c r="E32" s="279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1"/>
      <c r="R32" s="271"/>
      <c r="S32" s="271"/>
      <c r="T32" s="272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8">
        <v>4607111038708</v>
      </c>
      <c r="E33" s="279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1"/>
      <c r="R33" s="271"/>
      <c r="S33" s="271"/>
      <c r="T33" s="272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6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7"/>
      <c r="P34" s="273" t="s">
        <v>83</v>
      </c>
      <c r="Q34" s="274"/>
      <c r="R34" s="274"/>
      <c r="S34" s="274"/>
      <c r="T34" s="274"/>
      <c r="U34" s="274"/>
      <c r="V34" s="275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hidden="1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7"/>
      <c r="P35" s="273" t="s">
        <v>83</v>
      </c>
      <c r="Q35" s="274"/>
      <c r="R35" s="274"/>
      <c r="S35" s="274"/>
      <c r="T35" s="274"/>
      <c r="U35" s="274"/>
      <c r="V35" s="275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hidden="1" customHeight="1" x14ac:dyDescent="0.2">
      <c r="A36" s="282" t="s">
        <v>91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hidden="1" customHeight="1" x14ac:dyDescent="0.25">
      <c r="A37" s="284" t="s">
        <v>92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1"/>
      <c r="AB37" s="261"/>
      <c r="AC37" s="261"/>
    </row>
    <row r="38" spans="1:68" ht="14.25" hidden="1" customHeight="1" x14ac:dyDescent="0.25">
      <c r="A38" s="312" t="s">
        <v>93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8">
        <v>4607111036537</v>
      </c>
      <c r="E39" s="279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1"/>
      <c r="R39" s="271"/>
      <c r="S39" s="271"/>
      <c r="T39" s="272"/>
      <c r="U39" s="34"/>
      <c r="V39" s="34"/>
      <c r="W39" s="35" t="s">
        <v>70</v>
      </c>
      <c r="X39" s="266">
        <v>140</v>
      </c>
      <c r="Y39" s="267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8">
        <v>4607111036605</v>
      </c>
      <c r="E40" s="279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1"/>
      <c r="R40" s="271"/>
      <c r="S40" s="271"/>
      <c r="T40" s="272"/>
      <c r="U40" s="34"/>
      <c r="V40" s="34"/>
      <c r="W40" s="35" t="s">
        <v>70</v>
      </c>
      <c r="X40" s="266">
        <v>140</v>
      </c>
      <c r="Y40" s="267">
        <f>IFERROR(IF(X40="","",X40),"")</f>
        <v>140</v>
      </c>
      <c r="Z40" s="36">
        <f>IFERROR(IF(X40="","",X40*0.00941),"")</f>
        <v>1.3173999999999999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269.05200000000002</v>
      </c>
      <c r="BN40" s="67">
        <f>IFERROR(Y40*I40,"0")</f>
        <v>269.05200000000002</v>
      </c>
      <c r="BO40" s="67">
        <f>IFERROR(X40/J40,"0")</f>
        <v>1</v>
      </c>
      <c r="BP40" s="67">
        <f>IFERROR(Y40/J40,"0")</f>
        <v>1</v>
      </c>
    </row>
    <row r="41" spans="1:68" x14ac:dyDescent="0.2">
      <c r="A41" s="286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7"/>
      <c r="P41" s="273" t="s">
        <v>83</v>
      </c>
      <c r="Q41" s="274"/>
      <c r="R41" s="274"/>
      <c r="S41" s="274"/>
      <c r="T41" s="274"/>
      <c r="U41" s="274"/>
      <c r="V41" s="275"/>
      <c r="W41" s="37" t="s">
        <v>70</v>
      </c>
      <c r="X41" s="268">
        <f>IFERROR(SUM(X39:X40),"0")</f>
        <v>280</v>
      </c>
      <c r="Y41" s="268">
        <f>IFERROR(SUM(Y39:Y40),"0")</f>
        <v>280</v>
      </c>
      <c r="Z41" s="268">
        <f>IFERROR(IF(Z39="",0,Z39),"0")+IFERROR(IF(Z40="",0,Z40),"0")</f>
        <v>2.6347999999999998</v>
      </c>
      <c r="AA41" s="269"/>
      <c r="AB41" s="269"/>
      <c r="AC41" s="269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7"/>
      <c r="P42" s="273" t="s">
        <v>83</v>
      </c>
      <c r="Q42" s="274"/>
      <c r="R42" s="274"/>
      <c r="S42" s="274"/>
      <c r="T42" s="274"/>
      <c r="U42" s="274"/>
      <c r="V42" s="275"/>
      <c r="W42" s="37" t="s">
        <v>84</v>
      </c>
      <c r="X42" s="268">
        <f>IFERROR(SUMPRODUCT(X39:X40*H39:H40),"0")</f>
        <v>420</v>
      </c>
      <c r="Y42" s="268">
        <f>IFERROR(SUMPRODUCT(Y39:Y40*H39:H40),"0")</f>
        <v>420</v>
      </c>
      <c r="Z42" s="37"/>
      <c r="AA42" s="269"/>
      <c r="AB42" s="269"/>
      <c r="AC42" s="269"/>
    </row>
    <row r="43" spans="1:68" ht="16.5" hidden="1" customHeight="1" x14ac:dyDescent="0.25">
      <c r="A43" s="284" t="s">
        <v>103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1"/>
      <c r="AB43" s="261"/>
      <c r="AC43" s="261"/>
    </row>
    <row r="44" spans="1:68" ht="14.25" hidden="1" customHeight="1" x14ac:dyDescent="0.25">
      <c r="A44" s="312" t="s">
        <v>64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0"/>
      <c r="AB44" s="260"/>
      <c r="AC44" s="260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8">
        <v>4620207490075</v>
      </c>
      <c r="E45" s="279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1"/>
      <c r="R45" s="271"/>
      <c r="S45" s="271"/>
      <c r="T45" s="272"/>
      <c r="U45" s="34"/>
      <c r="V45" s="34"/>
      <c r="W45" s="35" t="s">
        <v>70</v>
      </c>
      <c r="X45" s="266">
        <v>0</v>
      </c>
      <c r="Y45" s="26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107</v>
      </c>
      <c r="B46" s="54" t="s">
        <v>108</v>
      </c>
      <c r="C46" s="31">
        <v>4301071092</v>
      </c>
      <c r="D46" s="278">
        <v>4620207490174</v>
      </c>
      <c r="E46" s="279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1"/>
      <c r="R46" s="271"/>
      <c r="S46" s="271"/>
      <c r="T46" s="272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110</v>
      </c>
      <c r="B47" s="54" t="s">
        <v>111</v>
      </c>
      <c r="C47" s="31">
        <v>4301071091</v>
      </c>
      <c r="D47" s="278">
        <v>4620207490044</v>
      </c>
      <c r="E47" s="279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1"/>
      <c r="R47" s="271"/>
      <c r="S47" s="271"/>
      <c r="T47" s="272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86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7"/>
      <c r="P48" s="273" t="s">
        <v>83</v>
      </c>
      <c r="Q48" s="274"/>
      <c r="R48" s="274"/>
      <c r="S48" s="274"/>
      <c r="T48" s="274"/>
      <c r="U48" s="274"/>
      <c r="V48" s="275"/>
      <c r="W48" s="37" t="s">
        <v>70</v>
      </c>
      <c r="X48" s="268">
        <f>IFERROR(SUM(X45:X47),"0")</f>
        <v>0</v>
      </c>
      <c r="Y48" s="268">
        <f>IFERROR(SUM(Y45:Y47),"0")</f>
        <v>0</v>
      </c>
      <c r="Z48" s="268">
        <f>IFERROR(IF(Z45="",0,Z45),"0")+IFERROR(IF(Z46="",0,Z46),"0")+IFERROR(IF(Z47="",0,Z47),"0")</f>
        <v>0</v>
      </c>
      <c r="AA48" s="269"/>
      <c r="AB48" s="269"/>
      <c r="AC48" s="269"/>
    </row>
    <row r="49" spans="1:68" hidden="1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7"/>
      <c r="P49" s="273" t="s">
        <v>83</v>
      </c>
      <c r="Q49" s="274"/>
      <c r="R49" s="274"/>
      <c r="S49" s="274"/>
      <c r="T49" s="274"/>
      <c r="U49" s="274"/>
      <c r="V49" s="275"/>
      <c r="W49" s="37" t="s">
        <v>84</v>
      </c>
      <c r="X49" s="268">
        <f>IFERROR(SUMPRODUCT(X45:X47*H45:H47),"0")</f>
        <v>0</v>
      </c>
      <c r="Y49" s="268">
        <f>IFERROR(SUMPRODUCT(Y45:Y47*H45:H47),"0")</f>
        <v>0</v>
      </c>
      <c r="Z49" s="37"/>
      <c r="AA49" s="269"/>
      <c r="AB49" s="269"/>
      <c r="AC49" s="269"/>
    </row>
    <row r="50" spans="1:68" ht="16.5" hidden="1" customHeight="1" x14ac:dyDescent="0.25">
      <c r="A50" s="284" t="s">
        <v>113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1"/>
      <c r="AB50" s="261"/>
      <c r="AC50" s="261"/>
    </row>
    <row r="51" spans="1:68" ht="14.25" hidden="1" customHeight="1" x14ac:dyDescent="0.25">
      <c r="A51" s="312" t="s">
        <v>64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0"/>
      <c r="AB51" s="260"/>
      <c r="AC51" s="260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8">
        <v>4607111039385</v>
      </c>
      <c r="E52" s="279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1"/>
      <c r="R52" s="271"/>
      <c r="S52" s="271"/>
      <c r="T52" s="272"/>
      <c r="U52" s="34"/>
      <c r="V52" s="34"/>
      <c r="W52" s="35" t="s">
        <v>70</v>
      </c>
      <c r="X52" s="266">
        <v>42</v>
      </c>
      <c r="Y52" s="267">
        <f>IFERROR(IF(X52="","",X52),"")</f>
        <v>42</v>
      </c>
      <c r="Z52" s="36">
        <f>IFERROR(IF(X52="","",X52*0.0155),"")</f>
        <v>0.65100000000000002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306.59999999999997</v>
      </c>
      <c r="BN52" s="67">
        <f>IFERROR(Y52*I52,"0")</f>
        <v>306.59999999999997</v>
      </c>
      <c r="BO52" s="67">
        <f>IFERROR(X52/J52,"0")</f>
        <v>0.5</v>
      </c>
      <c r="BP52" s="67">
        <f>IFERROR(Y52/J52,"0")</f>
        <v>0.5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8">
        <v>4607111038982</v>
      </c>
      <c r="E53" s="279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1"/>
      <c r="R53" s="271"/>
      <c r="S53" s="271"/>
      <c r="T53" s="272"/>
      <c r="U53" s="34"/>
      <c r="V53" s="34"/>
      <c r="W53" s="35" t="s">
        <v>70</v>
      </c>
      <c r="X53" s="266">
        <v>42</v>
      </c>
      <c r="Y53" s="267">
        <f>IFERROR(IF(X53="","",X53),"")</f>
        <v>42</v>
      </c>
      <c r="Z53" s="36">
        <f>IFERROR(IF(X53="","",X53*0.0155),"")</f>
        <v>0.65100000000000002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306.012</v>
      </c>
      <c r="BN53" s="67">
        <f>IFERROR(Y53*I53,"0")</f>
        <v>306.012</v>
      </c>
      <c r="BO53" s="67">
        <f>IFERROR(X53/J53,"0")</f>
        <v>0.5</v>
      </c>
      <c r="BP53" s="67">
        <f>IFERROR(Y53/J53,"0")</f>
        <v>0.5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8">
        <v>4607111039354</v>
      </c>
      <c r="E54" s="279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1"/>
      <c r="R54" s="271"/>
      <c r="S54" s="271"/>
      <c r="T54" s="272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122</v>
      </c>
      <c r="B55" s="54" t="s">
        <v>123</v>
      </c>
      <c r="C55" s="31">
        <v>4301071047</v>
      </c>
      <c r="D55" s="278">
        <v>4607111039330</v>
      </c>
      <c r="E55" s="279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1"/>
      <c r="R55" s="271"/>
      <c r="S55" s="271"/>
      <c r="T55" s="272"/>
      <c r="U55" s="34"/>
      <c r="V55" s="34"/>
      <c r="W55" s="35" t="s">
        <v>70</v>
      </c>
      <c r="X55" s="266">
        <v>0</v>
      </c>
      <c r="Y55" s="26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6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7"/>
      <c r="P56" s="273" t="s">
        <v>83</v>
      </c>
      <c r="Q56" s="274"/>
      <c r="R56" s="274"/>
      <c r="S56" s="274"/>
      <c r="T56" s="274"/>
      <c r="U56" s="274"/>
      <c r="V56" s="275"/>
      <c r="W56" s="37" t="s">
        <v>70</v>
      </c>
      <c r="X56" s="268">
        <f>IFERROR(SUM(X52:X55),"0")</f>
        <v>84</v>
      </c>
      <c r="Y56" s="268">
        <f>IFERROR(SUM(Y52:Y55),"0")</f>
        <v>84</v>
      </c>
      <c r="Z56" s="268">
        <f>IFERROR(IF(Z52="",0,Z52),"0")+IFERROR(IF(Z53="",0,Z53),"0")+IFERROR(IF(Z54="",0,Z54),"0")+IFERROR(IF(Z55="",0,Z55),"0")</f>
        <v>1.302</v>
      </c>
      <c r="AA56" s="269"/>
      <c r="AB56" s="269"/>
      <c r="AC56" s="269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7"/>
      <c r="P57" s="273" t="s">
        <v>83</v>
      </c>
      <c r="Q57" s="274"/>
      <c r="R57" s="274"/>
      <c r="S57" s="274"/>
      <c r="T57" s="274"/>
      <c r="U57" s="274"/>
      <c r="V57" s="275"/>
      <c r="W57" s="37" t="s">
        <v>84</v>
      </c>
      <c r="X57" s="268">
        <f>IFERROR(SUMPRODUCT(X52:X55*H52:H55),"0")</f>
        <v>588</v>
      </c>
      <c r="Y57" s="268">
        <f>IFERROR(SUMPRODUCT(Y52:Y55*H52:H55),"0")</f>
        <v>588</v>
      </c>
      <c r="Z57" s="37"/>
      <c r="AA57" s="269"/>
      <c r="AB57" s="269"/>
      <c r="AC57" s="269"/>
    </row>
    <row r="58" spans="1:68" ht="16.5" hidden="1" customHeight="1" x14ac:dyDescent="0.25">
      <c r="A58" s="284" t="s">
        <v>124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1"/>
      <c r="AB58" s="261"/>
      <c r="AC58" s="261"/>
    </row>
    <row r="59" spans="1:68" ht="14.25" hidden="1" customHeight="1" x14ac:dyDescent="0.25">
      <c r="A59" s="312" t="s">
        <v>64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0"/>
      <c r="AB59" s="260"/>
      <c r="AC59" s="260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8">
        <v>4620207490822</v>
      </c>
      <c r="E60" s="279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1"/>
      <c r="R60" s="271"/>
      <c r="S60" s="271"/>
      <c r="T60" s="272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6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7"/>
      <c r="P61" s="273" t="s">
        <v>83</v>
      </c>
      <c r="Q61" s="274"/>
      <c r="R61" s="274"/>
      <c r="S61" s="274"/>
      <c r="T61" s="274"/>
      <c r="U61" s="274"/>
      <c r="V61" s="275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hidden="1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7"/>
      <c r="P62" s="273" t="s">
        <v>83</v>
      </c>
      <c r="Q62" s="274"/>
      <c r="R62" s="274"/>
      <c r="S62" s="274"/>
      <c r="T62" s="274"/>
      <c r="U62" s="274"/>
      <c r="V62" s="275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hidden="1" customHeight="1" x14ac:dyDescent="0.25">
      <c r="A63" s="312" t="s">
        <v>93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0"/>
      <c r="AB63" s="260"/>
      <c r="AC63" s="260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8">
        <v>4607111039712</v>
      </c>
      <c r="E64" s="279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97</v>
      </c>
      <c r="M64" s="33" t="s">
        <v>69</v>
      </c>
      <c r="N64" s="33"/>
      <c r="O64" s="32">
        <v>365</v>
      </c>
      <c r="P64" s="42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1"/>
      <c r="R64" s="271"/>
      <c r="S64" s="271"/>
      <c r="T64" s="272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99</v>
      </c>
      <c r="AK64" s="71">
        <v>14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7"/>
      <c r="P65" s="273" t="s">
        <v>83</v>
      </c>
      <c r="Q65" s="274"/>
      <c r="R65" s="274"/>
      <c r="S65" s="274"/>
      <c r="T65" s="274"/>
      <c r="U65" s="274"/>
      <c r="V65" s="275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hidden="1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7"/>
      <c r="P66" s="273" t="s">
        <v>83</v>
      </c>
      <c r="Q66" s="274"/>
      <c r="R66" s="274"/>
      <c r="S66" s="274"/>
      <c r="T66" s="274"/>
      <c r="U66" s="274"/>
      <c r="V66" s="275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hidden="1" customHeight="1" x14ac:dyDescent="0.25">
      <c r="A67" s="312" t="s">
        <v>131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0"/>
      <c r="AB67" s="260"/>
      <c r="AC67" s="260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8">
        <v>4607111037008</v>
      </c>
      <c r="E68" s="279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6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1"/>
      <c r="R68" s="271"/>
      <c r="S68" s="271"/>
      <c r="T68" s="272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8">
        <v>4607111037398</v>
      </c>
      <c r="E69" s="279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1"/>
      <c r="R69" s="271"/>
      <c r="S69" s="271"/>
      <c r="T69" s="272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6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7"/>
      <c r="P70" s="273" t="s">
        <v>83</v>
      </c>
      <c r="Q70" s="274"/>
      <c r="R70" s="274"/>
      <c r="S70" s="274"/>
      <c r="T70" s="274"/>
      <c r="U70" s="274"/>
      <c r="V70" s="275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hidden="1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7"/>
      <c r="P71" s="273" t="s">
        <v>83</v>
      </c>
      <c r="Q71" s="274"/>
      <c r="R71" s="274"/>
      <c r="S71" s="274"/>
      <c r="T71" s="274"/>
      <c r="U71" s="274"/>
      <c r="V71" s="275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hidden="1" customHeight="1" x14ac:dyDescent="0.25">
      <c r="A72" s="312" t="s">
        <v>137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0"/>
      <c r="AB72" s="260"/>
      <c r="AC72" s="260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78">
        <v>4607111039705</v>
      </c>
      <c r="E73" s="279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140</v>
      </c>
      <c r="M73" s="33" t="s">
        <v>69</v>
      </c>
      <c r="N73" s="33"/>
      <c r="O73" s="32">
        <v>365</v>
      </c>
      <c r="P73" s="30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1"/>
      <c r="R73" s="271"/>
      <c r="S73" s="271"/>
      <c r="T73" s="272"/>
      <c r="U73" s="34"/>
      <c r="V73" s="34"/>
      <c r="W73" s="35" t="s">
        <v>70</v>
      </c>
      <c r="X73" s="266">
        <v>70</v>
      </c>
      <c r="Y73" s="267">
        <f>IFERROR(IF(X73="","",X73),"")</f>
        <v>70</v>
      </c>
      <c r="Z73" s="36">
        <f>IFERROR(IF(X73="","",X73*0.00941),"")</f>
        <v>0.65869999999999995</v>
      </c>
      <c r="AA73" s="56"/>
      <c r="AB73" s="57"/>
      <c r="AC73" s="114" t="s">
        <v>134</v>
      </c>
      <c r="AG73" s="67"/>
      <c r="AJ73" s="71" t="s">
        <v>141</v>
      </c>
      <c r="AK73" s="71">
        <v>140</v>
      </c>
      <c r="BB73" s="115" t="s">
        <v>100</v>
      </c>
      <c r="BM73" s="67">
        <f>IFERROR(X73*I73,"0")</f>
        <v>109.2</v>
      </c>
      <c r="BN73" s="67">
        <f>IFERROR(Y73*I73,"0")</f>
        <v>109.2</v>
      </c>
      <c r="BO73" s="67">
        <f>IFERROR(X73/J73,"0")</f>
        <v>0.5</v>
      </c>
      <c r="BP73" s="67">
        <f>IFERROR(Y73/J73,"0")</f>
        <v>0.5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8">
        <v>4607111039729</v>
      </c>
      <c r="E74" s="279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140</v>
      </c>
      <c r="M74" s="33" t="s">
        <v>69</v>
      </c>
      <c r="N74" s="33"/>
      <c r="O74" s="32">
        <v>365</v>
      </c>
      <c r="P74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1"/>
      <c r="R74" s="271"/>
      <c r="S74" s="271"/>
      <c r="T74" s="272"/>
      <c r="U74" s="34"/>
      <c r="V74" s="34"/>
      <c r="W74" s="35" t="s">
        <v>70</v>
      </c>
      <c r="X74" s="266">
        <v>140</v>
      </c>
      <c r="Y74" s="267">
        <f>IFERROR(IF(X74="","",X74),"")</f>
        <v>140</v>
      </c>
      <c r="Z74" s="36">
        <f>IFERROR(IF(X74="","",X74*0.00941),"")</f>
        <v>1.3173999999999999</v>
      </c>
      <c r="AA74" s="56"/>
      <c r="AB74" s="57"/>
      <c r="AC74" s="116" t="s">
        <v>144</v>
      </c>
      <c r="AG74" s="67"/>
      <c r="AJ74" s="71" t="s">
        <v>141</v>
      </c>
      <c r="AK74" s="71">
        <v>140</v>
      </c>
      <c r="BB74" s="117" t="s">
        <v>100</v>
      </c>
      <c r="BM74" s="67">
        <f>IFERROR(X74*I74,"0")</f>
        <v>218.4</v>
      </c>
      <c r="BN74" s="67">
        <f>IFERROR(Y74*I74,"0")</f>
        <v>218.4</v>
      </c>
      <c r="BO74" s="67">
        <f>IFERROR(X74/J74,"0")</f>
        <v>1</v>
      </c>
      <c r="BP74" s="67">
        <f>IFERROR(Y74/J74,"0")</f>
        <v>1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8">
        <v>4620207490228</v>
      </c>
      <c r="E75" s="279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140</v>
      </c>
      <c r="M75" s="33" t="s">
        <v>69</v>
      </c>
      <c r="N75" s="33"/>
      <c r="O75" s="32">
        <v>365</v>
      </c>
      <c r="P75" s="43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1"/>
      <c r="R75" s="271"/>
      <c r="S75" s="271"/>
      <c r="T75" s="272"/>
      <c r="U75" s="34"/>
      <c r="V75" s="34"/>
      <c r="W75" s="35" t="s">
        <v>70</v>
      </c>
      <c r="X75" s="266">
        <v>70</v>
      </c>
      <c r="Y75" s="267">
        <f>IFERROR(IF(X75="","",X75),"")</f>
        <v>70</v>
      </c>
      <c r="Z75" s="36">
        <f>IFERROR(IF(X75="","",X75*0.00941),"")</f>
        <v>0.65869999999999995</v>
      </c>
      <c r="AA75" s="56"/>
      <c r="AB75" s="57"/>
      <c r="AC75" s="118" t="s">
        <v>144</v>
      </c>
      <c r="AG75" s="67"/>
      <c r="AJ75" s="71" t="s">
        <v>141</v>
      </c>
      <c r="AK75" s="71">
        <v>140</v>
      </c>
      <c r="BB75" s="119" t="s">
        <v>100</v>
      </c>
      <c r="BM75" s="67">
        <f>IFERROR(X75*I75,"0")</f>
        <v>109.2</v>
      </c>
      <c r="BN75" s="67">
        <f>IFERROR(Y75*I75,"0")</f>
        <v>109.2</v>
      </c>
      <c r="BO75" s="67">
        <f>IFERROR(X75/J75,"0")</f>
        <v>0.5</v>
      </c>
      <c r="BP75" s="67">
        <f>IFERROR(Y75/J75,"0")</f>
        <v>0.5</v>
      </c>
    </row>
    <row r="76" spans="1:68" x14ac:dyDescent="0.2">
      <c r="A76" s="286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7"/>
      <c r="P76" s="273" t="s">
        <v>83</v>
      </c>
      <c r="Q76" s="274"/>
      <c r="R76" s="274"/>
      <c r="S76" s="274"/>
      <c r="T76" s="274"/>
      <c r="U76" s="274"/>
      <c r="V76" s="275"/>
      <c r="W76" s="37" t="s">
        <v>70</v>
      </c>
      <c r="X76" s="268">
        <f>IFERROR(SUM(X73:X75),"0")</f>
        <v>280</v>
      </c>
      <c r="Y76" s="268">
        <f>IFERROR(SUM(Y73:Y75),"0")</f>
        <v>280</v>
      </c>
      <c r="Z76" s="268">
        <f>IFERROR(IF(Z73="",0,Z73),"0")+IFERROR(IF(Z74="",0,Z74),"0")+IFERROR(IF(Z75="",0,Z75),"0")</f>
        <v>2.6347999999999998</v>
      </c>
      <c r="AA76" s="269"/>
      <c r="AB76" s="269"/>
      <c r="AC76" s="269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7"/>
      <c r="P77" s="273" t="s">
        <v>83</v>
      </c>
      <c r="Q77" s="274"/>
      <c r="R77" s="274"/>
      <c r="S77" s="274"/>
      <c r="T77" s="274"/>
      <c r="U77" s="274"/>
      <c r="V77" s="275"/>
      <c r="W77" s="37" t="s">
        <v>84</v>
      </c>
      <c r="X77" s="268">
        <f>IFERROR(SUMPRODUCT(X73:X75*H73:H75),"0")</f>
        <v>336</v>
      </c>
      <c r="Y77" s="268">
        <f>IFERROR(SUMPRODUCT(Y73:Y75*H73:H75),"0")</f>
        <v>336</v>
      </c>
      <c r="Z77" s="37"/>
      <c r="AA77" s="269"/>
      <c r="AB77" s="269"/>
      <c r="AC77" s="269"/>
    </row>
    <row r="78" spans="1:68" ht="16.5" hidden="1" customHeight="1" x14ac:dyDescent="0.25">
      <c r="A78" s="284" t="s">
        <v>147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1"/>
      <c r="AB78" s="261"/>
      <c r="AC78" s="261"/>
    </row>
    <row r="79" spans="1:68" ht="14.25" hidden="1" customHeight="1" x14ac:dyDescent="0.25">
      <c r="A79" s="312" t="s">
        <v>64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0"/>
      <c r="AB79" s="260"/>
      <c r="AC79" s="260"/>
    </row>
    <row r="80" spans="1:68" ht="27" hidden="1" customHeight="1" x14ac:dyDescent="0.25">
      <c r="A80" s="54" t="s">
        <v>148</v>
      </c>
      <c r="B80" s="54" t="s">
        <v>149</v>
      </c>
      <c r="C80" s="31">
        <v>4301070977</v>
      </c>
      <c r="D80" s="278">
        <v>4607111037411</v>
      </c>
      <c r="E80" s="279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150</v>
      </c>
      <c r="L80" s="32" t="s">
        <v>97</v>
      </c>
      <c r="M80" s="33" t="s">
        <v>69</v>
      </c>
      <c r="N80" s="33"/>
      <c r="O80" s="32">
        <v>180</v>
      </c>
      <c r="P80" s="41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1"/>
      <c r="R80" s="271"/>
      <c r="S80" s="271"/>
      <c r="T80" s="272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152</v>
      </c>
      <c r="B81" s="54" t="s">
        <v>153</v>
      </c>
      <c r="C81" s="31">
        <v>4301070981</v>
      </c>
      <c r="D81" s="278">
        <v>4607111036728</v>
      </c>
      <c r="E81" s="279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1"/>
      <c r="R81" s="271"/>
      <c r="S81" s="271"/>
      <c r="T81" s="272"/>
      <c r="U81" s="34"/>
      <c r="V81" s="34"/>
      <c r="W81" s="35" t="s">
        <v>70</v>
      </c>
      <c r="X81" s="266">
        <v>0</v>
      </c>
      <c r="Y81" s="267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151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6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7"/>
      <c r="P82" s="273" t="s">
        <v>83</v>
      </c>
      <c r="Q82" s="274"/>
      <c r="R82" s="274"/>
      <c r="S82" s="274"/>
      <c r="T82" s="274"/>
      <c r="U82" s="274"/>
      <c r="V82" s="275"/>
      <c r="W82" s="37" t="s">
        <v>70</v>
      </c>
      <c r="X82" s="268">
        <f>IFERROR(SUM(X80:X81),"0")</f>
        <v>0</v>
      </c>
      <c r="Y82" s="268">
        <f>IFERROR(SUM(Y80:Y81),"0")</f>
        <v>0</v>
      </c>
      <c r="Z82" s="268">
        <f>IFERROR(IF(Z80="",0,Z80),"0")+IFERROR(IF(Z81="",0,Z81),"0")</f>
        <v>0</v>
      </c>
      <c r="AA82" s="269"/>
      <c r="AB82" s="269"/>
      <c r="AC82" s="269"/>
    </row>
    <row r="83" spans="1:68" hidden="1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7"/>
      <c r="P83" s="273" t="s">
        <v>83</v>
      </c>
      <c r="Q83" s="274"/>
      <c r="R83" s="274"/>
      <c r="S83" s="274"/>
      <c r="T83" s="274"/>
      <c r="U83" s="274"/>
      <c r="V83" s="275"/>
      <c r="W83" s="37" t="s">
        <v>84</v>
      </c>
      <c r="X83" s="268">
        <f>IFERROR(SUMPRODUCT(X80:X81*H80:H81),"0")</f>
        <v>0</v>
      </c>
      <c r="Y83" s="268">
        <f>IFERROR(SUMPRODUCT(Y80:Y81*H80:H81),"0")</f>
        <v>0</v>
      </c>
      <c r="Z83" s="37"/>
      <c r="AA83" s="269"/>
      <c r="AB83" s="269"/>
      <c r="AC83" s="269"/>
    </row>
    <row r="84" spans="1:68" ht="16.5" hidden="1" customHeight="1" x14ac:dyDescent="0.25">
      <c r="A84" s="284" t="s">
        <v>154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1"/>
      <c r="AB84" s="261"/>
      <c r="AC84" s="261"/>
    </row>
    <row r="85" spans="1:68" ht="14.25" hidden="1" customHeight="1" x14ac:dyDescent="0.25">
      <c r="A85" s="312" t="s">
        <v>137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0"/>
      <c r="AB85" s="260"/>
      <c r="AC85" s="260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8">
        <v>4607111033659</v>
      </c>
      <c r="E86" s="279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1"/>
      <c r="R86" s="271"/>
      <c r="S86" s="271"/>
      <c r="T86" s="272"/>
      <c r="U86" s="34"/>
      <c r="V86" s="34"/>
      <c r="W86" s="35" t="s">
        <v>70</v>
      </c>
      <c r="X86" s="266">
        <v>70</v>
      </c>
      <c r="Y86" s="267">
        <f>IFERROR(IF(X86="","",X86),"")</f>
        <v>70</v>
      </c>
      <c r="Z86" s="36">
        <f>IFERROR(IF(X86="","",X86*0.01788),"")</f>
        <v>1.2516</v>
      </c>
      <c r="AA86" s="56"/>
      <c r="AB86" s="57"/>
      <c r="AC86" s="124" t="s">
        <v>157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301.25200000000001</v>
      </c>
      <c r="BN86" s="67">
        <f>IFERROR(Y86*I86,"0")</f>
        <v>301.25200000000001</v>
      </c>
      <c r="BO86" s="67">
        <f>IFERROR(X86/J86,"0")</f>
        <v>1</v>
      </c>
      <c r="BP86" s="67">
        <f>IFERROR(Y86/J86,"0")</f>
        <v>1</v>
      </c>
    </row>
    <row r="87" spans="1:68" x14ac:dyDescent="0.2">
      <c r="A87" s="286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7"/>
      <c r="P87" s="273" t="s">
        <v>83</v>
      </c>
      <c r="Q87" s="274"/>
      <c r="R87" s="274"/>
      <c r="S87" s="274"/>
      <c r="T87" s="274"/>
      <c r="U87" s="274"/>
      <c r="V87" s="275"/>
      <c r="W87" s="37" t="s">
        <v>70</v>
      </c>
      <c r="X87" s="268">
        <f>IFERROR(SUM(X86:X86),"0")</f>
        <v>70</v>
      </c>
      <c r="Y87" s="268">
        <f>IFERROR(SUM(Y86:Y86),"0")</f>
        <v>70</v>
      </c>
      <c r="Z87" s="268">
        <f>IFERROR(IF(Z86="",0,Z86),"0")</f>
        <v>1.2516</v>
      </c>
      <c r="AA87" s="269"/>
      <c r="AB87" s="269"/>
      <c r="AC87" s="269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7"/>
      <c r="P88" s="273" t="s">
        <v>83</v>
      </c>
      <c r="Q88" s="274"/>
      <c r="R88" s="274"/>
      <c r="S88" s="274"/>
      <c r="T88" s="274"/>
      <c r="U88" s="274"/>
      <c r="V88" s="275"/>
      <c r="W88" s="37" t="s">
        <v>84</v>
      </c>
      <c r="X88" s="268">
        <f>IFERROR(SUMPRODUCT(X86:X86*H86:H86),"0")</f>
        <v>252</v>
      </c>
      <c r="Y88" s="268">
        <f>IFERROR(SUMPRODUCT(Y86:Y86*H86:H86),"0")</f>
        <v>252</v>
      </c>
      <c r="Z88" s="37"/>
      <c r="AA88" s="269"/>
      <c r="AB88" s="269"/>
      <c r="AC88" s="269"/>
    </row>
    <row r="89" spans="1:68" ht="16.5" hidden="1" customHeight="1" x14ac:dyDescent="0.25">
      <c r="A89" s="284" t="s">
        <v>158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1"/>
      <c r="AB89" s="261"/>
      <c r="AC89" s="261"/>
    </row>
    <row r="90" spans="1:68" ht="14.25" hidden="1" customHeight="1" x14ac:dyDescent="0.25">
      <c r="A90" s="312" t="s">
        <v>159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0"/>
      <c r="AB90" s="260"/>
      <c r="AC90" s="260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8">
        <v>4607111034120</v>
      </c>
      <c r="E91" s="279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1"/>
      <c r="R91" s="271"/>
      <c r="S91" s="271"/>
      <c r="T91" s="272"/>
      <c r="U91" s="34"/>
      <c r="V91" s="34"/>
      <c r="W91" s="35" t="s">
        <v>70</v>
      </c>
      <c r="X91" s="266">
        <v>210</v>
      </c>
      <c r="Y91" s="267">
        <f>IFERROR(IF(X91="","",X91),"")</f>
        <v>210</v>
      </c>
      <c r="Z91" s="36">
        <f>IFERROR(IF(X91="","",X91*0.01788),"")</f>
        <v>3.7547999999999999</v>
      </c>
      <c r="AA91" s="56"/>
      <c r="AB91" s="57"/>
      <c r="AC91" s="126" t="s">
        <v>162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903.75600000000009</v>
      </c>
      <c r="BN91" s="67">
        <f>IFERROR(Y91*I91,"0")</f>
        <v>903.75600000000009</v>
      </c>
      <c r="BO91" s="67">
        <f>IFERROR(X91/J91,"0")</f>
        <v>3</v>
      </c>
      <c r="BP91" s="67">
        <f>IFERROR(Y91/J91,"0")</f>
        <v>3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8">
        <v>4607111034137</v>
      </c>
      <c r="E92" s="279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1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1"/>
      <c r="R92" s="271"/>
      <c r="S92" s="271"/>
      <c r="T92" s="272"/>
      <c r="U92" s="34"/>
      <c r="V92" s="34"/>
      <c r="W92" s="35" t="s">
        <v>70</v>
      </c>
      <c r="X92" s="266">
        <v>210</v>
      </c>
      <c r="Y92" s="267">
        <f>IFERROR(IF(X92="","",X92),"")</f>
        <v>210</v>
      </c>
      <c r="Z92" s="36">
        <f>IFERROR(IF(X92="","",X92*0.01788),"")</f>
        <v>3.7547999999999999</v>
      </c>
      <c r="AA92" s="56"/>
      <c r="AB92" s="57"/>
      <c r="AC92" s="128" t="s">
        <v>165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903.75600000000009</v>
      </c>
      <c r="BN92" s="67">
        <f>IFERROR(Y92*I92,"0")</f>
        <v>903.75600000000009</v>
      </c>
      <c r="BO92" s="67">
        <f>IFERROR(X92/J92,"0")</f>
        <v>3</v>
      </c>
      <c r="BP92" s="67">
        <f>IFERROR(Y92/J92,"0")</f>
        <v>3</v>
      </c>
    </row>
    <row r="93" spans="1:68" x14ac:dyDescent="0.2">
      <c r="A93" s="286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7"/>
      <c r="P93" s="273" t="s">
        <v>83</v>
      </c>
      <c r="Q93" s="274"/>
      <c r="R93" s="274"/>
      <c r="S93" s="274"/>
      <c r="T93" s="274"/>
      <c r="U93" s="274"/>
      <c r="V93" s="275"/>
      <c r="W93" s="37" t="s">
        <v>70</v>
      </c>
      <c r="X93" s="268">
        <f>IFERROR(SUM(X91:X92),"0")</f>
        <v>420</v>
      </c>
      <c r="Y93" s="268">
        <f>IFERROR(SUM(Y91:Y92),"0")</f>
        <v>420</v>
      </c>
      <c r="Z93" s="268">
        <f>IFERROR(IF(Z91="",0,Z91),"0")+IFERROR(IF(Z92="",0,Z92),"0")</f>
        <v>7.5095999999999998</v>
      </c>
      <c r="AA93" s="269"/>
      <c r="AB93" s="269"/>
      <c r="AC93" s="269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7"/>
      <c r="P94" s="273" t="s">
        <v>83</v>
      </c>
      <c r="Q94" s="274"/>
      <c r="R94" s="274"/>
      <c r="S94" s="274"/>
      <c r="T94" s="274"/>
      <c r="U94" s="274"/>
      <c r="V94" s="275"/>
      <c r="W94" s="37" t="s">
        <v>84</v>
      </c>
      <c r="X94" s="268">
        <f>IFERROR(SUMPRODUCT(X91:X92*H91:H92),"0")</f>
        <v>1512</v>
      </c>
      <c r="Y94" s="268">
        <f>IFERROR(SUMPRODUCT(Y91:Y92*H91:H92),"0")</f>
        <v>1512</v>
      </c>
      <c r="Z94" s="37"/>
      <c r="AA94" s="269"/>
      <c r="AB94" s="269"/>
      <c r="AC94" s="269"/>
    </row>
    <row r="95" spans="1:68" ht="16.5" hidden="1" customHeight="1" x14ac:dyDescent="0.25">
      <c r="A95" s="284" t="s">
        <v>166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1"/>
      <c r="AB95" s="261"/>
      <c r="AC95" s="261"/>
    </row>
    <row r="96" spans="1:68" ht="14.25" hidden="1" customHeight="1" x14ac:dyDescent="0.25">
      <c r="A96" s="312" t="s">
        <v>137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0"/>
      <c r="AB96" s="260"/>
      <c r="AC96" s="260"/>
    </row>
    <row r="97" spans="1:68" ht="27" hidden="1" customHeight="1" x14ac:dyDescent="0.25">
      <c r="A97" s="54" t="s">
        <v>167</v>
      </c>
      <c r="B97" s="54" t="s">
        <v>168</v>
      </c>
      <c r="C97" s="31">
        <v>4301135763</v>
      </c>
      <c r="D97" s="278">
        <v>4620207491027</v>
      </c>
      <c r="E97" s="279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1"/>
      <c r="R97" s="271"/>
      <c r="S97" s="271"/>
      <c r="T97" s="272"/>
      <c r="U97" s="34"/>
      <c r="V97" s="34"/>
      <c r="W97" s="35" t="s">
        <v>70</v>
      </c>
      <c r="X97" s="266">
        <v>0</v>
      </c>
      <c r="Y97" s="26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8">
        <v>4620207491003</v>
      </c>
      <c r="E98" s="279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1"/>
      <c r="R98" s="271"/>
      <c r="S98" s="271"/>
      <c r="T98" s="272"/>
      <c r="U98" s="34"/>
      <c r="V98" s="34"/>
      <c r="W98" s="35" t="s">
        <v>70</v>
      </c>
      <c r="X98" s="266">
        <v>140</v>
      </c>
      <c r="Y98" s="267">
        <f t="shared" si="6"/>
        <v>140</v>
      </c>
      <c r="Z98" s="36">
        <f t="shared" si="7"/>
        <v>2.5032000000000001</v>
      </c>
      <c r="AA98" s="56"/>
      <c r="AB98" s="57"/>
      <c r="AC98" s="132" t="s">
        <v>157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501.70400000000001</v>
      </c>
      <c r="BN98" s="67">
        <f t="shared" si="9"/>
        <v>501.70400000000001</v>
      </c>
      <c r="BO98" s="67">
        <f t="shared" si="10"/>
        <v>2</v>
      </c>
      <c r="BP98" s="67">
        <f t="shared" si="11"/>
        <v>2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8">
        <v>4620207491034</v>
      </c>
      <c r="E99" s="279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1"/>
      <c r="R99" s="271"/>
      <c r="S99" s="271"/>
      <c r="T99" s="272"/>
      <c r="U99" s="34"/>
      <c r="V99" s="34"/>
      <c r="W99" s="35" t="s">
        <v>70</v>
      </c>
      <c r="X99" s="266">
        <v>105</v>
      </c>
      <c r="Y99" s="267">
        <f t="shared" si="6"/>
        <v>105</v>
      </c>
      <c r="Z99" s="36">
        <f t="shared" si="7"/>
        <v>1.8774</v>
      </c>
      <c r="AA99" s="56"/>
      <c r="AB99" s="57"/>
      <c r="AC99" s="134" t="s">
        <v>173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376.27800000000002</v>
      </c>
      <c r="BN99" s="67">
        <f t="shared" si="9"/>
        <v>376.27800000000002</v>
      </c>
      <c r="BO99" s="67">
        <f t="shared" si="10"/>
        <v>1.5</v>
      </c>
      <c r="BP99" s="67">
        <f t="shared" si="11"/>
        <v>1.5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8">
        <v>4620207491010</v>
      </c>
      <c r="E100" s="279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29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1"/>
      <c r="R100" s="271"/>
      <c r="S100" s="271"/>
      <c r="T100" s="272"/>
      <c r="U100" s="34"/>
      <c r="V100" s="34"/>
      <c r="W100" s="35" t="s">
        <v>70</v>
      </c>
      <c r="X100" s="266">
        <v>140</v>
      </c>
      <c r="Y100" s="267">
        <f t="shared" si="6"/>
        <v>140</v>
      </c>
      <c r="Z100" s="36">
        <f t="shared" si="7"/>
        <v>2.5032000000000001</v>
      </c>
      <c r="AA100" s="56"/>
      <c r="AB100" s="57"/>
      <c r="AC100" s="136" t="s">
        <v>157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501.70400000000001</v>
      </c>
      <c r="BN100" s="67">
        <f t="shared" si="9"/>
        <v>501.70400000000001</v>
      </c>
      <c r="BO100" s="67">
        <f t="shared" si="10"/>
        <v>2</v>
      </c>
      <c r="BP100" s="67">
        <f t="shared" si="11"/>
        <v>2</v>
      </c>
    </row>
    <row r="101" spans="1:68" ht="27" hidden="1" customHeight="1" x14ac:dyDescent="0.25">
      <c r="A101" s="54" t="s">
        <v>176</v>
      </c>
      <c r="B101" s="54" t="s">
        <v>177</v>
      </c>
      <c r="C101" s="31">
        <v>4301135571</v>
      </c>
      <c r="D101" s="278">
        <v>4607111035028</v>
      </c>
      <c r="E101" s="279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1"/>
      <c r="R101" s="271"/>
      <c r="S101" s="271"/>
      <c r="T101" s="272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178</v>
      </c>
      <c r="B102" s="54" t="s">
        <v>179</v>
      </c>
      <c r="C102" s="31">
        <v>4301135285</v>
      </c>
      <c r="D102" s="278">
        <v>4607111036407</v>
      </c>
      <c r="E102" s="279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39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1"/>
      <c r="R102" s="271"/>
      <c r="S102" s="271"/>
      <c r="T102" s="272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6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7"/>
      <c r="P103" s="273" t="s">
        <v>83</v>
      </c>
      <c r="Q103" s="274"/>
      <c r="R103" s="274"/>
      <c r="S103" s="274"/>
      <c r="T103" s="274"/>
      <c r="U103" s="274"/>
      <c r="V103" s="275"/>
      <c r="W103" s="37" t="s">
        <v>70</v>
      </c>
      <c r="X103" s="268">
        <f>IFERROR(SUM(X97:X102),"0")</f>
        <v>385</v>
      </c>
      <c r="Y103" s="268">
        <f>IFERROR(SUM(Y97:Y102),"0")</f>
        <v>385</v>
      </c>
      <c r="Z103" s="268">
        <f>IFERROR(IF(Z97="",0,Z97),"0")+IFERROR(IF(Z98="",0,Z98),"0")+IFERROR(IF(Z99="",0,Z99),"0")+IFERROR(IF(Z100="",0,Z100),"0")+IFERROR(IF(Z101="",0,Z101),"0")+IFERROR(IF(Z102="",0,Z102),"0")</f>
        <v>6.8838000000000008</v>
      </c>
      <c r="AA103" s="269"/>
      <c r="AB103" s="269"/>
      <c r="AC103" s="269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7"/>
      <c r="P104" s="273" t="s">
        <v>83</v>
      </c>
      <c r="Q104" s="274"/>
      <c r="R104" s="274"/>
      <c r="S104" s="274"/>
      <c r="T104" s="274"/>
      <c r="U104" s="274"/>
      <c r="V104" s="275"/>
      <c r="W104" s="37" t="s">
        <v>84</v>
      </c>
      <c r="X104" s="268">
        <f>IFERROR(SUMPRODUCT(X97:X102*H97:H102),"0")</f>
        <v>1108.8</v>
      </c>
      <c r="Y104" s="268">
        <f>IFERROR(SUMPRODUCT(Y97:Y102*H97:H102),"0")</f>
        <v>1108.8</v>
      </c>
      <c r="Z104" s="37"/>
      <c r="AA104" s="269"/>
      <c r="AB104" s="269"/>
      <c r="AC104" s="269"/>
    </row>
    <row r="105" spans="1:68" ht="16.5" hidden="1" customHeight="1" x14ac:dyDescent="0.25">
      <c r="A105" s="284" t="s">
        <v>181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1"/>
      <c r="AB105" s="261"/>
      <c r="AC105" s="261"/>
    </row>
    <row r="106" spans="1:68" ht="14.25" hidden="1" customHeight="1" x14ac:dyDescent="0.25">
      <c r="A106" s="312" t="s">
        <v>131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0"/>
      <c r="AB106" s="260"/>
      <c r="AC106" s="260"/>
    </row>
    <row r="107" spans="1:68" ht="27" hidden="1" customHeight="1" x14ac:dyDescent="0.25">
      <c r="A107" s="54" t="s">
        <v>182</v>
      </c>
      <c r="B107" s="54" t="s">
        <v>183</v>
      </c>
      <c r="C107" s="31">
        <v>4301136070</v>
      </c>
      <c r="D107" s="278">
        <v>4607025784012</v>
      </c>
      <c r="E107" s="279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1"/>
      <c r="R107" s="271"/>
      <c r="S107" s="271"/>
      <c r="T107" s="272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4301136079</v>
      </c>
      <c r="D108" s="278">
        <v>4607025784319</v>
      </c>
      <c r="E108" s="279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1"/>
      <c r="R108" s="271"/>
      <c r="S108" s="271"/>
      <c r="T108" s="272"/>
      <c r="U108" s="34"/>
      <c r="V108" s="34"/>
      <c r="W108" s="35" t="s">
        <v>70</v>
      </c>
      <c r="X108" s="266">
        <v>0</v>
      </c>
      <c r="Y108" s="26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86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7"/>
      <c r="P109" s="273" t="s">
        <v>83</v>
      </c>
      <c r="Q109" s="274"/>
      <c r="R109" s="274"/>
      <c r="S109" s="274"/>
      <c r="T109" s="274"/>
      <c r="U109" s="274"/>
      <c r="V109" s="275"/>
      <c r="W109" s="37" t="s">
        <v>70</v>
      </c>
      <c r="X109" s="268">
        <f>IFERROR(SUM(X107:X108),"0")</f>
        <v>0</v>
      </c>
      <c r="Y109" s="268">
        <f>IFERROR(SUM(Y107:Y108),"0")</f>
        <v>0</v>
      </c>
      <c r="Z109" s="268">
        <f>IFERROR(IF(Z107="",0,Z107),"0")+IFERROR(IF(Z108="",0,Z108),"0")</f>
        <v>0</v>
      </c>
      <c r="AA109" s="269"/>
      <c r="AB109" s="269"/>
      <c r="AC109" s="269"/>
    </row>
    <row r="110" spans="1:68" hidden="1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7"/>
      <c r="P110" s="273" t="s">
        <v>83</v>
      </c>
      <c r="Q110" s="274"/>
      <c r="R110" s="274"/>
      <c r="S110" s="274"/>
      <c r="T110" s="274"/>
      <c r="U110" s="274"/>
      <c r="V110" s="275"/>
      <c r="W110" s="37" t="s">
        <v>84</v>
      </c>
      <c r="X110" s="268">
        <f>IFERROR(SUMPRODUCT(X107:X108*H107:H108),"0")</f>
        <v>0</v>
      </c>
      <c r="Y110" s="268">
        <f>IFERROR(SUMPRODUCT(Y107:Y108*H107:H108),"0")</f>
        <v>0</v>
      </c>
      <c r="Z110" s="37"/>
      <c r="AA110" s="269"/>
      <c r="AB110" s="269"/>
      <c r="AC110" s="269"/>
    </row>
    <row r="111" spans="1:68" ht="16.5" hidden="1" customHeight="1" x14ac:dyDescent="0.25">
      <c r="A111" s="284" t="s">
        <v>187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1"/>
      <c r="AB111" s="261"/>
      <c r="AC111" s="261"/>
    </row>
    <row r="112" spans="1:68" ht="14.25" hidden="1" customHeight="1" x14ac:dyDescent="0.25">
      <c r="A112" s="312" t="s">
        <v>64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0"/>
      <c r="AB112" s="260"/>
      <c r="AC112" s="260"/>
    </row>
    <row r="113" spans="1:68" ht="27" hidden="1" customHeight="1" x14ac:dyDescent="0.25">
      <c r="A113" s="54" t="s">
        <v>188</v>
      </c>
      <c r="B113" s="54" t="s">
        <v>189</v>
      </c>
      <c r="C113" s="31">
        <v>4301071074</v>
      </c>
      <c r="D113" s="278">
        <v>4620207491157</v>
      </c>
      <c r="E113" s="279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3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1"/>
      <c r="R113" s="271"/>
      <c r="S113" s="271"/>
      <c r="T113" s="272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190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4301071121</v>
      </c>
      <c r="D114" s="278">
        <v>4620207491393</v>
      </c>
      <c r="E114" s="279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1"/>
      <c r="R114" s="271"/>
      <c r="S114" s="271"/>
      <c r="T114" s="272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78">
        <v>4607111039262</v>
      </c>
      <c r="E115" s="279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1"/>
      <c r="R115" s="271"/>
      <c r="S115" s="271"/>
      <c r="T115" s="272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151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8">
        <v>4607111039248</v>
      </c>
      <c r="E116" s="279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1"/>
      <c r="R116" s="271"/>
      <c r="S116" s="271"/>
      <c r="T116" s="272"/>
      <c r="U116" s="34"/>
      <c r="V116" s="34"/>
      <c r="W116" s="35" t="s">
        <v>70</v>
      </c>
      <c r="X116" s="266">
        <v>84</v>
      </c>
      <c r="Y116" s="267">
        <f t="shared" si="12"/>
        <v>84</v>
      </c>
      <c r="Z116" s="36">
        <f t="shared" si="13"/>
        <v>1.302</v>
      </c>
      <c r="AA116" s="56"/>
      <c r="AB116" s="57"/>
      <c r="AC116" s="152" t="s">
        <v>151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8">
        <v>4607111037145</v>
      </c>
      <c r="E117" s="279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1"/>
      <c r="R117" s="271"/>
      <c r="S117" s="271"/>
      <c r="T117" s="272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78">
        <v>4607111039293</v>
      </c>
      <c r="E118" s="279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1"/>
      <c r="R118" s="271"/>
      <c r="S118" s="271"/>
      <c r="T118" s="272"/>
      <c r="U118" s="34"/>
      <c r="V118" s="34"/>
      <c r="W118" s="35" t="s">
        <v>70</v>
      </c>
      <c r="X118" s="266">
        <v>0</v>
      </c>
      <c r="Y118" s="267">
        <f t="shared" si="12"/>
        <v>0</v>
      </c>
      <c r="Z118" s="36">
        <f t="shared" si="13"/>
        <v>0</v>
      </c>
      <c r="AA118" s="56"/>
      <c r="AB118" s="57"/>
      <c r="AC118" s="156" t="s">
        <v>151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203</v>
      </c>
      <c r="B119" s="54" t="s">
        <v>204</v>
      </c>
      <c r="C119" s="31">
        <v>4301071039</v>
      </c>
      <c r="D119" s="278">
        <v>4607111039279</v>
      </c>
      <c r="E119" s="279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1"/>
      <c r="R119" s="271"/>
      <c r="S119" s="271"/>
      <c r="T119" s="272"/>
      <c r="U119" s="34"/>
      <c r="V119" s="34"/>
      <c r="W119" s="35" t="s">
        <v>70</v>
      </c>
      <c r="X119" s="266">
        <v>0</v>
      </c>
      <c r="Y119" s="267">
        <f t="shared" si="12"/>
        <v>0</v>
      </c>
      <c r="Z119" s="36">
        <f t="shared" si="13"/>
        <v>0</v>
      </c>
      <c r="AA119" s="56"/>
      <c r="AB119" s="57"/>
      <c r="AC119" s="158" t="s">
        <v>151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x14ac:dyDescent="0.2">
      <c r="A120" s="286"/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7"/>
      <c r="P120" s="273" t="s">
        <v>83</v>
      </c>
      <c r="Q120" s="274"/>
      <c r="R120" s="274"/>
      <c r="S120" s="274"/>
      <c r="T120" s="274"/>
      <c r="U120" s="274"/>
      <c r="V120" s="275"/>
      <c r="W120" s="37" t="s">
        <v>70</v>
      </c>
      <c r="X120" s="268">
        <f>IFERROR(SUM(X113:X119),"0")</f>
        <v>84</v>
      </c>
      <c r="Y120" s="268">
        <f>IFERROR(SUM(Y113:Y119),"0")</f>
        <v>84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1.302</v>
      </c>
      <c r="AA120" s="269"/>
      <c r="AB120" s="269"/>
      <c r="AC120" s="269"/>
    </row>
    <row r="121" spans="1:68" x14ac:dyDescent="0.2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7"/>
      <c r="P121" s="273" t="s">
        <v>83</v>
      </c>
      <c r="Q121" s="274"/>
      <c r="R121" s="274"/>
      <c r="S121" s="274"/>
      <c r="T121" s="274"/>
      <c r="U121" s="274"/>
      <c r="V121" s="275"/>
      <c r="W121" s="37" t="s">
        <v>84</v>
      </c>
      <c r="X121" s="268">
        <f>IFERROR(SUMPRODUCT(X113:X119*H113:H119),"0")</f>
        <v>588</v>
      </c>
      <c r="Y121" s="268">
        <f>IFERROR(SUMPRODUCT(Y113:Y119*H113:H119),"0")</f>
        <v>588</v>
      </c>
      <c r="Z121" s="37"/>
      <c r="AA121" s="269"/>
      <c r="AB121" s="269"/>
      <c r="AC121" s="269"/>
    </row>
    <row r="122" spans="1:68" ht="14.25" hidden="1" customHeight="1" x14ac:dyDescent="0.25">
      <c r="A122" s="312" t="s">
        <v>137</v>
      </c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  <c r="AA122" s="260"/>
      <c r="AB122" s="260"/>
      <c r="AC122" s="260"/>
    </row>
    <row r="123" spans="1:68" ht="27" hidden="1" customHeight="1" x14ac:dyDescent="0.25">
      <c r="A123" s="54" t="s">
        <v>205</v>
      </c>
      <c r="B123" s="54" t="s">
        <v>206</v>
      </c>
      <c r="C123" s="31">
        <v>4301135670</v>
      </c>
      <c r="D123" s="278">
        <v>4620207490983</v>
      </c>
      <c r="E123" s="279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40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1"/>
      <c r="R123" s="271"/>
      <c r="S123" s="271"/>
      <c r="T123" s="272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207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208</v>
      </c>
      <c r="B124" s="54" t="s">
        <v>209</v>
      </c>
      <c r="C124" s="31">
        <v>4301135826</v>
      </c>
      <c r="D124" s="278">
        <v>4620207490983</v>
      </c>
      <c r="E124" s="279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4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1"/>
      <c r="R124" s="271"/>
      <c r="S124" s="271"/>
      <c r="T124" s="272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6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7"/>
      <c r="P125" s="273" t="s">
        <v>83</v>
      </c>
      <c r="Q125" s="274"/>
      <c r="R125" s="274"/>
      <c r="S125" s="274"/>
      <c r="T125" s="274"/>
      <c r="U125" s="274"/>
      <c r="V125" s="275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hidden="1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7"/>
      <c r="P126" s="273" t="s">
        <v>83</v>
      </c>
      <c r="Q126" s="274"/>
      <c r="R126" s="274"/>
      <c r="S126" s="274"/>
      <c r="T126" s="274"/>
      <c r="U126" s="274"/>
      <c r="V126" s="275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hidden="1" customHeight="1" x14ac:dyDescent="0.25">
      <c r="A127" s="312" t="s">
        <v>211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0"/>
      <c r="AB127" s="260"/>
      <c r="AC127" s="260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78">
        <v>4620207491140</v>
      </c>
      <c r="E128" s="279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1"/>
      <c r="R128" s="271"/>
      <c r="S128" s="271"/>
      <c r="T128" s="272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6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7"/>
      <c r="P129" s="273" t="s">
        <v>83</v>
      </c>
      <c r="Q129" s="274"/>
      <c r="R129" s="274"/>
      <c r="S129" s="274"/>
      <c r="T129" s="274"/>
      <c r="U129" s="274"/>
      <c r="V129" s="275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hidden="1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7"/>
      <c r="P130" s="273" t="s">
        <v>83</v>
      </c>
      <c r="Q130" s="274"/>
      <c r="R130" s="274"/>
      <c r="S130" s="274"/>
      <c r="T130" s="274"/>
      <c r="U130" s="274"/>
      <c r="V130" s="275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hidden="1" customHeight="1" x14ac:dyDescent="0.25">
      <c r="A131" s="284" t="s">
        <v>215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1"/>
      <c r="AB131" s="261"/>
      <c r="AC131" s="261"/>
    </row>
    <row r="132" spans="1:68" ht="14.25" hidden="1" customHeight="1" x14ac:dyDescent="0.25">
      <c r="A132" s="312" t="s">
        <v>137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0"/>
      <c r="AB132" s="260"/>
      <c r="AC132" s="260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8">
        <v>4607111034014</v>
      </c>
      <c r="E133" s="279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2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1"/>
      <c r="R133" s="271"/>
      <c r="S133" s="271"/>
      <c r="T133" s="272"/>
      <c r="U133" s="34"/>
      <c r="V133" s="34"/>
      <c r="W133" s="35" t="s">
        <v>70</v>
      </c>
      <c r="X133" s="266">
        <v>210</v>
      </c>
      <c r="Y133" s="267">
        <f>IFERROR(IF(X133="","",X133),"")</f>
        <v>210</v>
      </c>
      <c r="Z133" s="36">
        <f>IFERROR(IF(X133="","",X133*0.01788),"")</f>
        <v>3.7547999999999999</v>
      </c>
      <c r="AA133" s="56"/>
      <c r="AB133" s="57"/>
      <c r="AC133" s="166" t="s">
        <v>218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777.75599999999997</v>
      </c>
      <c r="BN133" s="67">
        <f>IFERROR(Y133*I133,"0")</f>
        <v>777.75599999999997</v>
      </c>
      <c r="BO133" s="67">
        <f>IFERROR(X133/J133,"0")</f>
        <v>3</v>
      </c>
      <c r="BP133" s="67">
        <f>IFERROR(Y133/J133,"0")</f>
        <v>3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8">
        <v>4607111033994</v>
      </c>
      <c r="E134" s="279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140</v>
      </c>
      <c r="M134" s="33" t="s">
        <v>69</v>
      </c>
      <c r="N134" s="33"/>
      <c r="O134" s="32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1"/>
      <c r="R134" s="271"/>
      <c r="S134" s="271"/>
      <c r="T134" s="272"/>
      <c r="U134" s="34"/>
      <c r="V134" s="34"/>
      <c r="W134" s="35" t="s">
        <v>70</v>
      </c>
      <c r="X134" s="266">
        <v>140</v>
      </c>
      <c r="Y134" s="267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157</v>
      </c>
      <c r="AG134" s="67"/>
      <c r="AJ134" s="71" t="s">
        <v>141</v>
      </c>
      <c r="AK134" s="71">
        <v>70</v>
      </c>
      <c r="BB134" s="169" t="s">
        <v>100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x14ac:dyDescent="0.2">
      <c r="A135" s="286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7"/>
      <c r="P135" s="273" t="s">
        <v>83</v>
      </c>
      <c r="Q135" s="274"/>
      <c r="R135" s="274"/>
      <c r="S135" s="274"/>
      <c r="T135" s="274"/>
      <c r="U135" s="274"/>
      <c r="V135" s="275"/>
      <c r="W135" s="37" t="s">
        <v>70</v>
      </c>
      <c r="X135" s="268">
        <f>IFERROR(SUM(X133:X134),"0")</f>
        <v>350</v>
      </c>
      <c r="Y135" s="268">
        <f>IFERROR(SUM(Y133:Y134),"0")</f>
        <v>350</v>
      </c>
      <c r="Z135" s="268">
        <f>IFERROR(IF(Z133="",0,Z133),"0")+IFERROR(IF(Z134="",0,Z134),"0")</f>
        <v>6.258</v>
      </c>
      <c r="AA135" s="269"/>
      <c r="AB135" s="269"/>
      <c r="AC135" s="269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7"/>
      <c r="P136" s="273" t="s">
        <v>83</v>
      </c>
      <c r="Q136" s="274"/>
      <c r="R136" s="274"/>
      <c r="S136" s="274"/>
      <c r="T136" s="274"/>
      <c r="U136" s="274"/>
      <c r="V136" s="275"/>
      <c r="W136" s="37" t="s">
        <v>84</v>
      </c>
      <c r="X136" s="268">
        <f>IFERROR(SUMPRODUCT(X133:X134*H133:H134),"0")</f>
        <v>1050</v>
      </c>
      <c r="Y136" s="268">
        <f>IFERROR(SUMPRODUCT(Y133:Y134*H133:H134),"0")</f>
        <v>1050</v>
      </c>
      <c r="Z136" s="37"/>
      <c r="AA136" s="269"/>
      <c r="AB136" s="269"/>
      <c r="AC136" s="269"/>
    </row>
    <row r="137" spans="1:68" ht="16.5" hidden="1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1"/>
      <c r="AB137" s="261"/>
      <c r="AC137" s="261"/>
    </row>
    <row r="138" spans="1:68" ht="14.25" hidden="1" customHeight="1" x14ac:dyDescent="0.25">
      <c r="A138" s="312" t="s">
        <v>137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0"/>
      <c r="AB138" s="260"/>
      <c r="AC138" s="260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8">
        <v>4607111039095</v>
      </c>
      <c r="E139" s="279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41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1"/>
      <c r="R139" s="271"/>
      <c r="S139" s="271"/>
      <c r="T139" s="272"/>
      <c r="U139" s="34"/>
      <c r="V139" s="34"/>
      <c r="W139" s="35" t="s">
        <v>70</v>
      </c>
      <c r="X139" s="266">
        <v>210</v>
      </c>
      <c r="Y139" s="267">
        <f>IFERROR(IF(X139="","",X139),"")</f>
        <v>210</v>
      </c>
      <c r="Z139" s="36">
        <f>IFERROR(IF(X139="","",X139*0.01788),"")</f>
        <v>3.7547999999999999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787.08</v>
      </c>
      <c r="BN139" s="67">
        <f>IFERROR(Y139*I139,"0")</f>
        <v>787.08</v>
      </c>
      <c r="BO139" s="67">
        <f>IFERROR(X139/J139,"0")</f>
        <v>3</v>
      </c>
      <c r="BP139" s="67">
        <f>IFERROR(Y139/J139,"0")</f>
        <v>3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8">
        <v>4607111034199</v>
      </c>
      <c r="E140" s="279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5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1"/>
      <c r="R140" s="271"/>
      <c r="S140" s="271"/>
      <c r="T140" s="272"/>
      <c r="U140" s="34"/>
      <c r="V140" s="34"/>
      <c r="W140" s="35" t="s">
        <v>70</v>
      </c>
      <c r="X140" s="266">
        <v>210</v>
      </c>
      <c r="Y140" s="267">
        <f>IFERROR(IF(X140="","",X140),"")</f>
        <v>210</v>
      </c>
      <c r="Z140" s="36">
        <f>IFERROR(IF(X140="","",X140*0.01788),"")</f>
        <v>3.7547999999999999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777.75599999999997</v>
      </c>
      <c r="BN140" s="67">
        <f>IFERROR(Y140*I140,"0")</f>
        <v>777.75599999999997</v>
      </c>
      <c r="BO140" s="67">
        <f>IFERROR(X140/J140,"0")</f>
        <v>3</v>
      </c>
      <c r="BP140" s="67">
        <f>IFERROR(Y140/J140,"0")</f>
        <v>3</v>
      </c>
    </row>
    <row r="141" spans="1:68" x14ac:dyDescent="0.2">
      <c r="A141" s="286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7"/>
      <c r="P141" s="273" t="s">
        <v>83</v>
      </c>
      <c r="Q141" s="274"/>
      <c r="R141" s="274"/>
      <c r="S141" s="274"/>
      <c r="T141" s="274"/>
      <c r="U141" s="274"/>
      <c r="V141" s="275"/>
      <c r="W141" s="37" t="s">
        <v>70</v>
      </c>
      <c r="X141" s="268">
        <f>IFERROR(SUM(X139:X140),"0")</f>
        <v>420</v>
      </c>
      <c r="Y141" s="268">
        <f>IFERROR(SUM(Y139:Y140),"0")</f>
        <v>420</v>
      </c>
      <c r="Z141" s="268">
        <f>IFERROR(IF(Z139="",0,Z139),"0")+IFERROR(IF(Z140="",0,Z140),"0")</f>
        <v>7.5095999999999998</v>
      </c>
      <c r="AA141" s="269"/>
      <c r="AB141" s="269"/>
      <c r="AC141" s="269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7"/>
      <c r="P142" s="273" t="s">
        <v>83</v>
      </c>
      <c r="Q142" s="274"/>
      <c r="R142" s="274"/>
      <c r="S142" s="274"/>
      <c r="T142" s="274"/>
      <c r="U142" s="274"/>
      <c r="V142" s="275"/>
      <c r="W142" s="37" t="s">
        <v>84</v>
      </c>
      <c r="X142" s="268">
        <f>IFERROR(SUMPRODUCT(X139:X140*H139:H140),"0")</f>
        <v>1260</v>
      </c>
      <c r="Y142" s="268">
        <f>IFERROR(SUMPRODUCT(Y139:Y140*H139:H140),"0")</f>
        <v>1260</v>
      </c>
      <c r="Z142" s="37"/>
      <c r="AA142" s="269"/>
      <c r="AB142" s="269"/>
      <c r="AC142" s="269"/>
    </row>
    <row r="143" spans="1:68" ht="16.5" hidden="1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1"/>
      <c r="AB143" s="261"/>
      <c r="AC143" s="261"/>
    </row>
    <row r="144" spans="1:68" ht="14.25" hidden="1" customHeight="1" x14ac:dyDescent="0.25">
      <c r="A144" s="312" t="s">
        <v>137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0"/>
      <c r="AB144" s="260"/>
      <c r="AC144" s="260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78">
        <v>4620207490914</v>
      </c>
      <c r="E145" s="279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1"/>
      <c r="R145" s="271"/>
      <c r="S145" s="271"/>
      <c r="T145" s="272"/>
      <c r="U145" s="34"/>
      <c r="V145" s="34"/>
      <c r="W145" s="35" t="s">
        <v>70</v>
      </c>
      <c r="X145" s="266">
        <v>0</v>
      </c>
      <c r="Y145" s="267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78">
        <v>4620207490853</v>
      </c>
      <c r="E146" s="279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3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1"/>
      <c r="R146" s="271"/>
      <c r="S146" s="271"/>
      <c r="T146" s="272"/>
      <c r="U146" s="34"/>
      <c r="V146" s="34"/>
      <c r="W146" s="35" t="s">
        <v>70</v>
      </c>
      <c r="X146" s="266">
        <v>0</v>
      </c>
      <c r="Y146" s="26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86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7"/>
      <c r="P147" s="273" t="s">
        <v>83</v>
      </c>
      <c r="Q147" s="274"/>
      <c r="R147" s="274"/>
      <c r="S147" s="274"/>
      <c r="T147" s="274"/>
      <c r="U147" s="274"/>
      <c r="V147" s="275"/>
      <c r="W147" s="37" t="s">
        <v>70</v>
      </c>
      <c r="X147" s="268">
        <f>IFERROR(SUM(X145:X146),"0")</f>
        <v>0</v>
      </c>
      <c r="Y147" s="268">
        <f>IFERROR(SUM(Y145:Y146),"0")</f>
        <v>0</v>
      </c>
      <c r="Z147" s="268">
        <f>IFERROR(IF(Z145="",0,Z145),"0")+IFERROR(IF(Z146="",0,Z146),"0")</f>
        <v>0</v>
      </c>
      <c r="AA147" s="269"/>
      <c r="AB147" s="269"/>
      <c r="AC147" s="269"/>
    </row>
    <row r="148" spans="1:68" hidden="1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7"/>
      <c r="P148" s="273" t="s">
        <v>83</v>
      </c>
      <c r="Q148" s="274"/>
      <c r="R148" s="274"/>
      <c r="S148" s="274"/>
      <c r="T148" s="274"/>
      <c r="U148" s="274"/>
      <c r="V148" s="275"/>
      <c r="W148" s="37" t="s">
        <v>84</v>
      </c>
      <c r="X148" s="268">
        <f>IFERROR(SUMPRODUCT(X145:X146*H145:H146),"0")</f>
        <v>0</v>
      </c>
      <c r="Y148" s="268">
        <f>IFERROR(SUMPRODUCT(Y145:Y146*H145:H146),"0")</f>
        <v>0</v>
      </c>
      <c r="Z148" s="37"/>
      <c r="AA148" s="269"/>
      <c r="AB148" s="269"/>
      <c r="AC148" s="269"/>
    </row>
    <row r="149" spans="1:68" ht="16.5" hidden="1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1"/>
      <c r="AB149" s="261"/>
      <c r="AC149" s="261"/>
    </row>
    <row r="150" spans="1:68" ht="14.25" hidden="1" customHeight="1" x14ac:dyDescent="0.25">
      <c r="A150" s="312" t="s">
        <v>137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0"/>
      <c r="AB150" s="260"/>
      <c r="AC150" s="260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78">
        <v>4607111035806</v>
      </c>
      <c r="E151" s="279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1"/>
      <c r="R151" s="271"/>
      <c r="S151" s="271"/>
      <c r="T151" s="272"/>
      <c r="U151" s="34"/>
      <c r="V151" s="34"/>
      <c r="W151" s="35" t="s">
        <v>70</v>
      </c>
      <c r="X151" s="266">
        <v>0</v>
      </c>
      <c r="Y151" s="267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86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7"/>
      <c r="P152" s="273" t="s">
        <v>83</v>
      </c>
      <c r="Q152" s="274"/>
      <c r="R152" s="274"/>
      <c r="S152" s="274"/>
      <c r="T152" s="274"/>
      <c r="U152" s="274"/>
      <c r="V152" s="275"/>
      <c r="W152" s="37" t="s">
        <v>70</v>
      </c>
      <c r="X152" s="268">
        <f>IFERROR(SUM(X151:X151),"0")</f>
        <v>0</v>
      </c>
      <c r="Y152" s="268">
        <f>IFERROR(SUM(Y151:Y151),"0")</f>
        <v>0</v>
      </c>
      <c r="Z152" s="268">
        <f>IFERROR(IF(Z151="",0,Z151),"0")</f>
        <v>0</v>
      </c>
      <c r="AA152" s="269"/>
      <c r="AB152" s="269"/>
      <c r="AC152" s="269"/>
    </row>
    <row r="153" spans="1:68" hidden="1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7"/>
      <c r="P153" s="273" t="s">
        <v>83</v>
      </c>
      <c r="Q153" s="274"/>
      <c r="R153" s="274"/>
      <c r="S153" s="274"/>
      <c r="T153" s="274"/>
      <c r="U153" s="274"/>
      <c r="V153" s="275"/>
      <c r="W153" s="37" t="s">
        <v>84</v>
      </c>
      <c r="X153" s="268">
        <f>IFERROR(SUMPRODUCT(X151:X151*H151:H151),"0")</f>
        <v>0</v>
      </c>
      <c r="Y153" s="268">
        <f>IFERROR(SUMPRODUCT(Y151:Y151*H151:H151),"0")</f>
        <v>0</v>
      </c>
      <c r="Z153" s="37"/>
      <c r="AA153" s="269"/>
      <c r="AB153" s="269"/>
      <c r="AC153" s="269"/>
    </row>
    <row r="154" spans="1:68" ht="16.5" hidden="1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1"/>
      <c r="AB154" s="261"/>
      <c r="AC154" s="261"/>
    </row>
    <row r="155" spans="1:68" ht="14.25" hidden="1" customHeight="1" x14ac:dyDescent="0.25">
      <c r="A155" s="312" t="s">
        <v>137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0"/>
      <c r="AB155" s="260"/>
      <c r="AC155" s="260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8">
        <v>4607111039613</v>
      </c>
      <c r="E156" s="279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8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1"/>
      <c r="R156" s="271"/>
      <c r="S156" s="271"/>
      <c r="T156" s="272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86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7"/>
      <c r="P157" s="273" t="s">
        <v>83</v>
      </c>
      <c r="Q157" s="274"/>
      <c r="R157" s="274"/>
      <c r="S157" s="274"/>
      <c r="T157" s="274"/>
      <c r="U157" s="274"/>
      <c r="V157" s="275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hidden="1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7"/>
      <c r="P158" s="273" t="s">
        <v>83</v>
      </c>
      <c r="Q158" s="274"/>
      <c r="R158" s="274"/>
      <c r="S158" s="274"/>
      <c r="T158" s="274"/>
      <c r="U158" s="274"/>
      <c r="V158" s="275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hidden="1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1"/>
      <c r="AB159" s="261"/>
      <c r="AC159" s="261"/>
    </row>
    <row r="160" spans="1:68" ht="14.25" hidden="1" customHeight="1" x14ac:dyDescent="0.25">
      <c r="A160" s="312" t="s">
        <v>211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0"/>
      <c r="AB160" s="260"/>
      <c r="AC160" s="260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8">
        <v>4607111035646</v>
      </c>
      <c r="E161" s="279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9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1"/>
      <c r="R161" s="271"/>
      <c r="S161" s="271"/>
      <c r="T161" s="272"/>
      <c r="U161" s="34"/>
      <c r="V161" s="34"/>
      <c r="W161" s="35" t="s">
        <v>70</v>
      </c>
      <c r="X161" s="266">
        <v>72</v>
      </c>
      <c r="Y161" s="267">
        <f>IFERROR(IF(X161="","",X161),"")</f>
        <v>72</v>
      </c>
      <c r="Z161" s="36">
        <f>IFERROR(IF(X161="","",X161*0.01157),"")</f>
        <v>0.83304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152.64000000000001</v>
      </c>
      <c r="BN161" s="67">
        <f>IFERROR(Y161*I161,"0")</f>
        <v>152.64000000000001</v>
      </c>
      <c r="BO161" s="67">
        <f>IFERROR(X161/J161,"0")</f>
        <v>1</v>
      </c>
      <c r="BP161" s="67">
        <f>IFERROR(Y161/J161,"0")</f>
        <v>1</v>
      </c>
    </row>
    <row r="162" spans="1:68" x14ac:dyDescent="0.2">
      <c r="A162" s="286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7"/>
      <c r="P162" s="273" t="s">
        <v>83</v>
      </c>
      <c r="Q162" s="274"/>
      <c r="R162" s="274"/>
      <c r="S162" s="274"/>
      <c r="T162" s="274"/>
      <c r="U162" s="274"/>
      <c r="V162" s="275"/>
      <c r="W162" s="37" t="s">
        <v>70</v>
      </c>
      <c r="X162" s="268">
        <f>IFERROR(SUM(X161:X161),"0")</f>
        <v>72</v>
      </c>
      <c r="Y162" s="268">
        <f>IFERROR(SUM(Y161:Y161),"0")</f>
        <v>72</v>
      </c>
      <c r="Z162" s="268">
        <f>IFERROR(IF(Z161="",0,Z161),"0")</f>
        <v>0.83304</v>
      </c>
      <c r="AA162" s="269"/>
      <c r="AB162" s="269"/>
      <c r="AC162" s="269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7"/>
      <c r="P163" s="273" t="s">
        <v>83</v>
      </c>
      <c r="Q163" s="274"/>
      <c r="R163" s="274"/>
      <c r="S163" s="274"/>
      <c r="T163" s="274"/>
      <c r="U163" s="274"/>
      <c r="V163" s="275"/>
      <c r="W163" s="37" t="s">
        <v>84</v>
      </c>
      <c r="X163" s="268">
        <f>IFERROR(SUMPRODUCT(X161:X161*H161:H161),"0")</f>
        <v>115.2</v>
      </c>
      <c r="Y163" s="268">
        <f>IFERROR(SUMPRODUCT(Y161:Y161*H161:H161),"0")</f>
        <v>115.2</v>
      </c>
      <c r="Z163" s="37"/>
      <c r="AA163" s="269"/>
      <c r="AB163" s="269"/>
      <c r="AC163" s="269"/>
    </row>
    <row r="164" spans="1:68" ht="16.5" hidden="1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1"/>
      <c r="AB164" s="261"/>
      <c r="AC164" s="261"/>
    </row>
    <row r="165" spans="1:68" ht="14.25" hidden="1" customHeight="1" x14ac:dyDescent="0.25">
      <c r="A165" s="312" t="s">
        <v>137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0"/>
      <c r="AB165" s="260"/>
      <c r="AC165" s="260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8">
        <v>4607111036568</v>
      </c>
      <c r="E166" s="279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1"/>
      <c r="R166" s="271"/>
      <c r="S166" s="271"/>
      <c r="T166" s="272"/>
      <c r="U166" s="34"/>
      <c r="V166" s="34"/>
      <c r="W166" s="35" t="s">
        <v>70</v>
      </c>
      <c r="X166" s="266">
        <v>140</v>
      </c>
      <c r="Y166" s="267">
        <f>IFERROR(IF(X166="","",X166),"")</f>
        <v>140</v>
      </c>
      <c r="Z166" s="36">
        <f>IFERROR(IF(X166="","",X166*0.00941),"")</f>
        <v>1.3173999999999999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294.25200000000001</v>
      </c>
      <c r="BN166" s="67">
        <f>IFERROR(Y166*I166,"0")</f>
        <v>294.25200000000001</v>
      </c>
      <c r="BO166" s="67">
        <f>IFERROR(X166/J166,"0")</f>
        <v>1</v>
      </c>
      <c r="BP166" s="67">
        <f>IFERROR(Y166/J166,"0")</f>
        <v>1</v>
      </c>
    </row>
    <row r="167" spans="1:68" x14ac:dyDescent="0.2">
      <c r="A167" s="286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7"/>
      <c r="P167" s="273" t="s">
        <v>83</v>
      </c>
      <c r="Q167" s="274"/>
      <c r="R167" s="274"/>
      <c r="S167" s="274"/>
      <c r="T167" s="274"/>
      <c r="U167" s="274"/>
      <c r="V167" s="275"/>
      <c r="W167" s="37" t="s">
        <v>70</v>
      </c>
      <c r="X167" s="268">
        <f>IFERROR(SUM(X166:X166),"0")</f>
        <v>140</v>
      </c>
      <c r="Y167" s="268">
        <f>IFERROR(SUM(Y166:Y166),"0")</f>
        <v>140</v>
      </c>
      <c r="Z167" s="268">
        <f>IFERROR(IF(Z166="",0,Z166),"0")</f>
        <v>1.3173999999999999</v>
      </c>
      <c r="AA167" s="269"/>
      <c r="AB167" s="269"/>
      <c r="AC167" s="269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7"/>
      <c r="P168" s="273" t="s">
        <v>83</v>
      </c>
      <c r="Q168" s="274"/>
      <c r="R168" s="274"/>
      <c r="S168" s="274"/>
      <c r="T168" s="274"/>
      <c r="U168" s="274"/>
      <c r="V168" s="275"/>
      <c r="W168" s="37" t="s">
        <v>84</v>
      </c>
      <c r="X168" s="268">
        <f>IFERROR(SUMPRODUCT(X166:X166*H166:H166),"0")</f>
        <v>235.2</v>
      </c>
      <c r="Y168" s="268">
        <f>IFERROR(SUMPRODUCT(Y166:Y166*H166:H166),"0")</f>
        <v>235.2</v>
      </c>
      <c r="Z168" s="37"/>
      <c r="AA168" s="269"/>
      <c r="AB168" s="269"/>
      <c r="AC168" s="269"/>
    </row>
    <row r="169" spans="1:68" ht="27.75" hidden="1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hidden="1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1"/>
      <c r="AB170" s="261"/>
      <c r="AC170" s="261"/>
    </row>
    <row r="171" spans="1:68" ht="14.25" hidden="1" customHeight="1" x14ac:dyDescent="0.25">
      <c r="A171" s="312" t="s">
        <v>64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0"/>
      <c r="AB171" s="260"/>
      <c r="AC171" s="260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8">
        <v>4607111036384</v>
      </c>
      <c r="E172" s="279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32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1"/>
      <c r="R172" s="271"/>
      <c r="S172" s="271"/>
      <c r="T172" s="272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78">
        <v>4607111036216</v>
      </c>
      <c r="E173" s="279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1"/>
      <c r="R173" s="271"/>
      <c r="S173" s="271"/>
      <c r="T173" s="272"/>
      <c r="U173" s="34"/>
      <c r="V173" s="34"/>
      <c r="W173" s="35" t="s">
        <v>70</v>
      </c>
      <c r="X173" s="266">
        <v>0</v>
      </c>
      <c r="Y173" s="267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6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7"/>
      <c r="P174" s="273" t="s">
        <v>83</v>
      </c>
      <c r="Q174" s="274"/>
      <c r="R174" s="274"/>
      <c r="S174" s="274"/>
      <c r="T174" s="274"/>
      <c r="U174" s="274"/>
      <c r="V174" s="275"/>
      <c r="W174" s="37" t="s">
        <v>70</v>
      </c>
      <c r="X174" s="268">
        <f>IFERROR(SUM(X172:X173),"0")</f>
        <v>0</v>
      </c>
      <c r="Y174" s="268">
        <f>IFERROR(SUM(Y172:Y173),"0")</f>
        <v>0</v>
      </c>
      <c r="Z174" s="268">
        <f>IFERROR(IF(Z172="",0,Z172),"0")+IFERROR(IF(Z173="",0,Z173),"0")</f>
        <v>0</v>
      </c>
      <c r="AA174" s="269"/>
      <c r="AB174" s="269"/>
      <c r="AC174" s="269"/>
    </row>
    <row r="175" spans="1:68" hidden="1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7"/>
      <c r="P175" s="273" t="s">
        <v>83</v>
      </c>
      <c r="Q175" s="274"/>
      <c r="R175" s="274"/>
      <c r="S175" s="274"/>
      <c r="T175" s="274"/>
      <c r="U175" s="274"/>
      <c r="V175" s="275"/>
      <c r="W175" s="37" t="s">
        <v>84</v>
      </c>
      <c r="X175" s="268">
        <f>IFERROR(SUMPRODUCT(X172:X173*H172:H173),"0")</f>
        <v>0</v>
      </c>
      <c r="Y175" s="268">
        <f>IFERROR(SUMPRODUCT(Y172:Y173*H172:H173),"0")</f>
        <v>0</v>
      </c>
      <c r="Z175" s="37"/>
      <c r="AA175" s="269"/>
      <c r="AB175" s="269"/>
      <c r="AC175" s="269"/>
    </row>
    <row r="176" spans="1:68" ht="27.75" hidden="1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hidden="1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1"/>
      <c r="AB177" s="261"/>
      <c r="AC177" s="261"/>
    </row>
    <row r="178" spans="1:68" ht="14.25" hidden="1" customHeight="1" x14ac:dyDescent="0.25">
      <c r="A178" s="312" t="s">
        <v>93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0"/>
      <c r="AB178" s="260"/>
      <c r="AC178" s="260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78">
        <v>4607111035691</v>
      </c>
      <c r="E179" s="279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1"/>
      <c r="R179" s="271"/>
      <c r="S179" s="271"/>
      <c r="T179" s="272"/>
      <c r="U179" s="34"/>
      <c r="V179" s="34"/>
      <c r="W179" s="35" t="s">
        <v>70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78">
        <v>4607111035721</v>
      </c>
      <c r="E180" s="279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1"/>
      <c r="R180" s="271"/>
      <c r="S180" s="271"/>
      <c r="T180" s="272"/>
      <c r="U180" s="34"/>
      <c r="V180" s="34"/>
      <c r="W180" s="35" t="s">
        <v>70</v>
      </c>
      <c r="X180" s="266">
        <v>0</v>
      </c>
      <c r="Y180" s="267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78">
        <v>4607111038487</v>
      </c>
      <c r="E181" s="279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1"/>
      <c r="R181" s="271"/>
      <c r="S181" s="271"/>
      <c r="T181" s="272"/>
      <c r="U181" s="34"/>
      <c r="V181" s="34"/>
      <c r="W181" s="35" t="s">
        <v>70</v>
      </c>
      <c r="X181" s="266">
        <v>0</v>
      </c>
      <c r="Y181" s="267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4301132243</v>
      </c>
      <c r="D182" s="278">
        <v>4620207491195</v>
      </c>
      <c r="E182" s="279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1"/>
      <c r="R182" s="271"/>
      <c r="S182" s="271"/>
      <c r="T182" s="272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86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7"/>
      <c r="P183" s="273" t="s">
        <v>83</v>
      </c>
      <c r="Q183" s="274"/>
      <c r="R183" s="274"/>
      <c r="S183" s="274"/>
      <c r="T183" s="274"/>
      <c r="U183" s="274"/>
      <c r="V183" s="275"/>
      <c r="W183" s="37" t="s">
        <v>70</v>
      </c>
      <c r="X183" s="268">
        <f>IFERROR(SUM(X179:X182),"0")</f>
        <v>0</v>
      </c>
      <c r="Y183" s="268">
        <f>IFERROR(SUM(Y179:Y182),"0")</f>
        <v>0</v>
      </c>
      <c r="Z183" s="268">
        <f>IFERROR(IF(Z179="",0,Z179),"0")+IFERROR(IF(Z180="",0,Z180),"0")+IFERROR(IF(Z181="",0,Z181),"0")+IFERROR(IF(Z182="",0,Z182),"0")</f>
        <v>0</v>
      </c>
      <c r="AA183" s="269"/>
      <c r="AB183" s="269"/>
      <c r="AC183" s="269"/>
    </row>
    <row r="184" spans="1:68" hidden="1" x14ac:dyDescent="0.2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7"/>
      <c r="P184" s="273" t="s">
        <v>83</v>
      </c>
      <c r="Q184" s="274"/>
      <c r="R184" s="274"/>
      <c r="S184" s="274"/>
      <c r="T184" s="274"/>
      <c r="U184" s="274"/>
      <c r="V184" s="275"/>
      <c r="W184" s="37" t="s">
        <v>84</v>
      </c>
      <c r="X184" s="268">
        <f>IFERROR(SUMPRODUCT(X179:X182*H179:H182),"0")</f>
        <v>0</v>
      </c>
      <c r="Y184" s="268">
        <f>IFERROR(SUMPRODUCT(Y179:Y182*H179:H182),"0")</f>
        <v>0</v>
      </c>
      <c r="Z184" s="37"/>
      <c r="AA184" s="269"/>
      <c r="AB184" s="269"/>
      <c r="AC184" s="269"/>
    </row>
    <row r="185" spans="1:68" ht="14.25" hidden="1" customHeight="1" x14ac:dyDescent="0.25">
      <c r="A185" s="312" t="s">
        <v>271</v>
      </c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A185" s="260"/>
      <c r="AB185" s="260"/>
      <c r="AC185" s="260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78">
        <v>4680115885875</v>
      </c>
      <c r="E186" s="279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36" t="s">
        <v>276</v>
      </c>
      <c r="Q186" s="271"/>
      <c r="R186" s="271"/>
      <c r="S186" s="271"/>
      <c r="T186" s="272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6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7"/>
      <c r="P187" s="273" t="s">
        <v>83</v>
      </c>
      <c r="Q187" s="274"/>
      <c r="R187" s="274"/>
      <c r="S187" s="274"/>
      <c r="T187" s="274"/>
      <c r="U187" s="274"/>
      <c r="V187" s="275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hidden="1" x14ac:dyDescent="0.2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7"/>
      <c r="P188" s="273" t="s">
        <v>83</v>
      </c>
      <c r="Q188" s="274"/>
      <c r="R188" s="274"/>
      <c r="S188" s="274"/>
      <c r="T188" s="274"/>
      <c r="U188" s="274"/>
      <c r="V188" s="275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hidden="1" customHeight="1" x14ac:dyDescent="0.2">
      <c r="A189" s="282" t="s">
        <v>279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48"/>
      <c r="AB189" s="48"/>
      <c r="AC189" s="48"/>
    </row>
    <row r="190" spans="1:68" ht="16.5" hidden="1" customHeight="1" x14ac:dyDescent="0.25">
      <c r="A190" s="284" t="s">
        <v>280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1"/>
      <c r="AB190" s="261"/>
      <c r="AC190" s="261"/>
    </row>
    <row r="191" spans="1:68" ht="14.25" hidden="1" customHeight="1" x14ac:dyDescent="0.25">
      <c r="A191" s="312" t="s">
        <v>93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60"/>
      <c r="AB191" s="260"/>
      <c r="AC191" s="260"/>
    </row>
    <row r="192" spans="1:68" ht="27" hidden="1" customHeight="1" x14ac:dyDescent="0.25">
      <c r="A192" s="54" t="s">
        <v>281</v>
      </c>
      <c r="B192" s="54" t="s">
        <v>282</v>
      </c>
      <c r="C192" s="31">
        <v>4301132227</v>
      </c>
      <c r="D192" s="278">
        <v>4620207491133</v>
      </c>
      <c r="E192" s="279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1"/>
      <c r="R192" s="271"/>
      <c r="S192" s="271"/>
      <c r="T192" s="272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86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7"/>
      <c r="P193" s="273" t="s">
        <v>83</v>
      </c>
      <c r="Q193" s="274"/>
      <c r="R193" s="274"/>
      <c r="S193" s="274"/>
      <c r="T193" s="274"/>
      <c r="U193" s="274"/>
      <c r="V193" s="275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hidden="1" x14ac:dyDescent="0.2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7"/>
      <c r="P194" s="273" t="s">
        <v>83</v>
      </c>
      <c r="Q194" s="274"/>
      <c r="R194" s="274"/>
      <c r="S194" s="274"/>
      <c r="T194" s="274"/>
      <c r="U194" s="274"/>
      <c r="V194" s="275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hidden="1" customHeight="1" x14ac:dyDescent="0.25">
      <c r="A195" s="312" t="s">
        <v>137</v>
      </c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  <c r="AA195" s="260"/>
      <c r="AB195" s="260"/>
      <c r="AC195" s="260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78">
        <v>4620207491188</v>
      </c>
      <c r="E196" s="279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0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1"/>
      <c r="R196" s="271"/>
      <c r="S196" s="271"/>
      <c r="T196" s="272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78">
        <v>4620207490198</v>
      </c>
      <c r="E197" s="279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6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1"/>
      <c r="R197" s="271"/>
      <c r="S197" s="271"/>
      <c r="T197" s="272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4301135829</v>
      </c>
      <c r="D198" s="278">
        <v>4620207490235</v>
      </c>
      <c r="E198" s="279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1"/>
      <c r="R198" s="271"/>
      <c r="S198" s="271"/>
      <c r="T198" s="272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78">
        <v>4620207490259</v>
      </c>
      <c r="E199" s="279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1"/>
      <c r="R199" s="271"/>
      <c r="S199" s="271"/>
      <c r="T199" s="272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78">
        <v>4620207490143</v>
      </c>
      <c r="E200" s="279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97</v>
      </c>
      <c r="M200" s="33" t="s">
        <v>69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1"/>
      <c r="R200" s="271"/>
      <c r="S200" s="271"/>
      <c r="T200" s="272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6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7"/>
      <c r="P201" s="273" t="s">
        <v>83</v>
      </c>
      <c r="Q201" s="274"/>
      <c r="R201" s="274"/>
      <c r="S201" s="274"/>
      <c r="T201" s="274"/>
      <c r="U201" s="274"/>
      <c r="V201" s="275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hidden="1" x14ac:dyDescent="0.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7"/>
      <c r="P202" s="273" t="s">
        <v>83</v>
      </c>
      <c r="Q202" s="274"/>
      <c r="R202" s="274"/>
      <c r="S202" s="274"/>
      <c r="T202" s="274"/>
      <c r="U202" s="274"/>
      <c r="V202" s="275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hidden="1" customHeight="1" x14ac:dyDescent="0.25">
      <c r="A203" s="284" t="s">
        <v>298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1"/>
      <c r="AB203" s="261"/>
      <c r="AC203" s="261"/>
    </row>
    <row r="204" spans="1:68" ht="14.25" hidden="1" customHeight="1" x14ac:dyDescent="0.25">
      <c r="A204" s="312" t="s">
        <v>64</v>
      </c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60"/>
      <c r="AB204" s="260"/>
      <c r="AC204" s="260"/>
    </row>
    <row r="205" spans="1:68" ht="27" hidden="1" customHeight="1" x14ac:dyDescent="0.25">
      <c r="A205" s="54" t="s">
        <v>299</v>
      </c>
      <c r="B205" s="54" t="s">
        <v>300</v>
      </c>
      <c r="C205" s="31">
        <v>4301071097</v>
      </c>
      <c r="D205" s="278">
        <v>4620207491096</v>
      </c>
      <c r="E205" s="279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1"/>
      <c r="R205" s="271"/>
      <c r="S205" s="271"/>
      <c r="T205" s="272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7"/>
      <c r="P206" s="273" t="s">
        <v>83</v>
      </c>
      <c r="Q206" s="274"/>
      <c r="R206" s="274"/>
      <c r="S206" s="274"/>
      <c r="T206" s="274"/>
      <c r="U206" s="274"/>
      <c r="V206" s="275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hidden="1" x14ac:dyDescent="0.2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7"/>
      <c r="P207" s="273" t="s">
        <v>83</v>
      </c>
      <c r="Q207" s="274"/>
      <c r="R207" s="274"/>
      <c r="S207" s="274"/>
      <c r="T207" s="274"/>
      <c r="U207" s="274"/>
      <c r="V207" s="275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hidden="1" customHeight="1" x14ac:dyDescent="0.25">
      <c r="A208" s="284" t="s">
        <v>302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1"/>
      <c r="AB208" s="261"/>
      <c r="AC208" s="261"/>
    </row>
    <row r="209" spans="1:68" ht="14.25" hidden="1" customHeight="1" x14ac:dyDescent="0.25">
      <c r="A209" s="312" t="s">
        <v>137</v>
      </c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A209" s="260"/>
      <c r="AB209" s="260"/>
      <c r="AC209" s="260"/>
    </row>
    <row r="210" spans="1:68" ht="27" hidden="1" customHeight="1" x14ac:dyDescent="0.25">
      <c r="A210" s="54" t="s">
        <v>303</v>
      </c>
      <c r="B210" s="54" t="s">
        <v>304</v>
      </c>
      <c r="C210" s="31">
        <v>4301135691</v>
      </c>
      <c r="D210" s="278">
        <v>4620207490549</v>
      </c>
      <c r="E210" s="279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97</v>
      </c>
      <c r="M210" s="33" t="s">
        <v>69</v>
      </c>
      <c r="N210" s="33"/>
      <c r="O210" s="32">
        <v>180</v>
      </c>
      <c r="P210" s="37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1"/>
      <c r="R210" s="271"/>
      <c r="S210" s="271"/>
      <c r="T210" s="272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99</v>
      </c>
      <c r="AK210" s="71">
        <v>14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306</v>
      </c>
      <c r="B211" s="54" t="s">
        <v>307</v>
      </c>
      <c r="C211" s="31">
        <v>4301135694</v>
      </c>
      <c r="D211" s="278">
        <v>4620207490501</v>
      </c>
      <c r="E211" s="279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97</v>
      </c>
      <c r="M211" s="33" t="s">
        <v>69</v>
      </c>
      <c r="N211" s="33"/>
      <c r="O211" s="32">
        <v>180</v>
      </c>
      <c r="P211" s="36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1"/>
      <c r="R211" s="271"/>
      <c r="S211" s="271"/>
      <c r="T211" s="272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99</v>
      </c>
      <c r="AK211" s="71">
        <v>14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7"/>
      <c r="P212" s="273" t="s">
        <v>83</v>
      </c>
      <c r="Q212" s="274"/>
      <c r="R212" s="274"/>
      <c r="S212" s="274"/>
      <c r="T212" s="274"/>
      <c r="U212" s="274"/>
      <c r="V212" s="275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hidden="1" x14ac:dyDescent="0.2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7"/>
      <c r="P213" s="273" t="s">
        <v>83</v>
      </c>
      <c r="Q213" s="274"/>
      <c r="R213" s="274"/>
      <c r="S213" s="274"/>
      <c r="T213" s="274"/>
      <c r="U213" s="274"/>
      <c r="V213" s="275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hidden="1" customHeight="1" x14ac:dyDescent="0.2">
      <c r="A214" s="282" t="s">
        <v>308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48"/>
      <c r="AB214" s="48"/>
      <c r="AC214" s="48"/>
    </row>
    <row r="215" spans="1:68" ht="16.5" hidden="1" customHeight="1" x14ac:dyDescent="0.25">
      <c r="A215" s="284" t="s">
        <v>309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61"/>
      <c r="AB215" s="261"/>
      <c r="AC215" s="261"/>
    </row>
    <row r="216" spans="1:68" ht="14.25" hidden="1" customHeight="1" x14ac:dyDescent="0.25">
      <c r="A216" s="312" t="s">
        <v>64</v>
      </c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60"/>
      <c r="AB216" s="260"/>
      <c r="AC216" s="260"/>
    </row>
    <row r="217" spans="1:68" ht="27" hidden="1" customHeight="1" x14ac:dyDescent="0.25">
      <c r="A217" s="54" t="s">
        <v>310</v>
      </c>
      <c r="B217" s="54" t="s">
        <v>311</v>
      </c>
      <c r="C217" s="31">
        <v>4301071036</v>
      </c>
      <c r="D217" s="278">
        <v>4607111036162</v>
      </c>
      <c r="E217" s="279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1"/>
      <c r="R217" s="271"/>
      <c r="S217" s="271"/>
      <c r="T217" s="272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7"/>
      <c r="P218" s="273" t="s">
        <v>83</v>
      </c>
      <c r="Q218" s="274"/>
      <c r="R218" s="274"/>
      <c r="S218" s="274"/>
      <c r="T218" s="274"/>
      <c r="U218" s="274"/>
      <c r="V218" s="275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hidden="1" x14ac:dyDescent="0.2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7"/>
      <c r="P219" s="273" t="s">
        <v>83</v>
      </c>
      <c r="Q219" s="274"/>
      <c r="R219" s="274"/>
      <c r="S219" s="274"/>
      <c r="T219" s="274"/>
      <c r="U219" s="274"/>
      <c r="V219" s="275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hidden="1" customHeight="1" x14ac:dyDescent="0.2">
      <c r="A220" s="282" t="s">
        <v>313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48"/>
      <c r="AB220" s="48"/>
      <c r="AC220" s="48"/>
    </row>
    <row r="221" spans="1:68" ht="16.5" hidden="1" customHeight="1" x14ac:dyDescent="0.25">
      <c r="A221" s="284" t="s">
        <v>314</v>
      </c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61"/>
      <c r="AB221" s="261"/>
      <c r="AC221" s="261"/>
    </row>
    <row r="222" spans="1:68" ht="14.25" hidden="1" customHeight="1" x14ac:dyDescent="0.25">
      <c r="A222" s="312" t="s">
        <v>64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60"/>
      <c r="AB222" s="260"/>
      <c r="AC222" s="260"/>
    </row>
    <row r="223" spans="1:68" ht="27" hidden="1" customHeight="1" x14ac:dyDescent="0.25">
      <c r="A223" s="54" t="s">
        <v>315</v>
      </c>
      <c r="B223" s="54" t="s">
        <v>316</v>
      </c>
      <c r="C223" s="31">
        <v>4301071029</v>
      </c>
      <c r="D223" s="278">
        <v>4607111035899</v>
      </c>
      <c r="E223" s="279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3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1"/>
      <c r="R223" s="271"/>
      <c r="S223" s="271"/>
      <c r="T223" s="272"/>
      <c r="U223" s="34"/>
      <c r="V223" s="34"/>
      <c r="W223" s="35" t="s">
        <v>70</v>
      </c>
      <c r="X223" s="266">
        <v>0</v>
      </c>
      <c r="Y223" s="267">
        <f>IFERROR(IF(X223="","",X223),"")</f>
        <v>0</v>
      </c>
      <c r="Z223" s="36">
        <f>IFERROR(IF(X223="","",X223*0.0155),"")</f>
        <v>0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7"/>
      <c r="P224" s="273" t="s">
        <v>83</v>
      </c>
      <c r="Q224" s="274"/>
      <c r="R224" s="274"/>
      <c r="S224" s="274"/>
      <c r="T224" s="274"/>
      <c r="U224" s="274"/>
      <c r="V224" s="275"/>
      <c r="W224" s="37" t="s">
        <v>70</v>
      </c>
      <c r="X224" s="268">
        <f>IFERROR(SUM(X223:X223),"0")</f>
        <v>0</v>
      </c>
      <c r="Y224" s="268">
        <f>IFERROR(SUM(Y223:Y223),"0")</f>
        <v>0</v>
      </c>
      <c r="Z224" s="268">
        <f>IFERROR(IF(Z223="",0,Z223),"0")</f>
        <v>0</v>
      </c>
      <c r="AA224" s="269"/>
      <c r="AB224" s="269"/>
      <c r="AC224" s="269"/>
    </row>
    <row r="225" spans="1:68" hidden="1" x14ac:dyDescent="0.2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7"/>
      <c r="P225" s="273" t="s">
        <v>83</v>
      </c>
      <c r="Q225" s="274"/>
      <c r="R225" s="274"/>
      <c r="S225" s="274"/>
      <c r="T225" s="274"/>
      <c r="U225" s="274"/>
      <c r="V225" s="275"/>
      <c r="W225" s="37" t="s">
        <v>84</v>
      </c>
      <c r="X225" s="268">
        <f>IFERROR(SUMPRODUCT(X223:X223*H223:H223),"0")</f>
        <v>0</v>
      </c>
      <c r="Y225" s="268">
        <f>IFERROR(SUMPRODUCT(Y223:Y223*H223:H223),"0")</f>
        <v>0</v>
      </c>
      <c r="Z225" s="37"/>
      <c r="AA225" s="269"/>
      <c r="AB225" s="269"/>
      <c r="AC225" s="269"/>
    </row>
    <row r="226" spans="1:68" ht="27.75" hidden="1" customHeight="1" x14ac:dyDescent="0.2">
      <c r="A226" s="282" t="s">
        <v>317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48"/>
      <c r="AB226" s="48"/>
      <c r="AC226" s="48"/>
    </row>
    <row r="227" spans="1:68" ht="16.5" hidden="1" customHeight="1" x14ac:dyDescent="0.25">
      <c r="A227" s="284" t="s">
        <v>318</v>
      </c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261"/>
      <c r="AB227" s="261"/>
      <c r="AC227" s="261"/>
    </row>
    <row r="228" spans="1:68" ht="14.25" hidden="1" customHeight="1" x14ac:dyDescent="0.25">
      <c r="A228" s="312" t="s">
        <v>319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60"/>
      <c r="AB228" s="260"/>
      <c r="AC228" s="260"/>
    </row>
    <row r="229" spans="1:68" ht="27" hidden="1" customHeight="1" x14ac:dyDescent="0.25">
      <c r="A229" s="54" t="s">
        <v>320</v>
      </c>
      <c r="B229" s="54" t="s">
        <v>321</v>
      </c>
      <c r="C229" s="31">
        <v>4301133004</v>
      </c>
      <c r="D229" s="278">
        <v>4607111039774</v>
      </c>
      <c r="E229" s="279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1"/>
      <c r="R229" s="271"/>
      <c r="S229" s="271"/>
      <c r="T229" s="272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6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7"/>
      <c r="P230" s="273" t="s">
        <v>83</v>
      </c>
      <c r="Q230" s="274"/>
      <c r="R230" s="274"/>
      <c r="S230" s="274"/>
      <c r="T230" s="274"/>
      <c r="U230" s="274"/>
      <c r="V230" s="275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hidden="1" x14ac:dyDescent="0.2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7"/>
      <c r="P231" s="273" t="s">
        <v>83</v>
      </c>
      <c r="Q231" s="274"/>
      <c r="R231" s="274"/>
      <c r="S231" s="274"/>
      <c r="T231" s="274"/>
      <c r="U231" s="274"/>
      <c r="V231" s="275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hidden="1" customHeight="1" x14ac:dyDescent="0.25">
      <c r="A232" s="312" t="s">
        <v>137</v>
      </c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  <c r="AA232" s="260"/>
      <c r="AB232" s="260"/>
      <c r="AC232" s="260"/>
    </row>
    <row r="233" spans="1:68" ht="37.5" hidden="1" customHeight="1" x14ac:dyDescent="0.25">
      <c r="A233" s="54" t="s">
        <v>323</v>
      </c>
      <c r="B233" s="54" t="s">
        <v>324</v>
      </c>
      <c r="C233" s="31">
        <v>4301135400</v>
      </c>
      <c r="D233" s="278">
        <v>4607111039361</v>
      </c>
      <c r="E233" s="279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97</v>
      </c>
      <c r="M233" s="33" t="s">
        <v>69</v>
      </c>
      <c r="N233" s="33"/>
      <c r="O233" s="32">
        <v>180</v>
      </c>
      <c r="P233" s="3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1"/>
      <c r="R233" s="271"/>
      <c r="S233" s="271"/>
      <c r="T233" s="272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99</v>
      </c>
      <c r="AK233" s="71">
        <v>14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6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7"/>
      <c r="P234" s="273" t="s">
        <v>83</v>
      </c>
      <c r="Q234" s="274"/>
      <c r="R234" s="274"/>
      <c r="S234" s="274"/>
      <c r="T234" s="274"/>
      <c r="U234" s="274"/>
      <c r="V234" s="275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hidden="1" x14ac:dyDescent="0.2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7"/>
      <c r="P235" s="273" t="s">
        <v>83</v>
      </c>
      <c r="Q235" s="274"/>
      <c r="R235" s="274"/>
      <c r="S235" s="274"/>
      <c r="T235" s="274"/>
      <c r="U235" s="274"/>
      <c r="V235" s="275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hidden="1" customHeight="1" x14ac:dyDescent="0.2">
      <c r="A236" s="282" t="s">
        <v>325</v>
      </c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  <c r="X236" s="283"/>
      <c r="Y236" s="283"/>
      <c r="Z236" s="283"/>
      <c r="AA236" s="48"/>
      <c r="AB236" s="48"/>
      <c r="AC236" s="48"/>
    </row>
    <row r="237" spans="1:68" ht="16.5" hidden="1" customHeight="1" x14ac:dyDescent="0.25">
      <c r="A237" s="284" t="s">
        <v>325</v>
      </c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261"/>
      <c r="AB237" s="261"/>
      <c r="AC237" s="261"/>
    </row>
    <row r="238" spans="1:68" ht="14.25" hidden="1" customHeight="1" x14ac:dyDescent="0.25">
      <c r="A238" s="312" t="s">
        <v>64</v>
      </c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A238" s="260"/>
      <c r="AB238" s="260"/>
      <c r="AC238" s="260"/>
    </row>
    <row r="239" spans="1:68" ht="27" hidden="1" customHeight="1" x14ac:dyDescent="0.25">
      <c r="A239" s="54" t="s">
        <v>326</v>
      </c>
      <c r="B239" s="54" t="s">
        <v>327</v>
      </c>
      <c r="C239" s="31">
        <v>4301071014</v>
      </c>
      <c r="D239" s="278">
        <v>4640242181264</v>
      </c>
      <c r="E239" s="279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6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1"/>
      <c r="R239" s="271"/>
      <c r="S239" s="271"/>
      <c r="T239" s="272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hidden="1" customHeight="1" x14ac:dyDescent="0.25">
      <c r="A240" s="54" t="s">
        <v>329</v>
      </c>
      <c r="B240" s="54" t="s">
        <v>330</v>
      </c>
      <c r="C240" s="31">
        <v>4301071021</v>
      </c>
      <c r="D240" s="278">
        <v>4640242181325</v>
      </c>
      <c r="E240" s="279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2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1"/>
      <c r="R240" s="271"/>
      <c r="S240" s="271"/>
      <c r="T240" s="272"/>
      <c r="U240" s="34"/>
      <c r="V240" s="34"/>
      <c r="W240" s="35" t="s">
        <v>70</v>
      </c>
      <c r="X240" s="266">
        <v>0</v>
      </c>
      <c r="Y240" s="267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6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7"/>
      <c r="P241" s="273" t="s">
        <v>83</v>
      </c>
      <c r="Q241" s="274"/>
      <c r="R241" s="274"/>
      <c r="S241" s="274"/>
      <c r="T241" s="274"/>
      <c r="U241" s="274"/>
      <c r="V241" s="275"/>
      <c r="W241" s="37" t="s">
        <v>70</v>
      </c>
      <c r="X241" s="268">
        <f>IFERROR(SUM(X239:X240),"0")</f>
        <v>0</v>
      </c>
      <c r="Y241" s="268">
        <f>IFERROR(SUM(Y239:Y240),"0")</f>
        <v>0</v>
      </c>
      <c r="Z241" s="268">
        <f>IFERROR(IF(Z239="",0,Z239),"0")+IFERROR(IF(Z240="",0,Z240),"0")</f>
        <v>0</v>
      </c>
      <c r="AA241" s="269"/>
      <c r="AB241" s="269"/>
      <c r="AC241" s="269"/>
    </row>
    <row r="242" spans="1:68" hidden="1" x14ac:dyDescent="0.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7"/>
      <c r="P242" s="273" t="s">
        <v>83</v>
      </c>
      <c r="Q242" s="274"/>
      <c r="R242" s="274"/>
      <c r="S242" s="274"/>
      <c r="T242" s="274"/>
      <c r="U242" s="274"/>
      <c r="V242" s="275"/>
      <c r="W242" s="37" t="s">
        <v>84</v>
      </c>
      <c r="X242" s="268">
        <f>IFERROR(SUMPRODUCT(X239:X240*H239:H240),"0")</f>
        <v>0</v>
      </c>
      <c r="Y242" s="268">
        <f>IFERROR(SUMPRODUCT(Y239:Y240*H239:H240),"0")</f>
        <v>0</v>
      </c>
      <c r="Z242" s="37"/>
      <c r="AA242" s="269"/>
      <c r="AB242" s="269"/>
      <c r="AC242" s="269"/>
    </row>
    <row r="243" spans="1:68" ht="14.25" hidden="1" customHeight="1" x14ac:dyDescent="0.25">
      <c r="A243" s="312" t="s">
        <v>93</v>
      </c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A243" s="260"/>
      <c r="AB243" s="260"/>
      <c r="AC243" s="260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8">
        <v>4640242180397</v>
      </c>
      <c r="E244" s="279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7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1"/>
      <c r="R244" s="271"/>
      <c r="S244" s="271"/>
      <c r="T244" s="272"/>
      <c r="U244" s="34"/>
      <c r="V244" s="34"/>
      <c r="W244" s="35" t="s">
        <v>70</v>
      </c>
      <c r="X244" s="266">
        <v>84</v>
      </c>
      <c r="Y244" s="267">
        <f>IFERROR(IF(X244="","",X244),"")</f>
        <v>84</v>
      </c>
      <c r="Z244" s="36">
        <f>IFERROR(IF(X244="","",X244*0.0155),"")</f>
        <v>1.302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525.84</v>
      </c>
      <c r="BN244" s="67">
        <f>IFERROR(Y244*I244,"0")</f>
        <v>525.84</v>
      </c>
      <c r="BO244" s="67">
        <f>IFERROR(X244/J244,"0")</f>
        <v>1</v>
      </c>
      <c r="BP244" s="67">
        <f>IFERROR(Y244/J244,"0")</f>
        <v>1</v>
      </c>
    </row>
    <row r="245" spans="1:68" x14ac:dyDescent="0.2">
      <c r="A245" s="286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7"/>
      <c r="P245" s="273" t="s">
        <v>83</v>
      </c>
      <c r="Q245" s="274"/>
      <c r="R245" s="274"/>
      <c r="S245" s="274"/>
      <c r="T245" s="274"/>
      <c r="U245" s="274"/>
      <c r="V245" s="275"/>
      <c r="W245" s="37" t="s">
        <v>70</v>
      </c>
      <c r="X245" s="268">
        <f>IFERROR(SUM(X244:X244),"0")</f>
        <v>84</v>
      </c>
      <c r="Y245" s="268">
        <f>IFERROR(SUM(Y244:Y244),"0")</f>
        <v>84</v>
      </c>
      <c r="Z245" s="268">
        <f>IFERROR(IF(Z244="",0,Z244),"0")</f>
        <v>1.302</v>
      </c>
      <c r="AA245" s="269"/>
      <c r="AB245" s="269"/>
      <c r="AC245" s="269"/>
    </row>
    <row r="246" spans="1:68" x14ac:dyDescent="0.2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7"/>
      <c r="P246" s="273" t="s">
        <v>83</v>
      </c>
      <c r="Q246" s="274"/>
      <c r="R246" s="274"/>
      <c r="S246" s="274"/>
      <c r="T246" s="274"/>
      <c r="U246" s="274"/>
      <c r="V246" s="275"/>
      <c r="W246" s="37" t="s">
        <v>84</v>
      </c>
      <c r="X246" s="268">
        <f>IFERROR(SUMPRODUCT(X244:X244*H244:H244),"0")</f>
        <v>504</v>
      </c>
      <c r="Y246" s="268">
        <f>IFERROR(SUMPRODUCT(Y244:Y244*H244:H244),"0")</f>
        <v>504</v>
      </c>
      <c r="Z246" s="37"/>
      <c r="AA246" s="269"/>
      <c r="AB246" s="269"/>
      <c r="AC246" s="269"/>
    </row>
    <row r="247" spans="1:68" ht="14.25" hidden="1" customHeight="1" x14ac:dyDescent="0.25">
      <c r="A247" s="312" t="s">
        <v>131</v>
      </c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  <c r="AA247" s="260"/>
      <c r="AB247" s="260"/>
      <c r="AC247" s="260"/>
    </row>
    <row r="248" spans="1:68" ht="27" hidden="1" customHeight="1" x14ac:dyDescent="0.25">
      <c r="A248" s="54" t="s">
        <v>334</v>
      </c>
      <c r="B248" s="54" t="s">
        <v>335</v>
      </c>
      <c r="C248" s="31">
        <v>4301136051</v>
      </c>
      <c r="D248" s="278">
        <v>4640242180304</v>
      </c>
      <c r="E248" s="279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38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1"/>
      <c r="R248" s="271"/>
      <c r="S248" s="271"/>
      <c r="T248" s="272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4301136053</v>
      </c>
      <c r="D249" s="278">
        <v>4640242180236</v>
      </c>
      <c r="E249" s="279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8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1"/>
      <c r="R249" s="271"/>
      <c r="S249" s="271"/>
      <c r="T249" s="272"/>
      <c r="U249" s="34"/>
      <c r="V249" s="34"/>
      <c r="W249" s="35" t="s">
        <v>70</v>
      </c>
      <c r="X249" s="266">
        <v>0</v>
      </c>
      <c r="Y249" s="267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hidden="1" customHeight="1" x14ac:dyDescent="0.25">
      <c r="A250" s="54" t="s">
        <v>339</v>
      </c>
      <c r="B250" s="54" t="s">
        <v>340</v>
      </c>
      <c r="C250" s="31">
        <v>4301136052</v>
      </c>
      <c r="D250" s="278">
        <v>4640242180410</v>
      </c>
      <c r="E250" s="279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1"/>
      <c r="R250" s="271"/>
      <c r="S250" s="271"/>
      <c r="T250" s="272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6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7"/>
      <c r="P251" s="273" t="s">
        <v>83</v>
      </c>
      <c r="Q251" s="274"/>
      <c r="R251" s="274"/>
      <c r="S251" s="274"/>
      <c r="T251" s="274"/>
      <c r="U251" s="274"/>
      <c r="V251" s="275"/>
      <c r="W251" s="37" t="s">
        <v>70</v>
      </c>
      <c r="X251" s="268">
        <f>IFERROR(SUM(X248:X250),"0")</f>
        <v>0</v>
      </c>
      <c r="Y251" s="268">
        <f>IFERROR(SUM(Y248:Y250),"0")</f>
        <v>0</v>
      </c>
      <c r="Z251" s="268">
        <f>IFERROR(IF(Z248="",0,Z248),"0")+IFERROR(IF(Z249="",0,Z249),"0")+IFERROR(IF(Z250="",0,Z250),"0")</f>
        <v>0</v>
      </c>
      <c r="AA251" s="269"/>
      <c r="AB251" s="269"/>
      <c r="AC251" s="269"/>
    </row>
    <row r="252" spans="1:68" hidden="1" x14ac:dyDescent="0.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7"/>
      <c r="P252" s="273" t="s">
        <v>83</v>
      </c>
      <c r="Q252" s="274"/>
      <c r="R252" s="274"/>
      <c r="S252" s="274"/>
      <c r="T252" s="274"/>
      <c r="U252" s="274"/>
      <c r="V252" s="275"/>
      <c r="W252" s="37" t="s">
        <v>84</v>
      </c>
      <c r="X252" s="268">
        <f>IFERROR(SUMPRODUCT(X248:X250*H248:H250),"0")</f>
        <v>0</v>
      </c>
      <c r="Y252" s="268">
        <f>IFERROR(SUMPRODUCT(Y248:Y250*H248:H250),"0")</f>
        <v>0</v>
      </c>
      <c r="Z252" s="37"/>
      <c r="AA252" s="269"/>
      <c r="AB252" s="269"/>
      <c r="AC252" s="269"/>
    </row>
    <row r="253" spans="1:68" ht="14.25" hidden="1" customHeight="1" x14ac:dyDescent="0.25">
      <c r="A253" s="312" t="s">
        <v>137</v>
      </c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  <c r="AA253" s="260"/>
      <c r="AB253" s="260"/>
      <c r="AC253" s="260"/>
    </row>
    <row r="254" spans="1:68" ht="37.5" hidden="1" customHeight="1" x14ac:dyDescent="0.25">
      <c r="A254" s="54" t="s">
        <v>341</v>
      </c>
      <c r="B254" s="54" t="s">
        <v>342</v>
      </c>
      <c r="C254" s="31">
        <v>4301135504</v>
      </c>
      <c r="D254" s="278">
        <v>4640242181554</v>
      </c>
      <c r="E254" s="279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1"/>
      <c r="R254" s="271"/>
      <c r="S254" s="271"/>
      <c r="T254" s="272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hidden="1" customHeight="1" x14ac:dyDescent="0.25">
      <c r="A255" s="54" t="s">
        <v>344</v>
      </c>
      <c r="B255" s="54" t="s">
        <v>345</v>
      </c>
      <c r="C255" s="31">
        <v>4301135518</v>
      </c>
      <c r="D255" s="278">
        <v>4640242181561</v>
      </c>
      <c r="E255" s="279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3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1"/>
      <c r="R255" s="271"/>
      <c r="S255" s="271"/>
      <c r="T255" s="272"/>
      <c r="U255" s="34"/>
      <c r="V255" s="34"/>
      <c r="W255" s="35" t="s">
        <v>70</v>
      </c>
      <c r="X255" s="266">
        <v>0</v>
      </c>
      <c r="Y255" s="267">
        <f t="shared" si="18"/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hidden="1" customHeight="1" x14ac:dyDescent="0.25">
      <c r="A256" s="54" t="s">
        <v>347</v>
      </c>
      <c r="B256" s="54" t="s">
        <v>348</v>
      </c>
      <c r="C256" s="31">
        <v>4301135374</v>
      </c>
      <c r="D256" s="278">
        <v>4640242181424</v>
      </c>
      <c r="E256" s="279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40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1"/>
      <c r="R256" s="271"/>
      <c r="S256" s="271"/>
      <c r="T256" s="272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hidden="1" customHeight="1" x14ac:dyDescent="0.25">
      <c r="A257" s="54" t="s">
        <v>349</v>
      </c>
      <c r="B257" s="54" t="s">
        <v>350</v>
      </c>
      <c r="C257" s="31">
        <v>4301135405</v>
      </c>
      <c r="D257" s="278">
        <v>4640242181523</v>
      </c>
      <c r="E257" s="279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1"/>
      <c r="R257" s="271"/>
      <c r="S257" s="271"/>
      <c r="T257" s="272"/>
      <c r="U257" s="34"/>
      <c r="V257" s="34"/>
      <c r="W257" s="35" t="s">
        <v>70</v>
      </c>
      <c r="X257" s="266">
        <v>0</v>
      </c>
      <c r="Y257" s="267">
        <f t="shared" si="18"/>
        <v>0</v>
      </c>
      <c r="Z257" s="36">
        <f t="shared" ref="Z257:Z262" si="23">IFERROR(IF(X257="","",X257*0.00936),"")</f>
        <v>0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hidden="1" customHeight="1" x14ac:dyDescent="0.25">
      <c r="A258" s="54" t="s">
        <v>351</v>
      </c>
      <c r="B258" s="54" t="s">
        <v>352</v>
      </c>
      <c r="C258" s="31">
        <v>4301135375</v>
      </c>
      <c r="D258" s="278">
        <v>4640242181486</v>
      </c>
      <c r="E258" s="279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140</v>
      </c>
      <c r="M258" s="33" t="s">
        <v>69</v>
      </c>
      <c r="N258" s="33"/>
      <c r="O258" s="32">
        <v>180</v>
      </c>
      <c r="P258" s="33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1"/>
      <c r="R258" s="271"/>
      <c r="S258" s="271"/>
      <c r="T258" s="272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141</v>
      </c>
      <c r="AK258" s="71">
        <v>126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353</v>
      </c>
      <c r="B259" s="54" t="s">
        <v>354</v>
      </c>
      <c r="C259" s="31">
        <v>4301135402</v>
      </c>
      <c r="D259" s="278">
        <v>4640242181493</v>
      </c>
      <c r="E259" s="279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97</v>
      </c>
      <c r="M259" s="33" t="s">
        <v>69</v>
      </c>
      <c r="N259" s="33"/>
      <c r="O259" s="32">
        <v>180</v>
      </c>
      <c r="P259" s="32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1"/>
      <c r="R259" s="271"/>
      <c r="S259" s="271"/>
      <c r="T259" s="272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99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hidden="1" customHeight="1" x14ac:dyDescent="0.25">
      <c r="A260" s="54" t="s">
        <v>355</v>
      </c>
      <c r="B260" s="54" t="s">
        <v>356</v>
      </c>
      <c r="C260" s="31">
        <v>4301135403</v>
      </c>
      <c r="D260" s="278">
        <v>4640242181509</v>
      </c>
      <c r="E260" s="279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97</v>
      </c>
      <c r="M260" s="33" t="s">
        <v>69</v>
      </c>
      <c r="N260" s="33"/>
      <c r="O260" s="32">
        <v>180</v>
      </c>
      <c r="P260" s="37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1"/>
      <c r="R260" s="271"/>
      <c r="S260" s="271"/>
      <c r="T260" s="272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99</v>
      </c>
      <c r="AK260" s="71">
        <v>14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357</v>
      </c>
      <c r="B261" s="54" t="s">
        <v>358</v>
      </c>
      <c r="C261" s="31">
        <v>4301135304</v>
      </c>
      <c r="D261" s="278">
        <v>4640242181240</v>
      </c>
      <c r="E261" s="279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97</v>
      </c>
      <c r="M261" s="33" t="s">
        <v>69</v>
      </c>
      <c r="N261" s="33"/>
      <c r="O261" s="32">
        <v>180</v>
      </c>
      <c r="P261" s="38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1"/>
      <c r="R261" s="271"/>
      <c r="S261" s="271"/>
      <c r="T261" s="272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99</v>
      </c>
      <c r="AK261" s="71">
        <v>14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359</v>
      </c>
      <c r="B262" s="54" t="s">
        <v>360</v>
      </c>
      <c r="C262" s="31">
        <v>4301135610</v>
      </c>
      <c r="D262" s="278">
        <v>4640242181318</v>
      </c>
      <c r="E262" s="279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97</v>
      </c>
      <c r="M262" s="33" t="s">
        <v>69</v>
      </c>
      <c r="N262" s="33"/>
      <c r="O262" s="32">
        <v>180</v>
      </c>
      <c r="P262" s="38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1"/>
      <c r="R262" s="271"/>
      <c r="S262" s="271"/>
      <c r="T262" s="272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99</v>
      </c>
      <c r="AK262" s="71">
        <v>14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361</v>
      </c>
      <c r="B263" s="54" t="s">
        <v>362</v>
      </c>
      <c r="C263" s="31">
        <v>4301135306</v>
      </c>
      <c r="D263" s="278">
        <v>4640242181387</v>
      </c>
      <c r="E263" s="279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150</v>
      </c>
      <c r="L263" s="32" t="s">
        <v>97</v>
      </c>
      <c r="M263" s="33" t="s">
        <v>69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1"/>
      <c r="R263" s="271"/>
      <c r="S263" s="271"/>
      <c r="T263" s="272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99</v>
      </c>
      <c r="AK263" s="71">
        <v>18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idden="1" x14ac:dyDescent="0.2">
      <c r="A264" s="286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7"/>
      <c r="P264" s="273" t="s">
        <v>83</v>
      </c>
      <c r="Q264" s="274"/>
      <c r="R264" s="274"/>
      <c r="S264" s="274"/>
      <c r="T264" s="274"/>
      <c r="U264" s="274"/>
      <c r="V264" s="275"/>
      <c r="W264" s="37" t="s">
        <v>70</v>
      </c>
      <c r="X264" s="268">
        <f>IFERROR(SUM(X254:X263),"0")</f>
        <v>0</v>
      </c>
      <c r="Y264" s="268">
        <f>IFERROR(SUM(Y254:Y263),"0")</f>
        <v>0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</v>
      </c>
      <c r="AA264" s="269"/>
      <c r="AB264" s="269"/>
      <c r="AC264" s="269"/>
    </row>
    <row r="265" spans="1:68" hidden="1" x14ac:dyDescent="0.2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7"/>
      <c r="P265" s="273" t="s">
        <v>83</v>
      </c>
      <c r="Q265" s="274"/>
      <c r="R265" s="274"/>
      <c r="S265" s="274"/>
      <c r="T265" s="274"/>
      <c r="U265" s="274"/>
      <c r="V265" s="275"/>
      <c r="W265" s="37" t="s">
        <v>84</v>
      </c>
      <c r="X265" s="268">
        <f>IFERROR(SUMPRODUCT(X254:X263*H254:H263),"0")</f>
        <v>0</v>
      </c>
      <c r="Y265" s="268">
        <f>IFERROR(SUMPRODUCT(Y254:Y263*H254:H263),"0")</f>
        <v>0</v>
      </c>
      <c r="Z265" s="37"/>
      <c r="AA265" s="269"/>
      <c r="AB265" s="269"/>
      <c r="AC265" s="269"/>
    </row>
    <row r="266" spans="1:68" ht="15" customHeight="1" x14ac:dyDescent="0.2">
      <c r="A266" s="376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350"/>
      <c r="P266" s="329" t="s">
        <v>363</v>
      </c>
      <c r="Q266" s="330"/>
      <c r="R266" s="330"/>
      <c r="S266" s="330"/>
      <c r="T266" s="330"/>
      <c r="U266" s="330"/>
      <c r="V266" s="331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7969.2</v>
      </c>
      <c r="Y266" s="268">
        <f>IFERROR(Y29+Y35+Y42+Y49+Y57+Y62+Y66+Y71+Y77+Y83+Y88+Y94+Y104+Y110+Y121+Y126+Y130+Y136+Y142+Y148+Y153+Y158+Y163+Y168+Y175+Y184+Y188+Y194+Y202+Y207+Y213+Y219+Y225+Y231+Y235+Y242+Y246+Y252+Y265,"0")</f>
        <v>7969.2</v>
      </c>
      <c r="Z266" s="37"/>
      <c r="AA266" s="269"/>
      <c r="AB266" s="269"/>
      <c r="AC266" s="269"/>
    </row>
    <row r="267" spans="1:68" x14ac:dyDescent="0.2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350"/>
      <c r="P267" s="329" t="s">
        <v>364</v>
      </c>
      <c r="Q267" s="330"/>
      <c r="R267" s="330"/>
      <c r="S267" s="330"/>
      <c r="T267" s="330"/>
      <c r="U267" s="330"/>
      <c r="V267" s="331"/>
      <c r="W267" s="37" t="s">
        <v>84</v>
      </c>
      <c r="X267" s="268">
        <f>IFERROR(SUM(BM22:BM263),"0")</f>
        <v>9522.9940000000006</v>
      </c>
      <c r="Y267" s="268">
        <f>IFERROR(SUM(BN22:BN263),"0")</f>
        <v>9522.9940000000006</v>
      </c>
      <c r="Z267" s="37"/>
      <c r="AA267" s="269"/>
      <c r="AB267" s="269"/>
      <c r="AC267" s="269"/>
    </row>
    <row r="268" spans="1:68" x14ac:dyDescent="0.2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350"/>
      <c r="P268" s="329" t="s">
        <v>365</v>
      </c>
      <c r="Q268" s="330"/>
      <c r="R268" s="330"/>
      <c r="S268" s="330"/>
      <c r="T268" s="330"/>
      <c r="U268" s="330"/>
      <c r="V268" s="331"/>
      <c r="W268" s="37" t="s">
        <v>366</v>
      </c>
      <c r="X268" s="38">
        <f>ROUNDUP(SUM(BO22:BO263),0)</f>
        <v>33</v>
      </c>
      <c r="Y268" s="38">
        <f>ROUNDUP(SUM(BP22:BP263),0)</f>
        <v>33</v>
      </c>
      <c r="Z268" s="37"/>
      <c r="AA268" s="269"/>
      <c r="AB268" s="269"/>
      <c r="AC268" s="269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350"/>
      <c r="P269" s="329" t="s">
        <v>367</v>
      </c>
      <c r="Q269" s="330"/>
      <c r="R269" s="330"/>
      <c r="S269" s="330"/>
      <c r="T269" s="330"/>
      <c r="U269" s="330"/>
      <c r="V269" s="331"/>
      <c r="W269" s="37" t="s">
        <v>84</v>
      </c>
      <c r="X269" s="268">
        <f>GrossWeightTotal+PalletQtyTotal*25</f>
        <v>10347.994000000001</v>
      </c>
      <c r="Y269" s="268">
        <f>GrossWeightTotalR+PalletQtyTotalR*25</f>
        <v>10347.994000000001</v>
      </c>
      <c r="Z269" s="37"/>
      <c r="AA269" s="269"/>
      <c r="AB269" s="269"/>
      <c r="AC269" s="269"/>
    </row>
    <row r="270" spans="1:68" x14ac:dyDescent="0.2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50"/>
      <c r="P270" s="329" t="s">
        <v>368</v>
      </c>
      <c r="Q270" s="330"/>
      <c r="R270" s="330"/>
      <c r="S270" s="330"/>
      <c r="T270" s="330"/>
      <c r="U270" s="330"/>
      <c r="V270" s="331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2669</v>
      </c>
      <c r="Y270" s="268">
        <f>IFERROR(Y28+Y34+Y41+Y48+Y56+Y61+Y65+Y70+Y76+Y82+Y87+Y93+Y103+Y109+Y120+Y125+Y129+Y135+Y141+Y147+Y152+Y157+Y162+Y167+Y174+Y183+Y187+Y193+Y201+Y206+Y212+Y218+Y224+Y230+Y234+Y241+Y245+Y251+Y264,"0")</f>
        <v>2669</v>
      </c>
      <c r="Z270" s="37"/>
      <c r="AA270" s="269"/>
      <c r="AB270" s="269"/>
      <c r="AC270" s="269"/>
    </row>
    <row r="271" spans="1:68" ht="14.25" hidden="1" customHeight="1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50"/>
      <c r="P271" s="329" t="s">
        <v>369</v>
      </c>
      <c r="Q271" s="330"/>
      <c r="R271" s="330"/>
      <c r="S271" s="330"/>
      <c r="T271" s="330"/>
      <c r="U271" s="330"/>
      <c r="V271" s="331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40.738639999999997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6" t="s">
        <v>63</v>
      </c>
      <c r="C273" s="373"/>
      <c r="D273" s="276" t="s">
        <v>91</v>
      </c>
      <c r="E273" s="372"/>
      <c r="F273" s="372"/>
      <c r="G273" s="372"/>
      <c r="H273" s="372"/>
      <c r="I273" s="372"/>
      <c r="J273" s="372"/>
      <c r="K273" s="372"/>
      <c r="L273" s="372"/>
      <c r="M273" s="372"/>
      <c r="N273" s="372"/>
      <c r="O273" s="372"/>
      <c r="P273" s="372"/>
      <c r="Q273" s="372"/>
      <c r="R273" s="372"/>
      <c r="S273" s="372"/>
      <c r="T273" s="372"/>
      <c r="U273" s="373"/>
      <c r="V273" s="258" t="s">
        <v>249</v>
      </c>
      <c r="W273" s="258" t="s">
        <v>257</v>
      </c>
      <c r="X273" s="276" t="s">
        <v>279</v>
      </c>
      <c r="Y273" s="372"/>
      <c r="Z273" s="373"/>
      <c r="AA273" s="258" t="s">
        <v>308</v>
      </c>
      <c r="AB273" s="258" t="s">
        <v>313</v>
      </c>
      <c r="AC273" s="258" t="s">
        <v>317</v>
      </c>
      <c r="AD273" s="258" t="s">
        <v>325</v>
      </c>
      <c r="AF273" s="259"/>
    </row>
    <row r="274" spans="1:32" ht="14.25" customHeight="1" thickTop="1" x14ac:dyDescent="0.2">
      <c r="A274" s="359" t="s">
        <v>372</v>
      </c>
      <c r="B274" s="276" t="s">
        <v>63</v>
      </c>
      <c r="C274" s="276" t="s">
        <v>85</v>
      </c>
      <c r="D274" s="276" t="s">
        <v>92</v>
      </c>
      <c r="E274" s="276" t="s">
        <v>103</v>
      </c>
      <c r="F274" s="276" t="s">
        <v>113</v>
      </c>
      <c r="G274" s="276" t="s">
        <v>124</v>
      </c>
      <c r="H274" s="276" t="s">
        <v>147</v>
      </c>
      <c r="I274" s="276" t="s">
        <v>154</v>
      </c>
      <c r="J274" s="276" t="s">
        <v>158</v>
      </c>
      <c r="K274" s="276" t="s">
        <v>166</v>
      </c>
      <c r="L274" s="276" t="s">
        <v>181</v>
      </c>
      <c r="M274" s="276" t="s">
        <v>187</v>
      </c>
      <c r="N274" s="259"/>
      <c r="O274" s="276" t="s">
        <v>215</v>
      </c>
      <c r="P274" s="276" t="s">
        <v>221</v>
      </c>
      <c r="Q274" s="276" t="s">
        <v>228</v>
      </c>
      <c r="R274" s="276" t="s">
        <v>233</v>
      </c>
      <c r="S274" s="276" t="s">
        <v>237</v>
      </c>
      <c r="T274" s="276" t="s">
        <v>240</v>
      </c>
      <c r="U274" s="276" t="s">
        <v>245</v>
      </c>
      <c r="V274" s="276" t="s">
        <v>250</v>
      </c>
      <c r="W274" s="276" t="s">
        <v>258</v>
      </c>
      <c r="X274" s="276" t="s">
        <v>280</v>
      </c>
      <c r="Y274" s="276" t="s">
        <v>298</v>
      </c>
      <c r="Z274" s="276" t="s">
        <v>302</v>
      </c>
      <c r="AA274" s="276" t="s">
        <v>309</v>
      </c>
      <c r="AB274" s="276" t="s">
        <v>314</v>
      </c>
      <c r="AC274" s="276" t="s">
        <v>318</v>
      </c>
      <c r="AD274" s="276" t="s">
        <v>325</v>
      </c>
      <c r="AF274" s="259"/>
    </row>
    <row r="275" spans="1:32" ht="13.5" customHeight="1" thickBot="1" x14ac:dyDescent="0.25">
      <c r="A275" s="360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59"/>
      <c r="O275" s="277"/>
      <c r="P275" s="277"/>
      <c r="Q275" s="277"/>
      <c r="R275" s="277"/>
      <c r="S275" s="277"/>
      <c r="T275" s="277"/>
      <c r="U275" s="277"/>
      <c r="V275" s="277"/>
      <c r="W275" s="277"/>
      <c r="X275" s="277"/>
      <c r="Y275" s="277"/>
      <c r="Z275" s="277"/>
      <c r="AA275" s="277"/>
      <c r="AB275" s="277"/>
      <c r="AC275" s="277"/>
      <c r="AD275" s="277"/>
      <c r="AF275" s="259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0</v>
      </c>
      <c r="C276" s="46">
        <f>IFERROR(X32*H32,"0")+IFERROR(X33*H33,"0")</f>
        <v>0</v>
      </c>
      <c r="D276" s="46">
        <f>IFERROR(X39*H39,"0")+IFERROR(X40*H40,"0")</f>
        <v>420</v>
      </c>
      <c r="E276" s="46">
        <f>IFERROR(X45*H45,"0")+IFERROR(X46*H46,"0")+IFERROR(X47*H47,"0")</f>
        <v>0</v>
      </c>
      <c r="F276" s="46">
        <f>IFERROR(X52*H52,"0")+IFERROR(X53*H53,"0")+IFERROR(X54*H54,"0")+IFERROR(X55*H55,"0")</f>
        <v>588</v>
      </c>
      <c r="G276" s="46">
        <f>IFERROR(X60*H60,"0")+IFERROR(X64*H64,"0")+IFERROR(X68*H68,"0")+IFERROR(X69*H69,"0")+IFERROR(X73*H73,"0")+IFERROR(X74*H74,"0")+IFERROR(X75*H75,"0")</f>
        <v>336</v>
      </c>
      <c r="H276" s="46">
        <f>IFERROR(X80*H80,"0")+IFERROR(X81*H81,"0")</f>
        <v>0</v>
      </c>
      <c r="I276" s="46">
        <f>IFERROR(X86*H86,"0")</f>
        <v>252</v>
      </c>
      <c r="J276" s="46">
        <f>IFERROR(X91*H91,"0")+IFERROR(X92*H92,"0")</f>
        <v>1512</v>
      </c>
      <c r="K276" s="46">
        <f>IFERROR(X97*H97,"0")+IFERROR(X98*H98,"0")+IFERROR(X99*H99,"0")+IFERROR(X100*H100,"0")+IFERROR(X101*H101,"0")+IFERROR(X102*H102,"0")</f>
        <v>1108.8</v>
      </c>
      <c r="L276" s="46">
        <f>IFERROR(X107*H107,"0")+IFERROR(X108*H108,"0")</f>
        <v>0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588</v>
      </c>
      <c r="N276" s="259"/>
      <c r="O276" s="46">
        <f>IFERROR(X133*H133,"0")+IFERROR(X134*H134,"0")</f>
        <v>1050</v>
      </c>
      <c r="P276" s="46">
        <f>IFERROR(X139*H139,"0")+IFERROR(X140*H140,"0")</f>
        <v>1260</v>
      </c>
      <c r="Q276" s="46">
        <f>IFERROR(X145*H145,"0")+IFERROR(X146*H146,"0")</f>
        <v>0</v>
      </c>
      <c r="R276" s="46">
        <f>IFERROR(X151*H151,"0")</f>
        <v>0</v>
      </c>
      <c r="S276" s="46">
        <f>IFERROR(X156*H156,"0")</f>
        <v>0</v>
      </c>
      <c r="T276" s="46">
        <f>IFERROR(X161*H161,"0")</f>
        <v>115.2</v>
      </c>
      <c r="U276" s="46">
        <f>IFERROR(X166*H166,"0")</f>
        <v>235.2</v>
      </c>
      <c r="V276" s="46">
        <f>IFERROR(X172*H172,"0")+IFERROR(X173*H173,"0")</f>
        <v>0</v>
      </c>
      <c r="W276" s="46">
        <f>IFERROR(X179*H179,"0")+IFERROR(X180*H180,"0")+IFERROR(X181*H181,"0")+IFERROR(X182*H182,"0")+IFERROR(X186*H186,"0")</f>
        <v>0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504</v>
      </c>
      <c r="AF276" s="259"/>
    </row>
    <row r="277" spans="1:32" ht="13.5" customHeight="1" thickTop="1" x14ac:dyDescent="0.2">
      <c r="C277" s="259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1176</v>
      </c>
      <c r="B279" s="60">
        <f>SUMPRODUCT(--(BB:BB="ПГП"),--(W:W="кор"),H:H,Y:Y)+SUMPRODUCT(--(BB:BB="ПГП"),--(W:W="кг"),Y:Y)</f>
        <v>6793.1999999999989</v>
      </c>
      <c r="C279" s="60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08,80"/>
        <filter val="1 260,00"/>
        <filter val="1 512,00"/>
        <filter val="10 347,99"/>
        <filter val="105,00"/>
        <filter val="115,20"/>
        <filter val="140,00"/>
        <filter val="2 669,00"/>
        <filter val="210,00"/>
        <filter val="235,20"/>
        <filter val="252,00"/>
        <filter val="280,00"/>
        <filter val="33"/>
        <filter val="336,00"/>
        <filter val="350,00"/>
        <filter val="385,00"/>
        <filter val="42,00"/>
        <filter val="420,00"/>
        <filter val="504,00"/>
        <filter val="588,00"/>
        <filter val="7 969,20"/>
        <filter val="70,00"/>
        <filter val="72,00"/>
        <filter val="84,00"/>
        <filter val="9 522,99"/>
      </filters>
    </filterColumn>
    <filterColumn colId="29" showButton="0"/>
    <filterColumn colId="30" showButton="0"/>
  </autoFilter>
  <mergeCells count="484">
    <mergeCell ref="Y17:Y18"/>
    <mergeCell ref="X274:X275"/>
    <mergeCell ref="Z274:Z275"/>
    <mergeCell ref="R274:R275"/>
    <mergeCell ref="D6:M6"/>
    <mergeCell ref="P120:V120"/>
    <mergeCell ref="G17:G18"/>
    <mergeCell ref="P57:V57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:E18"/>
    <mergeCell ref="D173:E173"/>
    <mergeCell ref="A131:Z131"/>
    <mergeCell ref="X17:X18"/>
    <mergeCell ref="D123:E123"/>
    <mergeCell ref="D250:E250"/>
    <mergeCell ref="B273:C273"/>
    <mergeCell ref="A30:Z30"/>
    <mergeCell ref="P60:T60"/>
    <mergeCell ref="D239:E239"/>
    <mergeCell ref="U17:V17"/>
    <mergeCell ref="AD17:AF18"/>
    <mergeCell ref="P167:V167"/>
    <mergeCell ref="D101:E101"/>
    <mergeCell ref="P142:V142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198:T198"/>
    <mergeCell ref="A43:Z43"/>
    <mergeCell ref="P54:T54"/>
    <mergeCell ref="P218:V218"/>
    <mergeCell ref="A170:Z170"/>
    <mergeCell ref="D10:E10"/>
    <mergeCell ref="P64:T64"/>
    <mergeCell ref="F10:G10"/>
    <mergeCell ref="D99:E99"/>
    <mergeCell ref="P128:T128"/>
    <mergeCell ref="N17:N18"/>
    <mergeCell ref="Q5:R5"/>
    <mergeCell ref="F17:F18"/>
    <mergeCell ref="P199:T199"/>
    <mergeCell ref="D107:E107"/>
    <mergeCell ref="A9:C9"/>
    <mergeCell ref="P70:V70"/>
    <mergeCell ref="P103:V103"/>
    <mergeCell ref="Q13:R13"/>
    <mergeCell ref="A155:Z155"/>
    <mergeCell ref="M17:M18"/>
    <mergeCell ref="H5:M5"/>
    <mergeCell ref="A103:O104"/>
    <mergeCell ref="P158:V158"/>
    <mergeCell ref="P98:T98"/>
    <mergeCell ref="A154:Z154"/>
    <mergeCell ref="A214:Z214"/>
    <mergeCell ref="D146:E146"/>
    <mergeCell ref="P266:V266"/>
    <mergeCell ref="A85:Z85"/>
    <mergeCell ref="P33:T33"/>
    <mergeCell ref="D256:E256"/>
    <mergeCell ref="P124:T124"/>
    <mergeCell ref="P163:V163"/>
    <mergeCell ref="P263:T263"/>
    <mergeCell ref="D244:E244"/>
    <mergeCell ref="P200:T200"/>
    <mergeCell ref="P134:T134"/>
    <mergeCell ref="A251:O252"/>
    <mergeCell ref="D102:E102"/>
    <mergeCell ref="A204:Z204"/>
    <mergeCell ref="D196:E196"/>
    <mergeCell ref="P219:V219"/>
    <mergeCell ref="D133:E133"/>
    <mergeCell ref="D54:E54"/>
    <mergeCell ref="D262:E262"/>
    <mergeCell ref="Z17:Z18"/>
    <mergeCell ref="P29:V29"/>
    <mergeCell ref="P271:V271"/>
    <mergeCell ref="P94:V94"/>
    <mergeCell ref="A90:Z90"/>
    <mergeCell ref="P265:V265"/>
    <mergeCell ref="P46:T46"/>
    <mergeCell ref="A241:O242"/>
    <mergeCell ref="A227:Z227"/>
    <mergeCell ref="A152:O153"/>
    <mergeCell ref="P184:V184"/>
    <mergeCell ref="A143:Z143"/>
    <mergeCell ref="P242:V242"/>
    <mergeCell ref="A232:Z232"/>
    <mergeCell ref="D80:E80"/>
    <mergeCell ref="P121:V121"/>
    <mergeCell ref="P42:V42"/>
    <mergeCell ref="A169:Z169"/>
    <mergeCell ref="P148:V148"/>
    <mergeCell ref="A76:O77"/>
    <mergeCell ref="A147:O148"/>
    <mergeCell ref="P141:V141"/>
    <mergeCell ref="P206:V206"/>
    <mergeCell ref="A58:Z58"/>
    <mergeCell ref="P256:T256"/>
    <mergeCell ref="H274:H275"/>
    <mergeCell ref="P234:V234"/>
    <mergeCell ref="A59:Z59"/>
    <mergeCell ref="J274:J275"/>
    <mergeCell ref="D186:E186"/>
    <mergeCell ref="A93:O94"/>
    <mergeCell ref="D217:E217"/>
    <mergeCell ref="P22:T22"/>
    <mergeCell ref="P40:T40"/>
    <mergeCell ref="P257:T257"/>
    <mergeCell ref="P80:T80"/>
    <mergeCell ref="P168:V168"/>
    <mergeCell ref="P268:V268"/>
    <mergeCell ref="A220:Z220"/>
    <mergeCell ref="P139:T139"/>
    <mergeCell ref="A125:O126"/>
    <mergeCell ref="P114:T114"/>
    <mergeCell ref="D22:E22"/>
    <mergeCell ref="A222:Z222"/>
    <mergeCell ref="D86:E86"/>
    <mergeCell ref="D257:E257"/>
    <mergeCell ref="D151:E151"/>
    <mergeCell ref="P107:T107"/>
    <mergeCell ref="AA17:AA18"/>
    <mergeCell ref="AC17:AC18"/>
    <mergeCell ref="A122:Z122"/>
    <mergeCell ref="P108:T108"/>
    <mergeCell ref="Y274:Y275"/>
    <mergeCell ref="A72:Z72"/>
    <mergeCell ref="P147:V147"/>
    <mergeCell ref="P254:T254"/>
    <mergeCell ref="AA274:AA275"/>
    <mergeCell ref="P45:T45"/>
    <mergeCell ref="AB17:AB18"/>
    <mergeCell ref="D200:E200"/>
    <mergeCell ref="O17:O18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D128:E128"/>
    <mergeCell ref="Q274:Q275"/>
    <mergeCell ref="P115:T115"/>
    <mergeCell ref="P231:V231"/>
    <mergeCell ref="A15:M15"/>
    <mergeCell ref="D254:E254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D249:E249"/>
    <mergeCell ref="P262:T262"/>
    <mergeCell ref="A65:O66"/>
    <mergeCell ref="P233:T233"/>
    <mergeCell ref="A253:Z253"/>
    <mergeCell ref="P74:T74"/>
    <mergeCell ref="A224:O225"/>
    <mergeCell ref="D255:E255"/>
    <mergeCell ref="P49:V49"/>
    <mergeCell ref="D117:E117"/>
    <mergeCell ref="D92:E92"/>
    <mergeCell ref="D55:E55"/>
    <mergeCell ref="P77:V77"/>
    <mergeCell ref="A230:O231"/>
    <mergeCell ref="A56:O57"/>
    <mergeCell ref="D114:E114"/>
    <mergeCell ref="D64:E64"/>
    <mergeCell ref="P248:T248"/>
    <mergeCell ref="A129:O130"/>
    <mergeCell ref="P157:V157"/>
    <mergeCell ref="P213:V213"/>
    <mergeCell ref="A209:Z209"/>
    <mergeCell ref="A67:Z67"/>
    <mergeCell ref="P152:V152"/>
    <mergeCell ref="D140:E140"/>
    <mergeCell ref="P161:T161"/>
    <mergeCell ref="P217:T217"/>
    <mergeCell ref="D198:E198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37:Z37"/>
    <mergeCell ref="A208:Z208"/>
    <mergeCell ref="D74:E74"/>
    <mergeCell ref="D68:E68"/>
    <mergeCell ref="A203:Z203"/>
    <mergeCell ref="P126:V126"/>
    <mergeCell ref="A38:Z38"/>
    <mergeCell ref="P28:V28"/>
    <mergeCell ref="P104:V104"/>
    <mergeCell ref="A157:O158"/>
    <mergeCell ref="P27:T27"/>
    <mergeCell ref="D75:E75"/>
    <mergeCell ref="D199:E199"/>
    <mergeCell ref="P129:V129"/>
    <mergeCell ref="P101:T101"/>
    <mergeCell ref="P194:V194"/>
    <mergeCell ref="A141:O142"/>
    <mergeCell ref="P211:T211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D156:E156"/>
    <mergeCell ref="P210:T210"/>
    <mergeCell ref="A266:O271"/>
    <mergeCell ref="I274:I275"/>
    <mergeCell ref="A41:O42"/>
    <mergeCell ref="A195:Z195"/>
    <mergeCell ref="P65:V65"/>
    <mergeCell ref="P136:V136"/>
    <mergeCell ref="A135:O136"/>
    <mergeCell ref="P260:T260"/>
    <mergeCell ref="G274:G275"/>
    <mergeCell ref="A274:A275"/>
    <mergeCell ref="D9:E9"/>
    <mergeCell ref="D180:E180"/>
    <mergeCell ref="D118:E118"/>
    <mergeCell ref="F9:G9"/>
    <mergeCell ref="P53:T53"/>
    <mergeCell ref="A183:O184"/>
    <mergeCell ref="P197:T197"/>
    <mergeCell ref="D161:E161"/>
    <mergeCell ref="P68:T68"/>
    <mergeCell ref="P239:T239"/>
    <mergeCell ref="P82:V82"/>
    <mergeCell ref="A44:Z44"/>
    <mergeCell ref="A31:Z31"/>
    <mergeCell ref="A12:M12"/>
    <mergeCell ref="A190:Z190"/>
    <mergeCell ref="D182:E182"/>
    <mergeCell ref="A14:M14"/>
    <mergeCell ref="A111:Z111"/>
    <mergeCell ref="D119:E119"/>
    <mergeCell ref="D46:E46"/>
    <mergeCell ref="D40:E40"/>
    <mergeCell ref="P24:T24"/>
    <mergeCell ref="D261:E261"/>
    <mergeCell ref="P119:T119"/>
    <mergeCell ref="P183:V183"/>
    <mergeCell ref="P62:V62"/>
    <mergeCell ref="A5:C5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T5:U5"/>
    <mergeCell ref="V5:W5"/>
    <mergeCell ref="D233:E233"/>
    <mergeCell ref="P212:V212"/>
    <mergeCell ref="A34:O35"/>
    <mergeCell ref="Q8:R8"/>
    <mergeCell ref="A28:O29"/>
    <mergeCell ref="P69:T69"/>
    <mergeCell ref="P140:T140"/>
    <mergeCell ref="D248:E248"/>
    <mergeCell ref="A159:Z159"/>
    <mergeCell ref="Q11:R11"/>
    <mergeCell ref="P205:T205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P83:V83"/>
    <mergeCell ref="A79:Z79"/>
    <mergeCell ref="A82:O83"/>
    <mergeCell ref="T6:U9"/>
    <mergeCell ref="Q10:R10"/>
    <mergeCell ref="A137:Z137"/>
    <mergeCell ref="D259:E259"/>
    <mergeCell ref="A174:O175"/>
    <mergeCell ref="A19:Z19"/>
    <mergeCell ref="AD274:AD275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250:T250"/>
    <mergeCell ref="A167:O168"/>
    <mergeCell ref="D229:E229"/>
    <mergeCell ref="D108:E108"/>
    <mergeCell ref="P258:T258"/>
    <mergeCell ref="P52:T52"/>
    <mergeCell ref="P223:T223"/>
    <mergeCell ref="P201:V201"/>
    <mergeCell ref="A48:O49"/>
    <mergeCell ref="AC274:AC275"/>
    <mergeCell ref="L274:L275"/>
    <mergeCell ref="P270:V270"/>
    <mergeCell ref="A95:Z95"/>
    <mergeCell ref="P267:V267"/>
    <mergeCell ref="D1:F1"/>
    <mergeCell ref="P47:T47"/>
    <mergeCell ref="R1:T1"/>
    <mergeCell ref="P172:T172"/>
    <mergeCell ref="A218:O219"/>
    <mergeCell ref="D98:E98"/>
    <mergeCell ref="D73:E73"/>
    <mergeCell ref="D5:E5"/>
    <mergeCell ref="U274:U275"/>
    <mergeCell ref="K274:K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93:V93"/>
    <mergeCell ref="P264:V264"/>
    <mergeCell ref="P269:V269"/>
    <mergeCell ref="A216:Z216"/>
    <mergeCell ref="B274:B275"/>
    <mergeCell ref="P35:V35"/>
    <mergeCell ref="A264:O265"/>
    <mergeCell ref="A150:Z150"/>
    <mergeCell ref="A144:Z144"/>
    <mergeCell ref="A215:Z215"/>
    <mergeCell ref="A120:O121"/>
    <mergeCell ref="P92:T92"/>
    <mergeCell ref="P173:T173"/>
    <mergeCell ref="H1:Q1"/>
    <mergeCell ref="P109:V109"/>
    <mergeCell ref="A243:Z243"/>
    <mergeCell ref="P193:V193"/>
    <mergeCell ref="P246:V246"/>
    <mergeCell ref="P39:T39"/>
    <mergeCell ref="A89:Z89"/>
    <mergeCell ref="P166:T166"/>
    <mergeCell ref="P188:V188"/>
    <mergeCell ref="A187:O188"/>
    <mergeCell ref="P116:T116"/>
    <mergeCell ref="A105:Z105"/>
    <mergeCell ref="A162:O163"/>
    <mergeCell ref="P32:T32"/>
    <mergeCell ref="P97:T97"/>
    <mergeCell ref="P130:V130"/>
    <mergeCell ref="D211:E211"/>
    <mergeCell ref="P235:V235"/>
    <mergeCell ref="D258:E258"/>
    <mergeCell ref="P207:V207"/>
    <mergeCell ref="P81:T81"/>
    <mergeCell ref="D124:E124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W17:W18"/>
    <mergeCell ref="A50:Z50"/>
    <mergeCell ref="D145:E145"/>
    <mergeCell ref="D210:E210"/>
    <mergeCell ref="A226:Z226"/>
    <mergeCell ref="D139:E139"/>
    <mergeCell ref="P251:V251"/>
    <mergeCell ref="A228:Z228"/>
    <mergeCell ref="A212:O213"/>
    <mergeCell ref="D24:E24"/>
    <mergeCell ref="D7:M7"/>
    <mergeCell ref="P100:T100"/>
    <mergeCell ref="D81:E81"/>
    <mergeCell ref="D8:M8"/>
    <mergeCell ref="J17:J18"/>
    <mergeCell ref="L17:L18"/>
    <mergeCell ref="P61:V61"/>
    <mergeCell ref="P17:T18"/>
    <mergeCell ref="I17:I18"/>
    <mergeCell ref="P34:V34"/>
    <mergeCell ref="Q9:R9"/>
    <mergeCell ref="D60:E60"/>
    <mergeCell ref="P73:T73"/>
    <mergeCell ref="A13:M13"/>
    <mergeCell ref="J9:M9"/>
    <mergeCell ref="H17:H18"/>
    <mergeCell ref="H10:M10"/>
    <mergeCell ref="V6:W9"/>
    <mergeCell ref="A8:C8"/>
    <mergeCell ref="D32:E32"/>
    <mergeCell ref="Q6:R6"/>
    <mergeCell ref="D25:E25"/>
    <mergeCell ref="V12:W12"/>
    <mergeCell ref="P25:T25"/>
    <mergeCell ref="P244:T244"/>
    <mergeCell ref="P87:V87"/>
    <mergeCell ref="P245:V245"/>
    <mergeCell ref="C274:C275"/>
    <mergeCell ref="E274:E275"/>
    <mergeCell ref="D45:E45"/>
    <mergeCell ref="H9:I9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230:V230"/>
    <mergeCell ref="A234:O235"/>
    <mergeCell ref="T274:T275"/>
    <mergeCell ref="B17:B18"/>
    <mergeCell ref="V274:V27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